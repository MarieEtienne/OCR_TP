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mc:AlternateContent xmlns:mc="http://schemas.openxmlformats.org/markup-compatibility/2006">
    <mc:Choice Requires="x15">
      <x15ac:absPath xmlns:x15ac="http://schemas.microsoft.com/office/spreadsheetml/2010/11/ac" url="/Users/myspace/Desktop/OCR/OCR_TP/"/>
    </mc:Choice>
  </mc:AlternateContent>
  <xr:revisionPtr revIDLastSave="0" documentId="8_{75194FC0-D076-FB4C-AAD7-57245D316F9D}" xr6:coauthVersionLast="47" xr6:coauthVersionMax="47" xr10:uidLastSave="{00000000-0000-0000-0000-000000000000}"/>
  <bookViews>
    <workbookView xWindow="0" yWindow="500" windowWidth="28800" windowHeight="15800" xr2:uid="{00000000-000D-0000-FFFF-FFFF00000000}"/>
  </bookViews>
  <sheets>
    <sheet name="Traits_abeilles" sheetId="1" r:id="rId1"/>
    <sheet name="README" sheetId="2" r:id="rId2"/>
  </sheets>
  <definedNames>
    <definedName name="_xlnm._FilterDatabase" localSheetId="0" hidden="1">Traits_abeilles!$A$1:$Q$1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1" i="1" l="1"/>
  <c r="Q1953" i="1"/>
  <c r="Q1941" i="1"/>
  <c r="Q1164" i="1"/>
  <c r="Q1163" i="1"/>
  <c r="Q6824" i="1"/>
  <c r="Q6773" i="1"/>
  <c r="Q1136" i="1"/>
  <c r="Q1135" i="1"/>
  <c r="Q1134" i="1"/>
  <c r="Q1133" i="1"/>
  <c r="Q1132" i="1"/>
  <c r="Q1131" i="1"/>
  <c r="Q1130" i="1"/>
  <c r="Q1129" i="1"/>
  <c r="Q1125" i="1"/>
  <c r="Q1078" i="1"/>
  <c r="Q888" i="1"/>
  <c r="Q887" i="1"/>
  <c r="Q806" i="1"/>
  <c r="Q805" i="1"/>
  <c r="Q761" i="1"/>
  <c r="Q760" i="1"/>
  <c r="Q759" i="1"/>
  <c r="Q758" i="1"/>
  <c r="Q757" i="1"/>
  <c r="Q756" i="1"/>
  <c r="Q755" i="1"/>
  <c r="Q754" i="1"/>
  <c r="Q753" i="1"/>
  <c r="Q726" i="1"/>
  <c r="Q725" i="1"/>
  <c r="Q724" i="1"/>
  <c r="Q723" i="1"/>
  <c r="Q722" i="1"/>
  <c r="Q721" i="1"/>
  <c r="Q715" i="1"/>
  <c r="Q714" i="1"/>
  <c r="Q713" i="1"/>
  <c r="Q712" i="1"/>
  <c r="Q711" i="1"/>
  <c r="Q710" i="1"/>
  <c r="Q709" i="1"/>
  <c r="Q708" i="1"/>
  <c r="Q707" i="1"/>
  <c r="Q706" i="1"/>
  <c r="Q705" i="1"/>
  <c r="Q704" i="1"/>
  <c r="Q703" i="1"/>
  <c r="Q702" i="1"/>
  <c r="Q701" i="1"/>
  <c r="Q700" i="1"/>
  <c r="Q699" i="1"/>
  <c r="Q698" i="1"/>
  <c r="Q697" i="1"/>
  <c r="Q696" i="1"/>
  <c r="Q695" i="1"/>
  <c r="Q694" i="1"/>
  <c r="Q693" i="1"/>
  <c r="Q591" i="1"/>
  <c r="Q471" i="1"/>
  <c r="Q470" i="1"/>
  <c r="Q469" i="1"/>
  <c r="Q468" i="1"/>
  <c r="Q467" i="1"/>
  <c r="Q466" i="1"/>
  <c r="Q465" i="1"/>
  <c r="Q464" i="1"/>
  <c r="Q459" i="1"/>
  <c r="Q422" i="1"/>
  <c r="Q421" i="1"/>
  <c r="Q417" i="1"/>
  <c r="Q416" i="1"/>
  <c r="Q415" i="1"/>
  <c r="Q406" i="1"/>
  <c r="Q405" i="1"/>
  <c r="Q364" i="1"/>
  <c r="Q363" i="1"/>
  <c r="Q339" i="1"/>
  <c r="Q338" i="1"/>
  <c r="Q328" i="1"/>
  <c r="Q327" i="1"/>
  <c r="Q286" i="1"/>
  <c r="Q285" i="1"/>
  <c r="Q269" i="1"/>
  <c r="Q265" i="1"/>
  <c r="Q264" i="1"/>
  <c r="Q259" i="1"/>
  <c r="Q255" i="1"/>
  <c r="Q253" i="1"/>
  <c r="Q250" i="1"/>
  <c r="Q249" i="1"/>
  <c r="Q248" i="1"/>
  <c r="Q247" i="1"/>
  <c r="Q246" i="1"/>
  <c r="Q245" i="1"/>
  <c r="Q244" i="1"/>
  <c r="Q243" i="1"/>
  <c r="Q242" i="1"/>
  <c r="Q170" i="1"/>
  <c r="Q146" i="1"/>
  <c r="Q145" i="1"/>
  <c r="Q137" i="1"/>
  <c r="Q134" i="1"/>
  <c r="Q122" i="1"/>
  <c r="Q76" i="1"/>
  <c r="Q74" i="1"/>
  <c r="Q65" i="1"/>
  <c r="Q59" i="1"/>
  <c r="Q58" i="1"/>
  <c r="Q57" i="1"/>
  <c r="Q55" i="1"/>
  <c r="Q54" i="1"/>
  <c r="Q44" i="1"/>
  <c r="Q31" i="1"/>
  <c r="Q18" i="1"/>
  <c r="Q6" i="1"/>
  <c r="Q5" i="1"/>
  <c r="Q6169" i="1"/>
  <c r="Q6104" i="1"/>
  <c r="Q6103" i="1"/>
  <c r="Q5768" i="1"/>
  <c r="Q5767" i="1"/>
  <c r="Q5766" i="1"/>
  <c r="Q5765" i="1"/>
  <c r="Q5755" i="1"/>
  <c r="Q5754" i="1"/>
  <c r="Q5735" i="1"/>
  <c r="Q5734" i="1"/>
  <c r="Q5733" i="1"/>
  <c r="Q5706" i="1"/>
  <c r="Q5705" i="1"/>
  <c r="Q5704" i="1"/>
  <c r="Q5584" i="1"/>
  <c r="Q5583" i="1"/>
  <c r="Q5582" i="1"/>
  <c r="Q5581" i="1"/>
  <c r="Q5580" i="1"/>
  <c r="Q5572" i="1"/>
  <c r="Q5571" i="1"/>
  <c r="Q5570" i="1"/>
  <c r="Q5569" i="1"/>
  <c r="Q5568" i="1"/>
  <c r="Q5567" i="1"/>
  <c r="Q5566" i="1"/>
  <c r="Q5565" i="1"/>
  <c r="Q5564" i="1"/>
  <c r="Q5563" i="1"/>
  <c r="Q5562" i="1"/>
  <c r="Q5561" i="1"/>
  <c r="Q5560" i="1"/>
  <c r="Q5559" i="1"/>
  <c r="Q5558" i="1"/>
  <c r="Q5557" i="1"/>
  <c r="Q5556" i="1"/>
  <c r="Q5555" i="1"/>
  <c r="Q5542" i="1"/>
  <c r="Q5541" i="1"/>
  <c r="Q5540" i="1"/>
  <c r="Q5539" i="1"/>
  <c r="Q5538" i="1"/>
  <c r="Q5537" i="1"/>
  <c r="Q5536" i="1"/>
  <c r="Q5046" i="1"/>
  <c r="Q4959" i="1"/>
  <c r="Q4958" i="1"/>
  <c r="Q4957" i="1"/>
  <c r="Q4956" i="1"/>
  <c r="Q4955" i="1"/>
  <c r="Q4954" i="1"/>
  <c r="Q4953" i="1"/>
  <c r="Q4952" i="1"/>
  <c r="Q4938" i="1"/>
  <c r="Q4937" i="1"/>
  <c r="Q4936" i="1"/>
  <c r="Q4935" i="1"/>
  <c r="Q4934" i="1"/>
  <c r="Q4933" i="1"/>
  <c r="Q4932" i="1"/>
  <c r="Q4931" i="1"/>
  <c r="Q4930" i="1"/>
  <c r="Q4929" i="1"/>
  <c r="Q4757" i="1"/>
  <c r="Q4749" i="1"/>
  <c r="Q4748" i="1"/>
  <c r="Q4687" i="1"/>
  <c r="Q4686" i="1"/>
  <c r="Q4685" i="1"/>
  <c r="Q4684" i="1"/>
  <c r="Q4683" i="1"/>
  <c r="Q4672" i="1"/>
  <c r="Q4671" i="1"/>
  <c r="Q4670" i="1"/>
  <c r="Q4669" i="1"/>
  <c r="Q4668" i="1"/>
  <c r="Q4667" i="1"/>
  <c r="Q4666" i="1"/>
  <c r="Q4665" i="1"/>
  <c r="Q4664" i="1"/>
  <c r="Q4663" i="1"/>
  <c r="Q4662" i="1"/>
  <c r="Q4492" i="1"/>
  <c r="Q4491" i="1"/>
  <c r="Q4490" i="1"/>
  <c r="Q4489" i="1"/>
  <c r="Q4488" i="1"/>
  <c r="Q4487" i="1"/>
  <c r="Q4486" i="1"/>
  <c r="Q4485" i="1"/>
  <c r="Q4484" i="1"/>
  <c r="Q4483" i="1"/>
  <c r="Q4481" i="1"/>
  <c r="Q4404" i="1"/>
  <c r="Q4306" i="1"/>
  <c r="Q4305" i="1"/>
  <c r="Q4304" i="1"/>
  <c r="Q4282" i="1"/>
  <c r="Q4281" i="1"/>
  <c r="Q3955" i="1"/>
  <c r="Q3951" i="1"/>
  <c r="Q3950" i="1"/>
  <c r="Q3949" i="1"/>
  <c r="Q3948" i="1"/>
  <c r="Q3947" i="1"/>
  <c r="Q3946" i="1"/>
  <c r="Q3945" i="1"/>
  <c r="Q3944" i="1"/>
  <c r="Q3943" i="1"/>
  <c r="Q3942" i="1"/>
  <c r="Q3892" i="1"/>
  <c r="Q3891" i="1"/>
  <c r="Q3890" i="1"/>
  <c r="Q3889" i="1"/>
  <c r="Q3888" i="1"/>
  <c r="Q3739" i="1"/>
  <c r="Q3738" i="1"/>
  <c r="Q3737" i="1"/>
  <c r="Q3736" i="1"/>
  <c r="Q3735" i="1"/>
  <c r="Q3734" i="1"/>
  <c r="Q3733" i="1"/>
  <c r="Q3663" i="1"/>
  <c r="Q3501" i="1"/>
  <c r="Q3500" i="1"/>
  <c r="Q3499" i="1"/>
  <c r="Q3498" i="1"/>
  <c r="Q3497" i="1"/>
  <c r="Q3496" i="1"/>
  <c r="Q3495" i="1"/>
  <c r="Q3494" i="1"/>
  <c r="Q3493" i="1"/>
  <c r="Q3492" i="1"/>
  <c r="Q3491" i="1"/>
  <c r="Q3490" i="1"/>
  <c r="Q3489" i="1"/>
  <c r="Q3488" i="1"/>
  <c r="Q3487" i="1"/>
  <c r="Q3486" i="1"/>
  <c r="Q3485" i="1"/>
  <c r="Q3484" i="1"/>
  <c r="Q3483" i="1"/>
  <c r="Q3482" i="1"/>
  <c r="Q3481" i="1"/>
  <c r="Q3480" i="1"/>
  <c r="Q3479" i="1"/>
  <c r="Q3478" i="1"/>
  <c r="Q3477" i="1"/>
  <c r="Q3476" i="1"/>
  <c r="Q3475" i="1"/>
  <c r="Q3474" i="1"/>
  <c r="Q3473" i="1"/>
  <c r="Q3472" i="1"/>
  <c r="Q3471" i="1"/>
  <c r="Q3470" i="1"/>
  <c r="Q3469" i="1"/>
  <c r="Q3235" i="1"/>
  <c r="Q3218" i="1"/>
  <c r="Q3217" i="1"/>
  <c r="Q3216" i="1"/>
  <c r="Q3215" i="1"/>
  <c r="Q3214" i="1"/>
  <c r="Q3213" i="1"/>
  <c r="Q3212" i="1"/>
  <c r="Q3211" i="1"/>
  <c r="Q3210" i="1"/>
  <c r="Q3209" i="1"/>
  <c r="Q3208" i="1"/>
  <c r="Q3207" i="1"/>
  <c r="Q3206" i="1"/>
  <c r="Q3205" i="1"/>
  <c r="Q3204" i="1"/>
  <c r="Q3203" i="1"/>
  <c r="Q3202" i="1"/>
  <c r="Q3201" i="1"/>
  <c r="Q3200" i="1"/>
  <c r="Q3199" i="1"/>
  <c r="Q3198" i="1"/>
  <c r="Q3197" i="1"/>
  <c r="Q3196" i="1"/>
  <c r="Q3195" i="1"/>
  <c r="Q3194" i="1"/>
  <c r="Q3193" i="1"/>
  <c r="Q3192" i="1"/>
  <c r="Q3191" i="1"/>
  <c r="Q3190" i="1"/>
  <c r="Q3189" i="1"/>
  <c r="Q3188" i="1"/>
  <c r="Q3187" i="1"/>
  <c r="Q3186" i="1"/>
  <c r="Q3185" i="1"/>
  <c r="Q3184" i="1"/>
  <c r="Q3183" i="1"/>
  <c r="Q3182" i="1"/>
  <c r="Q3181" i="1"/>
  <c r="Q3180" i="1"/>
  <c r="Q3179" i="1"/>
  <c r="Q3178" i="1"/>
  <c r="Q3177" i="1"/>
  <c r="Q3176" i="1"/>
  <c r="Q3175" i="1"/>
  <c r="Q3174" i="1"/>
  <c r="Q3173" i="1"/>
  <c r="Q3172" i="1"/>
  <c r="Q3171" i="1"/>
  <c r="Q2776" i="1"/>
  <c r="Q2775" i="1"/>
  <c r="Q2774" i="1"/>
  <c r="Q2376" i="1"/>
  <c r="Q2375" i="1"/>
  <c r="Q2284" i="1"/>
  <c r="Q2283" i="1"/>
  <c r="Q2282" i="1"/>
  <c r="Q2281" i="1"/>
  <c r="Q2280" i="1"/>
  <c r="Q2279" i="1"/>
  <c r="Q2278" i="1"/>
  <c r="Q2277" i="1"/>
  <c r="Q6245" i="1"/>
  <c r="Q6242" i="1"/>
  <c r="Q6241" i="1"/>
  <c r="Q6240" i="1"/>
  <c r="Q6239" i="1"/>
  <c r="Q6238" i="1"/>
  <c r="Q6237" i="1"/>
  <c r="Q6236" i="1"/>
  <c r="Q6235" i="1"/>
  <c r="Q6234" i="1"/>
  <c r="Q6233" i="1"/>
  <c r="Q6232" i="1"/>
  <c r="Q6231" i="1"/>
  <c r="Q6165" i="1"/>
  <c r="Q6160" i="1"/>
  <c r="Q6157" i="1"/>
  <c r="Q6156" i="1"/>
  <c r="Q6155" i="1"/>
  <c r="Q6154" i="1"/>
  <c r="Q6153" i="1"/>
  <c r="Q6152" i="1"/>
  <c r="Q6151" i="1"/>
  <c r="Q6150" i="1"/>
  <c r="Q6149" i="1"/>
  <c r="Q6148" i="1"/>
  <c r="Q6147" i="1"/>
  <c r="Q6146" i="1"/>
  <c r="Q6145" i="1"/>
  <c r="Q6144" i="1"/>
  <c r="Q6143" i="1"/>
  <c r="Q6142" i="1"/>
  <c r="Q6141" i="1"/>
  <c r="Q6140" i="1"/>
  <c r="Q6139" i="1"/>
  <c r="Q6138" i="1"/>
  <c r="Q6137" i="1"/>
  <c r="Q6136" i="1"/>
  <c r="Q6135" i="1"/>
  <c r="Q6134" i="1"/>
  <c r="Q6133" i="1"/>
  <c r="Q5909" i="1"/>
  <c r="Q5908" i="1"/>
  <c r="Q5907" i="1"/>
  <c r="Q5906" i="1"/>
  <c r="Q5905" i="1"/>
  <c r="Q5904" i="1"/>
  <c r="Q5903" i="1"/>
  <c r="Q5902" i="1"/>
  <c r="Q5901" i="1"/>
  <c r="Q5900" i="1"/>
  <c r="Q5899" i="1"/>
  <c r="Q5897" i="1"/>
  <c r="Q5896" i="1"/>
  <c r="Q5895" i="1"/>
  <c r="Q5894" i="1"/>
  <c r="Q5893" i="1"/>
  <c r="Q5892" i="1"/>
  <c r="Q5891" i="1"/>
  <c r="Q5890" i="1"/>
  <c r="Q5889" i="1"/>
  <c r="Q5888" i="1"/>
  <c r="Q5887" i="1"/>
  <c r="Q5886" i="1"/>
  <c r="Q5885" i="1"/>
  <c r="Q5884" i="1"/>
  <c r="Q5196" i="1"/>
  <c r="Q5195" i="1"/>
  <c r="Q5194" i="1"/>
  <c r="Q5193" i="1"/>
  <c r="Q5192" i="1"/>
  <c r="Q5191" i="1"/>
  <c r="Q5190" i="1"/>
  <c r="Q5189" i="1"/>
  <c r="Q5188" i="1"/>
  <c r="Q5187" i="1"/>
  <c r="Q5186" i="1"/>
  <c r="Q5185" i="1"/>
  <c r="Q5184" i="1"/>
  <c r="Q5183" i="1"/>
  <c r="Q5182" i="1"/>
  <c r="Q5181" i="1"/>
  <c r="Q5180" i="1"/>
  <c r="Q5179" i="1"/>
  <c r="Q5178" i="1"/>
  <c r="Q5177" i="1"/>
  <c r="Q5176" i="1"/>
  <c r="Q5175" i="1"/>
  <c r="Q5143" i="1"/>
  <c r="Q5142" i="1"/>
  <c r="Q5141" i="1"/>
  <c r="Q5017" i="1"/>
  <c r="Q5016" i="1"/>
  <c r="Q5015" i="1"/>
  <c r="Q4988" i="1"/>
  <c r="Q4987" i="1"/>
  <c r="Q4986" i="1"/>
  <c r="Q4985" i="1"/>
  <c r="Q4984" i="1"/>
  <c r="Q4983" i="1"/>
  <c r="Q4982" i="1"/>
  <c r="Q4981" i="1"/>
  <c r="Q4980" i="1"/>
  <c r="Q4979" i="1"/>
  <c r="Q4655" i="1"/>
  <c r="Q4654" i="1"/>
  <c r="Q4653" i="1"/>
  <c r="Q4652" i="1"/>
  <c r="Q4651" i="1"/>
  <c r="Q4650" i="1"/>
  <c r="Q4649" i="1"/>
  <c r="Q4648" i="1"/>
  <c r="Q4647" i="1"/>
  <c r="Q4646" i="1"/>
  <c r="Q4645" i="1"/>
  <c r="Q4644" i="1"/>
  <c r="Q4643" i="1"/>
  <c r="Q4642" i="1"/>
  <c r="Q4641" i="1"/>
  <c r="Q4640" i="1"/>
  <c r="Q4385" i="1"/>
  <c r="Q4384" i="1"/>
  <c r="Q4383" i="1"/>
  <c r="Q4382" i="1"/>
  <c r="Q4381" i="1"/>
  <c r="Q4380" i="1"/>
  <c r="Q4378" i="1"/>
  <c r="Q4377" i="1"/>
  <c r="Q4376" i="1"/>
  <c r="Q4375" i="1"/>
  <c r="Q4374" i="1"/>
  <c r="Q4345" i="1"/>
  <c r="Q4344" i="1"/>
  <c r="Q4343" i="1"/>
  <c r="Q4342" i="1"/>
  <c r="Q4341" i="1"/>
  <c r="Q4340" i="1"/>
  <c r="Q4339" i="1"/>
  <c r="Q4338" i="1"/>
  <c r="Q4337" i="1"/>
  <c r="Q4336" i="1"/>
  <c r="Q4335" i="1"/>
  <c r="Q4334" i="1"/>
  <c r="Q4333" i="1"/>
  <c r="Q4332" i="1"/>
  <c r="Q4331" i="1"/>
  <c r="Q4330" i="1"/>
  <c r="Q4329" i="1"/>
  <c r="Q4328" i="1"/>
  <c r="Q4327" i="1"/>
  <c r="Q3917" i="1"/>
  <c r="Q3916" i="1"/>
  <c r="Q3915" i="1"/>
  <c r="Q3914" i="1"/>
  <c r="Q3913" i="1"/>
  <c r="Q3912" i="1"/>
  <c r="Q3911" i="1"/>
  <c r="Q3910" i="1"/>
  <c r="Q3909" i="1"/>
  <c r="Q3908" i="1"/>
  <c r="Q3907" i="1"/>
  <c r="Q3906" i="1"/>
  <c r="Q3905" i="1"/>
  <c r="Q3904" i="1"/>
  <c r="Q3903" i="1"/>
  <c r="Q3902" i="1"/>
  <c r="Q3901" i="1"/>
  <c r="Q3900" i="1"/>
  <c r="Q3899" i="1"/>
  <c r="Q3898" i="1"/>
  <c r="Q3897" i="1"/>
  <c r="Q3896" i="1"/>
  <c r="Q3895" i="1"/>
  <c r="Q3894" i="1"/>
  <c r="Q3893" i="1"/>
  <c r="Q3588" i="1"/>
  <c r="Q3296" i="1"/>
  <c r="Q3295" i="1"/>
  <c r="Q3294" i="1"/>
  <c r="Q3293" i="1"/>
  <c r="Q3292" i="1"/>
  <c r="Q3291" i="1"/>
  <c r="Q3290" i="1"/>
  <c r="Q3289" i="1"/>
  <c r="Q3288" i="1"/>
  <c r="Q3287" i="1"/>
  <c r="Q3286" i="1"/>
  <c r="Q3285" i="1"/>
  <c r="Q3284" i="1"/>
  <c r="Q3283" i="1"/>
  <c r="Q3282" i="1"/>
  <c r="Q3281" i="1"/>
  <c r="Q3280" i="1"/>
  <c r="Q3279" i="1"/>
  <c r="Q3278" i="1"/>
  <c r="Q3277" i="1"/>
  <c r="Q3276" i="1"/>
  <c r="Q3275" i="1"/>
  <c r="Q3274" i="1"/>
  <c r="Q3273" i="1"/>
  <c r="Q3272" i="1"/>
  <c r="Q3271" i="1"/>
  <c r="Q3270" i="1"/>
  <c r="Q3269" i="1"/>
  <c r="Q3268" i="1"/>
  <c r="Q3024" i="1"/>
  <c r="Q3023" i="1"/>
  <c r="Q3022" i="1"/>
  <c r="Q3021" i="1"/>
  <c r="Q3020" i="1"/>
  <c r="Q3019" i="1"/>
  <c r="Q3018" i="1"/>
  <c r="Q3017" i="1"/>
  <c r="Q3016" i="1"/>
  <c r="Q3015" i="1"/>
  <c r="Q2941" i="1"/>
  <c r="Q2940" i="1"/>
  <c r="Q2939" i="1"/>
  <c r="Q2938" i="1"/>
  <c r="Q2937" i="1"/>
  <c r="Q2936" i="1"/>
  <c r="Q2935" i="1"/>
  <c r="Q2934" i="1"/>
  <c r="Q2933" i="1"/>
  <c r="Q2932" i="1"/>
  <c r="Q2931" i="1"/>
  <c r="Q2930" i="1"/>
  <c r="Q2929" i="1"/>
  <c r="Q2928" i="1"/>
  <c r="Q2927" i="1"/>
  <c r="Q2926" i="1"/>
  <c r="Q2473" i="1"/>
  <c r="Q2472" i="1"/>
  <c r="Q2471" i="1"/>
  <c r="Q2470" i="1"/>
  <c r="Q2316" i="1"/>
  <c r="Q2315" i="1"/>
  <c r="Q2314" i="1"/>
  <c r="Q2313" i="1"/>
  <c r="Q2312" i="1"/>
  <c r="Q2311" i="1"/>
  <c r="Q2310" i="1"/>
  <c r="Q2309" i="1"/>
  <c r="Q2308" i="1"/>
  <c r="Q2307" i="1"/>
  <c r="Q2306" i="1"/>
  <c r="Q2235" i="1"/>
  <c r="Q2234" i="1"/>
  <c r="Q2233" i="1"/>
  <c r="Q2232" i="1"/>
  <c r="Q2231" i="1"/>
  <c r="Q2230" i="1"/>
  <c r="Q2229" i="1"/>
  <c r="Q2228" i="1"/>
  <c r="Q2227" i="1"/>
  <c r="Q2226" i="1"/>
  <c r="Q2225" i="1"/>
  <c r="Q2224" i="1"/>
  <c r="Q2223" i="1"/>
  <c r="Q2222" i="1"/>
  <c r="Q2221" i="1"/>
  <c r="Q2220" i="1"/>
  <c r="Q2219" i="1"/>
  <c r="Q2218" i="1"/>
  <c r="Q2217" i="1"/>
  <c r="Q2216" i="1"/>
  <c r="Q2190" i="1"/>
  <c r="Q2189" i="1"/>
  <c r="Q6265" i="1"/>
  <c r="Q6264" i="1"/>
  <c r="Q6263" i="1"/>
  <c r="Q6244" i="1"/>
  <c r="Q6243" i="1"/>
  <c r="Q6230" i="1"/>
  <c r="Q6167" i="1"/>
  <c r="Q6166" i="1"/>
  <c r="Q6159" i="1"/>
  <c r="Q6158" i="1"/>
  <c r="Q5917" i="1"/>
  <c r="Q5916" i="1"/>
  <c r="Q5915" i="1"/>
  <c r="Q5911" i="1"/>
  <c r="Q5910" i="1"/>
  <c r="Q5898" i="1"/>
  <c r="Q5605" i="1"/>
  <c r="Q5604" i="1"/>
  <c r="Q5603" i="1"/>
  <c r="Q5602" i="1"/>
  <c r="Q5601" i="1"/>
  <c r="Q5600" i="1"/>
  <c r="Q5599" i="1"/>
  <c r="Q5598" i="1"/>
  <c r="Q5484" i="1"/>
  <c r="Q5483" i="1"/>
  <c r="Q5482" i="1"/>
  <c r="Q5481" i="1"/>
  <c r="Q5480" i="1"/>
  <c r="Q5373" i="1"/>
  <c r="Q5372" i="1"/>
  <c r="Q5371" i="1"/>
  <c r="Q5370" i="1"/>
  <c r="Q5360" i="1"/>
  <c r="Q5359" i="1"/>
  <c r="Q5355" i="1"/>
  <c r="Q5354" i="1"/>
  <c r="Q5225" i="1"/>
  <c r="Q5224" i="1"/>
  <c r="Q5223" i="1"/>
  <c r="Q5222" i="1"/>
  <c r="Q5221" i="1"/>
  <c r="Q5220" i="1"/>
  <c r="Q5219" i="1"/>
  <c r="Q5218" i="1"/>
  <c r="Q5217" i="1"/>
  <c r="Q5216" i="1"/>
  <c r="Q5215" i="1"/>
  <c r="Q5214" i="1"/>
  <c r="Q5213" i="1"/>
  <c r="Q5212" i="1"/>
  <c r="Q5211" i="1"/>
  <c r="Q5210" i="1"/>
  <c r="Q5209" i="1"/>
  <c r="Q5208" i="1"/>
  <c r="Q5207" i="1"/>
  <c r="Q5206" i="1"/>
  <c r="Q5205" i="1"/>
  <c r="Q5204" i="1"/>
  <c r="Q5203" i="1"/>
  <c r="Q5202" i="1"/>
  <c r="Q5201" i="1"/>
  <c r="Q5200" i="1"/>
  <c r="Q5199" i="1"/>
  <c r="Q5198" i="1"/>
  <c r="Q5197" i="1"/>
  <c r="Q5140" i="1"/>
  <c r="Q5139" i="1"/>
  <c r="Q5138" i="1"/>
  <c r="Q5137" i="1"/>
  <c r="Q5136" i="1"/>
  <c r="Q5135" i="1"/>
  <c r="Q5134" i="1"/>
  <c r="Q5133" i="1"/>
  <c r="Q5132" i="1"/>
  <c r="Q5131" i="1"/>
  <c r="Q5130" i="1"/>
  <c r="Q5129" i="1"/>
  <c r="Q5128" i="1"/>
  <c r="Q5127" i="1"/>
  <c r="Q5126" i="1"/>
  <c r="Q5125" i="1"/>
  <c r="Q5124" i="1"/>
  <c r="Q5123" i="1"/>
  <c r="Q5122" i="1"/>
  <c r="Q5121" i="1"/>
  <c r="Q5014" i="1"/>
  <c r="Q5013" i="1"/>
  <c r="Q5012" i="1"/>
  <c r="Q5011" i="1"/>
  <c r="Q5010" i="1"/>
  <c r="Q5009" i="1"/>
  <c r="Q5008" i="1"/>
  <c r="Q5007" i="1"/>
  <c r="Q5006" i="1"/>
  <c r="Q5005" i="1"/>
  <c r="Q5004" i="1"/>
  <c r="Q5003" i="1"/>
  <c r="Q5002" i="1"/>
  <c r="Q5001" i="1"/>
  <c r="Q5000" i="1"/>
  <c r="Q4999" i="1"/>
  <c r="Q4998" i="1"/>
  <c r="Q4997" i="1"/>
  <c r="Q4996" i="1"/>
  <c r="Q4995" i="1"/>
  <c r="Q4994" i="1"/>
  <c r="Q4993" i="1"/>
  <c r="Q4992" i="1"/>
  <c r="Q4991" i="1"/>
  <c r="Q4990" i="1"/>
  <c r="Q4989" i="1"/>
  <c r="Q4978" i="1"/>
  <c r="Q4977" i="1"/>
  <c r="Q4976" i="1"/>
  <c r="Q4975" i="1"/>
  <c r="Q4974" i="1"/>
  <c r="Q4973" i="1"/>
  <c r="Q4785" i="1"/>
  <c r="Q4784" i="1"/>
  <c r="Q4783" i="1"/>
  <c r="Q4782" i="1"/>
  <c r="Q4781" i="1"/>
  <c r="Q4780" i="1"/>
  <c r="Q4779" i="1"/>
  <c r="Q4778" i="1"/>
  <c r="Q4777" i="1"/>
  <c r="Q4776" i="1"/>
  <c r="Q4775" i="1"/>
  <c r="Q4579" i="1"/>
  <c r="Q4549" i="1"/>
  <c r="Q4545" i="1"/>
  <c r="Q4386" i="1"/>
  <c r="Q4379" i="1"/>
  <c r="Q4364" i="1"/>
  <c r="Q4363" i="1"/>
  <c r="Q4315" i="1"/>
  <c r="Q4314" i="1"/>
  <c r="Q4313" i="1"/>
  <c r="Q4312" i="1"/>
  <c r="Q4311" i="1"/>
  <c r="Q4310" i="1"/>
  <c r="Q4309" i="1"/>
  <c r="Q4308" i="1"/>
  <c r="Q4307" i="1"/>
  <c r="Q3964" i="1"/>
  <c r="Q3963" i="1"/>
  <c r="Q3962" i="1"/>
  <c r="Q3961" i="1"/>
  <c r="Q3960" i="1"/>
  <c r="Q3959" i="1"/>
  <c r="Q3958" i="1"/>
  <c r="Q3957" i="1"/>
  <c r="Q3956" i="1"/>
  <c r="Q3921" i="1"/>
  <c r="Q3920" i="1"/>
  <c r="Q3919" i="1"/>
  <c r="Q3918" i="1"/>
  <c r="Q3587" i="1"/>
  <c r="Q3586" i="1"/>
  <c r="Q3585" i="1"/>
  <c r="Q3584" i="1"/>
  <c r="Q3583" i="1"/>
  <c r="Q3582" i="1"/>
  <c r="Q3581" i="1"/>
  <c r="Q3580" i="1"/>
  <c r="Q3579" i="1"/>
  <c r="Q3578" i="1"/>
  <c r="Q3577" i="1"/>
  <c r="Q3576" i="1"/>
  <c r="Q3575" i="1"/>
  <c r="Q3574" i="1"/>
  <c r="Q3573" i="1"/>
  <c r="Q3572" i="1"/>
  <c r="Q3571" i="1"/>
  <c r="Q3570" i="1"/>
  <c r="Q3569" i="1"/>
  <c r="Q3267" i="1"/>
  <c r="Q3266" i="1"/>
  <c r="Q3265" i="1"/>
  <c r="Q3264" i="1"/>
  <c r="Q3263" i="1"/>
  <c r="Q3262" i="1"/>
  <c r="Q3261" i="1"/>
  <c r="Q3260" i="1"/>
  <c r="Q3259" i="1"/>
  <c r="Q3258" i="1"/>
  <c r="Q3257" i="1"/>
  <c r="Q3256" i="1"/>
  <c r="Q3255" i="1"/>
  <c r="Q3254" i="1"/>
  <c r="Q3253" i="1"/>
  <c r="Q3252" i="1"/>
  <c r="Q3251" i="1"/>
  <c r="Q3250" i="1"/>
  <c r="Q3249" i="1"/>
  <c r="Q3248" i="1"/>
  <c r="Q3247" i="1"/>
  <c r="Q3246" i="1"/>
  <c r="Q3245" i="1"/>
  <c r="Q3014" i="1"/>
  <c r="Q3013" i="1"/>
  <c r="Q3012" i="1"/>
  <c r="Q3011" i="1"/>
  <c r="Q3010" i="1"/>
  <c r="Q3009" i="1"/>
  <c r="Q3008" i="1"/>
  <c r="Q3007" i="1"/>
  <c r="Q3006" i="1"/>
  <c r="Q2955" i="1"/>
  <c r="Q2954" i="1"/>
  <c r="Q2953" i="1"/>
  <c r="Q2952" i="1"/>
  <c r="Q2951" i="1"/>
  <c r="Q2950" i="1"/>
  <c r="Q2949" i="1"/>
  <c r="Q2948" i="1"/>
  <c r="Q2947" i="1"/>
  <c r="Q2946" i="1"/>
  <c r="Q2945" i="1"/>
  <c r="Q2944" i="1"/>
  <c r="Q2943" i="1"/>
  <c r="Q2942" i="1"/>
  <c r="Q2526" i="1"/>
  <c r="Q2525" i="1"/>
  <c r="Q2524" i="1"/>
  <c r="Q2523" i="1"/>
  <c r="Q2522" i="1"/>
  <c r="Q2521" i="1"/>
  <c r="Q2512" i="1"/>
  <c r="Q2511" i="1"/>
  <c r="Q2510" i="1"/>
  <c r="Q2509" i="1"/>
  <c r="Q2508" i="1"/>
  <c r="Q2507" i="1"/>
  <c r="Q2506" i="1"/>
  <c r="Q2505" i="1"/>
  <c r="Q2504" i="1"/>
  <c r="Q2503" i="1"/>
  <c r="Q2502" i="1"/>
  <c r="Q2501" i="1"/>
  <c r="Q2500" i="1"/>
  <c r="Q2331" i="1"/>
  <c r="Q2330" i="1"/>
  <c r="Q2329" i="1"/>
  <c r="Q2328" i="1"/>
  <c r="Q2327" i="1"/>
  <c r="Q2326" i="1"/>
  <c r="Q2325" i="1"/>
  <c r="Q2324" i="1"/>
  <c r="Q2323" i="1"/>
  <c r="Q2322" i="1"/>
  <c r="Q2321" i="1"/>
  <c r="Q2320" i="1"/>
  <c r="Q2319" i="1"/>
  <c r="Q2318" i="1"/>
  <c r="Q2317" i="1"/>
  <c r="Q2188" i="1"/>
  <c r="Q2187" i="1"/>
  <c r="Q2186" i="1"/>
  <c r="Q2185" i="1"/>
  <c r="Q2184" i="1"/>
  <c r="Q2183" i="1"/>
  <c r="Q2182" i="1"/>
  <c r="Q2181" i="1"/>
  <c r="Q2180" i="1"/>
  <c r="Q2179" i="1"/>
  <c r="Q2178" i="1"/>
  <c r="Q2177" i="1"/>
  <c r="Q2176" i="1"/>
  <c r="Q2175" i="1"/>
  <c r="Q2174" i="1"/>
  <c r="Q2173" i="1"/>
  <c r="Q2172" i="1"/>
  <c r="Q2171" i="1"/>
  <c r="Q2170" i="1"/>
  <c r="Q2169" i="1"/>
  <c r="Q2168" i="1"/>
  <c r="Q2167" i="1"/>
  <c r="Q2166" i="1"/>
  <c r="Q2165" i="1"/>
  <c r="Q2164" i="1"/>
  <c r="Q2163" i="1"/>
  <c r="Q2162" i="1"/>
  <c r="Q2161" i="1"/>
  <c r="Q2160" i="1"/>
  <c r="Q2159" i="1"/>
  <c r="Q2158" i="1"/>
  <c r="Q2157" i="1"/>
  <c r="Q2156" i="1"/>
  <c r="Q2155" i="1"/>
  <c r="Q2154" i="1"/>
  <c r="Q2153" i="1"/>
  <c r="Q2152" i="1"/>
  <c r="Q2151" i="1"/>
  <c r="Q2150" i="1"/>
  <c r="Q2149" i="1"/>
  <c r="Q2148" i="1"/>
  <c r="Q2147" i="1"/>
  <c r="Q2146" i="1"/>
  <c r="Q2145" i="1"/>
  <c r="Q2144" i="1"/>
  <c r="Q2143" i="1"/>
  <c r="Q2142" i="1"/>
  <c r="Q2141" i="1"/>
  <c r="Q2140" i="1"/>
  <c r="Q2139" i="1"/>
  <c r="Q2138" i="1"/>
  <c r="Q2137" i="1"/>
  <c r="Q2136" i="1"/>
  <c r="Q2135" i="1"/>
  <c r="Q2134" i="1"/>
  <c r="Q6256" i="1"/>
  <c r="Q6255" i="1"/>
  <c r="Q6254" i="1"/>
  <c r="Q6253" i="1"/>
  <c r="Q6252" i="1"/>
  <c r="Q6251" i="1"/>
  <c r="Q6250" i="1"/>
  <c r="Q6249" i="1"/>
  <c r="Q6248" i="1"/>
  <c r="Q6247" i="1"/>
  <c r="Q6246" i="1"/>
  <c r="Q6180" i="1"/>
  <c r="Q6168" i="1"/>
  <c r="Q6164" i="1"/>
  <c r="Q6163" i="1"/>
  <c r="Q6132" i="1"/>
  <c r="Q6131" i="1"/>
  <c r="Q6130" i="1"/>
  <c r="Q6129" i="1"/>
  <c r="Q6128" i="1"/>
  <c r="Q6127" i="1"/>
  <c r="Q6126" i="1"/>
  <c r="Q6125" i="1"/>
  <c r="Q6124" i="1"/>
  <c r="Q6123" i="1"/>
  <c r="Q6122" i="1"/>
  <c r="Q6121" i="1"/>
  <c r="Q6120" i="1"/>
  <c r="Q6119" i="1"/>
  <c r="Q6118" i="1"/>
  <c r="Q6117" i="1"/>
  <c r="Q6116" i="1"/>
  <c r="Q6115" i="1"/>
  <c r="Q6114" i="1"/>
  <c r="Q6113" i="1"/>
  <c r="Q6112" i="1"/>
  <c r="Q6111" i="1"/>
  <c r="Q6110" i="1"/>
  <c r="Q6109" i="1"/>
  <c r="Q6108" i="1"/>
  <c r="Q6107" i="1"/>
  <c r="Q6106" i="1"/>
  <c r="Q6105" i="1"/>
  <c r="Q5837" i="1"/>
  <c r="Q5836" i="1"/>
  <c r="Q5835" i="1"/>
  <c r="Q5834" i="1"/>
  <c r="Q5833" i="1"/>
  <c r="Q5832" i="1"/>
  <c r="Q5831" i="1"/>
  <c r="Q5830" i="1"/>
  <c r="Q5829" i="1"/>
  <c r="Q5828" i="1"/>
  <c r="Q5827" i="1"/>
  <c r="Q5826" i="1"/>
  <c r="Q5825" i="1"/>
  <c r="Q5824" i="1"/>
  <c r="Q5823" i="1"/>
  <c r="Q5822" i="1"/>
  <c r="Q5821" i="1"/>
  <c r="Q5820" i="1"/>
  <c r="Q5686" i="1"/>
  <c r="Q5685" i="1"/>
  <c r="Q5684" i="1"/>
  <c r="Q5683" i="1"/>
  <c r="Q5682" i="1"/>
  <c r="Q5681" i="1"/>
  <c r="Q5680" i="1"/>
  <c r="Q5679" i="1"/>
  <c r="Q5678" i="1"/>
  <c r="Q5677" i="1"/>
  <c r="Q5676" i="1"/>
  <c r="Q5675" i="1"/>
  <c r="Q5674" i="1"/>
  <c r="Q5673" i="1"/>
  <c r="Q5672" i="1"/>
  <c r="Q5671" i="1"/>
  <c r="Q5670" i="1"/>
  <c r="Q5669" i="1"/>
  <c r="Q5668" i="1"/>
  <c r="Q5667" i="1"/>
  <c r="Q5666" i="1"/>
  <c r="Q5665" i="1"/>
  <c r="Q5664" i="1"/>
  <c r="Q5663" i="1"/>
  <c r="Q5662" i="1"/>
  <c r="Q5661" i="1"/>
  <c r="Q5660" i="1"/>
  <c r="Q5659" i="1"/>
  <c r="Q5658" i="1"/>
  <c r="Q5657" i="1"/>
  <c r="Q5656" i="1"/>
  <c r="Q5655" i="1"/>
  <c r="Q5654" i="1"/>
  <c r="Q5653" i="1"/>
  <c r="Q5652" i="1"/>
  <c r="Q4888" i="1"/>
  <c r="Q4887" i="1"/>
  <c r="Q4886" i="1"/>
  <c r="Q4885" i="1"/>
  <c r="Q4884" i="1"/>
  <c r="Q4883" i="1"/>
  <c r="Q4882" i="1"/>
  <c r="Q4881" i="1"/>
  <c r="Q4880" i="1"/>
  <c r="Q4879" i="1"/>
  <c r="Q4878" i="1"/>
  <c r="Q4877" i="1"/>
  <c r="Q4876" i="1"/>
  <c r="Q4875" i="1"/>
  <c r="Q4874" i="1"/>
  <c r="Q4873" i="1"/>
  <c r="Q4872" i="1"/>
  <c r="Q4871" i="1"/>
  <c r="Q4870" i="1"/>
  <c r="Q4530" i="1"/>
  <c r="Q4469" i="1"/>
  <c r="Q4458" i="1"/>
  <c r="Q4457" i="1"/>
  <c r="Q4456" i="1"/>
  <c r="Q4455" i="1"/>
  <c r="Q4454" i="1"/>
  <c r="Q4453" i="1"/>
  <c r="Q4452" i="1"/>
  <c r="Q4451" i="1"/>
  <c r="Q4450" i="1"/>
  <c r="Q4449" i="1"/>
  <c r="Q4270" i="1"/>
  <c r="Q4207" i="1"/>
  <c r="Q4206" i="1"/>
  <c r="Q4205" i="1"/>
  <c r="Q4204" i="1"/>
  <c r="Q4203" i="1"/>
  <c r="Q4202" i="1"/>
  <c r="Q4189" i="1"/>
  <c r="Q4188" i="1"/>
  <c r="Q4187" i="1"/>
  <c r="Q4186" i="1"/>
  <c r="Q4185" i="1"/>
  <c r="Q4184" i="1"/>
  <c r="Q4183" i="1"/>
  <c r="Q4182" i="1"/>
  <c r="Q4181" i="1"/>
  <c r="Q4180" i="1"/>
  <c r="Q4179" i="1"/>
  <c r="Q4178" i="1"/>
  <c r="Q3924" i="1"/>
  <c r="Q3923" i="1"/>
  <c r="Q3922" i="1"/>
  <c r="Q3841" i="1"/>
  <c r="Q3840" i="1"/>
  <c r="Q3839" i="1"/>
  <c r="Q3838" i="1"/>
  <c r="Q3837" i="1"/>
  <c r="Q3836" i="1"/>
  <c r="Q3835" i="1"/>
  <c r="Q3834" i="1"/>
  <c r="Q3833" i="1"/>
  <c r="Q3832" i="1"/>
  <c r="Q3831" i="1"/>
  <c r="Q3830" i="1"/>
  <c r="Q3829" i="1"/>
  <c r="Q3828" i="1"/>
  <c r="Q3827" i="1"/>
  <c r="Q3781" i="1"/>
  <c r="Q3780" i="1"/>
  <c r="Q3779" i="1"/>
  <c r="Q3778" i="1"/>
  <c r="Q3777" i="1"/>
  <c r="Q3776" i="1"/>
  <c r="Q3728" i="1"/>
  <c r="Q3727" i="1"/>
  <c r="Q3726" i="1"/>
  <c r="Q3667" i="1"/>
  <c r="Q3666" i="1"/>
  <c r="Q3433" i="1"/>
  <c r="Q3432" i="1"/>
  <c r="Q3431" i="1"/>
  <c r="Q3430" i="1"/>
  <c r="Q3429" i="1"/>
  <c r="Q3428" i="1"/>
  <c r="Q3427" i="1"/>
  <c r="Q3426" i="1"/>
  <c r="Q3425" i="1"/>
  <c r="Q3424" i="1"/>
  <c r="Q3423" i="1"/>
  <c r="Q3422" i="1"/>
  <c r="Q3421" i="1"/>
  <c r="Q3420" i="1"/>
  <c r="Q3419" i="1"/>
  <c r="Q3418" i="1"/>
  <c r="Q3417" i="1"/>
  <c r="Q3416" i="1"/>
  <c r="Q3415" i="1"/>
  <c r="Q3414" i="1"/>
  <c r="Q3413" i="1"/>
  <c r="Q3412" i="1"/>
  <c r="Q3411" i="1"/>
  <c r="Q3410" i="1"/>
  <c r="Q3409" i="1"/>
  <c r="Q3408" i="1"/>
  <c r="Q3407" i="1"/>
  <c r="Q3406" i="1"/>
  <c r="Q3405" i="1"/>
  <c r="Q3234" i="1"/>
  <c r="Q3233" i="1"/>
  <c r="Q3232" i="1"/>
  <c r="Q3140" i="1"/>
  <c r="Q3139" i="1"/>
  <c r="Q3138" i="1"/>
  <c r="Q3137" i="1"/>
  <c r="Q3136" i="1"/>
  <c r="Q3135" i="1"/>
  <c r="Q3134" i="1"/>
  <c r="Q3133" i="1"/>
  <c r="Q3132" i="1"/>
  <c r="Q3131" i="1"/>
  <c r="Q3130" i="1"/>
  <c r="Q3129" i="1"/>
  <c r="Q3128" i="1"/>
  <c r="Q3127" i="1"/>
  <c r="Q3126" i="1"/>
  <c r="Q3125" i="1"/>
  <c r="Q3124" i="1"/>
  <c r="Q3123" i="1"/>
  <c r="Q3122" i="1"/>
  <c r="Q3121" i="1"/>
  <c r="Q3120" i="1"/>
  <c r="Q3119" i="1"/>
  <c r="Q3118" i="1"/>
  <c r="Q3117" i="1"/>
  <c r="Q3116" i="1"/>
  <c r="Q3115" i="1"/>
  <c r="Q3114" i="1"/>
  <c r="Q3113" i="1"/>
  <c r="Q3112" i="1"/>
  <c r="Q3111" i="1"/>
  <c r="Q3110" i="1"/>
  <c r="Q3109" i="1"/>
  <c r="Q3108" i="1"/>
  <c r="Q3107" i="1"/>
  <c r="Q3106" i="1"/>
  <c r="Q3105" i="1"/>
  <c r="Q3104" i="1"/>
  <c r="Q3101" i="1"/>
  <c r="Q3100" i="1"/>
  <c r="Q3099" i="1"/>
  <c r="Q3098" i="1"/>
  <c r="Q3097" i="1"/>
  <c r="Q3096" i="1"/>
  <c r="Q3095" i="1"/>
  <c r="Q3094" i="1"/>
  <c r="Q3093" i="1"/>
  <c r="Q3092" i="1"/>
  <c r="Q3091" i="1"/>
  <c r="Q3090" i="1"/>
  <c r="Q3089" i="1"/>
  <c r="Q3088" i="1"/>
  <c r="Q3087" i="1"/>
  <c r="Q3086" i="1"/>
  <c r="Q2760" i="1"/>
  <c r="Q2759" i="1"/>
  <c r="Q2758" i="1"/>
  <c r="Q2757" i="1"/>
  <c r="Q2756" i="1"/>
  <c r="Q2755" i="1"/>
  <c r="Q2754" i="1"/>
  <c r="Q2753" i="1"/>
  <c r="Q2752" i="1"/>
  <c r="Q2612" i="1"/>
  <c r="Q2611" i="1"/>
  <c r="Q2610" i="1"/>
  <c r="Q2609" i="1"/>
  <c r="Q2608" i="1"/>
  <c r="Q2607" i="1"/>
  <c r="Q2606" i="1"/>
  <c r="Q2605" i="1"/>
  <c r="Q2604" i="1"/>
  <c r="Q2603" i="1"/>
  <c r="Q2602" i="1"/>
  <c r="Q2601" i="1"/>
  <c r="Q2600" i="1"/>
  <c r="Q2599" i="1"/>
  <c r="Q2598" i="1"/>
  <c r="Q2597" i="1"/>
  <c r="Q2596" i="1"/>
  <c r="Q2595" i="1"/>
  <c r="Q2594" i="1"/>
  <c r="Q2593" i="1"/>
  <c r="Q2592" i="1"/>
  <c r="Q2591" i="1"/>
  <c r="Q2590" i="1"/>
  <c r="Q2589" i="1"/>
  <c r="Q2588" i="1"/>
  <c r="Q2587" i="1"/>
  <c r="Q2586" i="1"/>
  <c r="Q2585" i="1"/>
  <c r="Q2584" i="1"/>
  <c r="Q2583" i="1"/>
  <c r="Q2398" i="1"/>
  <c r="Q2397" i="1"/>
  <c r="Q2396" i="1"/>
  <c r="Q2395" i="1"/>
  <c r="Q2394" i="1"/>
  <c r="Q2287" i="1"/>
  <c r="Q2286" i="1"/>
  <c r="Q2285" i="1"/>
  <c r="Q2038" i="1"/>
  <c r="Q2037" i="1"/>
  <c r="Q2036" i="1"/>
  <c r="Q2035" i="1"/>
  <c r="Q2034" i="1"/>
  <c r="Q2033" i="1"/>
  <c r="Q2032" i="1"/>
  <c r="Q2031" i="1"/>
  <c r="Q6229" i="1"/>
  <c r="Q6215" i="1"/>
  <c r="Q6214" i="1"/>
  <c r="Q6213" i="1"/>
  <c r="Q6212" i="1"/>
  <c r="Q6208" i="1"/>
  <c r="Q6207" i="1"/>
  <c r="Q6189" i="1"/>
  <c r="Q6188" i="1"/>
  <c r="Q6182" i="1"/>
  <c r="Q5960" i="1"/>
  <c r="Q5959" i="1"/>
  <c r="Q5958" i="1"/>
  <c r="Q5957" i="1"/>
  <c r="Q5956" i="1"/>
  <c r="Q5955" i="1"/>
  <c r="Q5954" i="1"/>
  <c r="Q5953" i="1"/>
  <c r="Q5952" i="1"/>
  <c r="Q5951" i="1"/>
  <c r="Q5950" i="1"/>
  <c r="Q5949" i="1"/>
  <c r="Q5948" i="1"/>
  <c r="Q5947" i="1"/>
  <c r="Q5946" i="1"/>
  <c r="Q5933" i="1"/>
  <c r="Q5932" i="1"/>
  <c r="Q5931" i="1"/>
  <c r="Q5930" i="1"/>
  <c r="Q5929" i="1"/>
  <c r="Q5928" i="1"/>
  <c r="Q5927" i="1"/>
  <c r="Q5926" i="1"/>
  <c r="Q5925" i="1"/>
  <c r="Q5924" i="1"/>
  <c r="Q5923" i="1"/>
  <c r="Q5922" i="1"/>
  <c r="Q5921" i="1"/>
  <c r="Q5920" i="1"/>
  <c r="Q5919" i="1"/>
  <c r="Q5839" i="1"/>
  <c r="Q5838" i="1"/>
  <c r="Q5819" i="1"/>
  <c r="Q5818" i="1"/>
  <c r="Q5817" i="1"/>
  <c r="Q5816" i="1"/>
  <c r="Q5815" i="1"/>
  <c r="Q5814" i="1"/>
  <c r="Q5813" i="1"/>
  <c r="Q5812" i="1"/>
  <c r="Q5801" i="1"/>
  <c r="Q5800" i="1"/>
  <c r="Q5799" i="1"/>
  <c r="Q5594" i="1"/>
  <c r="Q5593" i="1"/>
  <c r="Q5490" i="1"/>
  <c r="Q5489" i="1"/>
  <c r="Q5488" i="1"/>
  <c r="Q5487" i="1"/>
  <c r="Q5486" i="1"/>
  <c r="Q5485" i="1"/>
  <c r="Q5477" i="1"/>
  <c r="Q5476" i="1"/>
  <c r="Q5458" i="1"/>
  <c r="Q5457" i="1"/>
  <c r="Q5456" i="1"/>
  <c r="Q5455" i="1"/>
  <c r="Q5454" i="1"/>
  <c r="Q5453" i="1"/>
  <c r="Q5452" i="1"/>
  <c r="Q5451" i="1"/>
  <c r="Q5450" i="1"/>
  <c r="Q5449" i="1"/>
  <c r="Q5448" i="1"/>
  <c r="Q5447" i="1"/>
  <c r="Q5446" i="1"/>
  <c r="Q5445" i="1"/>
  <c r="Q5444" i="1"/>
  <c r="Q5443" i="1"/>
  <c r="Q5442" i="1"/>
  <c r="Q5441" i="1"/>
  <c r="Q5440" i="1"/>
  <c r="Q5439" i="1"/>
  <c r="Q5438" i="1"/>
  <c r="Q5437" i="1"/>
  <c r="Q5436" i="1"/>
  <c r="Q5435" i="1"/>
  <c r="Q5434" i="1"/>
  <c r="Q5433" i="1"/>
  <c r="Q5432" i="1"/>
  <c r="Q5399" i="1"/>
  <c r="Q5398" i="1"/>
  <c r="Q5397" i="1"/>
  <c r="Q5396" i="1"/>
  <c r="Q5395" i="1"/>
  <c r="Q5394" i="1"/>
  <c r="Q5393" i="1"/>
  <c r="Q5392" i="1"/>
  <c r="Q5391" i="1"/>
  <c r="Q5390" i="1"/>
  <c r="Q5389" i="1"/>
  <c r="Q5388" i="1"/>
  <c r="Q5387" i="1"/>
  <c r="Q4861" i="1"/>
  <c r="Q4860" i="1"/>
  <c r="Q4831" i="1"/>
  <c r="Q4830" i="1"/>
  <c r="Q4829" i="1"/>
  <c r="Q4828" i="1"/>
  <c r="Q4827" i="1"/>
  <c r="Q4826" i="1"/>
  <c r="Q4825" i="1"/>
  <c r="Q4824" i="1"/>
  <c r="Q4823" i="1"/>
  <c r="Q4822" i="1"/>
  <c r="Q4821" i="1"/>
  <c r="Q4820" i="1"/>
  <c r="Q4808" i="1"/>
  <c r="Q4807" i="1"/>
  <c r="Q4806" i="1"/>
  <c r="Q4805" i="1"/>
  <c r="Q4804" i="1"/>
  <c r="Q4803" i="1"/>
  <c r="Q4802" i="1"/>
  <c r="Q4801" i="1"/>
  <c r="Q4800" i="1"/>
  <c r="Q4799" i="1"/>
  <c r="Q4628" i="1"/>
  <c r="Q4627" i="1"/>
  <c r="Q4626" i="1"/>
  <c r="Q4625" i="1"/>
  <c r="Q4624" i="1"/>
  <c r="Q4623" i="1"/>
  <c r="Q4622" i="1"/>
  <c r="Q4621" i="1"/>
  <c r="Q4620" i="1"/>
  <c r="Q4619" i="1"/>
  <c r="Q4618" i="1"/>
  <c r="Q4586" i="1"/>
  <c r="Q4585" i="1"/>
  <c r="Q4584" i="1"/>
  <c r="Q4583" i="1"/>
  <c r="Q4582" i="1"/>
  <c r="Q4581" i="1"/>
  <c r="Q4580" i="1"/>
  <c r="Q4575" i="1"/>
  <c r="Q4574" i="1"/>
  <c r="Q4573" i="1"/>
  <c r="Q4572" i="1"/>
  <c r="Q4562" i="1"/>
  <c r="Q4561" i="1"/>
  <c r="Q4560" i="1"/>
  <c r="Q4559" i="1"/>
  <c r="Q4558" i="1"/>
  <c r="Q4557" i="1"/>
  <c r="Q4556" i="1"/>
  <c r="Q4555" i="1"/>
  <c r="Q4554" i="1"/>
  <c r="Q4553" i="1"/>
  <c r="Q4552" i="1"/>
  <c r="Q4551" i="1"/>
  <c r="Q4550" i="1"/>
  <c r="Q4548" i="1"/>
  <c r="Q4532" i="1"/>
  <c r="Q4531" i="1"/>
  <c r="Q4470" i="1"/>
  <c r="Q4468" i="1"/>
  <c r="Q4467" i="1"/>
  <c r="Q4466" i="1"/>
  <c r="Q4465" i="1"/>
  <c r="Q4464" i="1"/>
  <c r="Q4463" i="1"/>
  <c r="Q4448" i="1"/>
  <c r="Q4447" i="1"/>
  <c r="Q4446" i="1"/>
  <c r="Q4445" i="1"/>
  <c r="Q4444" i="1"/>
  <c r="Q4272" i="1"/>
  <c r="Q4271" i="1"/>
  <c r="Q4177" i="1"/>
  <c r="Q4176" i="1"/>
  <c r="Q4175" i="1"/>
  <c r="Q4174" i="1"/>
  <c r="Q4173" i="1"/>
  <c r="Q4164" i="1"/>
  <c r="Q4163" i="1"/>
  <c r="Q4162" i="1"/>
  <c r="Q4096" i="1"/>
  <c r="Q4095" i="1"/>
  <c r="Q4094" i="1"/>
  <c r="Q4093" i="1"/>
  <c r="Q4053" i="1"/>
  <c r="Q4052" i="1"/>
  <c r="Q4051" i="1"/>
  <c r="Q4050" i="1"/>
  <c r="Q4049" i="1"/>
  <c r="Q4048" i="1"/>
  <c r="Q4047" i="1"/>
  <c r="Q4046" i="1"/>
  <c r="Q4045" i="1"/>
  <c r="Q4044" i="1"/>
  <c r="Q4043" i="1"/>
  <c r="Q4042" i="1"/>
  <c r="Q4041" i="1"/>
  <c r="Q4040" i="1"/>
  <c r="Q4039" i="1"/>
  <c r="Q4038" i="1"/>
  <c r="Q4037" i="1"/>
  <c r="Q4036" i="1"/>
  <c r="Q4035" i="1"/>
  <c r="Q4034" i="1"/>
  <c r="Q4033" i="1"/>
  <c r="Q4032" i="1"/>
  <c r="Q4031" i="1"/>
  <c r="Q4030" i="1"/>
  <c r="Q4029" i="1"/>
  <c r="Q4008" i="1"/>
  <c r="Q4007" i="1"/>
  <c r="Q4006" i="1"/>
  <c r="Q4005" i="1"/>
  <c r="Q4004" i="1"/>
  <c r="Q4003" i="1"/>
  <c r="Q4002" i="1"/>
  <c r="Q4001" i="1"/>
  <c r="Q3732" i="1"/>
  <c r="Q3731" i="1"/>
  <c r="Q3730" i="1"/>
  <c r="Q3729" i="1"/>
  <c r="Q3665" i="1"/>
  <c r="Q3660" i="1"/>
  <c r="Q3659" i="1"/>
  <c r="Q3658" i="1"/>
  <c r="Q3657" i="1"/>
  <c r="Q3656" i="1"/>
  <c r="Q3655" i="1"/>
  <c r="Q3654" i="1"/>
  <c r="Q3653" i="1"/>
  <c r="Q3652" i="1"/>
  <c r="Q3651" i="1"/>
  <c r="Q3650" i="1"/>
  <c r="Q3649" i="1"/>
  <c r="Q3648" i="1"/>
  <c r="Q3647" i="1"/>
  <c r="Q3646" i="1"/>
  <c r="Q3645" i="1"/>
  <c r="Q3644" i="1"/>
  <c r="Q3643" i="1"/>
  <c r="Q3642" i="1"/>
  <c r="Q3641" i="1"/>
  <c r="Q3640" i="1"/>
  <c r="Q3639" i="1"/>
  <c r="Q3638" i="1"/>
  <c r="Q3637" i="1"/>
  <c r="Q3005" i="1"/>
  <c r="Q3004" i="1"/>
  <c r="Q3003" i="1"/>
  <c r="Q3002" i="1"/>
  <c r="Q3001" i="1"/>
  <c r="Q3000" i="1"/>
  <c r="Q2999" i="1"/>
  <c r="Q2998" i="1"/>
  <c r="Q2997" i="1"/>
  <c r="Q2996" i="1"/>
  <c r="Q2995" i="1"/>
  <c r="Q2994" i="1"/>
  <c r="Q2993" i="1"/>
  <c r="Q2992" i="1"/>
  <c r="Q2991" i="1"/>
  <c r="Q2990" i="1"/>
  <c r="Q2989" i="1"/>
  <c r="Q2988" i="1"/>
  <c r="Q2987" i="1"/>
  <c r="Q2986" i="1"/>
  <c r="Q2985" i="1"/>
  <c r="Q2984" i="1"/>
  <c r="Q2983" i="1"/>
  <c r="Q2982" i="1"/>
  <c r="Q2981" i="1"/>
  <c r="Q2980" i="1"/>
  <c r="Q2979" i="1"/>
  <c r="Q2978" i="1"/>
  <c r="Q2977" i="1"/>
  <c r="Q2976" i="1"/>
  <c r="Q2975" i="1"/>
  <c r="Q2974" i="1"/>
  <c r="Q2973" i="1"/>
  <c r="Q2972" i="1"/>
  <c r="Q2971" i="1"/>
  <c r="Q2970" i="1"/>
  <c r="Q2894" i="1"/>
  <c r="Q2893" i="1"/>
  <c r="Q2892" i="1"/>
  <c r="Q2891" i="1"/>
  <c r="Q2889" i="1"/>
  <c r="Q2888" i="1"/>
  <c r="Q2887" i="1"/>
  <c r="Q2886" i="1"/>
  <c r="Q2885" i="1"/>
  <c r="Q2884" i="1"/>
  <c r="Q2883" i="1"/>
  <c r="Q2882" i="1"/>
  <c r="Q2881" i="1"/>
  <c r="Q2481" i="1"/>
  <c r="Q2479" i="1"/>
  <c r="Q2239" i="1"/>
  <c r="Q2238" i="1"/>
  <c r="Q2237" i="1"/>
  <c r="Q2236" i="1"/>
  <c r="Q2200" i="1"/>
  <c r="Q2199" i="1"/>
  <c r="Q2198" i="1"/>
  <c r="Q2191" i="1"/>
  <c r="Q1989" i="1"/>
  <c r="Q1988" i="1"/>
  <c r="Q1987" i="1"/>
  <c r="Q1986" i="1"/>
  <c r="Q1985" i="1"/>
  <c r="Q1984" i="1"/>
  <c r="Q1983" i="1"/>
  <c r="Q1982" i="1"/>
  <c r="Q1981" i="1"/>
  <c r="Q1980" i="1"/>
  <c r="Q1979" i="1"/>
  <c r="Q1978" i="1"/>
  <c r="Q1977" i="1"/>
  <c r="Q6211" i="1"/>
  <c r="Q6206" i="1"/>
  <c r="Q6205" i="1"/>
  <c r="Q6204" i="1"/>
  <c r="Q6203" i="1"/>
  <c r="Q6202" i="1"/>
  <c r="Q6201" i="1"/>
  <c r="Q6200" i="1"/>
  <c r="Q6199" i="1"/>
  <c r="Q6198" i="1"/>
  <c r="Q6197" i="1"/>
  <c r="Q6196" i="1"/>
  <c r="Q6195" i="1"/>
  <c r="Q6194" i="1"/>
  <c r="Q6193" i="1"/>
  <c r="Q6192" i="1"/>
  <c r="Q6191" i="1"/>
  <c r="Q6190" i="1"/>
  <c r="Q6186" i="1"/>
  <c r="Q6185" i="1"/>
  <c r="Q6184" i="1"/>
  <c r="Q6183" i="1"/>
  <c r="Q5969" i="1"/>
  <c r="Q5968" i="1"/>
  <c r="Q5967" i="1"/>
  <c r="Q5966" i="1"/>
  <c r="Q5965" i="1"/>
  <c r="Q5964" i="1"/>
  <c r="Q5963" i="1"/>
  <c r="Q5962" i="1"/>
  <c r="Q5961" i="1"/>
  <c r="Q5945" i="1"/>
  <c r="Q5944" i="1"/>
  <c r="Q5943" i="1"/>
  <c r="Q5942" i="1"/>
  <c r="Q5941" i="1"/>
  <c r="Q5940" i="1"/>
  <c r="Q5939" i="1"/>
  <c r="Q5938" i="1"/>
  <c r="Q5937" i="1"/>
  <c r="Q5936" i="1"/>
  <c r="Q5935" i="1"/>
  <c r="Q5934" i="1"/>
  <c r="Q5811" i="1"/>
  <c r="Q5810" i="1"/>
  <c r="Q5809" i="1"/>
  <c r="Q5808" i="1"/>
  <c r="Q5807" i="1"/>
  <c r="Q5806" i="1"/>
  <c r="Q5805" i="1"/>
  <c r="Q5804" i="1"/>
  <c r="Q5803" i="1"/>
  <c r="Q5802" i="1"/>
  <c r="Q5798" i="1"/>
  <c r="Q5797" i="1"/>
  <c r="Q5796" i="1"/>
  <c r="Q5795" i="1"/>
  <c r="Q5794" i="1"/>
  <c r="Q5793" i="1"/>
  <c r="Q5792" i="1"/>
  <c r="Q5791" i="1"/>
  <c r="Q5790" i="1"/>
  <c r="Q5789" i="1"/>
  <c r="Q5788" i="1"/>
  <c r="Q5787" i="1"/>
  <c r="Q5786" i="1"/>
  <c r="Q5785" i="1"/>
  <c r="Q5784" i="1"/>
  <c r="Q5783" i="1"/>
  <c r="Q5782" i="1"/>
  <c r="Q5781" i="1"/>
  <c r="Q5780" i="1"/>
  <c r="Q5779" i="1"/>
  <c r="Q5778" i="1"/>
  <c r="Q5777" i="1"/>
  <c r="Q5776" i="1"/>
  <c r="Q5775" i="1"/>
  <c r="Q5774" i="1"/>
  <c r="Q5479" i="1"/>
  <c r="Q5478" i="1"/>
  <c r="Q5475" i="1"/>
  <c r="Q5474" i="1"/>
  <c r="Q5473" i="1"/>
  <c r="Q5472" i="1"/>
  <c r="Q5471" i="1"/>
  <c r="Q5470" i="1"/>
  <c r="Q5469" i="1"/>
  <c r="Q5468" i="1"/>
  <c r="Q5467" i="1"/>
  <c r="Q5466" i="1"/>
  <c r="Q5465" i="1"/>
  <c r="Q5464" i="1"/>
  <c r="Q5463" i="1"/>
  <c r="Q5462" i="1"/>
  <c r="Q5461" i="1"/>
  <c r="Q5460" i="1"/>
  <c r="Q5459" i="1"/>
  <c r="Q5431" i="1"/>
  <c r="Q5430" i="1"/>
  <c r="Q5429" i="1"/>
  <c r="Q5428" i="1"/>
  <c r="Q5427" i="1"/>
  <c r="Q5426" i="1"/>
  <c r="Q5425" i="1"/>
  <c r="Q5424" i="1"/>
  <c r="Q5423" i="1"/>
  <c r="Q5422" i="1"/>
  <c r="Q5421" i="1"/>
  <c r="Q5420" i="1"/>
  <c r="Q5419" i="1"/>
  <c r="Q5418" i="1"/>
  <c r="Q5417" i="1"/>
  <c r="Q5416" i="1"/>
  <c r="Q5415" i="1"/>
  <c r="Q5414" i="1"/>
  <c r="Q5413" i="1"/>
  <c r="Q5412" i="1"/>
  <c r="Q5411" i="1"/>
  <c r="Q5410" i="1"/>
  <c r="Q5409" i="1"/>
  <c r="Q5408" i="1"/>
  <c r="Q5407" i="1"/>
  <c r="Q5406" i="1"/>
  <c r="Q5405" i="1"/>
  <c r="Q5404" i="1"/>
  <c r="Q5403" i="1"/>
  <c r="Q5402" i="1"/>
  <c r="Q5401" i="1"/>
  <c r="Q5400" i="1"/>
  <c r="Q4819" i="1"/>
  <c r="Q4818" i="1"/>
  <c r="Q4817" i="1"/>
  <c r="Q4816" i="1"/>
  <c r="Q4815" i="1"/>
  <c r="Q4814" i="1"/>
  <c r="Q4813" i="1"/>
  <c r="Q4812" i="1"/>
  <c r="Q4811" i="1"/>
  <c r="Q4810" i="1"/>
  <c r="Q4809" i="1"/>
  <c r="Q4798" i="1"/>
  <c r="Q4797" i="1"/>
  <c r="Q4796" i="1"/>
  <c r="Q4795" i="1"/>
  <c r="Q4794" i="1"/>
  <c r="Q4793" i="1"/>
  <c r="Q4792" i="1"/>
  <c r="Q4791" i="1"/>
  <c r="Q4790" i="1"/>
  <c r="Q4789" i="1"/>
  <c r="Q4788" i="1"/>
  <c r="Q4787" i="1"/>
  <c r="Q4786" i="1"/>
  <c r="Q4630" i="1"/>
  <c r="Q4629" i="1"/>
  <c r="Q4593" i="1"/>
  <c r="Q4592" i="1"/>
  <c r="Q4591" i="1"/>
  <c r="Q4590" i="1"/>
  <c r="Q4589" i="1"/>
  <c r="Q4588" i="1"/>
  <c r="Q4587" i="1"/>
  <c r="Q4578" i="1"/>
  <c r="Q4577" i="1"/>
  <c r="Q4576" i="1"/>
  <c r="Q4571" i="1"/>
  <c r="Q4570" i="1"/>
  <c r="Q4569" i="1"/>
  <c r="Q4568" i="1"/>
  <c r="Q4567" i="1"/>
  <c r="Q4566" i="1"/>
  <c r="Q4565" i="1"/>
  <c r="Q4564" i="1"/>
  <c r="Q4563" i="1"/>
  <c r="Q4547" i="1"/>
  <c r="Q4546" i="1"/>
  <c r="Q4544" i="1"/>
  <c r="Q4543" i="1"/>
  <c r="Q4542" i="1"/>
  <c r="Q4541" i="1"/>
  <c r="Q4540" i="1"/>
  <c r="Q4539" i="1"/>
  <c r="Q4538" i="1"/>
  <c r="Q4537" i="1"/>
  <c r="Q4536" i="1"/>
  <c r="Q4535" i="1"/>
  <c r="Q4534" i="1"/>
  <c r="Q4533" i="1"/>
  <c r="Q4396" i="1"/>
  <c r="Q4395" i="1"/>
  <c r="Q4394" i="1"/>
  <c r="Q4393" i="1"/>
  <c r="Q4392" i="1"/>
  <c r="Q4391" i="1"/>
  <c r="Q4390" i="1"/>
  <c r="Q4389" i="1"/>
  <c r="Q4388" i="1"/>
  <c r="Q4387" i="1"/>
  <c r="Q4274" i="1"/>
  <c r="Q4273" i="1"/>
  <c r="Q4172" i="1"/>
  <c r="Q4171" i="1"/>
  <c r="Q4170" i="1"/>
  <c r="Q4169" i="1"/>
  <c r="Q4168" i="1"/>
  <c r="Q4167" i="1"/>
  <c r="Q4166" i="1"/>
  <c r="Q4165" i="1"/>
  <c r="Q4161" i="1"/>
  <c r="Q4160" i="1"/>
  <c r="Q4159" i="1"/>
  <c r="Q4158" i="1"/>
  <c r="Q4157" i="1"/>
  <c r="Q4156" i="1"/>
  <c r="Q4155" i="1"/>
  <c r="Q4154" i="1"/>
  <c r="Q4153" i="1"/>
  <c r="Q4152" i="1"/>
  <c r="Q4151" i="1"/>
  <c r="Q4150" i="1"/>
  <c r="Q4149" i="1"/>
  <c r="Q4148" i="1"/>
  <c r="Q4147" i="1"/>
  <c r="Q4146" i="1"/>
  <c r="Q4145" i="1"/>
  <c r="Q4144" i="1"/>
  <c r="Q4143" i="1"/>
  <c r="Q4142" i="1"/>
  <c r="Q4141" i="1"/>
  <c r="Q4140" i="1"/>
  <c r="Q4139" i="1"/>
  <c r="Q4092" i="1"/>
  <c r="Q4091" i="1"/>
  <c r="Q4090" i="1"/>
  <c r="Q4089" i="1"/>
  <c r="Q4081" i="1"/>
  <c r="Q4080" i="1"/>
  <c r="Q4079" i="1"/>
  <c r="Q4078" i="1"/>
  <c r="Q4077" i="1"/>
  <c r="Q4076" i="1"/>
  <c r="Q4075" i="1"/>
  <c r="Q4074" i="1"/>
  <c r="Q4073" i="1"/>
  <c r="Q4072" i="1"/>
  <c r="Q4071" i="1"/>
  <c r="Q4070" i="1"/>
  <c r="Q4069" i="1"/>
  <c r="Q4068" i="1"/>
  <c r="Q4067" i="1"/>
  <c r="Q4066" i="1"/>
  <c r="Q4065" i="1"/>
  <c r="Q4064" i="1"/>
  <c r="Q4063" i="1"/>
  <c r="Q4062" i="1"/>
  <c r="Q4061" i="1"/>
  <c r="Q4060" i="1"/>
  <c r="Q4059" i="1"/>
  <c r="Q4058" i="1"/>
  <c r="Q4057" i="1"/>
  <c r="Q4056" i="1"/>
  <c r="Q4055" i="1"/>
  <c r="Q4054" i="1"/>
  <c r="Q4028" i="1"/>
  <c r="Q4027" i="1"/>
  <c r="Q4026" i="1"/>
  <c r="Q4025" i="1"/>
  <c r="Q4024" i="1"/>
  <c r="Q4023" i="1"/>
  <c r="Q4022" i="1"/>
  <c r="Q4021" i="1"/>
  <c r="Q4020" i="1"/>
  <c r="Q4019" i="1"/>
  <c r="Q4018" i="1"/>
  <c r="Q4017" i="1"/>
  <c r="Q4016" i="1"/>
  <c r="Q4015" i="1"/>
  <c r="Q4014" i="1"/>
  <c r="Q4013" i="1"/>
  <c r="Q4012" i="1"/>
  <c r="Q4011" i="1"/>
  <c r="Q4010" i="1"/>
  <c r="Q4009" i="1"/>
  <c r="Q3725" i="1"/>
  <c r="Q3724" i="1"/>
  <c r="Q3723" i="1"/>
  <c r="Q3636" i="1"/>
  <c r="Q3635" i="1"/>
  <c r="Q3634" i="1"/>
  <c r="Q3633" i="1"/>
  <c r="Q3632" i="1"/>
  <c r="Q3631" i="1"/>
  <c r="Q3630" i="1"/>
  <c r="Q3629" i="1"/>
  <c r="Q3628" i="1"/>
  <c r="Q3627" i="1"/>
  <c r="Q3626" i="1"/>
  <c r="Q3625" i="1"/>
  <c r="Q3624" i="1"/>
  <c r="Q3623" i="1"/>
  <c r="Q3622" i="1"/>
  <c r="Q3621" i="1"/>
  <c r="Q3620" i="1"/>
  <c r="Q3619" i="1"/>
  <c r="Q3618" i="1"/>
  <c r="Q3617" i="1"/>
  <c r="Q3616" i="1"/>
  <c r="Q3615" i="1"/>
  <c r="Q3614" i="1"/>
  <c r="Q3613" i="1"/>
  <c r="Q3612" i="1"/>
  <c r="Q3611" i="1"/>
  <c r="Q3610" i="1"/>
  <c r="Q3609" i="1"/>
  <c r="Q3608" i="1"/>
  <c r="Q3607" i="1"/>
  <c r="Q3606" i="1"/>
  <c r="Q3605" i="1"/>
  <c r="Q3604" i="1"/>
  <c r="Q3603" i="1"/>
  <c r="Q3602" i="1"/>
  <c r="Q3601" i="1"/>
  <c r="Q3600" i="1"/>
  <c r="Q3599" i="1"/>
  <c r="Q3598" i="1"/>
  <c r="Q2969" i="1"/>
  <c r="Q2968" i="1"/>
  <c r="Q2967" i="1"/>
  <c r="Q2966" i="1"/>
  <c r="Q2965" i="1"/>
  <c r="Q2964" i="1"/>
  <c r="Q2963" i="1"/>
  <c r="Q2962" i="1"/>
  <c r="Q2961" i="1"/>
  <c r="Q2960" i="1"/>
  <c r="Q2959" i="1"/>
  <c r="Q2958" i="1"/>
  <c r="Q2957" i="1"/>
  <c r="Q2956" i="1"/>
  <c r="Q2925" i="1"/>
  <c r="Q2924" i="1"/>
  <c r="Q2923" i="1"/>
  <c r="Q2922" i="1"/>
  <c r="Q2921" i="1"/>
  <c r="Q2920" i="1"/>
  <c r="Q2919" i="1"/>
  <c r="Q2918" i="1"/>
  <c r="Q2917" i="1"/>
  <c r="Q2916" i="1"/>
  <c r="Q2915" i="1"/>
  <c r="Q2914" i="1"/>
  <c r="Q2913" i="1"/>
  <c r="Q2912" i="1"/>
  <c r="Q2911" i="1"/>
  <c r="Q2910" i="1"/>
  <c r="Q2909" i="1"/>
  <c r="Q2908" i="1"/>
  <c r="Q2907" i="1"/>
  <c r="Q2906" i="1"/>
  <c r="Q2905" i="1"/>
  <c r="Q2904" i="1"/>
  <c r="Q2903" i="1"/>
  <c r="Q2902" i="1"/>
  <c r="Q2901" i="1"/>
  <c r="Q2900" i="1"/>
  <c r="Q2899" i="1"/>
  <c r="Q2898" i="1"/>
  <c r="Q2897" i="1"/>
  <c r="Q2896" i="1"/>
  <c r="Q2895" i="1"/>
  <c r="Q2890" i="1"/>
  <c r="Q2480" i="1"/>
  <c r="Q2478" i="1"/>
  <c r="Q2477" i="1"/>
  <c r="Q2476" i="1"/>
  <c r="Q2475" i="1"/>
  <c r="Q2474" i="1"/>
  <c r="Q2244" i="1"/>
  <c r="Q2243" i="1"/>
  <c r="Q2242" i="1"/>
  <c r="Q2241" i="1"/>
  <c r="Q2240" i="1"/>
  <c r="Q2197" i="1"/>
  <c r="Q2196" i="1"/>
  <c r="Q2195" i="1"/>
  <c r="Q2194" i="1"/>
  <c r="Q2193" i="1"/>
  <c r="Q2192" i="1"/>
  <c r="Q1976" i="1"/>
  <c r="Q1975" i="1"/>
  <c r="Q1974" i="1"/>
  <c r="Q1973" i="1"/>
  <c r="Q1972" i="1"/>
  <c r="Q1971" i="1"/>
  <c r="Q1970" i="1"/>
  <c r="Q1969" i="1"/>
  <c r="Q1968" i="1"/>
  <c r="Q1967" i="1"/>
  <c r="Q1966" i="1"/>
  <c r="Q1965" i="1"/>
  <c r="Q6187" i="1"/>
  <c r="Q6181" i="1"/>
  <c r="Q6175" i="1"/>
  <c r="Q6030" i="1"/>
  <c r="Q6029" i="1"/>
  <c r="Q5643" i="1"/>
  <c r="Q5642" i="1"/>
  <c r="Q5641" i="1"/>
  <c r="Q5640" i="1"/>
  <c r="Q5639" i="1"/>
  <c r="Q5638" i="1"/>
  <c r="Q5632" i="1"/>
  <c r="Q5631" i="1"/>
  <c r="Q5374" i="1"/>
  <c r="Q5361" i="1"/>
  <c r="Q5351" i="1"/>
  <c r="Q5287" i="1"/>
  <c r="Q5276" i="1"/>
  <c r="Q5275" i="1"/>
  <c r="Q5274" i="1"/>
  <c r="Q5273" i="1"/>
  <c r="Q5272" i="1"/>
  <c r="Q5271" i="1"/>
  <c r="Q5270" i="1"/>
  <c r="Q5024" i="1"/>
  <c r="Q5023" i="1"/>
  <c r="Q5018" i="1"/>
  <c r="Q4928" i="1"/>
  <c r="Q4927" i="1"/>
  <c r="Q4926" i="1"/>
  <c r="Q4910" i="1"/>
  <c r="Q4909" i="1"/>
  <c r="Q4908" i="1"/>
  <c r="Q4907" i="1"/>
  <c r="Q4906" i="1"/>
  <c r="Q4905" i="1"/>
  <c r="Q4722" i="1"/>
  <c r="Q4690" i="1"/>
  <c r="Q4689" i="1"/>
  <c r="Q4688" i="1"/>
  <c r="Q4419" i="1"/>
  <c r="Q4418" i="1"/>
  <c r="Q4417" i="1"/>
  <c r="Q4416" i="1"/>
  <c r="Q4415" i="1"/>
  <c r="Q4232" i="1"/>
  <c r="Q4116" i="1"/>
  <c r="Q4107" i="1"/>
  <c r="Q4098" i="1"/>
  <c r="Q4097" i="1"/>
  <c r="Q3775" i="1"/>
  <c r="Q3774" i="1"/>
  <c r="Q3719" i="1"/>
  <c r="Q3718" i="1"/>
  <c r="Q3717" i="1"/>
  <c r="Q3716" i="1"/>
  <c r="Q3715" i="1"/>
  <c r="Q3714" i="1"/>
  <c r="Q3231" i="1"/>
  <c r="Q3230" i="1"/>
  <c r="Q3229" i="1"/>
  <c r="Q3228" i="1"/>
  <c r="Q3227" i="1"/>
  <c r="Q3047" i="1"/>
  <c r="Q3046" i="1"/>
  <c r="Q3043" i="1"/>
  <c r="Q3042" i="1"/>
  <c r="Q3036" i="1"/>
  <c r="Q3035" i="1"/>
  <c r="Q3034" i="1"/>
  <c r="Q3033" i="1"/>
  <c r="Q3032" i="1"/>
  <c r="Q3031" i="1"/>
  <c r="Q3030" i="1"/>
  <c r="Q3029" i="1"/>
  <c r="Q3028" i="1"/>
  <c r="Q3027" i="1"/>
  <c r="Q3026" i="1"/>
  <c r="Q3025" i="1"/>
  <c r="Q2708" i="1"/>
  <c r="Q2707" i="1"/>
  <c r="Q2706" i="1"/>
  <c r="Q2705" i="1"/>
  <c r="Q2582" i="1"/>
  <c r="Q2581" i="1"/>
  <c r="Q2580" i="1"/>
  <c r="Q2579" i="1"/>
  <c r="Q2578" i="1"/>
  <c r="Q2577" i="1"/>
  <c r="Q2576" i="1"/>
  <c r="Q2575" i="1"/>
  <c r="Q2574" i="1"/>
  <c r="Q2255" i="1"/>
  <c r="Q2254" i="1"/>
  <c r="Q2253" i="1"/>
  <c r="Q2252" i="1"/>
  <c r="Q2251" i="1"/>
  <c r="Q2250" i="1"/>
  <c r="Q2205" i="1"/>
  <c r="Q2204" i="1"/>
  <c r="Q2203" i="1"/>
  <c r="Q2201" i="1"/>
  <c r="Q1964" i="1"/>
  <c r="Q1963" i="1"/>
  <c r="Q6262" i="1"/>
  <c r="Q6261" i="1"/>
  <c r="Q6260" i="1"/>
  <c r="Q6259" i="1"/>
  <c r="Q6258" i="1"/>
  <c r="Q6257" i="1"/>
  <c r="Q6060" i="1"/>
  <c r="Q6059" i="1"/>
  <c r="Q6058" i="1"/>
  <c r="Q6057" i="1"/>
  <c r="Q6056" i="1"/>
  <c r="Q6055" i="1"/>
  <c r="Q6054" i="1"/>
  <c r="Q6053" i="1"/>
  <c r="Q6052" i="1"/>
  <c r="Q6051" i="1"/>
  <c r="Q6050" i="1"/>
  <c r="Q6049" i="1"/>
  <c r="Q6048" i="1"/>
  <c r="Q6047" i="1"/>
  <c r="Q6046" i="1"/>
  <c r="Q6045" i="1"/>
  <c r="Q6044" i="1"/>
  <c r="Q6043" i="1"/>
  <c r="Q6042" i="1"/>
  <c r="Q6041" i="1"/>
  <c r="Q6040" i="1"/>
  <c r="Q6039" i="1"/>
  <c r="Q6038" i="1"/>
  <c r="Q6037" i="1"/>
  <c r="Q6036" i="1"/>
  <c r="Q6035" i="1"/>
  <c r="Q6034" i="1"/>
  <c r="Q6033" i="1"/>
  <c r="Q6032" i="1"/>
  <c r="Q6031" i="1"/>
  <c r="Q5918" i="1"/>
  <c r="Q5857" i="1"/>
  <c r="Q5856" i="1"/>
  <c r="Q5855" i="1"/>
  <c r="Q5854" i="1"/>
  <c r="Q5853" i="1"/>
  <c r="Q5852" i="1"/>
  <c r="Q5851" i="1"/>
  <c r="Q5850" i="1"/>
  <c r="Q5849" i="1"/>
  <c r="Q5848" i="1"/>
  <c r="Q5847" i="1"/>
  <c r="Q5846" i="1"/>
  <c r="Q5845" i="1"/>
  <c r="Q5844" i="1"/>
  <c r="Q5843" i="1"/>
  <c r="Q5842" i="1"/>
  <c r="Q5841" i="1"/>
  <c r="Q5840" i="1"/>
  <c r="Q5651" i="1"/>
  <c r="Q5650" i="1"/>
  <c r="Q5649" i="1"/>
  <c r="Q5648" i="1"/>
  <c r="Q5647" i="1"/>
  <c r="Q5646" i="1"/>
  <c r="Q5645" i="1"/>
  <c r="Q5644" i="1"/>
  <c r="Q5637" i="1"/>
  <c r="Q5636" i="1"/>
  <c r="Q5635" i="1"/>
  <c r="Q5634" i="1"/>
  <c r="Q5633" i="1"/>
  <c r="Q5613" i="1"/>
  <c r="Q5612" i="1"/>
  <c r="Q5611" i="1"/>
  <c r="Q5610" i="1"/>
  <c r="Q5609" i="1"/>
  <c r="Q5608" i="1"/>
  <c r="Q5607" i="1"/>
  <c r="Q5573" i="1"/>
  <c r="Q5377" i="1"/>
  <c r="Q5376" i="1"/>
  <c r="Q5375" i="1"/>
  <c r="Q5363" i="1"/>
  <c r="Q5317" i="1"/>
  <c r="Q5316" i="1"/>
  <c r="Q5315" i="1"/>
  <c r="Q5314" i="1"/>
  <c r="Q5313" i="1"/>
  <c r="Q5312" i="1"/>
  <c r="Q5311" i="1"/>
  <c r="Q5310" i="1"/>
  <c r="Q5309" i="1"/>
  <c r="Q5308" i="1"/>
  <c r="Q5307" i="1"/>
  <c r="Q5306" i="1"/>
  <c r="Q5305" i="1"/>
  <c r="Q5304" i="1"/>
  <c r="Q5303" i="1"/>
  <c r="Q5302" i="1"/>
  <c r="Q5301" i="1"/>
  <c r="Q5300" i="1"/>
  <c r="Q5299" i="1"/>
  <c r="Q5298" i="1"/>
  <c r="Q5297" i="1"/>
  <c r="Q5296" i="1"/>
  <c r="Q5295" i="1"/>
  <c r="Q5294" i="1"/>
  <c r="Q5293" i="1"/>
  <c r="Q5292" i="1"/>
  <c r="Q5291" i="1"/>
  <c r="Q5290" i="1"/>
  <c r="Q5289" i="1"/>
  <c r="Q5288" i="1"/>
  <c r="Q5286" i="1"/>
  <c r="Q5285" i="1"/>
  <c r="Q5284" i="1"/>
  <c r="Q5283" i="1"/>
  <c r="Q5282" i="1"/>
  <c r="Q5281" i="1"/>
  <c r="Q5280" i="1"/>
  <c r="Q5279" i="1"/>
  <c r="Q5278" i="1"/>
  <c r="Q5277" i="1"/>
  <c r="Q5029" i="1"/>
  <c r="Q5028" i="1"/>
  <c r="Q5027" i="1"/>
  <c r="Q5026" i="1"/>
  <c r="Q5025" i="1"/>
  <c r="Q5022" i="1"/>
  <c r="Q5021" i="1"/>
  <c r="Q5020" i="1"/>
  <c r="Q5019" i="1"/>
  <c r="Q4925" i="1"/>
  <c r="Q4924" i="1"/>
  <c r="Q4923" i="1"/>
  <c r="Q4922" i="1"/>
  <c r="Q4921" i="1"/>
  <c r="Q4920" i="1"/>
  <c r="Q4919" i="1"/>
  <c r="Q4918" i="1"/>
  <c r="Q4917" i="1"/>
  <c r="Q4916" i="1"/>
  <c r="Q4915" i="1"/>
  <c r="Q4914" i="1"/>
  <c r="Q4913" i="1"/>
  <c r="Q4912" i="1"/>
  <c r="Q4911" i="1"/>
  <c r="Q4904" i="1"/>
  <c r="Q4903" i="1"/>
  <c r="Q4902" i="1"/>
  <c r="Q4901" i="1"/>
  <c r="Q4900" i="1"/>
  <c r="Q4899" i="1"/>
  <c r="Q4898" i="1"/>
  <c r="Q4897" i="1"/>
  <c r="Q4896" i="1"/>
  <c r="Q4895" i="1"/>
  <c r="Q4894" i="1"/>
  <c r="Q4893" i="1"/>
  <c r="Q4892" i="1"/>
  <c r="Q4891" i="1"/>
  <c r="Q4890" i="1"/>
  <c r="Q4889" i="1"/>
  <c r="Q4774" i="1"/>
  <c r="Q4773" i="1"/>
  <c r="Q4772" i="1"/>
  <c r="Q4771" i="1"/>
  <c r="Q4770" i="1"/>
  <c r="Q4769" i="1"/>
  <c r="Q4768" i="1"/>
  <c r="Q4767" i="1"/>
  <c r="Q4766" i="1"/>
  <c r="Q4765" i="1"/>
  <c r="Q4764" i="1"/>
  <c r="Q4763" i="1"/>
  <c r="Q4762" i="1"/>
  <c r="Q4745" i="1"/>
  <c r="Q4744" i="1"/>
  <c r="Q4743" i="1"/>
  <c r="Q4742" i="1"/>
  <c r="Q4741" i="1"/>
  <c r="Q4740" i="1"/>
  <c r="Q4739" i="1"/>
  <c r="Q4738" i="1"/>
  <c r="Q4737" i="1"/>
  <c r="Q4736" i="1"/>
  <c r="Q4735" i="1"/>
  <c r="Q4734" i="1"/>
  <c r="Q4733" i="1"/>
  <c r="Q4732" i="1"/>
  <c r="Q4731" i="1"/>
  <c r="Q4730" i="1"/>
  <c r="Q4729" i="1"/>
  <c r="Q4728" i="1"/>
  <c r="Q4727" i="1"/>
  <c r="Q4726" i="1"/>
  <c r="Q4725" i="1"/>
  <c r="Q4724" i="1"/>
  <c r="Q4723" i="1"/>
  <c r="Q4721" i="1"/>
  <c r="Q4720" i="1"/>
  <c r="Q4719" i="1"/>
  <c r="Q4718" i="1"/>
  <c r="Q4717" i="1"/>
  <c r="Q4716" i="1"/>
  <c r="Q4715" i="1"/>
  <c r="Q4714" i="1"/>
  <c r="Q4713" i="1"/>
  <c r="Q4712" i="1"/>
  <c r="Q4711" i="1"/>
  <c r="Q4710" i="1"/>
  <c r="Q4709" i="1"/>
  <c r="Q4708" i="1"/>
  <c r="Q4707" i="1"/>
  <c r="Q4706" i="1"/>
  <c r="Q4705" i="1"/>
  <c r="Q4704" i="1"/>
  <c r="Q4703" i="1"/>
  <c r="Q4702" i="1"/>
  <c r="Q4701" i="1"/>
  <c r="Q4700" i="1"/>
  <c r="Q4699" i="1"/>
  <c r="Q4698" i="1"/>
  <c r="Q4697" i="1"/>
  <c r="Q4696" i="1"/>
  <c r="Q4695" i="1"/>
  <c r="Q4694" i="1"/>
  <c r="Q4693" i="1"/>
  <c r="Q4692" i="1"/>
  <c r="Q4691" i="1"/>
  <c r="Q4498" i="1"/>
  <c r="Q4497" i="1"/>
  <c r="Q4496" i="1"/>
  <c r="Q4495" i="1"/>
  <c r="Q4479" i="1"/>
  <c r="Q4478" i="1"/>
  <c r="Q4477" i="1"/>
  <c r="Q4476" i="1"/>
  <c r="Q4475" i="1"/>
  <c r="Q4474" i="1"/>
  <c r="Q4473" i="1"/>
  <c r="Q4472" i="1"/>
  <c r="Q4471" i="1"/>
  <c r="Q4442" i="1"/>
  <c r="Q4441" i="1"/>
  <c r="Q4440" i="1"/>
  <c r="Q4439" i="1"/>
  <c r="Q4438" i="1"/>
  <c r="Q4437" i="1"/>
  <c r="Q4436" i="1"/>
  <c r="Q4435" i="1"/>
  <c r="Q4434" i="1"/>
  <c r="Q4433" i="1"/>
  <c r="Q4432" i="1"/>
  <c r="Q4431" i="1"/>
  <c r="Q4430" i="1"/>
  <c r="Q4429" i="1"/>
  <c r="Q4428" i="1"/>
  <c r="Q4427" i="1"/>
  <c r="Q4426" i="1"/>
  <c r="Q4425" i="1"/>
  <c r="Q4424" i="1"/>
  <c r="Q4423" i="1"/>
  <c r="Q4422" i="1"/>
  <c r="Q4421" i="1"/>
  <c r="Q4420" i="1"/>
  <c r="Q4280" i="1"/>
  <c r="Q4279" i="1"/>
  <c r="Q4278" i="1"/>
  <c r="Q4277" i="1"/>
  <c r="Q4276" i="1"/>
  <c r="Q4275" i="1"/>
  <c r="Q4243" i="1"/>
  <c r="Q4242" i="1"/>
  <c r="Q4241" i="1"/>
  <c r="Q4240" i="1"/>
  <c r="Q4239" i="1"/>
  <c r="Q4238" i="1"/>
  <c r="Q4237" i="1"/>
  <c r="Q4236" i="1"/>
  <c r="Q4235" i="1"/>
  <c r="Q4234" i="1"/>
  <c r="Q4233" i="1"/>
  <c r="Q4231" i="1"/>
  <c r="Q4230" i="1"/>
  <c r="Q4229" i="1"/>
  <c r="Q4228" i="1"/>
  <c r="Q4227" i="1"/>
  <c r="Q4226" i="1"/>
  <c r="Q4225" i="1"/>
  <c r="Q4224" i="1"/>
  <c r="Q4223" i="1"/>
  <c r="Q4222" i="1"/>
  <c r="Q4221" i="1"/>
  <c r="Q4220" i="1"/>
  <c r="Q4219" i="1"/>
  <c r="Q4218" i="1"/>
  <c r="Q4138" i="1"/>
  <c r="Q4137" i="1"/>
  <c r="Q4136" i="1"/>
  <c r="Q4135" i="1"/>
  <c r="Q4134" i="1"/>
  <c r="Q4133" i="1"/>
  <c r="Q4132" i="1"/>
  <c r="Q4131" i="1"/>
  <c r="Q4130" i="1"/>
  <c r="Q4129" i="1"/>
  <c r="Q4128" i="1"/>
  <c r="Q4127" i="1"/>
  <c r="Q4126" i="1"/>
  <c r="Q4125" i="1"/>
  <c r="Q4124" i="1"/>
  <c r="Q4123" i="1"/>
  <c r="Q4122" i="1"/>
  <c r="Q4121" i="1"/>
  <c r="Q4120" i="1"/>
  <c r="Q4119" i="1"/>
  <c r="Q4118" i="1"/>
  <c r="Q4117" i="1"/>
  <c r="Q4115" i="1"/>
  <c r="Q4114" i="1"/>
  <c r="Q4113" i="1"/>
  <c r="Q4112" i="1"/>
  <c r="Q4111" i="1"/>
  <c r="Q4110" i="1"/>
  <c r="Q4109" i="1"/>
  <c r="Q4108" i="1"/>
  <c r="Q4106" i="1"/>
  <c r="Q4105" i="1"/>
  <c r="Q4104" i="1"/>
  <c r="Q4103" i="1"/>
  <c r="Q4102" i="1"/>
  <c r="Q4101" i="1"/>
  <c r="Q4100" i="1"/>
  <c r="Q4099" i="1"/>
  <c r="Q3773" i="1"/>
  <c r="Q3772" i="1"/>
  <c r="Q3771" i="1"/>
  <c r="Q3770" i="1"/>
  <c r="Q3769" i="1"/>
  <c r="Q3768" i="1"/>
  <c r="Q3713" i="1"/>
  <c r="Q3712" i="1"/>
  <c r="Q3711" i="1"/>
  <c r="Q3710" i="1"/>
  <c r="Q3709" i="1"/>
  <c r="Q3708" i="1"/>
  <c r="Q3707" i="1"/>
  <c r="Q3706" i="1"/>
  <c r="Q3705" i="1"/>
  <c r="Q3704" i="1"/>
  <c r="Q3703" i="1"/>
  <c r="Q3702" i="1"/>
  <c r="Q3701" i="1"/>
  <c r="Q3700" i="1"/>
  <c r="Q3699" i="1"/>
  <c r="Q3698" i="1"/>
  <c r="Q3697" i="1"/>
  <c r="Q3696" i="1"/>
  <c r="Q3695" i="1"/>
  <c r="Q3694" i="1"/>
  <c r="Q3693" i="1"/>
  <c r="Q3692" i="1"/>
  <c r="Q3691" i="1"/>
  <c r="Q3690" i="1"/>
  <c r="Q3689" i="1"/>
  <c r="Q3688" i="1"/>
  <c r="Q3687" i="1"/>
  <c r="Q3686" i="1"/>
  <c r="Q3685" i="1"/>
  <c r="Q3684" i="1"/>
  <c r="Q3683" i="1"/>
  <c r="Q3682" i="1"/>
  <c r="Q3681" i="1"/>
  <c r="Q3680" i="1"/>
  <c r="Q3679" i="1"/>
  <c r="Q3678" i="1"/>
  <c r="Q3677" i="1"/>
  <c r="Q3676" i="1"/>
  <c r="Q3675" i="1"/>
  <c r="Q3674" i="1"/>
  <c r="Q3673" i="1"/>
  <c r="Q3672" i="1"/>
  <c r="Q3671" i="1"/>
  <c r="Q3670" i="1"/>
  <c r="Q3226" i="1"/>
  <c r="Q3225" i="1"/>
  <c r="Q3224" i="1"/>
  <c r="Q3223" i="1"/>
  <c r="Q3222" i="1"/>
  <c r="Q3221" i="1"/>
  <c r="Q3220" i="1"/>
  <c r="Q3219" i="1"/>
  <c r="Q3103" i="1"/>
  <c r="Q3102" i="1"/>
  <c r="Q3085" i="1"/>
  <c r="Q3084" i="1"/>
  <c r="Q3083" i="1"/>
  <c r="Q3082" i="1"/>
  <c r="Q3081" i="1"/>
  <c r="Q3080" i="1"/>
  <c r="Q3079" i="1"/>
  <c r="Q3078" i="1"/>
  <c r="Q3077" i="1"/>
  <c r="Q3076" i="1"/>
  <c r="Q3075" i="1"/>
  <c r="Q3074" i="1"/>
  <c r="Q3073" i="1"/>
  <c r="Q3072" i="1"/>
  <c r="Q3071" i="1"/>
  <c r="Q3070" i="1"/>
  <c r="Q3069" i="1"/>
  <c r="Q3068" i="1"/>
  <c r="Q3067" i="1"/>
  <c r="Q3066" i="1"/>
  <c r="Q3065" i="1"/>
  <c r="Q3064" i="1"/>
  <c r="Q3063" i="1"/>
  <c r="Q3062" i="1"/>
  <c r="Q3061" i="1"/>
  <c r="Q3060" i="1"/>
  <c r="Q3059" i="1"/>
  <c r="Q3058" i="1"/>
  <c r="Q3057" i="1"/>
  <c r="Q3056" i="1"/>
  <c r="Q3055" i="1"/>
  <c r="Q3054" i="1"/>
  <c r="Q3053" i="1"/>
  <c r="Q3052" i="1"/>
  <c r="Q3051" i="1"/>
  <c r="Q3050" i="1"/>
  <c r="Q3049" i="1"/>
  <c r="Q3048" i="1"/>
  <c r="Q3045" i="1"/>
  <c r="Q3044" i="1"/>
  <c r="Q3041" i="1"/>
  <c r="Q3040" i="1"/>
  <c r="Q3039" i="1"/>
  <c r="Q3038" i="1"/>
  <c r="Q3037" i="1"/>
  <c r="Q2717" i="1"/>
  <c r="Q2716" i="1"/>
  <c r="Q2715" i="1"/>
  <c r="Q2714" i="1"/>
  <c r="Q2713" i="1"/>
  <c r="Q2712" i="1"/>
  <c r="Q2711" i="1"/>
  <c r="Q2710" i="1"/>
  <c r="Q2709" i="1"/>
  <c r="Q2573" i="1"/>
  <c r="Q2572" i="1"/>
  <c r="Q2571" i="1"/>
  <c r="Q2570" i="1"/>
  <c r="Q2569" i="1"/>
  <c r="Q2568" i="1"/>
  <c r="Q2567" i="1"/>
  <c r="Q2566" i="1"/>
  <c r="Q2565" i="1"/>
  <c r="Q2564" i="1"/>
  <c r="Q2563" i="1"/>
  <c r="Q2562" i="1"/>
  <c r="Q2561" i="1"/>
  <c r="Q2560" i="1"/>
  <c r="Q2559" i="1"/>
  <c r="Q2558" i="1"/>
  <c r="Q2557" i="1"/>
  <c r="Q2556" i="1"/>
  <c r="Q2555" i="1"/>
  <c r="Q2554" i="1"/>
  <c r="Q2553" i="1"/>
  <c r="Q2552" i="1"/>
  <c r="Q2551" i="1"/>
  <c r="Q2550" i="1"/>
  <c r="Q2549" i="1"/>
  <c r="Q2548" i="1"/>
  <c r="Q2547" i="1"/>
  <c r="Q2546" i="1"/>
  <c r="Q2545" i="1"/>
  <c r="Q2544" i="1"/>
  <c r="Q2543" i="1"/>
  <c r="Q2542" i="1"/>
  <c r="Q2541" i="1"/>
  <c r="Q2540" i="1"/>
  <c r="Q2539" i="1"/>
  <c r="Q2538" i="1"/>
  <c r="Q2537" i="1"/>
  <c r="Q2536" i="1"/>
  <c r="Q2535" i="1"/>
  <c r="Q2534" i="1"/>
  <c r="Q2533" i="1"/>
  <c r="Q2532" i="1"/>
  <c r="Q2531" i="1"/>
  <c r="Q2530" i="1"/>
  <c r="Q2529" i="1"/>
  <c r="Q2528" i="1"/>
  <c r="Q2527" i="1"/>
  <c r="Q2249" i="1"/>
  <c r="Q2248" i="1"/>
  <c r="Q2247" i="1"/>
  <c r="Q2246" i="1"/>
  <c r="Q2245" i="1"/>
  <c r="Q2215" i="1"/>
  <c r="Q2214" i="1"/>
  <c r="Q2213" i="1"/>
  <c r="Q2212" i="1"/>
  <c r="Q2211" i="1"/>
  <c r="Q2210" i="1"/>
  <c r="Q2209" i="1"/>
  <c r="Q2208" i="1"/>
  <c r="Q2207" i="1"/>
  <c r="Q2206" i="1"/>
  <c r="Q2202" i="1"/>
  <c r="Q1962" i="1"/>
  <c r="Q1961" i="1"/>
  <c r="Q1960" i="1"/>
  <c r="Q1959" i="1"/>
  <c r="Q1958" i="1"/>
  <c r="Q6219" i="1"/>
  <c r="Q6218" i="1"/>
  <c r="Q6217" i="1"/>
  <c r="Q6216" i="1"/>
  <c r="Q6174" i="1"/>
  <c r="Q6173" i="1"/>
  <c r="Q6172" i="1"/>
  <c r="Q6171" i="1"/>
  <c r="Q6170" i="1"/>
  <c r="Q6162" i="1"/>
  <c r="Q6161" i="1"/>
  <c r="Q6102" i="1"/>
  <c r="Q6101" i="1"/>
  <c r="Q6100" i="1"/>
  <c r="Q6099" i="1"/>
  <c r="Q6098" i="1"/>
  <c r="Q6097" i="1"/>
  <c r="Q6096" i="1"/>
  <c r="Q6095" i="1"/>
  <c r="Q6094" i="1"/>
  <c r="Q6093" i="1"/>
  <c r="Q6092" i="1"/>
  <c r="Q6091" i="1"/>
  <c r="Q6090" i="1"/>
  <c r="Q6089" i="1"/>
  <c r="Q6088" i="1"/>
  <c r="Q6087" i="1"/>
  <c r="Q6086" i="1"/>
  <c r="Q6085" i="1"/>
  <c r="Q6084" i="1"/>
  <c r="Q6083" i="1"/>
  <c r="Q6082" i="1"/>
  <c r="Q6081" i="1"/>
  <c r="Q6080" i="1"/>
  <c r="Q6079" i="1"/>
  <c r="Q6078" i="1"/>
  <c r="Q6077" i="1"/>
  <c r="Q6076" i="1"/>
  <c r="Q6075" i="1"/>
  <c r="Q6074" i="1"/>
  <c r="Q6073" i="1"/>
  <c r="Q6072" i="1"/>
  <c r="Q6071" i="1"/>
  <c r="Q6070" i="1"/>
  <c r="Q6069" i="1"/>
  <c r="Q6068" i="1"/>
  <c r="Q6067" i="1"/>
  <c r="Q6066" i="1"/>
  <c r="Q6065" i="1"/>
  <c r="Q6064" i="1"/>
  <c r="Q6063" i="1"/>
  <c r="Q6062" i="1"/>
  <c r="Q6061" i="1"/>
  <c r="Q5764" i="1"/>
  <c r="Q5763" i="1"/>
  <c r="Q5762" i="1"/>
  <c r="Q5761" i="1"/>
  <c r="Q5760" i="1"/>
  <c r="Q5759" i="1"/>
  <c r="Q5758" i="1"/>
  <c r="Q5757" i="1"/>
  <c r="Q5756" i="1"/>
  <c r="Q5753" i="1"/>
  <c r="Q5752" i="1"/>
  <c r="Q5751" i="1"/>
  <c r="Q5750" i="1"/>
  <c r="Q5749" i="1"/>
  <c r="Q5748" i="1"/>
  <c r="Q5747" i="1"/>
  <c r="Q5746" i="1"/>
  <c r="Q5745" i="1"/>
  <c r="Q5744" i="1"/>
  <c r="Q5743" i="1"/>
  <c r="Q5742" i="1"/>
  <c r="Q5741" i="1"/>
  <c r="Q5740" i="1"/>
  <c r="Q5739" i="1"/>
  <c r="Q5738" i="1"/>
  <c r="Q5737" i="1"/>
  <c r="Q5736" i="1"/>
  <c r="Q5732" i="1"/>
  <c r="Q5731" i="1"/>
  <c r="Q5730" i="1"/>
  <c r="Q5729" i="1"/>
  <c r="Q5728" i="1"/>
  <c r="Q5727" i="1"/>
  <c r="Q5726" i="1"/>
  <c r="Q5725" i="1"/>
  <c r="Q5724" i="1"/>
  <c r="Q5723" i="1"/>
  <c r="Q5722" i="1"/>
  <c r="Q5721" i="1"/>
  <c r="Q5720" i="1"/>
  <c r="Q5719" i="1"/>
  <c r="Q5718" i="1"/>
  <c r="Q5717" i="1"/>
  <c r="Q5716" i="1"/>
  <c r="Q5715" i="1"/>
  <c r="Q5714" i="1"/>
  <c r="Q5713" i="1"/>
  <c r="Q5712" i="1"/>
  <c r="Q5711" i="1"/>
  <c r="Q5710" i="1"/>
  <c r="Q5709" i="1"/>
  <c r="Q5708" i="1"/>
  <c r="Q5707" i="1"/>
  <c r="Q5606" i="1"/>
  <c r="Q5592" i="1"/>
  <c r="Q5591" i="1"/>
  <c r="Q5590" i="1"/>
  <c r="Q5589" i="1"/>
  <c r="Q5588" i="1"/>
  <c r="Q5587" i="1"/>
  <c r="Q5586" i="1"/>
  <c r="Q5585" i="1"/>
  <c r="Q5579" i="1"/>
  <c r="Q5578" i="1"/>
  <c r="Q5577" i="1"/>
  <c r="Q5576" i="1"/>
  <c r="Q5575" i="1"/>
  <c r="Q5574" i="1"/>
  <c r="Q5554" i="1"/>
  <c r="Q5553" i="1"/>
  <c r="Q5552" i="1"/>
  <c r="Q5551" i="1"/>
  <c r="Q5550" i="1"/>
  <c r="Q5549" i="1"/>
  <c r="Q5548" i="1"/>
  <c r="Q5547" i="1"/>
  <c r="Q5546" i="1"/>
  <c r="Q5545" i="1"/>
  <c r="Q5544" i="1"/>
  <c r="Q5543" i="1"/>
  <c r="Q5535" i="1"/>
  <c r="Q5534" i="1"/>
  <c r="Q5533" i="1"/>
  <c r="Q5532" i="1"/>
  <c r="Q5531" i="1"/>
  <c r="Q5530" i="1"/>
  <c r="Q5529" i="1"/>
  <c r="Q5528" i="1"/>
  <c r="Q5527" i="1"/>
  <c r="Q5526" i="1"/>
  <c r="Q5525" i="1"/>
  <c r="Q5524" i="1"/>
  <c r="Q5523" i="1"/>
  <c r="Q5522" i="1"/>
  <c r="Q5521" i="1"/>
  <c r="Q5520" i="1"/>
  <c r="Q5519" i="1"/>
  <c r="Q5518" i="1"/>
  <c r="Q5517" i="1"/>
  <c r="Q5516" i="1"/>
  <c r="Q5515" i="1"/>
  <c r="Q5514" i="1"/>
  <c r="Q5513" i="1"/>
  <c r="Q5512" i="1"/>
  <c r="Q5511" i="1"/>
  <c r="Q5510" i="1"/>
  <c r="Q5509" i="1"/>
  <c r="Q5508" i="1"/>
  <c r="Q5507" i="1"/>
  <c r="Q5506" i="1"/>
  <c r="Q5505" i="1"/>
  <c r="Q5504" i="1"/>
  <c r="Q5503" i="1"/>
  <c r="Q5502" i="1"/>
  <c r="Q5501" i="1"/>
  <c r="Q5500" i="1"/>
  <c r="Q5499" i="1"/>
  <c r="Q5120" i="1"/>
  <c r="Q5119" i="1"/>
  <c r="Q5118" i="1"/>
  <c r="Q5117" i="1"/>
  <c r="Q5116" i="1"/>
  <c r="Q5115" i="1"/>
  <c r="Q5114" i="1"/>
  <c r="Q5113" i="1"/>
  <c r="Q5112" i="1"/>
  <c r="Q5111" i="1"/>
  <c r="Q5110" i="1"/>
  <c r="Q5051" i="1"/>
  <c r="Q5050" i="1"/>
  <c r="Q5049" i="1"/>
  <c r="Q5048" i="1"/>
  <c r="Q5047" i="1"/>
  <c r="Q5045" i="1"/>
  <c r="Q5044" i="1"/>
  <c r="Q5043" i="1"/>
  <c r="Q5042" i="1"/>
  <c r="Q5041" i="1"/>
  <c r="Q5040" i="1"/>
  <c r="Q5039" i="1"/>
  <c r="Q5038" i="1"/>
  <c r="Q5037" i="1"/>
  <c r="Q5036" i="1"/>
  <c r="Q5035" i="1"/>
  <c r="Q5034" i="1"/>
  <c r="Q5033" i="1"/>
  <c r="Q5032" i="1"/>
  <c r="Q5031" i="1"/>
  <c r="Q5030" i="1"/>
  <c r="Q4972" i="1"/>
  <c r="Q4971" i="1"/>
  <c r="Q4970" i="1"/>
  <c r="Q4969" i="1"/>
  <c r="Q4968" i="1"/>
  <c r="Q4967" i="1"/>
  <c r="Q4966" i="1"/>
  <c r="Q4965" i="1"/>
  <c r="Q4964" i="1"/>
  <c r="Q4963" i="1"/>
  <c r="Q4962" i="1"/>
  <c r="Q4961" i="1"/>
  <c r="Q4960" i="1"/>
  <c r="Q4951" i="1"/>
  <c r="Q4950" i="1"/>
  <c r="Q4949" i="1"/>
  <c r="Q4948" i="1"/>
  <c r="Q4947" i="1"/>
  <c r="Q4946" i="1"/>
  <c r="Q4945" i="1"/>
  <c r="Q4944" i="1"/>
  <c r="Q4943" i="1"/>
  <c r="Q4942" i="1"/>
  <c r="Q4941" i="1"/>
  <c r="Q4940" i="1"/>
  <c r="Q4939" i="1"/>
  <c r="Q4761" i="1"/>
  <c r="Q4760" i="1"/>
  <c r="Q4759" i="1"/>
  <c r="Q4758" i="1"/>
  <c r="Q4756" i="1"/>
  <c r="Q4755" i="1"/>
  <c r="Q4754" i="1"/>
  <c r="Q4753" i="1"/>
  <c r="Q4752" i="1"/>
  <c r="Q4751" i="1"/>
  <c r="Q4750" i="1"/>
  <c r="Q4747" i="1"/>
  <c r="Q4746" i="1"/>
  <c r="Q4682" i="1"/>
  <c r="Q4681" i="1"/>
  <c r="Q4680" i="1"/>
  <c r="Q4679" i="1"/>
  <c r="Q4678" i="1"/>
  <c r="Q4677" i="1"/>
  <c r="Q4676" i="1"/>
  <c r="Q4675" i="1"/>
  <c r="Q4674" i="1"/>
  <c r="Q4673" i="1"/>
  <c r="Q4661" i="1"/>
  <c r="Q4660" i="1"/>
  <c r="Q4659" i="1"/>
  <c r="Q4658" i="1"/>
  <c r="Q4657" i="1"/>
  <c r="Q4656" i="1"/>
  <c r="Q4482" i="1"/>
  <c r="Q4480" i="1"/>
  <c r="Q4403" i="1"/>
  <c r="Q4402" i="1"/>
  <c r="Q4401" i="1"/>
  <c r="Q4400" i="1"/>
  <c r="Q4399" i="1"/>
  <c r="Q4398" i="1"/>
  <c r="Q4397" i="1"/>
  <c r="Q4362" i="1"/>
  <c r="Q4361" i="1"/>
  <c r="Q4360" i="1"/>
  <c r="Q4359" i="1"/>
  <c r="Q4358" i="1"/>
  <c r="Q4357" i="1"/>
  <c r="Q4356" i="1"/>
  <c r="Q4326" i="1"/>
  <c r="Q4325" i="1"/>
  <c r="Q4324" i="1"/>
  <c r="Q4323" i="1"/>
  <c r="Q4322" i="1"/>
  <c r="Q4321" i="1"/>
  <c r="Q4320" i="1"/>
  <c r="Q4319" i="1"/>
  <c r="Q4318" i="1"/>
  <c r="Q4317" i="1"/>
  <c r="Q4316" i="1"/>
  <c r="Q4303" i="1"/>
  <c r="Q4302" i="1"/>
  <c r="Q4301" i="1"/>
  <c r="Q4300" i="1"/>
  <c r="Q4299" i="1"/>
  <c r="Q4298" i="1"/>
  <c r="Q4297" i="1"/>
  <c r="Q4296" i="1"/>
  <c r="Q4295" i="1"/>
  <c r="Q4294" i="1"/>
  <c r="Q4293" i="1"/>
  <c r="Q4292" i="1"/>
  <c r="Q4291" i="1"/>
  <c r="Q4290" i="1"/>
  <c r="Q4289" i="1"/>
  <c r="Q4288" i="1"/>
  <c r="Q4287" i="1"/>
  <c r="Q4286" i="1"/>
  <c r="Q4285" i="1"/>
  <c r="Q4284" i="1"/>
  <c r="Q4283" i="1"/>
  <c r="Q3954" i="1"/>
  <c r="Q3953" i="1"/>
  <c r="Q3952" i="1"/>
  <c r="Q3941" i="1"/>
  <c r="Q3940" i="1"/>
  <c r="Q3939" i="1"/>
  <c r="Q3938" i="1"/>
  <c r="Q3937" i="1"/>
  <c r="Q3936" i="1"/>
  <c r="Q3887" i="1"/>
  <c r="Q3886" i="1"/>
  <c r="Q3885" i="1"/>
  <c r="Q3884" i="1"/>
  <c r="Q3883" i="1"/>
  <c r="Q3882" i="1"/>
  <c r="Q3881" i="1"/>
  <c r="Q3880" i="1"/>
  <c r="Q3879" i="1"/>
  <c r="Q3878" i="1"/>
  <c r="Q3877" i="1"/>
  <c r="Q3876" i="1"/>
  <c r="Q3875" i="1"/>
  <c r="Q3874" i="1"/>
  <c r="Q3873" i="1"/>
  <c r="Q3872" i="1"/>
  <c r="Q3871" i="1"/>
  <c r="Q3870" i="1"/>
  <c r="Q3869" i="1"/>
  <c r="Q3868" i="1"/>
  <c r="Q3867" i="1"/>
  <c r="Q3866" i="1"/>
  <c r="Q3865" i="1"/>
  <c r="Q3864" i="1"/>
  <c r="Q3863" i="1"/>
  <c r="Q3862" i="1"/>
  <c r="Q3861" i="1"/>
  <c r="Q3860" i="1"/>
  <c r="Q3859" i="1"/>
  <c r="Q3858" i="1"/>
  <c r="Q3857" i="1"/>
  <c r="Q3856" i="1"/>
  <c r="Q3855" i="1"/>
  <c r="Q3854" i="1"/>
  <c r="Q3853" i="1"/>
  <c r="Q3852" i="1"/>
  <c r="Q3851" i="1"/>
  <c r="Q3850" i="1"/>
  <c r="Q3849" i="1"/>
  <c r="Q3848" i="1"/>
  <c r="Q3847" i="1"/>
  <c r="Q3846" i="1"/>
  <c r="Q3845" i="1"/>
  <c r="Q3844" i="1"/>
  <c r="Q3843" i="1"/>
  <c r="Q3842" i="1"/>
  <c r="Q3722" i="1"/>
  <c r="Q3721" i="1"/>
  <c r="Q3720" i="1"/>
  <c r="Q3664" i="1"/>
  <c r="Q3662" i="1"/>
  <c r="Q3661" i="1"/>
  <c r="Q3568" i="1"/>
  <c r="Q3567" i="1"/>
  <c r="Q3566" i="1"/>
  <c r="Q3565" i="1"/>
  <c r="Q3564" i="1"/>
  <c r="Q3563" i="1"/>
  <c r="Q3562" i="1"/>
  <c r="Q3561" i="1"/>
  <c r="Q3560" i="1"/>
  <c r="Q3559" i="1"/>
  <c r="Q3558" i="1"/>
  <c r="Q3557" i="1"/>
  <c r="Q3556" i="1"/>
  <c r="Q3555" i="1"/>
  <c r="Q3554" i="1"/>
  <c r="Q3553" i="1"/>
  <c r="Q3552" i="1"/>
  <c r="Q3551" i="1"/>
  <c r="Q3550" i="1"/>
  <c r="Q3549" i="1"/>
  <c r="Q3548" i="1"/>
  <c r="Q3547" i="1"/>
  <c r="Q3546" i="1"/>
  <c r="Q3545" i="1"/>
  <c r="Q3544" i="1"/>
  <c r="Q3543" i="1"/>
  <c r="Q3542" i="1"/>
  <c r="Q3541" i="1"/>
  <c r="Q3540" i="1"/>
  <c r="Q3539" i="1"/>
  <c r="Q3538" i="1"/>
  <c r="Q3537" i="1"/>
  <c r="Q3536" i="1"/>
  <c r="Q3535" i="1"/>
  <c r="Q3534" i="1"/>
  <c r="Q3533" i="1"/>
  <c r="Q3532" i="1"/>
  <c r="Q3531" i="1"/>
  <c r="Q3530" i="1"/>
  <c r="Q3529" i="1"/>
  <c r="Q3528" i="1"/>
  <c r="Q3527" i="1"/>
  <c r="Q3526" i="1"/>
  <c r="Q3525" i="1"/>
  <c r="Q3524" i="1"/>
  <c r="Q3523" i="1"/>
  <c r="Q3522" i="1"/>
  <c r="Q3521" i="1"/>
  <c r="Q3520" i="1"/>
  <c r="Q3519" i="1"/>
  <c r="Q3518" i="1"/>
  <c r="Q3517" i="1"/>
  <c r="Q3516" i="1"/>
  <c r="Q3515" i="1"/>
  <c r="Q3514" i="1"/>
  <c r="Q3513" i="1"/>
  <c r="Q3512" i="1"/>
  <c r="Q3511" i="1"/>
  <c r="Q3510" i="1"/>
  <c r="Q3509" i="1"/>
  <c r="Q3508" i="1"/>
  <c r="Q3507" i="1"/>
  <c r="Q3506" i="1"/>
  <c r="Q3505" i="1"/>
  <c r="Q3504" i="1"/>
  <c r="Q3503" i="1"/>
  <c r="Q3502" i="1"/>
  <c r="Q3244" i="1"/>
  <c r="Q3243" i="1"/>
  <c r="Q3242" i="1"/>
  <c r="Q3241" i="1"/>
  <c r="Q3240" i="1"/>
  <c r="Q3239" i="1"/>
  <c r="Q3238" i="1"/>
  <c r="Q3237" i="1"/>
  <c r="Q3236" i="1"/>
  <c r="Q3170" i="1"/>
  <c r="Q3169" i="1"/>
  <c r="Q3168" i="1"/>
  <c r="Q3167" i="1"/>
  <c r="Q3166" i="1"/>
  <c r="Q3165" i="1"/>
  <c r="Q3164" i="1"/>
  <c r="Q3163" i="1"/>
  <c r="Q3162" i="1"/>
  <c r="Q3161" i="1"/>
  <c r="Q3160" i="1"/>
  <c r="Q3159" i="1"/>
  <c r="Q3158" i="1"/>
  <c r="Q3157" i="1"/>
  <c r="Q3156" i="1"/>
  <c r="Q3155" i="1"/>
  <c r="Q3154" i="1"/>
  <c r="Q3153" i="1"/>
  <c r="Q3152" i="1"/>
  <c r="Q3151" i="1"/>
  <c r="Q3150" i="1"/>
  <c r="Q3149" i="1"/>
  <c r="Q3148" i="1"/>
  <c r="Q3147" i="1"/>
  <c r="Q3146" i="1"/>
  <c r="Q3145" i="1"/>
  <c r="Q3144" i="1"/>
  <c r="Q3143" i="1"/>
  <c r="Q3142" i="1"/>
  <c r="Q3141" i="1"/>
  <c r="Q2819" i="1"/>
  <c r="Q2818" i="1"/>
  <c r="Q2817" i="1"/>
  <c r="Q2816" i="1"/>
  <c r="Q2815" i="1"/>
  <c r="Q2814" i="1"/>
  <c r="Q2813" i="1"/>
  <c r="Q2812" i="1"/>
  <c r="Q2811" i="1"/>
  <c r="Q2810" i="1"/>
  <c r="Q2809" i="1"/>
  <c r="Q2808" i="1"/>
  <c r="Q2807" i="1"/>
  <c r="Q2806" i="1"/>
  <c r="Q2805" i="1"/>
  <c r="Q2804" i="1"/>
  <c r="Q2803" i="1"/>
  <c r="Q2802" i="1"/>
  <c r="Q2801" i="1"/>
  <c r="Q2800" i="1"/>
  <c r="Q2799" i="1"/>
  <c r="Q2798" i="1"/>
  <c r="Q2797" i="1"/>
  <c r="Q2796" i="1"/>
  <c r="Q2795" i="1"/>
  <c r="Q2794" i="1"/>
  <c r="Q2793" i="1"/>
  <c r="Q2792" i="1"/>
  <c r="Q2791" i="1"/>
  <c r="Q2790" i="1"/>
  <c r="Q2789" i="1"/>
  <c r="Q2751" i="1"/>
  <c r="Q2750" i="1"/>
  <c r="Q2749" i="1"/>
  <c r="Q2748" i="1"/>
  <c r="Q2747" i="1"/>
  <c r="Q2746" i="1"/>
  <c r="Q2745" i="1"/>
  <c r="Q2744" i="1"/>
  <c r="Q2743" i="1"/>
  <c r="Q2742" i="1"/>
  <c r="Q2741" i="1"/>
  <c r="Q2740" i="1"/>
  <c r="Q2739" i="1"/>
  <c r="Q2738" i="1"/>
  <c r="Q2737" i="1"/>
  <c r="Q2736" i="1"/>
  <c r="Q2735" i="1"/>
  <c r="Q2734" i="1"/>
  <c r="Q2733" i="1"/>
  <c r="Q2732" i="1"/>
  <c r="Q2731" i="1"/>
  <c r="Q2730" i="1"/>
  <c r="Q2729" i="1"/>
  <c r="Q2728" i="1"/>
  <c r="Q2727" i="1"/>
  <c r="Q2726" i="1"/>
  <c r="Q2725" i="1"/>
  <c r="Q2724" i="1"/>
  <c r="Q2723" i="1"/>
  <c r="Q2722" i="1"/>
  <c r="Q2721" i="1"/>
  <c r="Q2720" i="1"/>
  <c r="Q2719" i="1"/>
  <c r="Q2718" i="1"/>
  <c r="Q2374" i="1"/>
  <c r="Q2373" i="1"/>
  <c r="Q2372" i="1"/>
  <c r="Q2371" i="1"/>
  <c r="Q2370" i="1"/>
  <c r="Q2369" i="1"/>
  <c r="Q2368" i="1"/>
  <c r="Q2367" i="1"/>
  <c r="Q2366" i="1"/>
  <c r="Q2365" i="1"/>
  <c r="Q2364" i="1"/>
  <c r="Q2363" i="1"/>
  <c r="Q2362" i="1"/>
  <c r="Q2361" i="1"/>
  <c r="Q2360" i="1"/>
  <c r="Q2359" i="1"/>
  <c r="Q2358" i="1"/>
  <c r="Q2357" i="1"/>
  <c r="Q2356" i="1"/>
  <c r="Q2355" i="1"/>
  <c r="Q2354" i="1"/>
  <c r="Q2353" i="1"/>
  <c r="Q2352" i="1"/>
  <c r="Q2351" i="1"/>
  <c r="Q2350" i="1"/>
  <c r="Q2349" i="1"/>
  <c r="Q2348" i="1"/>
  <c r="Q2347" i="1"/>
  <c r="Q2346" i="1"/>
  <c r="Q2345" i="1"/>
  <c r="Q2344" i="1"/>
  <c r="Q2343" i="1"/>
  <c r="Q2342" i="1"/>
  <c r="Q2341" i="1"/>
  <c r="Q2340" i="1"/>
  <c r="Q2339" i="1"/>
  <c r="Q2338" i="1"/>
  <c r="Q2337" i="1"/>
  <c r="Q2336" i="1"/>
  <c r="Q2335" i="1"/>
  <c r="Q2334" i="1"/>
  <c r="Q2333" i="1"/>
  <c r="Q2332" i="1"/>
  <c r="Q2276" i="1"/>
  <c r="Q2275" i="1"/>
  <c r="Q2274" i="1"/>
  <c r="Q2273" i="1"/>
  <c r="Q2272" i="1"/>
  <c r="Q2271" i="1"/>
  <c r="Q2270" i="1"/>
  <c r="Q2269" i="1"/>
  <c r="Q2268" i="1"/>
  <c r="Q2267" i="1"/>
  <c r="Q2266" i="1"/>
  <c r="Q2265" i="1"/>
  <c r="Q2264" i="1"/>
  <c r="Q2263" i="1"/>
  <c r="Q2262" i="1"/>
  <c r="Q2261" i="1"/>
  <c r="Q2260" i="1"/>
  <c r="Q2259" i="1"/>
  <c r="Q2258" i="1"/>
  <c r="Q2257" i="1"/>
  <c r="Q2256" i="1"/>
  <c r="Q1957" i="1"/>
  <c r="Q1956" i="1"/>
  <c r="Q6579" i="1"/>
  <c r="Q6768" i="1"/>
  <c r="Q6646" i="1"/>
  <c r="Q6846" i="1"/>
  <c r="Q6552" i="1"/>
  <c r="Q6559" i="1"/>
  <c r="Q6617" i="1"/>
  <c r="Q6780" i="1"/>
  <c r="Q6909" i="1"/>
  <c r="Q6644" i="1"/>
  <c r="Q6712" i="1"/>
  <c r="Q6431" i="1"/>
  <c r="Q6599" i="1"/>
  <c r="Q6669" i="1"/>
  <c r="Q6394" i="1"/>
  <c r="Q6758" i="1"/>
  <c r="Q6838" i="1"/>
  <c r="Q6732" i="1"/>
  <c r="Q6870" i="1"/>
  <c r="Q6844" i="1"/>
  <c r="Q6420" i="1"/>
  <c r="Q6661" i="1"/>
  <c r="Q6422" i="1"/>
  <c r="Q6359" i="1"/>
  <c r="Q6523" i="1"/>
  <c r="Q6642" i="1"/>
  <c r="Q6769" i="1"/>
  <c r="Q6717" i="1"/>
  <c r="Q6726" i="1"/>
  <c r="Q6652" i="1"/>
  <c r="Q6740" i="1"/>
  <c r="Q6879" i="1"/>
  <c r="Q6382" i="1"/>
  <c r="Q6425" i="1"/>
  <c r="Q6443" i="1"/>
  <c r="Q6677" i="1"/>
  <c r="Q6851" i="1"/>
  <c r="Q6328" i="1"/>
  <c r="Q6837" i="1"/>
  <c r="Q6797" i="1"/>
  <c r="Q6871" i="1"/>
  <c r="Q6789" i="1"/>
  <c r="Q6771" i="1"/>
  <c r="Q6790" i="1"/>
  <c r="Q6785" i="1"/>
  <c r="Q6828" i="1"/>
  <c r="Q6793" i="1"/>
  <c r="Q6767" i="1"/>
  <c r="Q6792" i="1"/>
  <c r="Q6814" i="1"/>
  <c r="Q6601" i="1"/>
  <c r="Q6490" i="1"/>
  <c r="Q6832" i="1"/>
  <c r="Q6882" i="1"/>
  <c r="Q6805" i="1"/>
  <c r="Q6520" i="1"/>
  <c r="Q6529" i="1"/>
  <c r="Q6784" i="1"/>
  <c r="Q6801" i="1"/>
  <c r="Q6342" i="1"/>
  <c r="Q6786" i="1"/>
  <c r="Q6833" i="1"/>
  <c r="Q6803" i="1"/>
  <c r="Q6808" i="1"/>
  <c r="Q6282" i="1"/>
  <c r="Q6406" i="1"/>
  <c r="Q6548" i="1"/>
  <c r="Q6266" i="1"/>
  <c r="Q6267" i="1"/>
  <c r="Q6528" i="1"/>
  <c r="Q6675" i="1"/>
  <c r="Q6747" i="1"/>
  <c r="Q6467" i="1"/>
  <c r="Q6736" i="1"/>
  <c r="Q6781" i="1"/>
  <c r="Q6788" i="1"/>
  <c r="Q6892" i="1"/>
  <c r="Q6702" i="1"/>
  <c r="Q6746" i="1"/>
  <c r="Q6920" i="1"/>
  <c r="Q6508" i="1"/>
  <c r="Q6799" i="1"/>
  <c r="Q6840" i="1"/>
  <c r="Q6472" i="1"/>
  <c r="Q6512" i="1"/>
  <c r="Q6791" i="1"/>
  <c r="Q6553" i="1"/>
  <c r="Q6511" i="1"/>
  <c r="Q6507" i="1"/>
  <c r="Q6518" i="1"/>
  <c r="Q6476" i="1"/>
  <c r="Q6500" i="1"/>
  <c r="Q6488" i="1"/>
  <c r="Q6535" i="1"/>
  <c r="Q6821" i="1"/>
  <c r="Q6817" i="1"/>
  <c r="Q6795" i="1"/>
  <c r="Q6464" i="1"/>
  <c r="Q6489" i="1"/>
  <c r="Q6915" i="1"/>
  <c r="Q6495" i="1"/>
  <c r="Q6600" i="1"/>
  <c r="Q6596" i="1"/>
  <c r="Q6450" i="1"/>
  <c r="Q6484" i="1"/>
  <c r="Q6456" i="1"/>
  <c r="Q6811" i="1"/>
  <c r="Q6730" i="1"/>
  <c r="Q6880" i="1"/>
  <c r="Q6719" i="1"/>
  <c r="Q6474" i="1"/>
  <c r="Q1916" i="1"/>
  <c r="Q1894" i="1"/>
  <c r="Q1893" i="1"/>
  <c r="Q1892" i="1"/>
  <c r="Q1878" i="1"/>
  <c r="Q1877" i="1"/>
  <c r="Q1855" i="1"/>
  <c r="Q1821" i="1"/>
  <c r="Q1810" i="1"/>
  <c r="Q1809" i="1"/>
  <c r="Q1808" i="1"/>
  <c r="Q1796" i="1"/>
  <c r="Q1795" i="1"/>
  <c r="Q1794" i="1"/>
  <c r="Q1793" i="1"/>
  <c r="Q1792" i="1"/>
  <c r="Q1765" i="1"/>
  <c r="Q1764" i="1"/>
  <c r="Q1763" i="1"/>
  <c r="Q1762" i="1"/>
  <c r="Q1761" i="1"/>
  <c r="Q1760" i="1"/>
  <c r="Q1758" i="1"/>
  <c r="Q1757" i="1"/>
  <c r="Q1756" i="1"/>
  <c r="Q1755" i="1"/>
  <c r="Q1754" i="1"/>
  <c r="Q1749" i="1"/>
  <c r="Q1719" i="1"/>
  <c r="Q1657" i="1"/>
  <c r="Q1656" i="1"/>
  <c r="Q1655" i="1"/>
  <c r="Q1654" i="1"/>
  <c r="Q1637" i="1"/>
  <c r="Q1625" i="1"/>
  <c r="Q1605" i="1"/>
  <c r="Q1604" i="1"/>
  <c r="Q1603" i="1"/>
  <c r="Q1602" i="1"/>
  <c r="Q1601" i="1"/>
  <c r="Q1600" i="1"/>
  <c r="Q1599" i="1"/>
  <c r="Q1598" i="1"/>
  <c r="Q1597" i="1"/>
  <c r="Q1596" i="1"/>
  <c r="Q1573" i="1"/>
  <c r="Q1572" i="1"/>
  <c r="Q1571" i="1"/>
  <c r="Q1570" i="1"/>
  <c r="Q1569" i="1"/>
  <c r="Q1568" i="1"/>
  <c r="Q1567" i="1"/>
  <c r="Q1519" i="1"/>
  <c r="Q1518" i="1"/>
  <c r="Q1517" i="1"/>
  <c r="Q1516" i="1"/>
  <c r="Q1515" i="1"/>
  <c r="Q1514" i="1"/>
  <c r="Q1513" i="1"/>
  <c r="Q1512" i="1"/>
  <c r="Q1511" i="1"/>
  <c r="Q1510" i="1"/>
  <c r="Q1479" i="1"/>
  <c r="Q1478" i="1"/>
  <c r="Q1477" i="1"/>
  <c r="Q1476" i="1"/>
  <c r="Q1460" i="1"/>
  <c r="Q1459" i="1"/>
  <c r="Q1458" i="1"/>
  <c r="Q1457" i="1"/>
  <c r="Q1456" i="1"/>
  <c r="Q1455" i="1"/>
  <c r="Q1446" i="1"/>
  <c r="Q1427" i="1"/>
  <c r="Q1425" i="1"/>
  <c r="Q6343" i="1"/>
  <c r="Q6866" i="1"/>
  <c r="Q6884" i="1"/>
  <c r="Q6498" i="1"/>
  <c r="Q6485" i="1"/>
  <c r="Q6346" i="1"/>
  <c r="Q6332" i="1"/>
  <c r="Q6339" i="1"/>
  <c r="Q6308" i="1"/>
  <c r="Q6827" i="1"/>
  <c r="Q6310" i="1"/>
  <c r="Q6353" i="1"/>
  <c r="Q6331" i="1"/>
  <c r="Q6881" i="1"/>
  <c r="Q6335" i="1"/>
  <c r="Q6401" i="1"/>
  <c r="Q6815" i="1"/>
  <c r="Q6822" i="1"/>
  <c r="Q6782" i="1"/>
  <c r="Q6867" i="1"/>
  <c r="Q6648" i="1"/>
  <c r="Q6636" i="1"/>
  <c r="Q6514" i="1"/>
  <c r="Q6513" i="1"/>
  <c r="Q6531" i="1"/>
  <c r="Q6309" i="1"/>
  <c r="Q6325" i="1"/>
  <c r="Q6314" i="1"/>
  <c r="Q6351" i="1"/>
  <c r="Q6645" i="1"/>
  <c r="Q6290" i="1"/>
  <c r="Q6288" i="1"/>
  <c r="Q6423" i="1"/>
  <c r="Q6739" i="1"/>
  <c r="Q6911" i="1"/>
  <c r="Q6863" i="1"/>
  <c r="Q6796" i="1"/>
  <c r="Q6804" i="1"/>
  <c r="Q6341" i="1"/>
  <c r="Q6334" i="1"/>
  <c r="Q6349" i="1"/>
  <c r="Q6413" i="1"/>
  <c r="Q6327" i="1"/>
  <c r="Q6340" i="1"/>
  <c r="Q6323" i="1"/>
  <c r="Q6806" i="1"/>
  <c r="Q6315" i="1"/>
  <c r="Q6358" i="1"/>
  <c r="Q6391" i="1"/>
  <c r="Q6393" i="1"/>
  <c r="Q6825" i="1"/>
  <c r="Q6504" i="1"/>
  <c r="Q6716" i="1"/>
  <c r="Q6571" i="1"/>
  <c r="Q6706" i="1"/>
  <c r="Q6826" i="1"/>
  <c r="Q6802" i="1"/>
  <c r="Q6598" i="1"/>
  <c r="Q6841" i="1"/>
  <c r="Q6914" i="1"/>
  <c r="Q6276" i="1"/>
  <c r="Q6446" i="1"/>
  <c r="Q6280" i="1"/>
  <c r="Q6366" i="1"/>
  <c r="Q6819" i="1"/>
  <c r="Q6671" i="1"/>
  <c r="Q6426" i="1"/>
  <c r="Q6655" i="1"/>
  <c r="Q6663" i="1"/>
  <c r="Q6668" i="1"/>
  <c r="Q6595" i="1"/>
  <c r="Q6306" i="1"/>
  <c r="Q6295" i="1"/>
  <c r="Q6319" i="1"/>
  <c r="Q6302" i="1"/>
  <c r="Q6347" i="1"/>
  <c r="Q6337" i="1"/>
  <c r="Q6709" i="1"/>
  <c r="Q6809" i="1"/>
  <c r="Q6906" i="1"/>
  <c r="Q6667" i="1"/>
  <c r="Q6632" i="1"/>
  <c r="Q6635" i="1"/>
  <c r="Q6649" i="1"/>
  <c r="Q6687" i="1"/>
  <c r="Q6690" i="1"/>
  <c r="Q6412" i="1"/>
  <c r="Q6275" i="1"/>
  <c r="Q6611" i="1"/>
  <c r="Q6434" i="1"/>
  <c r="Q6776" i="1"/>
  <c r="Q6581" i="1"/>
  <c r="Q6620" i="1"/>
  <c r="Q6720" i="1"/>
  <c r="Q6563" i="1"/>
  <c r="Q6613" i="1"/>
  <c r="Q6587" i="1"/>
  <c r="Q6465" i="1"/>
  <c r="Q1937" i="1"/>
  <c r="Q6388" i="1"/>
  <c r="Q6402" i="1"/>
  <c r="Q6862" i="1"/>
  <c r="Q6348" i="1"/>
  <c r="Q6320" i="1"/>
  <c r="Q6886" i="1"/>
  <c r="Q6918" i="1"/>
  <c r="Q6910" i="1"/>
  <c r="Q6362" i="1"/>
  <c r="Q6628" i="1"/>
  <c r="Q6872" i="1"/>
  <c r="Q6572" i="1"/>
  <c r="Q6741" i="1"/>
  <c r="Q6848" i="1"/>
  <c r="Q6658" i="1"/>
  <c r="Q6651" i="1"/>
  <c r="Q6660" i="1"/>
  <c r="Q6729" i="1"/>
  <c r="Q6590" i="1"/>
  <c r="Q6798" i="1"/>
  <c r="Q6858" i="1"/>
  <c r="Q6763" i="1"/>
  <c r="Q6624" i="1"/>
  <c r="Q6602" i="1"/>
  <c r="Q6800" i="1"/>
  <c r="Q6578" i="1"/>
  <c r="Q6549" i="1"/>
  <c r="Q6555" i="1"/>
  <c r="Q6566" i="1"/>
  <c r="Q6455" i="1"/>
  <c r="Q6546" i="1"/>
  <c r="Q6286" i="1"/>
  <c r="Q6605" i="1"/>
  <c r="Q1927" i="1"/>
  <c r="Q1926" i="1"/>
  <c r="Q1919" i="1"/>
  <c r="Q1918" i="1"/>
  <c r="Q1915" i="1"/>
  <c r="Q1914" i="1"/>
  <c r="Q1913" i="1"/>
  <c r="Q1912" i="1"/>
  <c r="Q1852" i="1"/>
  <c r="Q1825" i="1"/>
  <c r="Q1824" i="1"/>
  <c r="Q1823" i="1"/>
  <c r="Q1822" i="1"/>
  <c r="Q1801" i="1"/>
  <c r="Q1800" i="1"/>
  <c r="Q1753" i="1"/>
  <c r="Q1752" i="1"/>
  <c r="Q1739" i="1"/>
  <c r="Q1738" i="1"/>
  <c r="Q1737" i="1"/>
  <c r="Q1736" i="1"/>
  <c r="Q1735" i="1"/>
  <c r="Q1734" i="1"/>
  <c r="Q1733" i="1"/>
  <c r="Q1720" i="1"/>
  <c r="Q1717" i="1"/>
  <c r="Q1698" i="1"/>
  <c r="Q1697" i="1"/>
  <c r="Q1688" i="1"/>
  <c r="Q1687" i="1"/>
  <c r="Q1686" i="1"/>
  <c r="Q1682" i="1"/>
  <c r="Q1663" i="1"/>
  <c r="Q1660" i="1"/>
  <c r="Q1659" i="1"/>
  <c r="Q1651" i="1"/>
  <c r="Q1650" i="1"/>
  <c r="Q1649" i="1"/>
  <c r="Q1646" i="1"/>
  <c r="Q1645" i="1"/>
  <c r="Q1643" i="1"/>
  <c r="Q1641" i="1"/>
  <c r="Q1623" i="1"/>
  <c r="Q1622" i="1"/>
  <c r="Q1594" i="1"/>
  <c r="Q1593" i="1"/>
  <c r="Q1592" i="1"/>
  <c r="Q1591" i="1"/>
  <c r="Q1590" i="1"/>
  <c r="Q1589" i="1"/>
  <c r="Q1588" i="1"/>
  <c r="Q1587" i="1"/>
  <c r="Q1586" i="1"/>
  <c r="Q1585" i="1"/>
  <c r="Q1584" i="1"/>
  <c r="Q1583" i="1"/>
  <c r="Q1582" i="1"/>
  <c r="Q1528" i="1"/>
  <c r="Q1527" i="1"/>
  <c r="Q1526" i="1"/>
  <c r="Q1525" i="1"/>
  <c r="Q1524" i="1"/>
  <c r="Q1488" i="1"/>
  <c r="Q1472" i="1"/>
  <c r="Q1467" i="1"/>
  <c r="Q1466" i="1"/>
  <c r="Q1465" i="1"/>
  <c r="Q1464" i="1"/>
  <c r="Q1463" i="1"/>
  <c r="Q1462" i="1"/>
  <c r="Q1461" i="1"/>
  <c r="Q1441" i="1"/>
  <c r="Q1437" i="1"/>
  <c r="Q1435" i="1"/>
  <c r="Q1434" i="1"/>
  <c r="Q1426" i="1"/>
  <c r="Q1418" i="1"/>
  <c r="Q1417" i="1"/>
  <c r="Q1416" i="1"/>
  <c r="Q1415" i="1"/>
  <c r="Q1414" i="1"/>
  <c r="Q1413" i="1"/>
  <c r="Q1412" i="1"/>
  <c r="Q1411" i="1"/>
  <c r="Q1410" i="1"/>
  <c r="Q1409" i="1"/>
  <c r="Q1408" i="1"/>
  <c r="Q1407" i="1"/>
  <c r="Q1406" i="1"/>
  <c r="Q1405" i="1"/>
  <c r="Q1404" i="1"/>
  <c r="Q1403" i="1"/>
  <c r="Q1402" i="1"/>
  <c r="Q1401" i="1"/>
  <c r="Q1400" i="1"/>
  <c r="Q1399" i="1"/>
  <c r="Q1398" i="1"/>
  <c r="Q6657" i="1"/>
  <c r="Q1397" i="1"/>
  <c r="Q1396" i="1"/>
  <c r="Q1395" i="1"/>
  <c r="Q1394" i="1"/>
  <c r="Q1393" i="1"/>
  <c r="Q1392" i="1"/>
  <c r="Q6664" i="1"/>
  <c r="Q6700" i="1"/>
  <c r="Q1391" i="1"/>
  <c r="Q1390" i="1"/>
  <c r="Q1389" i="1"/>
  <c r="Q1388" i="1"/>
  <c r="Q1387" i="1"/>
  <c r="Q1386" i="1"/>
  <c r="Q6749" i="1"/>
  <c r="Q6727" i="1"/>
  <c r="Q1385" i="1"/>
  <c r="Q1384" i="1"/>
  <c r="Q6766" i="1"/>
  <c r="Q6754" i="1"/>
  <c r="Q1383" i="1"/>
  <c r="Q1935" i="1"/>
  <c r="Q1934" i="1"/>
  <c r="Q1928" i="1"/>
  <c r="Q1925" i="1"/>
  <c r="Q1924" i="1"/>
  <c r="Q1923" i="1"/>
  <c r="Q1922" i="1"/>
  <c r="Q1921" i="1"/>
  <c r="Q1920" i="1"/>
  <c r="Q1911" i="1"/>
  <c r="Q1910" i="1"/>
  <c r="Q1909" i="1"/>
  <c r="Q1908" i="1"/>
  <c r="Q1907" i="1"/>
  <c r="Q1906" i="1"/>
  <c r="Q1887" i="1"/>
  <c r="Q1886" i="1"/>
  <c r="Q1885" i="1"/>
  <c r="Q6272" i="1"/>
  <c r="Q6270" i="1"/>
  <c r="Q1875" i="1"/>
  <c r="Q1874" i="1"/>
  <c r="Q1873" i="1"/>
  <c r="Q1872" i="1"/>
  <c r="Q1871" i="1"/>
  <c r="Q1870" i="1"/>
  <c r="Q1869" i="1"/>
  <c r="Q1851" i="1"/>
  <c r="Q6271" i="1"/>
  <c r="Q1850" i="1"/>
  <c r="Q1841" i="1"/>
  <c r="Q1840" i="1"/>
  <c r="Q1839" i="1"/>
  <c r="Q1838" i="1"/>
  <c r="Q1837" i="1"/>
  <c r="Q1834" i="1"/>
  <c r="Q1833" i="1"/>
  <c r="Q1813" i="1"/>
  <c r="Q1812" i="1"/>
  <c r="Q1811" i="1"/>
  <c r="Q1791" i="1"/>
  <c r="Q1785" i="1"/>
  <c r="Q1784" i="1"/>
  <c r="Q1783" i="1"/>
  <c r="Q1759" i="1"/>
  <c r="Q1748" i="1"/>
  <c r="Q1747" i="1"/>
  <c r="Q1746" i="1"/>
  <c r="Q1745" i="1"/>
  <c r="Q1744" i="1"/>
  <c r="Q1743" i="1"/>
  <c r="Q1729" i="1"/>
  <c r="Q1718" i="1"/>
  <c r="Q1716" i="1"/>
  <c r="Q1696" i="1"/>
  <c r="Q1612" i="1"/>
  <c r="Q1611" i="1"/>
  <c r="Q1610" i="1"/>
  <c r="Q1609" i="1"/>
  <c r="Q1608" i="1"/>
  <c r="Q1607" i="1"/>
  <c r="Q1606" i="1"/>
  <c r="Q1575" i="1"/>
  <c r="Q1574" i="1"/>
  <c r="Q1520" i="1"/>
  <c r="Q1449" i="1"/>
  <c r="Q1382" i="1"/>
  <c r="Q1381" i="1"/>
  <c r="Q1380" i="1"/>
  <c r="Q1379" i="1"/>
  <c r="Q1378" i="1"/>
  <c r="Q1377" i="1"/>
  <c r="Q1376" i="1"/>
  <c r="Q1375" i="1"/>
  <c r="Q1374" i="1"/>
  <c r="Q1373" i="1"/>
  <c r="Q6908" i="1"/>
  <c r="Q1936" i="1"/>
  <c r="Q1890" i="1"/>
  <c r="Q1889" i="1"/>
  <c r="Q1888" i="1"/>
  <c r="Q1880" i="1"/>
  <c r="Q1879" i="1"/>
  <c r="Q1868" i="1"/>
  <c r="Q1867" i="1"/>
  <c r="Q1866" i="1"/>
  <c r="Q1865" i="1"/>
  <c r="Q1864" i="1"/>
  <c r="Q1863" i="1"/>
  <c r="Q1862" i="1"/>
  <c r="Q1854" i="1"/>
  <c r="Q1853" i="1"/>
  <c r="Q1820" i="1"/>
  <c r="Q1819" i="1"/>
  <c r="Q1807" i="1"/>
  <c r="Q1806" i="1"/>
  <c r="Q1805" i="1"/>
  <c r="Q1804" i="1"/>
  <c r="Q1803" i="1"/>
  <c r="Q1742" i="1"/>
  <c r="Q1685" i="1"/>
  <c r="Q1678" i="1"/>
  <c r="Q1626" i="1"/>
  <c r="Q1620" i="1"/>
  <c r="Q1619" i="1"/>
  <c r="Q1618" i="1"/>
  <c r="Q1617" i="1"/>
  <c r="Q1616" i="1"/>
  <c r="Q1615" i="1"/>
  <c r="Q1614" i="1"/>
  <c r="Q1613" i="1"/>
  <c r="Q1576" i="1"/>
  <c r="Q1372" i="1"/>
  <c r="Q1371" i="1"/>
  <c r="Q1370" i="1"/>
  <c r="Q1369" i="1"/>
  <c r="Q1368" i="1"/>
  <c r="Q1367" i="1"/>
  <c r="Q1366" i="1"/>
  <c r="Q1365" i="1"/>
  <c r="Q1364" i="1"/>
  <c r="Q1363" i="1"/>
  <c r="Q1362" i="1"/>
  <c r="Q6223" i="1"/>
  <c r="Q6222" i="1"/>
  <c r="Q6221" i="1"/>
  <c r="Q6220" i="1"/>
  <c r="Q6012" i="1"/>
  <c r="Q6011" i="1"/>
  <c r="Q6010" i="1"/>
  <c r="Q6009" i="1"/>
  <c r="Q6008" i="1"/>
  <c r="Q6007" i="1"/>
  <c r="Q6006" i="1"/>
  <c r="Q6005" i="1"/>
  <c r="Q6003" i="1"/>
  <c r="Q6002" i="1"/>
  <c r="Q6001" i="1"/>
  <c r="Q6000" i="1"/>
  <c r="Q5999" i="1"/>
  <c r="Q5998" i="1"/>
  <c r="Q5997" i="1"/>
  <c r="Q5996" i="1"/>
  <c r="Q5995" i="1"/>
  <c r="Q5994" i="1"/>
  <c r="Q5993" i="1"/>
  <c r="Q5992" i="1"/>
  <c r="Q5991" i="1"/>
  <c r="Q5990" i="1"/>
  <c r="Q5989" i="1"/>
  <c r="Q5988" i="1"/>
  <c r="Q5987" i="1"/>
  <c r="Q5986" i="1"/>
  <c r="Q5883" i="1"/>
  <c r="Q5882" i="1"/>
  <c r="Q5881" i="1"/>
  <c r="Q5880" i="1"/>
  <c r="Q5879" i="1"/>
  <c r="Q5878" i="1"/>
  <c r="Q5863" i="1"/>
  <c r="Q5862" i="1"/>
  <c r="Q5861" i="1"/>
  <c r="Q5860" i="1"/>
  <c r="Q5859" i="1"/>
  <c r="Q5858" i="1"/>
  <c r="Q5498" i="1"/>
  <c r="Q5497" i="1"/>
  <c r="Q5496" i="1"/>
  <c r="Q5495" i="1"/>
  <c r="Q5494" i="1"/>
  <c r="Q5493" i="1"/>
  <c r="Q5492" i="1"/>
  <c r="Q5491" i="1"/>
  <c r="Q5369" i="1"/>
  <c r="Q5368" i="1"/>
  <c r="Q5367" i="1"/>
  <c r="Q5366" i="1"/>
  <c r="Q5365" i="1"/>
  <c r="Q5358" i="1"/>
  <c r="Q5357" i="1"/>
  <c r="Q5269" i="1"/>
  <c r="Q5268" i="1"/>
  <c r="Q5267" i="1"/>
  <c r="Q5266" i="1"/>
  <c r="Q5265" i="1"/>
  <c r="Q5264" i="1"/>
  <c r="Q5263" i="1"/>
  <c r="Q5262" i="1"/>
  <c r="Q5261" i="1"/>
  <c r="Q4867" i="1"/>
  <c r="Q4866" i="1"/>
  <c r="Q4848" i="1"/>
  <c r="Q4847" i="1"/>
  <c r="Q4846" i="1"/>
  <c r="Q4845" i="1"/>
  <c r="Q4844" i="1"/>
  <c r="Q4843" i="1"/>
  <c r="Q4842" i="1"/>
  <c r="Q4639" i="1"/>
  <c r="Q4638" i="1"/>
  <c r="Q4617" i="1"/>
  <c r="Q4616" i="1"/>
  <c r="Q4615" i="1"/>
  <c r="Q4604" i="1"/>
  <c r="Q4603" i="1"/>
  <c r="Q4602" i="1"/>
  <c r="Q4601" i="1"/>
  <c r="Q4600" i="1"/>
  <c r="Q4599" i="1"/>
  <c r="Q4598" i="1"/>
  <c r="Q4597" i="1"/>
  <c r="Q4527" i="1"/>
  <c r="Q4526" i="1"/>
  <c r="Q4525" i="1"/>
  <c r="Q4524" i="1"/>
  <c r="Q4507" i="1"/>
  <c r="Q4506" i="1"/>
  <c r="Q4505" i="1"/>
  <c r="Q4504" i="1"/>
  <c r="Q4503" i="1"/>
  <c r="Q4502" i="1"/>
  <c r="Q4501" i="1"/>
  <c r="Q4414" i="1"/>
  <c r="Q4413" i="1"/>
  <c r="Q4406" i="1"/>
  <c r="Q4405" i="1"/>
  <c r="Q4355" i="1"/>
  <c r="Q4354" i="1"/>
  <c r="Q4353" i="1"/>
  <c r="Q4352" i="1"/>
  <c r="Q4351" i="1"/>
  <c r="Q4260" i="1"/>
  <c r="Q4259" i="1"/>
  <c r="Q4245" i="1"/>
  <c r="Q4244" i="1"/>
  <c r="Q4088" i="1"/>
  <c r="Q4087" i="1"/>
  <c r="Q4086" i="1"/>
  <c r="Q4085" i="1"/>
  <c r="Q4084" i="1"/>
  <c r="Q4000" i="1"/>
  <c r="Q3999" i="1"/>
  <c r="Q3998" i="1"/>
  <c r="Q3997" i="1"/>
  <c r="Q3996" i="1"/>
  <c r="Q3995" i="1"/>
  <c r="Q3994" i="1"/>
  <c r="Q3993" i="1"/>
  <c r="Q3992" i="1"/>
  <c r="Q3991" i="1"/>
  <c r="Q3990" i="1"/>
  <c r="Q3974" i="1"/>
  <c r="Q3973" i="1"/>
  <c r="Q3972" i="1"/>
  <c r="Q3971" i="1"/>
  <c r="Q3767" i="1"/>
  <c r="Q3766" i="1"/>
  <c r="Q3765" i="1"/>
  <c r="Q3764" i="1"/>
  <c r="Q3763" i="1"/>
  <c r="Q3762" i="1"/>
  <c r="Q3761" i="1"/>
  <c r="Q3760" i="1"/>
  <c r="Q3759" i="1"/>
  <c r="Q3758" i="1"/>
  <c r="Q3757" i="1"/>
  <c r="Q3756" i="1"/>
  <c r="Q3755" i="1"/>
  <c r="Q3754" i="1"/>
  <c r="Q3753" i="1"/>
  <c r="Q3752" i="1"/>
  <c r="Q3751" i="1"/>
  <c r="Q3750" i="1"/>
  <c r="Q3597" i="1"/>
  <c r="Q3312" i="1"/>
  <c r="Q3311" i="1"/>
  <c r="Q3310" i="1"/>
  <c r="Q3309" i="1"/>
  <c r="Q3308" i="1"/>
  <c r="Q3307" i="1"/>
  <c r="Q3306" i="1"/>
  <c r="Q3305" i="1"/>
  <c r="Q3304" i="1"/>
  <c r="Q3303" i="1"/>
  <c r="Q3302" i="1"/>
  <c r="Q3301" i="1"/>
  <c r="Q3300" i="1"/>
  <c r="Q3299" i="1"/>
  <c r="Q3298" i="1"/>
  <c r="Q3297" i="1"/>
  <c r="Q2843" i="1"/>
  <c r="Q2841" i="1"/>
  <c r="Q2840" i="1"/>
  <c r="Q2839" i="1"/>
  <c r="Q2838" i="1"/>
  <c r="Q2837" i="1"/>
  <c r="Q2836" i="1"/>
  <c r="Q2494" i="1"/>
  <c r="Q2493" i="1"/>
  <c r="Q2492" i="1"/>
  <c r="Q2491" i="1"/>
  <c r="Q2490" i="1"/>
  <c r="Q2483" i="1"/>
  <c r="Q2482" i="1"/>
  <c r="Q2446" i="1"/>
  <c r="Q2445" i="1"/>
  <c r="Q2444" i="1"/>
  <c r="Q2443" i="1"/>
  <c r="Q2442" i="1"/>
  <c r="Q2441" i="1"/>
  <c r="Q2440" i="1"/>
  <c r="Q2439" i="1"/>
  <c r="Q2438" i="1"/>
  <c r="Q2437" i="1"/>
  <c r="Q2436" i="1"/>
  <c r="Q2435" i="1"/>
  <c r="Q2434" i="1"/>
  <c r="Q2433" i="1"/>
  <c r="Q2432" i="1"/>
  <c r="Q2431" i="1"/>
  <c r="Q2430" i="1"/>
  <c r="Q2429" i="1"/>
  <c r="Q2428" i="1"/>
  <c r="Q2427" i="1"/>
  <c r="Q2426" i="1"/>
  <c r="Q2425" i="1"/>
  <c r="Q2424" i="1"/>
  <c r="Q2423" i="1"/>
  <c r="Q2422" i="1"/>
  <c r="Q2421" i="1"/>
  <c r="Q2420" i="1"/>
  <c r="Q2419" i="1"/>
  <c r="Q2418" i="1"/>
  <c r="Q2417" i="1"/>
  <c r="Q2416" i="1"/>
  <c r="Q2415" i="1"/>
  <c r="Q2414" i="1"/>
  <c r="Q2413" i="1"/>
  <c r="Q2412" i="1"/>
  <c r="Q2411" i="1"/>
  <c r="Q2410" i="1"/>
  <c r="Q2409" i="1"/>
  <c r="Q2408" i="1"/>
  <c r="Q2407" i="1"/>
  <c r="Q2406" i="1"/>
  <c r="Q2405" i="1"/>
  <c r="Q2404" i="1"/>
  <c r="Q2403" i="1"/>
  <c r="Q2402" i="1"/>
  <c r="Q2401" i="1"/>
  <c r="Q2400" i="1"/>
  <c r="Q2399" i="1"/>
  <c r="Q2305" i="1"/>
  <c r="Q2304" i="1"/>
  <c r="Q2298" i="1"/>
  <c r="Q2030" i="1"/>
  <c r="Q2029" i="1"/>
  <c r="Q2028" i="1"/>
  <c r="Q2027" i="1"/>
  <c r="Q2026" i="1"/>
  <c r="Q2025" i="1"/>
  <c r="Q2024" i="1"/>
  <c r="Q1933" i="1"/>
  <c r="Q1932" i="1"/>
  <c r="Q1931" i="1"/>
  <c r="Q1930" i="1"/>
  <c r="Q1929" i="1"/>
  <c r="Q1905" i="1"/>
  <c r="Q1904" i="1"/>
  <c r="Q1903" i="1"/>
  <c r="Q1902" i="1"/>
  <c r="Q1901" i="1"/>
  <c r="Q1900" i="1"/>
  <c r="Q1899" i="1"/>
  <c r="Q1882" i="1"/>
  <c r="Q1861" i="1"/>
  <c r="Q1860" i="1"/>
  <c r="Q1859" i="1"/>
  <c r="Q1858" i="1"/>
  <c r="Q1848" i="1"/>
  <c r="Q1847" i="1"/>
  <c r="Q1846" i="1"/>
  <c r="Q1845" i="1"/>
  <c r="Q1836" i="1"/>
  <c r="Q1832" i="1"/>
  <c r="Q1831" i="1"/>
  <c r="Q1830" i="1"/>
  <c r="Q1829" i="1"/>
  <c r="Q1828" i="1"/>
  <c r="Q1827" i="1"/>
  <c r="Q1826" i="1"/>
  <c r="Q1818" i="1"/>
  <c r="Q6381" i="1"/>
  <c r="Q1816" i="1"/>
  <c r="Q1815" i="1"/>
  <c r="Q1814" i="1"/>
  <c r="Q1799" i="1"/>
  <c r="Q1798" i="1"/>
  <c r="Q1797" i="1"/>
  <c r="Q1782" i="1"/>
  <c r="Q1781" i="1"/>
  <c r="Q1780" i="1"/>
  <c r="Q1741" i="1"/>
  <c r="Q1725" i="1"/>
  <c r="Q1722" i="1"/>
  <c r="Q1627" i="1"/>
  <c r="Q1621" i="1"/>
  <c r="Q1581" i="1"/>
  <c r="Q1580" i="1"/>
  <c r="Q1579" i="1"/>
  <c r="Q1578" i="1"/>
  <c r="Q1577" i="1"/>
  <c r="Q1545" i="1"/>
  <c r="Q1544" i="1"/>
  <c r="Q1543" i="1"/>
  <c r="Q1542" i="1"/>
  <c r="Q1541" i="1"/>
  <c r="Q1540" i="1"/>
  <c r="Q1539" i="1"/>
  <c r="Q1523" i="1"/>
  <c r="Q1522" i="1"/>
  <c r="Q1521" i="1"/>
  <c r="Q1491" i="1"/>
  <c r="Q1487" i="1"/>
  <c r="Q1436" i="1"/>
  <c r="Q1430" i="1"/>
  <c r="Q1361" i="1"/>
  <c r="Q1360" i="1"/>
  <c r="Q1359" i="1"/>
  <c r="Q1358" i="1"/>
  <c r="Q1357" i="1"/>
  <c r="Q1356" i="1"/>
  <c r="Q1317" i="1"/>
  <c r="Q1891" i="1"/>
  <c r="Q1835" i="1"/>
  <c r="Q1802" i="1"/>
  <c r="Q1787" i="1"/>
  <c r="Q1740" i="1"/>
  <c r="Q1712" i="1"/>
  <c r="Q1693" i="1"/>
  <c r="Q1684" i="1"/>
  <c r="Q1662" i="1"/>
  <c r="Q1658" i="1"/>
  <c r="Q1648" i="1"/>
  <c r="Q1644" i="1"/>
  <c r="Q1634" i="1"/>
  <c r="Q1630" i="1"/>
  <c r="Q1566" i="1"/>
  <c r="Q1565" i="1"/>
  <c r="Q1547" i="1"/>
  <c r="Q1509" i="1"/>
  <c r="Q1475" i="1"/>
  <c r="Q1474" i="1"/>
  <c r="Q1454" i="1"/>
  <c r="Q1453" i="1"/>
  <c r="Q1447" i="1"/>
  <c r="Q6444" i="1"/>
  <c r="Q6415" i="1"/>
  <c r="Q6436" i="1"/>
  <c r="Q6428" i="1"/>
  <c r="Q6438" i="1"/>
  <c r="Q6430" i="1"/>
  <c r="Q1433" i="1"/>
  <c r="Q1432" i="1"/>
  <c r="Q1429" i="1"/>
  <c r="Q1428" i="1"/>
  <c r="Q1424" i="1"/>
  <c r="Q1423" i="1"/>
  <c r="Q1316" i="1"/>
  <c r="Q1315" i="1"/>
  <c r="Q1314" i="1"/>
  <c r="Q1313" i="1"/>
  <c r="Q6228" i="1"/>
  <c r="Q6227" i="1"/>
  <c r="Q6226" i="1"/>
  <c r="Q6225" i="1"/>
  <c r="Q6224" i="1"/>
  <c r="Q6178" i="1"/>
  <c r="Q6177" i="1"/>
  <c r="Q6176" i="1"/>
  <c r="Q6004" i="1"/>
  <c r="Q5985" i="1"/>
  <c r="Q5984" i="1"/>
  <c r="Q5983" i="1"/>
  <c r="Q5982" i="1"/>
  <c r="Q5981" i="1"/>
  <c r="Q5980" i="1"/>
  <c r="Q5979" i="1"/>
  <c r="Q5978" i="1"/>
  <c r="Q5977" i="1"/>
  <c r="Q5976" i="1"/>
  <c r="Q5975" i="1"/>
  <c r="Q5974" i="1"/>
  <c r="Q5973" i="1"/>
  <c r="Q5972" i="1"/>
  <c r="Q5971" i="1"/>
  <c r="Q5970" i="1"/>
  <c r="Q5914" i="1"/>
  <c r="Q5913" i="1"/>
  <c r="Q5912" i="1"/>
  <c r="Q5877" i="1"/>
  <c r="Q5876" i="1"/>
  <c r="Q5875" i="1"/>
  <c r="Q5874" i="1"/>
  <c r="Q5873" i="1"/>
  <c r="Q5872" i="1"/>
  <c r="Q5871" i="1"/>
  <c r="Q5870" i="1"/>
  <c r="Q5869" i="1"/>
  <c r="Q5868" i="1"/>
  <c r="Q5867" i="1"/>
  <c r="Q5866" i="1"/>
  <c r="Q5865" i="1"/>
  <c r="Q5864" i="1"/>
  <c r="Q5597" i="1"/>
  <c r="Q5596" i="1"/>
  <c r="Q5595" i="1"/>
  <c r="Q5386" i="1"/>
  <c r="Q5385" i="1"/>
  <c r="Q5384" i="1"/>
  <c r="Q5383" i="1"/>
  <c r="Q5382" i="1"/>
  <c r="Q5381" i="1"/>
  <c r="Q5380" i="1"/>
  <c r="Q5379" i="1"/>
  <c r="Q5378" i="1"/>
  <c r="Q5364" i="1"/>
  <c r="Q5260" i="1"/>
  <c r="Q5259" i="1"/>
  <c r="Q5258" i="1"/>
  <c r="Q5257" i="1"/>
  <c r="Q5256" i="1"/>
  <c r="Q5255" i="1"/>
  <c r="Q5254" i="1"/>
  <c r="Q5253" i="1"/>
  <c r="Q5252" i="1"/>
  <c r="Q5251" i="1"/>
  <c r="Q5250" i="1"/>
  <c r="Q5249" i="1"/>
  <c r="Q5248" i="1"/>
  <c r="Q5247" i="1"/>
  <c r="Q5246" i="1"/>
  <c r="Q5245" i="1"/>
  <c r="Q5244" i="1"/>
  <c r="Q5243" i="1"/>
  <c r="Q5242" i="1"/>
  <c r="Q5241" i="1"/>
  <c r="Q5240" i="1"/>
  <c r="Q5239" i="1"/>
  <c r="Q5238" i="1"/>
  <c r="Q5237" i="1"/>
  <c r="Q5236" i="1"/>
  <c r="Q5235" i="1"/>
  <c r="Q5234" i="1"/>
  <c r="Q5233" i="1"/>
  <c r="Q5232" i="1"/>
  <c r="Q5231" i="1"/>
  <c r="Q5230" i="1"/>
  <c r="Q5229" i="1"/>
  <c r="Q5228" i="1"/>
  <c r="Q5227" i="1"/>
  <c r="Q5226" i="1"/>
  <c r="Q4869" i="1"/>
  <c r="Q4868" i="1"/>
  <c r="Q4865" i="1"/>
  <c r="Q4864" i="1"/>
  <c r="Q4863" i="1"/>
  <c r="Q4862" i="1"/>
  <c r="Q4859" i="1"/>
  <c r="Q4858" i="1"/>
  <c r="Q4857" i="1"/>
  <c r="Q4856" i="1"/>
  <c r="Q4855" i="1"/>
  <c r="Q4854" i="1"/>
  <c r="Q4853" i="1"/>
  <c r="Q4852" i="1"/>
  <c r="Q4851" i="1"/>
  <c r="Q4850" i="1"/>
  <c r="Q4849" i="1"/>
  <c r="Q4841" i="1"/>
  <c r="Q4840" i="1"/>
  <c r="Q4839" i="1"/>
  <c r="Q4838" i="1"/>
  <c r="Q4837" i="1"/>
  <c r="Q4836" i="1"/>
  <c r="Q4835" i="1"/>
  <c r="Q4834" i="1"/>
  <c r="Q4833" i="1"/>
  <c r="Q4832" i="1"/>
  <c r="Q4637" i="1"/>
  <c r="Q4636" i="1"/>
  <c r="Q4635" i="1"/>
  <c r="Q4634" i="1"/>
  <c r="Q4633" i="1"/>
  <c r="Q4632" i="1"/>
  <c r="Q4631" i="1"/>
  <c r="Q4614" i="1"/>
  <c r="Q4613" i="1"/>
  <c r="Q4612" i="1"/>
  <c r="Q4611" i="1"/>
  <c r="Q4610" i="1"/>
  <c r="Q4609" i="1"/>
  <c r="Q4608" i="1"/>
  <c r="Q4607" i="1"/>
  <c r="Q4606" i="1"/>
  <c r="Q4605" i="1"/>
  <c r="Q4596" i="1"/>
  <c r="Q4595" i="1"/>
  <c r="Q4594" i="1"/>
  <c r="Q4529" i="1"/>
  <c r="Q4528" i="1"/>
  <c r="Q4523" i="1"/>
  <c r="Q4522" i="1"/>
  <c r="Q4521" i="1"/>
  <c r="Q4520" i="1"/>
  <c r="Q4519" i="1"/>
  <c r="Q4518" i="1"/>
  <c r="Q4517" i="1"/>
  <c r="Q4516" i="1"/>
  <c r="Q4515" i="1"/>
  <c r="Q4514" i="1"/>
  <c r="Q4513" i="1"/>
  <c r="Q4512" i="1"/>
  <c r="Q4511" i="1"/>
  <c r="Q4510" i="1"/>
  <c r="Q4509" i="1"/>
  <c r="Q4508" i="1"/>
  <c r="Q4500" i="1"/>
  <c r="Q4499" i="1"/>
  <c r="Q4462" i="1"/>
  <c r="Q4461" i="1"/>
  <c r="Q4460" i="1"/>
  <c r="Q4459" i="1"/>
  <c r="Q4443" i="1"/>
  <c r="Q4350" i="1"/>
  <c r="Q4349" i="1"/>
  <c r="Q4348" i="1"/>
  <c r="Q4347" i="1"/>
  <c r="Q4346" i="1"/>
  <c r="Q4266" i="1"/>
  <c r="Q4265" i="1"/>
  <c r="Q4264" i="1"/>
  <c r="Q4263" i="1"/>
  <c r="Q4262" i="1"/>
  <c r="Q4261" i="1"/>
  <c r="Q4258" i="1"/>
  <c r="Q4257" i="1"/>
  <c r="Q4256" i="1"/>
  <c r="Q4255" i="1"/>
  <c r="Q4254" i="1"/>
  <c r="Q4253" i="1"/>
  <c r="Q4252" i="1"/>
  <c r="Q4251" i="1"/>
  <c r="Q4250" i="1"/>
  <c r="Q4249" i="1"/>
  <c r="Q4248" i="1"/>
  <c r="Q4247" i="1"/>
  <c r="Q4246" i="1"/>
  <c r="Q4083" i="1"/>
  <c r="Q4082" i="1"/>
  <c r="Q3989" i="1"/>
  <c r="Q3988" i="1"/>
  <c r="Q3987" i="1"/>
  <c r="Q3986" i="1"/>
  <c r="Q3985" i="1"/>
  <c r="Q3984" i="1"/>
  <c r="Q3983" i="1"/>
  <c r="Q3982" i="1"/>
  <c r="Q3981" i="1"/>
  <c r="Q3980" i="1"/>
  <c r="Q3979" i="1"/>
  <c r="Q3978" i="1"/>
  <c r="Q3977" i="1"/>
  <c r="Q3976" i="1"/>
  <c r="Q3975" i="1"/>
  <c r="Q3970" i="1"/>
  <c r="Q3969" i="1"/>
  <c r="Q3968" i="1"/>
  <c r="Q3967" i="1"/>
  <c r="Q3966" i="1"/>
  <c r="Q3965" i="1"/>
  <c r="Q3596" i="1"/>
  <c r="Q3595" i="1"/>
  <c r="Q3594" i="1"/>
  <c r="Q3593" i="1"/>
  <c r="Q3592" i="1"/>
  <c r="Q3591" i="1"/>
  <c r="Q3590" i="1"/>
  <c r="Q3589" i="1"/>
  <c r="Q3404" i="1"/>
  <c r="Q3403" i="1"/>
  <c r="Q3402" i="1"/>
  <c r="Q3401" i="1"/>
  <c r="Q3400" i="1"/>
  <c r="Q3399" i="1"/>
  <c r="Q3398" i="1"/>
  <c r="Q3397" i="1"/>
  <c r="Q3396" i="1"/>
  <c r="Q3395" i="1"/>
  <c r="Q3394" i="1"/>
  <c r="Q3393" i="1"/>
  <c r="Q3392" i="1"/>
  <c r="Q3391" i="1"/>
  <c r="Q3390" i="1"/>
  <c r="Q3389" i="1"/>
  <c r="Q3388" i="1"/>
  <c r="Q3387" i="1"/>
  <c r="Q3386" i="1"/>
  <c r="Q3385" i="1"/>
  <c r="Q3384" i="1"/>
  <c r="Q3383" i="1"/>
  <c r="Q3382" i="1"/>
  <c r="Q3381" i="1"/>
  <c r="Q3380" i="1"/>
  <c r="Q3379" i="1"/>
  <c r="Q3378" i="1"/>
  <c r="Q3377" i="1"/>
  <c r="Q3376" i="1"/>
  <c r="Q3375" i="1"/>
  <c r="Q3374" i="1"/>
  <c r="Q3373" i="1"/>
  <c r="Q3372" i="1"/>
  <c r="Q3371" i="1"/>
  <c r="Q3370" i="1"/>
  <c r="Q3369" i="1"/>
  <c r="Q3368" i="1"/>
  <c r="Q3367" i="1"/>
  <c r="Q3366" i="1"/>
  <c r="Q3365" i="1"/>
  <c r="Q3364" i="1"/>
  <c r="Q3363" i="1"/>
  <c r="Q3362" i="1"/>
  <c r="Q3361" i="1"/>
  <c r="Q3360" i="1"/>
  <c r="Q3359" i="1"/>
  <c r="Q3358" i="1"/>
  <c r="Q3357" i="1"/>
  <c r="Q3356" i="1"/>
  <c r="Q3355" i="1"/>
  <c r="Q3354" i="1"/>
  <c r="Q3353" i="1"/>
  <c r="Q3352" i="1"/>
  <c r="Q3351" i="1"/>
  <c r="Q3350" i="1"/>
  <c r="Q3349" i="1"/>
  <c r="Q3348" i="1"/>
  <c r="Q3347" i="1"/>
  <c r="Q3346" i="1"/>
  <c r="Q3345" i="1"/>
  <c r="Q3344" i="1"/>
  <c r="Q3343" i="1"/>
  <c r="Q3342" i="1"/>
  <c r="Q3341" i="1"/>
  <c r="Q3340" i="1"/>
  <c r="Q3339" i="1"/>
  <c r="Q3338" i="1"/>
  <c r="Q3337" i="1"/>
  <c r="Q3336" i="1"/>
  <c r="Q3335" i="1"/>
  <c r="Q3334" i="1"/>
  <c r="Q3333" i="1"/>
  <c r="Q3332" i="1"/>
  <c r="Q3331" i="1"/>
  <c r="Q3330" i="1"/>
  <c r="Q3329" i="1"/>
  <c r="Q3328" i="1"/>
  <c r="Q3327" i="1"/>
  <c r="Q3326" i="1"/>
  <c r="Q3325" i="1"/>
  <c r="Q3324" i="1"/>
  <c r="Q3323" i="1"/>
  <c r="Q3322" i="1"/>
  <c r="Q3321" i="1"/>
  <c r="Q3320" i="1"/>
  <c r="Q3319" i="1"/>
  <c r="Q3318" i="1"/>
  <c r="Q3317" i="1"/>
  <c r="Q3316" i="1"/>
  <c r="Q3315" i="1"/>
  <c r="Q3314" i="1"/>
  <c r="Q3313" i="1"/>
  <c r="Q2842" i="1"/>
  <c r="Q2835" i="1"/>
  <c r="Q2834" i="1"/>
  <c r="Q2833" i="1"/>
  <c r="Q2832" i="1"/>
  <c r="Q2831" i="1"/>
  <c r="Q2830" i="1"/>
  <c r="Q2829" i="1"/>
  <c r="Q2828" i="1"/>
  <c r="Q2827" i="1"/>
  <c r="Q2826" i="1"/>
  <c r="Q2825" i="1"/>
  <c r="Q2824" i="1"/>
  <c r="Q2823" i="1"/>
  <c r="Q2822" i="1"/>
  <c r="Q2821" i="1"/>
  <c r="Q2820" i="1"/>
  <c r="Q2520" i="1"/>
  <c r="Q2519" i="1"/>
  <c r="Q2518" i="1"/>
  <c r="Q2517" i="1"/>
  <c r="Q2516" i="1"/>
  <c r="Q2515" i="1"/>
  <c r="Q2514" i="1"/>
  <c r="Q2513" i="1"/>
  <c r="Q2499" i="1"/>
  <c r="Q2498" i="1"/>
  <c r="Q2497" i="1"/>
  <c r="Q2496" i="1"/>
  <c r="Q2495" i="1"/>
  <c r="Q2489" i="1"/>
  <c r="Q2488" i="1"/>
  <c r="Q2487" i="1"/>
  <c r="Q2486" i="1"/>
  <c r="Q2485" i="1"/>
  <c r="Q2484" i="1"/>
  <c r="Q2469" i="1"/>
  <c r="Q2468" i="1"/>
  <c r="Q2467" i="1"/>
  <c r="Q2466" i="1"/>
  <c r="Q2465" i="1"/>
  <c r="Q2464" i="1"/>
  <c r="Q2463" i="1"/>
  <c r="Q2462" i="1"/>
  <c r="Q2461" i="1"/>
  <c r="Q2460" i="1"/>
  <c r="Q2459" i="1"/>
  <c r="Q2458" i="1"/>
  <c r="Q2457" i="1"/>
  <c r="Q2456" i="1"/>
  <c r="Q2455" i="1"/>
  <c r="Q2454" i="1"/>
  <c r="Q2453" i="1"/>
  <c r="Q2452" i="1"/>
  <c r="Q2451" i="1"/>
  <c r="Q2450" i="1"/>
  <c r="Q2449" i="1"/>
  <c r="Q2448" i="1"/>
  <c r="Q2447" i="1"/>
  <c r="Q2303" i="1"/>
  <c r="Q2302" i="1"/>
  <c r="Q2301" i="1"/>
  <c r="Q2300" i="1"/>
  <c r="Q2299" i="1"/>
  <c r="Q2297" i="1"/>
  <c r="Q2296" i="1"/>
  <c r="Q2133" i="1"/>
  <c r="Q2132" i="1"/>
  <c r="Q2131" i="1"/>
  <c r="Q2130" i="1"/>
  <c r="Q2129" i="1"/>
  <c r="Q2128" i="1"/>
  <c r="Q2127" i="1"/>
  <c r="Q2126" i="1"/>
  <c r="Q2125" i="1"/>
  <c r="Q2124" i="1"/>
  <c r="Q2123" i="1"/>
  <c r="Q2122" i="1"/>
  <c r="Q2121" i="1"/>
  <c r="Q2120" i="1"/>
  <c r="Q2119" i="1"/>
  <c r="Q2118" i="1"/>
  <c r="Q2117" i="1"/>
  <c r="Q2116" i="1"/>
  <c r="Q2115" i="1"/>
  <c r="Q2114" i="1"/>
  <c r="Q2113" i="1"/>
  <c r="Q2112" i="1"/>
  <c r="Q2111" i="1"/>
  <c r="Q2110" i="1"/>
  <c r="Q2109" i="1"/>
  <c r="Q2108" i="1"/>
  <c r="Q2107" i="1"/>
  <c r="Q2106" i="1"/>
  <c r="Q2105" i="1"/>
  <c r="Q2104" i="1"/>
  <c r="Q2103" i="1"/>
  <c r="Q2102" i="1"/>
  <c r="Q2101" i="1"/>
  <c r="Q2100" i="1"/>
  <c r="Q2099" i="1"/>
  <c r="Q2098" i="1"/>
  <c r="Q2097" i="1"/>
  <c r="Q2096" i="1"/>
  <c r="Q2095" i="1"/>
  <c r="Q2094" i="1"/>
  <c r="Q2093" i="1"/>
  <c r="Q2092" i="1"/>
  <c r="Q2091" i="1"/>
  <c r="Q2090" i="1"/>
  <c r="Q2089" i="1"/>
  <c r="Q2088" i="1"/>
  <c r="Q2087" i="1"/>
  <c r="Q2086" i="1"/>
  <c r="Q2085" i="1"/>
  <c r="Q2084" i="1"/>
  <c r="Q2083" i="1"/>
  <c r="Q2082" i="1"/>
  <c r="Q2081" i="1"/>
  <c r="Q2080" i="1"/>
  <c r="Q2079" i="1"/>
  <c r="Q2078" i="1"/>
  <c r="Q2077" i="1"/>
  <c r="Q2076" i="1"/>
  <c r="Q2075" i="1"/>
  <c r="Q2074" i="1"/>
  <c r="Q2073" i="1"/>
  <c r="Q2072" i="1"/>
  <c r="Q2071" i="1"/>
  <c r="Q2070" i="1"/>
  <c r="Q2069" i="1"/>
  <c r="Q2068" i="1"/>
  <c r="Q2067" i="1"/>
  <c r="Q2066" i="1"/>
  <c r="Q2065" i="1"/>
  <c r="Q2064" i="1"/>
  <c r="Q2063" i="1"/>
  <c r="Q2062" i="1"/>
  <c r="Q2061" i="1"/>
  <c r="Q2060" i="1"/>
  <c r="Q2059" i="1"/>
  <c r="Q2058" i="1"/>
  <c r="Q2057" i="1"/>
  <c r="Q2056" i="1"/>
  <c r="Q2055" i="1"/>
  <c r="Q2054" i="1"/>
  <c r="Q2053" i="1"/>
  <c r="Q2052" i="1"/>
  <c r="Q2051" i="1"/>
  <c r="Q2050" i="1"/>
  <c r="Q2049" i="1"/>
  <c r="Q2048" i="1"/>
  <c r="Q2047" i="1"/>
  <c r="Q2046" i="1"/>
  <c r="Q2045" i="1"/>
  <c r="Q2044" i="1"/>
  <c r="Q2043" i="1"/>
  <c r="Q2042" i="1"/>
  <c r="Q2041" i="1"/>
  <c r="Q2040" i="1"/>
  <c r="Q2039" i="1"/>
  <c r="Q1917" i="1"/>
  <c r="Q1898" i="1"/>
  <c r="Q1897" i="1"/>
  <c r="Q1896" i="1"/>
  <c r="Q1895" i="1"/>
  <c r="Q1884" i="1"/>
  <c r="Q1883" i="1"/>
  <c r="Q1881" i="1"/>
  <c r="Q1876" i="1"/>
  <c r="Q1857" i="1"/>
  <c r="Q1856" i="1"/>
  <c r="Q1849" i="1"/>
  <c r="Q1844" i="1"/>
  <c r="Q1843" i="1"/>
  <c r="Q1842" i="1"/>
  <c r="Q1817" i="1"/>
  <c r="Q1790" i="1"/>
  <c r="Q1789" i="1"/>
  <c r="Q1788" i="1"/>
  <c r="Q1786" i="1"/>
  <c r="Q1779" i="1"/>
  <c r="Q1778" i="1"/>
  <c r="Q1777" i="1"/>
  <c r="Q1776" i="1"/>
  <c r="Q1775" i="1"/>
  <c r="Q1774" i="1"/>
  <c r="Q1773" i="1"/>
  <c r="Q1772" i="1"/>
  <c r="Q1771" i="1"/>
  <c r="Q1770" i="1"/>
  <c r="Q1769" i="1"/>
  <c r="Q1768" i="1"/>
  <c r="Q1767" i="1"/>
  <c r="Q1766" i="1"/>
  <c r="Q1751" i="1"/>
  <c r="Q1750" i="1"/>
  <c r="Q1732" i="1"/>
  <c r="Q1731" i="1"/>
  <c r="Q1730" i="1"/>
  <c r="Q1728" i="1"/>
  <c r="Q1727" i="1"/>
  <c r="Q1726" i="1"/>
  <c r="Q1724" i="1"/>
  <c r="Q1723" i="1"/>
  <c r="Q1721" i="1"/>
  <c r="Q1715" i="1"/>
  <c r="Q1714" i="1"/>
  <c r="Q1713" i="1"/>
  <c r="Q1711" i="1"/>
  <c r="Q1710" i="1"/>
  <c r="Q1709" i="1"/>
  <c r="Q1708" i="1"/>
  <c r="Q1707" i="1"/>
  <c r="Q1706" i="1"/>
  <c r="Q1705" i="1"/>
  <c r="Q1704" i="1"/>
  <c r="Q1703" i="1"/>
  <c r="Q1702" i="1"/>
  <c r="Q1701" i="1"/>
  <c r="Q1700" i="1"/>
  <c r="Q1699" i="1"/>
  <c r="Q1695" i="1"/>
  <c r="Q1694" i="1"/>
  <c r="Q1692" i="1"/>
  <c r="Q1691" i="1"/>
  <c r="Q1690" i="1"/>
  <c r="Q1689" i="1"/>
  <c r="Q1683" i="1"/>
  <c r="Q1681" i="1"/>
  <c r="Q1680" i="1"/>
  <c r="Q1679" i="1"/>
  <c r="Q1677" i="1"/>
  <c r="Q1676" i="1"/>
  <c r="Q1675" i="1"/>
  <c r="Q1674" i="1"/>
  <c r="Q1673" i="1"/>
  <c r="Q1672" i="1"/>
  <c r="Q1671" i="1"/>
  <c r="Q1670" i="1"/>
  <c r="Q1669" i="1"/>
  <c r="Q1668" i="1"/>
  <c r="Q1667" i="1"/>
  <c r="Q1666" i="1"/>
  <c r="Q1665" i="1"/>
  <c r="Q1664" i="1"/>
  <c r="Q1661" i="1"/>
  <c r="Q1653" i="1"/>
  <c r="Q1652" i="1"/>
  <c r="Q1647" i="1"/>
  <c r="Q1642" i="1"/>
  <c r="Q1640" i="1"/>
  <c r="Q1639" i="1"/>
  <c r="Q1638" i="1"/>
  <c r="Q1636" i="1"/>
  <c r="Q1635" i="1"/>
  <c r="Q1633" i="1"/>
  <c r="Q1632" i="1"/>
  <c r="Q1631" i="1"/>
  <c r="Q1629" i="1"/>
  <c r="Q1628" i="1"/>
  <c r="Q1624" i="1"/>
  <c r="Q1595" i="1"/>
  <c r="Q1564" i="1"/>
  <c r="Q1563" i="1"/>
  <c r="Q1562" i="1"/>
  <c r="Q1561" i="1"/>
  <c r="Q1560" i="1"/>
  <c r="Q1559" i="1"/>
  <c r="Q1558" i="1"/>
  <c r="Q1557" i="1"/>
  <c r="Q1556" i="1"/>
  <c r="Q1555" i="1"/>
  <c r="Q1554" i="1"/>
  <c r="Q1553" i="1"/>
  <c r="Q1552" i="1"/>
  <c r="Q1551" i="1"/>
  <c r="Q1550" i="1"/>
  <c r="Q1549" i="1"/>
  <c r="Q1548" i="1"/>
  <c r="Q1546" i="1"/>
  <c r="Q1538" i="1"/>
  <c r="Q1537" i="1"/>
  <c r="Q1536" i="1"/>
  <c r="Q1535" i="1"/>
  <c r="Q1534" i="1"/>
  <c r="Q1533" i="1"/>
  <c r="Q1532" i="1"/>
  <c r="Q1531" i="1"/>
  <c r="Q1530" i="1"/>
  <c r="Q1529" i="1"/>
  <c r="Q1508" i="1"/>
  <c r="Q1507" i="1"/>
  <c r="Q1506" i="1"/>
  <c r="Q1505" i="1"/>
  <c r="Q1504" i="1"/>
  <c r="Q1503" i="1"/>
  <c r="Q1502" i="1"/>
  <c r="Q1501" i="1"/>
  <c r="Q1500" i="1"/>
  <c r="Q1499" i="1"/>
  <c r="Q1498" i="1"/>
  <c r="Q1497" i="1"/>
  <c r="Q1496" i="1"/>
  <c r="Q1495" i="1"/>
  <c r="Q1494" i="1"/>
  <c r="Q1493" i="1"/>
  <c r="Q1492" i="1"/>
  <c r="Q1490" i="1"/>
  <c r="Q1489" i="1"/>
  <c r="Q1486" i="1"/>
  <c r="Q1485" i="1"/>
  <c r="Q1484" i="1"/>
  <c r="Q1483" i="1"/>
  <c r="Q1482" i="1"/>
  <c r="Q1481" i="1"/>
  <c r="Q1480" i="1"/>
  <c r="Q1473" i="1"/>
  <c r="Q1471" i="1"/>
  <c r="Q1470" i="1"/>
  <c r="Q1469" i="1"/>
  <c r="Q1468" i="1"/>
  <c r="Q1452" i="1"/>
  <c r="Q1451" i="1"/>
  <c r="Q1450" i="1"/>
  <c r="Q1448" i="1"/>
  <c r="Q1445" i="1"/>
  <c r="Q1444" i="1"/>
  <c r="Q1443" i="1"/>
  <c r="Q1442" i="1"/>
  <c r="Q1440" i="1"/>
  <c r="Q1439" i="1"/>
  <c r="Q1438" i="1"/>
  <c r="Q1431" i="1"/>
  <c r="Q1422" i="1"/>
  <c r="Q1421" i="1"/>
  <c r="Q1420" i="1"/>
  <c r="Q1419" i="1"/>
  <c r="Q1355" i="1"/>
  <c r="Q1354" i="1"/>
  <c r="Q1353" i="1"/>
  <c r="Q1352" i="1"/>
  <c r="Q1351" i="1"/>
  <c r="Q1350" i="1"/>
  <c r="Q1349" i="1"/>
  <c r="Q1348" i="1"/>
  <c r="Q1347" i="1"/>
  <c r="Q1346" i="1"/>
  <c r="Q1345" i="1"/>
  <c r="Q1344" i="1"/>
  <c r="Q1343" i="1"/>
  <c r="Q1342" i="1"/>
  <c r="Q1341" i="1"/>
  <c r="Q1340" i="1"/>
  <c r="Q1339" i="1"/>
  <c r="Q1338" i="1"/>
  <c r="Q1337" i="1"/>
  <c r="Q1336" i="1"/>
  <c r="Q1335" i="1"/>
  <c r="Q1334" i="1"/>
  <c r="Q1333" i="1"/>
  <c r="Q1332" i="1"/>
  <c r="Q1331" i="1"/>
  <c r="Q1330" i="1"/>
  <c r="Q1329" i="1"/>
  <c r="Q1328" i="1"/>
  <c r="Q1327" i="1"/>
  <c r="Q1326" i="1"/>
  <c r="Q1325" i="1"/>
  <c r="Q1324" i="1"/>
  <c r="Q1323" i="1"/>
  <c r="Q1322" i="1"/>
  <c r="Q1321" i="1"/>
  <c r="Q1320" i="1"/>
  <c r="Q1319" i="1"/>
  <c r="Q1318" i="1"/>
  <c r="Q1312" i="1"/>
  <c r="Q1311" i="1"/>
  <c r="Q1310" i="1"/>
  <c r="Q1940" i="1"/>
  <c r="Q1246" i="1"/>
  <c r="Q1203" i="1"/>
  <c r="Q1193" i="1"/>
  <c r="Q1192" i="1"/>
  <c r="Q1189" i="1"/>
  <c r="Q1188" i="1"/>
  <c r="Q1160" i="1"/>
  <c r="Q1159" i="1"/>
  <c r="Q1152" i="1"/>
  <c r="Q1151" i="1"/>
  <c r="Q1150" i="1"/>
  <c r="Q1141" i="1"/>
  <c r="Q1140" i="1"/>
  <c r="Q998" i="1"/>
  <c r="Q989" i="1"/>
  <c r="Q984" i="1"/>
  <c r="Q983" i="1"/>
  <c r="Q886" i="1"/>
  <c r="Q879" i="1"/>
  <c r="Q878" i="1"/>
  <c r="Q864" i="1"/>
  <c r="Q863" i="1"/>
  <c r="Q862" i="1"/>
  <c r="Q808" i="1"/>
  <c r="Q628" i="1"/>
  <c r="Q597" i="1"/>
  <c r="Q556" i="1"/>
  <c r="Q555" i="1"/>
  <c r="Q554" i="1"/>
  <c r="Q553" i="1"/>
  <c r="Q540" i="1"/>
  <c r="Q480" i="1"/>
  <c r="Q457" i="1"/>
  <c r="Q456" i="1"/>
  <c r="Q452" i="1"/>
  <c r="Q413" i="1"/>
  <c r="Q412" i="1"/>
  <c r="Q411" i="1"/>
  <c r="Q410" i="1"/>
  <c r="Q409" i="1"/>
  <c r="Q408" i="1"/>
  <c r="Q407" i="1"/>
  <c r="Q393" i="1"/>
  <c r="Q392" i="1"/>
  <c r="Q385" i="1"/>
  <c r="Q382" i="1"/>
  <c r="Q381" i="1"/>
  <c r="Q380" i="1"/>
  <c r="Q362" i="1"/>
  <c r="Q324" i="1"/>
  <c r="Q298" i="1"/>
  <c r="Q268" i="1"/>
  <c r="Q258" i="1"/>
  <c r="Q240" i="1"/>
  <c r="Q209" i="1"/>
  <c r="Q199" i="1"/>
  <c r="Q198" i="1"/>
  <c r="Q197" i="1"/>
  <c r="Q195" i="1"/>
  <c r="Q194" i="1"/>
  <c r="Q193" i="1"/>
  <c r="Q192" i="1"/>
  <c r="Q191" i="1"/>
  <c r="Q190" i="1"/>
  <c r="Q189" i="1"/>
  <c r="Q188" i="1"/>
  <c r="Q187" i="1"/>
  <c r="Q186" i="1"/>
  <c r="Q184" i="1"/>
  <c r="Q163" i="1"/>
  <c r="Q121" i="1"/>
  <c r="Q109" i="1"/>
  <c r="Q104" i="1"/>
  <c r="Q102" i="1"/>
  <c r="Q53" i="1"/>
  <c r="Q1954" i="1"/>
  <c r="Q1939" i="1"/>
  <c r="Q1938" i="1"/>
  <c r="Q1254" i="1"/>
  <c r="Q1244" i="1"/>
  <c r="Q1197" i="1"/>
  <c r="Q1176" i="1"/>
  <c r="Q1165" i="1"/>
  <c r="Q6679" i="1"/>
  <c r="Q1080" i="1"/>
  <c r="Q1030" i="1"/>
  <c r="Q1014" i="1"/>
  <c r="Q1013" i="1"/>
  <c r="Q1012" i="1"/>
  <c r="Q1011" i="1"/>
  <c r="Q1010" i="1"/>
  <c r="Q1009" i="1"/>
  <c r="Q946" i="1"/>
  <c r="Q893" i="1"/>
  <c r="Q765" i="1"/>
  <c r="Q764" i="1"/>
  <c r="Q763" i="1"/>
  <c r="Q762" i="1"/>
  <c r="Q6497" i="1"/>
  <c r="Q578" i="1"/>
  <c r="Q575" i="1"/>
  <c r="Q473" i="1"/>
  <c r="Q460" i="1"/>
  <c r="Q430" i="1"/>
  <c r="Q429" i="1"/>
  <c r="Q6454" i="1"/>
  <c r="Q428" i="1"/>
  <c r="Q427" i="1"/>
  <c r="Q6462" i="1"/>
  <c r="Q426" i="1"/>
  <c r="Q425" i="1"/>
  <c r="Q424" i="1"/>
  <c r="Q423" i="1"/>
  <c r="Q374" i="1"/>
  <c r="Q372" i="1"/>
  <c r="Q371" i="1"/>
  <c r="Q370" i="1"/>
  <c r="Q369" i="1"/>
  <c r="Q344" i="1"/>
  <c r="Q343" i="1"/>
  <c r="Q342" i="1"/>
  <c r="Q341" i="1"/>
  <c r="Q340" i="1"/>
  <c r="Q336" i="1"/>
  <c r="Q335" i="1"/>
  <c r="Q334" i="1"/>
  <c r="Q333" i="1"/>
  <c r="Q332" i="1"/>
  <c r="Q331" i="1"/>
  <c r="Q330" i="1"/>
  <c r="Q262" i="1"/>
  <c r="Q252" i="1"/>
  <c r="Q251" i="1"/>
  <c r="Q149" i="1"/>
  <c r="Q148" i="1"/>
  <c r="Q70" i="1"/>
  <c r="Q69" i="1"/>
  <c r="Q68" i="1"/>
  <c r="Q67" i="1"/>
  <c r="Q66" i="1"/>
  <c r="Q60" i="1"/>
  <c r="Q39" i="1"/>
  <c r="Q38" i="1"/>
  <c r="Q37" i="1"/>
  <c r="Q36" i="1"/>
  <c r="Q35" i="1"/>
  <c r="Q1944" i="1"/>
  <c r="Q6297" i="1"/>
  <c r="Q6326" i="1"/>
  <c r="Q6876" i="1"/>
  <c r="Q6835" i="1"/>
  <c r="Q6878" i="1"/>
  <c r="Q6818" i="1"/>
  <c r="Q6567" i="1"/>
  <c r="Q6525" i="1"/>
  <c r="Q6634" i="1"/>
  <c r="Q6536" i="1"/>
  <c r="Q6506" i="1"/>
  <c r="Q6502" i="1"/>
  <c r="Q6473" i="1"/>
  <c r="Q6519" i="1"/>
  <c r="Q6521" i="1"/>
  <c r="Q6316" i="1"/>
  <c r="Q6277" i="1"/>
  <c r="Q6494" i="1"/>
  <c r="Q6836" i="1"/>
  <c r="Q6470" i="1"/>
  <c r="Q6269" i="1"/>
  <c r="Q6551" i="1"/>
  <c r="Q6447" i="1"/>
  <c r="Q1306" i="1"/>
  <c r="Q1212" i="1"/>
  <c r="Q1211" i="1"/>
  <c r="Q1199" i="1"/>
  <c r="Q1198" i="1"/>
  <c r="Q1184" i="1"/>
  <c r="Q1183" i="1"/>
  <c r="Q1182" i="1"/>
  <c r="Q1181" i="1"/>
  <c r="Q902" i="1"/>
  <c r="Q901" i="1"/>
  <c r="Q885" i="1"/>
  <c r="Q883" i="1"/>
  <c r="Q6699" i="1"/>
  <c r="Q6816" i="1"/>
  <c r="Q854" i="1"/>
  <c r="Q590" i="1"/>
  <c r="Q584" i="1"/>
  <c r="Q577" i="1"/>
  <c r="Q444" i="1"/>
  <c r="Q443" i="1"/>
  <c r="Q442" i="1"/>
  <c r="Q441" i="1"/>
  <c r="Q440" i="1"/>
  <c r="Q439" i="1"/>
  <c r="Q438" i="1"/>
  <c r="Q437" i="1"/>
  <c r="Q436" i="1"/>
  <c r="Q435" i="1"/>
  <c r="Q434" i="1"/>
  <c r="Q433" i="1"/>
  <c r="Q404" i="1"/>
  <c r="Q403" i="1"/>
  <c r="Q402" i="1"/>
  <c r="Q401" i="1"/>
  <c r="Q400" i="1"/>
  <c r="Q399" i="1"/>
  <c r="Q398" i="1"/>
  <c r="Q397" i="1"/>
  <c r="Q396" i="1"/>
  <c r="Q384" i="1"/>
  <c r="Q377" i="1"/>
  <c r="Q357" i="1"/>
  <c r="Q356" i="1"/>
  <c r="Q355" i="1"/>
  <c r="Q354" i="1"/>
  <c r="Q353" i="1"/>
  <c r="Q352" i="1"/>
  <c r="Q351" i="1"/>
  <c r="Q350" i="1"/>
  <c r="Q349" i="1"/>
  <c r="Q321" i="1"/>
  <c r="Q292" i="1"/>
  <c r="Q266" i="1"/>
  <c r="Q256" i="1"/>
  <c r="Q211" i="1"/>
  <c r="Q208" i="1"/>
  <c r="Q207" i="1"/>
  <c r="Q206" i="1"/>
  <c r="Q203" i="1"/>
  <c r="Q181" i="1"/>
  <c r="Q173" i="1"/>
  <c r="Q153" i="1"/>
  <c r="Q152" i="1"/>
  <c r="Q151" i="1"/>
  <c r="Q150" i="1"/>
  <c r="Q140" i="1"/>
  <c r="Q127" i="1"/>
  <c r="Q123" i="1"/>
  <c r="Q112" i="1"/>
  <c r="Q52" i="1"/>
  <c r="Q33" i="1"/>
  <c r="Q1950" i="1"/>
  <c r="Q1949" i="1"/>
  <c r="Q1308" i="1"/>
  <c r="Q1302" i="1"/>
  <c r="Q1249" i="1"/>
  <c r="Q1196" i="1"/>
  <c r="Q1195" i="1"/>
  <c r="Q1194" i="1"/>
  <c r="Q1190" i="1"/>
  <c r="Q1186" i="1"/>
  <c r="Q1185" i="1"/>
  <c r="Q1178" i="1"/>
  <c r="Q1177" i="1"/>
  <c r="Q1175" i="1"/>
  <c r="Q1174" i="1"/>
  <c r="Q1173" i="1"/>
  <c r="Q1172" i="1"/>
  <c r="Q1171" i="1"/>
  <c r="Q1170" i="1"/>
  <c r="Q1169" i="1"/>
  <c r="Q1168" i="1"/>
  <c r="Q1167" i="1"/>
  <c r="Q1166" i="1"/>
  <c r="Q1158" i="1"/>
  <c r="Q1157" i="1"/>
  <c r="Q1156" i="1"/>
  <c r="Q1155" i="1"/>
  <c r="Q1154" i="1"/>
  <c r="Q1153" i="1"/>
  <c r="Q1142" i="1"/>
  <c r="Q6656" i="1"/>
  <c r="Q1112" i="1"/>
  <c r="Q1111" i="1"/>
  <c r="Q1110" i="1"/>
  <c r="Q1071" i="1"/>
  <c r="Q1041" i="1"/>
  <c r="Q1040" i="1"/>
  <c r="Q1039" i="1"/>
  <c r="Q1038" i="1"/>
  <c r="Q1037" i="1"/>
  <c r="Q1036" i="1"/>
  <c r="Q1035" i="1"/>
  <c r="Q1034" i="1"/>
  <c r="Q1033" i="1"/>
  <c r="Q1032" i="1"/>
  <c r="Q1031" i="1"/>
  <c r="Q1029" i="1"/>
  <c r="Q1028" i="1"/>
  <c r="Q1027" i="1"/>
  <c r="Q1026" i="1"/>
  <c r="Q1025" i="1"/>
  <c r="Q1018" i="1"/>
  <c r="Q1017" i="1"/>
  <c r="Q1016" i="1"/>
  <c r="Q1015" i="1"/>
  <c r="Q993" i="1"/>
  <c r="Q992" i="1"/>
  <c r="Q991" i="1"/>
  <c r="Q990" i="1"/>
  <c r="Q982" i="1"/>
  <c r="Q947" i="1"/>
  <c r="Q900" i="1"/>
  <c r="Q899" i="1"/>
  <c r="Q898" i="1"/>
  <c r="Q897" i="1"/>
  <c r="Q896" i="1"/>
  <c r="Q6738" i="1"/>
  <c r="Q6734" i="1"/>
  <c r="Q6586" i="1"/>
  <c r="Q6757" i="1"/>
  <c r="Q6685" i="1"/>
  <c r="Q6695" i="1"/>
  <c r="Q895" i="1"/>
  <c r="Q6775" i="1"/>
  <c r="Q892" i="1"/>
  <c r="Q6756" i="1"/>
  <c r="Q6682" i="1"/>
  <c r="Q6694" i="1"/>
  <c r="Q6759" i="1"/>
  <c r="Q6627" i="1"/>
  <c r="Q6693" i="1"/>
  <c r="Q859" i="1"/>
  <c r="Q858" i="1"/>
  <c r="Q799" i="1"/>
  <c r="Q798" i="1"/>
  <c r="Q797" i="1"/>
  <c r="Q796" i="1"/>
  <c r="Q795" i="1"/>
  <c r="Q794" i="1"/>
  <c r="Q793" i="1"/>
  <c r="Q792" i="1"/>
  <c r="Q791" i="1"/>
  <c r="Q790" i="1"/>
  <c r="Q789" i="1"/>
  <c r="Q788" i="1"/>
  <c r="Q787" i="1"/>
  <c r="Q786" i="1"/>
  <c r="Q785" i="1"/>
  <c r="Q784" i="1"/>
  <c r="Q783" i="1"/>
  <c r="Q782" i="1"/>
  <c r="Q781" i="1"/>
  <c r="Q780" i="1"/>
  <c r="Q779" i="1"/>
  <c r="Q778" i="1"/>
  <c r="Q777" i="1"/>
  <c r="Q776" i="1"/>
  <c r="Q775" i="1"/>
  <c r="Q774" i="1"/>
  <c r="Q773" i="1"/>
  <c r="Q772" i="1"/>
  <c r="Q771" i="1"/>
  <c r="Q770" i="1"/>
  <c r="Q769" i="1"/>
  <c r="Q768" i="1"/>
  <c r="Q767" i="1"/>
  <c r="Q766" i="1"/>
  <c r="Q752" i="1"/>
  <c r="Q751" i="1"/>
  <c r="Q750" i="1"/>
  <c r="Q749" i="1"/>
  <c r="Q748" i="1"/>
  <c r="Q747" i="1"/>
  <c r="Q746" i="1"/>
  <c r="Q745" i="1"/>
  <c r="Q744" i="1"/>
  <c r="Q743" i="1"/>
  <c r="Q742" i="1"/>
  <c r="Q741" i="1"/>
  <c r="Q740" i="1"/>
  <c r="Q739" i="1"/>
  <c r="Q738" i="1"/>
  <c r="Q737" i="1"/>
  <c r="Q6534" i="1"/>
  <c r="Q736" i="1"/>
  <c r="Q735" i="1"/>
  <c r="Q734" i="1"/>
  <c r="Q733" i="1"/>
  <c r="Q732" i="1"/>
  <c r="Q731" i="1"/>
  <c r="Q730" i="1"/>
  <c r="Q729" i="1"/>
  <c r="Q728" i="1"/>
  <c r="Q727" i="1"/>
  <c r="Q6527" i="1"/>
  <c r="Q6499" i="1"/>
  <c r="Q682" i="1"/>
  <c r="Q681" i="1"/>
  <c r="Q680" i="1"/>
  <c r="Q679" i="1"/>
  <c r="Q678" i="1"/>
  <c r="Q677" i="1"/>
  <c r="Q676" i="1"/>
  <c r="Q675" i="1"/>
  <c r="Q674" i="1"/>
  <c r="Q673" i="1"/>
  <c r="Q672" i="1"/>
  <c r="Q671" i="1"/>
  <c r="Q670" i="1"/>
  <c r="Q669" i="1"/>
  <c r="Q668" i="1"/>
  <c r="Q667" i="1"/>
  <c r="Q666" i="1"/>
  <c r="Q665" i="1"/>
  <c r="Q664" i="1"/>
  <c r="Q663" i="1"/>
  <c r="Q662" i="1"/>
  <c r="Q661" i="1"/>
  <c r="Q660" i="1"/>
  <c r="Q659" i="1"/>
  <c r="Q658" i="1"/>
  <c r="Q657" i="1"/>
  <c r="Q656" i="1"/>
  <c r="Q655" i="1"/>
  <c r="Q654" i="1"/>
  <c r="Q653" i="1"/>
  <c r="Q652" i="1"/>
  <c r="Q651" i="1"/>
  <c r="Q650" i="1"/>
  <c r="Q649" i="1"/>
  <c r="Q648" i="1"/>
  <c r="Q647" i="1"/>
  <c r="Q646" i="1"/>
  <c r="Q645" i="1"/>
  <c r="Q644" i="1"/>
  <c r="Q643" i="1"/>
  <c r="Q642" i="1"/>
  <c r="Q641" i="1"/>
  <c r="Q640" i="1"/>
  <c r="Q639" i="1"/>
  <c r="Q638" i="1"/>
  <c r="Q637" i="1"/>
  <c r="Q636" i="1"/>
  <c r="Q635" i="1"/>
  <c r="Q634" i="1"/>
  <c r="Q633" i="1"/>
  <c r="Q632" i="1"/>
  <c r="Q631" i="1"/>
  <c r="Q630" i="1"/>
  <c r="Q629" i="1"/>
  <c r="Q623" i="1"/>
  <c r="Q622" i="1"/>
  <c r="Q621" i="1"/>
  <c r="Q620" i="1"/>
  <c r="Q619" i="1"/>
  <c r="Q618" i="1"/>
  <c r="Q617" i="1"/>
  <c r="Q616" i="1"/>
  <c r="Q615" i="1"/>
  <c r="Q614" i="1"/>
  <c r="Q604" i="1"/>
  <c r="Q603" i="1"/>
  <c r="Q602" i="1"/>
  <c r="Q601" i="1"/>
  <c r="Q600" i="1"/>
  <c r="Q596" i="1"/>
  <c r="Q595" i="1"/>
  <c r="Q594" i="1"/>
  <c r="Q6448" i="1"/>
  <c r="Q592" i="1"/>
  <c r="Q583" i="1"/>
  <c r="Q579" i="1"/>
  <c r="Q573" i="1"/>
  <c r="Q566" i="1"/>
  <c r="Q565" i="1"/>
  <c r="Q564" i="1"/>
  <c r="Q563" i="1"/>
  <c r="Q562" i="1"/>
  <c r="Q560" i="1"/>
  <c r="Q548" i="1"/>
  <c r="Q547" i="1"/>
  <c r="Q546" i="1"/>
  <c r="Q545" i="1"/>
  <c r="Q477" i="1"/>
  <c r="Q476" i="1"/>
  <c r="Q461" i="1"/>
  <c r="Q455" i="1"/>
  <c r="Q432" i="1"/>
  <c r="Q431" i="1"/>
  <c r="Q6445" i="1"/>
  <c r="Q6441" i="1"/>
  <c r="Q6433" i="1"/>
  <c r="Q383" i="1"/>
  <c r="Q346" i="1"/>
  <c r="Q345" i="1"/>
  <c r="Q337" i="1"/>
  <c r="Q322" i="1"/>
  <c r="Q320" i="1"/>
  <c r="Q316" i="1"/>
  <c r="Q315" i="1"/>
  <c r="Q314" i="1"/>
  <c r="Q313" i="1"/>
  <c r="Q312" i="1"/>
  <c r="Q311" i="1"/>
  <c r="Q297" i="1"/>
  <c r="Q293" i="1"/>
  <c r="Q289" i="1"/>
  <c r="Q272" i="1"/>
  <c r="Q263" i="1"/>
  <c r="Q254" i="1"/>
  <c r="Q200" i="1"/>
  <c r="Q171" i="1"/>
  <c r="Q169" i="1"/>
  <c r="Q165" i="1"/>
  <c r="Q160" i="1"/>
  <c r="Q126" i="1"/>
  <c r="Q95" i="1"/>
  <c r="Q94" i="1"/>
  <c r="Q84" i="1"/>
  <c r="Q83" i="1"/>
  <c r="Q82" i="1"/>
  <c r="Q80" i="1"/>
  <c r="Q64" i="1"/>
  <c r="Q63" i="1"/>
  <c r="Q62" i="1"/>
  <c r="Q61" i="1"/>
  <c r="Q51" i="1"/>
  <c r="Q48" i="1"/>
  <c r="Q46" i="1"/>
  <c r="Q45" i="1"/>
  <c r="Q43" i="1"/>
  <c r="Q42" i="1"/>
  <c r="Q23" i="1"/>
  <c r="Q22" i="1"/>
  <c r="Q21" i="1"/>
  <c r="Q20" i="1"/>
  <c r="Q19" i="1"/>
  <c r="Q1245" i="1"/>
  <c r="Q1227" i="1"/>
  <c r="Q1226" i="1"/>
  <c r="Q1225" i="1"/>
  <c r="Q1224" i="1"/>
  <c r="Q1223" i="1"/>
  <c r="Q1222" i="1"/>
  <c r="Q1217" i="1"/>
  <c r="Q1210" i="1"/>
  <c r="Q1209" i="1"/>
  <c r="Q1208" i="1"/>
  <c r="Q1207" i="1"/>
  <c r="Q1204" i="1"/>
  <c r="Q1146" i="1"/>
  <c r="Q6744" i="1"/>
  <c r="Q1137" i="1"/>
  <c r="Q1127" i="1"/>
  <c r="Q1126" i="1"/>
  <c r="Q1124" i="1"/>
  <c r="Q1123" i="1"/>
  <c r="Q1121" i="1"/>
  <c r="Q1120" i="1"/>
  <c r="Q1119" i="1"/>
  <c r="Q1118" i="1"/>
  <c r="Q1117" i="1"/>
  <c r="Q1116" i="1"/>
  <c r="Q1115" i="1"/>
  <c r="Q1114" i="1"/>
  <c r="Q1108" i="1"/>
  <c r="Q1107" i="1"/>
  <c r="Q1106" i="1"/>
  <c r="Q1104" i="1"/>
  <c r="Q1103" i="1"/>
  <c r="Q1102" i="1"/>
  <c r="Q1101" i="1"/>
  <c r="Q1100" i="1"/>
  <c r="Q1099" i="1"/>
  <c r="Q1098" i="1"/>
  <c r="Q1097" i="1"/>
  <c r="Q1096" i="1"/>
  <c r="Q1095" i="1"/>
  <c r="Q1088" i="1"/>
  <c r="Q1087" i="1"/>
  <c r="Q1086" i="1"/>
  <c r="Q1085" i="1"/>
  <c r="Q1084" i="1"/>
  <c r="Q1079" i="1"/>
  <c r="Q903" i="1"/>
  <c r="Q884" i="1"/>
  <c r="Q857" i="1"/>
  <c r="Q804" i="1"/>
  <c r="Q803" i="1"/>
  <c r="Q6516" i="1"/>
  <c r="Q6501" i="1"/>
  <c r="Q6492" i="1"/>
  <c r="Q802" i="1"/>
  <c r="Q801" i="1"/>
  <c r="Q691" i="1"/>
  <c r="Q690" i="1"/>
  <c r="Q689" i="1"/>
  <c r="Q688" i="1"/>
  <c r="Q627" i="1"/>
  <c r="Q608" i="1"/>
  <c r="Q598" i="1"/>
  <c r="Q589" i="1"/>
  <c r="Q588" i="1"/>
  <c r="Q587" i="1"/>
  <c r="Q586" i="1"/>
  <c r="Q585" i="1"/>
  <c r="Q582" i="1"/>
  <c r="Q581" i="1"/>
  <c r="Q580" i="1"/>
  <c r="Q576" i="1"/>
  <c r="Q559" i="1"/>
  <c r="Q557" i="1"/>
  <c r="Q544" i="1"/>
  <c r="Q543" i="1"/>
  <c r="Q518" i="1"/>
  <c r="Q517" i="1"/>
  <c r="Q516" i="1"/>
  <c r="Q515" i="1"/>
  <c r="Q514" i="1"/>
  <c r="Q462" i="1"/>
  <c r="Q454" i="1"/>
  <c r="Q453" i="1"/>
  <c r="Q451" i="1"/>
  <c r="Q449" i="1"/>
  <c r="Q448" i="1"/>
  <c r="Q6449" i="1"/>
  <c r="Q6435" i="1"/>
  <c r="Q447" i="1"/>
  <c r="Q446" i="1"/>
  <c r="Q445" i="1"/>
  <c r="Q6460" i="1"/>
  <c r="Q6481" i="1"/>
  <c r="Q6471" i="1"/>
  <c r="Q414" i="1"/>
  <c r="Q391" i="1"/>
  <c r="Q390" i="1"/>
  <c r="Q389" i="1"/>
  <c r="Q388" i="1"/>
  <c r="Q375" i="1"/>
  <c r="Q310" i="1"/>
  <c r="Q309" i="1"/>
  <c r="Q308" i="1"/>
  <c r="Q307" i="1"/>
  <c r="Q306" i="1"/>
  <c r="Q305" i="1"/>
  <c r="Q304" i="1"/>
  <c r="Q303" i="1"/>
  <c r="Q302" i="1"/>
  <c r="Q301" i="1"/>
  <c r="Q299" i="1"/>
  <c r="Q296" i="1"/>
  <c r="Q295" i="1"/>
  <c r="Q294" i="1"/>
  <c r="Q291" i="1"/>
  <c r="Q290" i="1"/>
  <c r="Q284" i="1"/>
  <c r="Q283" i="1"/>
  <c r="Q282" i="1"/>
  <c r="Q281" i="1"/>
  <c r="Q278" i="1"/>
  <c r="Q277" i="1"/>
  <c r="Q276" i="1"/>
  <c r="Q275" i="1"/>
  <c r="Q274" i="1"/>
  <c r="Q273" i="1"/>
  <c r="Q267" i="1"/>
  <c r="Q241" i="1"/>
  <c r="Q238" i="1"/>
  <c r="Q234" i="1"/>
  <c r="Q164" i="1"/>
  <c r="Q161" i="1"/>
  <c r="Q158" i="1"/>
  <c r="Q144" i="1"/>
  <c r="Q143" i="1"/>
  <c r="Q142" i="1"/>
  <c r="Q139" i="1"/>
  <c r="Q136" i="1"/>
  <c r="Q133" i="1"/>
  <c r="Q114" i="1"/>
  <c r="Q111" i="1"/>
  <c r="Q110" i="1"/>
  <c r="Q108" i="1"/>
  <c r="Q17" i="1"/>
  <c r="Q41" i="1"/>
  <c r="Q1952" i="1"/>
  <c r="Q1951" i="1"/>
  <c r="Q1948" i="1"/>
  <c r="Q1947" i="1"/>
  <c r="Q1946" i="1"/>
  <c r="Q1945" i="1"/>
  <c r="Q1301" i="1"/>
  <c r="Q1255" i="1"/>
  <c r="Q1243" i="1"/>
  <c r="Q1242" i="1"/>
  <c r="Q1241" i="1"/>
  <c r="Q1240" i="1"/>
  <c r="Q1239" i="1"/>
  <c r="Q1238" i="1"/>
  <c r="Q1237" i="1"/>
  <c r="Q1236" i="1"/>
  <c r="Q1235" i="1"/>
  <c r="Q1234" i="1"/>
  <c r="Q1233" i="1"/>
  <c r="Q1232" i="1"/>
  <c r="Q1231" i="1"/>
  <c r="Q1230" i="1"/>
  <c r="Q1229" i="1"/>
  <c r="Q1228" i="1"/>
  <c r="Q1221" i="1"/>
  <c r="Q1220" i="1"/>
  <c r="Q1219" i="1"/>
  <c r="Q1218" i="1"/>
  <c r="Q1216" i="1"/>
  <c r="Q1215" i="1"/>
  <c r="Q1214" i="1"/>
  <c r="Q1213" i="1"/>
  <c r="Q1206" i="1"/>
  <c r="Q1205" i="1"/>
  <c r="Q1162" i="1"/>
  <c r="Q1148" i="1"/>
  <c r="Q1128" i="1"/>
  <c r="Q1122" i="1"/>
  <c r="Q1109" i="1"/>
  <c r="Q1076" i="1"/>
  <c r="Q1075" i="1"/>
  <c r="Q999" i="1"/>
  <c r="Q6688" i="1"/>
  <c r="Q880" i="1"/>
  <c r="Q861" i="1"/>
  <c r="Q860" i="1"/>
  <c r="Q6823" i="1"/>
  <c r="Q856" i="1"/>
  <c r="Q855" i="1"/>
  <c r="Q800" i="1"/>
  <c r="Q720" i="1"/>
  <c r="Q719" i="1"/>
  <c r="Q718" i="1"/>
  <c r="Q717" i="1"/>
  <c r="Q716" i="1"/>
  <c r="Q692" i="1"/>
  <c r="Q687" i="1"/>
  <c r="Q686" i="1"/>
  <c r="Q685" i="1"/>
  <c r="Q684" i="1"/>
  <c r="Q683" i="1"/>
  <c r="Q626" i="1"/>
  <c r="Q625" i="1"/>
  <c r="Q624" i="1"/>
  <c r="Q613" i="1"/>
  <c r="Q612" i="1"/>
  <c r="Q611" i="1"/>
  <c r="Q610" i="1"/>
  <c r="Q599" i="1"/>
  <c r="Q539" i="1"/>
  <c r="Q535" i="1"/>
  <c r="Q534" i="1"/>
  <c r="Q472" i="1"/>
  <c r="Q463" i="1"/>
  <c r="Q458" i="1"/>
  <c r="Q395" i="1"/>
  <c r="Q394" i="1"/>
  <c r="Q387" i="1"/>
  <c r="Q386" i="1"/>
  <c r="Q379" i="1"/>
  <c r="Q368" i="1"/>
  <c r="Q367" i="1"/>
  <c r="Q366" i="1"/>
  <c r="Q365" i="1"/>
  <c r="Q326" i="1"/>
  <c r="Q325" i="1"/>
  <c r="Q323" i="1"/>
  <c r="Q300" i="1"/>
  <c r="Q280" i="1"/>
  <c r="Q279" i="1"/>
  <c r="Q271" i="1"/>
  <c r="Q270" i="1"/>
  <c r="Q257" i="1"/>
  <c r="Q239" i="1"/>
  <c r="Q196" i="1"/>
  <c r="Q185" i="1"/>
  <c r="Q183" i="1"/>
  <c r="Q182" i="1"/>
  <c r="Q177" i="1"/>
  <c r="Q176" i="1"/>
  <c r="Q175" i="1"/>
  <c r="Q174" i="1"/>
  <c r="Q167" i="1"/>
  <c r="Q166" i="1"/>
  <c r="Q162" i="1"/>
  <c r="Q157" i="1"/>
  <c r="Q156" i="1"/>
  <c r="Q155" i="1"/>
  <c r="Q154" i="1"/>
  <c r="Q147" i="1"/>
  <c r="Q141" i="1"/>
  <c r="Q124" i="1"/>
  <c r="Q106" i="1"/>
  <c r="Q105" i="1"/>
  <c r="Q93" i="1"/>
  <c r="Q92" i="1"/>
  <c r="Q72" i="1"/>
  <c r="Q71" i="1"/>
  <c r="Q56" i="1"/>
  <c r="Q49" i="1"/>
  <c r="Q16" i="1"/>
  <c r="Q6510" i="1"/>
  <c r="Q6855" i="1"/>
  <c r="Q6883" i="1"/>
  <c r="Q6637" i="1"/>
  <c r="Q6711" i="1"/>
  <c r="Q6370" i="1"/>
  <c r="Q6875" i="1"/>
  <c r="Q6750" i="1"/>
  <c r="Q6921" i="1"/>
  <c r="Q6557" i="1"/>
  <c r="Q6330" i="1"/>
  <c r="Q6361" i="1"/>
  <c r="Q6852" i="1"/>
  <c r="Q6689" i="1"/>
  <c r="Q6874" i="1"/>
  <c r="Q6812" i="1"/>
  <c r="Q6411" i="1"/>
  <c r="Q6903" i="1"/>
  <c r="Q6722" i="1"/>
  <c r="Q6829" i="1"/>
  <c r="Q6843" i="1"/>
  <c r="Q6810" i="1"/>
  <c r="Q6665" i="1"/>
  <c r="Q6755" i="1"/>
  <c r="Q6794" i="1"/>
  <c r="Q6772" i="1"/>
  <c r="Q6820" i="1"/>
  <c r="Q6807" i="1"/>
  <c r="Q6344" i="1"/>
  <c r="Q6387" i="1"/>
  <c r="Q6396" i="1"/>
  <c r="Q6877" i="1"/>
  <c r="Q6606" i="1"/>
  <c r="Q6752" i="1"/>
  <c r="Q6570" i="1"/>
  <c r="Q6891" i="1"/>
  <c r="Q6379" i="1"/>
  <c r="Q6384" i="1"/>
  <c r="Q6317" i="1"/>
  <c r="Q6289" i="1"/>
  <c r="Q6400" i="1"/>
  <c r="Q6398" i="1"/>
  <c r="Q6905" i="1"/>
  <c r="Q6830" i="1"/>
  <c r="Q6680" i="1"/>
  <c r="Q6541" i="1"/>
  <c r="Q6547" i="1"/>
  <c r="Q6625" i="1"/>
  <c r="Q6888" i="1"/>
  <c r="Q6917" i="1"/>
  <c r="Q6890" i="1"/>
  <c r="Q6854" i="1"/>
  <c r="Q6849" i="1"/>
  <c r="Q6718" i="1"/>
  <c r="Q6894" i="1"/>
  <c r="Q6429" i="1"/>
  <c r="Q6416" i="1"/>
  <c r="Q6857" i="1"/>
  <c r="Q6842" i="1"/>
  <c r="Q6491" i="1"/>
  <c r="Q6403" i="1"/>
  <c r="Q6904" i="1"/>
  <c r="Q6457" i="1"/>
  <c r="Q6925" i="1"/>
  <c r="Q6733" i="1"/>
  <c r="Q6522" i="1"/>
  <c r="Q6468" i="1"/>
  <c r="Q6440" i="1"/>
  <c r="Q6813" i="1"/>
  <c r="Q6469" i="1"/>
  <c r="Q6432" i="1"/>
  <c r="Q6845" i="1"/>
  <c r="Q6459" i="1"/>
  <c r="Q6873" i="1"/>
  <c r="Q6537" i="1"/>
  <c r="Q6407" i="1"/>
  <c r="Q6583" i="1"/>
  <c r="Q6544" i="1"/>
  <c r="Q6847" i="1"/>
  <c r="Q6696" i="1"/>
  <c r="Q6397" i="1"/>
  <c r="Q6751" i="1"/>
  <c r="Q6919" i="1"/>
  <c r="Q6861" i="1"/>
  <c r="Q6386" i="1"/>
  <c r="Q6580" i="1"/>
  <c r="Q6714" i="1"/>
  <c r="Q6902" i="1"/>
  <c r="Q6896" i="1"/>
  <c r="Q6895" i="1"/>
  <c r="Q6864" i="1"/>
  <c r="Q6647" i="1"/>
  <c r="Q6543" i="1"/>
  <c r="Q6558" i="1"/>
  <c r="Q6670" i="1"/>
  <c r="Q6480" i="1"/>
  <c r="Q6515" i="1"/>
  <c r="Q6542" i="1"/>
  <c r="Q6477" i="1"/>
  <c r="Q6834" i="1"/>
  <c r="Q6568" i="1"/>
  <c r="Q6653" i="1"/>
  <c r="Q6631" i="1"/>
  <c r="Q6777" i="1"/>
  <c r="Q6451" i="1"/>
  <c r="Q6619" i="1"/>
  <c r="Q6526" i="1"/>
  <c r="Q6850" i="1"/>
  <c r="Q6496" i="1"/>
  <c r="Q6482" i="1"/>
  <c r="Q1955" i="1"/>
  <c r="Q1943" i="1"/>
  <c r="Q1942" i="1"/>
  <c r="Q6899" i="1"/>
  <c r="Q6907" i="1"/>
  <c r="Q6887" i="1"/>
  <c r="Q6839" i="1"/>
  <c r="Q6922" i="1"/>
  <c r="Q6916" i="1"/>
  <c r="Q6365" i="1"/>
  <c r="Q6610" i="1"/>
  <c r="Q6893" i="1"/>
  <c r="Q6868" i="1"/>
  <c r="Q6371" i="1"/>
  <c r="Q6574" i="1"/>
  <c r="Q6421" i="1"/>
  <c r="Q6673" i="1"/>
  <c r="Q6674" i="1"/>
  <c r="Q6538" i="1"/>
  <c r="Q6565" i="1"/>
  <c r="Q6296" i="1"/>
  <c r="Q6390" i="1"/>
  <c r="Q6383" i="1"/>
  <c r="Q6901" i="1"/>
  <c r="Q6641" i="1"/>
  <c r="Q6294" i="1"/>
  <c r="Q6783" i="1"/>
  <c r="Q6713" i="1"/>
  <c r="Q6395" i="1"/>
  <c r="Q6859" i="1"/>
  <c r="Q6710" i="1"/>
  <c r="Q6479" i="1"/>
  <c r="Q6672" i="1"/>
  <c r="Q6545" i="1"/>
  <c r="Q6629" i="1"/>
  <c r="Q6274" i="1"/>
  <c r="Q6418" i="1"/>
  <c r="Q6273" i="1"/>
  <c r="Q6707" i="1"/>
  <c r="Q6486" i="1"/>
  <c r="Q6597" i="1"/>
  <c r="Q6770" i="1"/>
  <c r="Q6715" i="1"/>
  <c r="Q6686" i="1"/>
  <c r="Q6517" i="1"/>
  <c r="Q6505" i="1"/>
  <c r="Q6503" i="1"/>
  <c r="Q6268" i="1"/>
  <c r="Q6856" i="1"/>
  <c r="Q6728" i="1"/>
  <c r="Q6458" i="1"/>
  <c r="Q6697" i="1"/>
  <c r="Q6483" i="1"/>
  <c r="Q6630" i="1"/>
  <c r="Q1305" i="1"/>
  <c r="Q1262" i="1"/>
  <c r="Q1248" i="1"/>
  <c r="Q1149" i="1"/>
  <c r="Q1147" i="1"/>
  <c r="Q1145" i="1"/>
  <c r="Q1144" i="1"/>
  <c r="Q1143" i="1"/>
  <c r="Q1139" i="1"/>
  <c r="Q1138" i="1"/>
  <c r="Q6721" i="1"/>
  <c r="Q1094" i="1"/>
  <c r="Q1093" i="1"/>
  <c r="Q1092" i="1"/>
  <c r="Q1091" i="1"/>
  <c r="Q1090" i="1"/>
  <c r="Q1089" i="1"/>
  <c r="Q1083" i="1"/>
  <c r="Q1082" i="1"/>
  <c r="Q1081" i="1"/>
  <c r="Q1077" i="1"/>
  <c r="Q1057" i="1"/>
  <c r="Q1043" i="1"/>
  <c r="Q1042" i="1"/>
  <c r="Q973" i="1"/>
  <c r="Q971" i="1"/>
  <c r="Q943" i="1"/>
  <c r="Q912" i="1"/>
  <c r="Q911" i="1"/>
  <c r="Q910" i="1"/>
  <c r="Q909" i="1"/>
  <c r="Q908" i="1"/>
  <c r="Q6723" i="1"/>
  <c r="Q6737" i="1"/>
  <c r="Q6698" i="1"/>
  <c r="Q6703" i="1"/>
  <c r="Q6778" i="1"/>
  <c r="Q907" i="1"/>
  <c r="Q6748" i="1"/>
  <c r="Q906" i="1"/>
  <c r="Q905" i="1"/>
  <c r="Q904" i="1"/>
  <c r="Q6761" i="1"/>
  <c r="Q865" i="1"/>
  <c r="Q847" i="1"/>
  <c r="Q846" i="1"/>
  <c r="Q844" i="1"/>
  <c r="Q843" i="1"/>
  <c r="Q842" i="1"/>
  <c r="Q6760" i="1"/>
  <c r="Q6681" i="1"/>
  <c r="Q840" i="1"/>
  <c r="Q6692" i="1"/>
  <c r="Q609" i="1"/>
  <c r="Q607" i="1"/>
  <c r="Q606" i="1"/>
  <c r="Q593" i="1"/>
  <c r="Q512" i="1"/>
  <c r="Q479" i="1"/>
  <c r="Q475" i="1"/>
  <c r="Q450" i="1"/>
  <c r="Q361" i="1"/>
  <c r="Q360" i="1"/>
  <c r="Q358" i="1"/>
  <c r="Q348" i="1"/>
  <c r="Q319" i="1"/>
  <c r="Q318" i="1"/>
  <c r="Q317" i="1"/>
  <c r="Q100" i="1"/>
  <c r="Q77" i="1"/>
  <c r="Q47" i="1"/>
  <c r="Q32" i="1"/>
  <c r="Q14" i="1"/>
  <c r="Q6210" i="1"/>
  <c r="Q6209" i="1"/>
  <c r="Q6179" i="1"/>
  <c r="Q6028" i="1"/>
  <c r="Q6027" i="1"/>
  <c r="Q6026" i="1"/>
  <c r="Q6025" i="1"/>
  <c r="Q6024" i="1"/>
  <c r="Q6023" i="1"/>
  <c r="Q6022" i="1"/>
  <c r="Q6021" i="1"/>
  <c r="Q6020" i="1"/>
  <c r="Q6019" i="1"/>
  <c r="Q6018" i="1"/>
  <c r="Q6017" i="1"/>
  <c r="Q6016" i="1"/>
  <c r="Q6015" i="1"/>
  <c r="Q6014" i="1"/>
  <c r="Q6013" i="1"/>
  <c r="Q5773" i="1"/>
  <c r="Q5772" i="1"/>
  <c r="Q5771" i="1"/>
  <c r="Q5770" i="1"/>
  <c r="Q5769" i="1"/>
  <c r="Q5703" i="1"/>
  <c r="Q5702" i="1"/>
  <c r="Q5701" i="1"/>
  <c r="Q5700" i="1"/>
  <c r="Q5699" i="1"/>
  <c r="Q5698" i="1"/>
  <c r="Q5697" i="1"/>
  <c r="Q5696" i="1"/>
  <c r="Q5695" i="1"/>
  <c r="Q5694" i="1"/>
  <c r="Q5693" i="1"/>
  <c r="Q5692" i="1"/>
  <c r="Q5691" i="1"/>
  <c r="Q5690" i="1"/>
  <c r="Q5689" i="1"/>
  <c r="Q5688" i="1"/>
  <c r="Q5687" i="1"/>
  <c r="Q5630" i="1"/>
  <c r="Q5629" i="1"/>
  <c r="Q5628" i="1"/>
  <c r="Q5627" i="1"/>
  <c r="Q5626" i="1"/>
  <c r="Q5625" i="1"/>
  <c r="Q5624" i="1"/>
  <c r="Q5623" i="1"/>
  <c r="Q5622" i="1"/>
  <c r="Q5621" i="1"/>
  <c r="Q5620" i="1"/>
  <c r="Q5619" i="1"/>
  <c r="Q5618" i="1"/>
  <c r="Q5617" i="1"/>
  <c r="Q5616" i="1"/>
  <c r="Q5615" i="1"/>
  <c r="Q5614" i="1"/>
  <c r="Q5362" i="1"/>
  <c r="Q5356" i="1"/>
  <c r="Q5353" i="1"/>
  <c r="Q5352" i="1"/>
  <c r="Q5350" i="1"/>
  <c r="Q5349" i="1"/>
  <c r="Q5348" i="1"/>
  <c r="Q5347" i="1"/>
  <c r="Q5346" i="1"/>
  <c r="Q5345" i="1"/>
  <c r="Q5344" i="1"/>
  <c r="Q5343" i="1"/>
  <c r="Q5342" i="1"/>
  <c r="Q5341" i="1"/>
  <c r="Q5340" i="1"/>
  <c r="Q5339" i="1"/>
  <c r="Q5338" i="1"/>
  <c r="Q5337" i="1"/>
  <c r="Q5336" i="1"/>
  <c r="Q5335" i="1"/>
  <c r="Q5334" i="1"/>
  <c r="Q5333" i="1"/>
  <c r="Q5332" i="1"/>
  <c r="Q5331" i="1"/>
  <c r="Q5330" i="1"/>
  <c r="Q5329" i="1"/>
  <c r="Q5328" i="1"/>
  <c r="Q5327" i="1"/>
  <c r="Q5326" i="1"/>
  <c r="Q5325" i="1"/>
  <c r="Q5324" i="1"/>
  <c r="Q5323" i="1"/>
  <c r="Q5322" i="1"/>
  <c r="Q5321" i="1"/>
  <c r="Q5320" i="1"/>
  <c r="Q5319" i="1"/>
  <c r="Q5318" i="1"/>
  <c r="Q5174" i="1"/>
  <c r="Q5173" i="1"/>
  <c r="Q5172" i="1"/>
  <c r="Q5171" i="1"/>
  <c r="Q5170" i="1"/>
  <c r="Q5169" i="1"/>
  <c r="Q5168" i="1"/>
  <c r="Q5167" i="1"/>
  <c r="Q5166" i="1"/>
  <c r="Q5165" i="1"/>
  <c r="Q5164" i="1"/>
  <c r="Q5163" i="1"/>
  <c r="Q5162" i="1"/>
  <c r="Q5161" i="1"/>
  <c r="Q5160" i="1"/>
  <c r="Q5159" i="1"/>
  <c r="Q5158" i="1"/>
  <c r="Q5157" i="1"/>
  <c r="Q5156" i="1"/>
  <c r="Q5155" i="1"/>
  <c r="Q5154" i="1"/>
  <c r="Q5153" i="1"/>
  <c r="Q5152" i="1"/>
  <c r="Q5151" i="1"/>
  <c r="Q5150" i="1"/>
  <c r="Q5149" i="1"/>
  <c r="Q5148" i="1"/>
  <c r="Q5147" i="1"/>
  <c r="Q5146" i="1"/>
  <c r="Q5145" i="1"/>
  <c r="Q5144" i="1"/>
  <c r="Q5109" i="1"/>
  <c r="Q5108" i="1"/>
  <c r="Q5107" i="1"/>
  <c r="Q5106" i="1"/>
  <c r="Q5105" i="1"/>
  <c r="Q5104" i="1"/>
  <c r="Q5103" i="1"/>
  <c r="Q5102" i="1"/>
  <c r="Q5101" i="1"/>
  <c r="Q5100" i="1"/>
  <c r="Q5099" i="1"/>
  <c r="Q5098" i="1"/>
  <c r="Q5097" i="1"/>
  <c r="Q5096" i="1"/>
  <c r="Q5095" i="1"/>
  <c r="Q5094" i="1"/>
  <c r="Q5093" i="1"/>
  <c r="Q5092" i="1"/>
  <c r="Q5091" i="1"/>
  <c r="Q5090" i="1"/>
  <c r="Q5089" i="1"/>
  <c r="Q5088" i="1"/>
  <c r="Q5087" i="1"/>
  <c r="Q5086" i="1"/>
  <c r="Q5085" i="1"/>
  <c r="Q5084" i="1"/>
  <c r="Q5083" i="1"/>
  <c r="Q5082" i="1"/>
  <c r="Q5081" i="1"/>
  <c r="Q5080" i="1"/>
  <c r="Q5079" i="1"/>
  <c r="Q5078" i="1"/>
  <c r="Q5077" i="1"/>
  <c r="Q5076" i="1"/>
  <c r="Q5075" i="1"/>
  <c r="Q5074" i="1"/>
  <c r="Q5073" i="1"/>
  <c r="Q5072" i="1"/>
  <c r="Q5071" i="1"/>
  <c r="Q5070" i="1"/>
  <c r="Q5069" i="1"/>
  <c r="Q5068" i="1"/>
  <c r="Q5067" i="1"/>
  <c r="Q5066" i="1"/>
  <c r="Q5065" i="1"/>
  <c r="Q5064" i="1"/>
  <c r="Q5063" i="1"/>
  <c r="Q5062" i="1"/>
  <c r="Q5061" i="1"/>
  <c r="Q5060" i="1"/>
  <c r="Q5059" i="1"/>
  <c r="Q5058" i="1"/>
  <c r="Q5057" i="1"/>
  <c r="Q5056" i="1"/>
  <c r="Q5055" i="1"/>
  <c r="Q5054" i="1"/>
  <c r="Q5053" i="1"/>
  <c r="Q5052" i="1"/>
  <c r="Q4494" i="1"/>
  <c r="Q4493" i="1"/>
  <c r="Q4412" i="1"/>
  <c r="Q4411" i="1"/>
  <c r="Q4410" i="1"/>
  <c r="Q4409" i="1"/>
  <c r="Q4408" i="1"/>
  <c r="Q4407" i="1"/>
  <c r="Q4373" i="1"/>
  <c r="Q4372" i="1"/>
  <c r="Q4371" i="1"/>
  <c r="Q4370" i="1"/>
  <c r="Q4369" i="1"/>
  <c r="Q4368" i="1"/>
  <c r="Q4367" i="1"/>
  <c r="Q4366" i="1"/>
  <c r="Q4365" i="1"/>
  <c r="Q4269" i="1"/>
  <c r="Q4268" i="1"/>
  <c r="Q4267" i="1"/>
  <c r="Q4217" i="1"/>
  <c r="Q4216" i="1"/>
  <c r="Q4215" i="1"/>
  <c r="Q4214" i="1"/>
  <c r="Q4213" i="1"/>
  <c r="Q4212" i="1"/>
  <c r="Q4211" i="1"/>
  <c r="Q4210" i="1"/>
  <c r="Q4209" i="1"/>
  <c r="Q4208" i="1"/>
  <c r="Q4201" i="1"/>
  <c r="Q4200" i="1"/>
  <c r="Q4199" i="1"/>
  <c r="Q4198" i="1"/>
  <c r="Q4197" i="1"/>
  <c r="Q4196" i="1"/>
  <c r="Q4195" i="1"/>
  <c r="Q4194" i="1"/>
  <c r="Q4193" i="1"/>
  <c r="Q4192" i="1"/>
  <c r="Q4191" i="1"/>
  <c r="Q4190" i="1"/>
  <c r="Q3935" i="1"/>
  <c r="Q3934" i="1"/>
  <c r="Q3933" i="1"/>
  <c r="Q3932" i="1"/>
  <c r="Q3931" i="1"/>
  <c r="Q3930" i="1"/>
  <c r="Q3929" i="1"/>
  <c r="Q3928" i="1"/>
  <c r="Q3927" i="1"/>
  <c r="Q3926" i="1"/>
  <c r="Q3925" i="1"/>
  <c r="Q3826" i="1"/>
  <c r="Q3825" i="1"/>
  <c r="Q3824" i="1"/>
  <c r="Q3823" i="1"/>
  <c r="Q3822" i="1"/>
  <c r="Q3821" i="1"/>
  <c r="Q3820" i="1"/>
  <c r="Q3819" i="1"/>
  <c r="Q3818" i="1"/>
  <c r="Q3817" i="1"/>
  <c r="Q3816" i="1"/>
  <c r="Q3815" i="1"/>
  <c r="Q3814" i="1"/>
  <c r="Q3813" i="1"/>
  <c r="Q3812" i="1"/>
  <c r="Q3811" i="1"/>
  <c r="Q3810" i="1"/>
  <c r="Q3809" i="1"/>
  <c r="Q3808" i="1"/>
  <c r="Q3807" i="1"/>
  <c r="Q3806" i="1"/>
  <c r="Q3805" i="1"/>
  <c r="Q3804" i="1"/>
  <c r="Q3803" i="1"/>
  <c r="Q3802" i="1"/>
  <c r="Q3801" i="1"/>
  <c r="Q3800" i="1"/>
  <c r="Q3799" i="1"/>
  <c r="Q3798" i="1"/>
  <c r="Q3797" i="1"/>
  <c r="Q3796" i="1"/>
  <c r="Q3795" i="1"/>
  <c r="Q3794" i="1"/>
  <c r="Q3793" i="1"/>
  <c r="Q3792" i="1"/>
  <c r="Q3791" i="1"/>
  <c r="Q3790" i="1"/>
  <c r="Q3789" i="1"/>
  <c r="Q3788" i="1"/>
  <c r="Q3787" i="1"/>
  <c r="Q3786" i="1"/>
  <c r="Q3785" i="1"/>
  <c r="Q3784" i="1"/>
  <c r="Q3783" i="1"/>
  <c r="Q3782" i="1"/>
  <c r="Q3749" i="1"/>
  <c r="Q3748" i="1"/>
  <c r="Q3747" i="1"/>
  <c r="Q3746" i="1"/>
  <c r="Q3745" i="1"/>
  <c r="Q3744" i="1"/>
  <c r="Q3743" i="1"/>
  <c r="Q3742" i="1"/>
  <c r="Q3741" i="1"/>
  <c r="Q3740" i="1"/>
  <c r="Q3669" i="1"/>
  <c r="Q3668" i="1"/>
  <c r="Q3468" i="1"/>
  <c r="Q3467" i="1"/>
  <c r="Q3466" i="1"/>
  <c r="Q3465" i="1"/>
  <c r="Q3464" i="1"/>
  <c r="Q3463" i="1"/>
  <c r="Q3462" i="1"/>
  <c r="Q3461" i="1"/>
  <c r="Q3460" i="1"/>
  <c r="Q3459" i="1"/>
  <c r="Q3458" i="1"/>
  <c r="Q3457" i="1"/>
  <c r="Q3456" i="1"/>
  <c r="Q3455" i="1"/>
  <c r="Q3454" i="1"/>
  <c r="Q3453" i="1"/>
  <c r="Q3452" i="1"/>
  <c r="Q3451" i="1"/>
  <c r="Q3450" i="1"/>
  <c r="Q3449" i="1"/>
  <c r="Q3448" i="1"/>
  <c r="Q3447" i="1"/>
  <c r="Q3446" i="1"/>
  <c r="Q3445" i="1"/>
  <c r="Q3444" i="1"/>
  <c r="Q3443" i="1"/>
  <c r="Q3442" i="1"/>
  <c r="Q3441" i="1"/>
  <c r="Q3440" i="1"/>
  <c r="Q3439" i="1"/>
  <c r="Q3438" i="1"/>
  <c r="Q3437" i="1"/>
  <c r="Q3436" i="1"/>
  <c r="Q3435" i="1"/>
  <c r="Q3434" i="1"/>
  <c r="Q2880" i="1"/>
  <c r="Q2879" i="1"/>
  <c r="Q2878" i="1"/>
  <c r="Q2877" i="1"/>
  <c r="Q2876" i="1"/>
  <c r="Q2875" i="1"/>
  <c r="Q2874" i="1"/>
  <c r="Q2873" i="1"/>
  <c r="Q2872" i="1"/>
  <c r="Q2871" i="1"/>
  <c r="Q2870" i="1"/>
  <c r="Q2869" i="1"/>
  <c r="Q2868" i="1"/>
  <c r="Q2867" i="1"/>
  <c r="Q2866" i="1"/>
  <c r="Q2865" i="1"/>
  <c r="Q2864" i="1"/>
  <c r="Q2863" i="1"/>
  <c r="Q2862" i="1"/>
  <c r="Q2861" i="1"/>
  <c r="Q2860" i="1"/>
  <c r="Q2859" i="1"/>
  <c r="Q2858" i="1"/>
  <c r="Q2857" i="1"/>
  <c r="Q2856" i="1"/>
  <c r="Q2855" i="1"/>
  <c r="Q2854" i="1"/>
  <c r="Q2853" i="1"/>
  <c r="Q2852" i="1"/>
  <c r="Q2851" i="1"/>
  <c r="Q2850" i="1"/>
  <c r="Q2849" i="1"/>
  <c r="Q2848" i="1"/>
  <c r="Q2847" i="1"/>
  <c r="Q2846" i="1"/>
  <c r="Q2845" i="1"/>
  <c r="Q2844" i="1"/>
  <c r="Q2788" i="1"/>
  <c r="Q2787" i="1"/>
  <c r="Q2786" i="1"/>
  <c r="Q2785" i="1"/>
  <c r="Q2784" i="1"/>
  <c r="Q2783" i="1"/>
  <c r="Q2782" i="1"/>
  <c r="Q2781" i="1"/>
  <c r="Q2780" i="1"/>
  <c r="Q2779" i="1"/>
  <c r="Q2778" i="1"/>
  <c r="Q2777" i="1"/>
  <c r="Q2773" i="1"/>
  <c r="Q2772" i="1"/>
  <c r="Q2771" i="1"/>
  <c r="Q2770" i="1"/>
  <c r="Q2769" i="1"/>
  <c r="Q2768" i="1"/>
  <c r="Q2767" i="1"/>
  <c r="Q2766" i="1"/>
  <c r="Q2765" i="1"/>
  <c r="Q2764" i="1"/>
  <c r="Q2763" i="1"/>
  <c r="Q2762" i="1"/>
  <c r="Q2761" i="1"/>
  <c r="Q2704" i="1"/>
  <c r="Q2703" i="1"/>
  <c r="Q2702" i="1"/>
  <c r="Q2701" i="1"/>
  <c r="Q2700" i="1"/>
  <c r="Q2699" i="1"/>
  <c r="Q2698" i="1"/>
  <c r="Q2697" i="1"/>
  <c r="Q2696" i="1"/>
  <c r="Q2695" i="1"/>
  <c r="Q2694" i="1"/>
  <c r="Q2693" i="1"/>
  <c r="Q2692" i="1"/>
  <c r="Q2691" i="1"/>
  <c r="Q2690" i="1"/>
  <c r="Q2689" i="1"/>
  <c r="Q2688" i="1"/>
  <c r="Q2687" i="1"/>
  <c r="Q2686" i="1"/>
  <c r="Q2685" i="1"/>
  <c r="Q2684" i="1"/>
  <c r="Q2683" i="1"/>
  <c r="Q2682" i="1"/>
  <c r="Q2681" i="1"/>
  <c r="Q2680" i="1"/>
  <c r="Q2679" i="1"/>
  <c r="Q2678" i="1"/>
  <c r="Q2677" i="1"/>
  <c r="Q2676" i="1"/>
  <c r="Q2675" i="1"/>
  <c r="Q2674" i="1"/>
  <c r="Q2673" i="1"/>
  <c r="Q2672" i="1"/>
  <c r="Q2671" i="1"/>
  <c r="Q2670" i="1"/>
  <c r="Q2669" i="1"/>
  <c r="Q2668" i="1"/>
  <c r="Q2667" i="1"/>
  <c r="Q2666" i="1"/>
  <c r="Q2665" i="1"/>
  <c r="Q2664" i="1"/>
  <c r="Q2663" i="1"/>
  <c r="Q2662" i="1"/>
  <c r="Q2661" i="1"/>
  <c r="Q2660" i="1"/>
  <c r="Q2659" i="1"/>
  <c r="Q2658" i="1"/>
  <c r="Q2657" i="1"/>
  <c r="Q2656" i="1"/>
  <c r="Q2655" i="1"/>
  <c r="Q2654" i="1"/>
  <c r="Q2653" i="1"/>
  <c r="Q2652" i="1"/>
  <c r="Q2651" i="1"/>
  <c r="Q2650" i="1"/>
  <c r="Q2649" i="1"/>
  <c r="Q2648" i="1"/>
  <c r="Q2647" i="1"/>
  <c r="Q2646" i="1"/>
  <c r="Q2645" i="1"/>
  <c r="Q2644" i="1"/>
  <c r="Q2643" i="1"/>
  <c r="Q2642" i="1"/>
  <c r="Q2641" i="1"/>
  <c r="Q2640" i="1"/>
  <c r="Q2639" i="1"/>
  <c r="Q2638" i="1"/>
  <c r="Q2637" i="1"/>
  <c r="Q2636" i="1"/>
  <c r="Q2635" i="1"/>
  <c r="Q2634" i="1"/>
  <c r="Q2633" i="1"/>
  <c r="Q2632" i="1"/>
  <c r="Q2631" i="1"/>
  <c r="Q2630" i="1"/>
  <c r="Q2629" i="1"/>
  <c r="Q2628" i="1"/>
  <c r="Q2627" i="1"/>
  <c r="Q2626" i="1"/>
  <c r="Q2625" i="1"/>
  <c r="Q2624" i="1"/>
  <c r="Q2623" i="1"/>
  <c r="Q2622" i="1"/>
  <c r="Q2621" i="1"/>
  <c r="Q2620" i="1"/>
  <c r="Q2619" i="1"/>
  <c r="Q2618" i="1"/>
  <c r="Q2617" i="1"/>
  <c r="Q2616" i="1"/>
  <c r="Q2615" i="1"/>
  <c r="Q2614" i="1"/>
  <c r="Q2613" i="1"/>
  <c r="Q2393" i="1"/>
  <c r="Q2392" i="1"/>
  <c r="Q2391" i="1"/>
  <c r="Q2390" i="1"/>
  <c r="Q2389" i="1"/>
  <c r="Q2388" i="1"/>
  <c r="Q2387" i="1"/>
  <c r="Q2386" i="1"/>
  <c r="Q2385" i="1"/>
  <c r="Q2384" i="1"/>
  <c r="Q2383" i="1"/>
  <c r="Q2382" i="1"/>
  <c r="Q2381" i="1"/>
  <c r="Q2380" i="1"/>
  <c r="Q2379" i="1"/>
  <c r="Q2378" i="1"/>
  <c r="Q2377" i="1"/>
  <c r="Q2295" i="1"/>
  <c r="Q2294" i="1"/>
  <c r="Q2293" i="1"/>
  <c r="Q2292" i="1"/>
  <c r="Q2291" i="1"/>
  <c r="Q2290" i="1"/>
  <c r="Q2289" i="1"/>
  <c r="Q2288" i="1"/>
  <c r="Q2023" i="1"/>
  <c r="Q2022" i="1"/>
  <c r="Q2021" i="1"/>
  <c r="Q2020" i="1"/>
  <c r="Q2019" i="1"/>
  <c r="Q2018" i="1"/>
  <c r="Q2017" i="1"/>
  <c r="Q2016" i="1"/>
  <c r="Q2015" i="1"/>
  <c r="Q2014" i="1"/>
  <c r="Q2013" i="1"/>
  <c r="Q2012" i="1"/>
  <c r="Q2011" i="1"/>
  <c r="Q2010" i="1"/>
  <c r="Q2009" i="1"/>
  <c r="Q2008" i="1"/>
  <c r="Q2007" i="1"/>
  <c r="Q2006" i="1"/>
  <c r="Q2005" i="1"/>
  <c r="Q2004" i="1"/>
  <c r="Q2003" i="1"/>
  <c r="Q2002" i="1"/>
  <c r="Q2001" i="1"/>
  <c r="Q2000" i="1"/>
  <c r="Q1999" i="1"/>
  <c r="Q1998" i="1"/>
  <c r="Q1997" i="1"/>
  <c r="Q1996" i="1"/>
  <c r="Q1995" i="1"/>
  <c r="Q1994" i="1"/>
  <c r="Q1993" i="1"/>
  <c r="Q1992" i="1"/>
  <c r="Q1991" i="1"/>
  <c r="Q1990" i="1"/>
  <c r="Q6374" i="1"/>
  <c r="Q6678" i="1"/>
  <c r="Q6524" i="1"/>
  <c r="Q6765" i="1"/>
  <c r="Q6725" i="1"/>
  <c r="Q6322" i="1"/>
  <c r="Q6603" i="1"/>
  <c r="Q6298" i="1"/>
  <c r="Q6691" i="1"/>
  <c r="Q6304" i="1"/>
  <c r="Q6897" i="1"/>
  <c r="Q6540" i="1"/>
  <c r="Q6350" i="1"/>
  <c r="Q6380" i="1"/>
  <c r="Q6357" i="1"/>
  <c r="Q6293" i="1"/>
  <c r="Q6279" i="1"/>
  <c r="Q6329" i="1"/>
  <c r="Q6608" i="1"/>
  <c r="Q6860" i="1"/>
  <c r="Q6889" i="1"/>
  <c r="Q6898" i="1"/>
  <c r="Q6368" i="1"/>
  <c r="Q6373" i="1"/>
  <c r="Q6385" i="1"/>
  <c r="Q6731" i="1"/>
  <c r="Q6364" i="1"/>
  <c r="Q6585" i="1"/>
  <c r="Q6701" i="1"/>
  <c r="Q6787" i="1"/>
  <c r="Q6352" i="1"/>
  <c r="Q6378" i="1"/>
  <c r="Q6305" i="1"/>
  <c r="Q6292" i="1"/>
  <c r="Q6284" i="1"/>
  <c r="Q6865" i="1"/>
  <c r="Q6300" i="1"/>
  <c r="Q6307" i="1"/>
  <c r="Q6321" i="1"/>
  <c r="Q6313" i="1"/>
  <c r="Q6291" i="1"/>
  <c r="Q6303" i="1"/>
  <c r="Q6324" i="1"/>
  <c r="Q6345" i="1"/>
  <c r="Q6356" i="1"/>
  <c r="Q6312" i="1"/>
  <c r="Q6399" i="1"/>
  <c r="Q6404" i="1"/>
  <c r="Q6375" i="1"/>
  <c r="Q6533" i="1"/>
  <c r="Q6299" i="1"/>
  <c r="Q6287" i="1"/>
  <c r="Q6463" i="1"/>
  <c r="Q6475" i="1"/>
  <c r="Q6753" i="1"/>
  <c r="Q6360" i="1"/>
  <c r="Q6676" i="1"/>
  <c r="Q6318" i="1"/>
  <c r="Q6639" i="1"/>
  <c r="Q6336" i="1"/>
  <c r="Q6333" i="1"/>
  <c r="Q6338" i="1"/>
  <c r="Q6281" i="1"/>
  <c r="Q6724" i="1"/>
  <c r="Q6569" i="1"/>
  <c r="Q6355" i="1"/>
  <c r="Q6285" i="1"/>
  <c r="Q6621" i="1"/>
  <c r="Q6594" i="1"/>
  <c r="Q6405" i="1"/>
  <c r="Q6311" i="1"/>
  <c r="Q6650" i="1"/>
  <c r="Q6424" i="1"/>
  <c r="Q6589" i="1"/>
  <c r="Q6588" i="1"/>
  <c r="Q6592" i="1"/>
  <c r="Q6408" i="1"/>
  <c r="Q6530" i="1"/>
  <c r="Q6735" i="1"/>
  <c r="Q6417" i="1"/>
  <c r="Q6593" i="1"/>
  <c r="Q6301" i="1"/>
  <c r="Q6452" i="1"/>
  <c r="Q6283" i="1"/>
  <c r="Q6684" i="1"/>
  <c r="Q6461" i="1"/>
  <c r="Q6437" i="1"/>
  <c r="Q6616" i="1"/>
  <c r="Q6487" i="1"/>
  <c r="Q6869" i="1"/>
  <c r="Q6622" i="1"/>
  <c r="Q6609" i="1"/>
  <c r="Q6618" i="1"/>
  <c r="Q6607" i="1"/>
  <c r="Q6640" i="1"/>
  <c r="Q6509" i="1"/>
  <c r="Q6493" i="1"/>
  <c r="Q6575" i="1"/>
  <c r="Q6532" i="1"/>
  <c r="Q6554" i="1"/>
  <c r="Q6584" i="1"/>
  <c r="Q6439" i="1"/>
  <c r="Q6389" i="1"/>
  <c r="Q6410" i="1"/>
  <c r="Q6427" i="1"/>
  <c r="Q6708" i="1"/>
  <c r="Q6885" i="1"/>
  <c r="Q6923" i="1"/>
  <c r="Q6900" i="1"/>
  <c r="Q6659" i="1"/>
  <c r="Q6912" i="1"/>
  <c r="Q6367" i="1"/>
  <c r="Q6376" i="1"/>
  <c r="Q6742" i="1"/>
  <c r="Q6623" i="1"/>
  <c r="Q6409" i="1"/>
  <c r="Q6466" i="1"/>
  <c r="Q6913" i="1"/>
  <c r="Q6377" i="1"/>
  <c r="Q6662" i="1"/>
  <c r="Q6924" i="1"/>
  <c r="Q6853" i="1"/>
  <c r="Q6539" i="1"/>
  <c r="Q6372" i="1"/>
  <c r="Q6774" i="1"/>
  <c r="Q6614" i="1"/>
  <c r="Q6419" i="1"/>
  <c r="Q6278" i="1"/>
  <c r="Q6442" i="1"/>
  <c r="Q6354" i="1"/>
  <c r="Q6576" i="1"/>
  <c r="Q6643" i="1"/>
  <c r="Q6560" i="1"/>
  <c r="Q6577" i="1"/>
  <c r="Q6363" i="1"/>
  <c r="Q6591" i="1"/>
  <c r="Q6550" i="1"/>
  <c r="Q6705" i="1"/>
  <c r="Q6704" i="1"/>
  <c r="Q6564" i="1"/>
  <c r="Q6654" i="1"/>
  <c r="Q6582" i="1"/>
  <c r="Q6683" i="1"/>
  <c r="Q6743" i="1"/>
  <c r="Q6779" i="1"/>
  <c r="Q6615" i="1"/>
  <c r="Q6626" i="1"/>
  <c r="Q6633" i="1"/>
  <c r="Q6604" i="1"/>
  <c r="Q6612" i="1"/>
  <c r="Q6666" i="1"/>
  <c r="Q6478" i="1"/>
  <c r="Q6392" i="1"/>
  <c r="Q6745" i="1"/>
  <c r="Q6764" i="1"/>
  <c r="Q6562" i="1"/>
  <c r="Q6369" i="1"/>
  <c r="Q6561" i="1"/>
  <c r="Q6831" i="1"/>
  <c r="Q6556" i="1"/>
  <c r="Q6414" i="1"/>
  <c r="Q6762" i="1"/>
  <c r="Q6573" i="1"/>
  <c r="Q1303" i="1"/>
  <c r="Q1299" i="1"/>
  <c r="Q1298" i="1"/>
  <c r="Q1297" i="1"/>
  <c r="Q1296" i="1"/>
  <c r="Q1294" i="1"/>
  <c r="Q1293" i="1"/>
  <c r="Q1292" i="1"/>
  <c r="Q1291" i="1"/>
  <c r="Q1290" i="1"/>
  <c r="Q1289" i="1"/>
  <c r="Q1288" i="1"/>
  <c r="Q1287" i="1"/>
  <c r="Q1286" i="1"/>
  <c r="Q1285" i="1"/>
  <c r="Q1284" i="1"/>
  <c r="Q1283" i="1"/>
  <c r="Q1282" i="1"/>
  <c r="Q1281" i="1"/>
  <c r="Q1280" i="1"/>
  <c r="Q1279" i="1"/>
  <c r="Q1278" i="1"/>
  <c r="Q1277" i="1"/>
  <c r="Q1276" i="1"/>
  <c r="Q1275" i="1"/>
  <c r="Q1274" i="1"/>
  <c r="Q1273" i="1"/>
  <c r="Q1272" i="1"/>
  <c r="Q1271" i="1"/>
  <c r="Q1270" i="1"/>
  <c r="Q1269" i="1"/>
  <c r="Q1268" i="1"/>
  <c r="Q1267" i="1"/>
  <c r="Q1266" i="1"/>
  <c r="Q1264" i="1"/>
  <c r="Q1263" i="1"/>
  <c r="Q1261" i="1"/>
  <c r="Q1260" i="1"/>
  <c r="Q1259" i="1"/>
  <c r="Q1258" i="1"/>
  <c r="Q1257" i="1"/>
  <c r="Q1253" i="1"/>
  <c r="Q1252" i="1"/>
  <c r="Q1251" i="1"/>
  <c r="Q1250" i="1"/>
  <c r="Q1247" i="1"/>
  <c r="Q1202" i="1"/>
  <c r="Q1200" i="1"/>
  <c r="Q1191" i="1"/>
  <c r="Q1187" i="1"/>
  <c r="Q1180" i="1"/>
  <c r="Q1113" i="1"/>
  <c r="Q1105" i="1"/>
  <c r="Q1073" i="1"/>
  <c r="Q1072" i="1"/>
  <c r="Q1069" i="1"/>
  <c r="Q1063" i="1"/>
  <c r="Q1055" i="1"/>
  <c r="Q1054" i="1"/>
  <c r="Q1053" i="1"/>
  <c r="Q1052" i="1"/>
  <c r="Q1051" i="1"/>
  <c r="Q1050" i="1"/>
  <c r="Q1049" i="1"/>
  <c r="Q1046" i="1"/>
  <c r="Q1045" i="1"/>
  <c r="Q1044" i="1"/>
  <c r="Q1002" i="1"/>
  <c r="Q1001" i="1"/>
  <c r="Q997" i="1"/>
  <c r="Q996" i="1"/>
  <c r="Q995" i="1"/>
  <c r="Q994" i="1"/>
  <c r="Q988" i="1"/>
  <c r="Q987" i="1"/>
  <c r="Q974" i="1"/>
  <c r="Q970" i="1"/>
  <c r="Q969" i="1"/>
  <c r="Q968" i="1"/>
  <c r="Q967" i="1"/>
  <c r="Q966" i="1"/>
  <c r="Q965" i="1"/>
  <c r="Q959" i="1"/>
  <c r="Q955" i="1"/>
  <c r="Q952" i="1"/>
  <c r="Q951" i="1"/>
  <c r="Q941" i="1"/>
  <c r="Q940" i="1"/>
  <c r="Q939" i="1"/>
  <c r="Q938" i="1"/>
  <c r="Q937" i="1"/>
  <c r="Q936" i="1"/>
  <c r="Q935" i="1"/>
  <c r="Q934" i="1"/>
  <c r="Q933" i="1"/>
  <c r="Q932" i="1"/>
  <c r="Q931" i="1"/>
  <c r="Q930" i="1"/>
  <c r="Q929" i="1"/>
  <c r="Q928" i="1"/>
  <c r="Q927" i="1"/>
  <c r="Q926" i="1"/>
  <c r="Q925" i="1"/>
  <c r="Q923" i="1"/>
  <c r="Q922" i="1"/>
  <c r="Q921" i="1"/>
  <c r="Q920" i="1"/>
  <c r="Q919" i="1"/>
  <c r="Q918" i="1"/>
  <c r="Q917" i="1"/>
  <c r="Q916" i="1"/>
  <c r="Q915" i="1"/>
  <c r="Q914" i="1"/>
  <c r="Q913" i="1"/>
  <c r="Q877" i="1"/>
  <c r="Q876" i="1"/>
  <c r="Q875" i="1"/>
  <c r="Q874" i="1"/>
  <c r="Q873" i="1"/>
  <c r="Q872" i="1"/>
  <c r="Q871" i="1"/>
  <c r="Q870" i="1"/>
  <c r="Q869" i="1"/>
  <c r="Q868" i="1"/>
  <c r="Q867" i="1"/>
  <c r="Q853" i="1"/>
  <c r="Q852" i="1"/>
  <c r="Q851" i="1"/>
  <c r="Q850" i="1"/>
  <c r="Q849" i="1"/>
  <c r="Q848" i="1"/>
  <c r="Q839" i="1"/>
  <c r="Q838" i="1"/>
  <c r="Q837" i="1"/>
  <c r="Q836" i="1"/>
  <c r="Q835" i="1"/>
  <c r="Q834" i="1"/>
  <c r="Q833" i="1"/>
  <c r="Q832" i="1"/>
  <c r="Q831" i="1"/>
  <c r="Q830" i="1"/>
  <c r="Q829" i="1"/>
  <c r="Q828" i="1"/>
  <c r="Q827" i="1"/>
  <c r="Q826" i="1"/>
  <c r="Q825" i="1"/>
  <c r="Q824" i="1"/>
  <c r="Q823" i="1"/>
  <c r="Q822" i="1"/>
  <c r="Q821" i="1"/>
  <c r="Q820" i="1"/>
  <c r="Q819" i="1"/>
  <c r="Q818" i="1"/>
  <c r="Q817" i="1"/>
  <c r="Q6638" i="1"/>
  <c r="Q814" i="1"/>
  <c r="Q812" i="1"/>
  <c r="Q811" i="1"/>
  <c r="Q810" i="1"/>
  <c r="Q809" i="1"/>
  <c r="Q605" i="1"/>
  <c r="Q574" i="1"/>
  <c r="Q570" i="1"/>
  <c r="Q569" i="1"/>
  <c r="Q568" i="1"/>
  <c r="Q567" i="1"/>
  <c r="Q558" i="1"/>
  <c r="Q552" i="1"/>
  <c r="Q551" i="1"/>
  <c r="Q550" i="1"/>
  <c r="Q549" i="1"/>
  <c r="Q542" i="1"/>
  <c r="Q533" i="1"/>
  <c r="Q532" i="1"/>
  <c r="Q531" i="1"/>
  <c r="Q530" i="1"/>
  <c r="Q529" i="1"/>
  <c r="Q528" i="1"/>
  <c r="Q527" i="1"/>
  <c r="Q526" i="1"/>
  <c r="Q525" i="1"/>
  <c r="Q524" i="1"/>
  <c r="Q523" i="1"/>
  <c r="Q522" i="1"/>
  <c r="Q521" i="1"/>
  <c r="Q520" i="1"/>
  <c r="Q519" i="1"/>
  <c r="Q511" i="1"/>
  <c r="Q509" i="1"/>
  <c r="Q508" i="1"/>
  <c r="Q507" i="1"/>
  <c r="Q506" i="1"/>
  <c r="Q505" i="1"/>
  <c r="Q504" i="1"/>
  <c r="Q503" i="1"/>
  <c r="Q502" i="1"/>
  <c r="Q501" i="1"/>
  <c r="Q500" i="1"/>
  <c r="Q499" i="1"/>
  <c r="Q498" i="1"/>
  <c r="Q497" i="1"/>
  <c r="Q496" i="1"/>
  <c r="Q495" i="1"/>
  <c r="Q494" i="1"/>
  <c r="Q493" i="1"/>
  <c r="Q492" i="1"/>
  <c r="Q491" i="1"/>
  <c r="Q490" i="1"/>
  <c r="Q489" i="1"/>
  <c r="Q482" i="1"/>
  <c r="Q232" i="1"/>
  <c r="Q231" i="1"/>
  <c r="Q229" i="1"/>
  <c r="Q228" i="1"/>
  <c r="Q227" i="1"/>
  <c r="Q226" i="1"/>
  <c r="Q204" i="1"/>
  <c r="Q201" i="1"/>
  <c r="Q159" i="1"/>
  <c r="Q138" i="1"/>
  <c r="Q135" i="1"/>
  <c r="Q132" i="1"/>
  <c r="Q125" i="1"/>
  <c r="Q116" i="1"/>
  <c r="Q107" i="1"/>
  <c r="Q103" i="1"/>
  <c r="Q98" i="1"/>
  <c r="Q97" i="1"/>
  <c r="Q91" i="1"/>
  <c r="Q88" i="1"/>
  <c r="Q86" i="1"/>
  <c r="Q73" i="1"/>
  <c r="Q50" i="1"/>
  <c r="Q28" i="1"/>
  <c r="Q15" i="1"/>
  <c r="Q13" i="1"/>
  <c r="Q1309" i="1"/>
  <c r="Q1307" i="1"/>
  <c r="Q1304" i="1"/>
  <c r="Q1300" i="1"/>
  <c r="Q1295" i="1"/>
  <c r="Q1256" i="1"/>
  <c r="Q1201" i="1"/>
  <c r="Q1068" i="1"/>
  <c r="Q1067" i="1"/>
  <c r="Q1066" i="1"/>
  <c r="Q1065" i="1"/>
  <c r="Q1064" i="1"/>
  <c r="Q1062" i="1"/>
  <c r="Q1061" i="1"/>
  <c r="Q1060" i="1"/>
  <c r="Q1059" i="1"/>
  <c r="Q1058" i="1"/>
  <c r="Q1056" i="1"/>
  <c r="Q1048" i="1"/>
  <c r="Q1047" i="1"/>
  <c r="Q986" i="1"/>
  <c r="Q985" i="1"/>
  <c r="Q981" i="1"/>
  <c r="Q980" i="1"/>
  <c r="Q979" i="1"/>
  <c r="Q978" i="1"/>
  <c r="Q977" i="1"/>
  <c r="Q976" i="1"/>
  <c r="Q975" i="1"/>
  <c r="Q972" i="1"/>
  <c r="Q964" i="1"/>
  <c r="Q963" i="1"/>
  <c r="Q962" i="1"/>
  <c r="Q961" i="1"/>
  <c r="Q960" i="1"/>
  <c r="Q954" i="1"/>
  <c r="Q953" i="1"/>
  <c r="Q950" i="1"/>
  <c r="Q949" i="1"/>
  <c r="Q948" i="1"/>
  <c r="Q945" i="1"/>
  <c r="Q944" i="1"/>
  <c r="Q924" i="1"/>
  <c r="Q866" i="1"/>
  <c r="Q845" i="1"/>
  <c r="Q816" i="1"/>
  <c r="Q815" i="1"/>
  <c r="Q813" i="1"/>
  <c r="Q807" i="1"/>
  <c r="Q541" i="1"/>
  <c r="Q538" i="1"/>
  <c r="Q537" i="1"/>
  <c r="Q536" i="1"/>
  <c r="Q513" i="1"/>
  <c r="Q510" i="1"/>
  <c r="Q488" i="1"/>
  <c r="Q487" i="1"/>
  <c r="Q486" i="1"/>
  <c r="Q485" i="1"/>
  <c r="Q484" i="1"/>
  <c r="Q483" i="1"/>
  <c r="Q481" i="1"/>
  <c r="Q478" i="1"/>
  <c r="Q474" i="1"/>
  <c r="Q233" i="1"/>
  <c r="Q230" i="1"/>
  <c r="Q225" i="1"/>
  <c r="Q224" i="1"/>
  <c r="Q223" i="1"/>
  <c r="Q222" i="1"/>
  <c r="Q221" i="1"/>
  <c r="Q220" i="1"/>
  <c r="Q219" i="1"/>
  <c r="Q218" i="1"/>
  <c r="Q217" i="1"/>
  <c r="Q216" i="1"/>
  <c r="Q215" i="1"/>
  <c r="Q214" i="1"/>
  <c r="Q213" i="1"/>
  <c r="Q212" i="1"/>
  <c r="Q205" i="1"/>
  <c r="Q202" i="1"/>
  <c r="Q131" i="1"/>
  <c r="Q130" i="1"/>
  <c r="Q129" i="1"/>
  <c r="Q128" i="1"/>
  <c r="Q120" i="1"/>
  <c r="Q119" i="1"/>
  <c r="Q118" i="1"/>
  <c r="Q117" i="1"/>
  <c r="Q115" i="1"/>
  <c r="Q113" i="1"/>
  <c r="Q99" i="1"/>
  <c r="Q96" i="1"/>
  <c r="Q90" i="1"/>
  <c r="Q89" i="1"/>
  <c r="Q87" i="1"/>
  <c r="Q85" i="1"/>
  <c r="Q81" i="1"/>
  <c r="Q79" i="1"/>
  <c r="Q40" i="1"/>
  <c r="Q30" i="1"/>
  <c r="Q29" i="1"/>
  <c r="Q27" i="1"/>
  <c r="Q26" i="1"/>
  <c r="Q25" i="1"/>
  <c r="Q24" i="1"/>
  <c r="Q12" i="1"/>
  <c r="Q10" i="1"/>
  <c r="Q9" i="1"/>
  <c r="Q1161" i="1"/>
  <c r="Q1000" i="1"/>
  <c r="Q942" i="1"/>
  <c r="Q882" i="1"/>
  <c r="Q881" i="1"/>
  <c r="Q841" i="1"/>
  <c r="Q571" i="1"/>
  <c r="Q378" i="1"/>
  <c r="Q376" i="1"/>
  <c r="Q359" i="1"/>
  <c r="Q7" i="1"/>
  <c r="Q1265" i="1"/>
  <c r="Q1179" i="1"/>
  <c r="Q1074" i="1"/>
  <c r="Q1070" i="1"/>
  <c r="Q1024" i="1"/>
  <c r="Q1023" i="1"/>
  <c r="Q1022" i="1"/>
  <c r="Q1021" i="1"/>
  <c r="Q1020" i="1"/>
  <c r="Q1019" i="1"/>
  <c r="Q1008" i="1"/>
  <c r="Q1007" i="1"/>
  <c r="Q1006" i="1"/>
  <c r="Q1005" i="1"/>
  <c r="Q1004" i="1"/>
  <c r="Q1003" i="1"/>
  <c r="Q958" i="1"/>
  <c r="Q957" i="1"/>
  <c r="Q956" i="1"/>
  <c r="Q894" i="1"/>
  <c r="Q891" i="1"/>
  <c r="Q890" i="1"/>
  <c r="Q889" i="1"/>
  <c r="Q572" i="1"/>
  <c r="Q561" i="1"/>
  <c r="Q6453" i="1"/>
  <c r="Q420" i="1"/>
  <c r="Q419" i="1"/>
  <c r="Q418" i="1"/>
  <c r="Q373" i="1"/>
  <c r="Q347" i="1"/>
  <c r="Q329" i="1"/>
  <c r="Q288" i="1"/>
  <c r="Q287" i="1"/>
  <c r="Q261" i="1"/>
  <c r="Q260" i="1"/>
  <c r="Q237" i="1"/>
  <c r="Q236" i="1"/>
  <c r="Q235" i="1"/>
  <c r="Q210" i="1"/>
  <c r="Q180" i="1"/>
  <c r="Q179" i="1"/>
  <c r="Q178" i="1"/>
  <c r="Q172" i="1"/>
  <c r="Q168" i="1"/>
  <c r="Q101" i="1"/>
  <c r="Q78" i="1"/>
  <c r="Q75" i="1"/>
  <c r="Q34" i="1"/>
  <c r="Q8" i="1"/>
  <c r="Q4" i="1"/>
  <c r="Q3" i="1"/>
  <c r="Q2" i="1"/>
  <c r="P44" i="1"/>
  <c r="P18" i="1"/>
  <c r="P10" i="1"/>
  <c r="B6265" i="1"/>
  <c r="B5589" i="1"/>
  <c r="B5579" i="1"/>
  <c r="B5473" i="1"/>
  <c r="B5455" i="1"/>
  <c r="B5454" i="1"/>
  <c r="B5317" i="1"/>
  <c r="B5292" i="1"/>
  <c r="B5210" i="1"/>
  <c r="B5099" i="1"/>
  <c r="B5097" i="1"/>
  <c r="B5045" i="1"/>
  <c r="B5044" i="1"/>
  <c r="B4585" i="1"/>
  <c r="B3827" i="1"/>
  <c r="B3822" i="1"/>
  <c r="B3399" i="1"/>
  <c r="B3314" i="1"/>
  <c r="B2947" i="1"/>
  <c r="B2765" i="1"/>
  <c r="B2459" i="1"/>
  <c r="B2350" i="1"/>
  <c r="B2330" i="1"/>
  <c r="B2319" i="1"/>
  <c r="B2264" i="1"/>
  <c r="B2188" i="1"/>
  <c r="B2187" i="1"/>
  <c r="B2186" i="1"/>
  <c r="B2156" i="1"/>
  <c r="B2147" i="1"/>
  <c r="B2038" i="1"/>
  <c r="P168" i="1"/>
  <c r="P169" i="1"/>
  <c r="P170" i="1"/>
  <c r="P171" i="1"/>
  <c r="P173" i="1"/>
  <c r="P174" i="1"/>
  <c r="P175" i="1"/>
  <c r="P176" i="1"/>
  <c r="P177" i="1"/>
  <c r="P178" i="1"/>
  <c r="P179" i="1"/>
  <c r="P180" i="1"/>
  <c r="P181" i="1"/>
  <c r="P184" i="1"/>
  <c r="P185" i="1"/>
  <c r="P186" i="1"/>
  <c r="P187" i="1"/>
  <c r="P188" i="1"/>
  <c r="P189" i="1"/>
  <c r="P192" i="1"/>
  <c r="P193" i="1"/>
  <c r="P194" i="1"/>
  <c r="P195" i="1"/>
  <c r="P196" i="1"/>
  <c r="P197" i="1"/>
  <c r="P198" i="1"/>
  <c r="P199" i="1"/>
  <c r="P200" i="1"/>
  <c r="P201" i="1"/>
  <c r="P202" i="1"/>
  <c r="P204" i="1"/>
  <c r="P205" i="1"/>
  <c r="P209" i="1"/>
  <c r="P210" i="1"/>
  <c r="P212" i="1"/>
  <c r="P213" i="1"/>
  <c r="P214" i="1"/>
  <c r="P215" i="1"/>
  <c r="P216" i="1"/>
  <c r="P217" i="1"/>
  <c r="P218" i="1"/>
  <c r="P219" i="1"/>
  <c r="P220" i="1"/>
  <c r="P221" i="1"/>
  <c r="P222" i="1"/>
  <c r="P223" i="1"/>
  <c r="P224" i="1"/>
  <c r="P225" i="1"/>
  <c r="P226" i="1"/>
  <c r="P227" i="1"/>
  <c r="P228" i="1"/>
  <c r="P229" i="1"/>
  <c r="P230" i="1"/>
  <c r="P231" i="1"/>
  <c r="P232" i="1"/>
  <c r="P233" i="1"/>
  <c r="P234"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6433" i="1"/>
  <c r="P6441" i="1"/>
  <c r="P6445" i="1"/>
  <c r="P421" i="1"/>
  <c r="P422" i="1"/>
  <c r="P423" i="1"/>
  <c r="P6453" i="1"/>
  <c r="P424" i="1"/>
  <c r="P425" i="1"/>
  <c r="P426" i="1"/>
  <c r="P6462" i="1"/>
  <c r="P427" i="1"/>
  <c r="P428" i="1"/>
  <c r="P6454" i="1"/>
  <c r="P429" i="1"/>
  <c r="P430" i="1"/>
  <c r="P431" i="1"/>
  <c r="P432" i="1"/>
  <c r="P433" i="1"/>
  <c r="P434" i="1"/>
  <c r="P435" i="1"/>
  <c r="P436" i="1"/>
  <c r="P437" i="1"/>
  <c r="P438" i="1"/>
  <c r="P439" i="1"/>
  <c r="P440" i="1"/>
  <c r="P441" i="1"/>
  <c r="P442" i="1"/>
  <c r="P443" i="1"/>
  <c r="P444" i="1"/>
  <c r="P6471" i="1"/>
  <c r="P6481" i="1"/>
  <c r="P6460" i="1"/>
  <c r="P445" i="1"/>
  <c r="P446" i="1"/>
  <c r="P447" i="1"/>
  <c r="P6435" i="1"/>
  <c r="P6449" i="1"/>
  <c r="P448" i="1"/>
  <c r="P449" i="1"/>
  <c r="P450" i="1"/>
  <c r="P452" i="1"/>
  <c r="P453" i="1"/>
  <c r="P454" i="1"/>
  <c r="P455" i="1"/>
  <c r="P456" i="1"/>
  <c r="P457" i="1"/>
  <c r="P458" i="1"/>
  <c r="P459" i="1"/>
  <c r="P460" i="1"/>
  <c r="P461" i="1"/>
  <c r="P462" i="1"/>
  <c r="P463" i="1"/>
  <c r="P464" i="1"/>
  <c r="P465" i="1"/>
  <c r="P466" i="1"/>
  <c r="P467" i="1"/>
  <c r="P468" i="1"/>
  <c r="P469" i="1"/>
  <c r="P470" i="1"/>
  <c r="P471"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6" i="1"/>
  <c r="P577" i="1"/>
  <c r="P578" i="1"/>
  <c r="P579" i="1"/>
  <c r="P580" i="1"/>
  <c r="P581" i="1"/>
  <c r="P582" i="1"/>
  <c r="P583" i="1"/>
  <c r="P584" i="1"/>
  <c r="P585" i="1"/>
  <c r="P586" i="1"/>
  <c r="P587" i="1"/>
  <c r="P592" i="1"/>
  <c r="P593" i="1"/>
  <c r="P6448"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6497" i="1"/>
  <c r="P6499" i="1"/>
  <c r="P6527" i="1"/>
  <c r="P727" i="1"/>
  <c r="P728" i="1"/>
  <c r="P729" i="1"/>
  <c r="P730" i="1"/>
  <c r="P731" i="1"/>
  <c r="P732" i="1"/>
  <c r="P733" i="1"/>
  <c r="P734" i="1"/>
  <c r="P735" i="1"/>
  <c r="P736" i="1"/>
  <c r="P6534"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6492" i="1"/>
  <c r="P6501" i="1"/>
  <c r="P6516" i="1"/>
  <c r="P803" i="1"/>
  <c r="P804" i="1"/>
  <c r="P805" i="1"/>
  <c r="P806" i="1"/>
  <c r="P807" i="1"/>
  <c r="P809" i="1"/>
  <c r="P810" i="1"/>
  <c r="P811" i="1"/>
  <c r="P6692" i="1"/>
  <c r="P812" i="1"/>
  <c r="P813" i="1"/>
  <c r="P814" i="1"/>
  <c r="P815" i="1"/>
  <c r="P816" i="1"/>
  <c r="P6638" i="1"/>
  <c r="P817" i="1"/>
  <c r="P818" i="1"/>
  <c r="P819" i="1"/>
  <c r="P820" i="1"/>
  <c r="P821" i="1"/>
  <c r="P822" i="1"/>
  <c r="P823" i="1"/>
  <c r="P824" i="1"/>
  <c r="P825" i="1"/>
  <c r="P826" i="1"/>
  <c r="P827" i="1"/>
  <c r="P828" i="1"/>
  <c r="P829" i="1"/>
  <c r="P830" i="1"/>
  <c r="P831" i="1"/>
  <c r="P832" i="1"/>
  <c r="P833" i="1"/>
  <c r="P834" i="1"/>
  <c r="P835" i="1"/>
  <c r="P836" i="1"/>
  <c r="P837" i="1"/>
  <c r="P838" i="1"/>
  <c r="P839" i="1"/>
  <c r="P840" i="1"/>
  <c r="P6681" i="1"/>
  <c r="P6760" i="1"/>
  <c r="P841" i="1"/>
  <c r="P842" i="1"/>
  <c r="P843" i="1"/>
  <c r="P844" i="1"/>
  <c r="P845" i="1"/>
  <c r="P846" i="1"/>
  <c r="P847" i="1"/>
  <c r="P848" i="1"/>
  <c r="P849" i="1"/>
  <c r="P850" i="1"/>
  <c r="P851" i="1"/>
  <c r="P852" i="1"/>
  <c r="P853" i="1"/>
  <c r="P854" i="1"/>
  <c r="P6816" i="1"/>
  <c r="P855" i="1"/>
  <c r="P856" i="1"/>
  <c r="P6823" i="1"/>
  <c r="P857" i="1"/>
  <c r="P858" i="1"/>
  <c r="P859" i="1"/>
  <c r="P6693" i="1"/>
  <c r="P6627" i="1"/>
  <c r="P860" i="1"/>
  <c r="P861" i="1"/>
  <c r="P862" i="1"/>
  <c r="P863" i="1"/>
  <c r="P864" i="1"/>
  <c r="P865" i="1"/>
  <c r="P866" i="1"/>
  <c r="P867" i="1"/>
  <c r="P868" i="1"/>
  <c r="P869" i="1"/>
  <c r="P870" i="1"/>
  <c r="P871" i="1"/>
  <c r="P872" i="1"/>
  <c r="P873" i="1"/>
  <c r="P874" i="1"/>
  <c r="P875" i="1"/>
  <c r="P876" i="1"/>
  <c r="P877" i="1"/>
  <c r="P878" i="1"/>
  <c r="P879" i="1"/>
  <c r="P880" i="1"/>
  <c r="P881" i="1"/>
  <c r="P882" i="1"/>
  <c r="P6699" i="1"/>
  <c r="P883" i="1"/>
  <c r="P884" i="1"/>
  <c r="P885" i="1"/>
  <c r="P886" i="1"/>
  <c r="P6688" i="1"/>
  <c r="P887" i="1"/>
  <c r="P888" i="1"/>
  <c r="P889" i="1"/>
  <c r="P6759" i="1"/>
  <c r="P6694" i="1"/>
  <c r="P6682" i="1"/>
  <c r="P890" i="1"/>
  <c r="P891" i="1"/>
  <c r="P6756" i="1"/>
  <c r="P892" i="1"/>
  <c r="P6775" i="1"/>
  <c r="P893" i="1"/>
  <c r="P894" i="1"/>
  <c r="P895" i="1"/>
  <c r="P6695" i="1"/>
  <c r="P6685" i="1"/>
  <c r="P6757" i="1"/>
  <c r="P6586" i="1"/>
  <c r="P6734" i="1"/>
  <c r="P6738" i="1"/>
  <c r="P896" i="1"/>
  <c r="P897" i="1"/>
  <c r="P898" i="1"/>
  <c r="P899" i="1"/>
  <c r="P900" i="1"/>
  <c r="P901" i="1"/>
  <c r="P902" i="1"/>
  <c r="P903" i="1"/>
  <c r="P6761" i="1"/>
  <c r="P904" i="1"/>
  <c r="P905" i="1"/>
  <c r="P906" i="1"/>
  <c r="P6748" i="1"/>
  <c r="P907" i="1"/>
  <c r="P6778" i="1"/>
  <c r="P6703" i="1"/>
  <c r="P6698" i="1"/>
  <c r="P6737" i="1"/>
  <c r="P6723"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6" i="1"/>
  <c r="P947" i="1"/>
  <c r="P956" i="1"/>
  <c r="P957" i="1"/>
  <c r="P958" i="1"/>
  <c r="P982" i="1"/>
  <c r="P983" i="1"/>
  <c r="P984" i="1"/>
  <c r="P989" i="1"/>
  <c r="P990" i="1"/>
  <c r="P991" i="1"/>
  <c r="P992" i="1"/>
  <c r="P993" i="1"/>
  <c r="P998" i="1"/>
  <c r="P999"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70" i="1"/>
  <c r="P1071"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6773" i="1"/>
  <c r="P6824" i="1"/>
  <c r="P6656" i="1"/>
  <c r="P1137" i="1"/>
  <c r="P6744" i="1"/>
  <c r="P6679" i="1"/>
  <c r="P6721"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6" i="1"/>
  <c r="P1187" i="1"/>
  <c r="P1188" i="1"/>
  <c r="P1189" i="1"/>
  <c r="P1190" i="1"/>
  <c r="P1191" i="1"/>
  <c r="P1192" i="1"/>
  <c r="P1193" i="1"/>
  <c r="P1194" i="1"/>
  <c r="P1195" i="1"/>
  <c r="P1196" i="1"/>
  <c r="P1197" i="1"/>
  <c r="P1200"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5" i="1"/>
  <c r="P1296" i="1"/>
  <c r="P1297" i="1"/>
  <c r="P1298" i="1"/>
  <c r="P1299" i="1"/>
  <c r="P1300" i="1"/>
  <c r="P1301" i="1"/>
  <c r="P1302" i="1"/>
  <c r="P1303" i="1"/>
  <c r="P1304" i="1"/>
  <c r="P1305" i="1"/>
  <c r="P1306" i="1"/>
  <c r="P1307" i="1"/>
  <c r="P1308" i="1"/>
  <c r="P1311" i="1"/>
  <c r="P1313" i="1"/>
  <c r="P1314" i="1"/>
  <c r="P1315" i="1"/>
  <c r="P1316" i="1"/>
  <c r="P1317" i="1"/>
  <c r="P1318" i="1"/>
  <c r="P1319" i="1"/>
  <c r="P1320" i="1"/>
  <c r="P1321" i="1"/>
  <c r="P1322" i="1"/>
  <c r="P1323" i="1"/>
  <c r="P1324" i="1"/>
  <c r="P1325" i="1"/>
  <c r="P1327" i="1"/>
  <c r="P1328" i="1"/>
  <c r="P1329" i="1"/>
  <c r="P1330" i="1"/>
  <c r="P1331" i="1"/>
  <c r="P1332" i="1"/>
  <c r="P1333" i="1"/>
  <c r="P1335" i="1"/>
  <c r="P1336" i="1"/>
  <c r="P1337" i="1"/>
  <c r="P1338" i="1"/>
  <c r="P1339" i="1"/>
  <c r="P1340" i="1"/>
  <c r="P1341" i="1"/>
  <c r="P1342" i="1"/>
  <c r="P1343" i="1"/>
  <c r="P1344" i="1"/>
  <c r="P1345" i="1"/>
  <c r="P1346" i="1"/>
  <c r="P1347" i="1"/>
  <c r="P1348" i="1"/>
  <c r="P1349"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6754" i="1"/>
  <c r="P6766" i="1"/>
  <c r="P1384" i="1"/>
  <c r="P1385" i="1"/>
  <c r="P6727" i="1"/>
  <c r="P6749" i="1"/>
  <c r="P1386" i="1"/>
  <c r="P1387" i="1"/>
  <c r="P1388" i="1"/>
  <c r="P1389" i="1"/>
  <c r="P1390" i="1"/>
  <c r="P1391" i="1"/>
  <c r="P6700" i="1"/>
  <c r="P6664" i="1"/>
  <c r="P1393" i="1"/>
  <c r="P1394" i="1"/>
  <c r="P1395" i="1"/>
  <c r="P1396" i="1"/>
  <c r="P1397" i="1"/>
  <c r="P6657" i="1"/>
  <c r="P1398" i="1"/>
  <c r="P1399" i="1"/>
  <c r="P1400" i="1"/>
  <c r="P1401" i="1"/>
  <c r="P1402" i="1"/>
  <c r="P1403" i="1"/>
  <c r="P1404" i="1"/>
  <c r="P1406" i="1"/>
  <c r="P1407" i="1"/>
  <c r="P1408" i="1"/>
  <c r="P1409" i="1"/>
  <c r="P1411" i="1"/>
  <c r="P1412" i="1"/>
  <c r="P1414" i="1"/>
  <c r="P1415" i="1"/>
  <c r="P1416" i="1"/>
  <c r="P1417" i="1"/>
  <c r="P1418" i="1"/>
  <c r="P1419" i="1"/>
  <c r="P1420" i="1"/>
  <c r="P1421" i="1"/>
  <c r="P1422" i="1"/>
  <c r="P1423" i="1"/>
  <c r="P1424" i="1"/>
  <c r="P1425" i="1"/>
  <c r="P1426" i="1"/>
  <c r="P1427" i="1"/>
  <c r="P1428" i="1"/>
  <c r="P1429" i="1"/>
  <c r="P1430" i="1"/>
  <c r="P1431" i="1"/>
  <c r="P1432" i="1"/>
  <c r="P1433" i="1"/>
  <c r="P6430" i="1"/>
  <c r="P6438" i="1"/>
  <c r="P6428" i="1"/>
  <c r="P6436" i="1"/>
  <c r="P6415" i="1"/>
  <c r="P644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8" i="1"/>
  <c r="P1629" i="1"/>
  <c r="P1630" i="1"/>
  <c r="P1633" i="1"/>
  <c r="P1634" i="1"/>
  <c r="P1635" i="1"/>
  <c r="P1636" i="1"/>
  <c r="P1637" i="1"/>
  <c r="P1638" i="1"/>
  <c r="P1639" i="1"/>
  <c r="P1640" i="1"/>
  <c r="P1641" i="1"/>
  <c r="P1642" i="1"/>
  <c r="P1643" i="1"/>
  <c r="P1645" i="1"/>
  <c r="P1646" i="1"/>
  <c r="P1647" i="1"/>
  <c r="P1648" i="1"/>
  <c r="P1649" i="1"/>
  <c r="P1650"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2" i="1"/>
  <c r="P1773"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6381"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6271"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6270" i="1"/>
  <c r="P6272" i="1"/>
  <c r="P1885" i="1"/>
  <c r="P1886" i="1"/>
  <c r="P1887" i="1"/>
  <c r="P1888" i="1"/>
  <c r="P1889" i="1"/>
  <c r="P1890" i="1"/>
  <c r="P1891" i="1"/>
  <c r="P1892" i="1"/>
  <c r="P1893" i="1"/>
  <c r="P1894" i="1"/>
  <c r="P1895" i="1"/>
  <c r="P1896" i="1"/>
  <c r="P1897" i="1"/>
  <c r="P1898" i="1"/>
  <c r="P1899" i="1"/>
  <c r="P1900" i="1"/>
  <c r="P1901" i="1"/>
  <c r="P1902" i="1"/>
  <c r="P1903" i="1"/>
  <c r="P1904" i="1"/>
  <c r="P1905" i="1"/>
  <c r="P1906"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6474" i="1"/>
  <c r="P6482" i="1"/>
  <c r="P6496" i="1"/>
  <c r="P6719" i="1"/>
  <c r="P6880" i="1"/>
  <c r="P6730" i="1"/>
  <c r="P6811" i="1"/>
  <c r="P6850" i="1"/>
  <c r="P6456" i="1"/>
  <c r="P6630" i="1"/>
  <c r="P6483" i="1"/>
  <c r="P6484" i="1"/>
  <c r="P6605" i="1"/>
  <c r="P6697" i="1"/>
  <c r="P6286" i="1"/>
  <c r="P6526" i="1"/>
  <c r="P6546" i="1"/>
  <c r="P6619" i="1"/>
  <c r="P6450" i="1"/>
  <c r="P6455" i="1"/>
  <c r="P6447" i="1"/>
  <c r="P6451" i="1"/>
  <c r="P6551" i="1"/>
  <c r="P6573" i="1"/>
  <c r="P6777" i="1"/>
  <c r="P6596" i="1"/>
  <c r="P6600" i="1"/>
  <c r="P6566" i="1"/>
  <c r="P6555" i="1"/>
  <c r="P6762" i="1"/>
  <c r="P6269" i="1"/>
  <c r="P6631" i="1"/>
  <c r="P6653" i="1"/>
  <c r="P6568" i="1"/>
  <c r="P6834" i="1"/>
  <c r="P6458" i="1"/>
  <c r="P6414" i="1"/>
  <c r="P6549" i="1"/>
  <c r="P6578" i="1"/>
  <c r="P6728" i="1"/>
  <c r="P6856" i="1"/>
  <c r="P6556" i="1"/>
  <c r="P6831" i="1"/>
  <c r="P6495" i="1"/>
  <c r="P6561" i="1"/>
  <c r="P6477" i="1"/>
  <c r="P6542" i="1"/>
  <c r="P6369" i="1"/>
  <c r="P6268" i="1"/>
  <c r="P6470" i="1"/>
  <c r="P6503" i="1"/>
  <c r="P6515" i="1"/>
  <c r="P6505" i="1"/>
  <c r="P6517" i="1"/>
  <c r="P6915" i="1"/>
  <c r="P6836" i="1"/>
  <c r="P6494" i="1"/>
  <c r="P6480" i="1"/>
  <c r="P6670" i="1"/>
  <c r="P6686" i="1"/>
  <c r="P6715" i="1"/>
  <c r="P6800" i="1"/>
  <c r="P6602" i="1"/>
  <c r="P6562" i="1"/>
  <c r="P6764" i="1"/>
  <c r="P6745" i="1"/>
  <c r="P6277" i="1"/>
  <c r="P6489" i="1"/>
  <c r="P6464" i="1"/>
  <c r="P6624" i="1"/>
  <c r="P6770" i="1"/>
  <c r="P6597" i="1"/>
  <c r="P6558" i="1"/>
  <c r="P6392" i="1"/>
  <c r="P6478" i="1"/>
  <c r="P6666" i="1"/>
  <c r="P6612" i="1"/>
  <c r="P6604" i="1"/>
  <c r="P6633" i="1"/>
  <c r="P6626" i="1"/>
  <c r="P6615" i="1"/>
  <c r="P6779" i="1"/>
  <c r="P6763" i="1"/>
  <c r="P6743" i="1"/>
  <c r="P6486" i="1"/>
  <c r="P6707" i="1"/>
  <c r="P6273" i="1"/>
  <c r="P6858" i="1"/>
  <c r="P6798" i="1"/>
  <c r="P6316" i="1"/>
  <c r="P6521" i="1"/>
  <c r="P6418" i="1"/>
  <c r="P6590" i="1"/>
  <c r="P6729" i="1"/>
  <c r="P6683" i="1"/>
  <c r="P6582" i="1"/>
  <c r="P6654" i="1"/>
  <c r="P6660" i="1"/>
  <c r="P6564" i="1"/>
  <c r="P6274" i="1"/>
  <c r="P6795" i="1"/>
  <c r="P6817" i="1"/>
  <c r="P6821" i="1"/>
  <c r="P6704" i="1"/>
  <c r="P6705" i="1"/>
  <c r="P6543" i="1"/>
  <c r="P6535" i="1"/>
  <c r="P6519" i="1"/>
  <c r="P6488" i="1"/>
  <c r="P6500" i="1"/>
  <c r="P6476" i="1"/>
  <c r="P6473" i="1"/>
  <c r="P6502" i="1"/>
  <c r="P6647" i="1"/>
  <c r="P6550" i="1"/>
  <c r="P6591" i="1"/>
  <c r="P6651" i="1"/>
  <c r="P6363" i="1"/>
  <c r="P6518" i="1"/>
  <c r="P6507" i="1"/>
  <c r="P6511" i="1"/>
  <c r="P6553" i="1"/>
  <c r="P6506" i="1"/>
  <c r="P6536" i="1"/>
  <c r="P6864" i="1"/>
  <c r="P6895" i="1"/>
  <c r="P6896" i="1"/>
  <c r="P6902" i="1"/>
  <c r="P6577" i="1"/>
  <c r="P6560" i="1"/>
  <c r="P6643" i="1"/>
  <c r="P6576" i="1"/>
  <c r="P6354" i="1"/>
  <c r="P6629" i="1"/>
  <c r="P6658" i="1"/>
  <c r="P6545" i="1"/>
  <c r="P6672" i="1"/>
  <c r="P6848" i="1"/>
  <c r="P6741" i="1"/>
  <c r="P6442" i="1"/>
  <c r="P6714" i="1"/>
  <c r="P6278" i="1"/>
  <c r="P6791" i="1"/>
  <c r="P6512" i="1"/>
  <c r="P6479" i="1"/>
  <c r="P6472" i="1"/>
  <c r="P6634" i="1"/>
  <c r="P6419" i="1"/>
  <c r="P6572" i="1"/>
  <c r="P6614" i="1"/>
  <c r="P6710" i="1"/>
  <c r="P6859" i="1"/>
  <c r="P6872" i="1"/>
  <c r="P6774" i="1"/>
  <c r="P6580" i="1"/>
  <c r="P6386" i="1"/>
  <c r="P6861" i="1"/>
  <c r="P6372" i="1"/>
  <c r="P6395" i="1"/>
  <c r="P6539" i="1"/>
  <c r="P6628" i="1"/>
  <c r="P6853" i="1"/>
  <c r="P6924" i="1"/>
  <c r="P6713" i="1"/>
  <c r="P6783" i="1"/>
  <c r="P6919" i="1"/>
  <c r="P6751" i="1"/>
  <c r="P6397" i="1"/>
  <c r="P6294" i="1"/>
  <c r="P6525" i="1"/>
  <c r="P6840" i="1"/>
  <c r="P6799" i="1"/>
  <c r="P6508" i="1"/>
  <c r="P6662" i="1"/>
  <c r="P6696" i="1"/>
  <c r="P6641" i="1"/>
  <c r="P6920" i="1"/>
  <c r="P6847" i="1"/>
  <c r="P6746" i="1"/>
  <c r="P6901" i="1"/>
  <c r="P6544" i="1"/>
  <c r="P6377" i="1"/>
  <c r="P6383" i="1"/>
  <c r="P6702" i="1"/>
  <c r="P6913" i="1"/>
  <c r="P6892" i="1"/>
  <c r="P6788" i="1"/>
  <c r="P6781" i="1"/>
  <c r="P6567" i="1"/>
  <c r="P6583" i="1"/>
  <c r="P6818" i="1"/>
  <c r="P6878" i="1"/>
  <c r="P6835" i="1"/>
  <c r="P6876" i="1"/>
  <c r="P6736" i="1"/>
  <c r="P6390" i="1"/>
  <c r="P6466" i="1"/>
  <c r="P6409" i="1"/>
  <c r="P6296" i="1"/>
  <c r="P6565" i="1"/>
  <c r="P6538" i="1"/>
  <c r="P6623" i="1"/>
  <c r="P6742" i="1"/>
  <c r="P6674" i="1"/>
  <c r="P6673" i="1"/>
  <c r="P6421" i="1"/>
  <c r="P6574" i="1"/>
  <c r="P6467" i="1"/>
  <c r="P6326" i="1"/>
  <c r="P6376" i="1"/>
  <c r="P6367" i="1"/>
  <c r="P6371" i="1"/>
  <c r="P6747" i="1"/>
  <c r="P6912" i="1"/>
  <c r="P6868" i="1"/>
  <c r="P6659" i="1"/>
  <c r="P6675" i="1"/>
  <c r="P6297" i="1"/>
  <c r="P6362" i="1"/>
  <c r="P6407" i="1"/>
  <c r="P6900" i="1"/>
  <c r="P6537" i="1"/>
  <c r="P6893" i="1"/>
  <c r="P6910" i="1"/>
  <c r="P6610" i="1"/>
  <c r="P6365" i="1"/>
  <c r="P6528" i="1"/>
  <c r="P6923" i="1"/>
  <c r="P6918" i="1"/>
  <c r="P6885" i="1"/>
  <c r="P6916" i="1"/>
  <c r="P6886" i="1"/>
  <c r="P6873" i="1"/>
  <c r="P6708" i="1"/>
  <c r="P6427" i="1"/>
  <c r="P6410" i="1"/>
  <c r="P6320" i="1"/>
  <c r="P6348" i="1"/>
  <c r="P6922" i="1"/>
  <c r="P6839" i="1"/>
  <c r="P6887" i="1"/>
  <c r="P6862" i="1"/>
  <c r="P6402" i="1"/>
  <c r="P6388" i="1"/>
  <c r="P6907" i="1"/>
  <c r="P6899" i="1"/>
  <c r="P6389" i="1"/>
  <c r="P6439" i="1"/>
  <c r="P6459" i="1"/>
  <c r="P6267" i="1"/>
  <c r="P6266" i="1"/>
  <c r="P6465" i="1"/>
  <c r="P6584" i="1"/>
  <c r="P6554" i="1"/>
  <c r="P6532" i="1"/>
  <c r="P6587" i="1"/>
  <c r="P6845" i="1"/>
  <c r="P6613" i="1"/>
  <c r="P6575" i="1"/>
  <c r="P6563" i="1"/>
  <c r="P6493" i="1"/>
  <c r="P6509" i="1"/>
  <c r="P6720" i="1"/>
  <c r="P6640" i="1"/>
  <c r="P6607" i="1"/>
  <c r="P6618" i="1"/>
  <c r="P6609" i="1"/>
  <c r="P6622" i="1"/>
  <c r="P6620" i="1"/>
  <c r="P6581" i="1"/>
  <c r="P6869" i="1"/>
  <c r="P6776" i="1"/>
  <c r="P6434" i="1"/>
  <c r="P6487" i="1"/>
  <c r="P6616" i="1"/>
  <c r="P6611" i="1"/>
  <c r="P6432" i="1"/>
  <c r="P6469" i="1"/>
  <c r="P6437" i="1"/>
  <c r="P6461" i="1"/>
  <c r="P6684" i="1"/>
  <c r="P6283" i="1"/>
  <c r="P6275" i="1"/>
  <c r="P6813" i="1"/>
  <c r="P6440" i="1"/>
  <c r="P6468" i="1"/>
  <c r="P6548" i="1"/>
  <c r="P6406" i="1"/>
  <c r="P6452" i="1"/>
  <c r="P6301" i="1"/>
  <c r="P6593" i="1"/>
  <c r="P6522" i="1"/>
  <c r="P6733" i="1"/>
  <c r="P6417" i="1"/>
  <c r="P6412" i="1"/>
  <c r="P6690" i="1"/>
  <c r="P6687" i="1"/>
  <c r="P6649" i="1"/>
  <c r="P6735" i="1"/>
  <c r="P6530" i="1"/>
  <c r="P6925" i="1"/>
  <c r="P6457" i="1"/>
  <c r="P6408" i="1"/>
  <c r="P6635" i="1"/>
  <c r="P6632" i="1"/>
  <c r="P6592" i="1"/>
  <c r="P6588" i="1"/>
  <c r="P6589" i="1"/>
  <c r="P6904" i="1"/>
  <c r="P6403" i="1"/>
  <c r="P6424" i="1"/>
  <c r="P6491" i="1"/>
  <c r="P6667" i="1"/>
  <c r="P6650" i="1"/>
  <c r="P6282" i="1"/>
  <c r="P6808" i="1"/>
  <c r="P6803" i="1"/>
  <c r="P6833" i="1"/>
  <c r="P6906" i="1"/>
  <c r="P6809" i="1"/>
  <c r="P6786" i="1"/>
  <c r="P6709" i="1"/>
  <c r="P6842" i="1"/>
  <c r="P6857" i="1"/>
  <c r="P6311" i="1"/>
  <c r="P6416" i="1"/>
  <c r="P6429" i="1"/>
  <c r="P6342" i="1"/>
  <c r="P6801" i="1"/>
  <c r="P6784" i="1"/>
  <c r="P6529" i="1"/>
  <c r="P6520" i="1"/>
  <c r="P6805" i="1"/>
  <c r="P6405" i="1"/>
  <c r="P6594" i="1"/>
  <c r="P6894" i="1"/>
  <c r="P6621" i="1"/>
  <c r="P6337" i="1"/>
  <c r="P6285" i="1"/>
  <c r="P6355" i="1"/>
  <c r="P6569" i="1"/>
  <c r="P6882" i="1"/>
  <c r="P6832" i="1"/>
  <c r="P6490" i="1"/>
  <c r="P6724" i="1"/>
  <c r="P6281" i="1"/>
  <c r="P6601" i="1"/>
  <c r="P6814" i="1"/>
  <c r="P6792" i="1"/>
  <c r="P6767" i="1"/>
  <c r="P6338" i="1"/>
  <c r="P6333" i="1"/>
  <c r="P6336" i="1"/>
  <c r="P6347" i="1"/>
  <c r="P6793" i="1"/>
  <c r="P6828" i="1"/>
  <c r="P6785" i="1"/>
  <c r="P6790" i="1"/>
  <c r="P6771" i="1"/>
  <c r="P6789" i="1"/>
  <c r="P6871" i="1"/>
  <c r="P6797" i="1"/>
  <c r="P6837" i="1"/>
  <c r="P6639" i="1"/>
  <c r="P6718" i="1"/>
  <c r="P6849" i="1"/>
  <c r="P6854" i="1"/>
  <c r="P6890" i="1"/>
  <c r="P6917" i="1"/>
  <c r="P6888" i="1"/>
  <c r="P6302" i="1"/>
  <c r="P6319" i="1"/>
  <c r="P6295" i="1"/>
  <c r="P6306" i="1"/>
  <c r="P6625" i="1"/>
  <c r="P6595" i="1"/>
  <c r="P6668" i="1"/>
  <c r="P6547" i="1"/>
  <c r="P6541" i="1"/>
  <c r="P6663" i="1"/>
  <c r="P6655" i="1"/>
  <c r="P6680" i="1"/>
  <c r="P6830" i="1"/>
  <c r="P6905" i="1"/>
  <c r="P6328" i="1"/>
  <c r="P6398" i="1"/>
  <c r="P6318" i="1"/>
  <c r="P6426" i="1"/>
  <c r="P6671" i="1"/>
  <c r="P6400" i="1"/>
  <c r="P6676" i="1"/>
  <c r="P6819" i="1"/>
  <c r="P6366" i="1"/>
  <c r="P6289" i="1"/>
  <c r="P6280" i="1"/>
  <c r="P6446" i="1"/>
  <c r="P6276" i="1"/>
  <c r="P6360" i="1"/>
  <c r="P6914" i="1"/>
  <c r="P6841" i="1"/>
  <c r="P6753" i="1"/>
  <c r="P6598" i="1"/>
  <c r="P6475" i="1"/>
  <c r="P6802" i="1"/>
  <c r="P6826" i="1"/>
  <c r="P6851" i="1"/>
  <c r="P6706" i="1"/>
  <c r="P6677" i="1"/>
  <c r="P6463" i="1"/>
  <c r="P6571" i="1"/>
  <c r="P6287" i="1"/>
  <c r="P6716" i="1"/>
  <c r="P6504" i="1"/>
  <c r="P6825" i="1"/>
  <c r="P6393" i="1"/>
  <c r="P6299" i="1"/>
  <c r="P6317" i="1"/>
  <c r="P6533" i="1"/>
  <c r="P6391" i="1"/>
  <c r="P6375" i="1"/>
  <c r="P6404" i="1"/>
  <c r="P6384" i="1"/>
  <c r="P6399" i="1"/>
  <c r="P6358" i="1"/>
  <c r="P6315" i="1"/>
  <c r="P6443" i="1"/>
  <c r="P6425" i="1"/>
  <c r="P6312" i="1"/>
  <c r="P6356" i="1"/>
  <c r="P6345" i="1"/>
  <c r="P6806" i="1"/>
  <c r="P6323" i="1"/>
  <c r="P6340" i="1"/>
  <c r="P6327" i="1"/>
  <c r="P6413" i="1"/>
  <c r="P6349" i="1"/>
  <c r="P6334" i="1"/>
  <c r="P6341" i="1"/>
  <c r="P6324" i="1"/>
  <c r="P6303" i="1"/>
  <c r="P6291" i="1"/>
  <c r="P6313" i="1"/>
  <c r="P6321" i="1"/>
  <c r="P6307" i="1"/>
  <c r="P6804" i="1"/>
  <c r="P6796" i="1"/>
  <c r="P6863" i="1"/>
  <c r="P6911" i="1"/>
  <c r="P6739" i="1"/>
  <c r="P6423" i="1"/>
  <c r="P6288" i="1"/>
  <c r="P6290" i="1"/>
  <c r="P6300" i="1"/>
  <c r="P6379" i="1"/>
  <c r="P6865" i="1"/>
  <c r="P6891" i="1"/>
  <c r="P6645" i="1"/>
  <c r="P6382" i="1"/>
  <c r="P6284" i="1"/>
  <c r="P6351" i="1"/>
  <c r="P6314" i="1"/>
  <c r="P6325" i="1"/>
  <c r="P6309" i="1"/>
  <c r="P6292" i="1"/>
  <c r="P6305" i="1"/>
  <c r="P6378" i="1"/>
  <c r="P6352" i="1"/>
  <c r="P6531" i="1"/>
  <c r="P6513" i="1"/>
  <c r="P6514" i="1"/>
  <c r="P6570" i="1"/>
  <c r="P6636" i="1"/>
  <c r="P6879" i="1"/>
  <c r="P6787" i="1"/>
  <c r="P6752" i="1"/>
  <c r="P6740" i="1"/>
  <c r="P6652" i="1"/>
  <c r="P6726" i="1"/>
  <c r="P6717" i="1"/>
  <c r="P6769" i="1"/>
  <c r="P6642" i="1"/>
  <c r="P6648" i="1"/>
  <c r="P6701" i="1"/>
  <c r="P6606" i="1"/>
  <c r="P6523" i="1"/>
  <c r="P6585" i="1"/>
  <c r="P6867" i="1"/>
  <c r="P6782" i="1"/>
  <c r="P6822" i="1"/>
  <c r="P6815" i="1"/>
  <c r="P6877" i="1"/>
  <c r="P6401" i="1"/>
  <c r="P6396" i="1"/>
  <c r="P6364" i="1"/>
  <c r="P6335" i="1"/>
  <c r="P6387" i="1"/>
  <c r="P6344" i="1"/>
  <c r="P6731" i="1"/>
  <c r="P6807" i="1"/>
  <c r="P6881" i="1"/>
  <c r="P6820" i="1"/>
  <c r="P6359" i="1"/>
  <c r="P6422" i="1"/>
  <c r="P6331" i="1"/>
  <c r="P6353" i="1"/>
  <c r="P6385" i="1"/>
  <c r="P6373" i="1"/>
  <c r="P6368" i="1"/>
  <c r="P6772" i="1"/>
  <c r="P6794" i="1"/>
  <c r="P6898" i="1"/>
  <c r="P6755" i="1"/>
  <c r="P6665" i="1"/>
  <c r="P6810" i="1"/>
  <c r="P6889" i="1"/>
  <c r="P6843" i="1"/>
  <c r="P6661" i="1"/>
  <c r="P6420" i="1"/>
  <c r="P6310" i="1"/>
  <c r="P6844" i="1"/>
  <c r="P6860" i="1"/>
  <c r="P6829" i="1"/>
  <c r="P6722" i="1"/>
  <c r="P6903" i="1"/>
  <c r="P6870" i="1"/>
  <c r="P6732" i="1"/>
  <c r="P6608" i="1"/>
  <c r="P6827" i="1"/>
  <c r="P6308" i="1"/>
  <c r="P6329" i="1"/>
  <c r="P6411" i="1"/>
  <c r="P6838" i="1"/>
  <c r="P6758" i="1"/>
  <c r="P6812" i="1"/>
  <c r="P6874" i="1"/>
  <c r="P6689" i="1"/>
  <c r="P6852" i="1"/>
  <c r="P6339" i="1"/>
  <c r="P6332" i="1"/>
  <c r="P6279" i="1"/>
  <c r="P6293" i="1"/>
  <c r="P6357" i="1"/>
  <c r="P6380" i="1"/>
  <c r="P6350" i="1"/>
  <c r="P6361" i="1"/>
  <c r="P6330" i="1"/>
  <c r="P6557" i="1"/>
  <c r="P6921" i="1"/>
  <c r="P6750" i="1"/>
  <c r="P6540" i="1"/>
  <c r="P6897" i="1"/>
  <c r="P6875" i="1"/>
  <c r="P6304" i="1"/>
  <c r="P6394" i="1"/>
  <c r="P6669" i="1"/>
  <c r="P6599" i="1"/>
  <c r="P6691" i="1"/>
  <c r="P6298" i="1"/>
  <c r="P6346" i="1"/>
  <c r="P6603" i="1"/>
  <c r="P6370" i="1"/>
  <c r="P6711" i="1"/>
  <c r="P6637" i="1"/>
  <c r="P6883" i="1"/>
  <c r="P6431" i="1"/>
  <c r="P6712" i="1"/>
  <c r="P6644" i="1"/>
  <c r="P6909" i="1"/>
  <c r="P6780" i="1"/>
  <c r="P6617" i="1"/>
  <c r="P6485" i="1"/>
  <c r="P6498" i="1"/>
  <c r="P6884" i="1"/>
  <c r="P6866" i="1"/>
  <c r="P6855" i="1"/>
  <c r="P6322" i="1"/>
  <c r="P6343" i="1"/>
  <c r="P6725" i="1"/>
  <c r="P6559" i="1"/>
  <c r="P6552" i="1"/>
  <c r="P6846" i="1"/>
  <c r="P6765" i="1"/>
  <c r="P6646" i="1"/>
  <c r="P6524" i="1"/>
  <c r="P6510" i="1"/>
  <c r="P6678" i="1"/>
  <c r="P6768" i="1"/>
  <c r="P6579" i="1"/>
  <c r="P6374" i="1"/>
  <c r="P6908" i="1"/>
  <c r="P1956" i="1"/>
  <c r="P1957" i="1"/>
  <c r="P1958" i="1"/>
  <c r="P1959" i="1"/>
  <c r="P1961" i="1"/>
  <c r="P1962" i="1"/>
  <c r="P1963" i="1"/>
  <c r="P1964"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30" i="1"/>
  <c r="P2032" i="1"/>
  <c r="P2034" i="1"/>
  <c r="P2035" i="1"/>
  <c r="P2036" i="1"/>
  <c r="P2038" i="1"/>
  <c r="P2039" i="1"/>
  <c r="P2040" i="1"/>
  <c r="P2041" i="1"/>
  <c r="P2042" i="1"/>
  <c r="P2043" i="1"/>
  <c r="P2044" i="1"/>
  <c r="P2045" i="1"/>
  <c r="P2046" i="1"/>
  <c r="P2047" i="1"/>
  <c r="P2048" i="1"/>
  <c r="P2049" i="1"/>
  <c r="P2050" i="1"/>
  <c r="P2051" i="1"/>
  <c r="P2052" i="1"/>
  <c r="P2053" i="1"/>
  <c r="P2054" i="1"/>
  <c r="P2055" i="1"/>
  <c r="P2056" i="1"/>
  <c r="P2057" i="1"/>
  <c r="P2058" i="1"/>
  <c r="P2059" i="1"/>
  <c r="P2060" i="1"/>
  <c r="P2061" i="1"/>
  <c r="P2062" i="1"/>
  <c r="P2063" i="1"/>
  <c r="P2064" i="1"/>
  <c r="P2065" i="1"/>
  <c r="P2066" i="1"/>
  <c r="P2067" i="1"/>
  <c r="P2068" i="1"/>
  <c r="P2069" i="1"/>
  <c r="P2070" i="1"/>
  <c r="P2071" i="1"/>
  <c r="P2072" i="1"/>
  <c r="P2073" i="1"/>
  <c r="P2074" i="1"/>
  <c r="P2075" i="1"/>
  <c r="P2076" i="1"/>
  <c r="P2079" i="1"/>
  <c r="P2080" i="1"/>
  <c r="P2081" i="1"/>
  <c r="P2082" i="1"/>
  <c r="P2083" i="1"/>
  <c r="P2084" i="1"/>
  <c r="P2085" i="1"/>
  <c r="P2086" i="1"/>
  <c r="P2087" i="1"/>
  <c r="P2088" i="1"/>
  <c r="P2089" i="1"/>
  <c r="P2090" i="1"/>
  <c r="P2091" i="1"/>
  <c r="P2092" i="1"/>
  <c r="P2093" i="1"/>
  <c r="P2094" i="1"/>
  <c r="P2095" i="1"/>
  <c r="P2096" i="1"/>
  <c r="P2097" i="1"/>
  <c r="P2098" i="1"/>
  <c r="P2099" i="1"/>
  <c r="P2100" i="1"/>
  <c r="P2101" i="1"/>
  <c r="P2102" i="1"/>
  <c r="P2103" i="1"/>
  <c r="P2104" i="1"/>
  <c r="P2105" i="1"/>
  <c r="P2106" i="1"/>
  <c r="P2107" i="1"/>
  <c r="P2108" i="1"/>
  <c r="P2109" i="1"/>
  <c r="P2110" i="1"/>
  <c r="P2111" i="1"/>
  <c r="P2112" i="1"/>
  <c r="P2113" i="1"/>
  <c r="P2114" i="1"/>
  <c r="P2115" i="1"/>
  <c r="P2116" i="1"/>
  <c r="P2117" i="1"/>
  <c r="P2118" i="1"/>
  <c r="P2119" i="1"/>
  <c r="P2120" i="1"/>
  <c r="P2121" i="1"/>
  <c r="P2122" i="1"/>
  <c r="P2123" i="1"/>
  <c r="P2124" i="1"/>
  <c r="P2125" i="1"/>
  <c r="P2126" i="1"/>
  <c r="P2127" i="1"/>
  <c r="P2128" i="1"/>
  <c r="P2129" i="1"/>
  <c r="P2130" i="1"/>
  <c r="P2131" i="1"/>
  <c r="P2132" i="1"/>
  <c r="P2133" i="1"/>
  <c r="P2134" i="1"/>
  <c r="P2135" i="1"/>
  <c r="P2136" i="1"/>
  <c r="P2137" i="1"/>
  <c r="P2138" i="1"/>
  <c r="P2139" i="1"/>
  <c r="P2140" i="1"/>
  <c r="P2141" i="1"/>
  <c r="P2142" i="1"/>
  <c r="P2143" i="1"/>
  <c r="P2144" i="1"/>
  <c r="P2145" i="1"/>
  <c r="P2146" i="1"/>
  <c r="P2147" i="1"/>
  <c r="P2148" i="1"/>
  <c r="P2149" i="1"/>
  <c r="P2150" i="1"/>
  <c r="P2151" i="1"/>
  <c r="P2152" i="1"/>
  <c r="P2153" i="1"/>
  <c r="P2154" i="1"/>
  <c r="P2155" i="1"/>
  <c r="P2156" i="1"/>
  <c r="P2157" i="1"/>
  <c r="P2158" i="1"/>
  <c r="P2159" i="1"/>
  <c r="P2160" i="1"/>
  <c r="P2161" i="1"/>
  <c r="P2162" i="1"/>
  <c r="P2163" i="1"/>
  <c r="P2164" i="1"/>
  <c r="P2165" i="1"/>
  <c r="P2166" i="1"/>
  <c r="P2167" i="1"/>
  <c r="P2168" i="1"/>
  <c r="P2169" i="1"/>
  <c r="P2170" i="1"/>
  <c r="P2171" i="1"/>
  <c r="P2172" i="1"/>
  <c r="P2173" i="1"/>
  <c r="P2174" i="1"/>
  <c r="P2175" i="1"/>
  <c r="P2176" i="1"/>
  <c r="P2177" i="1"/>
  <c r="P2178" i="1"/>
  <c r="P2179" i="1"/>
  <c r="P2180" i="1"/>
  <c r="P2181" i="1"/>
  <c r="P2182" i="1"/>
  <c r="P2183" i="1"/>
  <c r="P2184" i="1"/>
  <c r="P2185" i="1"/>
  <c r="P2186" i="1"/>
  <c r="P2187" i="1"/>
  <c r="P2188" i="1"/>
  <c r="P2189" i="1"/>
  <c r="P2190" i="1"/>
  <c r="P2191" i="1"/>
  <c r="P2192" i="1"/>
  <c r="P2193" i="1"/>
  <c r="P2194" i="1"/>
  <c r="P2195" i="1"/>
  <c r="P2196" i="1"/>
  <c r="P2197" i="1"/>
  <c r="P2198" i="1"/>
  <c r="P2199" i="1"/>
  <c r="P2200" i="1"/>
  <c r="P2201" i="1"/>
  <c r="P2202" i="1"/>
  <c r="P2203" i="1"/>
  <c r="P2204" i="1"/>
  <c r="P2205" i="1"/>
  <c r="P2206" i="1"/>
  <c r="P2208" i="1"/>
  <c r="P2209" i="1"/>
  <c r="P2210" i="1"/>
  <c r="P2211" i="1"/>
  <c r="P2213" i="1"/>
  <c r="P2214" i="1"/>
  <c r="P2215" i="1"/>
  <c r="P2216" i="1"/>
  <c r="P2219" i="1"/>
  <c r="P2220" i="1"/>
  <c r="P2222" i="1"/>
  <c r="P2224" i="1"/>
  <c r="P2227" i="1"/>
  <c r="P2235" i="1"/>
  <c r="P2236" i="1"/>
  <c r="P2237" i="1"/>
  <c r="P2238" i="1"/>
  <c r="P2239" i="1"/>
  <c r="P2240" i="1"/>
  <c r="P2241" i="1"/>
  <c r="P2242" i="1"/>
  <c r="P2243" i="1"/>
  <c r="P2244" i="1"/>
  <c r="P2245" i="1"/>
  <c r="P2246" i="1"/>
  <c r="P2247" i="1"/>
  <c r="P2248" i="1"/>
  <c r="P2249" i="1"/>
  <c r="P2250" i="1"/>
  <c r="P2251" i="1"/>
  <c r="P2252" i="1"/>
  <c r="P2253" i="1"/>
  <c r="P2254" i="1"/>
  <c r="P2255" i="1"/>
  <c r="P2256" i="1"/>
  <c r="P2257" i="1"/>
  <c r="P2258" i="1"/>
  <c r="P2259" i="1"/>
  <c r="P2260" i="1"/>
  <c r="P2261" i="1"/>
  <c r="P2262" i="1"/>
  <c r="P2264" i="1"/>
  <c r="P2267" i="1"/>
  <c r="P2270" i="1"/>
  <c r="P2271" i="1"/>
  <c r="P2272" i="1"/>
  <c r="P2273" i="1"/>
  <c r="P2275" i="1"/>
  <c r="P2276" i="1"/>
  <c r="P2277" i="1"/>
  <c r="P2279" i="1"/>
  <c r="P2280" i="1"/>
  <c r="P2281" i="1"/>
  <c r="P2282" i="1"/>
  <c r="P2283" i="1"/>
  <c r="P2284" i="1"/>
  <c r="P2287" i="1"/>
  <c r="P2293" i="1"/>
  <c r="P2296" i="1"/>
  <c r="P2306" i="1"/>
  <c r="P2307" i="1"/>
  <c r="P2308" i="1"/>
  <c r="P2309" i="1"/>
  <c r="P2310" i="1"/>
  <c r="P2311" i="1"/>
  <c r="P2312" i="1"/>
  <c r="P2313" i="1"/>
  <c r="P2314" i="1"/>
  <c r="P2315" i="1"/>
  <c r="P2316" i="1"/>
  <c r="P2317" i="1"/>
  <c r="P2318" i="1"/>
  <c r="P2319" i="1"/>
  <c r="P2320" i="1"/>
  <c r="P2321" i="1"/>
  <c r="P2322" i="1"/>
  <c r="P2323" i="1"/>
  <c r="P2324" i="1"/>
  <c r="P2325" i="1"/>
  <c r="P2326" i="1"/>
  <c r="P2327" i="1"/>
  <c r="P2328" i="1"/>
  <c r="P2329" i="1"/>
  <c r="P2330" i="1"/>
  <c r="P2332" i="1"/>
  <c r="P2333" i="1"/>
  <c r="P2334" i="1"/>
  <c r="P2335" i="1"/>
  <c r="P2336" i="1"/>
  <c r="P2337" i="1"/>
  <c r="P2338" i="1"/>
  <c r="P2339" i="1"/>
  <c r="P2340" i="1"/>
  <c r="P2341" i="1"/>
  <c r="P2342" i="1"/>
  <c r="P2343" i="1"/>
  <c r="P2344" i="1"/>
  <c r="P2345" i="1"/>
  <c r="P2346" i="1"/>
  <c r="P2347" i="1"/>
  <c r="P2348" i="1"/>
  <c r="P2349" i="1"/>
  <c r="P2350" i="1"/>
  <c r="P2351" i="1"/>
  <c r="P2352" i="1"/>
  <c r="P2353" i="1"/>
  <c r="P2354" i="1"/>
  <c r="P2355" i="1"/>
  <c r="P2356" i="1"/>
  <c r="P2357" i="1"/>
  <c r="P2358" i="1"/>
  <c r="P2359" i="1"/>
  <c r="P2360" i="1"/>
  <c r="P2361" i="1"/>
  <c r="P2362" i="1"/>
  <c r="P2363" i="1"/>
  <c r="P2364" i="1"/>
  <c r="P2365" i="1"/>
  <c r="P2366" i="1"/>
  <c r="P2367" i="1"/>
  <c r="P2368" i="1"/>
  <c r="P2369" i="1"/>
  <c r="P2370" i="1"/>
  <c r="P2371" i="1"/>
  <c r="P2372" i="1"/>
  <c r="P2373" i="1"/>
  <c r="P2374" i="1"/>
  <c r="P2376" i="1"/>
  <c r="P2377" i="1"/>
  <c r="P2378" i="1"/>
  <c r="P2379" i="1"/>
  <c r="P2380" i="1"/>
  <c r="P2381" i="1"/>
  <c r="P2382" i="1"/>
  <c r="P2383" i="1"/>
  <c r="P2384" i="1"/>
  <c r="P2385" i="1"/>
  <c r="P2386" i="1"/>
  <c r="P2387" i="1"/>
  <c r="P2388" i="1"/>
  <c r="P2389" i="1"/>
  <c r="P2390" i="1"/>
  <c r="P2392" i="1"/>
  <c r="P2393" i="1"/>
  <c r="P2394" i="1"/>
  <c r="P2396" i="1"/>
  <c r="P2397" i="1"/>
  <c r="P2398" i="1"/>
  <c r="P2399" i="1"/>
  <c r="P2400" i="1"/>
  <c r="P2401" i="1"/>
  <c r="P2402" i="1"/>
  <c r="P2403" i="1"/>
  <c r="P2404" i="1"/>
  <c r="P2405" i="1"/>
  <c r="P2406" i="1"/>
  <c r="P2407" i="1"/>
  <c r="P2408" i="1"/>
  <c r="P2409" i="1"/>
  <c r="P2410" i="1"/>
  <c r="P2411" i="1"/>
  <c r="P2412" i="1"/>
  <c r="P2413" i="1"/>
  <c r="P2414" i="1"/>
  <c r="P2415" i="1"/>
  <c r="P2416" i="1"/>
  <c r="P2417" i="1"/>
  <c r="P2418" i="1"/>
  <c r="P2419" i="1"/>
  <c r="P2420" i="1"/>
  <c r="P2421" i="1"/>
  <c r="P2422" i="1"/>
  <c r="P2423" i="1"/>
  <c r="P2424" i="1"/>
  <c r="P2425" i="1"/>
  <c r="P2426" i="1"/>
  <c r="P2427" i="1"/>
  <c r="P2428" i="1"/>
  <c r="P2429" i="1"/>
  <c r="P2430" i="1"/>
  <c r="P2431" i="1"/>
  <c r="P2432" i="1"/>
  <c r="P2433" i="1"/>
  <c r="P2434" i="1"/>
  <c r="P2435" i="1"/>
  <c r="P2436" i="1"/>
  <c r="P2437" i="1"/>
  <c r="P2438" i="1"/>
  <c r="P2439" i="1"/>
  <c r="P2440" i="1"/>
  <c r="P2441" i="1"/>
  <c r="P2442" i="1"/>
  <c r="P2443" i="1"/>
  <c r="P2444" i="1"/>
  <c r="P2445" i="1"/>
  <c r="P2446" i="1"/>
  <c r="P2447" i="1"/>
  <c r="P2448" i="1"/>
  <c r="P2449" i="1"/>
  <c r="P2450" i="1"/>
  <c r="P2451" i="1"/>
  <c r="P2452" i="1"/>
  <c r="P2453" i="1"/>
  <c r="P2454" i="1"/>
  <c r="P2455" i="1"/>
  <c r="P2456" i="1"/>
  <c r="P2457" i="1"/>
  <c r="P2458" i="1"/>
  <c r="P2459" i="1"/>
  <c r="P2460" i="1"/>
  <c r="P2461" i="1"/>
  <c r="P2462" i="1"/>
  <c r="P2463" i="1"/>
  <c r="P2464" i="1"/>
  <c r="P2465" i="1"/>
  <c r="P2466" i="1"/>
  <c r="P2467" i="1"/>
  <c r="P2468" i="1"/>
  <c r="P2469" i="1"/>
  <c r="P2472" i="1"/>
  <c r="P2473" i="1"/>
  <c r="P2474" i="1"/>
  <c r="P2476" i="1"/>
  <c r="P2477" i="1"/>
  <c r="P2478" i="1"/>
  <c r="P2479" i="1"/>
  <c r="P2480" i="1"/>
  <c r="P2481" i="1"/>
  <c r="P2483" i="1"/>
  <c r="P2484" i="1"/>
  <c r="P2485" i="1"/>
  <c r="P2490" i="1"/>
  <c r="P2492" i="1"/>
  <c r="P2493" i="1"/>
  <c r="P2494" i="1"/>
  <c r="P2495" i="1"/>
  <c r="P2496" i="1"/>
  <c r="P2497" i="1"/>
  <c r="P2498" i="1"/>
  <c r="P2499" i="1"/>
  <c r="P2500" i="1"/>
  <c r="P2501" i="1"/>
  <c r="P2502" i="1"/>
  <c r="P2503" i="1"/>
  <c r="P2504" i="1"/>
  <c r="P2505" i="1"/>
  <c r="P2506" i="1"/>
  <c r="P2507" i="1"/>
  <c r="P2508" i="1"/>
  <c r="P2509" i="1"/>
  <c r="P2510" i="1"/>
  <c r="P2511" i="1"/>
  <c r="P2512" i="1"/>
  <c r="P2513" i="1"/>
  <c r="P2514" i="1"/>
  <c r="P2515" i="1"/>
  <c r="P2516" i="1"/>
  <c r="P2517" i="1"/>
  <c r="P2518" i="1"/>
  <c r="P2519" i="1"/>
  <c r="P2520" i="1"/>
  <c r="P2521" i="1"/>
  <c r="P2522" i="1"/>
  <c r="P2524" i="1"/>
  <c r="P2525" i="1"/>
  <c r="P2526" i="1"/>
  <c r="P2528" i="1"/>
  <c r="P2529" i="1"/>
  <c r="P2530" i="1"/>
  <c r="P2531" i="1"/>
  <c r="P2538" i="1"/>
  <c r="P2539" i="1"/>
  <c r="P2540" i="1"/>
  <c r="P2541" i="1"/>
  <c r="P2542" i="1"/>
  <c r="P2543" i="1"/>
  <c r="P2544" i="1"/>
  <c r="P2545" i="1"/>
  <c r="P2546" i="1"/>
  <c r="P2547" i="1"/>
  <c r="P2575" i="1"/>
  <c r="P2576" i="1"/>
  <c r="P2577" i="1"/>
  <c r="P2582" i="1"/>
  <c r="P2584" i="1"/>
  <c r="P2585" i="1"/>
  <c r="P2586" i="1"/>
  <c r="P2587" i="1"/>
  <c r="P2588" i="1"/>
  <c r="P2589" i="1"/>
  <c r="P2596" i="1"/>
  <c r="P2612" i="1"/>
  <c r="P2616" i="1"/>
  <c r="P2617" i="1"/>
  <c r="P2618" i="1"/>
  <c r="P2695" i="1"/>
  <c r="P2696" i="1"/>
  <c r="P2697" i="1"/>
  <c r="P2698" i="1"/>
  <c r="P2699" i="1"/>
  <c r="P2700" i="1"/>
  <c r="P2701" i="1"/>
  <c r="P2702" i="1"/>
  <c r="P2703" i="1"/>
  <c r="P2704" i="1"/>
  <c r="P2705" i="1"/>
  <c r="P2706" i="1"/>
  <c r="P2707" i="1"/>
  <c r="P2708" i="1"/>
  <c r="P2711" i="1"/>
  <c r="P2712" i="1"/>
  <c r="P2713" i="1"/>
  <c r="P2714" i="1"/>
  <c r="P2715" i="1"/>
  <c r="P2716" i="1"/>
  <c r="P2717" i="1"/>
  <c r="P2718" i="1"/>
  <c r="P2719" i="1"/>
  <c r="P2720" i="1"/>
  <c r="P2721" i="1"/>
  <c r="P2722" i="1"/>
  <c r="P2723" i="1"/>
  <c r="P2725" i="1"/>
  <c r="P2726" i="1"/>
  <c r="P2727" i="1"/>
  <c r="P2728" i="1"/>
  <c r="P2729" i="1"/>
  <c r="P2730" i="1"/>
  <c r="P2731" i="1"/>
  <c r="P2733" i="1"/>
  <c r="P2734" i="1"/>
  <c r="P2735" i="1"/>
  <c r="P2736" i="1"/>
  <c r="P2737" i="1"/>
  <c r="P2738" i="1"/>
  <c r="P2739" i="1"/>
  <c r="P2740" i="1"/>
  <c r="P2741" i="1"/>
  <c r="P2751" i="1"/>
  <c r="P2752" i="1"/>
  <c r="P2753" i="1"/>
  <c r="P2754" i="1"/>
  <c r="P2755" i="1"/>
  <c r="P2756" i="1"/>
  <c r="P2757" i="1"/>
  <c r="P2758" i="1"/>
  <c r="P2759" i="1"/>
  <c r="P2760" i="1"/>
  <c r="P2761" i="1"/>
  <c r="P2763" i="1"/>
  <c r="P2764" i="1"/>
  <c r="P2765" i="1"/>
  <c r="P2767" i="1"/>
  <c r="P2769" i="1"/>
  <c r="P2770" i="1"/>
  <c r="P2771" i="1"/>
  <c r="P2772" i="1"/>
  <c r="P2773" i="1"/>
  <c r="P2775" i="1"/>
  <c r="P2776" i="1"/>
  <c r="P2777" i="1"/>
  <c r="P2778" i="1"/>
  <c r="P2779" i="1"/>
  <c r="P2780" i="1"/>
  <c r="P2781" i="1"/>
  <c r="P2782" i="1"/>
  <c r="P2783" i="1"/>
  <c r="P2784" i="1"/>
  <c r="P2785" i="1"/>
  <c r="P2786" i="1"/>
  <c r="P2787" i="1"/>
  <c r="P2788" i="1"/>
  <c r="P2789" i="1"/>
  <c r="P2790" i="1"/>
  <c r="P2791" i="1"/>
  <c r="P2792" i="1"/>
  <c r="P2793" i="1"/>
  <c r="P2794" i="1"/>
  <c r="P2795" i="1"/>
  <c r="P2796" i="1"/>
  <c r="P2798" i="1"/>
  <c r="P2799" i="1"/>
  <c r="P2800" i="1"/>
  <c r="P2801" i="1"/>
  <c r="P2802" i="1"/>
  <c r="P2803" i="1"/>
  <c r="P2804" i="1"/>
  <c r="P2805" i="1"/>
  <c r="P2806" i="1"/>
  <c r="P2808" i="1"/>
  <c r="P2809" i="1"/>
  <c r="P2810" i="1"/>
  <c r="P2811" i="1"/>
  <c r="P2812" i="1"/>
  <c r="P2813" i="1"/>
  <c r="P2814" i="1"/>
  <c r="P2815" i="1"/>
  <c r="P2816" i="1"/>
  <c r="P2817" i="1"/>
  <c r="P2818" i="1"/>
  <c r="P2819" i="1"/>
  <c r="P2824" i="1"/>
  <c r="P2825" i="1"/>
  <c r="P2826" i="1"/>
  <c r="P2827" i="1"/>
  <c r="P2828" i="1"/>
  <c r="P2829" i="1"/>
  <c r="P2830" i="1"/>
  <c r="P2831" i="1"/>
  <c r="P2832" i="1"/>
  <c r="P2833" i="1"/>
  <c r="P2834" i="1"/>
  <c r="P2835" i="1"/>
  <c r="P2842" i="1"/>
  <c r="P2843" i="1"/>
  <c r="P2844" i="1"/>
  <c r="P2845" i="1"/>
  <c r="P2846" i="1"/>
  <c r="P2847" i="1"/>
  <c r="P2848" i="1"/>
  <c r="P2849" i="1"/>
  <c r="P2850" i="1"/>
  <c r="P2851" i="1"/>
  <c r="P2852" i="1"/>
  <c r="P2854" i="1"/>
  <c r="P2859" i="1"/>
  <c r="P2860" i="1"/>
  <c r="P2861" i="1"/>
  <c r="P2862" i="1"/>
  <c r="P2863" i="1"/>
  <c r="P2864" i="1"/>
  <c r="P2865" i="1"/>
  <c r="P2866" i="1"/>
  <c r="P2867" i="1"/>
  <c r="P2868" i="1"/>
  <c r="P2869" i="1"/>
  <c r="P2870" i="1"/>
  <c r="P2871" i="1"/>
  <c r="P2872" i="1"/>
  <c r="P2873" i="1"/>
  <c r="P2874" i="1"/>
  <c r="P2875" i="1"/>
  <c r="P2876" i="1"/>
  <c r="P2877" i="1"/>
  <c r="P2878" i="1"/>
  <c r="P2879" i="1"/>
  <c r="P2880" i="1"/>
  <c r="P2881" i="1"/>
  <c r="P2882" i="1"/>
  <c r="P2883" i="1"/>
  <c r="P2886" i="1"/>
  <c r="P2887" i="1"/>
  <c r="P2888" i="1"/>
  <c r="P2889" i="1"/>
  <c r="P2890" i="1"/>
  <c r="P2892" i="1"/>
  <c r="P2893" i="1"/>
  <c r="P2894" i="1"/>
  <c r="P2895" i="1"/>
  <c r="P2896" i="1"/>
  <c r="P2902" i="1"/>
  <c r="P2903" i="1"/>
  <c r="P2904" i="1"/>
  <c r="P2905" i="1"/>
  <c r="P2906" i="1"/>
  <c r="P2907" i="1"/>
  <c r="P2916" i="1"/>
  <c r="P2917" i="1"/>
  <c r="P2918" i="1"/>
  <c r="P2919" i="1"/>
  <c r="P2924" i="1"/>
  <c r="P2925" i="1"/>
  <c r="P2926" i="1"/>
  <c r="P2929" i="1"/>
  <c r="P2932" i="1"/>
  <c r="P2933" i="1"/>
  <c r="P2936" i="1"/>
  <c r="P2937" i="1"/>
  <c r="P2938" i="1"/>
  <c r="P2939" i="1"/>
  <c r="P2940" i="1"/>
  <c r="P2941" i="1"/>
  <c r="P2946" i="1"/>
  <c r="P2947" i="1"/>
  <c r="P2948" i="1"/>
  <c r="P2951" i="1"/>
  <c r="P2952" i="1"/>
  <c r="P2955" i="1"/>
  <c r="P2956" i="1"/>
  <c r="P2957" i="1"/>
  <c r="P2959" i="1"/>
  <c r="P2960" i="1"/>
  <c r="P2961" i="1"/>
  <c r="P2962" i="1"/>
  <c r="P2963" i="1"/>
  <c r="P2964" i="1"/>
  <c r="P2965" i="1"/>
  <c r="P2966" i="1"/>
  <c r="P2967" i="1"/>
  <c r="P2968" i="1"/>
  <c r="P2969" i="1"/>
  <c r="P2970" i="1"/>
  <c r="P2971" i="1"/>
  <c r="P2972" i="1"/>
  <c r="P2973" i="1"/>
  <c r="P2974" i="1"/>
  <c r="P2975" i="1"/>
  <c r="P2976" i="1"/>
  <c r="P2977" i="1"/>
  <c r="P2978" i="1"/>
  <c r="P2979" i="1"/>
  <c r="P2980" i="1"/>
  <c r="P2981" i="1"/>
  <c r="P2982" i="1"/>
  <c r="P2983" i="1"/>
  <c r="P2984" i="1"/>
  <c r="P2985" i="1"/>
  <c r="P2986" i="1"/>
  <c r="P2987" i="1"/>
  <c r="P2988" i="1"/>
  <c r="P2989" i="1"/>
  <c r="P2990" i="1"/>
  <c r="P2991" i="1"/>
  <c r="P2992" i="1"/>
  <c r="P2993" i="1"/>
  <c r="P2994" i="1"/>
  <c r="P2995" i="1"/>
  <c r="P2996" i="1"/>
  <c r="P2997" i="1"/>
  <c r="P2998" i="1"/>
  <c r="P2999" i="1"/>
  <c r="P3000" i="1"/>
  <c r="P3001" i="1"/>
  <c r="P3002" i="1"/>
  <c r="P3003" i="1"/>
  <c r="P3004" i="1"/>
  <c r="P3005" i="1"/>
  <c r="P3006" i="1"/>
  <c r="P3007" i="1"/>
  <c r="P3008" i="1"/>
  <c r="P3009" i="1"/>
  <c r="P3010" i="1"/>
  <c r="P3011" i="1"/>
  <c r="P3012" i="1"/>
  <c r="P3013" i="1"/>
  <c r="P3014" i="1"/>
  <c r="P3015" i="1"/>
  <c r="P3016" i="1"/>
  <c r="P3017" i="1"/>
  <c r="P3018" i="1"/>
  <c r="P3019" i="1"/>
  <c r="P3020" i="1"/>
  <c r="P3021" i="1"/>
  <c r="P3022" i="1"/>
  <c r="P3023" i="1"/>
  <c r="P3024" i="1"/>
  <c r="P3025" i="1"/>
  <c r="P3030" i="1"/>
  <c r="P3031" i="1"/>
  <c r="P3032" i="1"/>
  <c r="P3033" i="1"/>
  <c r="P3035" i="1"/>
  <c r="P3036" i="1"/>
  <c r="P3038" i="1"/>
  <c r="P3039" i="1"/>
  <c r="P3040" i="1"/>
  <c r="P3041" i="1"/>
  <c r="P3042" i="1"/>
  <c r="P3043" i="1"/>
  <c r="P3044" i="1"/>
  <c r="P3045" i="1"/>
  <c r="P3046" i="1"/>
  <c r="P3047" i="1"/>
  <c r="P3048" i="1"/>
  <c r="P3053" i="1"/>
  <c r="P3054" i="1"/>
  <c r="P3055" i="1"/>
  <c r="P3056" i="1"/>
  <c r="P3057" i="1"/>
  <c r="P3058" i="1"/>
  <c r="P3059" i="1"/>
  <c r="P3074" i="1"/>
  <c r="P3075" i="1"/>
  <c r="P3076" i="1"/>
  <c r="P3077" i="1"/>
  <c r="P3078" i="1"/>
  <c r="P3079" i="1"/>
  <c r="P3080" i="1"/>
  <c r="P3081" i="1"/>
  <c r="P3082" i="1"/>
  <c r="P3083" i="1"/>
  <c r="P3084" i="1"/>
  <c r="P3085" i="1"/>
  <c r="P3099" i="1"/>
  <c r="P3100" i="1"/>
  <c r="P3101" i="1"/>
  <c r="P3104" i="1"/>
  <c r="P3105" i="1"/>
  <c r="P3106" i="1"/>
  <c r="P3107" i="1"/>
  <c r="P3108" i="1"/>
  <c r="P3109" i="1"/>
  <c r="P3110" i="1"/>
  <c r="P3111" i="1"/>
  <c r="P3128" i="1"/>
  <c r="P3132" i="1"/>
  <c r="P3133" i="1"/>
  <c r="P3137" i="1"/>
  <c r="P3138" i="1"/>
  <c r="P3139" i="1"/>
  <c r="P3140" i="1"/>
  <c r="P3141" i="1"/>
  <c r="P3145" i="1"/>
  <c r="P3146" i="1"/>
  <c r="P3147" i="1"/>
  <c r="P3148" i="1"/>
  <c r="P3149" i="1"/>
  <c r="P3150" i="1"/>
  <c r="P3155" i="1"/>
  <c r="P3156" i="1"/>
  <c r="P3157" i="1"/>
  <c r="P3158" i="1"/>
  <c r="P3159" i="1"/>
  <c r="P3160" i="1"/>
  <c r="P3161" i="1"/>
  <c r="P3162" i="1"/>
  <c r="P3163" i="1"/>
  <c r="P3164" i="1"/>
  <c r="P3165" i="1"/>
  <c r="P3166" i="1"/>
  <c r="P3168" i="1"/>
  <c r="P3169" i="1"/>
  <c r="P3170" i="1"/>
  <c r="P3184" i="1"/>
  <c r="P3185" i="1"/>
  <c r="P3186" i="1"/>
  <c r="P3187" i="1"/>
  <c r="P3188" i="1"/>
  <c r="P3189" i="1"/>
  <c r="P3197" i="1"/>
  <c r="P3199" i="1"/>
  <c r="P3200" i="1"/>
  <c r="P3202" i="1"/>
  <c r="P3203" i="1"/>
  <c r="P3204" i="1"/>
  <c r="P3205" i="1"/>
  <c r="P3206" i="1"/>
  <c r="P3207" i="1"/>
  <c r="P3208" i="1"/>
  <c r="P3209" i="1"/>
  <c r="P3210" i="1"/>
  <c r="P3211" i="1"/>
  <c r="P3212" i="1"/>
  <c r="P3213" i="1"/>
  <c r="P3214" i="1"/>
  <c r="P3215" i="1"/>
  <c r="P3216" i="1"/>
  <c r="P3217" i="1"/>
  <c r="P3218" i="1"/>
  <c r="P3219" i="1"/>
  <c r="P3220" i="1"/>
  <c r="P3221" i="1"/>
  <c r="P3222" i="1"/>
  <c r="P3223" i="1"/>
  <c r="P3224" i="1"/>
  <c r="P3225" i="1"/>
  <c r="P3226" i="1"/>
  <c r="P3227" i="1"/>
  <c r="P3228" i="1"/>
  <c r="P3229" i="1"/>
  <c r="P3230" i="1"/>
  <c r="P3231" i="1"/>
  <c r="P3232" i="1"/>
  <c r="P3234" i="1"/>
  <c r="P3235" i="1"/>
  <c r="P3236" i="1"/>
  <c r="P3237" i="1"/>
  <c r="P3238" i="1"/>
  <c r="P3239" i="1"/>
  <c r="P3240" i="1"/>
  <c r="P3241" i="1"/>
  <c r="P3242" i="1"/>
  <c r="P3243" i="1"/>
  <c r="P3244" i="1"/>
  <c r="P3245" i="1"/>
  <c r="P3246" i="1"/>
  <c r="P3247" i="1"/>
  <c r="P3248" i="1"/>
  <c r="P3249" i="1"/>
  <c r="P3251" i="1"/>
  <c r="P3252" i="1"/>
  <c r="P3253" i="1"/>
  <c r="P3254" i="1"/>
  <c r="P3255" i="1"/>
  <c r="P3256" i="1"/>
  <c r="P3257" i="1"/>
  <c r="P3258" i="1"/>
  <c r="P3259" i="1"/>
  <c r="P3260" i="1"/>
  <c r="P3261" i="1"/>
  <c r="P3262" i="1"/>
  <c r="P3263" i="1"/>
  <c r="P3264" i="1"/>
  <c r="P3265" i="1"/>
  <c r="P3266" i="1"/>
  <c r="P3267" i="1"/>
  <c r="P3270" i="1"/>
  <c r="P3271" i="1"/>
  <c r="P3286" i="1"/>
  <c r="P3288" i="1"/>
  <c r="P3289" i="1"/>
  <c r="P3290" i="1"/>
  <c r="P3291" i="1"/>
  <c r="P3292" i="1"/>
  <c r="P3293" i="1"/>
  <c r="P3294" i="1"/>
  <c r="P3295" i="1"/>
  <c r="P3296" i="1"/>
  <c r="P3297" i="1"/>
  <c r="P3298" i="1"/>
  <c r="P3299" i="1"/>
  <c r="P3300" i="1"/>
  <c r="P3301" i="1"/>
  <c r="P3304" i="1"/>
  <c r="P3305" i="1"/>
  <c r="P3306" i="1"/>
  <c r="P3307" i="1"/>
  <c r="P3308" i="1"/>
  <c r="P3309" i="1"/>
  <c r="P3310" i="1"/>
  <c r="P3311" i="1"/>
  <c r="P3312" i="1"/>
  <c r="P3313" i="1"/>
  <c r="P3314" i="1"/>
  <c r="P3315" i="1"/>
  <c r="P3316" i="1"/>
  <c r="P3377" i="1"/>
  <c r="P3378" i="1"/>
  <c r="P3379" i="1"/>
  <c r="P3389" i="1"/>
  <c r="P3390" i="1"/>
  <c r="P3392" i="1"/>
  <c r="P3393" i="1"/>
  <c r="P3395" i="1"/>
  <c r="P3396" i="1"/>
  <c r="P3397" i="1"/>
  <c r="P3399" i="1"/>
  <c r="P3400" i="1"/>
  <c r="P3401" i="1"/>
  <c r="P3402" i="1"/>
  <c r="P3403" i="1"/>
  <c r="P3404" i="1"/>
  <c r="P3405" i="1"/>
  <c r="P3408" i="1"/>
  <c r="P3417" i="1"/>
  <c r="P3418" i="1"/>
  <c r="P3419" i="1"/>
  <c r="P3420" i="1"/>
  <c r="P3421" i="1"/>
  <c r="P3422" i="1"/>
  <c r="P3423" i="1"/>
  <c r="P3424" i="1"/>
  <c r="P3425" i="1"/>
  <c r="P3426" i="1"/>
  <c r="P3427" i="1"/>
  <c r="P3428" i="1"/>
  <c r="P3434" i="1"/>
  <c r="P3446" i="1"/>
  <c r="P3447" i="1"/>
  <c r="P3448" i="1"/>
  <c r="P3449" i="1"/>
  <c r="P3450" i="1"/>
  <c r="P3451" i="1"/>
  <c r="P3452" i="1"/>
  <c r="P3453" i="1"/>
  <c r="P3454" i="1"/>
  <c r="P3455" i="1"/>
  <c r="P3456" i="1"/>
  <c r="P3457" i="1"/>
  <c r="P3458" i="1"/>
  <c r="P3459" i="1"/>
  <c r="P3460" i="1"/>
  <c r="P3462" i="1"/>
  <c r="P3463" i="1"/>
  <c r="P3464" i="1"/>
  <c r="P3465" i="1"/>
  <c r="P3468" i="1"/>
  <c r="P3469" i="1"/>
  <c r="P3470" i="1"/>
  <c r="P3471" i="1"/>
  <c r="P3472" i="1"/>
  <c r="P3473" i="1"/>
  <c r="P3474" i="1"/>
  <c r="P3476" i="1"/>
  <c r="P3477" i="1"/>
  <c r="P3478" i="1"/>
  <c r="P3479" i="1"/>
  <c r="P3480" i="1"/>
  <c r="P3481" i="1"/>
  <c r="P3482" i="1"/>
  <c r="P3483" i="1"/>
  <c r="P3484" i="1"/>
  <c r="P3485" i="1"/>
  <c r="P3486" i="1"/>
  <c r="P3487" i="1"/>
  <c r="P3488" i="1"/>
  <c r="P3489" i="1"/>
  <c r="P3490" i="1"/>
  <c r="P3491" i="1"/>
  <c r="P3492" i="1"/>
  <c r="P3493" i="1"/>
  <c r="P3494" i="1"/>
  <c r="P3495" i="1"/>
  <c r="P3496" i="1"/>
  <c r="P3497" i="1"/>
  <c r="P3498" i="1"/>
  <c r="P3499" i="1"/>
  <c r="P3500" i="1"/>
  <c r="P3501" i="1"/>
  <c r="P3502" i="1"/>
  <c r="P3503" i="1"/>
  <c r="P3504" i="1"/>
  <c r="P3505" i="1"/>
  <c r="P3506" i="1"/>
  <c r="P3507" i="1"/>
  <c r="P3508" i="1"/>
  <c r="P3509" i="1"/>
  <c r="P3522" i="1"/>
  <c r="P3523" i="1"/>
  <c r="P3527" i="1"/>
  <c r="P3528" i="1"/>
  <c r="P3534" i="1"/>
  <c r="P3535" i="1"/>
  <c r="P3536" i="1"/>
  <c r="P3537" i="1"/>
  <c r="P3538" i="1"/>
  <c r="P3539" i="1"/>
  <c r="P3540" i="1"/>
  <c r="P3541" i="1"/>
  <c r="P3542" i="1"/>
  <c r="P3559" i="1"/>
  <c r="P3560" i="1"/>
  <c r="P3561" i="1"/>
  <c r="P3562" i="1"/>
  <c r="P3563" i="1"/>
  <c r="P3564" i="1"/>
  <c r="P3565" i="1"/>
  <c r="P3566" i="1"/>
  <c r="P3567" i="1"/>
  <c r="P3568" i="1"/>
  <c r="P3570" i="1"/>
  <c r="P3571" i="1"/>
  <c r="P3572" i="1"/>
  <c r="P3573" i="1"/>
  <c r="P3574" i="1"/>
  <c r="P3575" i="1"/>
  <c r="P3576" i="1"/>
  <c r="P3577" i="1"/>
  <c r="P3578" i="1"/>
  <c r="P3579" i="1"/>
  <c r="P3580" i="1"/>
  <c r="P3581" i="1"/>
  <c r="P3582" i="1"/>
  <c r="P3583" i="1"/>
  <c r="P3584" i="1"/>
  <c r="P3585" i="1"/>
  <c r="P3586" i="1"/>
  <c r="P3587" i="1"/>
  <c r="P3588" i="1"/>
  <c r="P3589" i="1"/>
  <c r="P3590" i="1"/>
  <c r="P3591" i="1"/>
  <c r="P3592" i="1"/>
  <c r="P3593" i="1"/>
  <c r="P3594" i="1"/>
  <c r="P3595" i="1"/>
  <c r="P3596" i="1"/>
  <c r="P3597" i="1"/>
  <c r="P3598" i="1"/>
  <c r="P3599" i="1"/>
  <c r="P3620" i="1"/>
  <c r="P3621" i="1"/>
  <c r="P3622" i="1"/>
  <c r="P3623" i="1"/>
  <c r="P3624" i="1"/>
  <c r="P3625" i="1"/>
  <c r="P3626" i="1"/>
  <c r="P3627" i="1"/>
  <c r="P3628" i="1"/>
  <c r="P3629" i="1"/>
  <c r="P3630" i="1"/>
  <c r="P3631" i="1"/>
  <c r="P3632" i="1"/>
  <c r="P3633" i="1"/>
  <c r="P3634" i="1"/>
  <c r="P3635" i="1"/>
  <c r="P3636" i="1"/>
  <c r="P3639" i="1"/>
  <c r="P3640" i="1"/>
  <c r="P3641" i="1"/>
  <c r="P3642" i="1"/>
  <c r="P3643" i="1"/>
  <c r="P3644" i="1"/>
  <c r="P3645" i="1"/>
  <c r="P3646" i="1"/>
  <c r="P3647" i="1"/>
  <c r="P3648" i="1"/>
  <c r="P3649" i="1"/>
  <c r="P3650" i="1"/>
  <c r="P3651" i="1"/>
  <c r="P3652" i="1"/>
  <c r="P3653" i="1"/>
  <c r="P3654" i="1"/>
  <c r="P3655" i="1"/>
  <c r="P3656" i="1"/>
  <c r="P3657" i="1"/>
  <c r="P3658" i="1"/>
  <c r="P3659" i="1"/>
  <c r="P3660" i="1"/>
  <c r="P3661" i="1"/>
  <c r="P3662" i="1"/>
  <c r="P3663" i="1"/>
  <c r="P3664" i="1"/>
  <c r="P3665" i="1"/>
  <c r="P3666" i="1"/>
  <c r="P3667" i="1"/>
  <c r="P3668" i="1"/>
  <c r="P3669" i="1"/>
  <c r="P3670" i="1"/>
  <c r="P3671" i="1"/>
  <c r="P3672" i="1"/>
  <c r="P3673" i="1"/>
  <c r="P3674" i="1"/>
  <c r="P3675" i="1"/>
  <c r="P3676" i="1"/>
  <c r="P3677" i="1"/>
  <c r="P3678" i="1"/>
  <c r="P3679" i="1"/>
  <c r="P3680" i="1"/>
  <c r="P3681" i="1"/>
  <c r="P3682" i="1"/>
  <c r="P3686" i="1"/>
  <c r="P3687" i="1"/>
  <c r="P3688" i="1"/>
  <c r="P3689" i="1"/>
  <c r="P3690" i="1"/>
  <c r="P3692" i="1"/>
  <c r="P3700" i="1"/>
  <c r="P3701" i="1"/>
  <c r="P3702" i="1"/>
  <c r="P3703" i="1"/>
  <c r="P3704" i="1"/>
  <c r="P3705" i="1"/>
  <c r="P3706" i="1"/>
  <c r="P3707" i="1"/>
  <c r="P3708" i="1"/>
  <c r="P3709" i="1"/>
  <c r="P3710" i="1"/>
  <c r="P3711" i="1"/>
  <c r="P3712" i="1"/>
  <c r="P3713" i="1"/>
  <c r="P3714" i="1"/>
  <c r="P3715" i="1"/>
  <c r="P3716" i="1"/>
  <c r="P3717" i="1"/>
  <c r="P3718" i="1"/>
  <c r="P3719" i="1"/>
  <c r="P3720" i="1"/>
  <c r="P3721" i="1"/>
  <c r="P3722" i="1"/>
  <c r="P3724" i="1"/>
  <c r="P3725" i="1"/>
  <c r="P3727" i="1"/>
  <c r="P3728" i="1"/>
  <c r="P3729" i="1"/>
  <c r="P3730" i="1"/>
  <c r="P3731" i="1"/>
  <c r="P3732" i="1"/>
  <c r="P3733" i="1"/>
  <c r="P3734" i="1"/>
  <c r="P3735" i="1"/>
  <c r="P3736" i="1"/>
  <c r="P3737" i="1"/>
  <c r="P3738" i="1"/>
  <c r="P3739" i="1"/>
  <c r="P3740" i="1"/>
  <c r="P3741" i="1"/>
  <c r="P3742" i="1"/>
  <c r="P3743" i="1"/>
  <c r="P3744" i="1"/>
  <c r="P3745" i="1"/>
  <c r="P3746" i="1"/>
  <c r="P3747" i="1"/>
  <c r="P3748" i="1"/>
  <c r="P3749" i="1"/>
  <c r="P3750" i="1"/>
  <c r="P3751" i="1"/>
  <c r="P3752" i="1"/>
  <c r="P3753" i="1"/>
  <c r="P3754" i="1"/>
  <c r="P3755" i="1"/>
  <c r="P3756" i="1"/>
  <c r="P3757" i="1"/>
  <c r="P3758" i="1"/>
  <c r="P3759" i="1"/>
  <c r="P3760" i="1"/>
  <c r="P3761" i="1"/>
  <c r="P3762" i="1"/>
  <c r="P3763" i="1"/>
  <c r="P3764" i="1"/>
  <c r="P3765" i="1"/>
  <c r="P3766" i="1"/>
  <c r="P3767" i="1"/>
  <c r="P3768" i="1"/>
  <c r="P3769" i="1"/>
  <c r="P3770" i="1"/>
  <c r="P3772" i="1"/>
  <c r="P3773" i="1"/>
  <c r="P3774" i="1"/>
  <c r="P3775" i="1"/>
  <c r="P3782" i="1"/>
  <c r="P3783" i="1"/>
  <c r="P3799" i="1"/>
  <c r="P3800" i="1"/>
  <c r="P3801" i="1"/>
  <c r="P3802" i="1"/>
  <c r="P3803" i="1"/>
  <c r="P3804" i="1"/>
  <c r="P3805" i="1"/>
  <c r="P3806" i="1"/>
  <c r="P3807" i="1"/>
  <c r="P3808" i="1"/>
  <c r="P3809" i="1"/>
  <c r="P3810" i="1"/>
  <c r="P3811" i="1"/>
  <c r="P3812" i="1"/>
  <c r="P3813" i="1"/>
  <c r="P3814" i="1"/>
  <c r="P3815" i="1"/>
  <c r="P3816" i="1"/>
  <c r="P3817" i="1"/>
  <c r="P3818" i="1"/>
  <c r="P3819" i="1"/>
  <c r="P3820" i="1"/>
  <c r="P3821" i="1"/>
  <c r="P3822" i="1"/>
  <c r="P3823" i="1"/>
  <c r="P3824" i="1"/>
  <c r="P3825" i="1"/>
  <c r="P3826" i="1"/>
  <c r="P3827" i="1"/>
  <c r="P3828" i="1"/>
  <c r="P3829" i="1"/>
  <c r="P3830" i="1"/>
  <c r="P3831" i="1"/>
  <c r="P3832" i="1"/>
  <c r="P3833" i="1"/>
  <c r="P3834" i="1"/>
  <c r="P3835" i="1"/>
  <c r="P3836" i="1"/>
  <c r="P3837" i="1"/>
  <c r="P3838" i="1"/>
  <c r="P3839" i="1"/>
  <c r="P3840" i="1"/>
  <c r="P3841" i="1"/>
  <c r="P3846" i="1"/>
  <c r="P3847" i="1"/>
  <c r="P3848" i="1"/>
  <c r="P3849" i="1"/>
  <c r="P3850" i="1"/>
  <c r="P3851" i="1"/>
  <c r="P3852" i="1"/>
  <c r="P3853" i="1"/>
  <c r="P3854" i="1"/>
  <c r="P3855" i="1"/>
  <c r="P3856" i="1"/>
  <c r="P3857" i="1"/>
  <c r="P3858" i="1"/>
  <c r="P3859" i="1"/>
  <c r="P3860" i="1"/>
  <c r="P3861" i="1"/>
  <c r="P3862" i="1"/>
  <c r="P3863" i="1"/>
  <c r="P3864" i="1"/>
  <c r="P3865" i="1"/>
  <c r="P3866" i="1"/>
  <c r="P3867" i="1"/>
  <c r="P3868" i="1"/>
  <c r="P3869" i="1"/>
  <c r="P3870" i="1"/>
  <c r="P3871" i="1"/>
  <c r="P3872" i="1"/>
  <c r="P3873" i="1"/>
  <c r="P3874" i="1"/>
  <c r="P3875" i="1"/>
  <c r="P3876" i="1"/>
  <c r="P3877" i="1"/>
  <c r="P3878" i="1"/>
  <c r="P3879" i="1"/>
  <c r="P3880" i="1"/>
  <c r="P3881" i="1"/>
  <c r="P3882" i="1"/>
  <c r="P3883" i="1"/>
  <c r="P3884" i="1"/>
  <c r="P3885" i="1"/>
  <c r="P3886" i="1"/>
  <c r="P3887" i="1"/>
  <c r="P3888" i="1"/>
  <c r="P3889" i="1"/>
  <c r="P3890" i="1"/>
  <c r="P3891" i="1"/>
  <c r="P3892" i="1"/>
  <c r="P3900" i="1"/>
  <c r="P3901" i="1"/>
  <c r="P3902" i="1"/>
  <c r="P3903" i="1"/>
  <c r="P3904" i="1"/>
  <c r="P3905" i="1"/>
  <c r="P3906" i="1"/>
  <c r="P3907" i="1"/>
  <c r="P3908" i="1"/>
  <c r="P3909" i="1"/>
  <c r="P3910" i="1"/>
  <c r="P3911" i="1"/>
  <c r="P3912" i="1"/>
  <c r="P3913" i="1"/>
  <c r="P3914" i="1"/>
  <c r="P3915" i="1"/>
  <c r="P3916" i="1"/>
  <c r="P3917" i="1"/>
  <c r="P3918" i="1"/>
  <c r="P3919" i="1"/>
  <c r="P3920" i="1"/>
  <c r="P3921" i="1"/>
  <c r="P3922" i="1"/>
  <c r="P3923" i="1"/>
  <c r="P3924" i="1"/>
  <c r="P3925" i="1"/>
  <c r="P3926" i="1"/>
  <c r="P3927" i="1"/>
  <c r="P3928" i="1"/>
  <c r="P3930" i="1"/>
  <c r="P3931" i="1"/>
  <c r="P3932" i="1"/>
  <c r="P3933" i="1"/>
  <c r="P3934" i="1"/>
  <c r="P3935" i="1"/>
  <c r="P3936" i="1"/>
  <c r="P3939" i="1"/>
  <c r="P3940" i="1"/>
  <c r="P3941" i="1"/>
  <c r="P3942" i="1"/>
  <c r="P3943" i="1"/>
  <c r="P3944" i="1"/>
  <c r="P3945" i="1"/>
  <c r="P3946" i="1"/>
  <c r="P3947" i="1"/>
  <c r="P3948" i="1"/>
  <c r="P3949" i="1"/>
  <c r="P3950" i="1"/>
  <c r="P3951" i="1"/>
  <c r="P3952" i="1"/>
  <c r="P3953" i="1"/>
  <c r="P3954" i="1"/>
  <c r="P3955" i="1"/>
  <c r="P3956" i="1"/>
  <c r="P3957" i="1"/>
  <c r="P3958" i="1"/>
  <c r="P3959" i="1"/>
  <c r="P3960" i="1"/>
  <c r="P3961" i="1"/>
  <c r="P3962" i="1"/>
  <c r="P3963" i="1"/>
  <c r="P3964" i="1"/>
  <c r="P3975" i="1"/>
  <c r="P3976" i="1"/>
  <c r="P3977" i="1"/>
  <c r="P3978" i="1"/>
  <c r="P3979" i="1"/>
  <c r="P3980" i="1"/>
  <c r="P3981" i="1"/>
  <c r="P3982" i="1"/>
  <c r="P3983" i="1"/>
  <c r="P3984" i="1"/>
  <c r="P3985" i="1"/>
  <c r="P3986" i="1"/>
  <c r="P3987" i="1"/>
  <c r="P3988" i="1"/>
  <c r="P3989" i="1"/>
  <c r="P3990" i="1"/>
  <c r="P3991" i="1"/>
  <c r="P3992" i="1"/>
  <c r="P3993" i="1"/>
  <c r="P3994" i="1"/>
  <c r="P3995" i="1"/>
  <c r="P3996" i="1"/>
  <c r="P3997" i="1"/>
  <c r="P3998" i="1"/>
  <c r="P3999" i="1"/>
  <c r="P4000" i="1"/>
  <c r="P4028" i="1"/>
  <c r="P4029" i="1"/>
  <c r="P4030" i="1"/>
  <c r="P4031" i="1"/>
  <c r="P4032" i="1"/>
  <c r="P4033" i="1"/>
  <c r="P4034" i="1"/>
  <c r="P4035" i="1"/>
  <c r="P4036" i="1"/>
  <c r="P4037" i="1"/>
  <c r="P4038" i="1"/>
  <c r="P4039" i="1"/>
  <c r="P4040" i="1"/>
  <c r="P4041" i="1"/>
  <c r="P4042" i="1"/>
  <c r="P4043" i="1"/>
  <c r="P4044" i="1"/>
  <c r="P4045" i="1"/>
  <c r="P4046" i="1"/>
  <c r="P4047" i="1"/>
  <c r="P4048" i="1"/>
  <c r="P4049" i="1"/>
  <c r="P4050" i="1"/>
  <c r="P4051" i="1"/>
  <c r="P4052" i="1"/>
  <c r="P4053" i="1"/>
  <c r="P4054" i="1"/>
  <c r="P4055" i="1"/>
  <c r="P4056" i="1"/>
  <c r="P4057" i="1"/>
  <c r="P4058" i="1"/>
  <c r="P4059" i="1"/>
  <c r="P4060" i="1"/>
  <c r="P4061" i="1"/>
  <c r="P4062" i="1"/>
  <c r="P4063" i="1"/>
  <c r="P4064" i="1"/>
  <c r="P4065" i="1"/>
  <c r="P4066" i="1"/>
  <c r="P4067" i="1"/>
  <c r="P4068" i="1"/>
  <c r="P4069" i="1"/>
  <c r="P4070" i="1"/>
  <c r="P4071" i="1"/>
  <c r="P4072" i="1"/>
  <c r="P4073" i="1"/>
  <c r="P4074" i="1"/>
  <c r="P4075" i="1"/>
  <c r="P4076" i="1"/>
  <c r="P4077" i="1"/>
  <c r="P4078" i="1"/>
  <c r="P4079" i="1"/>
  <c r="P4080" i="1"/>
  <c r="P4081" i="1"/>
  <c r="P4082" i="1"/>
  <c r="P4083" i="1"/>
  <c r="P4084" i="1"/>
  <c r="P4085" i="1"/>
  <c r="P4086" i="1"/>
  <c r="P4087" i="1"/>
  <c r="P4088" i="1"/>
  <c r="P4089" i="1"/>
  <c r="P4090" i="1"/>
  <c r="P4091" i="1"/>
  <c r="P4092" i="1"/>
  <c r="P4093" i="1"/>
  <c r="P4094" i="1"/>
  <c r="P4095" i="1"/>
  <c r="P4096" i="1"/>
  <c r="P4098" i="1"/>
  <c r="P4106" i="1"/>
  <c r="P4107" i="1"/>
  <c r="P4108" i="1"/>
  <c r="P4109" i="1"/>
  <c r="P4110" i="1"/>
  <c r="P4111" i="1"/>
  <c r="P4112" i="1"/>
  <c r="P4113" i="1"/>
  <c r="P4114" i="1"/>
  <c r="P4115" i="1"/>
  <c r="P4117" i="1"/>
  <c r="P4118" i="1"/>
  <c r="P4119" i="1"/>
  <c r="P4121" i="1"/>
  <c r="P4122" i="1"/>
  <c r="P4124" i="1"/>
  <c r="P4126" i="1"/>
  <c r="P4129" i="1"/>
  <c r="P4130" i="1"/>
  <c r="P4131" i="1"/>
  <c r="P4132" i="1"/>
  <c r="P4133" i="1"/>
  <c r="P4134" i="1"/>
  <c r="P4135" i="1"/>
  <c r="P4136" i="1"/>
  <c r="P4137" i="1"/>
  <c r="P4138" i="1"/>
  <c r="P4152" i="1"/>
  <c r="P4153" i="1"/>
  <c r="P4154" i="1"/>
  <c r="P4155" i="1"/>
  <c r="P4156" i="1"/>
  <c r="P4157" i="1"/>
  <c r="P4165" i="1"/>
  <c r="P4166" i="1"/>
  <c r="P4167" i="1"/>
  <c r="P4168" i="1"/>
  <c r="P4169" i="1"/>
  <c r="P4170" i="1"/>
  <c r="P4171" i="1"/>
  <c r="P4172" i="1"/>
  <c r="P4173" i="1"/>
  <c r="P4174" i="1"/>
  <c r="P4175" i="1"/>
  <c r="P4176" i="1"/>
  <c r="P4177" i="1"/>
  <c r="P4202" i="1"/>
  <c r="P4203" i="1"/>
  <c r="P4204" i="1"/>
  <c r="P4205" i="1"/>
  <c r="P4206" i="1"/>
  <c r="P4207" i="1"/>
  <c r="P4208" i="1"/>
  <c r="P4209" i="1"/>
  <c r="P4210" i="1"/>
  <c r="P4211" i="1"/>
  <c r="P4212" i="1"/>
  <c r="P4213" i="1"/>
  <c r="P4214" i="1"/>
  <c r="P4215" i="1"/>
  <c r="P4216" i="1"/>
  <c r="P4217" i="1"/>
  <c r="P4231" i="1"/>
  <c r="P4232" i="1"/>
  <c r="P4233" i="1"/>
  <c r="P4234" i="1"/>
  <c r="P4235" i="1"/>
  <c r="P4236" i="1"/>
  <c r="P4237" i="1"/>
  <c r="P4238" i="1"/>
  <c r="P4239" i="1"/>
  <c r="P4240" i="1"/>
  <c r="P4241" i="1"/>
  <c r="P4242" i="1"/>
  <c r="P4243" i="1"/>
  <c r="P4255" i="1"/>
  <c r="P4258" i="1"/>
  <c r="P4259" i="1"/>
  <c r="P4260" i="1"/>
  <c r="P4261" i="1"/>
  <c r="P4262" i="1"/>
  <c r="P4263" i="1"/>
  <c r="P4264" i="1"/>
  <c r="P4265" i="1"/>
  <c r="P4266" i="1"/>
  <c r="P4267" i="1"/>
  <c r="P4268" i="1"/>
  <c r="P4269" i="1"/>
  <c r="P4270" i="1"/>
  <c r="P4271" i="1"/>
  <c r="P4272" i="1"/>
  <c r="P4273" i="1"/>
  <c r="P4274" i="1"/>
  <c r="P4275" i="1"/>
  <c r="P4276" i="1"/>
  <c r="P4277" i="1"/>
  <c r="P4278" i="1"/>
  <c r="P4280" i="1"/>
  <c r="P4281" i="1"/>
  <c r="P4284" i="1"/>
  <c r="P4290" i="1"/>
  <c r="P4301" i="1"/>
  <c r="P4302" i="1"/>
  <c r="P4303" i="1"/>
  <c r="P4304" i="1"/>
  <c r="P4305" i="1"/>
  <c r="P4306" i="1"/>
  <c r="P4313" i="1"/>
  <c r="P4314" i="1"/>
  <c r="P4315" i="1"/>
  <c r="P4316" i="1"/>
  <c r="P4317" i="1"/>
  <c r="P4318" i="1"/>
  <c r="P4319" i="1"/>
  <c r="P4320" i="1"/>
  <c r="P4321" i="1"/>
  <c r="P4322" i="1"/>
  <c r="P4323" i="1"/>
  <c r="P4324" i="1"/>
  <c r="P4325" i="1"/>
  <c r="P4326" i="1"/>
  <c r="P4330" i="1"/>
  <c r="P4331" i="1"/>
  <c r="P4332" i="1"/>
  <c r="P4333" i="1"/>
  <c r="P4334" i="1"/>
  <c r="P4335" i="1"/>
  <c r="P4336" i="1"/>
  <c r="P4337" i="1"/>
  <c r="P4338" i="1"/>
  <c r="P4339" i="1"/>
  <c r="P4340" i="1"/>
  <c r="P4341" i="1"/>
  <c r="P4342" i="1"/>
  <c r="P4343" i="1"/>
  <c r="P4344" i="1"/>
  <c r="P4345" i="1"/>
  <c r="P4347" i="1"/>
  <c r="P4348" i="1"/>
  <c r="P4350" i="1"/>
  <c r="P4353" i="1"/>
  <c r="P4354" i="1"/>
  <c r="P4355" i="1"/>
  <c r="P4356" i="1"/>
  <c r="P4357" i="1"/>
  <c r="P4358" i="1"/>
  <c r="P4359" i="1"/>
  <c r="P4360" i="1"/>
  <c r="P4361" i="1"/>
  <c r="P4362" i="1"/>
  <c r="P4363" i="1"/>
  <c r="P4364" i="1"/>
  <c r="P4369" i="1"/>
  <c r="P4370" i="1"/>
  <c r="P4371" i="1"/>
  <c r="P4372" i="1"/>
  <c r="P4373" i="1"/>
  <c r="P4376" i="1"/>
  <c r="P4377" i="1"/>
  <c r="P4378" i="1"/>
  <c r="P4380" i="1"/>
  <c r="P4381" i="1"/>
  <c r="P4382" i="1"/>
  <c r="P4383" i="1"/>
  <c r="P4384" i="1"/>
  <c r="P4385" i="1"/>
  <c r="P4386" i="1"/>
  <c r="P4389" i="1"/>
  <c r="P4390" i="1"/>
  <c r="P4392" i="1"/>
  <c r="P4393" i="1"/>
  <c r="P4394" i="1"/>
  <c r="P4395" i="1"/>
  <c r="P4396" i="1"/>
  <c r="P4398" i="1"/>
  <c r="P4402" i="1"/>
  <c r="P4403" i="1"/>
  <c r="P4404" i="1"/>
  <c r="P4405" i="1"/>
  <c r="P4406" i="1"/>
  <c r="P4407" i="1"/>
  <c r="P4408" i="1"/>
  <c r="P4409" i="1"/>
  <c r="P4411" i="1"/>
  <c r="P4412" i="1"/>
  <c r="P4414" i="1"/>
  <c r="P4415" i="1"/>
  <c r="P4432" i="1"/>
  <c r="P4433" i="1"/>
  <c r="P4434" i="1"/>
  <c r="P4435" i="1"/>
  <c r="P4436" i="1"/>
  <c r="P4437" i="1"/>
  <c r="P4438" i="1"/>
  <c r="P4439" i="1"/>
  <c r="P4440" i="1"/>
  <c r="P4441" i="1"/>
  <c r="P4442" i="1"/>
  <c r="P4459" i="1"/>
  <c r="P4460" i="1"/>
  <c r="P4461" i="1"/>
  <c r="P4462" i="1"/>
  <c r="P4463" i="1"/>
  <c r="P4464" i="1"/>
  <c r="P4465" i="1"/>
  <c r="P4466" i="1"/>
  <c r="P4467" i="1"/>
  <c r="P4468" i="1"/>
  <c r="P4469" i="1"/>
  <c r="P4470" i="1"/>
  <c r="P4472" i="1"/>
  <c r="P4473" i="1"/>
  <c r="P4474" i="1"/>
  <c r="P4475" i="1"/>
  <c r="P4476" i="1"/>
  <c r="P4477" i="1"/>
  <c r="P4478" i="1"/>
  <c r="P4479" i="1"/>
  <c r="P4480" i="1"/>
  <c r="P4481" i="1"/>
  <c r="P4482" i="1"/>
  <c r="P4487" i="1"/>
  <c r="P4488" i="1"/>
  <c r="P4489" i="1"/>
  <c r="P4490" i="1"/>
  <c r="P4491" i="1"/>
  <c r="P4492" i="1"/>
  <c r="P4493" i="1"/>
  <c r="P4494" i="1"/>
  <c r="P4495" i="1"/>
  <c r="P4496" i="1"/>
  <c r="P4497" i="1"/>
  <c r="P4498" i="1"/>
  <c r="P4499" i="1"/>
  <c r="P4500" i="1"/>
  <c r="P4502" i="1"/>
  <c r="P4503" i="1"/>
  <c r="P4504" i="1"/>
  <c r="P4505" i="1"/>
  <c r="P4506" i="1"/>
  <c r="P4507" i="1"/>
  <c r="P4508" i="1"/>
  <c r="P4509" i="1"/>
  <c r="P4510" i="1"/>
  <c r="P4511" i="1"/>
  <c r="P4512" i="1"/>
  <c r="P4513" i="1"/>
  <c r="P4514" i="1"/>
  <c r="P4515" i="1"/>
  <c r="P4516" i="1"/>
  <c r="P4517" i="1"/>
  <c r="P4518" i="1"/>
  <c r="P4519" i="1"/>
  <c r="P4520" i="1"/>
  <c r="P4521" i="1"/>
  <c r="P4522" i="1"/>
  <c r="P4523" i="1"/>
  <c r="P4524" i="1"/>
  <c r="P4525" i="1"/>
  <c r="P4526" i="1"/>
  <c r="P4527" i="1"/>
  <c r="P4528" i="1"/>
  <c r="P4529" i="1"/>
  <c r="P4533" i="1"/>
  <c r="P4534" i="1"/>
  <c r="P4535" i="1"/>
  <c r="P4536" i="1"/>
  <c r="P4537" i="1"/>
  <c r="P4538" i="1"/>
  <c r="P4539" i="1"/>
  <c r="P4540" i="1"/>
  <c r="P4544" i="1"/>
  <c r="P4545" i="1"/>
  <c r="P4548" i="1"/>
  <c r="P4549" i="1"/>
  <c r="P4550" i="1"/>
  <c r="P4551" i="1"/>
  <c r="P4552" i="1"/>
  <c r="P4553" i="1"/>
  <c r="P4554" i="1"/>
  <c r="P4555" i="1"/>
  <c r="P4556" i="1"/>
  <c r="P4557" i="1"/>
  <c r="P4558" i="1"/>
  <c r="P4559" i="1"/>
  <c r="P4560" i="1"/>
  <c r="P4561" i="1"/>
  <c r="P4562" i="1"/>
  <c r="P4572" i="1"/>
  <c r="P4573" i="1"/>
  <c r="P4574" i="1"/>
  <c r="P4575" i="1"/>
  <c r="P4576" i="1"/>
  <c r="P4577" i="1"/>
  <c r="P4578" i="1"/>
  <c r="P4579" i="1"/>
  <c r="P4580" i="1"/>
  <c r="P4581" i="1"/>
  <c r="P4582" i="1"/>
  <c r="P4583" i="1"/>
  <c r="P4584" i="1"/>
  <c r="P4585" i="1"/>
  <c r="P4586" i="1"/>
  <c r="P4587" i="1"/>
  <c r="P4588" i="1"/>
  <c r="P4589" i="1"/>
  <c r="P4590" i="1"/>
  <c r="P4591" i="1"/>
  <c r="P4592" i="1"/>
  <c r="P4593" i="1"/>
  <c r="P4595" i="1"/>
  <c r="P4605" i="1"/>
  <c r="P4606" i="1"/>
  <c r="P4607" i="1"/>
  <c r="P4608" i="1"/>
  <c r="P4609" i="1"/>
  <c r="P4610" i="1"/>
  <c r="P4611" i="1"/>
  <c r="P4612" i="1"/>
  <c r="P4613" i="1"/>
  <c r="P4614" i="1"/>
  <c r="P4615" i="1"/>
  <c r="P4616" i="1"/>
  <c r="P4617" i="1"/>
  <c r="P4618" i="1"/>
  <c r="P4619" i="1"/>
  <c r="P4620" i="1"/>
  <c r="P4621" i="1"/>
  <c r="P4622" i="1"/>
  <c r="P4623" i="1"/>
  <c r="P4624" i="1"/>
  <c r="P4625" i="1"/>
  <c r="P4626" i="1"/>
  <c r="P4627" i="1"/>
  <c r="P4628" i="1"/>
  <c r="P4629" i="1"/>
  <c r="P4630" i="1"/>
  <c r="P4631" i="1"/>
  <c r="P4632" i="1"/>
  <c r="P4633" i="1"/>
  <c r="P4634" i="1"/>
  <c r="P4635" i="1"/>
  <c r="P4636" i="1"/>
  <c r="P4637" i="1"/>
  <c r="P4638" i="1"/>
  <c r="P4639" i="1"/>
  <c r="P4643" i="1"/>
  <c r="P4644" i="1"/>
  <c r="P4645" i="1"/>
  <c r="P4646" i="1"/>
  <c r="P4647" i="1"/>
  <c r="P4648" i="1"/>
  <c r="P4649" i="1"/>
  <c r="P4650" i="1"/>
  <c r="P4651" i="1"/>
  <c r="P4652" i="1"/>
  <c r="P4653" i="1"/>
  <c r="P4654" i="1"/>
  <c r="P4655" i="1"/>
  <c r="P4656" i="1"/>
  <c r="P4657" i="1"/>
  <c r="P4658" i="1"/>
  <c r="P4664" i="1"/>
  <c r="P4671" i="1"/>
  <c r="P4672" i="1"/>
  <c r="P4673" i="1"/>
  <c r="P4674" i="1"/>
  <c r="P4675" i="1"/>
  <c r="P4676" i="1"/>
  <c r="P4677" i="1"/>
  <c r="P4678" i="1"/>
  <c r="P4679" i="1"/>
  <c r="P4680" i="1"/>
  <c r="P4681" i="1"/>
  <c r="P4682" i="1"/>
  <c r="P4683" i="1"/>
  <c r="P4684" i="1"/>
  <c r="P4685" i="1"/>
  <c r="P4686" i="1"/>
  <c r="P4687" i="1"/>
  <c r="P4719" i="1"/>
  <c r="P4720" i="1"/>
  <c r="P4721" i="1"/>
  <c r="P4722" i="1"/>
  <c r="P4723" i="1"/>
  <c r="P4724" i="1"/>
  <c r="P4725" i="1"/>
  <c r="P4726" i="1"/>
  <c r="P4727" i="1"/>
  <c r="P4728" i="1"/>
  <c r="P4729" i="1"/>
  <c r="P4730" i="1"/>
  <c r="P4731" i="1"/>
  <c r="P4732" i="1"/>
  <c r="P4733" i="1"/>
  <c r="P4734" i="1"/>
  <c r="P4735" i="1"/>
  <c r="P4736" i="1"/>
  <c r="P4737" i="1"/>
  <c r="P4738" i="1"/>
  <c r="P4739" i="1"/>
  <c r="P4740" i="1"/>
  <c r="P4741" i="1"/>
  <c r="P4742" i="1"/>
  <c r="P4743" i="1"/>
  <c r="P4744" i="1"/>
  <c r="P4745" i="1"/>
  <c r="P4746" i="1"/>
  <c r="P4747" i="1"/>
  <c r="P4748" i="1"/>
  <c r="P4749" i="1"/>
  <c r="P4750" i="1"/>
  <c r="P4751" i="1"/>
  <c r="P4752" i="1"/>
  <c r="P4753" i="1"/>
  <c r="P4754" i="1"/>
  <c r="P4755" i="1"/>
  <c r="P4756" i="1"/>
  <c r="P4757" i="1"/>
  <c r="P4758" i="1"/>
  <c r="P4759" i="1"/>
  <c r="P4760" i="1"/>
  <c r="P4761" i="1"/>
  <c r="P4765" i="1"/>
  <c r="P4766" i="1"/>
  <c r="P4767" i="1"/>
  <c r="P4768" i="1"/>
  <c r="P4769" i="1"/>
  <c r="P4772" i="1"/>
  <c r="P4773" i="1"/>
  <c r="P4774" i="1"/>
  <c r="P4775" i="1"/>
  <c r="P4776" i="1"/>
  <c r="P4777" i="1"/>
  <c r="P4778" i="1"/>
  <c r="P4779" i="1"/>
  <c r="P4780" i="1"/>
  <c r="P4781" i="1"/>
  <c r="P4782" i="1"/>
  <c r="P4783" i="1"/>
  <c r="P4784" i="1"/>
  <c r="P4785" i="1"/>
  <c r="P4803" i="1"/>
  <c r="P4808" i="1"/>
  <c r="P4809" i="1"/>
  <c r="P4810" i="1"/>
  <c r="P4811" i="1"/>
  <c r="P4812" i="1"/>
  <c r="P4813" i="1"/>
  <c r="P4814" i="1"/>
  <c r="P4815" i="1"/>
  <c r="P4816" i="1"/>
  <c r="P4817" i="1"/>
  <c r="P4818" i="1"/>
  <c r="P4819" i="1"/>
  <c r="P4820" i="1"/>
  <c r="P4821" i="1"/>
  <c r="P4822" i="1"/>
  <c r="P4823" i="1"/>
  <c r="P4824" i="1"/>
  <c r="P4825" i="1"/>
  <c r="P4826" i="1"/>
  <c r="P4827" i="1"/>
  <c r="P4828" i="1"/>
  <c r="P4829" i="1"/>
  <c r="P4830" i="1"/>
  <c r="P4831" i="1"/>
  <c r="P4837" i="1"/>
  <c r="P4838" i="1"/>
  <c r="P4839" i="1"/>
  <c r="P4840" i="1"/>
  <c r="P4842" i="1"/>
  <c r="P4843" i="1"/>
  <c r="P4844" i="1"/>
  <c r="P4845" i="1"/>
  <c r="P4846" i="1"/>
  <c r="P4847" i="1"/>
  <c r="P4848" i="1"/>
  <c r="P4849" i="1"/>
  <c r="P4850" i="1"/>
  <c r="P4851" i="1"/>
  <c r="P4852" i="1"/>
  <c r="P4853" i="1"/>
  <c r="P4854" i="1"/>
  <c r="P4855" i="1"/>
  <c r="P4856" i="1"/>
  <c r="P4857" i="1"/>
  <c r="P4858" i="1"/>
  <c r="P4859" i="1"/>
  <c r="P4860" i="1"/>
  <c r="P4861" i="1"/>
  <c r="P4862" i="1"/>
  <c r="P4863" i="1"/>
  <c r="P4864" i="1"/>
  <c r="P4865" i="1"/>
  <c r="P4866" i="1"/>
  <c r="P4867" i="1"/>
  <c r="P4868" i="1"/>
  <c r="P4869" i="1"/>
  <c r="P4882" i="1"/>
  <c r="P4883" i="1"/>
  <c r="P4884" i="1"/>
  <c r="P4885" i="1"/>
  <c r="P4886" i="1"/>
  <c r="P4887" i="1"/>
  <c r="P4888" i="1"/>
  <c r="P4901" i="1"/>
  <c r="P4902" i="1"/>
  <c r="P4903" i="1"/>
  <c r="P4904" i="1"/>
  <c r="P4907" i="1"/>
  <c r="P4908" i="1"/>
  <c r="P4909" i="1"/>
  <c r="P4910" i="1"/>
  <c r="P4911" i="1"/>
  <c r="P4912" i="1"/>
  <c r="P4913" i="1"/>
  <c r="P4914" i="1"/>
  <c r="P4915" i="1"/>
  <c r="P4916" i="1"/>
  <c r="P4917" i="1"/>
  <c r="P4918" i="1"/>
  <c r="P4919" i="1"/>
  <c r="P4920" i="1"/>
  <c r="P4921" i="1"/>
  <c r="P4922" i="1"/>
  <c r="P4923" i="1"/>
  <c r="P4924" i="1"/>
  <c r="P4925" i="1"/>
  <c r="P4926" i="1"/>
  <c r="P4927" i="1"/>
  <c r="P4928" i="1"/>
  <c r="P4929" i="1"/>
  <c r="P4931" i="1"/>
  <c r="P4932" i="1"/>
  <c r="P4933" i="1"/>
  <c r="P4934" i="1"/>
  <c r="P4935" i="1"/>
  <c r="P4939" i="1"/>
  <c r="P4944" i="1"/>
  <c r="P4950" i="1"/>
  <c r="P4951" i="1"/>
  <c r="P4952" i="1"/>
  <c r="P4953" i="1"/>
  <c r="P4954" i="1"/>
  <c r="P4955" i="1"/>
  <c r="P4956" i="1"/>
  <c r="P4957" i="1"/>
  <c r="P4958" i="1"/>
  <c r="P4959" i="1"/>
  <c r="P4960" i="1"/>
  <c r="P4961" i="1"/>
  <c r="P4962" i="1"/>
  <c r="P4963" i="1"/>
  <c r="P4964" i="1"/>
  <c r="P4965" i="1"/>
  <c r="P4966" i="1"/>
  <c r="P4967" i="1"/>
  <c r="P4968" i="1"/>
  <c r="P4969" i="1"/>
  <c r="P4970" i="1"/>
  <c r="P4971" i="1"/>
  <c r="P4972" i="1"/>
  <c r="P4974" i="1"/>
  <c r="P4975" i="1"/>
  <c r="P4976" i="1"/>
  <c r="P4977" i="1"/>
  <c r="P4978" i="1"/>
  <c r="P4982" i="1"/>
  <c r="P4983" i="1"/>
  <c r="P4984" i="1"/>
  <c r="P4985" i="1"/>
  <c r="P4986" i="1"/>
  <c r="P4987" i="1"/>
  <c r="P4989" i="1"/>
  <c r="P4990" i="1"/>
  <c r="P4991" i="1"/>
  <c r="P4992" i="1"/>
  <c r="P4993" i="1"/>
  <c r="P4994" i="1"/>
  <c r="P4995" i="1"/>
  <c r="P4996" i="1"/>
  <c r="P4997" i="1"/>
  <c r="P4998" i="1"/>
  <c r="P4999" i="1"/>
  <c r="P5000" i="1"/>
  <c r="P5001" i="1"/>
  <c r="P5002" i="1"/>
  <c r="P5003" i="1"/>
  <c r="P5004" i="1"/>
  <c r="P5005" i="1"/>
  <c r="P5006" i="1"/>
  <c r="P5007" i="1"/>
  <c r="P5008" i="1"/>
  <c r="P5009" i="1"/>
  <c r="P5010" i="1"/>
  <c r="P5011" i="1"/>
  <c r="P5012" i="1"/>
  <c r="P5013" i="1"/>
  <c r="P5014" i="1"/>
  <c r="P5015" i="1"/>
  <c r="P5016" i="1"/>
  <c r="P5017" i="1"/>
  <c r="P5018" i="1"/>
  <c r="P5020" i="1"/>
  <c r="P5021" i="1"/>
  <c r="P5022" i="1"/>
  <c r="P5023" i="1"/>
  <c r="P5024" i="1"/>
  <c r="P5025" i="1"/>
  <c r="P5026" i="1"/>
  <c r="P5027" i="1"/>
  <c r="P5028" i="1"/>
  <c r="P5029" i="1"/>
  <c r="P5030" i="1"/>
  <c r="P5031" i="1"/>
  <c r="P5032" i="1"/>
  <c r="P5033" i="1"/>
  <c r="P5034" i="1"/>
  <c r="P5035" i="1"/>
  <c r="P5036" i="1"/>
  <c r="P5037" i="1"/>
  <c r="P5038" i="1"/>
  <c r="P5039" i="1"/>
  <c r="P5040" i="1"/>
  <c r="P5041" i="1"/>
  <c r="P5042" i="1"/>
  <c r="P5043" i="1"/>
  <c r="P5044" i="1"/>
  <c r="P5045" i="1"/>
  <c r="P5046" i="1"/>
  <c r="P5047" i="1"/>
  <c r="P5048" i="1"/>
  <c r="P5049" i="1"/>
  <c r="P5050" i="1"/>
  <c r="P5051" i="1"/>
  <c r="P5058" i="1"/>
  <c r="P5059" i="1"/>
  <c r="P5061" i="1"/>
  <c r="P5062" i="1"/>
  <c r="P5063" i="1"/>
  <c r="P5064" i="1"/>
  <c r="P5065" i="1"/>
  <c r="P5066" i="1"/>
  <c r="P5067" i="1"/>
  <c r="P5068" i="1"/>
  <c r="P5069" i="1"/>
  <c r="P5070" i="1"/>
  <c r="P5071" i="1"/>
  <c r="P5072" i="1"/>
  <c r="P5073" i="1"/>
  <c r="P5074" i="1"/>
  <c r="P5085" i="1"/>
  <c r="P5086" i="1"/>
  <c r="P5087" i="1"/>
  <c r="P5088" i="1"/>
  <c r="P5089" i="1"/>
  <c r="P5090" i="1"/>
  <c r="P5091" i="1"/>
  <c r="P5092" i="1"/>
  <c r="P5093" i="1"/>
  <c r="P5094" i="1"/>
  <c r="P5095" i="1"/>
  <c r="P5096" i="1"/>
  <c r="P5097" i="1"/>
  <c r="P5098" i="1"/>
  <c r="P5099" i="1"/>
  <c r="P5100" i="1"/>
  <c r="P5101" i="1"/>
  <c r="P5102" i="1"/>
  <c r="P5103" i="1"/>
  <c r="P5104" i="1"/>
  <c r="P5105" i="1"/>
  <c r="P5106" i="1"/>
  <c r="P5107" i="1"/>
  <c r="P5108" i="1"/>
  <c r="P5109" i="1"/>
  <c r="P5110" i="1"/>
  <c r="P5111" i="1"/>
  <c r="P5112" i="1"/>
  <c r="P5113" i="1"/>
  <c r="P5114" i="1"/>
  <c r="P5115" i="1"/>
  <c r="P5116" i="1"/>
  <c r="P5117" i="1"/>
  <c r="P5118" i="1"/>
  <c r="P5119" i="1"/>
  <c r="P5120" i="1"/>
  <c r="P5122" i="1"/>
  <c r="P5123" i="1"/>
  <c r="P5124" i="1"/>
  <c r="P5125" i="1"/>
  <c r="P5126" i="1"/>
  <c r="P5127" i="1"/>
  <c r="P5128" i="1"/>
  <c r="P5129" i="1"/>
  <c r="P5130" i="1"/>
  <c r="P5131" i="1"/>
  <c r="P5132" i="1"/>
  <c r="P5133" i="1"/>
  <c r="P5134" i="1"/>
  <c r="P5135" i="1"/>
  <c r="P5136" i="1"/>
  <c r="P5137" i="1"/>
  <c r="P5138" i="1"/>
  <c r="P5139" i="1"/>
  <c r="P5140" i="1"/>
  <c r="P5141" i="1"/>
  <c r="P5142" i="1"/>
  <c r="P5143" i="1"/>
  <c r="P5144" i="1"/>
  <c r="P5145" i="1"/>
  <c r="P5146" i="1"/>
  <c r="P5147" i="1"/>
  <c r="P5148" i="1"/>
  <c r="P5149" i="1"/>
  <c r="P5150" i="1"/>
  <c r="P5151" i="1"/>
  <c r="P5152" i="1"/>
  <c r="P5153" i="1"/>
  <c r="P5154" i="1"/>
  <c r="P5155" i="1"/>
  <c r="P5156" i="1"/>
  <c r="P5157" i="1"/>
  <c r="P5158" i="1"/>
  <c r="P5159" i="1"/>
  <c r="P5160" i="1"/>
  <c r="P5161" i="1"/>
  <c r="P5162" i="1"/>
  <c r="P5163" i="1"/>
  <c r="P5164" i="1"/>
  <c r="P5165" i="1"/>
  <c r="P5166" i="1"/>
  <c r="P5167" i="1"/>
  <c r="P5168" i="1"/>
  <c r="P5169" i="1"/>
  <c r="P5170" i="1"/>
  <c r="P5171" i="1"/>
  <c r="P5172" i="1"/>
  <c r="P5173" i="1"/>
  <c r="P5174" i="1"/>
  <c r="P5175" i="1"/>
  <c r="P5178" i="1"/>
  <c r="P5179" i="1"/>
  <c r="P5180" i="1"/>
  <c r="P5182" i="1"/>
  <c r="P5183" i="1"/>
  <c r="P5184" i="1"/>
  <c r="P5185" i="1"/>
  <c r="P5186" i="1"/>
  <c r="P5187" i="1"/>
  <c r="P5188" i="1"/>
  <c r="P5189" i="1"/>
  <c r="P5190" i="1"/>
  <c r="P5191" i="1"/>
  <c r="P5192" i="1"/>
  <c r="P5193" i="1"/>
  <c r="P5194" i="1"/>
  <c r="P5195" i="1"/>
  <c r="P5196" i="1"/>
  <c r="P5197" i="1"/>
  <c r="P5198" i="1"/>
  <c r="P5200" i="1"/>
  <c r="P5201" i="1"/>
  <c r="P5202" i="1"/>
  <c r="P5203" i="1"/>
  <c r="P5204" i="1"/>
  <c r="P5205" i="1"/>
  <c r="P5206" i="1"/>
  <c r="P5207" i="1"/>
  <c r="P5208" i="1"/>
  <c r="P5209" i="1"/>
  <c r="P5210" i="1"/>
  <c r="P5211" i="1"/>
  <c r="P5212" i="1"/>
  <c r="P5213" i="1"/>
  <c r="P5214" i="1"/>
  <c r="P5215" i="1"/>
  <c r="P5216" i="1"/>
  <c r="P5217" i="1"/>
  <c r="P5218" i="1"/>
  <c r="P5219" i="1"/>
  <c r="P5220" i="1"/>
  <c r="P5221" i="1"/>
  <c r="P5222" i="1"/>
  <c r="P5223" i="1"/>
  <c r="P5224" i="1"/>
  <c r="P5225" i="1"/>
  <c r="P5226" i="1"/>
  <c r="P5227" i="1"/>
  <c r="P5228" i="1"/>
  <c r="P5229" i="1"/>
  <c r="P5230" i="1"/>
  <c r="P5251" i="1"/>
  <c r="P5252" i="1"/>
  <c r="P5253" i="1"/>
  <c r="P5254" i="1"/>
  <c r="P5256" i="1"/>
  <c r="P5257" i="1"/>
  <c r="P5258" i="1"/>
  <c r="P5259" i="1"/>
  <c r="P5260" i="1"/>
  <c r="P5261" i="1"/>
  <c r="P5262" i="1"/>
  <c r="P5263" i="1"/>
  <c r="P5264" i="1"/>
  <c r="P5265" i="1"/>
  <c r="P5266" i="1"/>
  <c r="P5267" i="1"/>
  <c r="P5268" i="1"/>
  <c r="P5269" i="1"/>
  <c r="P5270" i="1"/>
  <c r="P5271" i="1"/>
  <c r="P5272" i="1"/>
  <c r="P5273" i="1"/>
  <c r="P5274" i="1"/>
  <c r="P5275" i="1"/>
  <c r="P5276" i="1"/>
  <c r="P5277" i="1"/>
  <c r="P5278" i="1"/>
  <c r="P5279" i="1"/>
  <c r="P5283" i="1"/>
  <c r="P5285" i="1"/>
  <c r="P5286" i="1"/>
  <c r="P5287" i="1"/>
  <c r="P5288" i="1"/>
  <c r="P5289" i="1"/>
  <c r="P5290" i="1"/>
  <c r="P5291" i="1"/>
  <c r="P5292" i="1"/>
  <c r="P5293" i="1"/>
  <c r="P5294" i="1"/>
  <c r="P5295" i="1"/>
  <c r="P5296" i="1"/>
  <c r="P5297" i="1"/>
  <c r="P5298" i="1"/>
  <c r="P5299" i="1"/>
  <c r="P5300" i="1"/>
  <c r="P5301" i="1"/>
  <c r="P5302" i="1"/>
  <c r="P5303" i="1"/>
  <c r="P5304" i="1"/>
  <c r="P5305" i="1"/>
  <c r="P5306" i="1"/>
  <c r="P5307" i="1"/>
  <c r="P5308" i="1"/>
  <c r="P5309" i="1"/>
  <c r="P5310" i="1"/>
  <c r="P5311" i="1"/>
  <c r="P5312" i="1"/>
  <c r="P5313" i="1"/>
  <c r="P5314" i="1"/>
  <c r="P5315" i="1"/>
  <c r="P5316" i="1"/>
  <c r="P5317" i="1"/>
  <c r="P5318" i="1"/>
  <c r="P5320" i="1"/>
  <c r="P5324" i="1"/>
  <c r="P5325" i="1"/>
  <c r="P5326" i="1"/>
  <c r="P5327" i="1"/>
  <c r="P5328" i="1"/>
  <c r="P5329" i="1"/>
  <c r="P5330" i="1"/>
  <c r="P5331" i="1"/>
  <c r="P5332" i="1"/>
  <c r="P5333" i="1"/>
  <c r="P5334" i="1"/>
  <c r="P5335" i="1"/>
  <c r="P5336" i="1"/>
  <c r="P5337" i="1"/>
  <c r="P5338" i="1"/>
  <c r="P5339" i="1"/>
  <c r="P5340" i="1"/>
  <c r="P5341" i="1"/>
  <c r="P5342" i="1"/>
  <c r="P5343" i="1"/>
  <c r="P5344" i="1"/>
  <c r="P5345" i="1"/>
  <c r="P5346" i="1"/>
  <c r="P5347" i="1"/>
  <c r="P5348" i="1"/>
  <c r="P5349" i="1"/>
  <c r="P5350" i="1"/>
  <c r="P5351" i="1"/>
  <c r="P5352" i="1"/>
  <c r="P5353" i="1"/>
  <c r="P5354" i="1"/>
  <c r="P5355" i="1"/>
  <c r="P5356" i="1"/>
  <c r="P5357" i="1"/>
  <c r="P5358" i="1"/>
  <c r="P5360" i="1"/>
  <c r="P5361" i="1"/>
  <c r="P5362" i="1"/>
  <c r="P5363" i="1"/>
  <c r="P5364" i="1"/>
  <c r="P5365" i="1"/>
  <c r="P5366" i="1"/>
  <c r="P5367" i="1"/>
  <c r="P5368" i="1"/>
  <c r="P5369" i="1"/>
  <c r="P5370" i="1"/>
  <c r="P5371" i="1"/>
  <c r="P5372" i="1"/>
  <c r="P5373" i="1"/>
  <c r="P5374" i="1"/>
  <c r="P5375" i="1"/>
  <c r="P5376" i="1"/>
  <c r="P5377" i="1"/>
  <c r="P5378" i="1"/>
  <c r="P5379" i="1"/>
  <c r="P5380" i="1"/>
  <c r="P5381" i="1"/>
  <c r="P5382" i="1"/>
  <c r="P5383" i="1"/>
  <c r="P5384" i="1"/>
  <c r="P5385" i="1"/>
  <c r="P5386" i="1"/>
  <c r="P5387" i="1"/>
  <c r="P5388" i="1"/>
  <c r="P5389" i="1"/>
  <c r="P5390" i="1"/>
  <c r="P5391" i="1"/>
  <c r="P5392" i="1"/>
  <c r="P5393" i="1"/>
  <c r="P5394" i="1"/>
  <c r="P5395" i="1"/>
  <c r="P5411" i="1"/>
  <c r="P5412" i="1"/>
  <c r="P5415" i="1"/>
  <c r="P5416" i="1"/>
  <c r="P5417" i="1"/>
  <c r="P5418" i="1"/>
  <c r="P5419" i="1"/>
  <c r="P5420" i="1"/>
  <c r="P5421" i="1"/>
  <c r="P5430" i="1"/>
  <c r="P5432" i="1"/>
  <c r="P5433" i="1"/>
  <c r="P5434" i="1"/>
  <c r="P5435" i="1"/>
  <c r="P5436" i="1"/>
  <c r="P5437" i="1"/>
  <c r="P5438" i="1"/>
  <c r="P5439" i="1"/>
  <c r="P5440" i="1"/>
  <c r="P5441" i="1"/>
  <c r="P5442" i="1"/>
  <c r="P5443" i="1"/>
  <c r="P5444" i="1"/>
  <c r="P5445" i="1"/>
  <c r="P5446" i="1"/>
  <c r="P5447" i="1"/>
  <c r="P5448" i="1"/>
  <c r="P5449" i="1"/>
  <c r="P5450" i="1"/>
  <c r="P5451" i="1"/>
  <c r="P5452" i="1"/>
  <c r="P5453" i="1"/>
  <c r="P5454" i="1"/>
  <c r="P5455" i="1"/>
  <c r="P5456" i="1"/>
  <c r="P5457" i="1"/>
  <c r="P5458" i="1"/>
  <c r="P5459" i="1"/>
  <c r="P5460" i="1"/>
  <c r="P5461" i="1"/>
  <c r="P5462" i="1"/>
  <c r="P5463" i="1"/>
  <c r="P5464" i="1"/>
  <c r="P5465" i="1"/>
  <c r="P5466" i="1"/>
  <c r="P5467" i="1"/>
  <c r="P5468" i="1"/>
  <c r="P5469" i="1"/>
  <c r="P5470" i="1"/>
  <c r="P5471" i="1"/>
  <c r="P5472" i="1"/>
  <c r="P5473" i="1"/>
  <c r="P5474" i="1"/>
  <c r="P5475" i="1"/>
  <c r="P5476" i="1"/>
  <c r="P5477" i="1"/>
  <c r="P5478" i="1"/>
  <c r="P5479" i="1"/>
  <c r="P5480" i="1"/>
  <c r="P5481" i="1"/>
  <c r="P5482" i="1"/>
  <c r="P5483" i="1"/>
  <c r="P5484" i="1"/>
  <c r="P5485" i="1"/>
  <c r="P5486" i="1"/>
  <c r="P5487" i="1"/>
  <c r="P5488" i="1"/>
  <c r="P5489" i="1"/>
  <c r="P5490" i="1"/>
  <c r="P5492" i="1"/>
  <c r="P5493" i="1"/>
  <c r="P5494" i="1"/>
  <c r="P5495" i="1"/>
  <c r="P5496" i="1"/>
  <c r="P5497" i="1"/>
  <c r="P5498" i="1"/>
  <c r="P5499" i="1"/>
  <c r="P5500" i="1"/>
  <c r="P5501" i="1"/>
  <c r="P5502" i="1"/>
  <c r="P5503" i="1"/>
  <c r="P5504" i="1"/>
  <c r="P5507" i="1"/>
  <c r="P5508" i="1"/>
  <c r="P5509" i="1"/>
  <c r="P5510" i="1"/>
  <c r="P5511" i="1"/>
  <c r="P5512" i="1"/>
  <c r="P5513" i="1"/>
  <c r="P5514" i="1"/>
  <c r="P5515" i="1"/>
  <c r="P5516" i="1"/>
  <c r="P5517" i="1"/>
  <c r="P5518" i="1"/>
  <c r="P5519" i="1"/>
  <c r="P5520" i="1"/>
  <c r="P5521" i="1"/>
  <c r="P5522" i="1"/>
  <c r="P5525" i="1"/>
  <c r="P5526" i="1"/>
  <c r="P5527" i="1"/>
  <c r="P5528" i="1"/>
  <c r="P5529" i="1"/>
  <c r="P5530" i="1"/>
  <c r="P5531" i="1"/>
  <c r="P5532" i="1"/>
  <c r="P5533" i="1"/>
  <c r="P5534" i="1"/>
  <c r="P5535" i="1"/>
  <c r="P5536" i="1"/>
  <c r="P5537" i="1"/>
  <c r="P5538" i="1"/>
  <c r="P5539" i="1"/>
  <c r="P5540" i="1"/>
  <c r="P5541" i="1"/>
  <c r="P5542" i="1"/>
  <c r="P5543" i="1"/>
  <c r="P5544" i="1"/>
  <c r="P5545" i="1"/>
  <c r="P5546" i="1"/>
  <c r="P5547" i="1"/>
  <c r="P5548" i="1"/>
  <c r="P5549" i="1"/>
  <c r="P5550" i="1"/>
  <c r="P5551" i="1"/>
  <c r="P5552" i="1"/>
  <c r="P5553" i="1"/>
  <c r="P5554" i="1"/>
  <c r="P5555" i="1"/>
  <c r="P5556" i="1"/>
  <c r="P5557" i="1"/>
  <c r="P5558" i="1"/>
  <c r="P5559" i="1"/>
  <c r="P5560" i="1"/>
  <c r="P5561" i="1"/>
  <c r="P5562" i="1"/>
  <c r="P5563" i="1"/>
  <c r="P5564" i="1"/>
  <c r="P5565" i="1"/>
  <c r="P5566" i="1"/>
  <c r="P5567" i="1"/>
  <c r="P5568" i="1"/>
  <c r="P5569" i="1"/>
  <c r="P5570" i="1"/>
  <c r="P5571" i="1"/>
  <c r="P5572" i="1"/>
  <c r="P5573" i="1"/>
  <c r="P5575" i="1"/>
  <c r="P5576" i="1"/>
  <c r="P5577" i="1"/>
  <c r="P5578" i="1"/>
  <c r="P5579" i="1"/>
  <c r="P5580" i="1"/>
  <c r="P5581" i="1"/>
  <c r="P5582" i="1"/>
  <c r="P5583" i="1"/>
  <c r="P5584" i="1"/>
  <c r="P5585" i="1"/>
  <c r="P5586" i="1"/>
  <c r="P5587" i="1"/>
  <c r="P5588" i="1"/>
  <c r="P5589" i="1"/>
  <c r="P5590" i="1"/>
  <c r="P5591" i="1"/>
  <c r="P5592" i="1"/>
  <c r="P5593" i="1"/>
  <c r="P5594" i="1"/>
  <c r="P5595" i="1"/>
  <c r="P5596" i="1"/>
  <c r="P5597" i="1"/>
  <c r="P5598" i="1"/>
  <c r="P5599" i="1"/>
  <c r="P5600" i="1"/>
  <c r="P5601" i="1"/>
  <c r="P5602" i="1"/>
  <c r="P5603" i="1"/>
  <c r="P5604" i="1"/>
  <c r="P5605" i="1"/>
  <c r="P5606" i="1"/>
  <c r="P5607" i="1"/>
  <c r="P5608" i="1"/>
  <c r="P5609" i="1"/>
  <c r="P5610" i="1"/>
  <c r="P5611" i="1"/>
  <c r="P5612" i="1"/>
  <c r="P5613" i="1"/>
  <c r="P5614" i="1"/>
  <c r="P5615" i="1"/>
  <c r="P5616" i="1"/>
  <c r="P5617" i="1"/>
  <c r="P5618" i="1"/>
  <c r="P5619" i="1"/>
  <c r="P5620" i="1"/>
  <c r="P5621" i="1"/>
  <c r="P5622" i="1"/>
  <c r="P5623" i="1"/>
  <c r="P5624" i="1"/>
  <c r="P5625" i="1"/>
  <c r="P5626" i="1"/>
  <c r="P5627" i="1"/>
  <c r="P5628" i="1"/>
  <c r="P5629" i="1"/>
  <c r="P5630" i="1"/>
  <c r="P5631" i="1"/>
  <c r="P5632" i="1"/>
  <c r="P5633" i="1"/>
  <c r="P5634" i="1"/>
  <c r="P5635" i="1"/>
  <c r="P5636" i="1"/>
  <c r="P5637" i="1"/>
  <c r="P5638" i="1"/>
  <c r="P5639" i="1"/>
  <c r="P5640" i="1"/>
  <c r="P5641" i="1"/>
  <c r="P5642" i="1"/>
  <c r="P5643" i="1"/>
  <c r="P5645" i="1"/>
  <c r="P5646" i="1"/>
  <c r="P5647" i="1"/>
  <c r="P5648" i="1"/>
  <c r="P5649" i="1"/>
  <c r="P5650" i="1"/>
  <c r="P5651" i="1"/>
  <c r="P5652" i="1"/>
  <c r="P5653" i="1"/>
  <c r="P5654" i="1"/>
  <c r="P5655" i="1"/>
  <c r="P5657" i="1"/>
  <c r="P5658" i="1"/>
  <c r="P5659" i="1"/>
  <c r="P5663" i="1"/>
  <c r="P5664" i="1"/>
  <c r="P5665" i="1"/>
  <c r="P5666" i="1"/>
  <c r="P5667" i="1"/>
  <c r="P5668" i="1"/>
  <c r="P5669" i="1"/>
  <c r="P5670" i="1"/>
  <c r="P5671" i="1"/>
  <c r="P5672" i="1"/>
  <c r="P5673" i="1"/>
  <c r="P5674" i="1"/>
  <c r="P5675" i="1"/>
  <c r="P5676" i="1"/>
  <c r="P5677" i="1"/>
  <c r="P5678" i="1"/>
  <c r="P5679" i="1"/>
  <c r="P5680" i="1"/>
  <c r="P5681" i="1"/>
  <c r="P5682" i="1"/>
  <c r="P5683" i="1"/>
  <c r="P5684" i="1"/>
  <c r="P5685" i="1"/>
  <c r="P5686" i="1"/>
  <c r="P5687" i="1"/>
  <c r="P5691" i="1"/>
  <c r="P5692" i="1"/>
  <c r="P5693" i="1"/>
  <c r="P5694" i="1"/>
  <c r="P5695" i="1"/>
  <c r="P5696" i="1"/>
  <c r="P5697" i="1"/>
  <c r="P5698" i="1"/>
  <c r="P5699" i="1"/>
  <c r="P5700" i="1"/>
  <c r="P5701" i="1"/>
  <c r="P5702" i="1"/>
  <c r="P5703" i="1"/>
  <c r="P5704" i="1"/>
  <c r="P5705" i="1"/>
  <c r="P5706" i="1"/>
  <c r="P5707" i="1"/>
  <c r="P5708" i="1"/>
  <c r="P5709" i="1"/>
  <c r="P5715" i="1"/>
  <c r="P5716" i="1"/>
  <c r="P5718" i="1"/>
  <c r="P5719" i="1"/>
  <c r="P5720" i="1"/>
  <c r="P5721" i="1"/>
  <c r="P5722" i="1"/>
  <c r="P5723" i="1"/>
  <c r="P5726" i="1"/>
  <c r="P5727" i="1"/>
  <c r="P5728" i="1"/>
  <c r="P5729" i="1"/>
  <c r="P5730" i="1"/>
  <c r="P5731" i="1"/>
  <c r="P5733" i="1"/>
  <c r="P5734" i="1"/>
  <c r="P5735" i="1"/>
  <c r="P5736" i="1"/>
  <c r="P5737" i="1"/>
  <c r="P5738" i="1"/>
  <c r="P5739" i="1"/>
  <c r="P5740" i="1"/>
  <c r="P5741" i="1"/>
  <c r="P5742" i="1"/>
  <c r="P5743" i="1"/>
  <c r="P5744" i="1"/>
  <c r="P5745" i="1"/>
  <c r="P5746" i="1"/>
  <c r="P5747" i="1"/>
  <c r="P5748" i="1"/>
  <c r="P5749" i="1"/>
  <c r="P5750" i="1"/>
  <c r="P5751" i="1"/>
  <c r="P5752" i="1"/>
  <c r="P5753" i="1"/>
  <c r="P5754" i="1"/>
  <c r="P5755" i="1"/>
  <c r="P5756" i="1"/>
  <c r="P5757" i="1"/>
  <c r="P5758" i="1"/>
  <c r="P5759" i="1"/>
  <c r="P5760" i="1"/>
  <c r="P5761" i="1"/>
  <c r="P5762" i="1"/>
  <c r="P5763" i="1"/>
  <c r="P5764" i="1"/>
  <c r="P5765" i="1"/>
  <c r="P5766" i="1"/>
  <c r="P5767" i="1"/>
  <c r="P5768" i="1"/>
  <c r="P5769" i="1"/>
  <c r="P5770" i="1"/>
  <c r="P5771" i="1"/>
  <c r="P5772" i="1"/>
  <c r="P5773" i="1"/>
  <c r="P5777" i="1"/>
  <c r="P5782" i="1"/>
  <c r="P5783" i="1"/>
  <c r="P5784" i="1"/>
  <c r="P5788" i="1"/>
  <c r="P5791" i="1"/>
  <c r="P5792" i="1"/>
  <c r="P5795" i="1"/>
  <c r="P5799" i="1"/>
  <c r="P5800" i="1"/>
  <c r="P5802" i="1"/>
  <c r="P5803" i="1"/>
  <c r="P5804" i="1"/>
  <c r="P5805" i="1"/>
  <c r="P5806" i="1"/>
  <c r="P5807" i="1"/>
  <c r="P5808" i="1"/>
  <c r="P5809" i="1"/>
  <c r="P5810" i="1"/>
  <c r="P5811" i="1"/>
  <c r="P5812" i="1"/>
  <c r="P5813" i="1"/>
  <c r="P5814" i="1"/>
  <c r="P5815" i="1"/>
  <c r="P5816" i="1"/>
  <c r="P5817" i="1"/>
  <c r="P5818" i="1"/>
  <c r="P5819" i="1"/>
  <c r="P5820" i="1"/>
  <c r="P5821" i="1"/>
  <c r="P5823" i="1"/>
  <c r="P5824" i="1"/>
  <c r="P5825" i="1"/>
  <c r="P5826" i="1"/>
  <c r="P5827" i="1"/>
  <c r="P5828" i="1"/>
  <c r="P5829" i="1"/>
  <c r="P5830" i="1"/>
  <c r="P5831" i="1"/>
  <c r="P5832" i="1"/>
  <c r="P5833" i="1"/>
  <c r="P5834" i="1"/>
  <c r="P5835" i="1"/>
  <c r="P5836" i="1"/>
  <c r="P5837" i="1"/>
  <c r="P5838" i="1"/>
  <c r="P5839" i="1"/>
  <c r="P5840" i="1"/>
  <c r="P5841" i="1"/>
  <c r="P5842" i="1"/>
  <c r="P5843" i="1"/>
  <c r="P5844" i="1"/>
  <c r="P5848" i="1"/>
  <c r="P5849" i="1"/>
  <c r="P5850" i="1"/>
  <c r="P5851" i="1"/>
  <c r="P5852" i="1"/>
  <c r="P5853" i="1"/>
  <c r="P5854" i="1"/>
  <c r="P5855" i="1"/>
  <c r="P5856" i="1"/>
  <c r="P5857" i="1"/>
  <c r="P5858" i="1"/>
  <c r="P5859" i="1"/>
  <c r="P5863" i="1"/>
  <c r="P5867" i="1"/>
  <c r="P5868" i="1"/>
  <c r="P5869" i="1"/>
  <c r="P5870" i="1"/>
  <c r="P5871" i="1"/>
  <c r="P5872" i="1"/>
  <c r="P5877" i="1"/>
  <c r="P5878" i="1"/>
  <c r="P5879" i="1"/>
  <c r="P5880" i="1"/>
  <c r="P5881" i="1"/>
  <c r="P5882" i="1"/>
  <c r="P5883" i="1"/>
  <c r="P5884" i="1"/>
  <c r="P5885" i="1"/>
  <c r="P5886" i="1"/>
  <c r="P5887" i="1"/>
  <c r="P5888" i="1"/>
  <c r="P5889" i="1"/>
  <c r="P5890" i="1"/>
  <c r="P5891" i="1"/>
  <c r="P5892" i="1"/>
  <c r="P5893" i="1"/>
  <c r="P5894" i="1"/>
  <c r="P5895" i="1"/>
  <c r="P5896" i="1"/>
  <c r="P5897" i="1"/>
  <c r="P5898" i="1"/>
  <c r="P5899" i="1"/>
  <c r="P5900" i="1"/>
  <c r="P5901" i="1"/>
  <c r="P5902" i="1"/>
  <c r="P5903" i="1"/>
  <c r="P5904" i="1"/>
  <c r="P5905" i="1"/>
  <c r="P5906" i="1"/>
  <c r="P5907" i="1"/>
  <c r="P5908" i="1"/>
  <c r="P5909" i="1"/>
  <c r="P5910" i="1"/>
  <c r="P5911" i="1"/>
  <c r="P5913" i="1"/>
  <c r="P5914" i="1"/>
  <c r="P5915" i="1"/>
  <c r="P5916" i="1"/>
  <c r="P5917" i="1"/>
  <c r="P5918" i="1"/>
  <c r="P5919" i="1"/>
  <c r="P5920" i="1"/>
  <c r="P5921" i="1"/>
  <c r="P5937" i="1"/>
  <c r="P5938" i="1"/>
  <c r="P5939" i="1"/>
  <c r="P5940" i="1"/>
  <c r="P5941" i="1"/>
  <c r="P5945" i="1"/>
  <c r="P5946" i="1"/>
  <c r="P5947" i="1"/>
  <c r="P5948" i="1"/>
  <c r="P5949" i="1"/>
  <c r="P5950" i="1"/>
  <c r="P5951" i="1"/>
  <c r="P5952" i="1"/>
  <c r="P5953" i="1"/>
  <c r="P5954" i="1"/>
  <c r="P5955" i="1"/>
  <c r="P5956" i="1"/>
  <c r="P5957" i="1"/>
  <c r="P5958" i="1"/>
  <c r="P5959" i="1"/>
  <c r="P5960" i="1"/>
  <c r="P5961" i="1"/>
  <c r="P5962" i="1"/>
  <c r="P5963" i="1"/>
  <c r="P5964" i="1"/>
  <c r="P5965" i="1"/>
  <c r="P5966" i="1"/>
  <c r="P5967" i="1"/>
  <c r="P5968" i="1"/>
  <c r="P5969" i="1"/>
  <c r="P5970" i="1"/>
  <c r="P5971" i="1"/>
  <c r="P5972" i="1"/>
  <c r="P5973" i="1"/>
  <c r="P5978" i="1"/>
  <c r="P5979" i="1"/>
  <c r="P5980" i="1"/>
  <c r="P5981" i="1"/>
  <c r="P5982" i="1"/>
  <c r="P5985" i="1"/>
  <c r="P5991" i="1"/>
  <c r="P5992" i="1"/>
  <c r="P5993" i="1"/>
  <c r="P5994" i="1"/>
  <c r="P5995" i="1"/>
  <c r="P5996" i="1"/>
  <c r="P5997" i="1"/>
  <c r="P5998" i="1"/>
  <c r="P5999" i="1"/>
  <c r="P6000" i="1"/>
  <c r="P6001" i="1"/>
  <c r="P6004" i="1"/>
  <c r="P6005" i="1"/>
  <c r="P6006" i="1"/>
  <c r="P6007" i="1"/>
  <c r="P6008" i="1"/>
  <c r="P6009" i="1"/>
  <c r="P6010" i="1"/>
  <c r="P6011" i="1"/>
  <c r="P6012" i="1"/>
  <c r="P6013" i="1"/>
  <c r="P6016" i="1"/>
  <c r="P6017" i="1"/>
  <c r="P6020" i="1"/>
  <c r="P6024" i="1"/>
  <c r="P6025" i="1"/>
  <c r="P6026" i="1"/>
  <c r="P6027" i="1"/>
  <c r="P6028" i="1"/>
  <c r="P6029" i="1"/>
  <c r="P6030" i="1"/>
  <c r="P6031" i="1"/>
  <c r="P6032" i="1"/>
  <c r="P6033" i="1"/>
  <c r="P6034" i="1"/>
  <c r="P6038" i="1"/>
  <c r="P6040" i="1"/>
  <c r="P6041" i="1"/>
  <c r="P6042" i="1"/>
  <c r="P6043" i="1"/>
  <c r="P6044" i="1"/>
  <c r="P6048" i="1"/>
  <c r="P6049" i="1"/>
  <c r="P6050" i="1"/>
  <c r="P6051" i="1"/>
  <c r="P6052" i="1"/>
  <c r="P6053" i="1"/>
  <c r="P6054" i="1"/>
  <c r="P6055" i="1"/>
  <c r="P6056" i="1"/>
  <c r="P6057" i="1"/>
  <c r="P6058" i="1"/>
  <c r="P6059" i="1"/>
  <c r="P6060" i="1"/>
  <c r="P6061" i="1"/>
  <c r="P6062" i="1"/>
  <c r="P6063" i="1"/>
  <c r="P6067" i="1"/>
  <c r="P6068" i="1"/>
  <c r="P6069" i="1"/>
  <c r="P6073" i="1"/>
  <c r="P6075" i="1"/>
  <c r="P6076" i="1"/>
  <c r="P6077" i="1"/>
  <c r="P6078" i="1"/>
  <c r="P6079" i="1"/>
  <c r="P6080" i="1"/>
  <c r="P6081" i="1"/>
  <c r="P6082" i="1"/>
  <c r="P6083" i="1"/>
  <c r="P6084" i="1"/>
  <c r="P6085" i="1"/>
  <c r="P6087" i="1"/>
  <c r="P6088" i="1"/>
  <c r="P6090" i="1"/>
  <c r="P6091" i="1"/>
  <c r="P6092" i="1"/>
  <c r="P6093" i="1"/>
  <c r="P6094" i="1"/>
  <c r="P6095" i="1"/>
  <c r="P6096" i="1"/>
  <c r="P6097" i="1"/>
  <c r="P6098" i="1"/>
  <c r="P6099" i="1"/>
  <c r="P6100" i="1"/>
  <c r="P6101" i="1"/>
  <c r="P6102" i="1"/>
  <c r="P6103" i="1"/>
  <c r="P6104" i="1"/>
  <c r="P6105" i="1"/>
  <c r="P6106" i="1"/>
  <c r="P6107" i="1"/>
  <c r="P6108" i="1"/>
  <c r="P6116" i="1"/>
  <c r="P6117" i="1"/>
  <c r="P6118" i="1"/>
  <c r="P6119" i="1"/>
  <c r="P6123" i="1"/>
  <c r="P6124" i="1"/>
  <c r="P6126" i="1"/>
  <c r="P6127" i="1"/>
  <c r="P6128" i="1"/>
  <c r="P6129" i="1"/>
  <c r="P6130" i="1"/>
  <c r="P6131" i="1"/>
  <c r="P6132" i="1"/>
  <c r="P6140" i="1"/>
  <c r="P6141" i="1"/>
  <c r="P6142" i="1"/>
  <c r="P6143" i="1"/>
  <c r="P6145" i="1"/>
  <c r="P6146" i="1"/>
  <c r="P6147" i="1"/>
  <c r="P6148" i="1"/>
  <c r="P6149" i="1"/>
  <c r="P6150" i="1"/>
  <c r="P6154" i="1"/>
  <c r="P6155" i="1"/>
  <c r="P6156" i="1"/>
  <c r="P6159" i="1"/>
  <c r="P6160" i="1"/>
  <c r="P6161" i="1"/>
  <c r="P6162" i="1"/>
  <c r="P6163" i="1"/>
  <c r="P6164" i="1"/>
  <c r="P6165" i="1"/>
  <c r="P6166" i="1"/>
  <c r="P6167" i="1"/>
  <c r="P6168" i="1"/>
  <c r="P6169" i="1"/>
  <c r="P6170" i="1"/>
  <c r="P6171" i="1"/>
  <c r="P6172" i="1"/>
  <c r="P6174" i="1"/>
  <c r="P6175" i="1"/>
  <c r="P6176" i="1"/>
  <c r="P6177" i="1"/>
  <c r="P6178" i="1"/>
  <c r="P6180" i="1"/>
  <c r="P6181" i="1"/>
  <c r="P6182" i="1"/>
  <c r="P6183" i="1"/>
  <c r="P6185" i="1"/>
  <c r="P6186" i="1"/>
  <c r="P6187" i="1"/>
  <c r="P6188" i="1"/>
  <c r="P6189" i="1"/>
  <c r="P6190" i="1"/>
  <c r="P6199" i="1"/>
  <c r="P6200" i="1"/>
  <c r="P6203" i="1"/>
  <c r="P6209" i="1"/>
  <c r="P6210" i="1"/>
  <c r="P6211" i="1"/>
  <c r="P6212" i="1"/>
  <c r="P6213" i="1"/>
  <c r="P6214" i="1"/>
  <c r="P6215" i="1"/>
  <c r="P6216" i="1"/>
  <c r="P6217" i="1"/>
  <c r="P6219" i="1"/>
  <c r="P6224" i="1"/>
  <c r="P6229" i="1"/>
  <c r="P6230" i="1"/>
  <c r="P6235" i="1"/>
  <c r="P6236" i="1"/>
  <c r="P6237" i="1"/>
  <c r="P6238" i="1"/>
  <c r="P6239" i="1"/>
  <c r="P6240" i="1"/>
  <c r="P6241" i="1"/>
  <c r="P6242" i="1"/>
  <c r="P6243" i="1"/>
  <c r="P6244" i="1"/>
  <c r="P6245" i="1"/>
  <c r="P6246" i="1"/>
  <c r="P6250" i="1"/>
  <c r="P6252" i="1"/>
  <c r="P6253" i="1"/>
  <c r="P6256" i="1"/>
  <c r="P6261" i="1"/>
  <c r="P6262" i="1"/>
  <c r="P6263" i="1"/>
  <c r="P6264" i="1"/>
  <c r="P6265" i="1"/>
  <c r="P132" i="1"/>
  <c r="P133" i="1"/>
  <c r="P134" i="1"/>
  <c r="P135" i="1"/>
  <c r="P137" i="1"/>
  <c r="P138" i="1"/>
  <c r="P139" i="1"/>
  <c r="P140" i="1"/>
  <c r="P141" i="1"/>
  <c r="P142" i="1"/>
  <c r="P143" i="1"/>
  <c r="P144" i="1"/>
  <c r="P145" i="1"/>
  <c r="P146" i="1"/>
  <c r="P147" i="1"/>
  <c r="P148" i="1"/>
  <c r="P149" i="1"/>
  <c r="P150" i="1"/>
  <c r="P151" i="1"/>
  <c r="P152" i="1"/>
  <c r="P153" i="1"/>
  <c r="P13" i="1"/>
  <c r="P14" i="1"/>
  <c r="P15" i="1"/>
  <c r="P16" i="1"/>
  <c r="P17" i="1"/>
  <c r="P19" i="1"/>
  <c r="P20" i="1"/>
  <c r="P21" i="1"/>
  <c r="P22" i="1"/>
  <c r="P23" i="1"/>
  <c r="P24" i="1"/>
  <c r="P25" i="1"/>
  <c r="P26" i="1"/>
  <c r="P27" i="1"/>
  <c r="P28" i="1"/>
  <c r="P29" i="1"/>
  <c r="P30" i="1"/>
  <c r="P32" i="1"/>
  <c r="P33" i="1"/>
  <c r="P34" i="1"/>
  <c r="P35" i="1"/>
  <c r="P36" i="1"/>
  <c r="P37" i="1"/>
  <c r="P38" i="1"/>
  <c r="P39" i="1"/>
  <c r="P40" i="1"/>
  <c r="P41" i="1"/>
  <c r="P42" i="1"/>
  <c r="P43"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5" i="1"/>
  <c r="P116" i="1"/>
  <c r="P11" i="1"/>
  <c r="P12" i="1"/>
  <c r="P121" i="1"/>
  <c r="P124" i="1"/>
  <c r="P125" i="1"/>
  <c r="P126" i="1"/>
  <c r="P128" i="1"/>
  <c r="P129" i="1"/>
  <c r="P130" i="1"/>
  <c r="P131" i="1"/>
  <c r="P158" i="1"/>
  <c r="P159" i="1"/>
  <c r="P160" i="1"/>
  <c r="P161" i="1"/>
  <c r="P164" i="1"/>
  <c r="E1957" i="1"/>
  <c r="E1958" i="1"/>
  <c r="E1959" i="1"/>
  <c r="E1960" i="1"/>
  <c r="E1961" i="1"/>
  <c r="E1962" i="1"/>
  <c r="E1963" i="1"/>
  <c r="E1964" i="1"/>
  <c r="E1965" i="1"/>
  <c r="E1966" i="1"/>
  <c r="E1967" i="1"/>
  <c r="E1968" i="1"/>
  <c r="E1969" i="1"/>
  <c r="E1970" i="1"/>
  <c r="E1971" i="1"/>
  <c r="E1972" i="1"/>
  <c r="E1973" i="1"/>
  <c r="E1974" i="1"/>
  <c r="E1975" i="1"/>
  <c r="E1976" i="1"/>
  <c r="E1977" i="1"/>
  <c r="E1978" i="1"/>
  <c r="E1979" i="1"/>
  <c r="E1980" i="1"/>
  <c r="E1981" i="1"/>
  <c r="E1982" i="1"/>
  <c r="E1983" i="1"/>
  <c r="E1984" i="1"/>
  <c r="E1985" i="1"/>
  <c r="E1986" i="1"/>
  <c r="E1987" i="1"/>
  <c r="E1988" i="1"/>
  <c r="E1989" i="1"/>
  <c r="E1990" i="1"/>
  <c r="E1991" i="1"/>
  <c r="E1992" i="1"/>
  <c r="E1993" i="1"/>
  <c r="E1994" i="1"/>
  <c r="E1995" i="1"/>
  <c r="E1996" i="1"/>
  <c r="E1997" i="1"/>
  <c r="E1998" i="1"/>
  <c r="E1999" i="1"/>
  <c r="E2000" i="1"/>
  <c r="E2001" i="1"/>
  <c r="E2002" i="1"/>
  <c r="E2003" i="1"/>
  <c r="E2004" i="1"/>
  <c r="E2005" i="1"/>
  <c r="E2006" i="1"/>
  <c r="E2007" i="1"/>
  <c r="E2008" i="1"/>
  <c r="E2009" i="1"/>
  <c r="E2010" i="1"/>
  <c r="E2011" i="1"/>
  <c r="E2012" i="1"/>
  <c r="E2013" i="1"/>
  <c r="E2014" i="1"/>
  <c r="E2015" i="1"/>
  <c r="E2016" i="1"/>
  <c r="E2017" i="1"/>
  <c r="E2018" i="1"/>
  <c r="E2019" i="1"/>
  <c r="E2020" i="1"/>
  <c r="E2021" i="1"/>
  <c r="E2022" i="1"/>
  <c r="E2023" i="1"/>
  <c r="E2024" i="1"/>
  <c r="E2025" i="1"/>
  <c r="E2026" i="1"/>
  <c r="E2027" i="1"/>
  <c r="E2028" i="1"/>
  <c r="E2029" i="1"/>
  <c r="E2030" i="1"/>
  <c r="E2031" i="1"/>
  <c r="E2032" i="1"/>
  <c r="E2033" i="1"/>
  <c r="E2034" i="1"/>
  <c r="E2035" i="1"/>
  <c r="E2036" i="1"/>
  <c r="E2037" i="1"/>
  <c r="E2038" i="1"/>
  <c r="E2039" i="1"/>
  <c r="E2040" i="1"/>
  <c r="E2041" i="1"/>
  <c r="E2042" i="1"/>
  <c r="E2043" i="1"/>
  <c r="E2044" i="1"/>
  <c r="E2045" i="1"/>
  <c r="E2046" i="1"/>
  <c r="E2047" i="1"/>
  <c r="E2048" i="1"/>
  <c r="E2049" i="1"/>
  <c r="E2050" i="1"/>
  <c r="E2051" i="1"/>
  <c r="E2052" i="1"/>
  <c r="E2053" i="1"/>
  <c r="E2054" i="1"/>
  <c r="E2055" i="1"/>
  <c r="E2056" i="1"/>
  <c r="E2057" i="1"/>
  <c r="E2058" i="1"/>
  <c r="E2059" i="1"/>
  <c r="E2060" i="1"/>
  <c r="E2061" i="1"/>
  <c r="E2062" i="1"/>
  <c r="E2063" i="1"/>
  <c r="E2064" i="1"/>
  <c r="E2065" i="1"/>
  <c r="E2066" i="1"/>
  <c r="E2067" i="1"/>
  <c r="E2068" i="1"/>
  <c r="E2069" i="1"/>
  <c r="E2070" i="1"/>
  <c r="E2071" i="1"/>
  <c r="E2072" i="1"/>
  <c r="E2073" i="1"/>
  <c r="E2074" i="1"/>
  <c r="E2075" i="1"/>
  <c r="E2076" i="1"/>
  <c r="E2077" i="1"/>
  <c r="E2078" i="1"/>
  <c r="E2079" i="1"/>
  <c r="E2080" i="1"/>
  <c r="E2081" i="1"/>
  <c r="E2082" i="1"/>
  <c r="E2083" i="1"/>
  <c r="E2084" i="1"/>
  <c r="E2085" i="1"/>
  <c r="E2086" i="1"/>
  <c r="E2087" i="1"/>
  <c r="E2088" i="1"/>
  <c r="E2089" i="1"/>
  <c r="E2090" i="1"/>
  <c r="E2091" i="1"/>
  <c r="E2092" i="1"/>
  <c r="E2093" i="1"/>
  <c r="E2094" i="1"/>
  <c r="E2095" i="1"/>
  <c r="E2096" i="1"/>
  <c r="E2097" i="1"/>
  <c r="E2098" i="1"/>
  <c r="E2099" i="1"/>
  <c r="E2100" i="1"/>
  <c r="E2101" i="1"/>
  <c r="E2102" i="1"/>
  <c r="E2103" i="1"/>
  <c r="E2104" i="1"/>
  <c r="E2105" i="1"/>
  <c r="E2106" i="1"/>
  <c r="E2107" i="1"/>
  <c r="E2108" i="1"/>
  <c r="E2109" i="1"/>
  <c r="E2110" i="1"/>
  <c r="E2111" i="1"/>
  <c r="E2112" i="1"/>
  <c r="E2113" i="1"/>
  <c r="E2114" i="1"/>
  <c r="E2115" i="1"/>
  <c r="E2116" i="1"/>
  <c r="E2117" i="1"/>
  <c r="E2118" i="1"/>
  <c r="E2119" i="1"/>
  <c r="E2120" i="1"/>
  <c r="E2121" i="1"/>
  <c r="E2122" i="1"/>
  <c r="E2123" i="1"/>
  <c r="E2124" i="1"/>
  <c r="E2125" i="1"/>
  <c r="E2126" i="1"/>
  <c r="E2127" i="1"/>
  <c r="E2128" i="1"/>
  <c r="E2129" i="1"/>
  <c r="E2130" i="1"/>
  <c r="E2131" i="1"/>
  <c r="E2132" i="1"/>
  <c r="E2133" i="1"/>
  <c r="E2134" i="1"/>
  <c r="E2135" i="1"/>
  <c r="E2136" i="1"/>
  <c r="E2137" i="1"/>
  <c r="E2138" i="1"/>
  <c r="E2139" i="1"/>
  <c r="E2140" i="1"/>
  <c r="E2141" i="1"/>
  <c r="E2142" i="1"/>
  <c r="E2143" i="1"/>
  <c r="E2144" i="1"/>
  <c r="E2145" i="1"/>
  <c r="E2146" i="1"/>
  <c r="E2147" i="1"/>
  <c r="E2148" i="1"/>
  <c r="E2149" i="1"/>
  <c r="E2150" i="1"/>
  <c r="E2151" i="1"/>
  <c r="E2152" i="1"/>
  <c r="E2153" i="1"/>
  <c r="E2154" i="1"/>
  <c r="E2155" i="1"/>
  <c r="E2156" i="1"/>
  <c r="E2157" i="1"/>
  <c r="E2158" i="1"/>
  <c r="E2159" i="1"/>
  <c r="E2160" i="1"/>
  <c r="E2161" i="1"/>
  <c r="E2162" i="1"/>
  <c r="E2163" i="1"/>
  <c r="E2164" i="1"/>
  <c r="E2165" i="1"/>
  <c r="E2166" i="1"/>
  <c r="E2167" i="1"/>
  <c r="E2168" i="1"/>
  <c r="E2169" i="1"/>
  <c r="E2170" i="1"/>
  <c r="E2171" i="1"/>
  <c r="E2172" i="1"/>
  <c r="E2173" i="1"/>
  <c r="E2174" i="1"/>
  <c r="E2175" i="1"/>
  <c r="E2176" i="1"/>
  <c r="E2177" i="1"/>
  <c r="E2178" i="1"/>
  <c r="E2179" i="1"/>
  <c r="E2180" i="1"/>
  <c r="E2181" i="1"/>
  <c r="E2182" i="1"/>
  <c r="E2183" i="1"/>
  <c r="E2184" i="1"/>
  <c r="E2185" i="1"/>
  <c r="E2186" i="1"/>
  <c r="E2187" i="1"/>
  <c r="E2188" i="1"/>
  <c r="E2189" i="1"/>
  <c r="E2190" i="1"/>
  <c r="E2191" i="1"/>
  <c r="E2192" i="1"/>
  <c r="E2193" i="1"/>
  <c r="E2194" i="1"/>
  <c r="E2195" i="1"/>
  <c r="E2196" i="1"/>
  <c r="E2197" i="1"/>
  <c r="E2198" i="1"/>
  <c r="E2199" i="1"/>
  <c r="E2200" i="1"/>
  <c r="E2201" i="1"/>
  <c r="E2202" i="1"/>
  <c r="E2203" i="1"/>
  <c r="E2204" i="1"/>
  <c r="E2205" i="1"/>
  <c r="E2206" i="1"/>
  <c r="E2207" i="1"/>
  <c r="E2208" i="1"/>
  <c r="E2209" i="1"/>
  <c r="E2210" i="1"/>
  <c r="E2211" i="1"/>
  <c r="E2212" i="1"/>
  <c r="E2213" i="1"/>
  <c r="E2214" i="1"/>
  <c r="E2215" i="1"/>
  <c r="E2216" i="1"/>
  <c r="E2217" i="1"/>
  <c r="E2218" i="1"/>
  <c r="E2219" i="1"/>
  <c r="E2220" i="1"/>
  <c r="E2221" i="1"/>
  <c r="E2222" i="1"/>
  <c r="E2223" i="1"/>
  <c r="E2224" i="1"/>
  <c r="E2225" i="1"/>
  <c r="E2226" i="1"/>
  <c r="E2227" i="1"/>
  <c r="E2228" i="1"/>
  <c r="E2229" i="1"/>
  <c r="E2230" i="1"/>
  <c r="E2231" i="1"/>
  <c r="E2232" i="1"/>
  <c r="E2233" i="1"/>
  <c r="E2234" i="1"/>
  <c r="E2235" i="1"/>
  <c r="E2236" i="1"/>
  <c r="E2237" i="1"/>
  <c r="E2238" i="1"/>
  <c r="E2239" i="1"/>
  <c r="E2240" i="1"/>
  <c r="E2241" i="1"/>
  <c r="E2242" i="1"/>
  <c r="E2243" i="1"/>
  <c r="E2244" i="1"/>
  <c r="E2245" i="1"/>
  <c r="E2246" i="1"/>
  <c r="E2247" i="1"/>
  <c r="E2248" i="1"/>
  <c r="E2249" i="1"/>
  <c r="E2250" i="1"/>
  <c r="E2251" i="1"/>
  <c r="E2252" i="1"/>
  <c r="E2253" i="1"/>
  <c r="E2254" i="1"/>
  <c r="E2255" i="1"/>
  <c r="E2256" i="1"/>
  <c r="E2257" i="1"/>
  <c r="E2258" i="1"/>
  <c r="E2259" i="1"/>
  <c r="E2260" i="1"/>
  <c r="E2261" i="1"/>
  <c r="E2262" i="1"/>
  <c r="E2263" i="1"/>
  <c r="E2264" i="1"/>
  <c r="E2265" i="1"/>
  <c r="E2266" i="1"/>
  <c r="E2267" i="1"/>
  <c r="E2268" i="1"/>
  <c r="E2269" i="1"/>
  <c r="E2270" i="1"/>
  <c r="E2271" i="1"/>
  <c r="E2272" i="1"/>
  <c r="E2273" i="1"/>
  <c r="E2274" i="1"/>
  <c r="E2275" i="1"/>
  <c r="E2276" i="1"/>
  <c r="E2277" i="1"/>
  <c r="E2278" i="1"/>
  <c r="E2279" i="1"/>
  <c r="E2280" i="1"/>
  <c r="E2281" i="1"/>
  <c r="E2282" i="1"/>
  <c r="E2283" i="1"/>
  <c r="E2284" i="1"/>
  <c r="E2285" i="1"/>
  <c r="E2286" i="1"/>
  <c r="E2287" i="1"/>
  <c r="E2288" i="1"/>
  <c r="E2289" i="1"/>
  <c r="E2290" i="1"/>
  <c r="E2291" i="1"/>
  <c r="E2292" i="1"/>
  <c r="E2293" i="1"/>
  <c r="E2294" i="1"/>
  <c r="E2295" i="1"/>
  <c r="E2296" i="1"/>
  <c r="E2297" i="1"/>
  <c r="E2298" i="1"/>
  <c r="E2299" i="1"/>
  <c r="E2300" i="1"/>
  <c r="E2301" i="1"/>
  <c r="E2302" i="1"/>
  <c r="E2303" i="1"/>
  <c r="E2304" i="1"/>
  <c r="E2305" i="1"/>
  <c r="E2306" i="1"/>
  <c r="E2307" i="1"/>
  <c r="E2308" i="1"/>
  <c r="E2309" i="1"/>
  <c r="E2310" i="1"/>
  <c r="E2311" i="1"/>
  <c r="E2312" i="1"/>
  <c r="E2313" i="1"/>
  <c r="E2314" i="1"/>
  <c r="E2315" i="1"/>
  <c r="E2316" i="1"/>
  <c r="E2317" i="1"/>
  <c r="E2318" i="1"/>
  <c r="E2319" i="1"/>
  <c r="E2320" i="1"/>
  <c r="E2321" i="1"/>
  <c r="E2322" i="1"/>
  <c r="E2323" i="1"/>
  <c r="E2324" i="1"/>
  <c r="E2325" i="1"/>
  <c r="E2326" i="1"/>
  <c r="E2327" i="1"/>
  <c r="E2328" i="1"/>
  <c r="E2329" i="1"/>
  <c r="E2330" i="1"/>
  <c r="E2331" i="1"/>
  <c r="E2332" i="1"/>
  <c r="E2333" i="1"/>
  <c r="E2334" i="1"/>
  <c r="E2335" i="1"/>
  <c r="E2336" i="1"/>
  <c r="E2337" i="1"/>
  <c r="E2338" i="1"/>
  <c r="E2339" i="1"/>
  <c r="E2340" i="1"/>
  <c r="E2341" i="1"/>
  <c r="E2342" i="1"/>
  <c r="E2343" i="1"/>
  <c r="E2344" i="1"/>
  <c r="E2345" i="1"/>
  <c r="E2346" i="1"/>
  <c r="E2347" i="1"/>
  <c r="E2348" i="1"/>
  <c r="E2349" i="1"/>
  <c r="E2350" i="1"/>
  <c r="E2351" i="1"/>
  <c r="E2352" i="1"/>
  <c r="E2353" i="1"/>
  <c r="E2354" i="1"/>
  <c r="E2355" i="1"/>
  <c r="E2356" i="1"/>
  <c r="E2357" i="1"/>
  <c r="E2358" i="1"/>
  <c r="E2359" i="1"/>
  <c r="E2360" i="1"/>
  <c r="E2361" i="1"/>
  <c r="E2362" i="1"/>
  <c r="E2363" i="1"/>
  <c r="E2364" i="1"/>
  <c r="E2365" i="1"/>
  <c r="E2366" i="1"/>
  <c r="E2367" i="1"/>
  <c r="E2368" i="1"/>
  <c r="E2369" i="1"/>
  <c r="E2370" i="1"/>
  <c r="E2371" i="1"/>
  <c r="E2372" i="1"/>
  <c r="E2373" i="1"/>
  <c r="E2374" i="1"/>
  <c r="E2375" i="1"/>
  <c r="E2376" i="1"/>
  <c r="E2377" i="1"/>
  <c r="E2378" i="1"/>
  <c r="E2379" i="1"/>
  <c r="E2380" i="1"/>
  <c r="E2381" i="1"/>
  <c r="E2382" i="1"/>
  <c r="E2383" i="1"/>
  <c r="E2384" i="1"/>
  <c r="E2385" i="1"/>
  <c r="E2386" i="1"/>
  <c r="E2387" i="1"/>
  <c r="E2388" i="1"/>
  <c r="E2389" i="1"/>
  <c r="E2390" i="1"/>
  <c r="E2391" i="1"/>
  <c r="E2392" i="1"/>
  <c r="E2393" i="1"/>
  <c r="E2394" i="1"/>
  <c r="E2395" i="1"/>
  <c r="E2396" i="1"/>
  <c r="E2397" i="1"/>
  <c r="E2398" i="1"/>
  <c r="E2399" i="1"/>
  <c r="E2400" i="1"/>
  <c r="E2401" i="1"/>
  <c r="E2402" i="1"/>
  <c r="E2403" i="1"/>
  <c r="E2404" i="1"/>
  <c r="E2405" i="1"/>
  <c r="E2406" i="1"/>
  <c r="E2407" i="1"/>
  <c r="E2408" i="1"/>
  <c r="E2409" i="1"/>
  <c r="E2410" i="1"/>
  <c r="E2411" i="1"/>
  <c r="E2412" i="1"/>
  <c r="E2413" i="1"/>
  <c r="E2414" i="1"/>
  <c r="E2415" i="1"/>
  <c r="E2416" i="1"/>
  <c r="E2417" i="1"/>
  <c r="E2418" i="1"/>
  <c r="E2419" i="1"/>
  <c r="E2420" i="1"/>
  <c r="E2421" i="1"/>
  <c r="E2422" i="1"/>
  <c r="E2423" i="1"/>
  <c r="E2424" i="1"/>
  <c r="E2425" i="1"/>
  <c r="E2426" i="1"/>
  <c r="E2427" i="1"/>
  <c r="E2428" i="1"/>
  <c r="E2429" i="1"/>
  <c r="E2430" i="1"/>
  <c r="E2431" i="1"/>
  <c r="E2432" i="1"/>
  <c r="E2433" i="1"/>
  <c r="E2434" i="1"/>
  <c r="E2435" i="1"/>
  <c r="E2436" i="1"/>
  <c r="E2437" i="1"/>
  <c r="E2438" i="1"/>
  <c r="E2439" i="1"/>
  <c r="E2440" i="1"/>
  <c r="E2441" i="1"/>
  <c r="E2442" i="1"/>
  <c r="E2443" i="1"/>
  <c r="E2444" i="1"/>
  <c r="E2445" i="1"/>
  <c r="E2446" i="1"/>
  <c r="E2447" i="1"/>
  <c r="E2448" i="1"/>
  <c r="E2449" i="1"/>
  <c r="E2450" i="1"/>
  <c r="E2451" i="1"/>
  <c r="E2452" i="1"/>
  <c r="E2453" i="1"/>
  <c r="E2454" i="1"/>
  <c r="E2455" i="1"/>
  <c r="E2456" i="1"/>
  <c r="E2457" i="1"/>
  <c r="E2458" i="1"/>
  <c r="E2459" i="1"/>
  <c r="E2460" i="1"/>
  <c r="E2461" i="1"/>
  <c r="E2462" i="1"/>
  <c r="E2463" i="1"/>
  <c r="E2464" i="1"/>
  <c r="E2465" i="1"/>
  <c r="E2466" i="1"/>
  <c r="E2467" i="1"/>
  <c r="E2468" i="1"/>
  <c r="E2469" i="1"/>
  <c r="E2470" i="1"/>
  <c r="E2471" i="1"/>
  <c r="E2472" i="1"/>
  <c r="E2473" i="1"/>
  <c r="E2474" i="1"/>
  <c r="E2475" i="1"/>
  <c r="E2476" i="1"/>
  <c r="E2477" i="1"/>
  <c r="E2478" i="1"/>
  <c r="E2479" i="1"/>
  <c r="E2480" i="1"/>
  <c r="E2481" i="1"/>
  <c r="E2482" i="1"/>
  <c r="E2483" i="1"/>
  <c r="E2484" i="1"/>
  <c r="E2485" i="1"/>
  <c r="E2486" i="1"/>
  <c r="E2487" i="1"/>
  <c r="E2488" i="1"/>
  <c r="E2489" i="1"/>
  <c r="E2490" i="1"/>
  <c r="E2491" i="1"/>
  <c r="E2492" i="1"/>
  <c r="E2493" i="1"/>
  <c r="E2494" i="1"/>
  <c r="E2495" i="1"/>
  <c r="E2496" i="1"/>
  <c r="E2497" i="1"/>
  <c r="E2498" i="1"/>
  <c r="E2499" i="1"/>
  <c r="E2500" i="1"/>
  <c r="E2501" i="1"/>
  <c r="E2502" i="1"/>
  <c r="E2503" i="1"/>
  <c r="E2504" i="1"/>
  <c r="E2505" i="1"/>
  <c r="E2506" i="1"/>
  <c r="E2507" i="1"/>
  <c r="E2508" i="1"/>
  <c r="E2509" i="1"/>
  <c r="E2510" i="1"/>
  <c r="E2511" i="1"/>
  <c r="E2512" i="1"/>
  <c r="E2513" i="1"/>
  <c r="E2514" i="1"/>
  <c r="E2515" i="1"/>
  <c r="E2516" i="1"/>
  <c r="E2517" i="1"/>
  <c r="E2518" i="1"/>
  <c r="E2519" i="1"/>
  <c r="E2520" i="1"/>
  <c r="E2521" i="1"/>
  <c r="E2522" i="1"/>
  <c r="E2523" i="1"/>
  <c r="E2524" i="1"/>
  <c r="E2525" i="1"/>
  <c r="E2526" i="1"/>
  <c r="E2527" i="1"/>
  <c r="E2528" i="1"/>
  <c r="E2529" i="1"/>
  <c r="E2530" i="1"/>
  <c r="E2531" i="1"/>
  <c r="E2532" i="1"/>
  <c r="E2533" i="1"/>
  <c r="E2534" i="1"/>
  <c r="E2535" i="1"/>
  <c r="E2536" i="1"/>
  <c r="E2537" i="1"/>
  <c r="E2538" i="1"/>
  <c r="E2539" i="1"/>
  <c r="E2540" i="1"/>
  <c r="E2541" i="1"/>
  <c r="E2542" i="1"/>
  <c r="E2543" i="1"/>
  <c r="E2544" i="1"/>
  <c r="E2545" i="1"/>
  <c r="E2546" i="1"/>
  <c r="E2547" i="1"/>
  <c r="E2548" i="1"/>
  <c r="E2549" i="1"/>
  <c r="E2550" i="1"/>
  <c r="E2551" i="1"/>
  <c r="E2552" i="1"/>
  <c r="E2553" i="1"/>
  <c r="E2554" i="1"/>
  <c r="E2555" i="1"/>
  <c r="E2556" i="1"/>
  <c r="E2557" i="1"/>
  <c r="E2558" i="1"/>
  <c r="E2559" i="1"/>
  <c r="E2560" i="1"/>
  <c r="E2561" i="1"/>
  <c r="E2562" i="1"/>
  <c r="E2563" i="1"/>
  <c r="E2564" i="1"/>
  <c r="E2565" i="1"/>
  <c r="E2566" i="1"/>
  <c r="E2567" i="1"/>
  <c r="E2568" i="1"/>
  <c r="E2569" i="1"/>
  <c r="E2570" i="1"/>
  <c r="E2571" i="1"/>
  <c r="E2572" i="1"/>
  <c r="E2573" i="1"/>
  <c r="E2574" i="1"/>
  <c r="E2575" i="1"/>
  <c r="E2576" i="1"/>
  <c r="E2577" i="1"/>
  <c r="E2578" i="1"/>
  <c r="E2579" i="1"/>
  <c r="E2580" i="1"/>
  <c r="E2581" i="1"/>
  <c r="E2582" i="1"/>
  <c r="E2583" i="1"/>
  <c r="E2584" i="1"/>
  <c r="E2585" i="1"/>
  <c r="E2586" i="1"/>
  <c r="E2587" i="1"/>
  <c r="E2588" i="1"/>
  <c r="E2589" i="1"/>
  <c r="E2590" i="1"/>
  <c r="E2591" i="1"/>
  <c r="E2592" i="1"/>
  <c r="E2593" i="1"/>
  <c r="E2594" i="1"/>
  <c r="E2595" i="1"/>
  <c r="E2596" i="1"/>
  <c r="E2597" i="1"/>
  <c r="E2598" i="1"/>
  <c r="E2599" i="1"/>
  <c r="E2600" i="1"/>
  <c r="E2601" i="1"/>
  <c r="E2602" i="1"/>
  <c r="E2603" i="1"/>
  <c r="E2604" i="1"/>
  <c r="E2605" i="1"/>
  <c r="E2606" i="1"/>
  <c r="E2607" i="1"/>
  <c r="E2608" i="1"/>
  <c r="E2609" i="1"/>
  <c r="E2610" i="1"/>
  <c r="E2611" i="1"/>
  <c r="E2612" i="1"/>
  <c r="E2613" i="1"/>
  <c r="E2614" i="1"/>
  <c r="E2615" i="1"/>
  <c r="E2616" i="1"/>
  <c r="E2617" i="1"/>
  <c r="E2618" i="1"/>
  <c r="E2619" i="1"/>
  <c r="E2620" i="1"/>
  <c r="E2621" i="1"/>
  <c r="E2622" i="1"/>
  <c r="E2623" i="1"/>
  <c r="E2624" i="1"/>
  <c r="E2625" i="1"/>
  <c r="E2626" i="1"/>
  <c r="E2627" i="1"/>
  <c r="E2628" i="1"/>
  <c r="E2629" i="1"/>
  <c r="E2630" i="1"/>
  <c r="E2631" i="1"/>
  <c r="E2632" i="1"/>
  <c r="E2633" i="1"/>
  <c r="E2634" i="1"/>
  <c r="E2635" i="1"/>
  <c r="E2636" i="1"/>
  <c r="E2637" i="1"/>
  <c r="E2638" i="1"/>
  <c r="E2639" i="1"/>
  <c r="E2640" i="1"/>
  <c r="E2641" i="1"/>
  <c r="E2642" i="1"/>
  <c r="E2643" i="1"/>
  <c r="E2644" i="1"/>
  <c r="E2645" i="1"/>
  <c r="E2646" i="1"/>
  <c r="E2647" i="1"/>
  <c r="E2648" i="1"/>
  <c r="E2649" i="1"/>
  <c r="E2650" i="1"/>
  <c r="E2651" i="1"/>
  <c r="E2652" i="1"/>
  <c r="E2653" i="1"/>
  <c r="E2654" i="1"/>
  <c r="E2655" i="1"/>
  <c r="E2656" i="1"/>
  <c r="E2657" i="1"/>
  <c r="E2658" i="1"/>
  <c r="E2659" i="1"/>
  <c r="E2660" i="1"/>
  <c r="E2661" i="1"/>
  <c r="E2662" i="1"/>
  <c r="E2663" i="1"/>
  <c r="E2664" i="1"/>
  <c r="E2665" i="1"/>
  <c r="E2666" i="1"/>
  <c r="E2667" i="1"/>
  <c r="E2668" i="1"/>
  <c r="E2669" i="1"/>
  <c r="E2670" i="1"/>
  <c r="E2671" i="1"/>
  <c r="E2672" i="1"/>
  <c r="E2673" i="1"/>
  <c r="E2674" i="1"/>
  <c r="E2675" i="1"/>
  <c r="E2676" i="1"/>
  <c r="E2677" i="1"/>
  <c r="E2678" i="1"/>
  <c r="E2679" i="1"/>
  <c r="E2680" i="1"/>
  <c r="E2681" i="1"/>
  <c r="E2682" i="1"/>
  <c r="E2683" i="1"/>
  <c r="E2684" i="1"/>
  <c r="E2685" i="1"/>
  <c r="E2686" i="1"/>
  <c r="E2687" i="1"/>
  <c r="E2688" i="1"/>
  <c r="E2689" i="1"/>
  <c r="E2690" i="1"/>
  <c r="E2691" i="1"/>
  <c r="E2692" i="1"/>
  <c r="E2693" i="1"/>
  <c r="E2694" i="1"/>
  <c r="E2695" i="1"/>
  <c r="E2696" i="1"/>
  <c r="E2697" i="1"/>
  <c r="E2698" i="1"/>
  <c r="E2699" i="1"/>
  <c r="E2700" i="1"/>
  <c r="E2701" i="1"/>
  <c r="E2702" i="1"/>
  <c r="E2703" i="1"/>
  <c r="E2704" i="1"/>
  <c r="E2705" i="1"/>
  <c r="E2706" i="1"/>
  <c r="E2707" i="1"/>
  <c r="E2708" i="1"/>
  <c r="E2709" i="1"/>
  <c r="E2710" i="1"/>
  <c r="E2711" i="1"/>
  <c r="E2712" i="1"/>
  <c r="E2713" i="1"/>
  <c r="E2714" i="1"/>
  <c r="E2715" i="1"/>
  <c r="E2716" i="1"/>
  <c r="E2717" i="1"/>
  <c r="E2718" i="1"/>
  <c r="E2719" i="1"/>
  <c r="E2720" i="1"/>
  <c r="E2721" i="1"/>
  <c r="E2722" i="1"/>
  <c r="E2723" i="1"/>
  <c r="E2724" i="1"/>
  <c r="E2725" i="1"/>
  <c r="E2726" i="1"/>
  <c r="E2727" i="1"/>
  <c r="E2728" i="1"/>
  <c r="E2729" i="1"/>
  <c r="E2730" i="1"/>
  <c r="E2731" i="1"/>
  <c r="E2732" i="1"/>
  <c r="E2733" i="1"/>
  <c r="E2734" i="1"/>
  <c r="E2735" i="1"/>
  <c r="E2736" i="1"/>
  <c r="E2737" i="1"/>
  <c r="E2738" i="1"/>
  <c r="E2739" i="1"/>
  <c r="E2740" i="1"/>
  <c r="E2741" i="1"/>
  <c r="E2742" i="1"/>
  <c r="E2743" i="1"/>
  <c r="E2744" i="1"/>
  <c r="E2745" i="1"/>
  <c r="E2746" i="1"/>
  <c r="E2747" i="1"/>
  <c r="E2748" i="1"/>
  <c r="E2749" i="1"/>
  <c r="E2750" i="1"/>
  <c r="E2751" i="1"/>
  <c r="E2752" i="1"/>
  <c r="E2753" i="1"/>
  <c r="E2754" i="1"/>
  <c r="E2755" i="1"/>
  <c r="E2756" i="1"/>
  <c r="E2757" i="1"/>
  <c r="E2758" i="1"/>
  <c r="E2759" i="1"/>
  <c r="E2760" i="1"/>
  <c r="E2761" i="1"/>
  <c r="E2762" i="1"/>
  <c r="E2763" i="1"/>
  <c r="E2764" i="1"/>
  <c r="E2765" i="1"/>
  <c r="E2766" i="1"/>
  <c r="E2767" i="1"/>
  <c r="E2768" i="1"/>
  <c r="E2769" i="1"/>
  <c r="E2770" i="1"/>
  <c r="E2771" i="1"/>
  <c r="E2772" i="1"/>
  <c r="E2773" i="1"/>
  <c r="E2774" i="1"/>
  <c r="E2775" i="1"/>
  <c r="E2776" i="1"/>
  <c r="E2777" i="1"/>
  <c r="E2778" i="1"/>
  <c r="E2779" i="1"/>
  <c r="E2780" i="1"/>
  <c r="E2781" i="1"/>
  <c r="E2782" i="1"/>
  <c r="E2783" i="1"/>
  <c r="E2784" i="1"/>
  <c r="E2785" i="1"/>
  <c r="E2786" i="1"/>
  <c r="E2787" i="1"/>
  <c r="E2788" i="1"/>
  <c r="E2789" i="1"/>
  <c r="E2790" i="1"/>
  <c r="E2791" i="1"/>
  <c r="E2792" i="1"/>
  <c r="E2793" i="1"/>
  <c r="E2794" i="1"/>
  <c r="E2795" i="1"/>
  <c r="E2796" i="1"/>
  <c r="E2797" i="1"/>
  <c r="E2798" i="1"/>
  <c r="E2799" i="1"/>
  <c r="E2800" i="1"/>
  <c r="E2801" i="1"/>
  <c r="E2802" i="1"/>
  <c r="E2803" i="1"/>
  <c r="E2804" i="1"/>
  <c r="E2805" i="1"/>
  <c r="E2806" i="1"/>
  <c r="E2807" i="1"/>
  <c r="E2808" i="1"/>
  <c r="E2809" i="1"/>
  <c r="E2810" i="1"/>
  <c r="E2811" i="1"/>
  <c r="E2812" i="1"/>
  <c r="E2813" i="1"/>
  <c r="E2814" i="1"/>
  <c r="E2815" i="1"/>
  <c r="E2816" i="1"/>
  <c r="E2817" i="1"/>
  <c r="E2818" i="1"/>
  <c r="E2819" i="1"/>
  <c r="E2820" i="1"/>
  <c r="E2821" i="1"/>
  <c r="E2822" i="1"/>
  <c r="E2823" i="1"/>
  <c r="E2824" i="1"/>
  <c r="E2825" i="1"/>
  <c r="E2826" i="1"/>
  <c r="E2827" i="1"/>
  <c r="E2828" i="1"/>
  <c r="E2829" i="1"/>
  <c r="E2830" i="1"/>
  <c r="E2831" i="1"/>
  <c r="E2832" i="1"/>
  <c r="E2833" i="1"/>
  <c r="E2834" i="1"/>
  <c r="E2835" i="1"/>
  <c r="E2836" i="1"/>
  <c r="E2837" i="1"/>
  <c r="E2838" i="1"/>
  <c r="E2839" i="1"/>
  <c r="E2840" i="1"/>
  <c r="E2841" i="1"/>
  <c r="E2842" i="1"/>
  <c r="E2843" i="1"/>
  <c r="E2844" i="1"/>
  <c r="E2845" i="1"/>
  <c r="E2846" i="1"/>
  <c r="E2847" i="1"/>
  <c r="E2848" i="1"/>
  <c r="E2849" i="1"/>
  <c r="E2850" i="1"/>
  <c r="E2851" i="1"/>
  <c r="E2852" i="1"/>
  <c r="E2853" i="1"/>
  <c r="E2854" i="1"/>
  <c r="E2855" i="1"/>
  <c r="E2856" i="1"/>
  <c r="E2857" i="1"/>
  <c r="E2858" i="1"/>
  <c r="E2859" i="1"/>
  <c r="E2860" i="1"/>
  <c r="E2861" i="1"/>
  <c r="E2862" i="1"/>
  <c r="E2863" i="1"/>
  <c r="E2864" i="1"/>
  <c r="E2865" i="1"/>
  <c r="E2866" i="1"/>
  <c r="E2867" i="1"/>
  <c r="E2868" i="1"/>
  <c r="E2869" i="1"/>
  <c r="E2870" i="1"/>
  <c r="E2871" i="1"/>
  <c r="E2872" i="1"/>
  <c r="E2873" i="1"/>
  <c r="E2874" i="1"/>
  <c r="E2875" i="1"/>
  <c r="E2876" i="1"/>
  <c r="E2877" i="1"/>
  <c r="E2878" i="1"/>
  <c r="E2879" i="1"/>
  <c r="E2880" i="1"/>
  <c r="E2881" i="1"/>
  <c r="E2882" i="1"/>
  <c r="E2883" i="1"/>
  <c r="E2884" i="1"/>
  <c r="E2885" i="1"/>
  <c r="E2886" i="1"/>
  <c r="E2887" i="1"/>
  <c r="E2888" i="1"/>
  <c r="E2889" i="1"/>
  <c r="E2890" i="1"/>
  <c r="E2891" i="1"/>
  <c r="E2892" i="1"/>
  <c r="E2893" i="1"/>
  <c r="E2894" i="1"/>
  <c r="E2895" i="1"/>
  <c r="E2896" i="1"/>
  <c r="E2897" i="1"/>
  <c r="E2898" i="1"/>
  <c r="E2899" i="1"/>
  <c r="E2900" i="1"/>
  <c r="E2901" i="1"/>
  <c r="E2902" i="1"/>
  <c r="E2903" i="1"/>
  <c r="E2904" i="1"/>
  <c r="E2905" i="1"/>
  <c r="E2906" i="1"/>
  <c r="E2907" i="1"/>
  <c r="E2908" i="1"/>
  <c r="E2909" i="1"/>
  <c r="E2910" i="1"/>
  <c r="E2911" i="1"/>
  <c r="E2912" i="1"/>
  <c r="E2913" i="1"/>
  <c r="E2914" i="1"/>
  <c r="E2915" i="1"/>
  <c r="E2916" i="1"/>
  <c r="E2917" i="1"/>
  <c r="E2918" i="1"/>
  <c r="E2919" i="1"/>
  <c r="E2920" i="1"/>
  <c r="E2921" i="1"/>
  <c r="E2922" i="1"/>
  <c r="E2923" i="1"/>
  <c r="E2924" i="1"/>
  <c r="E2925" i="1"/>
  <c r="E2926" i="1"/>
  <c r="E2927" i="1"/>
  <c r="E2928" i="1"/>
  <c r="E2929" i="1"/>
  <c r="E2930" i="1"/>
  <c r="E2931" i="1"/>
  <c r="E2932" i="1"/>
  <c r="E2933" i="1"/>
  <c r="E2934" i="1"/>
  <c r="E2935" i="1"/>
  <c r="E2936" i="1"/>
  <c r="E2937" i="1"/>
  <c r="E2938" i="1"/>
  <c r="E2939" i="1"/>
  <c r="E2940" i="1"/>
  <c r="E2941" i="1"/>
  <c r="E2942" i="1"/>
  <c r="E2943" i="1"/>
  <c r="E2944" i="1"/>
  <c r="E2945" i="1"/>
  <c r="E2946" i="1"/>
  <c r="E2947" i="1"/>
  <c r="E2948" i="1"/>
  <c r="E2949" i="1"/>
  <c r="E2950" i="1"/>
  <c r="E2951" i="1"/>
  <c r="E2952" i="1"/>
  <c r="E2953" i="1"/>
  <c r="E2954" i="1"/>
  <c r="E2955" i="1"/>
  <c r="E2956" i="1"/>
  <c r="E2957" i="1"/>
  <c r="E2958" i="1"/>
  <c r="E2959" i="1"/>
  <c r="E2960" i="1"/>
  <c r="E2961" i="1"/>
  <c r="E2962" i="1"/>
  <c r="E2963" i="1"/>
  <c r="E2964" i="1"/>
  <c r="E2965" i="1"/>
  <c r="E2966" i="1"/>
  <c r="E2967" i="1"/>
  <c r="E2968" i="1"/>
  <c r="E2969" i="1"/>
  <c r="E2970" i="1"/>
  <c r="E2971" i="1"/>
  <c r="E2972" i="1"/>
  <c r="E2973" i="1"/>
  <c r="E2974" i="1"/>
  <c r="E2975" i="1"/>
  <c r="E2976" i="1"/>
  <c r="E2977" i="1"/>
  <c r="E2978" i="1"/>
  <c r="E2979" i="1"/>
  <c r="E2980" i="1"/>
  <c r="E2981" i="1"/>
  <c r="E2982" i="1"/>
  <c r="E2983" i="1"/>
  <c r="E2984" i="1"/>
  <c r="E2985" i="1"/>
  <c r="E2986" i="1"/>
  <c r="E2987" i="1"/>
  <c r="E2988" i="1"/>
  <c r="E2989" i="1"/>
  <c r="E2990" i="1"/>
  <c r="E2991" i="1"/>
  <c r="E2992" i="1"/>
  <c r="E2993" i="1"/>
  <c r="E2994" i="1"/>
  <c r="E2995" i="1"/>
  <c r="E2996" i="1"/>
  <c r="E2997" i="1"/>
  <c r="E2998" i="1"/>
  <c r="E2999" i="1"/>
  <c r="E3000" i="1"/>
  <c r="E3001" i="1"/>
  <c r="E3002" i="1"/>
  <c r="E3003" i="1"/>
  <c r="E3004" i="1"/>
  <c r="E3005" i="1"/>
  <c r="E3006" i="1"/>
  <c r="E3007" i="1"/>
  <c r="E3008" i="1"/>
  <c r="E3009" i="1"/>
  <c r="E3010" i="1"/>
  <c r="E3011" i="1"/>
  <c r="E3012" i="1"/>
  <c r="E3013" i="1"/>
  <c r="E3014" i="1"/>
  <c r="E3015" i="1"/>
  <c r="E3016" i="1"/>
  <c r="E3017" i="1"/>
  <c r="E3018" i="1"/>
  <c r="E3019" i="1"/>
  <c r="E3020" i="1"/>
  <c r="E3021" i="1"/>
  <c r="E3022" i="1"/>
  <c r="E3023" i="1"/>
  <c r="E3024" i="1"/>
  <c r="E3025" i="1"/>
  <c r="E3026" i="1"/>
  <c r="E3027" i="1"/>
  <c r="E3028" i="1"/>
  <c r="E3029" i="1"/>
  <c r="E3030" i="1"/>
  <c r="E3031" i="1"/>
  <c r="E3032" i="1"/>
  <c r="E3033" i="1"/>
  <c r="E3034" i="1"/>
  <c r="E3035" i="1"/>
  <c r="E3036" i="1"/>
  <c r="E3037" i="1"/>
  <c r="E3038" i="1"/>
  <c r="E3039" i="1"/>
  <c r="E3040" i="1"/>
  <c r="E3041" i="1"/>
  <c r="E3042" i="1"/>
  <c r="E3043" i="1"/>
  <c r="E3044" i="1"/>
  <c r="E3045" i="1"/>
  <c r="E3046" i="1"/>
  <c r="E3047" i="1"/>
  <c r="E3048" i="1"/>
  <c r="E3049" i="1"/>
  <c r="E3050" i="1"/>
  <c r="E3051" i="1"/>
  <c r="E3052" i="1"/>
  <c r="E3053" i="1"/>
  <c r="E3054" i="1"/>
  <c r="E3055" i="1"/>
  <c r="E3056" i="1"/>
  <c r="E3057" i="1"/>
  <c r="E3058" i="1"/>
  <c r="E3059" i="1"/>
  <c r="E3060" i="1"/>
  <c r="E3061" i="1"/>
  <c r="E3062" i="1"/>
  <c r="E3063" i="1"/>
  <c r="E3064" i="1"/>
  <c r="E3065" i="1"/>
  <c r="E3066" i="1"/>
  <c r="E3067" i="1"/>
  <c r="E3068" i="1"/>
  <c r="E3069" i="1"/>
  <c r="E3070" i="1"/>
  <c r="E3071" i="1"/>
  <c r="E3072" i="1"/>
  <c r="E3073" i="1"/>
  <c r="E3074" i="1"/>
  <c r="E3075" i="1"/>
  <c r="E3076" i="1"/>
  <c r="E3077" i="1"/>
  <c r="E3078" i="1"/>
  <c r="E3079" i="1"/>
  <c r="E3080" i="1"/>
  <c r="E3081" i="1"/>
  <c r="E3082" i="1"/>
  <c r="E3083" i="1"/>
  <c r="E3084" i="1"/>
  <c r="E3085" i="1"/>
  <c r="E3086" i="1"/>
  <c r="E3087" i="1"/>
  <c r="E3088" i="1"/>
  <c r="E3089" i="1"/>
  <c r="E3090" i="1"/>
  <c r="E3091" i="1"/>
  <c r="E3092" i="1"/>
  <c r="E3093" i="1"/>
  <c r="E3094" i="1"/>
  <c r="E3095" i="1"/>
  <c r="E3096" i="1"/>
  <c r="E3097" i="1"/>
  <c r="E3098" i="1"/>
  <c r="E3099" i="1"/>
  <c r="E3100" i="1"/>
  <c r="E3101" i="1"/>
  <c r="E3102" i="1"/>
  <c r="E3103" i="1"/>
  <c r="E3104" i="1"/>
  <c r="E3105" i="1"/>
  <c r="E3106" i="1"/>
  <c r="E3107" i="1"/>
  <c r="E3108" i="1"/>
  <c r="E3109" i="1"/>
  <c r="E3110" i="1"/>
  <c r="E3111" i="1"/>
  <c r="E3112" i="1"/>
  <c r="E3113" i="1"/>
  <c r="E3114" i="1"/>
  <c r="E3115" i="1"/>
  <c r="E3116" i="1"/>
  <c r="E3117" i="1"/>
  <c r="E3118" i="1"/>
  <c r="E3119" i="1"/>
  <c r="E3120" i="1"/>
  <c r="E3121" i="1"/>
  <c r="E3122" i="1"/>
  <c r="E3123" i="1"/>
  <c r="E3124" i="1"/>
  <c r="E3125" i="1"/>
  <c r="E3126" i="1"/>
  <c r="E3127" i="1"/>
  <c r="E3128" i="1"/>
  <c r="E3129" i="1"/>
  <c r="E3130" i="1"/>
  <c r="E3131" i="1"/>
  <c r="E3132" i="1"/>
  <c r="E3133" i="1"/>
  <c r="E3134" i="1"/>
  <c r="E3135" i="1"/>
  <c r="E3136" i="1"/>
  <c r="E3137" i="1"/>
  <c r="E3138" i="1"/>
  <c r="E3139" i="1"/>
  <c r="E3140" i="1"/>
  <c r="E3141" i="1"/>
  <c r="E3142" i="1"/>
  <c r="E3143" i="1"/>
  <c r="E3144" i="1"/>
  <c r="E3145" i="1"/>
  <c r="E3146" i="1"/>
  <c r="E3147" i="1"/>
  <c r="E3148" i="1"/>
  <c r="E3149" i="1"/>
  <c r="E3150" i="1"/>
  <c r="E3151" i="1"/>
  <c r="E3152" i="1"/>
  <c r="E3153" i="1"/>
  <c r="E3154" i="1"/>
  <c r="E3155" i="1"/>
  <c r="E3156" i="1"/>
  <c r="E3157" i="1"/>
  <c r="E3158" i="1"/>
  <c r="E3159" i="1"/>
  <c r="E3160" i="1"/>
  <c r="E3161" i="1"/>
  <c r="E3162" i="1"/>
  <c r="E3163" i="1"/>
  <c r="E3164" i="1"/>
  <c r="E3165" i="1"/>
  <c r="E3166" i="1"/>
  <c r="E3167" i="1"/>
  <c r="E3168" i="1"/>
  <c r="E3169" i="1"/>
  <c r="E3170" i="1"/>
  <c r="E3171" i="1"/>
  <c r="E3172" i="1"/>
  <c r="E3173" i="1"/>
  <c r="E3174" i="1"/>
  <c r="E3175" i="1"/>
  <c r="E3176" i="1"/>
  <c r="E3177" i="1"/>
  <c r="E3178" i="1"/>
  <c r="E3179" i="1"/>
  <c r="E3180" i="1"/>
  <c r="E3181" i="1"/>
  <c r="E3182" i="1"/>
  <c r="E3183" i="1"/>
  <c r="E3184" i="1"/>
  <c r="E3185" i="1"/>
  <c r="E3186" i="1"/>
  <c r="E3187" i="1"/>
  <c r="E3188" i="1"/>
  <c r="E3189" i="1"/>
  <c r="E3190" i="1"/>
  <c r="E3191" i="1"/>
  <c r="E3192" i="1"/>
  <c r="E3193" i="1"/>
  <c r="E3194" i="1"/>
  <c r="E3195" i="1"/>
  <c r="E3196" i="1"/>
  <c r="E3197" i="1"/>
  <c r="E3198" i="1"/>
  <c r="E3199" i="1"/>
  <c r="E3200" i="1"/>
  <c r="E3201" i="1"/>
  <c r="E3202" i="1"/>
  <c r="E3203" i="1"/>
  <c r="E3204" i="1"/>
  <c r="E3205" i="1"/>
  <c r="E3206" i="1"/>
  <c r="E3207" i="1"/>
  <c r="E3208" i="1"/>
  <c r="E3209" i="1"/>
  <c r="E3210" i="1"/>
  <c r="E3211" i="1"/>
  <c r="E3212" i="1"/>
  <c r="E3213" i="1"/>
  <c r="E3214" i="1"/>
  <c r="E3215" i="1"/>
  <c r="E3216" i="1"/>
  <c r="E3217" i="1"/>
  <c r="E3218" i="1"/>
  <c r="E3219" i="1"/>
  <c r="E3220" i="1"/>
  <c r="E3221" i="1"/>
  <c r="E3222" i="1"/>
  <c r="E3223" i="1"/>
  <c r="E3224" i="1"/>
  <c r="E3225" i="1"/>
  <c r="E3226" i="1"/>
  <c r="E3227" i="1"/>
  <c r="E3228" i="1"/>
  <c r="E3229" i="1"/>
  <c r="E3230" i="1"/>
  <c r="E3231" i="1"/>
  <c r="E3232" i="1"/>
  <c r="E3233" i="1"/>
  <c r="E3234" i="1"/>
  <c r="E3235" i="1"/>
  <c r="E3236" i="1"/>
  <c r="E3237" i="1"/>
  <c r="E3238" i="1"/>
  <c r="E3239" i="1"/>
  <c r="E3240" i="1"/>
  <c r="E3241" i="1"/>
  <c r="E3242" i="1"/>
  <c r="E3243" i="1"/>
  <c r="E3244" i="1"/>
  <c r="E3245" i="1"/>
  <c r="E3246" i="1"/>
  <c r="E3247" i="1"/>
  <c r="E3248" i="1"/>
  <c r="E3249" i="1"/>
  <c r="E3250" i="1"/>
  <c r="E3251" i="1"/>
  <c r="E3252" i="1"/>
  <c r="E3253" i="1"/>
  <c r="E3254" i="1"/>
  <c r="E3255" i="1"/>
  <c r="E3256" i="1"/>
  <c r="E3257" i="1"/>
  <c r="E3258" i="1"/>
  <c r="E3259" i="1"/>
  <c r="E3260" i="1"/>
  <c r="E3261" i="1"/>
  <c r="E3262" i="1"/>
  <c r="E3263" i="1"/>
  <c r="E3264" i="1"/>
  <c r="E3265" i="1"/>
  <c r="E3266" i="1"/>
  <c r="E3267" i="1"/>
  <c r="E3268" i="1"/>
  <c r="E3269" i="1"/>
  <c r="E3270" i="1"/>
  <c r="E3271" i="1"/>
  <c r="E3272" i="1"/>
  <c r="E3273" i="1"/>
  <c r="E3274" i="1"/>
  <c r="E3275" i="1"/>
  <c r="E3276" i="1"/>
  <c r="E3277" i="1"/>
  <c r="E3278" i="1"/>
  <c r="E3279" i="1"/>
  <c r="E3280" i="1"/>
  <c r="E3281" i="1"/>
  <c r="E3282" i="1"/>
  <c r="E3283" i="1"/>
  <c r="E3284" i="1"/>
  <c r="E3285" i="1"/>
  <c r="E3286" i="1"/>
  <c r="E3287" i="1"/>
  <c r="E3288" i="1"/>
  <c r="E3289" i="1"/>
  <c r="E3290" i="1"/>
  <c r="E3291" i="1"/>
  <c r="E3292" i="1"/>
  <c r="E3293" i="1"/>
  <c r="E3294" i="1"/>
  <c r="E3295" i="1"/>
  <c r="E3296" i="1"/>
  <c r="E3297" i="1"/>
  <c r="E3298" i="1"/>
  <c r="E3299" i="1"/>
  <c r="E3300" i="1"/>
  <c r="E3301" i="1"/>
  <c r="E3302" i="1"/>
  <c r="E3303" i="1"/>
  <c r="E3304" i="1"/>
  <c r="E3305" i="1"/>
  <c r="E3306" i="1"/>
  <c r="E3307" i="1"/>
  <c r="E3308" i="1"/>
  <c r="E3309" i="1"/>
  <c r="E3310" i="1"/>
  <c r="E3311" i="1"/>
  <c r="E3312" i="1"/>
  <c r="E3313" i="1"/>
  <c r="E3314" i="1"/>
  <c r="E3315" i="1"/>
  <c r="E3316" i="1"/>
  <c r="E3317" i="1"/>
  <c r="E3318" i="1"/>
  <c r="E3319" i="1"/>
  <c r="E3320" i="1"/>
  <c r="E3321" i="1"/>
  <c r="E3322" i="1"/>
  <c r="E3323" i="1"/>
  <c r="E3324" i="1"/>
  <c r="E3325" i="1"/>
  <c r="E3326" i="1"/>
  <c r="E3327" i="1"/>
  <c r="E3328" i="1"/>
  <c r="E3329" i="1"/>
  <c r="E3330" i="1"/>
  <c r="E3331" i="1"/>
  <c r="E3332" i="1"/>
  <c r="E3333" i="1"/>
  <c r="E3334" i="1"/>
  <c r="E3335" i="1"/>
  <c r="E3336" i="1"/>
  <c r="E3337" i="1"/>
  <c r="E3338" i="1"/>
  <c r="E3339" i="1"/>
  <c r="E3340" i="1"/>
  <c r="E3341" i="1"/>
  <c r="E3342" i="1"/>
  <c r="E3343" i="1"/>
  <c r="E3344" i="1"/>
  <c r="E3345" i="1"/>
  <c r="E3346" i="1"/>
  <c r="E3347" i="1"/>
  <c r="E3348" i="1"/>
  <c r="E3349" i="1"/>
  <c r="E3350" i="1"/>
  <c r="E3351" i="1"/>
  <c r="E3352" i="1"/>
  <c r="E3353" i="1"/>
  <c r="E3354" i="1"/>
  <c r="E3355" i="1"/>
  <c r="E3356" i="1"/>
  <c r="E3357" i="1"/>
  <c r="E3358" i="1"/>
  <c r="E3359" i="1"/>
  <c r="E3360" i="1"/>
  <c r="E3361" i="1"/>
  <c r="E3362" i="1"/>
  <c r="E3363" i="1"/>
  <c r="E3364" i="1"/>
  <c r="E3365" i="1"/>
  <c r="E3366" i="1"/>
  <c r="E3367" i="1"/>
  <c r="E3368" i="1"/>
  <c r="E3369" i="1"/>
  <c r="E3370" i="1"/>
  <c r="E3371" i="1"/>
  <c r="E3372" i="1"/>
  <c r="E3373" i="1"/>
  <c r="E3374" i="1"/>
  <c r="E3375" i="1"/>
  <c r="E3376" i="1"/>
  <c r="E3377" i="1"/>
  <c r="E3378" i="1"/>
  <c r="E3379" i="1"/>
  <c r="E3380" i="1"/>
  <c r="E3381" i="1"/>
  <c r="E3382" i="1"/>
  <c r="E3383" i="1"/>
  <c r="E3384" i="1"/>
  <c r="E3385" i="1"/>
  <c r="E3386" i="1"/>
  <c r="E3387" i="1"/>
  <c r="E3388" i="1"/>
  <c r="E3389" i="1"/>
  <c r="E3390" i="1"/>
  <c r="E3391" i="1"/>
  <c r="E3392" i="1"/>
  <c r="E3393" i="1"/>
  <c r="E3394" i="1"/>
  <c r="E3395" i="1"/>
  <c r="E3396" i="1"/>
  <c r="E3397" i="1"/>
  <c r="E3398" i="1"/>
  <c r="E3399" i="1"/>
  <c r="E3400" i="1"/>
  <c r="E3401" i="1"/>
  <c r="E3402" i="1"/>
  <c r="E3403" i="1"/>
  <c r="E3404" i="1"/>
  <c r="E3405" i="1"/>
  <c r="E3406" i="1"/>
  <c r="E3407" i="1"/>
  <c r="E3408" i="1"/>
  <c r="E3409" i="1"/>
  <c r="E3410" i="1"/>
  <c r="E3411" i="1"/>
  <c r="E3412" i="1"/>
  <c r="E3413" i="1"/>
  <c r="E3414" i="1"/>
  <c r="E3415" i="1"/>
  <c r="E3416" i="1"/>
  <c r="E3417" i="1"/>
  <c r="E3418" i="1"/>
  <c r="E3419" i="1"/>
  <c r="E3420" i="1"/>
  <c r="E3421" i="1"/>
  <c r="E3422" i="1"/>
  <c r="E3423" i="1"/>
  <c r="E3424" i="1"/>
  <c r="E3425" i="1"/>
  <c r="E3426" i="1"/>
  <c r="E3427" i="1"/>
  <c r="E3428" i="1"/>
  <c r="E3429" i="1"/>
  <c r="E3430" i="1"/>
  <c r="E3431" i="1"/>
  <c r="E3432" i="1"/>
  <c r="E3433" i="1"/>
  <c r="E3434" i="1"/>
  <c r="E3435" i="1"/>
  <c r="E3436" i="1"/>
  <c r="E3437" i="1"/>
  <c r="E3438" i="1"/>
  <c r="E3439" i="1"/>
  <c r="E3440" i="1"/>
  <c r="E3441" i="1"/>
  <c r="E3442" i="1"/>
  <c r="E3443" i="1"/>
  <c r="E3444" i="1"/>
  <c r="E3445" i="1"/>
  <c r="E3446" i="1"/>
  <c r="E3447" i="1"/>
  <c r="E3448" i="1"/>
  <c r="E3449" i="1"/>
  <c r="E3450" i="1"/>
  <c r="E3451" i="1"/>
  <c r="E3452" i="1"/>
  <c r="E3453" i="1"/>
  <c r="E3454" i="1"/>
  <c r="E3455" i="1"/>
  <c r="E3456" i="1"/>
  <c r="E3457" i="1"/>
  <c r="E3458" i="1"/>
  <c r="E3459" i="1"/>
  <c r="E3460" i="1"/>
  <c r="E3461" i="1"/>
  <c r="E3462" i="1"/>
  <c r="E3463" i="1"/>
  <c r="E3464" i="1"/>
  <c r="E3465" i="1"/>
  <c r="E3466" i="1"/>
  <c r="E3467" i="1"/>
  <c r="E3468" i="1"/>
  <c r="E3469" i="1"/>
  <c r="E3470" i="1"/>
  <c r="E3471" i="1"/>
  <c r="E3472" i="1"/>
  <c r="E3473" i="1"/>
  <c r="E3474" i="1"/>
  <c r="E3475" i="1"/>
  <c r="E3476" i="1"/>
  <c r="E3477" i="1"/>
  <c r="E3478" i="1"/>
  <c r="E3479" i="1"/>
  <c r="E3480" i="1"/>
  <c r="E3481" i="1"/>
  <c r="E3482" i="1"/>
  <c r="E3483" i="1"/>
  <c r="E3484" i="1"/>
  <c r="E3485" i="1"/>
  <c r="E3486" i="1"/>
  <c r="E3487" i="1"/>
  <c r="E3488" i="1"/>
  <c r="E3489" i="1"/>
  <c r="E3490" i="1"/>
  <c r="E3491" i="1"/>
  <c r="E3492" i="1"/>
  <c r="E3493" i="1"/>
  <c r="E3494" i="1"/>
  <c r="E3495" i="1"/>
  <c r="E3496" i="1"/>
  <c r="E3497" i="1"/>
  <c r="E3498" i="1"/>
  <c r="E3499" i="1"/>
  <c r="E3500" i="1"/>
  <c r="E3501" i="1"/>
  <c r="E3502" i="1"/>
  <c r="E3503" i="1"/>
  <c r="E3504" i="1"/>
  <c r="E3505" i="1"/>
  <c r="E3506" i="1"/>
  <c r="E3507" i="1"/>
  <c r="E3508" i="1"/>
  <c r="E3509" i="1"/>
  <c r="E3510" i="1"/>
  <c r="E3511" i="1"/>
  <c r="E3512" i="1"/>
  <c r="E3513" i="1"/>
  <c r="E3514" i="1"/>
  <c r="E3515" i="1"/>
  <c r="E3516" i="1"/>
  <c r="E3517" i="1"/>
  <c r="E3518" i="1"/>
  <c r="E3519" i="1"/>
  <c r="E3520" i="1"/>
  <c r="E3521" i="1"/>
  <c r="E3522" i="1"/>
  <c r="E3523" i="1"/>
  <c r="E3524" i="1"/>
  <c r="E3525" i="1"/>
  <c r="E3526" i="1"/>
  <c r="E3527" i="1"/>
  <c r="E3528" i="1"/>
  <c r="E3529" i="1"/>
  <c r="E3530" i="1"/>
  <c r="E3531" i="1"/>
  <c r="E3532" i="1"/>
  <c r="E3533" i="1"/>
  <c r="E3534" i="1"/>
  <c r="E3535" i="1"/>
  <c r="E3536" i="1"/>
  <c r="E3537" i="1"/>
  <c r="E3538" i="1"/>
  <c r="E3539" i="1"/>
  <c r="E3540" i="1"/>
  <c r="E3541" i="1"/>
  <c r="E3542" i="1"/>
  <c r="E3543" i="1"/>
  <c r="E3544" i="1"/>
  <c r="E3545" i="1"/>
  <c r="E3546" i="1"/>
  <c r="E3547" i="1"/>
  <c r="E3548" i="1"/>
  <c r="E3549" i="1"/>
  <c r="E3550" i="1"/>
  <c r="E3551" i="1"/>
  <c r="E3552" i="1"/>
  <c r="E3553" i="1"/>
  <c r="E3554" i="1"/>
  <c r="E3555" i="1"/>
  <c r="E3556" i="1"/>
  <c r="E3557" i="1"/>
  <c r="E3558" i="1"/>
  <c r="E3559" i="1"/>
  <c r="E3560" i="1"/>
  <c r="E3561" i="1"/>
  <c r="E3562" i="1"/>
  <c r="E3563" i="1"/>
  <c r="E3564" i="1"/>
  <c r="E3565" i="1"/>
  <c r="E3566" i="1"/>
  <c r="E3567" i="1"/>
  <c r="E3568" i="1"/>
  <c r="E3569" i="1"/>
  <c r="E3570" i="1"/>
  <c r="E3571" i="1"/>
  <c r="E3572" i="1"/>
  <c r="E3573" i="1"/>
  <c r="E3574" i="1"/>
  <c r="E3575" i="1"/>
  <c r="E3576" i="1"/>
  <c r="E3577" i="1"/>
  <c r="E3578" i="1"/>
  <c r="E3579" i="1"/>
  <c r="E3580" i="1"/>
  <c r="E3581" i="1"/>
  <c r="E3582" i="1"/>
  <c r="E3583" i="1"/>
  <c r="E3584" i="1"/>
  <c r="E3585" i="1"/>
  <c r="E3586" i="1"/>
  <c r="E3587" i="1"/>
  <c r="E3588" i="1"/>
  <c r="E3589" i="1"/>
  <c r="E3590" i="1"/>
  <c r="E3591" i="1"/>
  <c r="E3592" i="1"/>
  <c r="E3593" i="1"/>
  <c r="E3594" i="1"/>
  <c r="E3595" i="1"/>
  <c r="E3596" i="1"/>
  <c r="E3597" i="1"/>
  <c r="E3598" i="1"/>
  <c r="E3599" i="1"/>
  <c r="E3600" i="1"/>
  <c r="E3601" i="1"/>
  <c r="E3602" i="1"/>
  <c r="E3603" i="1"/>
  <c r="E3604" i="1"/>
  <c r="E3605" i="1"/>
  <c r="E3606" i="1"/>
  <c r="E3607" i="1"/>
  <c r="E3608" i="1"/>
  <c r="E3609" i="1"/>
  <c r="E3610" i="1"/>
  <c r="E3611" i="1"/>
  <c r="E3612" i="1"/>
  <c r="E3613" i="1"/>
  <c r="E3614" i="1"/>
  <c r="E3615" i="1"/>
  <c r="E3616" i="1"/>
  <c r="E3617" i="1"/>
  <c r="E3618" i="1"/>
  <c r="E3619" i="1"/>
  <c r="E3620" i="1"/>
  <c r="E3621" i="1"/>
  <c r="E3622" i="1"/>
  <c r="E3623" i="1"/>
  <c r="E3624" i="1"/>
  <c r="E3625" i="1"/>
  <c r="E3626" i="1"/>
  <c r="E3627" i="1"/>
  <c r="E3628" i="1"/>
  <c r="E3629" i="1"/>
  <c r="E3630" i="1"/>
  <c r="E3631" i="1"/>
  <c r="E3632" i="1"/>
  <c r="E3633" i="1"/>
  <c r="E3634" i="1"/>
  <c r="E3635" i="1"/>
  <c r="E3636" i="1"/>
  <c r="E3637" i="1"/>
  <c r="E3638" i="1"/>
  <c r="E3639" i="1"/>
  <c r="E3640" i="1"/>
  <c r="E3641" i="1"/>
  <c r="E3642" i="1"/>
  <c r="E3643" i="1"/>
  <c r="E3644" i="1"/>
  <c r="E3645" i="1"/>
  <c r="E3646" i="1"/>
  <c r="E3647" i="1"/>
  <c r="E3648" i="1"/>
  <c r="E3649" i="1"/>
  <c r="E3650" i="1"/>
  <c r="E3651" i="1"/>
  <c r="E3652" i="1"/>
  <c r="E3653" i="1"/>
  <c r="E3654" i="1"/>
  <c r="E3655" i="1"/>
  <c r="E3656" i="1"/>
  <c r="E3657" i="1"/>
  <c r="E3658" i="1"/>
  <c r="E3659" i="1"/>
  <c r="E3660" i="1"/>
  <c r="E3661" i="1"/>
  <c r="E3662" i="1"/>
  <c r="E3663" i="1"/>
  <c r="E3664" i="1"/>
  <c r="E3665" i="1"/>
  <c r="E3666" i="1"/>
  <c r="E3667" i="1"/>
  <c r="E3668" i="1"/>
  <c r="E3669" i="1"/>
  <c r="E3670" i="1"/>
  <c r="E3671" i="1"/>
  <c r="E3672" i="1"/>
  <c r="E3673" i="1"/>
  <c r="E3674" i="1"/>
  <c r="E3675" i="1"/>
  <c r="E3676" i="1"/>
  <c r="E3677" i="1"/>
  <c r="E3678" i="1"/>
  <c r="E3679" i="1"/>
  <c r="E3680" i="1"/>
  <c r="E3681" i="1"/>
  <c r="E3682" i="1"/>
  <c r="E3683" i="1"/>
  <c r="E3684" i="1"/>
  <c r="E3685" i="1"/>
  <c r="E3686" i="1"/>
  <c r="E3687" i="1"/>
  <c r="E3688" i="1"/>
  <c r="E3689" i="1"/>
  <c r="E3690" i="1"/>
  <c r="E3691" i="1"/>
  <c r="E3692" i="1"/>
  <c r="E3693" i="1"/>
  <c r="E3694" i="1"/>
  <c r="E3695" i="1"/>
  <c r="E3696" i="1"/>
  <c r="E3697" i="1"/>
  <c r="E3698" i="1"/>
  <c r="E3699" i="1"/>
  <c r="E3700" i="1"/>
  <c r="E3701" i="1"/>
  <c r="E3702" i="1"/>
  <c r="E3703" i="1"/>
  <c r="E3704" i="1"/>
  <c r="E3705" i="1"/>
  <c r="E3706" i="1"/>
  <c r="E3707" i="1"/>
  <c r="E3708" i="1"/>
  <c r="E3709" i="1"/>
  <c r="E3710" i="1"/>
  <c r="E3711" i="1"/>
  <c r="E3712" i="1"/>
  <c r="E3713" i="1"/>
  <c r="E3714" i="1"/>
  <c r="E3715" i="1"/>
  <c r="E3716" i="1"/>
  <c r="E3717" i="1"/>
  <c r="E3718" i="1"/>
  <c r="E3719" i="1"/>
  <c r="E3720" i="1"/>
  <c r="E3721" i="1"/>
  <c r="E3722" i="1"/>
  <c r="E3723" i="1"/>
  <c r="E3724" i="1"/>
  <c r="E3725" i="1"/>
  <c r="E3726" i="1"/>
  <c r="E3727" i="1"/>
  <c r="E3728" i="1"/>
  <c r="E3729" i="1"/>
  <c r="E3730" i="1"/>
  <c r="E3731" i="1"/>
  <c r="E3732" i="1"/>
  <c r="E3733" i="1"/>
  <c r="E3734" i="1"/>
  <c r="E3735" i="1"/>
  <c r="E3736" i="1"/>
  <c r="E3737" i="1"/>
  <c r="E3738" i="1"/>
  <c r="E3739" i="1"/>
  <c r="E3740" i="1"/>
  <c r="E3741" i="1"/>
  <c r="E3742" i="1"/>
  <c r="E3743" i="1"/>
  <c r="E3744" i="1"/>
  <c r="E3745" i="1"/>
  <c r="E3746" i="1"/>
  <c r="E3747" i="1"/>
  <c r="E3748" i="1"/>
  <c r="E3749" i="1"/>
  <c r="E3750" i="1"/>
  <c r="E3751" i="1"/>
  <c r="E3752" i="1"/>
  <c r="E3753" i="1"/>
  <c r="E3754" i="1"/>
  <c r="E3755" i="1"/>
  <c r="E3756" i="1"/>
  <c r="E3757" i="1"/>
  <c r="E3758" i="1"/>
  <c r="E3759" i="1"/>
  <c r="E3760" i="1"/>
  <c r="E3761" i="1"/>
  <c r="E3762" i="1"/>
  <c r="E3763" i="1"/>
  <c r="E3764" i="1"/>
  <c r="E3765" i="1"/>
  <c r="E3766" i="1"/>
  <c r="E3767" i="1"/>
  <c r="E3768" i="1"/>
  <c r="E3769" i="1"/>
  <c r="E3770" i="1"/>
  <c r="E3771" i="1"/>
  <c r="E3772" i="1"/>
  <c r="E3773" i="1"/>
  <c r="E3774" i="1"/>
  <c r="E3775" i="1"/>
  <c r="E3776" i="1"/>
  <c r="E3777" i="1"/>
  <c r="E3778" i="1"/>
  <c r="E3779" i="1"/>
  <c r="E3780" i="1"/>
  <c r="E3781" i="1"/>
  <c r="E3782" i="1"/>
  <c r="E3783" i="1"/>
  <c r="E3784" i="1"/>
  <c r="E3785" i="1"/>
  <c r="E3786" i="1"/>
  <c r="E3787" i="1"/>
  <c r="E3788" i="1"/>
  <c r="E3789" i="1"/>
  <c r="E3790" i="1"/>
  <c r="E3791" i="1"/>
  <c r="E3792" i="1"/>
  <c r="E3793" i="1"/>
  <c r="E3794" i="1"/>
  <c r="E3795" i="1"/>
  <c r="E3796" i="1"/>
  <c r="E3797" i="1"/>
  <c r="E3798" i="1"/>
  <c r="E3799" i="1"/>
  <c r="E3800" i="1"/>
  <c r="E3801" i="1"/>
  <c r="E3802" i="1"/>
  <c r="E3803" i="1"/>
  <c r="E3804" i="1"/>
  <c r="E3805" i="1"/>
  <c r="E3806" i="1"/>
  <c r="E3807" i="1"/>
  <c r="E3808" i="1"/>
  <c r="E3809" i="1"/>
  <c r="E3810" i="1"/>
  <c r="E3811" i="1"/>
  <c r="E3812" i="1"/>
  <c r="E3813" i="1"/>
  <c r="E3814" i="1"/>
  <c r="E3815" i="1"/>
  <c r="E3816" i="1"/>
  <c r="E3817" i="1"/>
  <c r="E3818" i="1"/>
  <c r="E3819" i="1"/>
  <c r="E3820" i="1"/>
  <c r="E3821" i="1"/>
  <c r="E3822" i="1"/>
  <c r="E3823" i="1"/>
  <c r="E3824" i="1"/>
  <c r="E3825" i="1"/>
  <c r="E3826" i="1"/>
  <c r="E3827" i="1"/>
  <c r="E3828" i="1"/>
  <c r="E3829" i="1"/>
  <c r="E3830" i="1"/>
  <c r="E3831" i="1"/>
  <c r="E3832" i="1"/>
  <c r="E3833" i="1"/>
  <c r="E3834" i="1"/>
  <c r="E3835" i="1"/>
  <c r="E3836" i="1"/>
  <c r="E3837" i="1"/>
  <c r="E3838" i="1"/>
  <c r="E3839" i="1"/>
  <c r="E3840" i="1"/>
  <c r="E3841" i="1"/>
  <c r="E3842" i="1"/>
  <c r="E3843" i="1"/>
  <c r="E3844" i="1"/>
  <c r="E3845" i="1"/>
  <c r="E3846" i="1"/>
  <c r="E3847" i="1"/>
  <c r="E3848" i="1"/>
  <c r="E3849" i="1"/>
  <c r="E3850" i="1"/>
  <c r="E3851" i="1"/>
  <c r="E3852" i="1"/>
  <c r="E3853" i="1"/>
  <c r="E3854" i="1"/>
  <c r="E3855" i="1"/>
  <c r="E3856" i="1"/>
  <c r="E3857" i="1"/>
  <c r="E3858" i="1"/>
  <c r="E3859" i="1"/>
  <c r="E3860" i="1"/>
  <c r="E3861" i="1"/>
  <c r="E3862" i="1"/>
  <c r="E3863" i="1"/>
  <c r="E3864" i="1"/>
  <c r="E3865" i="1"/>
  <c r="E3866" i="1"/>
  <c r="E3867" i="1"/>
  <c r="E3868" i="1"/>
  <c r="E3869" i="1"/>
  <c r="E3870" i="1"/>
  <c r="E3871" i="1"/>
  <c r="E3872" i="1"/>
  <c r="E3873" i="1"/>
  <c r="E3874" i="1"/>
  <c r="E3875" i="1"/>
  <c r="E3876" i="1"/>
  <c r="E3877" i="1"/>
  <c r="E3878" i="1"/>
  <c r="E3879" i="1"/>
  <c r="E3880" i="1"/>
  <c r="E3881" i="1"/>
  <c r="E3882" i="1"/>
  <c r="E3883" i="1"/>
  <c r="E3884" i="1"/>
  <c r="E3885" i="1"/>
  <c r="E3886" i="1"/>
  <c r="E3887" i="1"/>
  <c r="E3888" i="1"/>
  <c r="E3889" i="1"/>
  <c r="E3890" i="1"/>
  <c r="E3891" i="1"/>
  <c r="E3892" i="1"/>
  <c r="E3893" i="1"/>
  <c r="E3894" i="1"/>
  <c r="E3895" i="1"/>
  <c r="E3896" i="1"/>
  <c r="E3897" i="1"/>
  <c r="E3898" i="1"/>
  <c r="E3899" i="1"/>
  <c r="E3900" i="1"/>
  <c r="E3901" i="1"/>
  <c r="E3902" i="1"/>
  <c r="E3903" i="1"/>
  <c r="E3904" i="1"/>
  <c r="E3905" i="1"/>
  <c r="E3906" i="1"/>
  <c r="E3907" i="1"/>
  <c r="E3908" i="1"/>
  <c r="E3909" i="1"/>
  <c r="E3910" i="1"/>
  <c r="E3911" i="1"/>
  <c r="E3912" i="1"/>
  <c r="E3913" i="1"/>
  <c r="E3914" i="1"/>
  <c r="E3915" i="1"/>
  <c r="E3916" i="1"/>
  <c r="E3917" i="1"/>
  <c r="E3918" i="1"/>
  <c r="E3919" i="1"/>
  <c r="E3920" i="1"/>
  <c r="E3921" i="1"/>
  <c r="E3922" i="1"/>
  <c r="E3923" i="1"/>
  <c r="E3924" i="1"/>
  <c r="E3925" i="1"/>
  <c r="E3926" i="1"/>
  <c r="E3927" i="1"/>
  <c r="E3928" i="1"/>
  <c r="E3929" i="1"/>
  <c r="E3930" i="1"/>
  <c r="E3931" i="1"/>
  <c r="E3932" i="1"/>
  <c r="E3933" i="1"/>
  <c r="E3934" i="1"/>
  <c r="E3935" i="1"/>
  <c r="E3936" i="1"/>
  <c r="E3937" i="1"/>
  <c r="E3938" i="1"/>
  <c r="E3939" i="1"/>
  <c r="E3940" i="1"/>
  <c r="E3941" i="1"/>
  <c r="E3942" i="1"/>
  <c r="E3943" i="1"/>
  <c r="E3944" i="1"/>
  <c r="E3945" i="1"/>
  <c r="E3946" i="1"/>
  <c r="E3947" i="1"/>
  <c r="E3948" i="1"/>
  <c r="E3949" i="1"/>
  <c r="E3950" i="1"/>
  <c r="E3951" i="1"/>
  <c r="E3952" i="1"/>
  <c r="E3953" i="1"/>
  <c r="E3954" i="1"/>
  <c r="E3955" i="1"/>
  <c r="E3956" i="1"/>
  <c r="E3957" i="1"/>
  <c r="E3958" i="1"/>
  <c r="E3959" i="1"/>
  <c r="E3960" i="1"/>
  <c r="E3961" i="1"/>
  <c r="E3962" i="1"/>
  <c r="E3963" i="1"/>
  <c r="E3964" i="1"/>
  <c r="E3965" i="1"/>
  <c r="E3966" i="1"/>
  <c r="E3967" i="1"/>
  <c r="E3968" i="1"/>
  <c r="E3969" i="1"/>
  <c r="E3970" i="1"/>
  <c r="E3971" i="1"/>
  <c r="E3972" i="1"/>
  <c r="E3973" i="1"/>
  <c r="E3974" i="1"/>
  <c r="E3975" i="1"/>
  <c r="E3976" i="1"/>
  <c r="E3977" i="1"/>
  <c r="E3978" i="1"/>
  <c r="E3979" i="1"/>
  <c r="E3980" i="1"/>
  <c r="E3981" i="1"/>
  <c r="E3982" i="1"/>
  <c r="E3983" i="1"/>
  <c r="E3984" i="1"/>
  <c r="E3985" i="1"/>
  <c r="E3986" i="1"/>
  <c r="E3987" i="1"/>
  <c r="E3988" i="1"/>
  <c r="E3989" i="1"/>
  <c r="E3990" i="1"/>
  <c r="E3991" i="1"/>
  <c r="E3992" i="1"/>
  <c r="E3993" i="1"/>
  <c r="E3994" i="1"/>
  <c r="E3995" i="1"/>
  <c r="E3996" i="1"/>
  <c r="E3997" i="1"/>
  <c r="E3998" i="1"/>
  <c r="E3999" i="1"/>
  <c r="E4000" i="1"/>
  <c r="E4001" i="1"/>
  <c r="E4002" i="1"/>
  <c r="E4003" i="1"/>
  <c r="E4004" i="1"/>
  <c r="E4005" i="1"/>
  <c r="E4006" i="1"/>
  <c r="E4007" i="1"/>
  <c r="E4008" i="1"/>
  <c r="E4009" i="1"/>
  <c r="E4010" i="1"/>
  <c r="E4011" i="1"/>
  <c r="E4012" i="1"/>
  <c r="E4013" i="1"/>
  <c r="E4014" i="1"/>
  <c r="E4015" i="1"/>
  <c r="E4016" i="1"/>
  <c r="E4017" i="1"/>
  <c r="E4018" i="1"/>
  <c r="E4019" i="1"/>
  <c r="E4020" i="1"/>
  <c r="E4021" i="1"/>
  <c r="E4022" i="1"/>
  <c r="E4023" i="1"/>
  <c r="E4024" i="1"/>
  <c r="E4025" i="1"/>
  <c r="E4026" i="1"/>
  <c r="E4027" i="1"/>
  <c r="E4028" i="1"/>
  <c r="E4029" i="1"/>
  <c r="E4030" i="1"/>
  <c r="E4031" i="1"/>
  <c r="E4032" i="1"/>
  <c r="E4033" i="1"/>
  <c r="E4034" i="1"/>
  <c r="E4035" i="1"/>
  <c r="E4036" i="1"/>
  <c r="E4037" i="1"/>
  <c r="E4038" i="1"/>
  <c r="E4039" i="1"/>
  <c r="E4040" i="1"/>
  <c r="E4041" i="1"/>
  <c r="E4042" i="1"/>
  <c r="E4043" i="1"/>
  <c r="E4044" i="1"/>
  <c r="E4045" i="1"/>
  <c r="E4046" i="1"/>
  <c r="E4047" i="1"/>
  <c r="E4048" i="1"/>
  <c r="E4049" i="1"/>
  <c r="E4050" i="1"/>
  <c r="E4051" i="1"/>
  <c r="E4052" i="1"/>
  <c r="E4053" i="1"/>
  <c r="E4054" i="1"/>
  <c r="E4055" i="1"/>
  <c r="E4056" i="1"/>
  <c r="E4057" i="1"/>
  <c r="E4058" i="1"/>
  <c r="E4059" i="1"/>
  <c r="E4060" i="1"/>
  <c r="E4061" i="1"/>
  <c r="E4062" i="1"/>
  <c r="E4063" i="1"/>
  <c r="E4064" i="1"/>
  <c r="E4065" i="1"/>
  <c r="E4066" i="1"/>
  <c r="E4067" i="1"/>
  <c r="E4068" i="1"/>
  <c r="E4069" i="1"/>
  <c r="E4070" i="1"/>
  <c r="E4071" i="1"/>
  <c r="E4072" i="1"/>
  <c r="E4073" i="1"/>
  <c r="E4074" i="1"/>
  <c r="E4075" i="1"/>
  <c r="E4076" i="1"/>
  <c r="E4077" i="1"/>
  <c r="E4078" i="1"/>
  <c r="E4079" i="1"/>
  <c r="E4080" i="1"/>
  <c r="E4081" i="1"/>
  <c r="E4082" i="1"/>
  <c r="E4083" i="1"/>
  <c r="E4084" i="1"/>
  <c r="E4085" i="1"/>
  <c r="E4086" i="1"/>
  <c r="E4087" i="1"/>
  <c r="E4088" i="1"/>
  <c r="E4089" i="1"/>
  <c r="E4090" i="1"/>
  <c r="E4091" i="1"/>
  <c r="E4092" i="1"/>
  <c r="E4093" i="1"/>
  <c r="E4094" i="1"/>
  <c r="E4095" i="1"/>
  <c r="E4096" i="1"/>
  <c r="E4097" i="1"/>
  <c r="E4098" i="1"/>
  <c r="E4099" i="1"/>
  <c r="E4100" i="1"/>
  <c r="E4101" i="1"/>
  <c r="E4102" i="1"/>
  <c r="E4103" i="1"/>
  <c r="E4104" i="1"/>
  <c r="E4105" i="1"/>
  <c r="E4106" i="1"/>
  <c r="E4107" i="1"/>
  <c r="E4108" i="1"/>
  <c r="E4109" i="1"/>
  <c r="E4110" i="1"/>
  <c r="E4111" i="1"/>
  <c r="E4112" i="1"/>
  <c r="E4113" i="1"/>
  <c r="E4114" i="1"/>
  <c r="E4115" i="1"/>
  <c r="E4116" i="1"/>
  <c r="E4117" i="1"/>
  <c r="E4118" i="1"/>
  <c r="E4119" i="1"/>
  <c r="E4120" i="1"/>
  <c r="E4121" i="1"/>
  <c r="E4122" i="1"/>
  <c r="E4123" i="1"/>
  <c r="E4124" i="1"/>
  <c r="E4125" i="1"/>
  <c r="E4126" i="1"/>
  <c r="E4127" i="1"/>
  <c r="E4128" i="1"/>
  <c r="E4129" i="1"/>
  <c r="E4130" i="1"/>
  <c r="E4131" i="1"/>
  <c r="E4132" i="1"/>
  <c r="E4133" i="1"/>
  <c r="E4134" i="1"/>
  <c r="E4135" i="1"/>
  <c r="E4136" i="1"/>
  <c r="E4137" i="1"/>
  <c r="E4138" i="1"/>
  <c r="E4139" i="1"/>
  <c r="E4140" i="1"/>
  <c r="E4141" i="1"/>
  <c r="E4142" i="1"/>
  <c r="E4143" i="1"/>
  <c r="E4144" i="1"/>
  <c r="E4145" i="1"/>
  <c r="E4146" i="1"/>
  <c r="E4147" i="1"/>
  <c r="E4148" i="1"/>
  <c r="E4149" i="1"/>
  <c r="E4150" i="1"/>
  <c r="E4151" i="1"/>
  <c r="E4152" i="1"/>
  <c r="E4153" i="1"/>
  <c r="E4154" i="1"/>
  <c r="E4155" i="1"/>
  <c r="E4156" i="1"/>
  <c r="E4157" i="1"/>
  <c r="E4158" i="1"/>
  <c r="E4159" i="1"/>
  <c r="E4160" i="1"/>
  <c r="E4161" i="1"/>
  <c r="E4162" i="1"/>
  <c r="E4163" i="1"/>
  <c r="E4164" i="1"/>
  <c r="E4165" i="1"/>
  <c r="E4166" i="1"/>
  <c r="E4167" i="1"/>
  <c r="E4168" i="1"/>
  <c r="E4169" i="1"/>
  <c r="E4170" i="1"/>
  <c r="E4171" i="1"/>
  <c r="E4172" i="1"/>
  <c r="E4173" i="1"/>
  <c r="E4174" i="1"/>
  <c r="E4175" i="1"/>
  <c r="E4176" i="1"/>
  <c r="E4177" i="1"/>
  <c r="E4178" i="1"/>
  <c r="E4179" i="1"/>
  <c r="E4180" i="1"/>
  <c r="E4181" i="1"/>
  <c r="E4182" i="1"/>
  <c r="E4183" i="1"/>
  <c r="E4184" i="1"/>
  <c r="E4185" i="1"/>
  <c r="E4186" i="1"/>
  <c r="E4187" i="1"/>
  <c r="E4188" i="1"/>
  <c r="E4189" i="1"/>
  <c r="E4190" i="1"/>
  <c r="E4191" i="1"/>
  <c r="E4192" i="1"/>
  <c r="E4193" i="1"/>
  <c r="E4194" i="1"/>
  <c r="E4195" i="1"/>
  <c r="E4196" i="1"/>
  <c r="E4197" i="1"/>
  <c r="E4198" i="1"/>
  <c r="E4199" i="1"/>
  <c r="E4200" i="1"/>
  <c r="E4201" i="1"/>
  <c r="E4202" i="1"/>
  <c r="E4203" i="1"/>
  <c r="E4204" i="1"/>
  <c r="E4205" i="1"/>
  <c r="E4206" i="1"/>
  <c r="E4207" i="1"/>
  <c r="E4208" i="1"/>
  <c r="E4209" i="1"/>
  <c r="E4210" i="1"/>
  <c r="E4211" i="1"/>
  <c r="E4212" i="1"/>
  <c r="E4213" i="1"/>
  <c r="E4214" i="1"/>
  <c r="E4215" i="1"/>
  <c r="E4216" i="1"/>
  <c r="E4217" i="1"/>
  <c r="E4218" i="1"/>
  <c r="E4219" i="1"/>
  <c r="E4220" i="1"/>
  <c r="E4221" i="1"/>
  <c r="E4222" i="1"/>
  <c r="E4223" i="1"/>
  <c r="E4224" i="1"/>
  <c r="E4225" i="1"/>
  <c r="E4226" i="1"/>
  <c r="E4227" i="1"/>
  <c r="E4228" i="1"/>
  <c r="E4229" i="1"/>
  <c r="E4230" i="1"/>
  <c r="E4231" i="1"/>
  <c r="E4232" i="1"/>
  <c r="E4233" i="1"/>
  <c r="E4234" i="1"/>
  <c r="E4235" i="1"/>
  <c r="E4236" i="1"/>
  <c r="E4237" i="1"/>
  <c r="E4238" i="1"/>
  <c r="E4239" i="1"/>
  <c r="E4240" i="1"/>
  <c r="E4241" i="1"/>
  <c r="E4242" i="1"/>
  <c r="E4243" i="1"/>
  <c r="E4244" i="1"/>
  <c r="E4245" i="1"/>
  <c r="E4246" i="1"/>
  <c r="E4247" i="1"/>
  <c r="E4248" i="1"/>
  <c r="E4249" i="1"/>
  <c r="E4250" i="1"/>
  <c r="E4251" i="1"/>
  <c r="E4252" i="1"/>
  <c r="E4253" i="1"/>
  <c r="E4254" i="1"/>
  <c r="E4255" i="1"/>
  <c r="E4256" i="1"/>
  <c r="E4257" i="1"/>
  <c r="E4258" i="1"/>
  <c r="E4259" i="1"/>
  <c r="E4260" i="1"/>
  <c r="E4261" i="1"/>
  <c r="E4262" i="1"/>
  <c r="E4263" i="1"/>
  <c r="E4264" i="1"/>
  <c r="E4265" i="1"/>
  <c r="E4266" i="1"/>
  <c r="E4267" i="1"/>
  <c r="E4268" i="1"/>
  <c r="E4269" i="1"/>
  <c r="E4270" i="1"/>
  <c r="E4271" i="1"/>
  <c r="E4272" i="1"/>
  <c r="E4273" i="1"/>
  <c r="E4274" i="1"/>
  <c r="E4275" i="1"/>
  <c r="E4276" i="1"/>
  <c r="E4277" i="1"/>
  <c r="E4278" i="1"/>
  <c r="E4279" i="1"/>
  <c r="E4280" i="1"/>
  <c r="E4281" i="1"/>
  <c r="E4282" i="1"/>
  <c r="E4283" i="1"/>
  <c r="E4284" i="1"/>
  <c r="E4285" i="1"/>
  <c r="E4286" i="1"/>
  <c r="E4287" i="1"/>
  <c r="E4288" i="1"/>
  <c r="E4289" i="1"/>
  <c r="E4290" i="1"/>
  <c r="E4291" i="1"/>
  <c r="E4292" i="1"/>
  <c r="E4293" i="1"/>
  <c r="E4294" i="1"/>
  <c r="E4295" i="1"/>
  <c r="E4296" i="1"/>
  <c r="E4297" i="1"/>
  <c r="E4298" i="1"/>
  <c r="E4299" i="1"/>
  <c r="E4300" i="1"/>
  <c r="E4301" i="1"/>
  <c r="E4302" i="1"/>
  <c r="E4303" i="1"/>
  <c r="E4304" i="1"/>
  <c r="E4305" i="1"/>
  <c r="E4306" i="1"/>
  <c r="E4307" i="1"/>
  <c r="E4308" i="1"/>
  <c r="E4309" i="1"/>
  <c r="E4310" i="1"/>
  <c r="E4311" i="1"/>
  <c r="E4312" i="1"/>
  <c r="E4313" i="1"/>
  <c r="E4314" i="1"/>
  <c r="E4315" i="1"/>
  <c r="E4316" i="1"/>
  <c r="E4317" i="1"/>
  <c r="E4318" i="1"/>
  <c r="E4319" i="1"/>
  <c r="E4320" i="1"/>
  <c r="E4321" i="1"/>
  <c r="E4322" i="1"/>
  <c r="E4323" i="1"/>
  <c r="E4324" i="1"/>
  <c r="E4325" i="1"/>
  <c r="E4326" i="1"/>
  <c r="E4327" i="1"/>
  <c r="E4328" i="1"/>
  <c r="E4329" i="1"/>
  <c r="E4330" i="1"/>
  <c r="E4331" i="1"/>
  <c r="E4332" i="1"/>
  <c r="E4333" i="1"/>
  <c r="E4334" i="1"/>
  <c r="E4335" i="1"/>
  <c r="E4336" i="1"/>
  <c r="E4337" i="1"/>
  <c r="E4338" i="1"/>
  <c r="E4339" i="1"/>
  <c r="E4340" i="1"/>
  <c r="E4341" i="1"/>
  <c r="E4342" i="1"/>
  <c r="E4343" i="1"/>
  <c r="E4344" i="1"/>
  <c r="E4345" i="1"/>
  <c r="E4346" i="1"/>
  <c r="E4347" i="1"/>
  <c r="E4348" i="1"/>
  <c r="E4349" i="1"/>
  <c r="E4350" i="1"/>
  <c r="E4351" i="1"/>
  <c r="E4352" i="1"/>
  <c r="E4353" i="1"/>
  <c r="E4354" i="1"/>
  <c r="E4355" i="1"/>
  <c r="E4356" i="1"/>
  <c r="E4357" i="1"/>
  <c r="E4358" i="1"/>
  <c r="E4359" i="1"/>
  <c r="E4360" i="1"/>
  <c r="E4361" i="1"/>
  <c r="E4362" i="1"/>
  <c r="E4363" i="1"/>
  <c r="E4364" i="1"/>
  <c r="E4365" i="1"/>
  <c r="E4366" i="1"/>
  <c r="E4367" i="1"/>
  <c r="E4368" i="1"/>
  <c r="E4369" i="1"/>
  <c r="E4370" i="1"/>
  <c r="E4371" i="1"/>
  <c r="E4372" i="1"/>
  <c r="E4373" i="1"/>
  <c r="E4374" i="1"/>
  <c r="E4375" i="1"/>
  <c r="E4376" i="1"/>
  <c r="E4377" i="1"/>
  <c r="E4378" i="1"/>
  <c r="E4379" i="1"/>
  <c r="E4380" i="1"/>
  <c r="E4381" i="1"/>
  <c r="E4382" i="1"/>
  <c r="E4383" i="1"/>
  <c r="E4384" i="1"/>
  <c r="E4385" i="1"/>
  <c r="E4386" i="1"/>
  <c r="E4387" i="1"/>
  <c r="E4388" i="1"/>
  <c r="E4389" i="1"/>
  <c r="E4390" i="1"/>
  <c r="E4391" i="1"/>
  <c r="E4392" i="1"/>
  <c r="E4393" i="1"/>
  <c r="E4394" i="1"/>
  <c r="E4395" i="1"/>
  <c r="E4396" i="1"/>
  <c r="E4397" i="1"/>
  <c r="E4398" i="1"/>
  <c r="E4399" i="1"/>
  <c r="E4400" i="1"/>
  <c r="E4401" i="1"/>
  <c r="E4402" i="1"/>
  <c r="E4403" i="1"/>
  <c r="E4404" i="1"/>
  <c r="E4405" i="1"/>
  <c r="E4406" i="1"/>
  <c r="E4407" i="1"/>
  <c r="E4408" i="1"/>
  <c r="E4409" i="1"/>
  <c r="E4410" i="1"/>
  <c r="E4411" i="1"/>
  <c r="E4412" i="1"/>
  <c r="E4413" i="1"/>
  <c r="E4414" i="1"/>
  <c r="E4415" i="1"/>
  <c r="E4416" i="1"/>
  <c r="E4417" i="1"/>
  <c r="E4418" i="1"/>
  <c r="E4419" i="1"/>
  <c r="E4420" i="1"/>
  <c r="E4421" i="1"/>
  <c r="E4422" i="1"/>
  <c r="E4423" i="1"/>
  <c r="E4424" i="1"/>
  <c r="E4425" i="1"/>
  <c r="E4426" i="1"/>
  <c r="E4427" i="1"/>
  <c r="E4428" i="1"/>
  <c r="E4429" i="1"/>
  <c r="E4430" i="1"/>
  <c r="E4431" i="1"/>
  <c r="E4432" i="1"/>
  <c r="E4433" i="1"/>
  <c r="E4434" i="1"/>
  <c r="E4435" i="1"/>
  <c r="E4436" i="1"/>
  <c r="E4437" i="1"/>
  <c r="E4438" i="1"/>
  <c r="E4439" i="1"/>
  <c r="E4440" i="1"/>
  <c r="E4441" i="1"/>
  <c r="E4442" i="1"/>
  <c r="E4443" i="1"/>
  <c r="E4444" i="1"/>
  <c r="E4445" i="1"/>
  <c r="E4446" i="1"/>
  <c r="E4447" i="1"/>
  <c r="E4448" i="1"/>
  <c r="E4449" i="1"/>
  <c r="E4450" i="1"/>
  <c r="E4451" i="1"/>
  <c r="E4452" i="1"/>
  <c r="E4453" i="1"/>
  <c r="E4454" i="1"/>
  <c r="E4455" i="1"/>
  <c r="E4456" i="1"/>
  <c r="E4457" i="1"/>
  <c r="E4458" i="1"/>
  <c r="E4459" i="1"/>
  <c r="E4460" i="1"/>
  <c r="E4461" i="1"/>
  <c r="E4462" i="1"/>
  <c r="E4463" i="1"/>
  <c r="E4464" i="1"/>
  <c r="E4465" i="1"/>
  <c r="E4466" i="1"/>
  <c r="E4467" i="1"/>
  <c r="E4468" i="1"/>
  <c r="E4469" i="1"/>
  <c r="E4470" i="1"/>
  <c r="E4471" i="1"/>
  <c r="E4472" i="1"/>
  <c r="E4473" i="1"/>
  <c r="E4474" i="1"/>
  <c r="E4475" i="1"/>
  <c r="E4476" i="1"/>
  <c r="E4477" i="1"/>
  <c r="E4478" i="1"/>
  <c r="E4479" i="1"/>
  <c r="E4480" i="1"/>
  <c r="E4481" i="1"/>
  <c r="E4482" i="1"/>
  <c r="E4483" i="1"/>
  <c r="E4484" i="1"/>
  <c r="E4485" i="1"/>
  <c r="E4486" i="1"/>
  <c r="E4487" i="1"/>
  <c r="E4488" i="1"/>
  <c r="E4489" i="1"/>
  <c r="E4490" i="1"/>
  <c r="E4491" i="1"/>
  <c r="E4492" i="1"/>
  <c r="E4493" i="1"/>
  <c r="E4494" i="1"/>
  <c r="E4495" i="1"/>
  <c r="E4496" i="1"/>
  <c r="E4497" i="1"/>
  <c r="E4498" i="1"/>
  <c r="E4499" i="1"/>
  <c r="E4500" i="1"/>
  <c r="E4501" i="1"/>
  <c r="E4502" i="1"/>
  <c r="E4503" i="1"/>
  <c r="E4504" i="1"/>
  <c r="E4505" i="1"/>
  <c r="E4506" i="1"/>
  <c r="E4507" i="1"/>
  <c r="E4508" i="1"/>
  <c r="E4509" i="1"/>
  <c r="E4510" i="1"/>
  <c r="E4511" i="1"/>
  <c r="E4512" i="1"/>
  <c r="E4513" i="1"/>
  <c r="E4514" i="1"/>
  <c r="E4515" i="1"/>
  <c r="E4516" i="1"/>
  <c r="E4517" i="1"/>
  <c r="E4518" i="1"/>
  <c r="E4519" i="1"/>
  <c r="E4520" i="1"/>
  <c r="E4521" i="1"/>
  <c r="E4522" i="1"/>
  <c r="E4523" i="1"/>
  <c r="E4524" i="1"/>
  <c r="E4525" i="1"/>
  <c r="E4526" i="1"/>
  <c r="E4527" i="1"/>
  <c r="E4528" i="1"/>
  <c r="E4529" i="1"/>
  <c r="E4530" i="1"/>
  <c r="E4531" i="1"/>
  <c r="E4532" i="1"/>
  <c r="E4533" i="1"/>
  <c r="E4534" i="1"/>
  <c r="E4535" i="1"/>
  <c r="E4536" i="1"/>
  <c r="E4537" i="1"/>
  <c r="E4538" i="1"/>
  <c r="E4539" i="1"/>
  <c r="E4540" i="1"/>
  <c r="E4541" i="1"/>
  <c r="E4542" i="1"/>
  <c r="E4543" i="1"/>
  <c r="E4544" i="1"/>
  <c r="E4545" i="1"/>
  <c r="E4546" i="1"/>
  <c r="E4547" i="1"/>
  <c r="E4548" i="1"/>
  <c r="E4549" i="1"/>
  <c r="E4550" i="1"/>
  <c r="E4551" i="1"/>
  <c r="E4552" i="1"/>
  <c r="E4553" i="1"/>
  <c r="E4554" i="1"/>
  <c r="E4555" i="1"/>
  <c r="E4556" i="1"/>
  <c r="E4557" i="1"/>
  <c r="E4558" i="1"/>
  <c r="E4559" i="1"/>
  <c r="E4560" i="1"/>
  <c r="E4561" i="1"/>
  <c r="E4562" i="1"/>
  <c r="E4563" i="1"/>
  <c r="E4564" i="1"/>
  <c r="E4565" i="1"/>
  <c r="E4566" i="1"/>
  <c r="E4567" i="1"/>
  <c r="E4568" i="1"/>
  <c r="E4569" i="1"/>
  <c r="E4570" i="1"/>
  <c r="E4571" i="1"/>
  <c r="E4572" i="1"/>
  <c r="E4573" i="1"/>
  <c r="E4574" i="1"/>
  <c r="E4575" i="1"/>
  <c r="E4576" i="1"/>
  <c r="E4577" i="1"/>
  <c r="E4578" i="1"/>
  <c r="E4579" i="1"/>
  <c r="E4580" i="1"/>
  <c r="E4581" i="1"/>
  <c r="E4582" i="1"/>
  <c r="E4583" i="1"/>
  <c r="E4584" i="1"/>
  <c r="E4585" i="1"/>
  <c r="E4586" i="1"/>
  <c r="E4587" i="1"/>
  <c r="E4588" i="1"/>
  <c r="E4589" i="1"/>
  <c r="E4590" i="1"/>
  <c r="E4591" i="1"/>
  <c r="E4592" i="1"/>
  <c r="E4593" i="1"/>
  <c r="E4594" i="1"/>
  <c r="E4595" i="1"/>
  <c r="E4596" i="1"/>
  <c r="E4597" i="1"/>
  <c r="E4598" i="1"/>
  <c r="E4599" i="1"/>
  <c r="E4600" i="1"/>
  <c r="E4601" i="1"/>
  <c r="E4602" i="1"/>
  <c r="E4603" i="1"/>
  <c r="E4604" i="1"/>
  <c r="E4605" i="1"/>
  <c r="E4606" i="1"/>
  <c r="E4607" i="1"/>
  <c r="E4608" i="1"/>
  <c r="E4609" i="1"/>
  <c r="E4610" i="1"/>
  <c r="E4611" i="1"/>
  <c r="E4612" i="1"/>
  <c r="E4613" i="1"/>
  <c r="E4614" i="1"/>
  <c r="E4615" i="1"/>
  <c r="E4616" i="1"/>
  <c r="E4617" i="1"/>
  <c r="E4618" i="1"/>
  <c r="E4619" i="1"/>
  <c r="E4620" i="1"/>
  <c r="E4621" i="1"/>
  <c r="E4622" i="1"/>
  <c r="E4623" i="1"/>
  <c r="E4624" i="1"/>
  <c r="E4625" i="1"/>
  <c r="E4626" i="1"/>
  <c r="E4627" i="1"/>
  <c r="E4628" i="1"/>
  <c r="E4629" i="1"/>
  <c r="E4630" i="1"/>
  <c r="E4631" i="1"/>
  <c r="E4632" i="1"/>
  <c r="E4633" i="1"/>
  <c r="E4634" i="1"/>
  <c r="E4635" i="1"/>
  <c r="E4636" i="1"/>
  <c r="E4637" i="1"/>
  <c r="E4638" i="1"/>
  <c r="E4639" i="1"/>
  <c r="E4640" i="1"/>
  <c r="E4641" i="1"/>
  <c r="E4642" i="1"/>
  <c r="E4643" i="1"/>
  <c r="E4644" i="1"/>
  <c r="E4645" i="1"/>
  <c r="E4646" i="1"/>
  <c r="E4647" i="1"/>
  <c r="E4648" i="1"/>
  <c r="E4649" i="1"/>
  <c r="E4650" i="1"/>
  <c r="E4651" i="1"/>
  <c r="E4652" i="1"/>
  <c r="E4653" i="1"/>
  <c r="E4654" i="1"/>
  <c r="E4655" i="1"/>
  <c r="E4656" i="1"/>
  <c r="E4657" i="1"/>
  <c r="E4658" i="1"/>
  <c r="E4659" i="1"/>
  <c r="E4660" i="1"/>
  <c r="E4661" i="1"/>
  <c r="E4662" i="1"/>
  <c r="E4663" i="1"/>
  <c r="E4664" i="1"/>
  <c r="E4665" i="1"/>
  <c r="E4666" i="1"/>
  <c r="E4667" i="1"/>
  <c r="E4668" i="1"/>
  <c r="E4669" i="1"/>
  <c r="E4670" i="1"/>
  <c r="E4671" i="1"/>
  <c r="E4672" i="1"/>
  <c r="E4673" i="1"/>
  <c r="E4674" i="1"/>
  <c r="E4675" i="1"/>
  <c r="E4676" i="1"/>
  <c r="E4677" i="1"/>
  <c r="E4678" i="1"/>
  <c r="E4679" i="1"/>
  <c r="E4680" i="1"/>
  <c r="E4681" i="1"/>
  <c r="E4682" i="1"/>
  <c r="E4683" i="1"/>
  <c r="E4684" i="1"/>
  <c r="E4685" i="1"/>
  <c r="E4686" i="1"/>
  <c r="E4687" i="1"/>
  <c r="E4688" i="1"/>
  <c r="E4689" i="1"/>
  <c r="E4690" i="1"/>
  <c r="E4691" i="1"/>
  <c r="E4692" i="1"/>
  <c r="E4693" i="1"/>
  <c r="E4694" i="1"/>
  <c r="E4695" i="1"/>
  <c r="E4696" i="1"/>
  <c r="E4697" i="1"/>
  <c r="E4698" i="1"/>
  <c r="E4699" i="1"/>
  <c r="E4700" i="1"/>
  <c r="E4701" i="1"/>
  <c r="E4702" i="1"/>
  <c r="E4703" i="1"/>
  <c r="E4704" i="1"/>
  <c r="E4705" i="1"/>
  <c r="E4706" i="1"/>
  <c r="E4707" i="1"/>
  <c r="E4708" i="1"/>
  <c r="E4709" i="1"/>
  <c r="E4710" i="1"/>
  <c r="E4711" i="1"/>
  <c r="E4712" i="1"/>
  <c r="E4713" i="1"/>
  <c r="E4714" i="1"/>
  <c r="E4715" i="1"/>
  <c r="E4716" i="1"/>
  <c r="E4717" i="1"/>
  <c r="E4718" i="1"/>
  <c r="E4719" i="1"/>
  <c r="E4720" i="1"/>
  <c r="E4721" i="1"/>
  <c r="E4722" i="1"/>
  <c r="E4723" i="1"/>
  <c r="E4724" i="1"/>
  <c r="E4725" i="1"/>
  <c r="E4726" i="1"/>
  <c r="E4727" i="1"/>
  <c r="E4728" i="1"/>
  <c r="E4729" i="1"/>
  <c r="E4730" i="1"/>
  <c r="E4731" i="1"/>
  <c r="E4732" i="1"/>
  <c r="E4733" i="1"/>
  <c r="E4734" i="1"/>
  <c r="E4735" i="1"/>
  <c r="E4736" i="1"/>
  <c r="E4737" i="1"/>
  <c r="E4738" i="1"/>
  <c r="E4739" i="1"/>
  <c r="E4740" i="1"/>
  <c r="E4741" i="1"/>
  <c r="E4742" i="1"/>
  <c r="E4743" i="1"/>
  <c r="E4744" i="1"/>
  <c r="E4745" i="1"/>
  <c r="E4746" i="1"/>
  <c r="E4747" i="1"/>
  <c r="E4748" i="1"/>
  <c r="E4749" i="1"/>
  <c r="E4750" i="1"/>
  <c r="E4751" i="1"/>
  <c r="E4752" i="1"/>
  <c r="E4753" i="1"/>
  <c r="E4754" i="1"/>
  <c r="E4755" i="1"/>
  <c r="E4756" i="1"/>
  <c r="E4757" i="1"/>
  <c r="E4758" i="1"/>
  <c r="E4759" i="1"/>
  <c r="E4760" i="1"/>
  <c r="E4761" i="1"/>
  <c r="E4762" i="1"/>
  <c r="E4763" i="1"/>
  <c r="E4764" i="1"/>
  <c r="E4765" i="1"/>
  <c r="E4766" i="1"/>
  <c r="E4767" i="1"/>
  <c r="E4768" i="1"/>
  <c r="E4769" i="1"/>
  <c r="E4770" i="1"/>
  <c r="E4771" i="1"/>
  <c r="E4772" i="1"/>
  <c r="E4773" i="1"/>
  <c r="E4774" i="1"/>
  <c r="E4775" i="1"/>
  <c r="E4776" i="1"/>
  <c r="E4777" i="1"/>
  <c r="E4778" i="1"/>
  <c r="E4779" i="1"/>
  <c r="E4780" i="1"/>
  <c r="E4781" i="1"/>
  <c r="E4782" i="1"/>
  <c r="E4783" i="1"/>
  <c r="E4784" i="1"/>
  <c r="E4785" i="1"/>
  <c r="E4786" i="1"/>
  <c r="E4787" i="1"/>
  <c r="E4788" i="1"/>
  <c r="E4789" i="1"/>
  <c r="E4790" i="1"/>
  <c r="E4791" i="1"/>
  <c r="E4792" i="1"/>
  <c r="E4793" i="1"/>
  <c r="E4794" i="1"/>
  <c r="E4795" i="1"/>
  <c r="E4796" i="1"/>
  <c r="E4797" i="1"/>
  <c r="E4798" i="1"/>
  <c r="E4799" i="1"/>
  <c r="E4800" i="1"/>
  <c r="E4801" i="1"/>
  <c r="E4802" i="1"/>
  <c r="E4803" i="1"/>
  <c r="E4804" i="1"/>
  <c r="E4805" i="1"/>
  <c r="E4806" i="1"/>
  <c r="E4807" i="1"/>
  <c r="E4808" i="1"/>
  <c r="E4809" i="1"/>
  <c r="E4810" i="1"/>
  <c r="E4811" i="1"/>
  <c r="E4812" i="1"/>
  <c r="E4813" i="1"/>
  <c r="E4814" i="1"/>
  <c r="E4815" i="1"/>
  <c r="E4816" i="1"/>
  <c r="E4817" i="1"/>
  <c r="E4818" i="1"/>
  <c r="E4819" i="1"/>
  <c r="E4820" i="1"/>
  <c r="E4821" i="1"/>
  <c r="E4822" i="1"/>
  <c r="E4823" i="1"/>
  <c r="E4824" i="1"/>
  <c r="E4825" i="1"/>
  <c r="E4826" i="1"/>
  <c r="E4827" i="1"/>
  <c r="E4828" i="1"/>
  <c r="E4829" i="1"/>
  <c r="E4830" i="1"/>
  <c r="E4831" i="1"/>
  <c r="E4832" i="1"/>
  <c r="E4833" i="1"/>
  <c r="E4834" i="1"/>
  <c r="E4835" i="1"/>
  <c r="E4836" i="1"/>
  <c r="E4837" i="1"/>
  <c r="E4838" i="1"/>
  <c r="E4839" i="1"/>
  <c r="E4840" i="1"/>
  <c r="E4841" i="1"/>
  <c r="E4842" i="1"/>
  <c r="E4843" i="1"/>
  <c r="E4844" i="1"/>
  <c r="E4845" i="1"/>
  <c r="E4846" i="1"/>
  <c r="E4847" i="1"/>
  <c r="E4848" i="1"/>
  <c r="E4849" i="1"/>
  <c r="E4850" i="1"/>
  <c r="E4851" i="1"/>
  <c r="E4852" i="1"/>
  <c r="E4853" i="1"/>
  <c r="E4854" i="1"/>
  <c r="E4855" i="1"/>
  <c r="E4856" i="1"/>
  <c r="E4857" i="1"/>
  <c r="E4858" i="1"/>
  <c r="E4859" i="1"/>
  <c r="E4860" i="1"/>
  <c r="E4861" i="1"/>
  <c r="E4862" i="1"/>
  <c r="E4863" i="1"/>
  <c r="E4864" i="1"/>
  <c r="E4865" i="1"/>
  <c r="E4866" i="1"/>
  <c r="E4867" i="1"/>
  <c r="E4868" i="1"/>
  <c r="E4869" i="1"/>
  <c r="E4870" i="1"/>
  <c r="E4871" i="1"/>
  <c r="E4872" i="1"/>
  <c r="E4873" i="1"/>
  <c r="E4874" i="1"/>
  <c r="E4875" i="1"/>
  <c r="E4876" i="1"/>
  <c r="E4877" i="1"/>
  <c r="E4878" i="1"/>
  <c r="E4879" i="1"/>
  <c r="E4880" i="1"/>
  <c r="E4881" i="1"/>
  <c r="E4882" i="1"/>
  <c r="E4883" i="1"/>
  <c r="E4884" i="1"/>
  <c r="E4885" i="1"/>
  <c r="E4886" i="1"/>
  <c r="E4887" i="1"/>
  <c r="E4888" i="1"/>
  <c r="E4889" i="1"/>
  <c r="E4890" i="1"/>
  <c r="E4891" i="1"/>
  <c r="E4892" i="1"/>
  <c r="E4893" i="1"/>
  <c r="E4894" i="1"/>
  <c r="E4895" i="1"/>
  <c r="E4896" i="1"/>
  <c r="E4897" i="1"/>
  <c r="E4898" i="1"/>
  <c r="E4899" i="1"/>
  <c r="E4900" i="1"/>
  <c r="E4901" i="1"/>
  <c r="E4902" i="1"/>
  <c r="E4903" i="1"/>
  <c r="E4904" i="1"/>
  <c r="E4905" i="1"/>
  <c r="E4906" i="1"/>
  <c r="E4907" i="1"/>
  <c r="E4908" i="1"/>
  <c r="E4909" i="1"/>
  <c r="E4910" i="1"/>
  <c r="E4911" i="1"/>
  <c r="E4912" i="1"/>
  <c r="E4913" i="1"/>
  <c r="E4914" i="1"/>
  <c r="E4915" i="1"/>
  <c r="E4916" i="1"/>
  <c r="E4917" i="1"/>
  <c r="E4918" i="1"/>
  <c r="E4919" i="1"/>
  <c r="E4920" i="1"/>
  <c r="E4921" i="1"/>
  <c r="E4922" i="1"/>
  <c r="E4923" i="1"/>
  <c r="E4924" i="1"/>
  <c r="E4925" i="1"/>
  <c r="E4926" i="1"/>
  <c r="E4927" i="1"/>
  <c r="E4928" i="1"/>
  <c r="E4929" i="1"/>
  <c r="E4930" i="1"/>
  <c r="E4931" i="1"/>
  <c r="E4932" i="1"/>
  <c r="E4933" i="1"/>
  <c r="E4934" i="1"/>
  <c r="E4935" i="1"/>
  <c r="E4936" i="1"/>
  <c r="E4937" i="1"/>
  <c r="E4938" i="1"/>
  <c r="E4939" i="1"/>
  <c r="E4940" i="1"/>
  <c r="E4941" i="1"/>
  <c r="E4942" i="1"/>
  <c r="E4943" i="1"/>
  <c r="E4944" i="1"/>
  <c r="E4945" i="1"/>
  <c r="E4946" i="1"/>
  <c r="E4947" i="1"/>
  <c r="E4948" i="1"/>
  <c r="E4949" i="1"/>
  <c r="E4950" i="1"/>
  <c r="E4951" i="1"/>
  <c r="E4952" i="1"/>
  <c r="E4953" i="1"/>
  <c r="E4954" i="1"/>
  <c r="E4955" i="1"/>
  <c r="E4956" i="1"/>
  <c r="E4957" i="1"/>
  <c r="E4958" i="1"/>
  <c r="E4959" i="1"/>
  <c r="E4960" i="1"/>
  <c r="E4961" i="1"/>
  <c r="E4962" i="1"/>
  <c r="E4963" i="1"/>
  <c r="E4964" i="1"/>
  <c r="E4965" i="1"/>
  <c r="E4966" i="1"/>
  <c r="E4967" i="1"/>
  <c r="E4968" i="1"/>
  <c r="E4969" i="1"/>
  <c r="E4970" i="1"/>
  <c r="E4971" i="1"/>
  <c r="E4972" i="1"/>
  <c r="E4973" i="1"/>
  <c r="E4974" i="1"/>
  <c r="E4975" i="1"/>
  <c r="E4976" i="1"/>
  <c r="E4977" i="1"/>
  <c r="E4978" i="1"/>
  <c r="E4979" i="1"/>
  <c r="E4980" i="1"/>
  <c r="E4981" i="1"/>
  <c r="E4982" i="1"/>
  <c r="E4983" i="1"/>
  <c r="E4984" i="1"/>
  <c r="E4985" i="1"/>
  <c r="E4986" i="1"/>
  <c r="E4987" i="1"/>
  <c r="E4988" i="1"/>
  <c r="E4989" i="1"/>
  <c r="E4990" i="1"/>
  <c r="E4991" i="1"/>
  <c r="E4992" i="1"/>
  <c r="E4993" i="1"/>
  <c r="E4994" i="1"/>
  <c r="E4995" i="1"/>
  <c r="E4996" i="1"/>
  <c r="E4997" i="1"/>
  <c r="E4998" i="1"/>
  <c r="E4999" i="1"/>
  <c r="E5000" i="1"/>
  <c r="E5001" i="1"/>
  <c r="E5002" i="1"/>
  <c r="E5003" i="1"/>
  <c r="E5004" i="1"/>
  <c r="E5005" i="1"/>
  <c r="E5006" i="1"/>
  <c r="E5007" i="1"/>
  <c r="E5008" i="1"/>
  <c r="E5009" i="1"/>
  <c r="E5010" i="1"/>
  <c r="E5011" i="1"/>
  <c r="E5012" i="1"/>
  <c r="E5013" i="1"/>
  <c r="E5014" i="1"/>
  <c r="E5015" i="1"/>
  <c r="E5016" i="1"/>
  <c r="E5017" i="1"/>
  <c r="E5018" i="1"/>
  <c r="E5019" i="1"/>
  <c r="E5020" i="1"/>
  <c r="E5021" i="1"/>
  <c r="E5022" i="1"/>
  <c r="E5023" i="1"/>
  <c r="E5024" i="1"/>
  <c r="E5025" i="1"/>
  <c r="E5026" i="1"/>
  <c r="E5027" i="1"/>
  <c r="E5028" i="1"/>
  <c r="E5029" i="1"/>
  <c r="E5030" i="1"/>
  <c r="E5031" i="1"/>
  <c r="E5032" i="1"/>
  <c r="E5033" i="1"/>
  <c r="E5034" i="1"/>
  <c r="E5035" i="1"/>
  <c r="E5036" i="1"/>
  <c r="E5037" i="1"/>
  <c r="E5038" i="1"/>
  <c r="E5039" i="1"/>
  <c r="E5040" i="1"/>
  <c r="E5041" i="1"/>
  <c r="E5042" i="1"/>
  <c r="E5043" i="1"/>
  <c r="E5044" i="1"/>
  <c r="E5045" i="1"/>
  <c r="E5046" i="1"/>
  <c r="E5047" i="1"/>
  <c r="E5048" i="1"/>
  <c r="E5049" i="1"/>
  <c r="E5050" i="1"/>
  <c r="E5051" i="1"/>
  <c r="E5052" i="1"/>
  <c r="E5053" i="1"/>
  <c r="E5054" i="1"/>
  <c r="E5055" i="1"/>
  <c r="E5056" i="1"/>
  <c r="E5057" i="1"/>
  <c r="E5058" i="1"/>
  <c r="E5059" i="1"/>
  <c r="E5060" i="1"/>
  <c r="E5061" i="1"/>
  <c r="E5062" i="1"/>
  <c r="E5063" i="1"/>
  <c r="E5064" i="1"/>
  <c r="E5065" i="1"/>
  <c r="E5066" i="1"/>
  <c r="E5067" i="1"/>
  <c r="E5068" i="1"/>
  <c r="E5069" i="1"/>
  <c r="E5070" i="1"/>
  <c r="E5071" i="1"/>
  <c r="E5072" i="1"/>
  <c r="E5073" i="1"/>
  <c r="E5074" i="1"/>
  <c r="E5075" i="1"/>
  <c r="E5076" i="1"/>
  <c r="E5077" i="1"/>
  <c r="E5078" i="1"/>
  <c r="E5079" i="1"/>
  <c r="E5080" i="1"/>
  <c r="E5081" i="1"/>
  <c r="E5082" i="1"/>
  <c r="E5083" i="1"/>
  <c r="E5084" i="1"/>
  <c r="E5085" i="1"/>
  <c r="E5086" i="1"/>
  <c r="E5087" i="1"/>
  <c r="E5088" i="1"/>
  <c r="E5089" i="1"/>
  <c r="E5090" i="1"/>
  <c r="E5091" i="1"/>
  <c r="E5092" i="1"/>
  <c r="E5093" i="1"/>
  <c r="E5094" i="1"/>
  <c r="E5095" i="1"/>
  <c r="E5096" i="1"/>
  <c r="E5097" i="1"/>
  <c r="E5098" i="1"/>
  <c r="E5099" i="1"/>
  <c r="E5100" i="1"/>
  <c r="E5101" i="1"/>
  <c r="E5102" i="1"/>
  <c r="E5103" i="1"/>
  <c r="E5104" i="1"/>
  <c r="E5105" i="1"/>
  <c r="E5106" i="1"/>
  <c r="E5107" i="1"/>
  <c r="E5108" i="1"/>
  <c r="E5109" i="1"/>
  <c r="E5110" i="1"/>
  <c r="E5111" i="1"/>
  <c r="E5112" i="1"/>
  <c r="E5113" i="1"/>
  <c r="E5114" i="1"/>
  <c r="E5115" i="1"/>
  <c r="E5116" i="1"/>
  <c r="E5117" i="1"/>
  <c r="E5118" i="1"/>
  <c r="E5119" i="1"/>
  <c r="E5120" i="1"/>
  <c r="E5121" i="1"/>
  <c r="E5122" i="1"/>
  <c r="E5123" i="1"/>
  <c r="E5124" i="1"/>
  <c r="E5125" i="1"/>
  <c r="E5126" i="1"/>
  <c r="E5127" i="1"/>
  <c r="E5128" i="1"/>
  <c r="E5129" i="1"/>
  <c r="E5130" i="1"/>
  <c r="E5131" i="1"/>
  <c r="E5132" i="1"/>
  <c r="E5133" i="1"/>
  <c r="E5134" i="1"/>
  <c r="E5135" i="1"/>
  <c r="E5136" i="1"/>
  <c r="E5137" i="1"/>
  <c r="E5138" i="1"/>
  <c r="E5139" i="1"/>
  <c r="E5140" i="1"/>
  <c r="E5141" i="1"/>
  <c r="E5142" i="1"/>
  <c r="E5143" i="1"/>
  <c r="E5144" i="1"/>
  <c r="E5145" i="1"/>
  <c r="E5146" i="1"/>
  <c r="E5147" i="1"/>
  <c r="E5148" i="1"/>
  <c r="E5149" i="1"/>
  <c r="E5150" i="1"/>
  <c r="E5151" i="1"/>
  <c r="E5152" i="1"/>
  <c r="E5153" i="1"/>
  <c r="E5154" i="1"/>
  <c r="E5155" i="1"/>
  <c r="E5156" i="1"/>
  <c r="E5157" i="1"/>
  <c r="E5158" i="1"/>
  <c r="E5159" i="1"/>
  <c r="E5160" i="1"/>
  <c r="E5161" i="1"/>
  <c r="E5162" i="1"/>
  <c r="E5163" i="1"/>
  <c r="E5164" i="1"/>
  <c r="E5165" i="1"/>
  <c r="E5166" i="1"/>
  <c r="E5167" i="1"/>
  <c r="E5168" i="1"/>
  <c r="E5169" i="1"/>
  <c r="E5170" i="1"/>
  <c r="E5171" i="1"/>
  <c r="E5172" i="1"/>
  <c r="E5173" i="1"/>
  <c r="E5174" i="1"/>
  <c r="E5175" i="1"/>
  <c r="E5176" i="1"/>
  <c r="E5177" i="1"/>
  <c r="E5178" i="1"/>
  <c r="E5179" i="1"/>
  <c r="E5180" i="1"/>
  <c r="E5181" i="1"/>
  <c r="E5182" i="1"/>
  <c r="E5183" i="1"/>
  <c r="E5184" i="1"/>
  <c r="E5185" i="1"/>
  <c r="E5186" i="1"/>
  <c r="E5187" i="1"/>
  <c r="E5188" i="1"/>
  <c r="E5189" i="1"/>
  <c r="E5190" i="1"/>
  <c r="E5191" i="1"/>
  <c r="E5192" i="1"/>
  <c r="E5193" i="1"/>
  <c r="E5194" i="1"/>
  <c r="E5195" i="1"/>
  <c r="E5196" i="1"/>
  <c r="E5197" i="1"/>
  <c r="E5198" i="1"/>
  <c r="E5199" i="1"/>
  <c r="E5200" i="1"/>
  <c r="E5201" i="1"/>
  <c r="E5202" i="1"/>
  <c r="E5203" i="1"/>
  <c r="E5204" i="1"/>
  <c r="E5205" i="1"/>
  <c r="E5206" i="1"/>
  <c r="E5207" i="1"/>
  <c r="E5208" i="1"/>
  <c r="E5209" i="1"/>
  <c r="E5210" i="1"/>
  <c r="E5211" i="1"/>
  <c r="E5212" i="1"/>
  <c r="E5213" i="1"/>
  <c r="E5214" i="1"/>
  <c r="E5215" i="1"/>
  <c r="E5216" i="1"/>
  <c r="E5217" i="1"/>
  <c r="E5218" i="1"/>
  <c r="E5219" i="1"/>
  <c r="E5220" i="1"/>
  <c r="E5221" i="1"/>
  <c r="E5222" i="1"/>
  <c r="E5223" i="1"/>
  <c r="E5224" i="1"/>
  <c r="E5225" i="1"/>
  <c r="E5226" i="1"/>
  <c r="E5227" i="1"/>
  <c r="E5228" i="1"/>
  <c r="E5229" i="1"/>
  <c r="E5230" i="1"/>
  <c r="E5231" i="1"/>
  <c r="E5232" i="1"/>
  <c r="E5233" i="1"/>
  <c r="E5234" i="1"/>
  <c r="E5235" i="1"/>
  <c r="E5236" i="1"/>
  <c r="E5237" i="1"/>
  <c r="E5238" i="1"/>
  <c r="E5239" i="1"/>
  <c r="E5240" i="1"/>
  <c r="E5241" i="1"/>
  <c r="E5242" i="1"/>
  <c r="E5243" i="1"/>
  <c r="E5244" i="1"/>
  <c r="E5245" i="1"/>
  <c r="E5246" i="1"/>
  <c r="E5247" i="1"/>
  <c r="E5248" i="1"/>
  <c r="E5249" i="1"/>
  <c r="E5250" i="1"/>
  <c r="E5251" i="1"/>
  <c r="E5252" i="1"/>
  <c r="E5253" i="1"/>
  <c r="E5254" i="1"/>
  <c r="E5255" i="1"/>
  <c r="E5256" i="1"/>
  <c r="E5257" i="1"/>
  <c r="E5258" i="1"/>
  <c r="E5259" i="1"/>
  <c r="E5260" i="1"/>
  <c r="E5261" i="1"/>
  <c r="E5262" i="1"/>
  <c r="E5263" i="1"/>
  <c r="E5264" i="1"/>
  <c r="E5265" i="1"/>
  <c r="E5266" i="1"/>
  <c r="E5267" i="1"/>
  <c r="E5268" i="1"/>
  <c r="E5269" i="1"/>
  <c r="E5270" i="1"/>
  <c r="E5271" i="1"/>
  <c r="E5272" i="1"/>
  <c r="E5273" i="1"/>
  <c r="E5274" i="1"/>
  <c r="E5275" i="1"/>
  <c r="E5276" i="1"/>
  <c r="E5277" i="1"/>
  <c r="E5278" i="1"/>
  <c r="E5279" i="1"/>
  <c r="E5280" i="1"/>
  <c r="E5281" i="1"/>
  <c r="E5282" i="1"/>
  <c r="E5283" i="1"/>
  <c r="E5284" i="1"/>
  <c r="E5285" i="1"/>
  <c r="E5286" i="1"/>
  <c r="E5287" i="1"/>
  <c r="E5288" i="1"/>
  <c r="E5289" i="1"/>
  <c r="E5290" i="1"/>
  <c r="E5291" i="1"/>
  <c r="E5292" i="1"/>
  <c r="E5293" i="1"/>
  <c r="E5294" i="1"/>
  <c r="E5295" i="1"/>
  <c r="E5296" i="1"/>
  <c r="E5297" i="1"/>
  <c r="E5298" i="1"/>
  <c r="E5299" i="1"/>
  <c r="E5300" i="1"/>
  <c r="E5301" i="1"/>
  <c r="E5302" i="1"/>
  <c r="E5303" i="1"/>
  <c r="E5304" i="1"/>
  <c r="E5305" i="1"/>
  <c r="E5306" i="1"/>
  <c r="E5307" i="1"/>
  <c r="E5308" i="1"/>
  <c r="E5309" i="1"/>
  <c r="E5310" i="1"/>
  <c r="E5311" i="1"/>
  <c r="E5312" i="1"/>
  <c r="E5313" i="1"/>
  <c r="E5314" i="1"/>
  <c r="E5315" i="1"/>
  <c r="E5316" i="1"/>
  <c r="E5317" i="1"/>
  <c r="E5318" i="1"/>
  <c r="E5319" i="1"/>
  <c r="E5320" i="1"/>
  <c r="E5321" i="1"/>
  <c r="E5322" i="1"/>
  <c r="E5323" i="1"/>
  <c r="E5324" i="1"/>
  <c r="E5325" i="1"/>
  <c r="E5326" i="1"/>
  <c r="E5327" i="1"/>
  <c r="E5328" i="1"/>
  <c r="E5329" i="1"/>
  <c r="E5330" i="1"/>
  <c r="E5331" i="1"/>
  <c r="E5332" i="1"/>
  <c r="E5333" i="1"/>
  <c r="E5334" i="1"/>
  <c r="E5335" i="1"/>
  <c r="E5336" i="1"/>
  <c r="E5337" i="1"/>
  <c r="E5338" i="1"/>
  <c r="E5339" i="1"/>
  <c r="E5340" i="1"/>
  <c r="E5341" i="1"/>
  <c r="E5342" i="1"/>
  <c r="E5343" i="1"/>
  <c r="E5344" i="1"/>
  <c r="E5345" i="1"/>
  <c r="E5346" i="1"/>
  <c r="E5347" i="1"/>
  <c r="E5348" i="1"/>
  <c r="E5349" i="1"/>
  <c r="E5350" i="1"/>
  <c r="E5351" i="1"/>
  <c r="E5352" i="1"/>
  <c r="E5353" i="1"/>
  <c r="E5354" i="1"/>
  <c r="E5355" i="1"/>
  <c r="E5356" i="1"/>
  <c r="E5357" i="1"/>
  <c r="E5358" i="1"/>
  <c r="E5359" i="1"/>
  <c r="E5360" i="1"/>
  <c r="E5361" i="1"/>
  <c r="E5362" i="1"/>
  <c r="E5363" i="1"/>
  <c r="E5364" i="1"/>
  <c r="E5365" i="1"/>
  <c r="E5366" i="1"/>
  <c r="E5367" i="1"/>
  <c r="E5368" i="1"/>
  <c r="E5369" i="1"/>
  <c r="E5370" i="1"/>
  <c r="E5371" i="1"/>
  <c r="E5372" i="1"/>
  <c r="E5373" i="1"/>
  <c r="E5374" i="1"/>
  <c r="E5375" i="1"/>
  <c r="E5376" i="1"/>
  <c r="E5377" i="1"/>
  <c r="E5378" i="1"/>
  <c r="E5379" i="1"/>
  <c r="E5380" i="1"/>
  <c r="E5381" i="1"/>
  <c r="E5382" i="1"/>
  <c r="E5383" i="1"/>
  <c r="E5384" i="1"/>
  <c r="E5385" i="1"/>
  <c r="E5386" i="1"/>
  <c r="E5387" i="1"/>
  <c r="E5388" i="1"/>
  <c r="E5389" i="1"/>
  <c r="E5390" i="1"/>
  <c r="E5391" i="1"/>
  <c r="E5392" i="1"/>
  <c r="E5393" i="1"/>
  <c r="E5394" i="1"/>
  <c r="E5395" i="1"/>
  <c r="E5396" i="1"/>
  <c r="E5397" i="1"/>
  <c r="E5398" i="1"/>
  <c r="E5399" i="1"/>
  <c r="E5400" i="1"/>
  <c r="E5401" i="1"/>
  <c r="E5402" i="1"/>
  <c r="E5403" i="1"/>
  <c r="E5404" i="1"/>
  <c r="E5405" i="1"/>
  <c r="E5406" i="1"/>
  <c r="E5407" i="1"/>
  <c r="E5408" i="1"/>
  <c r="E5409" i="1"/>
  <c r="E5410" i="1"/>
  <c r="E5411" i="1"/>
  <c r="E5412" i="1"/>
  <c r="E5413" i="1"/>
  <c r="E5414" i="1"/>
  <c r="E5415" i="1"/>
  <c r="E5416" i="1"/>
  <c r="E5417" i="1"/>
  <c r="E5418" i="1"/>
  <c r="E5419" i="1"/>
  <c r="E5420" i="1"/>
  <c r="E5421" i="1"/>
  <c r="E5422" i="1"/>
  <c r="E5423" i="1"/>
  <c r="E5424" i="1"/>
  <c r="E5425" i="1"/>
  <c r="E5426" i="1"/>
  <c r="E5427" i="1"/>
  <c r="E5428" i="1"/>
  <c r="E5429" i="1"/>
  <c r="E5430" i="1"/>
  <c r="E5431" i="1"/>
  <c r="E5432" i="1"/>
  <c r="E5433" i="1"/>
  <c r="E5434" i="1"/>
  <c r="E5435" i="1"/>
  <c r="E5436" i="1"/>
  <c r="E5437" i="1"/>
  <c r="E5438" i="1"/>
  <c r="E5439" i="1"/>
  <c r="E5440" i="1"/>
  <c r="E5441" i="1"/>
  <c r="E5442" i="1"/>
  <c r="E5443" i="1"/>
  <c r="E5444" i="1"/>
  <c r="E5445" i="1"/>
  <c r="E5446" i="1"/>
  <c r="E5447" i="1"/>
  <c r="E5448" i="1"/>
  <c r="E5449" i="1"/>
  <c r="E5450" i="1"/>
  <c r="E5451" i="1"/>
  <c r="E5452" i="1"/>
  <c r="E5453" i="1"/>
  <c r="E5454" i="1"/>
  <c r="E5455" i="1"/>
  <c r="E5456" i="1"/>
  <c r="E5457" i="1"/>
  <c r="E5458" i="1"/>
  <c r="E5459" i="1"/>
  <c r="E5460" i="1"/>
  <c r="E5461" i="1"/>
  <c r="E5462" i="1"/>
  <c r="E5463" i="1"/>
  <c r="E5464" i="1"/>
  <c r="E5465" i="1"/>
  <c r="E5466" i="1"/>
  <c r="E5467" i="1"/>
  <c r="E5468" i="1"/>
  <c r="E5469" i="1"/>
  <c r="E5470" i="1"/>
  <c r="E5471" i="1"/>
  <c r="E5472" i="1"/>
  <c r="E5473" i="1"/>
  <c r="E5474" i="1"/>
  <c r="E5475" i="1"/>
  <c r="E5476" i="1"/>
  <c r="E5477" i="1"/>
  <c r="E5478" i="1"/>
  <c r="E5479" i="1"/>
  <c r="E5480" i="1"/>
  <c r="E5481" i="1"/>
  <c r="E5482" i="1"/>
  <c r="E5483" i="1"/>
  <c r="E5484" i="1"/>
  <c r="E5485" i="1"/>
  <c r="E5486" i="1"/>
  <c r="E5487" i="1"/>
  <c r="E5488" i="1"/>
  <c r="E5489" i="1"/>
  <c r="E5490" i="1"/>
  <c r="E5491" i="1"/>
  <c r="E5492" i="1"/>
  <c r="E5493" i="1"/>
  <c r="E5494" i="1"/>
  <c r="E5495" i="1"/>
  <c r="E5496" i="1"/>
  <c r="E5497" i="1"/>
  <c r="E5498" i="1"/>
  <c r="E5499" i="1"/>
  <c r="E5500" i="1"/>
  <c r="E5501" i="1"/>
  <c r="E5502" i="1"/>
  <c r="E5503" i="1"/>
  <c r="E5504" i="1"/>
  <c r="E5505" i="1"/>
  <c r="E5506" i="1"/>
  <c r="E5507" i="1"/>
  <c r="E5508" i="1"/>
  <c r="E5509" i="1"/>
  <c r="E5510" i="1"/>
  <c r="E5511" i="1"/>
  <c r="E5512" i="1"/>
  <c r="E5513" i="1"/>
  <c r="E5514" i="1"/>
  <c r="E5515" i="1"/>
  <c r="E5516" i="1"/>
  <c r="E5517" i="1"/>
  <c r="E5518" i="1"/>
  <c r="E5519" i="1"/>
  <c r="E5520" i="1"/>
  <c r="E5521" i="1"/>
  <c r="E5522" i="1"/>
  <c r="E5523" i="1"/>
  <c r="E5524" i="1"/>
  <c r="E5525" i="1"/>
  <c r="E5526" i="1"/>
  <c r="E5527" i="1"/>
  <c r="E5528" i="1"/>
  <c r="E5529" i="1"/>
  <c r="E5530" i="1"/>
  <c r="E5531" i="1"/>
  <c r="E5532" i="1"/>
  <c r="E5533" i="1"/>
  <c r="E5534" i="1"/>
  <c r="E5535" i="1"/>
  <c r="E5536" i="1"/>
  <c r="E5537" i="1"/>
  <c r="E5538" i="1"/>
  <c r="E5539" i="1"/>
  <c r="E5540" i="1"/>
  <c r="E5541" i="1"/>
  <c r="E5542" i="1"/>
  <c r="E5543" i="1"/>
  <c r="E5544" i="1"/>
  <c r="E5545" i="1"/>
  <c r="E5546" i="1"/>
  <c r="E5547" i="1"/>
  <c r="E5548" i="1"/>
  <c r="E5549" i="1"/>
  <c r="E5550" i="1"/>
  <c r="E5551" i="1"/>
  <c r="E5552" i="1"/>
  <c r="E5553" i="1"/>
  <c r="E5554" i="1"/>
  <c r="E5555" i="1"/>
  <c r="E5556" i="1"/>
  <c r="E5557" i="1"/>
  <c r="E5558" i="1"/>
  <c r="E5559" i="1"/>
  <c r="E5560" i="1"/>
  <c r="E5561" i="1"/>
  <c r="E5562" i="1"/>
  <c r="E5563" i="1"/>
  <c r="E5564" i="1"/>
  <c r="E5565" i="1"/>
  <c r="E5566" i="1"/>
  <c r="E5567" i="1"/>
  <c r="E5568" i="1"/>
  <c r="E5569" i="1"/>
  <c r="E5570" i="1"/>
  <c r="E5571" i="1"/>
  <c r="E5572" i="1"/>
  <c r="E5573" i="1"/>
  <c r="E5574" i="1"/>
  <c r="E5575" i="1"/>
  <c r="E5576" i="1"/>
  <c r="E5577" i="1"/>
  <c r="E5578" i="1"/>
  <c r="E5579" i="1"/>
  <c r="E5580" i="1"/>
  <c r="E5581" i="1"/>
  <c r="E5582" i="1"/>
  <c r="E5583" i="1"/>
  <c r="E5584" i="1"/>
  <c r="E5585" i="1"/>
  <c r="E5586" i="1"/>
  <c r="E5587" i="1"/>
  <c r="E5588" i="1"/>
  <c r="E5589" i="1"/>
  <c r="E5590" i="1"/>
  <c r="E5591" i="1"/>
  <c r="E5592" i="1"/>
  <c r="E5593" i="1"/>
  <c r="E5594" i="1"/>
  <c r="E5595" i="1"/>
  <c r="E5596" i="1"/>
  <c r="E5597" i="1"/>
  <c r="E5598" i="1"/>
  <c r="E5599" i="1"/>
  <c r="E5600" i="1"/>
  <c r="E5601" i="1"/>
  <c r="E5602" i="1"/>
  <c r="E5603" i="1"/>
  <c r="E5604" i="1"/>
  <c r="E5605" i="1"/>
  <c r="E5606" i="1"/>
  <c r="E5607" i="1"/>
  <c r="E5608" i="1"/>
  <c r="E5609" i="1"/>
  <c r="E5610" i="1"/>
  <c r="E5611" i="1"/>
  <c r="E5612" i="1"/>
  <c r="E5613" i="1"/>
  <c r="E5614" i="1"/>
  <c r="E5615" i="1"/>
  <c r="E5616" i="1"/>
  <c r="E5617" i="1"/>
  <c r="E5618" i="1"/>
  <c r="E5619" i="1"/>
  <c r="E5620" i="1"/>
  <c r="E5621" i="1"/>
  <c r="E5622" i="1"/>
  <c r="E5623" i="1"/>
  <c r="E5624" i="1"/>
  <c r="E5625" i="1"/>
  <c r="E5626" i="1"/>
  <c r="E5627" i="1"/>
  <c r="E5628" i="1"/>
  <c r="E5629" i="1"/>
  <c r="E5630" i="1"/>
  <c r="E5631" i="1"/>
  <c r="E5632" i="1"/>
  <c r="E5633" i="1"/>
  <c r="E5634" i="1"/>
  <c r="E5635" i="1"/>
  <c r="E5636" i="1"/>
  <c r="E5637" i="1"/>
  <c r="E5638" i="1"/>
  <c r="E5639" i="1"/>
  <c r="E5640" i="1"/>
  <c r="E5641" i="1"/>
  <c r="E5642" i="1"/>
  <c r="E5643" i="1"/>
  <c r="E5644" i="1"/>
  <c r="E5645" i="1"/>
  <c r="E5646" i="1"/>
  <c r="E5647" i="1"/>
  <c r="E5648" i="1"/>
  <c r="E5649" i="1"/>
  <c r="E5650" i="1"/>
  <c r="E5651" i="1"/>
  <c r="E5652" i="1"/>
  <c r="E5653" i="1"/>
  <c r="E5654" i="1"/>
  <c r="E5655" i="1"/>
  <c r="E5656" i="1"/>
  <c r="E5657" i="1"/>
  <c r="E5658" i="1"/>
  <c r="E5659" i="1"/>
  <c r="E5660" i="1"/>
  <c r="E5661" i="1"/>
  <c r="E5662" i="1"/>
  <c r="E5663" i="1"/>
  <c r="E5664" i="1"/>
  <c r="E5665" i="1"/>
  <c r="E5666" i="1"/>
  <c r="E5667" i="1"/>
  <c r="E5668" i="1"/>
  <c r="E5669" i="1"/>
  <c r="E5670" i="1"/>
  <c r="E5671" i="1"/>
  <c r="E5672" i="1"/>
  <c r="E5673" i="1"/>
  <c r="E5674" i="1"/>
  <c r="E5675" i="1"/>
  <c r="E5676" i="1"/>
  <c r="E5677" i="1"/>
  <c r="E5678" i="1"/>
  <c r="E5679" i="1"/>
  <c r="E5680" i="1"/>
  <c r="E5681" i="1"/>
  <c r="E5682" i="1"/>
  <c r="E5683" i="1"/>
  <c r="E5684" i="1"/>
  <c r="E5685" i="1"/>
  <c r="E5686" i="1"/>
  <c r="E5687" i="1"/>
  <c r="E5688" i="1"/>
  <c r="E5689" i="1"/>
  <c r="E5690" i="1"/>
  <c r="E5691" i="1"/>
  <c r="E5692" i="1"/>
  <c r="E5693" i="1"/>
  <c r="E5694" i="1"/>
  <c r="E5695" i="1"/>
  <c r="E5696" i="1"/>
  <c r="E5697" i="1"/>
  <c r="E5698" i="1"/>
  <c r="E5699" i="1"/>
  <c r="E5700" i="1"/>
  <c r="E5701" i="1"/>
  <c r="E5702" i="1"/>
  <c r="E5703" i="1"/>
  <c r="E5704" i="1"/>
  <c r="E5705" i="1"/>
  <c r="E5706" i="1"/>
  <c r="E5707" i="1"/>
  <c r="E5708" i="1"/>
  <c r="E5709" i="1"/>
  <c r="E5710" i="1"/>
  <c r="E5711" i="1"/>
  <c r="E5712" i="1"/>
  <c r="E5713" i="1"/>
  <c r="E5714" i="1"/>
  <c r="E5715" i="1"/>
  <c r="E5716" i="1"/>
  <c r="E5717" i="1"/>
  <c r="E5718" i="1"/>
  <c r="E5719" i="1"/>
  <c r="E5720" i="1"/>
  <c r="E5721" i="1"/>
  <c r="E5722" i="1"/>
  <c r="E5723" i="1"/>
  <c r="E5724" i="1"/>
  <c r="E5725" i="1"/>
  <c r="E5726" i="1"/>
  <c r="E5727" i="1"/>
  <c r="E5728" i="1"/>
  <c r="E5729" i="1"/>
  <c r="E5730" i="1"/>
  <c r="E5731" i="1"/>
  <c r="E5732" i="1"/>
  <c r="E5733" i="1"/>
  <c r="E5734" i="1"/>
  <c r="E5735" i="1"/>
  <c r="E5736" i="1"/>
  <c r="E5737" i="1"/>
  <c r="E5738" i="1"/>
  <c r="E5739" i="1"/>
  <c r="E5740" i="1"/>
  <c r="E5741" i="1"/>
  <c r="E5742" i="1"/>
  <c r="E5743" i="1"/>
  <c r="E5744" i="1"/>
  <c r="E5745" i="1"/>
  <c r="E5746" i="1"/>
  <c r="E5747" i="1"/>
  <c r="E5748" i="1"/>
  <c r="E5749" i="1"/>
  <c r="E5750" i="1"/>
  <c r="E5751" i="1"/>
  <c r="E5752" i="1"/>
  <c r="E5753" i="1"/>
  <c r="E5754" i="1"/>
  <c r="E5755" i="1"/>
  <c r="E5756" i="1"/>
  <c r="E5757" i="1"/>
  <c r="E5758" i="1"/>
  <c r="E5759" i="1"/>
  <c r="E5760" i="1"/>
  <c r="E5761" i="1"/>
  <c r="E5762" i="1"/>
  <c r="E5763" i="1"/>
  <c r="E5764" i="1"/>
  <c r="E5765" i="1"/>
  <c r="E5766" i="1"/>
  <c r="E5767" i="1"/>
  <c r="E5768" i="1"/>
  <c r="E5769" i="1"/>
  <c r="E5770" i="1"/>
  <c r="E5771" i="1"/>
  <c r="E5772" i="1"/>
  <c r="E5773" i="1"/>
  <c r="E5774" i="1"/>
  <c r="E5775" i="1"/>
  <c r="E5776" i="1"/>
  <c r="E5777" i="1"/>
  <c r="E5778" i="1"/>
  <c r="E5779" i="1"/>
  <c r="E5780" i="1"/>
  <c r="E5781" i="1"/>
  <c r="E5782" i="1"/>
  <c r="E5783" i="1"/>
  <c r="E5784" i="1"/>
  <c r="E5785" i="1"/>
  <c r="E5786" i="1"/>
  <c r="E5787" i="1"/>
  <c r="E5788" i="1"/>
  <c r="E5789" i="1"/>
  <c r="E5790" i="1"/>
  <c r="E5791" i="1"/>
  <c r="E5792" i="1"/>
  <c r="E5793" i="1"/>
  <c r="E5794" i="1"/>
  <c r="E5795" i="1"/>
  <c r="E5796" i="1"/>
  <c r="E5797" i="1"/>
  <c r="E5798" i="1"/>
  <c r="E5799" i="1"/>
  <c r="E5800" i="1"/>
  <c r="E5801" i="1"/>
  <c r="E5802" i="1"/>
  <c r="E5803" i="1"/>
  <c r="E5804" i="1"/>
  <c r="E5805" i="1"/>
  <c r="E5806" i="1"/>
  <c r="E5807" i="1"/>
  <c r="E5808" i="1"/>
  <c r="E5809" i="1"/>
  <c r="E5810" i="1"/>
  <c r="E5811" i="1"/>
  <c r="E5812" i="1"/>
  <c r="E5813" i="1"/>
  <c r="E5814" i="1"/>
  <c r="E5815" i="1"/>
  <c r="E5816" i="1"/>
  <c r="E5817" i="1"/>
  <c r="E5818" i="1"/>
  <c r="E5819" i="1"/>
  <c r="E5820" i="1"/>
  <c r="E5821" i="1"/>
  <c r="E5822" i="1"/>
  <c r="E5823" i="1"/>
  <c r="E5824" i="1"/>
  <c r="E5825" i="1"/>
  <c r="E5826" i="1"/>
  <c r="E5827" i="1"/>
  <c r="E5828" i="1"/>
  <c r="E5829" i="1"/>
  <c r="E5830" i="1"/>
  <c r="E5831" i="1"/>
  <c r="E5832" i="1"/>
  <c r="E5833" i="1"/>
  <c r="E5834" i="1"/>
  <c r="E5835" i="1"/>
  <c r="E5836" i="1"/>
  <c r="E5837" i="1"/>
  <c r="E5838" i="1"/>
  <c r="E5839" i="1"/>
  <c r="E5840" i="1"/>
  <c r="E5841" i="1"/>
  <c r="E5842" i="1"/>
  <c r="E5843" i="1"/>
  <c r="E5844" i="1"/>
  <c r="E5845" i="1"/>
  <c r="E5846" i="1"/>
  <c r="E5847" i="1"/>
  <c r="E5848" i="1"/>
  <c r="E5849" i="1"/>
  <c r="E5850" i="1"/>
  <c r="E5851" i="1"/>
  <c r="E5852" i="1"/>
  <c r="E5853" i="1"/>
  <c r="E5854" i="1"/>
  <c r="E5855" i="1"/>
  <c r="E5856" i="1"/>
  <c r="E5857" i="1"/>
  <c r="E5858" i="1"/>
  <c r="E5859" i="1"/>
  <c r="E5860" i="1"/>
  <c r="E5861" i="1"/>
  <c r="E5862" i="1"/>
  <c r="E5863" i="1"/>
  <c r="E5864" i="1"/>
  <c r="E5865" i="1"/>
  <c r="E5866" i="1"/>
  <c r="E5867" i="1"/>
  <c r="E5868" i="1"/>
  <c r="E5869" i="1"/>
  <c r="E5870" i="1"/>
  <c r="E5871" i="1"/>
  <c r="E5872" i="1"/>
  <c r="E5873" i="1"/>
  <c r="E5874" i="1"/>
  <c r="E5875" i="1"/>
  <c r="E5876" i="1"/>
  <c r="E5877" i="1"/>
  <c r="E5878" i="1"/>
  <c r="E5879" i="1"/>
  <c r="E5880" i="1"/>
  <c r="E5881" i="1"/>
  <c r="E5882" i="1"/>
  <c r="E5883" i="1"/>
  <c r="E5884" i="1"/>
  <c r="E5885" i="1"/>
  <c r="E5886" i="1"/>
  <c r="E5887" i="1"/>
  <c r="E5888" i="1"/>
  <c r="E5889" i="1"/>
  <c r="E5890" i="1"/>
  <c r="E5891" i="1"/>
  <c r="E5892" i="1"/>
  <c r="E5893" i="1"/>
  <c r="E5894" i="1"/>
  <c r="E5895" i="1"/>
  <c r="E5896" i="1"/>
  <c r="E5897" i="1"/>
  <c r="E5898" i="1"/>
  <c r="E5899" i="1"/>
  <c r="E5900" i="1"/>
  <c r="E5901" i="1"/>
  <c r="E5902" i="1"/>
  <c r="E5903" i="1"/>
  <c r="E5904" i="1"/>
  <c r="E5905" i="1"/>
  <c r="E5906" i="1"/>
  <c r="E5907" i="1"/>
  <c r="E5908" i="1"/>
  <c r="E5909" i="1"/>
  <c r="E5910" i="1"/>
  <c r="E5911" i="1"/>
  <c r="E5912" i="1"/>
  <c r="E5913" i="1"/>
  <c r="E5914" i="1"/>
  <c r="E5915" i="1"/>
  <c r="E5916" i="1"/>
  <c r="E5917" i="1"/>
  <c r="E5918" i="1"/>
  <c r="E5919" i="1"/>
  <c r="E5920" i="1"/>
  <c r="E5921" i="1"/>
  <c r="E5922" i="1"/>
  <c r="E5923" i="1"/>
  <c r="E5924" i="1"/>
  <c r="E5925" i="1"/>
  <c r="E5926" i="1"/>
  <c r="E5927" i="1"/>
  <c r="E5928" i="1"/>
  <c r="E5929" i="1"/>
  <c r="E5930" i="1"/>
  <c r="E5931" i="1"/>
  <c r="E5932" i="1"/>
  <c r="E5933" i="1"/>
  <c r="E5934" i="1"/>
  <c r="E5935" i="1"/>
  <c r="E5936" i="1"/>
  <c r="E5937" i="1"/>
  <c r="E5938" i="1"/>
  <c r="E5939" i="1"/>
  <c r="E5940" i="1"/>
  <c r="E5941" i="1"/>
  <c r="E5942" i="1"/>
  <c r="E5943" i="1"/>
  <c r="E5944" i="1"/>
  <c r="E5945" i="1"/>
  <c r="E5946" i="1"/>
  <c r="E5947" i="1"/>
  <c r="E5948" i="1"/>
  <c r="E5949" i="1"/>
  <c r="E5950" i="1"/>
  <c r="E5951" i="1"/>
  <c r="E5952" i="1"/>
  <c r="E5953" i="1"/>
  <c r="E5954" i="1"/>
  <c r="E5955" i="1"/>
  <c r="E5956" i="1"/>
  <c r="E5957" i="1"/>
  <c r="E5958" i="1"/>
  <c r="E5959" i="1"/>
  <c r="E5960" i="1"/>
  <c r="E5961" i="1"/>
  <c r="E5962" i="1"/>
  <c r="E5963" i="1"/>
  <c r="E5964" i="1"/>
  <c r="E5965" i="1"/>
  <c r="E5966" i="1"/>
  <c r="E5967" i="1"/>
  <c r="E5968" i="1"/>
  <c r="E5969" i="1"/>
  <c r="E5970" i="1"/>
  <c r="E5971" i="1"/>
  <c r="E5972" i="1"/>
  <c r="E5973" i="1"/>
  <c r="E5974" i="1"/>
  <c r="E5975" i="1"/>
  <c r="E5976" i="1"/>
  <c r="E5977" i="1"/>
  <c r="E5978" i="1"/>
  <c r="E5979" i="1"/>
  <c r="E5980" i="1"/>
  <c r="E5981" i="1"/>
  <c r="E5982" i="1"/>
  <c r="E5983" i="1"/>
  <c r="E5984" i="1"/>
  <c r="E5985" i="1"/>
  <c r="E5986" i="1"/>
  <c r="E5987" i="1"/>
  <c r="E5988" i="1"/>
  <c r="E5989" i="1"/>
  <c r="E5990" i="1"/>
  <c r="E5991" i="1"/>
  <c r="E5992" i="1"/>
  <c r="E5993" i="1"/>
  <c r="E5994" i="1"/>
  <c r="E5995" i="1"/>
  <c r="E5996" i="1"/>
  <c r="E5997" i="1"/>
  <c r="E5998" i="1"/>
  <c r="E5999" i="1"/>
  <c r="E6000" i="1"/>
  <c r="E6001" i="1"/>
  <c r="E6002" i="1"/>
  <c r="E6003" i="1"/>
  <c r="E6004" i="1"/>
  <c r="E6005" i="1"/>
  <c r="E6006" i="1"/>
  <c r="E6007" i="1"/>
  <c r="E6008" i="1"/>
  <c r="E6009" i="1"/>
  <c r="E6010" i="1"/>
  <c r="E6011" i="1"/>
  <c r="E6012" i="1"/>
  <c r="E6013" i="1"/>
  <c r="E6014" i="1"/>
  <c r="E6015" i="1"/>
  <c r="E6016" i="1"/>
  <c r="E6017" i="1"/>
  <c r="E6018" i="1"/>
  <c r="E6019" i="1"/>
  <c r="E6020" i="1"/>
  <c r="E6021" i="1"/>
  <c r="E6022" i="1"/>
  <c r="E6023" i="1"/>
  <c r="E6024" i="1"/>
  <c r="E6025" i="1"/>
  <c r="E6026" i="1"/>
  <c r="E6027" i="1"/>
  <c r="E6028" i="1"/>
  <c r="E6029" i="1"/>
  <c r="E6030" i="1"/>
  <c r="E6031" i="1"/>
  <c r="E6032" i="1"/>
  <c r="E6033" i="1"/>
  <c r="E6034" i="1"/>
  <c r="E6035" i="1"/>
  <c r="E6036" i="1"/>
  <c r="E6037" i="1"/>
  <c r="E6038" i="1"/>
  <c r="E6039" i="1"/>
  <c r="E6040" i="1"/>
  <c r="E6041" i="1"/>
  <c r="E6042" i="1"/>
  <c r="E6043" i="1"/>
  <c r="E6044" i="1"/>
  <c r="E6045" i="1"/>
  <c r="E6046" i="1"/>
  <c r="E6047" i="1"/>
  <c r="E6048" i="1"/>
  <c r="E6049" i="1"/>
  <c r="E6050" i="1"/>
  <c r="E6051" i="1"/>
  <c r="E6052" i="1"/>
  <c r="E6053" i="1"/>
  <c r="E6054" i="1"/>
  <c r="E6055" i="1"/>
  <c r="E6056" i="1"/>
  <c r="E6057" i="1"/>
  <c r="E6058" i="1"/>
  <c r="E6059" i="1"/>
  <c r="E6060" i="1"/>
  <c r="E6061" i="1"/>
  <c r="E6062" i="1"/>
  <c r="E6063" i="1"/>
  <c r="E6064" i="1"/>
  <c r="E6065" i="1"/>
  <c r="E6066" i="1"/>
  <c r="E6067" i="1"/>
  <c r="E6068" i="1"/>
  <c r="E6069" i="1"/>
  <c r="E6070" i="1"/>
  <c r="E6071" i="1"/>
  <c r="E6072" i="1"/>
  <c r="E6073" i="1"/>
  <c r="E6074" i="1"/>
  <c r="E6075" i="1"/>
  <c r="E6076" i="1"/>
  <c r="E6077" i="1"/>
  <c r="E6078" i="1"/>
  <c r="E6079" i="1"/>
  <c r="E6080" i="1"/>
  <c r="E6081" i="1"/>
  <c r="E6082" i="1"/>
  <c r="E6083" i="1"/>
  <c r="E6084" i="1"/>
  <c r="E6085" i="1"/>
  <c r="E6086" i="1"/>
  <c r="E6087" i="1"/>
  <c r="E6088" i="1"/>
  <c r="E6089" i="1"/>
  <c r="E6090" i="1"/>
  <c r="E6091" i="1"/>
  <c r="E6092" i="1"/>
  <c r="E6093" i="1"/>
  <c r="E6094" i="1"/>
  <c r="E6095" i="1"/>
  <c r="E6096" i="1"/>
  <c r="E6097" i="1"/>
  <c r="E6098" i="1"/>
  <c r="E6099" i="1"/>
  <c r="E6100" i="1"/>
  <c r="E6101" i="1"/>
  <c r="E6102" i="1"/>
  <c r="E6103" i="1"/>
  <c r="E6104" i="1"/>
  <c r="E6105" i="1"/>
  <c r="E6106" i="1"/>
  <c r="E6107" i="1"/>
  <c r="E6108" i="1"/>
  <c r="E6109" i="1"/>
  <c r="E6110" i="1"/>
  <c r="E6111" i="1"/>
  <c r="E6112" i="1"/>
  <c r="E6113" i="1"/>
  <c r="E6114" i="1"/>
  <c r="E6115" i="1"/>
  <c r="E6116" i="1"/>
  <c r="E6117" i="1"/>
  <c r="E6118" i="1"/>
  <c r="E6119" i="1"/>
  <c r="E6120" i="1"/>
  <c r="E6121" i="1"/>
  <c r="E6122" i="1"/>
  <c r="E6123" i="1"/>
  <c r="E6124" i="1"/>
  <c r="E6125" i="1"/>
  <c r="E6126" i="1"/>
  <c r="E6127" i="1"/>
  <c r="E6128" i="1"/>
  <c r="E6129" i="1"/>
  <c r="E6130" i="1"/>
  <c r="E6131" i="1"/>
  <c r="E6132" i="1"/>
  <c r="E6133" i="1"/>
  <c r="E6134" i="1"/>
  <c r="E6135" i="1"/>
  <c r="E6136" i="1"/>
  <c r="E6137" i="1"/>
  <c r="E6138" i="1"/>
  <c r="E6139" i="1"/>
  <c r="E6140" i="1"/>
  <c r="E6141" i="1"/>
  <c r="E6142" i="1"/>
  <c r="E6143" i="1"/>
  <c r="E6144" i="1"/>
  <c r="E6145" i="1"/>
  <c r="E6146" i="1"/>
  <c r="E6147" i="1"/>
  <c r="E6148" i="1"/>
  <c r="E6149" i="1"/>
  <c r="E6150" i="1"/>
  <c r="E6151" i="1"/>
  <c r="E6152" i="1"/>
  <c r="E6153" i="1"/>
  <c r="E6154" i="1"/>
  <c r="E6155" i="1"/>
  <c r="E6156" i="1"/>
  <c r="E6157" i="1"/>
  <c r="E6158" i="1"/>
  <c r="E6159" i="1"/>
  <c r="E6160" i="1"/>
  <c r="E6161" i="1"/>
  <c r="E6162" i="1"/>
  <c r="E6163" i="1"/>
  <c r="E6164" i="1"/>
  <c r="E6165" i="1"/>
  <c r="E6166" i="1"/>
  <c r="E6167" i="1"/>
  <c r="E6168" i="1"/>
  <c r="E6169" i="1"/>
  <c r="E6170" i="1"/>
  <c r="E6171" i="1"/>
  <c r="E6172" i="1"/>
  <c r="E6173" i="1"/>
  <c r="E6174" i="1"/>
  <c r="E6175" i="1"/>
  <c r="E6176" i="1"/>
  <c r="E6177" i="1"/>
  <c r="E6178" i="1"/>
  <c r="E6179" i="1"/>
  <c r="E6180" i="1"/>
  <c r="E6181" i="1"/>
  <c r="E6182" i="1"/>
  <c r="E6183" i="1"/>
  <c r="E6184" i="1"/>
  <c r="E6185" i="1"/>
  <c r="E6186" i="1"/>
  <c r="E6187" i="1"/>
  <c r="E6188" i="1"/>
  <c r="E6189" i="1"/>
  <c r="E6190" i="1"/>
  <c r="E6191" i="1"/>
  <c r="E6192" i="1"/>
  <c r="E6193" i="1"/>
  <c r="E6194" i="1"/>
  <c r="E6195" i="1"/>
  <c r="E6196" i="1"/>
  <c r="E6197" i="1"/>
  <c r="E6198" i="1"/>
  <c r="E6199" i="1"/>
  <c r="E6200" i="1"/>
  <c r="E6201" i="1"/>
  <c r="E6202" i="1"/>
  <c r="E6203" i="1"/>
  <c r="E6204" i="1"/>
  <c r="E6205" i="1"/>
  <c r="E6206" i="1"/>
  <c r="E6207" i="1"/>
  <c r="E6208" i="1"/>
  <c r="E6209" i="1"/>
  <c r="E6210" i="1"/>
  <c r="E6211" i="1"/>
  <c r="E6212" i="1"/>
  <c r="E6213" i="1"/>
  <c r="E6214" i="1"/>
  <c r="E6215" i="1"/>
  <c r="E6216" i="1"/>
  <c r="E6217" i="1"/>
  <c r="E6218" i="1"/>
  <c r="E6219" i="1"/>
  <c r="E6220" i="1"/>
  <c r="E6221" i="1"/>
  <c r="E6222" i="1"/>
  <c r="E6223" i="1"/>
  <c r="E6224" i="1"/>
  <c r="E6225" i="1"/>
  <c r="E6226" i="1"/>
  <c r="E6227" i="1"/>
  <c r="E6228" i="1"/>
  <c r="E6229" i="1"/>
  <c r="E6230" i="1"/>
  <c r="E6231" i="1"/>
  <c r="E6232" i="1"/>
  <c r="E6233" i="1"/>
  <c r="E6234" i="1"/>
  <c r="E6235" i="1"/>
  <c r="E6236" i="1"/>
  <c r="E6237" i="1"/>
  <c r="E6238" i="1"/>
  <c r="E6239" i="1"/>
  <c r="E6240" i="1"/>
  <c r="E6241" i="1"/>
  <c r="E6242" i="1"/>
  <c r="E6243" i="1"/>
  <c r="E6244" i="1"/>
  <c r="E6245" i="1"/>
  <c r="E6246" i="1"/>
  <c r="E6247" i="1"/>
  <c r="E6248" i="1"/>
  <c r="E6249" i="1"/>
  <c r="E6250" i="1"/>
  <c r="E6251" i="1"/>
  <c r="E6252" i="1"/>
  <c r="E6253" i="1"/>
  <c r="E6254" i="1"/>
  <c r="E6255" i="1"/>
  <c r="E6256" i="1"/>
  <c r="E6257" i="1"/>
  <c r="E6258" i="1"/>
  <c r="E6259" i="1"/>
  <c r="E6260" i="1"/>
  <c r="E6261" i="1"/>
  <c r="E6262" i="1"/>
  <c r="E6263" i="1"/>
  <c r="E6264" i="1"/>
  <c r="E6265" i="1"/>
  <c r="E1956" i="1"/>
  <c r="A1957" i="1"/>
  <c r="A1958" i="1"/>
  <c r="A1959" i="1"/>
  <c r="A1960" i="1"/>
  <c r="A1961" i="1"/>
  <c r="A1962" i="1"/>
  <c r="A1963" i="1"/>
  <c r="A1964" i="1"/>
  <c r="A1965" i="1"/>
  <c r="A1966" i="1"/>
  <c r="A1967" i="1"/>
  <c r="A1968" i="1"/>
  <c r="A1969" i="1"/>
  <c r="A1970" i="1"/>
  <c r="A1971" i="1"/>
  <c r="A1972" i="1"/>
  <c r="A1973" i="1"/>
  <c r="A1974" i="1"/>
  <c r="A1975" i="1"/>
  <c r="A1976" i="1"/>
  <c r="A1977" i="1"/>
  <c r="A1978" i="1"/>
  <c r="A1979" i="1"/>
  <c r="A1980" i="1"/>
  <c r="A1981" i="1"/>
  <c r="A1982" i="1"/>
  <c r="A1983" i="1"/>
  <c r="A1984" i="1"/>
  <c r="A1985" i="1"/>
  <c r="A1986" i="1"/>
  <c r="A1987" i="1"/>
  <c r="A1988" i="1"/>
  <c r="A1989" i="1"/>
  <c r="A1990" i="1"/>
  <c r="A1991" i="1"/>
  <c r="A1992" i="1"/>
  <c r="A1993" i="1"/>
  <c r="A1994" i="1"/>
  <c r="A1995" i="1"/>
  <c r="A1996" i="1"/>
  <c r="A1997" i="1"/>
  <c r="A1998" i="1"/>
  <c r="A1999" i="1"/>
  <c r="A2000" i="1"/>
  <c r="A2001" i="1"/>
  <c r="A2002" i="1"/>
  <c r="A2003" i="1"/>
  <c r="A2004" i="1"/>
  <c r="A2005" i="1"/>
  <c r="A2006" i="1"/>
  <c r="A2007" i="1"/>
  <c r="A2008" i="1"/>
  <c r="A2009" i="1"/>
  <c r="A2010" i="1"/>
  <c r="A2011" i="1"/>
  <c r="A2012" i="1"/>
  <c r="A2013" i="1"/>
  <c r="A2014" i="1"/>
  <c r="A2015" i="1"/>
  <c r="A2016" i="1"/>
  <c r="A2017" i="1"/>
  <c r="A2018" i="1"/>
  <c r="A2019" i="1"/>
  <c r="A2020" i="1"/>
  <c r="A2021" i="1"/>
  <c r="A2022" i="1"/>
  <c r="A2023" i="1"/>
  <c r="A2024" i="1"/>
  <c r="A2025" i="1"/>
  <c r="A2026" i="1"/>
  <c r="A2027" i="1"/>
  <c r="A2028" i="1"/>
  <c r="A2029" i="1"/>
  <c r="A2030" i="1"/>
  <c r="A2031" i="1"/>
  <c r="A2032" i="1"/>
  <c r="A2033" i="1"/>
  <c r="A2034" i="1"/>
  <c r="A2035" i="1"/>
  <c r="A2036" i="1"/>
  <c r="A2037" i="1"/>
  <c r="A2038" i="1"/>
  <c r="A2039" i="1"/>
  <c r="A2040" i="1"/>
  <c r="A2041" i="1"/>
  <c r="A2042" i="1"/>
  <c r="A2043" i="1"/>
  <c r="A2044" i="1"/>
  <c r="A2045" i="1"/>
  <c r="A2046" i="1"/>
  <c r="A2047" i="1"/>
  <c r="A2048" i="1"/>
  <c r="A2049" i="1"/>
  <c r="A2050" i="1"/>
  <c r="A2051" i="1"/>
  <c r="A2052" i="1"/>
  <c r="A2053" i="1"/>
  <c r="A2054" i="1"/>
  <c r="A2055" i="1"/>
  <c r="A2056" i="1"/>
  <c r="A2057" i="1"/>
  <c r="A2058" i="1"/>
  <c r="A2059" i="1"/>
  <c r="A2060" i="1"/>
  <c r="A2061" i="1"/>
  <c r="A2062" i="1"/>
  <c r="A2063" i="1"/>
  <c r="A2064" i="1"/>
  <c r="A2065" i="1"/>
  <c r="A2066" i="1"/>
  <c r="A2067" i="1"/>
  <c r="A2068" i="1"/>
  <c r="A2069" i="1"/>
  <c r="A2070" i="1"/>
  <c r="A2071" i="1"/>
  <c r="A2072" i="1"/>
  <c r="A2073" i="1"/>
  <c r="A2074" i="1"/>
  <c r="A2075" i="1"/>
  <c r="A2076" i="1"/>
  <c r="A2077" i="1"/>
  <c r="A2078" i="1"/>
  <c r="A2079" i="1"/>
  <c r="A2080" i="1"/>
  <c r="A2081" i="1"/>
  <c r="A2082" i="1"/>
  <c r="A2083" i="1"/>
  <c r="A2084" i="1"/>
  <c r="A2085" i="1"/>
  <c r="A2086" i="1"/>
  <c r="A2087" i="1"/>
  <c r="A2088" i="1"/>
  <c r="A2089" i="1"/>
  <c r="A2090" i="1"/>
  <c r="A2091" i="1"/>
  <c r="A2092" i="1"/>
  <c r="A2093" i="1"/>
  <c r="A2094" i="1"/>
  <c r="A2095" i="1"/>
  <c r="A2096" i="1"/>
  <c r="A2097" i="1"/>
  <c r="A2098" i="1"/>
  <c r="A2099" i="1"/>
  <c r="A2100" i="1"/>
  <c r="A2101" i="1"/>
  <c r="A2102" i="1"/>
  <c r="A2103" i="1"/>
  <c r="A2104" i="1"/>
  <c r="A2105" i="1"/>
  <c r="A2106" i="1"/>
  <c r="A2107" i="1"/>
  <c r="A2108" i="1"/>
  <c r="A2109" i="1"/>
  <c r="A2110" i="1"/>
  <c r="A2111" i="1"/>
  <c r="A2112" i="1"/>
  <c r="A2113" i="1"/>
  <c r="A2114" i="1"/>
  <c r="A2115" i="1"/>
  <c r="A2116" i="1"/>
  <c r="A2117" i="1"/>
  <c r="A2118" i="1"/>
  <c r="A2119" i="1"/>
  <c r="A2120" i="1"/>
  <c r="A2121" i="1"/>
  <c r="A2122" i="1"/>
  <c r="A2123" i="1"/>
  <c r="A2124" i="1"/>
  <c r="A2125" i="1"/>
  <c r="A2126" i="1"/>
  <c r="A2127" i="1"/>
  <c r="A2128" i="1"/>
  <c r="A2129" i="1"/>
  <c r="A2130" i="1"/>
  <c r="A2131" i="1"/>
  <c r="A2132" i="1"/>
  <c r="A2133" i="1"/>
  <c r="A2134" i="1"/>
  <c r="A2135" i="1"/>
  <c r="A2136" i="1"/>
  <c r="A2137" i="1"/>
  <c r="A2138" i="1"/>
  <c r="A2139" i="1"/>
  <c r="A2140" i="1"/>
  <c r="A2141" i="1"/>
  <c r="A2142" i="1"/>
  <c r="A2143" i="1"/>
  <c r="A2144" i="1"/>
  <c r="A2145" i="1"/>
  <c r="A2146" i="1"/>
  <c r="A2147" i="1"/>
  <c r="A2148" i="1"/>
  <c r="A2149" i="1"/>
  <c r="A2150" i="1"/>
  <c r="A2151" i="1"/>
  <c r="A2152" i="1"/>
  <c r="A2153" i="1"/>
  <c r="A2154" i="1"/>
  <c r="A2155" i="1"/>
  <c r="A2156" i="1"/>
  <c r="A2157" i="1"/>
  <c r="A2158" i="1"/>
  <c r="A2159" i="1"/>
  <c r="A2160" i="1"/>
  <c r="A2161" i="1"/>
  <c r="A2162" i="1"/>
  <c r="A2163" i="1"/>
  <c r="A2164" i="1"/>
  <c r="A2165" i="1"/>
  <c r="A2166" i="1"/>
  <c r="A2167" i="1"/>
  <c r="A2168" i="1"/>
  <c r="A2169" i="1"/>
  <c r="A2170" i="1"/>
  <c r="A2171" i="1"/>
  <c r="A2172" i="1"/>
  <c r="A2173" i="1"/>
  <c r="A2174" i="1"/>
  <c r="A2175" i="1"/>
  <c r="A2176" i="1"/>
  <c r="A2177" i="1"/>
  <c r="A2178" i="1"/>
  <c r="A2179" i="1"/>
  <c r="A2180" i="1"/>
  <c r="A2181" i="1"/>
  <c r="A2182" i="1"/>
  <c r="A2183" i="1"/>
  <c r="A2184" i="1"/>
  <c r="A2185" i="1"/>
  <c r="A2186" i="1"/>
  <c r="A2187" i="1"/>
  <c r="A2188" i="1"/>
  <c r="A2189" i="1"/>
  <c r="A2190" i="1"/>
  <c r="A2191" i="1"/>
  <c r="A2192" i="1"/>
  <c r="A2193" i="1"/>
  <c r="A2194" i="1"/>
  <c r="A2195" i="1"/>
  <c r="A2196" i="1"/>
  <c r="A2197" i="1"/>
  <c r="A2198" i="1"/>
  <c r="A2199" i="1"/>
  <c r="A2200" i="1"/>
  <c r="A2201" i="1"/>
  <c r="A2202" i="1"/>
  <c r="A2203" i="1"/>
  <c r="A2204" i="1"/>
  <c r="A2205" i="1"/>
  <c r="A2206" i="1"/>
  <c r="A2207" i="1"/>
  <c r="A2208" i="1"/>
  <c r="A2209" i="1"/>
  <c r="A2210" i="1"/>
  <c r="A2211" i="1"/>
  <c r="A2212" i="1"/>
  <c r="A2213" i="1"/>
  <c r="A2214" i="1"/>
  <c r="A2215" i="1"/>
  <c r="A2216" i="1"/>
  <c r="A2217" i="1"/>
  <c r="A2218" i="1"/>
  <c r="A2219" i="1"/>
  <c r="A2220" i="1"/>
  <c r="A2221" i="1"/>
  <c r="A2222" i="1"/>
  <c r="A2223" i="1"/>
  <c r="A2224" i="1"/>
  <c r="A2225" i="1"/>
  <c r="A2226" i="1"/>
  <c r="A2227" i="1"/>
  <c r="A2228" i="1"/>
  <c r="A2229" i="1"/>
  <c r="A2230" i="1"/>
  <c r="A2231" i="1"/>
  <c r="A2232" i="1"/>
  <c r="A2233" i="1"/>
  <c r="A2234" i="1"/>
  <c r="A2235" i="1"/>
  <c r="A2236" i="1"/>
  <c r="A2237" i="1"/>
  <c r="A2238" i="1"/>
  <c r="A2239" i="1"/>
  <c r="A2240" i="1"/>
  <c r="A2241" i="1"/>
  <c r="A2242" i="1"/>
  <c r="A2243" i="1"/>
  <c r="A2244" i="1"/>
  <c r="A2245" i="1"/>
  <c r="A2246" i="1"/>
  <c r="A2247" i="1"/>
  <c r="A2248" i="1"/>
  <c r="A2249" i="1"/>
  <c r="A2250" i="1"/>
  <c r="A2251" i="1"/>
  <c r="A2252" i="1"/>
  <c r="A2253" i="1"/>
  <c r="A2254" i="1"/>
  <c r="A2255" i="1"/>
  <c r="A2256" i="1"/>
  <c r="A2257" i="1"/>
  <c r="A2258" i="1"/>
  <c r="A2259" i="1"/>
  <c r="A2260" i="1"/>
  <c r="A2261" i="1"/>
  <c r="A2262" i="1"/>
  <c r="A2263" i="1"/>
  <c r="A2264" i="1"/>
  <c r="A2265" i="1"/>
  <c r="A2266" i="1"/>
  <c r="A2267" i="1"/>
  <c r="A2268" i="1"/>
  <c r="A2269" i="1"/>
  <c r="A2270" i="1"/>
  <c r="A2271" i="1"/>
  <c r="A2272" i="1"/>
  <c r="A2273" i="1"/>
  <c r="A2274" i="1"/>
  <c r="A2275" i="1"/>
  <c r="A2276" i="1"/>
  <c r="A2277" i="1"/>
  <c r="A2278" i="1"/>
  <c r="A2279" i="1"/>
  <c r="A2280" i="1"/>
  <c r="A2281" i="1"/>
  <c r="A2282" i="1"/>
  <c r="A2283" i="1"/>
  <c r="A2284" i="1"/>
  <c r="A2285" i="1"/>
  <c r="A2286" i="1"/>
  <c r="A2287" i="1"/>
  <c r="A2288" i="1"/>
  <c r="A2289" i="1"/>
  <c r="A2290" i="1"/>
  <c r="A2291" i="1"/>
  <c r="A2292" i="1"/>
  <c r="A2293" i="1"/>
  <c r="A2294" i="1"/>
  <c r="A2295" i="1"/>
  <c r="A2296" i="1"/>
  <c r="A2297" i="1"/>
  <c r="A2298" i="1"/>
  <c r="A2299" i="1"/>
  <c r="A2300" i="1"/>
  <c r="A2301" i="1"/>
  <c r="A2302" i="1"/>
  <c r="A2303" i="1"/>
  <c r="A2304" i="1"/>
  <c r="A2305" i="1"/>
  <c r="A2306" i="1"/>
  <c r="A2307" i="1"/>
  <c r="A2308" i="1"/>
  <c r="A2309" i="1"/>
  <c r="A2310" i="1"/>
  <c r="A2311" i="1"/>
  <c r="A2312" i="1"/>
  <c r="A2313" i="1"/>
  <c r="A2314" i="1"/>
  <c r="A2315" i="1"/>
  <c r="A2316" i="1"/>
  <c r="A2317" i="1"/>
  <c r="A2318" i="1"/>
  <c r="A2319" i="1"/>
  <c r="A2320" i="1"/>
  <c r="A2321" i="1"/>
  <c r="A2322" i="1"/>
  <c r="A2323" i="1"/>
  <c r="A2324" i="1"/>
  <c r="A2325" i="1"/>
  <c r="A2326" i="1"/>
  <c r="A2327" i="1"/>
  <c r="A2328" i="1"/>
  <c r="A2329" i="1"/>
  <c r="A2330" i="1"/>
  <c r="A2331" i="1"/>
  <c r="A2332" i="1"/>
  <c r="A2333" i="1"/>
  <c r="A2334" i="1"/>
  <c r="A2335" i="1"/>
  <c r="A2336" i="1"/>
  <c r="A2337" i="1"/>
  <c r="A2338" i="1"/>
  <c r="A2339" i="1"/>
  <c r="A2340" i="1"/>
  <c r="A2341" i="1"/>
  <c r="A2342" i="1"/>
  <c r="A2343" i="1"/>
  <c r="A2344" i="1"/>
  <c r="A2345" i="1"/>
  <c r="A2346" i="1"/>
  <c r="A2347" i="1"/>
  <c r="A2348" i="1"/>
  <c r="A2349" i="1"/>
  <c r="A2350" i="1"/>
  <c r="A2351" i="1"/>
  <c r="A2352" i="1"/>
  <c r="A2353" i="1"/>
  <c r="A2354" i="1"/>
  <c r="A2355" i="1"/>
  <c r="A2356" i="1"/>
  <c r="A2357" i="1"/>
  <c r="A2358" i="1"/>
  <c r="A2359" i="1"/>
  <c r="A2360" i="1"/>
  <c r="A2361" i="1"/>
  <c r="A2362" i="1"/>
  <c r="A2363" i="1"/>
  <c r="A2364" i="1"/>
  <c r="A2365" i="1"/>
  <c r="A2366" i="1"/>
  <c r="A2367" i="1"/>
  <c r="A2368" i="1"/>
  <c r="A2369" i="1"/>
  <c r="A2370" i="1"/>
  <c r="A2371" i="1"/>
  <c r="A2372" i="1"/>
  <c r="A2373" i="1"/>
  <c r="A2374" i="1"/>
  <c r="A2375" i="1"/>
  <c r="A2376" i="1"/>
  <c r="A2377" i="1"/>
  <c r="A2378" i="1"/>
  <c r="A2379" i="1"/>
  <c r="A2380" i="1"/>
  <c r="A2381" i="1"/>
  <c r="A2382" i="1"/>
  <c r="A2383" i="1"/>
  <c r="A2384" i="1"/>
  <c r="A2385" i="1"/>
  <c r="A2386" i="1"/>
  <c r="A2387" i="1"/>
  <c r="A2388" i="1"/>
  <c r="A2389" i="1"/>
  <c r="A2390" i="1"/>
  <c r="A2391" i="1"/>
  <c r="A2392" i="1"/>
  <c r="A2393" i="1"/>
  <c r="A2394" i="1"/>
  <c r="A2395" i="1"/>
  <c r="A2396" i="1"/>
  <c r="A2397" i="1"/>
  <c r="A2398" i="1"/>
  <c r="A2399" i="1"/>
  <c r="A2400" i="1"/>
  <c r="A2401" i="1"/>
  <c r="A2402" i="1"/>
  <c r="A2403" i="1"/>
  <c r="A2404" i="1"/>
  <c r="A2405" i="1"/>
  <c r="A2406" i="1"/>
  <c r="A2407" i="1"/>
  <c r="A2408" i="1"/>
  <c r="A2409" i="1"/>
  <c r="A2410" i="1"/>
  <c r="A2411" i="1"/>
  <c r="A2412" i="1"/>
  <c r="A2413" i="1"/>
  <c r="A2414" i="1"/>
  <c r="A2415" i="1"/>
  <c r="A2416" i="1"/>
  <c r="A2417" i="1"/>
  <c r="A2418" i="1"/>
  <c r="A2419" i="1"/>
  <c r="A2420" i="1"/>
  <c r="A2421" i="1"/>
  <c r="A2422" i="1"/>
  <c r="A2423" i="1"/>
  <c r="A2424" i="1"/>
  <c r="A2425" i="1"/>
  <c r="A2426" i="1"/>
  <c r="A2427" i="1"/>
  <c r="A2428" i="1"/>
  <c r="A2429" i="1"/>
  <c r="A2430" i="1"/>
  <c r="A2431" i="1"/>
  <c r="A2432" i="1"/>
  <c r="A2433" i="1"/>
  <c r="A2434" i="1"/>
  <c r="A2435" i="1"/>
  <c r="A2436" i="1"/>
  <c r="A2437" i="1"/>
  <c r="A2438" i="1"/>
  <c r="A2439" i="1"/>
  <c r="A2440" i="1"/>
  <c r="A2441" i="1"/>
  <c r="A2442" i="1"/>
  <c r="A2443" i="1"/>
  <c r="A2444" i="1"/>
  <c r="A2445" i="1"/>
  <c r="A2446" i="1"/>
  <c r="A2447" i="1"/>
  <c r="A2448" i="1"/>
  <c r="A2449" i="1"/>
  <c r="A2450" i="1"/>
  <c r="A2451" i="1"/>
  <c r="A2452" i="1"/>
  <c r="A2453" i="1"/>
  <c r="A2454" i="1"/>
  <c r="A2455" i="1"/>
  <c r="A2456" i="1"/>
  <c r="A2457" i="1"/>
  <c r="A2458" i="1"/>
  <c r="A2459" i="1"/>
  <c r="A2460" i="1"/>
  <c r="A2461" i="1"/>
  <c r="A2462" i="1"/>
  <c r="A2463" i="1"/>
  <c r="A2464" i="1"/>
  <c r="A2465" i="1"/>
  <c r="A2466" i="1"/>
  <c r="A2467" i="1"/>
  <c r="A2468" i="1"/>
  <c r="A2469" i="1"/>
  <c r="A2470" i="1"/>
  <c r="A2471" i="1"/>
  <c r="A2472" i="1"/>
  <c r="A2473" i="1"/>
  <c r="A2474" i="1"/>
  <c r="A2475" i="1"/>
  <c r="A2476" i="1"/>
  <c r="A2477" i="1"/>
  <c r="A2478" i="1"/>
  <c r="A2479" i="1"/>
  <c r="A2480" i="1"/>
  <c r="A2481" i="1"/>
  <c r="A2482" i="1"/>
  <c r="A2483" i="1"/>
  <c r="A2484" i="1"/>
  <c r="A2485" i="1"/>
  <c r="A2486" i="1"/>
  <c r="A2487" i="1"/>
  <c r="A2488" i="1"/>
  <c r="A2489" i="1"/>
  <c r="A2490" i="1"/>
  <c r="A2491" i="1"/>
  <c r="A2492" i="1"/>
  <c r="A2493" i="1"/>
  <c r="A2494" i="1"/>
  <c r="A2495" i="1"/>
  <c r="A2496" i="1"/>
  <c r="A2497" i="1"/>
  <c r="A2498" i="1"/>
  <c r="A2499" i="1"/>
  <c r="A2500" i="1"/>
  <c r="A2501" i="1"/>
  <c r="A2502" i="1"/>
  <c r="A2503" i="1"/>
  <c r="A2504" i="1"/>
  <c r="A2505" i="1"/>
  <c r="A2506" i="1"/>
  <c r="A2507" i="1"/>
  <c r="A2508" i="1"/>
  <c r="A2509" i="1"/>
  <c r="A2510" i="1"/>
  <c r="A2511" i="1"/>
  <c r="A2512" i="1"/>
  <c r="A2513" i="1"/>
  <c r="A2514" i="1"/>
  <c r="A2515" i="1"/>
  <c r="A2516" i="1"/>
  <c r="A2517" i="1"/>
  <c r="A2518" i="1"/>
  <c r="A2519" i="1"/>
  <c r="A2520" i="1"/>
  <c r="A2521" i="1"/>
  <c r="A2522" i="1"/>
  <c r="A2523" i="1"/>
  <c r="A2524" i="1"/>
  <c r="A2525" i="1"/>
  <c r="A2526" i="1"/>
  <c r="A2527" i="1"/>
  <c r="A2528" i="1"/>
  <c r="A2529" i="1"/>
  <c r="A2530" i="1"/>
  <c r="A2531" i="1"/>
  <c r="A2532" i="1"/>
  <c r="A2533" i="1"/>
  <c r="A2534" i="1"/>
  <c r="A2535" i="1"/>
  <c r="A2536" i="1"/>
  <c r="A2537" i="1"/>
  <c r="A2538" i="1"/>
  <c r="A2539" i="1"/>
  <c r="A2540" i="1"/>
  <c r="A2541" i="1"/>
  <c r="A2542" i="1"/>
  <c r="A2543" i="1"/>
  <c r="A2544" i="1"/>
  <c r="A2545" i="1"/>
  <c r="A2546" i="1"/>
  <c r="A2547" i="1"/>
  <c r="A2548" i="1"/>
  <c r="A2549" i="1"/>
  <c r="A2550" i="1"/>
  <c r="A2551" i="1"/>
  <c r="A2552" i="1"/>
  <c r="A2553" i="1"/>
  <c r="A2554" i="1"/>
  <c r="A2555" i="1"/>
  <c r="A2556" i="1"/>
  <c r="A2557" i="1"/>
  <c r="A2558" i="1"/>
  <c r="A2559" i="1"/>
  <c r="A2560" i="1"/>
  <c r="A2561" i="1"/>
  <c r="A2562" i="1"/>
  <c r="A2563" i="1"/>
  <c r="A2564" i="1"/>
  <c r="A2565" i="1"/>
  <c r="A2566" i="1"/>
  <c r="A2567" i="1"/>
  <c r="A2568" i="1"/>
  <c r="A2569" i="1"/>
  <c r="A2570" i="1"/>
  <c r="A2571" i="1"/>
  <c r="A2572" i="1"/>
  <c r="A2573" i="1"/>
  <c r="A2574" i="1"/>
  <c r="A2575" i="1"/>
  <c r="A2576" i="1"/>
  <c r="A2577" i="1"/>
  <c r="A2578" i="1"/>
  <c r="A2579" i="1"/>
  <c r="A2580" i="1"/>
  <c r="A2581" i="1"/>
  <c r="A2582" i="1"/>
  <c r="A2583" i="1"/>
  <c r="A2584" i="1"/>
  <c r="A2585" i="1"/>
  <c r="A2586" i="1"/>
  <c r="A2587" i="1"/>
  <c r="A2588" i="1"/>
  <c r="A2589" i="1"/>
  <c r="A2590" i="1"/>
  <c r="A2591" i="1"/>
  <c r="A2592" i="1"/>
  <c r="A2593" i="1"/>
  <c r="A2594" i="1"/>
  <c r="A2595" i="1"/>
  <c r="A2596" i="1"/>
  <c r="A2597" i="1"/>
  <c r="A2598" i="1"/>
  <c r="A2599" i="1"/>
  <c r="A2600" i="1"/>
  <c r="A2601" i="1"/>
  <c r="A2602" i="1"/>
  <c r="A2603" i="1"/>
  <c r="A2604" i="1"/>
  <c r="A2605" i="1"/>
  <c r="A2606" i="1"/>
  <c r="A2607" i="1"/>
  <c r="A2608" i="1"/>
  <c r="A2609" i="1"/>
  <c r="A2610" i="1"/>
  <c r="A2611" i="1"/>
  <c r="A2612" i="1"/>
  <c r="A2613" i="1"/>
  <c r="A2614" i="1"/>
  <c r="A2615" i="1"/>
  <c r="A2616" i="1"/>
  <c r="A2617" i="1"/>
  <c r="A2618" i="1"/>
  <c r="A2619" i="1"/>
  <c r="A2620" i="1"/>
  <c r="A2621" i="1"/>
  <c r="A2622" i="1"/>
  <c r="A2623" i="1"/>
  <c r="A2624" i="1"/>
  <c r="A2625" i="1"/>
  <c r="A2626" i="1"/>
  <c r="A2627" i="1"/>
  <c r="A2628" i="1"/>
  <c r="A2629" i="1"/>
  <c r="A2630" i="1"/>
  <c r="A2631" i="1"/>
  <c r="A2632" i="1"/>
  <c r="A2633" i="1"/>
  <c r="A2634" i="1"/>
  <c r="A2635" i="1"/>
  <c r="A2636" i="1"/>
  <c r="A2637" i="1"/>
  <c r="A2638" i="1"/>
  <c r="A2639" i="1"/>
  <c r="A2640" i="1"/>
  <c r="A2641" i="1"/>
  <c r="A2642" i="1"/>
  <c r="A2643" i="1"/>
  <c r="A2644" i="1"/>
  <c r="A2645" i="1"/>
  <c r="A2646" i="1"/>
  <c r="A2647" i="1"/>
  <c r="A2648" i="1"/>
  <c r="A2649" i="1"/>
  <c r="A2650" i="1"/>
  <c r="A2651" i="1"/>
  <c r="A2652" i="1"/>
  <c r="A2653" i="1"/>
  <c r="A2654" i="1"/>
  <c r="A2655" i="1"/>
  <c r="A2656" i="1"/>
  <c r="A2657" i="1"/>
  <c r="A2658" i="1"/>
  <c r="A2659" i="1"/>
  <c r="A2660" i="1"/>
  <c r="A2661" i="1"/>
  <c r="A2662" i="1"/>
  <c r="A2663" i="1"/>
  <c r="A2664" i="1"/>
  <c r="A2665" i="1"/>
  <c r="A2666" i="1"/>
  <c r="A2667" i="1"/>
  <c r="A2668" i="1"/>
  <c r="A2669" i="1"/>
  <c r="A2670" i="1"/>
  <c r="A2671" i="1"/>
  <c r="A2672" i="1"/>
  <c r="A2673" i="1"/>
  <c r="A2674" i="1"/>
  <c r="A2675" i="1"/>
  <c r="A2676" i="1"/>
  <c r="A2677" i="1"/>
  <c r="A2678" i="1"/>
  <c r="A2679" i="1"/>
  <c r="A2680" i="1"/>
  <c r="A2681" i="1"/>
  <c r="A2682" i="1"/>
  <c r="A2683" i="1"/>
  <c r="A2684" i="1"/>
  <c r="A2685" i="1"/>
  <c r="A2686" i="1"/>
  <c r="A2687" i="1"/>
  <c r="A2688" i="1"/>
  <c r="A2689" i="1"/>
  <c r="A2690" i="1"/>
  <c r="A2691" i="1"/>
  <c r="A2692" i="1"/>
  <c r="A2693" i="1"/>
  <c r="A2694" i="1"/>
  <c r="A2695" i="1"/>
  <c r="A2696" i="1"/>
  <c r="A2697" i="1"/>
  <c r="A2698" i="1"/>
  <c r="A2699" i="1"/>
  <c r="A2700" i="1"/>
  <c r="A2701" i="1"/>
  <c r="A2702" i="1"/>
  <c r="A2703" i="1"/>
  <c r="A2704" i="1"/>
  <c r="A2705" i="1"/>
  <c r="A2706" i="1"/>
  <c r="A2707" i="1"/>
  <c r="A2708" i="1"/>
  <c r="A2709" i="1"/>
  <c r="A2710" i="1"/>
  <c r="A2711" i="1"/>
  <c r="A2712" i="1"/>
  <c r="A2713" i="1"/>
  <c r="A2714" i="1"/>
  <c r="A2715" i="1"/>
  <c r="A2716" i="1"/>
  <c r="A2717" i="1"/>
  <c r="A2718" i="1"/>
  <c r="A2719" i="1"/>
  <c r="A2720" i="1"/>
  <c r="A2721" i="1"/>
  <c r="A2722" i="1"/>
  <c r="A2723" i="1"/>
  <c r="A2724" i="1"/>
  <c r="A2725" i="1"/>
  <c r="A2726" i="1"/>
  <c r="A2727" i="1"/>
  <c r="A2728" i="1"/>
  <c r="A2729" i="1"/>
  <c r="A2730" i="1"/>
  <c r="A2731" i="1"/>
  <c r="A2732" i="1"/>
  <c r="A2733" i="1"/>
  <c r="A2734" i="1"/>
  <c r="A2735" i="1"/>
  <c r="A2736" i="1"/>
  <c r="A2737" i="1"/>
  <c r="A2738" i="1"/>
  <c r="A2739" i="1"/>
  <c r="A2740" i="1"/>
  <c r="A2741" i="1"/>
  <c r="A2742" i="1"/>
  <c r="A2743" i="1"/>
  <c r="A2744" i="1"/>
  <c r="A2745" i="1"/>
  <c r="A2746" i="1"/>
  <c r="A2747" i="1"/>
  <c r="A2748" i="1"/>
  <c r="A2749" i="1"/>
  <c r="A2750" i="1"/>
  <c r="A2751" i="1"/>
  <c r="A2752" i="1"/>
  <c r="A2753" i="1"/>
  <c r="A2754" i="1"/>
  <c r="A2755" i="1"/>
  <c r="A2756" i="1"/>
  <c r="A2757" i="1"/>
  <c r="A2758" i="1"/>
  <c r="A2759" i="1"/>
  <c r="A2760" i="1"/>
  <c r="A2761" i="1"/>
  <c r="A2762" i="1"/>
  <c r="A2763" i="1"/>
  <c r="A2764" i="1"/>
  <c r="A2765" i="1"/>
  <c r="A2766" i="1"/>
  <c r="A2767" i="1"/>
  <c r="A2768" i="1"/>
  <c r="A2769" i="1"/>
  <c r="A2770" i="1"/>
  <c r="A2771" i="1"/>
  <c r="A2772" i="1"/>
  <c r="A2773" i="1"/>
  <c r="A2774" i="1"/>
  <c r="A2775" i="1"/>
  <c r="A2776" i="1"/>
  <c r="A2777" i="1"/>
  <c r="A2778" i="1"/>
  <c r="A2779" i="1"/>
  <c r="A2780" i="1"/>
  <c r="A2781" i="1"/>
  <c r="A2782" i="1"/>
  <c r="A2783" i="1"/>
  <c r="A2784" i="1"/>
  <c r="A2785" i="1"/>
  <c r="A2786" i="1"/>
  <c r="A2787" i="1"/>
  <c r="A2788" i="1"/>
  <c r="A2789" i="1"/>
  <c r="A2790" i="1"/>
  <c r="A2791" i="1"/>
  <c r="A2792" i="1"/>
  <c r="A2793" i="1"/>
  <c r="A2794" i="1"/>
  <c r="A2795" i="1"/>
  <c r="A2796" i="1"/>
  <c r="A2797" i="1"/>
  <c r="A2798" i="1"/>
  <c r="A2799" i="1"/>
  <c r="A2800" i="1"/>
  <c r="A2801" i="1"/>
  <c r="A2802" i="1"/>
  <c r="A2803" i="1"/>
  <c r="A2804" i="1"/>
  <c r="A2805" i="1"/>
  <c r="A2806" i="1"/>
  <c r="A2807" i="1"/>
  <c r="A2808" i="1"/>
  <c r="A2809" i="1"/>
  <c r="A2810" i="1"/>
  <c r="A2811" i="1"/>
  <c r="A2812" i="1"/>
  <c r="A2813" i="1"/>
  <c r="A2814" i="1"/>
  <c r="A2815" i="1"/>
  <c r="A2816" i="1"/>
  <c r="A2817" i="1"/>
  <c r="A2818" i="1"/>
  <c r="A2819" i="1"/>
  <c r="A2820" i="1"/>
  <c r="A2821" i="1"/>
  <c r="A2822" i="1"/>
  <c r="A2823" i="1"/>
  <c r="A2824" i="1"/>
  <c r="A2825" i="1"/>
  <c r="A2826" i="1"/>
  <c r="A2827" i="1"/>
  <c r="A2828" i="1"/>
  <c r="A2829" i="1"/>
  <c r="A2830" i="1"/>
  <c r="A2831" i="1"/>
  <c r="A2832" i="1"/>
  <c r="A2833" i="1"/>
  <c r="A2834" i="1"/>
  <c r="A2835" i="1"/>
  <c r="A2836" i="1"/>
  <c r="A2837" i="1"/>
  <c r="A2838" i="1"/>
  <c r="A2839" i="1"/>
  <c r="A2840" i="1"/>
  <c r="A2841" i="1"/>
  <c r="A2842" i="1"/>
  <c r="A2843" i="1"/>
  <c r="A2844" i="1"/>
  <c r="A2845" i="1"/>
  <c r="A2846" i="1"/>
  <c r="A2847" i="1"/>
  <c r="A2848" i="1"/>
  <c r="A2849" i="1"/>
  <c r="A2850" i="1"/>
  <c r="A2851" i="1"/>
  <c r="A2852" i="1"/>
  <c r="A2853" i="1"/>
  <c r="A2854" i="1"/>
  <c r="A2855" i="1"/>
  <c r="A2856" i="1"/>
  <c r="A2857" i="1"/>
  <c r="A2858" i="1"/>
  <c r="A2859" i="1"/>
  <c r="A2860" i="1"/>
  <c r="A2861" i="1"/>
  <c r="A2862" i="1"/>
  <c r="A2863" i="1"/>
  <c r="A2864" i="1"/>
  <c r="A2865" i="1"/>
  <c r="A2866" i="1"/>
  <c r="A2867" i="1"/>
  <c r="A2868" i="1"/>
  <c r="A2869" i="1"/>
  <c r="A2870" i="1"/>
  <c r="A2871" i="1"/>
  <c r="A2872" i="1"/>
  <c r="A2873" i="1"/>
  <c r="A2874" i="1"/>
  <c r="A2875" i="1"/>
  <c r="A2876" i="1"/>
  <c r="A2877" i="1"/>
  <c r="A2878" i="1"/>
  <c r="A2879" i="1"/>
  <c r="A2880" i="1"/>
  <c r="A2881" i="1"/>
  <c r="A2882" i="1"/>
  <c r="A2883" i="1"/>
  <c r="A2884" i="1"/>
  <c r="A2885" i="1"/>
  <c r="A2886" i="1"/>
  <c r="A2887" i="1"/>
  <c r="A2888" i="1"/>
  <c r="A2889" i="1"/>
  <c r="A2890" i="1"/>
  <c r="A2891" i="1"/>
  <c r="A2892" i="1"/>
  <c r="A2893" i="1"/>
  <c r="A2894" i="1"/>
  <c r="A2895" i="1"/>
  <c r="A2896" i="1"/>
  <c r="A2897" i="1"/>
  <c r="A2898" i="1"/>
  <c r="A2899" i="1"/>
  <c r="A2900" i="1"/>
  <c r="A2901" i="1"/>
  <c r="A2902" i="1"/>
  <c r="A2903" i="1"/>
  <c r="A2904" i="1"/>
  <c r="A2905" i="1"/>
  <c r="A2906" i="1"/>
  <c r="A2907" i="1"/>
  <c r="A2908" i="1"/>
  <c r="A2909" i="1"/>
  <c r="A2910" i="1"/>
  <c r="A2911" i="1"/>
  <c r="A2912" i="1"/>
  <c r="A2913" i="1"/>
  <c r="A2914" i="1"/>
  <c r="A2915" i="1"/>
  <c r="A2916" i="1"/>
  <c r="A2917" i="1"/>
  <c r="A2918" i="1"/>
  <c r="A2919" i="1"/>
  <c r="A2920" i="1"/>
  <c r="A2921" i="1"/>
  <c r="A2922" i="1"/>
  <c r="A2923" i="1"/>
  <c r="A2924" i="1"/>
  <c r="A2925" i="1"/>
  <c r="A2926" i="1"/>
  <c r="A2927" i="1"/>
  <c r="A2928" i="1"/>
  <c r="A2929" i="1"/>
  <c r="A2930" i="1"/>
  <c r="A2931" i="1"/>
  <c r="A2932" i="1"/>
  <c r="A2933" i="1"/>
  <c r="A2934" i="1"/>
  <c r="A2935" i="1"/>
  <c r="A2936" i="1"/>
  <c r="A2937" i="1"/>
  <c r="A2938" i="1"/>
  <c r="A2939" i="1"/>
  <c r="A2940" i="1"/>
  <c r="A2941" i="1"/>
  <c r="A2942" i="1"/>
  <c r="A2943" i="1"/>
  <c r="A2944" i="1"/>
  <c r="A2945" i="1"/>
  <c r="A2946" i="1"/>
  <c r="A2947" i="1"/>
  <c r="A2948" i="1"/>
  <c r="A2949" i="1"/>
  <c r="A2950" i="1"/>
  <c r="A2951" i="1"/>
  <c r="A2952" i="1"/>
  <c r="A2953" i="1"/>
  <c r="A2954" i="1"/>
  <c r="A2955" i="1"/>
  <c r="A2956" i="1"/>
  <c r="A2957" i="1"/>
  <c r="A2958" i="1"/>
  <c r="A2959" i="1"/>
  <c r="A2960" i="1"/>
  <c r="A2961" i="1"/>
  <c r="A2962" i="1"/>
  <c r="A2963" i="1"/>
  <c r="A2964" i="1"/>
  <c r="A2965" i="1"/>
  <c r="A2966" i="1"/>
  <c r="A2967" i="1"/>
  <c r="A2968" i="1"/>
  <c r="A2969" i="1"/>
  <c r="A2970" i="1"/>
  <c r="A2971" i="1"/>
  <c r="A2972" i="1"/>
  <c r="A2973" i="1"/>
  <c r="A2974" i="1"/>
  <c r="A2975" i="1"/>
  <c r="A2976" i="1"/>
  <c r="A2977" i="1"/>
  <c r="A2978" i="1"/>
  <c r="A2979" i="1"/>
  <c r="A2980" i="1"/>
  <c r="A2981" i="1"/>
  <c r="A2982" i="1"/>
  <c r="A2983" i="1"/>
  <c r="A2984" i="1"/>
  <c r="A2985" i="1"/>
  <c r="A2986" i="1"/>
  <c r="A2987" i="1"/>
  <c r="A2988" i="1"/>
  <c r="A2989" i="1"/>
  <c r="A2990" i="1"/>
  <c r="A2991" i="1"/>
  <c r="A2992" i="1"/>
  <c r="A2993" i="1"/>
  <c r="A2994" i="1"/>
  <c r="A2995" i="1"/>
  <c r="A2996" i="1"/>
  <c r="A2997" i="1"/>
  <c r="A2998" i="1"/>
  <c r="A2999" i="1"/>
  <c r="A3000" i="1"/>
  <c r="A3001" i="1"/>
  <c r="A3002" i="1"/>
  <c r="A3003" i="1"/>
  <c r="A3004" i="1"/>
  <c r="A3005" i="1"/>
  <c r="A3006" i="1"/>
  <c r="A3007" i="1"/>
  <c r="A3008" i="1"/>
  <c r="A3009" i="1"/>
  <c r="A3010" i="1"/>
  <c r="A3011" i="1"/>
  <c r="A3012" i="1"/>
  <c r="A3013" i="1"/>
  <c r="A3014" i="1"/>
  <c r="A3015" i="1"/>
  <c r="A3016" i="1"/>
  <c r="A3017" i="1"/>
  <c r="A3018" i="1"/>
  <c r="A3019" i="1"/>
  <c r="A3020" i="1"/>
  <c r="A3021" i="1"/>
  <c r="A3022" i="1"/>
  <c r="A3023" i="1"/>
  <c r="A3024" i="1"/>
  <c r="A3025" i="1"/>
  <c r="A3026" i="1"/>
  <c r="A3027" i="1"/>
  <c r="A3028" i="1"/>
  <c r="A3029" i="1"/>
  <c r="A3030" i="1"/>
  <c r="A3031" i="1"/>
  <c r="A3032" i="1"/>
  <c r="A3033" i="1"/>
  <c r="A3034" i="1"/>
  <c r="A3035" i="1"/>
  <c r="A3036" i="1"/>
  <c r="A3037" i="1"/>
  <c r="A3038" i="1"/>
  <c r="A3039" i="1"/>
  <c r="A3040" i="1"/>
  <c r="A3041" i="1"/>
  <c r="A3042" i="1"/>
  <c r="A3043" i="1"/>
  <c r="A3044" i="1"/>
  <c r="A3045" i="1"/>
  <c r="A3046" i="1"/>
  <c r="A3047" i="1"/>
  <c r="A3048" i="1"/>
  <c r="A3049" i="1"/>
  <c r="A3050" i="1"/>
  <c r="A3051" i="1"/>
  <c r="A3052" i="1"/>
  <c r="A3053" i="1"/>
  <c r="A3054" i="1"/>
  <c r="A3055" i="1"/>
  <c r="A3056" i="1"/>
  <c r="A3057" i="1"/>
  <c r="A3058" i="1"/>
  <c r="A3059" i="1"/>
  <c r="A3060" i="1"/>
  <c r="A3061" i="1"/>
  <c r="A3062" i="1"/>
  <c r="A3063" i="1"/>
  <c r="A3064" i="1"/>
  <c r="A3065" i="1"/>
  <c r="A3066" i="1"/>
  <c r="A3067" i="1"/>
  <c r="A3068" i="1"/>
  <c r="A3069" i="1"/>
  <c r="A3070" i="1"/>
  <c r="A3071" i="1"/>
  <c r="A3072" i="1"/>
  <c r="A3073" i="1"/>
  <c r="A3074" i="1"/>
  <c r="A3075" i="1"/>
  <c r="A3076" i="1"/>
  <c r="A3077" i="1"/>
  <c r="A3078" i="1"/>
  <c r="A3079" i="1"/>
  <c r="A3080" i="1"/>
  <c r="A3081" i="1"/>
  <c r="A3082" i="1"/>
  <c r="A3083" i="1"/>
  <c r="A3084" i="1"/>
  <c r="A3085" i="1"/>
  <c r="A3086" i="1"/>
  <c r="A3087" i="1"/>
  <c r="A3088" i="1"/>
  <c r="A3089" i="1"/>
  <c r="A3090" i="1"/>
  <c r="A3091" i="1"/>
  <c r="A3092" i="1"/>
  <c r="A3093" i="1"/>
  <c r="A3094" i="1"/>
  <c r="A3095" i="1"/>
  <c r="A3096" i="1"/>
  <c r="A3097" i="1"/>
  <c r="A3098" i="1"/>
  <c r="A3099" i="1"/>
  <c r="A3100" i="1"/>
  <c r="A3101" i="1"/>
  <c r="A3102" i="1"/>
  <c r="A3103" i="1"/>
  <c r="A3104" i="1"/>
  <c r="A3105" i="1"/>
  <c r="A3106" i="1"/>
  <c r="A3107" i="1"/>
  <c r="A3108" i="1"/>
  <c r="A3109" i="1"/>
  <c r="A3110" i="1"/>
  <c r="A3111" i="1"/>
  <c r="A3112" i="1"/>
  <c r="A3113" i="1"/>
  <c r="A3114" i="1"/>
  <c r="A3115" i="1"/>
  <c r="A3116" i="1"/>
  <c r="A3117" i="1"/>
  <c r="A3118" i="1"/>
  <c r="A3119" i="1"/>
  <c r="A3120" i="1"/>
  <c r="A3121" i="1"/>
  <c r="A3122" i="1"/>
  <c r="A3123" i="1"/>
  <c r="A3124" i="1"/>
  <c r="A3125" i="1"/>
  <c r="A3126" i="1"/>
  <c r="A3127" i="1"/>
  <c r="A3128" i="1"/>
  <c r="A3129" i="1"/>
  <c r="A3130" i="1"/>
  <c r="A3131" i="1"/>
  <c r="A3132" i="1"/>
  <c r="A3133" i="1"/>
  <c r="A3134" i="1"/>
  <c r="A3135" i="1"/>
  <c r="A3136" i="1"/>
  <c r="A3137" i="1"/>
  <c r="A3138" i="1"/>
  <c r="A3139" i="1"/>
  <c r="A3140" i="1"/>
  <c r="A3141" i="1"/>
  <c r="A3142" i="1"/>
  <c r="A3143" i="1"/>
  <c r="A3144" i="1"/>
  <c r="A3145" i="1"/>
  <c r="A3146" i="1"/>
  <c r="A3147" i="1"/>
  <c r="A3148" i="1"/>
  <c r="A3149" i="1"/>
  <c r="A3150" i="1"/>
  <c r="A3151" i="1"/>
  <c r="A3152" i="1"/>
  <c r="A3153" i="1"/>
  <c r="A3154" i="1"/>
  <c r="A3155" i="1"/>
  <c r="A3156" i="1"/>
  <c r="A3157" i="1"/>
  <c r="A3158" i="1"/>
  <c r="A3159" i="1"/>
  <c r="A3160" i="1"/>
  <c r="A3161" i="1"/>
  <c r="A3162" i="1"/>
  <c r="A3163" i="1"/>
  <c r="A3164" i="1"/>
  <c r="A3165" i="1"/>
  <c r="A3166" i="1"/>
  <c r="A3167" i="1"/>
  <c r="A3168" i="1"/>
  <c r="A3169" i="1"/>
  <c r="A3170" i="1"/>
  <c r="A3171" i="1"/>
  <c r="A3172" i="1"/>
  <c r="A3173" i="1"/>
  <c r="A3174" i="1"/>
  <c r="A3175" i="1"/>
  <c r="A3176" i="1"/>
  <c r="A3177" i="1"/>
  <c r="A3178" i="1"/>
  <c r="A3179" i="1"/>
  <c r="A3180" i="1"/>
  <c r="A3181" i="1"/>
  <c r="A3182" i="1"/>
  <c r="A3183" i="1"/>
  <c r="A3184" i="1"/>
  <c r="A3185" i="1"/>
  <c r="A3186" i="1"/>
  <c r="A3187" i="1"/>
  <c r="A3188" i="1"/>
  <c r="A3189" i="1"/>
  <c r="A3190" i="1"/>
  <c r="A3191" i="1"/>
  <c r="A3192" i="1"/>
  <c r="A3193" i="1"/>
  <c r="A3194" i="1"/>
  <c r="A3195" i="1"/>
  <c r="A3196" i="1"/>
  <c r="A3197" i="1"/>
  <c r="A3198" i="1"/>
  <c r="A3199" i="1"/>
  <c r="A3200" i="1"/>
  <c r="A3201" i="1"/>
  <c r="A3202" i="1"/>
  <c r="A3203" i="1"/>
  <c r="A3204" i="1"/>
  <c r="A3205" i="1"/>
  <c r="A3206" i="1"/>
  <c r="A3207" i="1"/>
  <c r="A3208" i="1"/>
  <c r="A3209" i="1"/>
  <c r="A3210" i="1"/>
  <c r="A3211" i="1"/>
  <c r="A3212" i="1"/>
  <c r="A3213" i="1"/>
  <c r="A3214" i="1"/>
  <c r="A3215" i="1"/>
  <c r="A3216" i="1"/>
  <c r="A3217" i="1"/>
  <c r="A3218" i="1"/>
  <c r="A3219" i="1"/>
  <c r="A3220" i="1"/>
  <c r="A3221" i="1"/>
  <c r="A3222" i="1"/>
  <c r="A3223" i="1"/>
  <c r="A3224" i="1"/>
  <c r="A3225" i="1"/>
  <c r="A3226" i="1"/>
  <c r="A3227" i="1"/>
  <c r="A3228" i="1"/>
  <c r="A3229" i="1"/>
  <c r="A3230" i="1"/>
  <c r="A3231" i="1"/>
  <c r="A3232" i="1"/>
  <c r="A3233" i="1"/>
  <c r="A3234" i="1"/>
  <c r="A3235" i="1"/>
  <c r="A3236" i="1"/>
  <c r="A3237" i="1"/>
  <c r="A3238" i="1"/>
  <c r="A3239" i="1"/>
  <c r="A3240" i="1"/>
  <c r="A3241" i="1"/>
  <c r="A3242" i="1"/>
  <c r="A3243" i="1"/>
  <c r="A3244" i="1"/>
  <c r="A3245" i="1"/>
  <c r="A3246" i="1"/>
  <c r="A3247" i="1"/>
  <c r="A3248" i="1"/>
  <c r="A3249" i="1"/>
  <c r="A3250" i="1"/>
  <c r="A3251" i="1"/>
  <c r="A3252" i="1"/>
  <c r="A3253" i="1"/>
  <c r="A3254" i="1"/>
  <c r="A3255" i="1"/>
  <c r="A3256" i="1"/>
  <c r="A3257" i="1"/>
  <c r="A3258" i="1"/>
  <c r="A3259" i="1"/>
  <c r="A3260" i="1"/>
  <c r="A3261" i="1"/>
  <c r="A3262" i="1"/>
  <c r="A3263" i="1"/>
  <c r="A3264" i="1"/>
  <c r="A3265" i="1"/>
  <c r="A3266" i="1"/>
  <c r="A3267" i="1"/>
  <c r="A3268" i="1"/>
  <c r="A3269" i="1"/>
  <c r="A3270" i="1"/>
  <c r="A3271" i="1"/>
  <c r="A3272" i="1"/>
  <c r="A3273" i="1"/>
  <c r="A3274" i="1"/>
  <c r="A3275" i="1"/>
  <c r="A3276" i="1"/>
  <c r="A3277" i="1"/>
  <c r="A3278" i="1"/>
  <c r="A3279" i="1"/>
  <c r="A3280" i="1"/>
  <c r="A3281" i="1"/>
  <c r="A3282" i="1"/>
  <c r="A3283" i="1"/>
  <c r="A3284" i="1"/>
  <c r="A3285" i="1"/>
  <c r="A3286" i="1"/>
  <c r="A3287" i="1"/>
  <c r="A3288" i="1"/>
  <c r="A3289" i="1"/>
  <c r="A3290" i="1"/>
  <c r="A3291" i="1"/>
  <c r="A3292" i="1"/>
  <c r="A3293" i="1"/>
  <c r="A3294" i="1"/>
  <c r="A3295" i="1"/>
  <c r="A3296" i="1"/>
  <c r="A3297" i="1"/>
  <c r="A3298" i="1"/>
  <c r="A3299" i="1"/>
  <c r="A3300" i="1"/>
  <c r="A3301" i="1"/>
  <c r="A3302" i="1"/>
  <c r="A3303" i="1"/>
  <c r="A3304" i="1"/>
  <c r="A3305" i="1"/>
  <c r="A3306" i="1"/>
  <c r="A3307" i="1"/>
  <c r="A3308" i="1"/>
  <c r="A3309" i="1"/>
  <c r="A3310" i="1"/>
  <c r="A3311" i="1"/>
  <c r="A3312" i="1"/>
  <c r="A3313" i="1"/>
  <c r="A3314" i="1"/>
  <c r="A3315" i="1"/>
  <c r="A3316" i="1"/>
  <c r="A3317" i="1"/>
  <c r="A3318" i="1"/>
  <c r="A3319" i="1"/>
  <c r="A3320" i="1"/>
  <c r="A3321" i="1"/>
  <c r="A3322" i="1"/>
  <c r="A3323" i="1"/>
  <c r="A3324" i="1"/>
  <c r="A3325" i="1"/>
  <c r="A3326" i="1"/>
  <c r="A3327" i="1"/>
  <c r="A3328" i="1"/>
  <c r="A3329" i="1"/>
  <c r="A3330" i="1"/>
  <c r="A3331" i="1"/>
  <c r="A3332" i="1"/>
  <c r="A3333" i="1"/>
  <c r="A3334" i="1"/>
  <c r="A3335" i="1"/>
  <c r="A3336" i="1"/>
  <c r="A3337" i="1"/>
  <c r="A3338" i="1"/>
  <c r="A3339" i="1"/>
  <c r="A3340" i="1"/>
  <c r="A3341" i="1"/>
  <c r="A3342" i="1"/>
  <c r="A3343" i="1"/>
  <c r="A3344" i="1"/>
  <c r="A3345" i="1"/>
  <c r="A3346" i="1"/>
  <c r="A3347" i="1"/>
  <c r="A3348" i="1"/>
  <c r="A3349" i="1"/>
  <c r="A3350" i="1"/>
  <c r="A3351" i="1"/>
  <c r="A3352" i="1"/>
  <c r="A3353" i="1"/>
  <c r="A3354" i="1"/>
  <c r="A3355" i="1"/>
  <c r="A3356" i="1"/>
  <c r="A3357" i="1"/>
  <c r="A3358" i="1"/>
  <c r="A3359" i="1"/>
  <c r="A3360" i="1"/>
  <c r="A3361" i="1"/>
  <c r="A3362" i="1"/>
  <c r="A3363" i="1"/>
  <c r="A3364" i="1"/>
  <c r="A3365" i="1"/>
  <c r="A3366" i="1"/>
  <c r="A3367" i="1"/>
  <c r="A3368" i="1"/>
  <c r="A3369" i="1"/>
  <c r="A3370" i="1"/>
  <c r="A3371" i="1"/>
  <c r="A3372" i="1"/>
  <c r="A3373" i="1"/>
  <c r="A3374" i="1"/>
  <c r="A3375" i="1"/>
  <c r="A3376" i="1"/>
  <c r="A3377" i="1"/>
  <c r="A3378" i="1"/>
  <c r="A3379" i="1"/>
  <c r="A3380" i="1"/>
  <c r="A3381" i="1"/>
  <c r="A3382" i="1"/>
  <c r="A3383" i="1"/>
  <c r="A3384" i="1"/>
  <c r="A3385" i="1"/>
  <c r="A3386" i="1"/>
  <c r="A3387" i="1"/>
  <c r="A3388" i="1"/>
  <c r="A3389" i="1"/>
  <c r="A3390" i="1"/>
  <c r="A3391" i="1"/>
  <c r="A3392" i="1"/>
  <c r="A3393" i="1"/>
  <c r="A3394" i="1"/>
  <c r="A3395" i="1"/>
  <c r="A3396" i="1"/>
  <c r="A3397" i="1"/>
  <c r="A3398" i="1"/>
  <c r="A3399" i="1"/>
  <c r="A3400" i="1"/>
  <c r="A3401" i="1"/>
  <c r="A3402" i="1"/>
  <c r="A3403" i="1"/>
  <c r="A3404" i="1"/>
  <c r="A3405" i="1"/>
  <c r="A3406" i="1"/>
  <c r="A3407" i="1"/>
  <c r="A3408" i="1"/>
  <c r="A3409" i="1"/>
  <c r="A3410" i="1"/>
  <c r="A3411" i="1"/>
  <c r="A3412" i="1"/>
  <c r="A3413" i="1"/>
  <c r="A3414" i="1"/>
  <c r="A3415" i="1"/>
  <c r="A3416" i="1"/>
  <c r="A3417" i="1"/>
  <c r="A3418" i="1"/>
  <c r="A3419" i="1"/>
  <c r="A3420" i="1"/>
  <c r="A3421" i="1"/>
  <c r="A3422" i="1"/>
  <c r="A3423" i="1"/>
  <c r="A3424" i="1"/>
  <c r="A3425" i="1"/>
  <c r="A3426" i="1"/>
  <c r="A3427" i="1"/>
  <c r="A3428" i="1"/>
  <c r="A3429" i="1"/>
  <c r="A3430" i="1"/>
  <c r="A3431" i="1"/>
  <c r="A3432" i="1"/>
  <c r="A3433" i="1"/>
  <c r="A3434" i="1"/>
  <c r="A3435" i="1"/>
  <c r="A3436" i="1"/>
  <c r="A3437" i="1"/>
  <c r="A3438" i="1"/>
  <c r="A3439" i="1"/>
  <c r="A3440" i="1"/>
  <c r="A3441" i="1"/>
  <c r="A3442" i="1"/>
  <c r="A3443" i="1"/>
  <c r="A3444" i="1"/>
  <c r="A3445" i="1"/>
  <c r="A3446" i="1"/>
  <c r="A3447" i="1"/>
  <c r="A3448" i="1"/>
  <c r="A3449" i="1"/>
  <c r="A3450" i="1"/>
  <c r="A3451" i="1"/>
  <c r="A3452" i="1"/>
  <c r="A3453" i="1"/>
  <c r="A3454" i="1"/>
  <c r="A3455" i="1"/>
  <c r="A3456" i="1"/>
  <c r="A3457" i="1"/>
  <c r="A3458" i="1"/>
  <c r="A3459" i="1"/>
  <c r="A3460" i="1"/>
  <c r="A3461" i="1"/>
  <c r="A3462" i="1"/>
  <c r="A3463" i="1"/>
  <c r="A3464" i="1"/>
  <c r="A3465" i="1"/>
  <c r="A3466" i="1"/>
  <c r="A3467" i="1"/>
  <c r="A3468" i="1"/>
  <c r="A3469" i="1"/>
  <c r="A3470" i="1"/>
  <c r="A3471" i="1"/>
  <c r="A3472" i="1"/>
  <c r="A3473" i="1"/>
  <c r="A3474" i="1"/>
  <c r="A3475" i="1"/>
  <c r="A3476" i="1"/>
  <c r="A3477" i="1"/>
  <c r="A3478" i="1"/>
  <c r="A3479" i="1"/>
  <c r="A3480" i="1"/>
  <c r="A3481" i="1"/>
  <c r="A3482" i="1"/>
  <c r="A3483" i="1"/>
  <c r="A3484" i="1"/>
  <c r="A3485" i="1"/>
  <c r="A3486" i="1"/>
  <c r="A3487" i="1"/>
  <c r="A3488" i="1"/>
  <c r="A3489" i="1"/>
  <c r="A3490" i="1"/>
  <c r="A3491" i="1"/>
  <c r="A3492" i="1"/>
  <c r="A3493" i="1"/>
  <c r="A3494" i="1"/>
  <c r="A3495" i="1"/>
  <c r="A3496" i="1"/>
  <c r="A3497" i="1"/>
  <c r="A3498" i="1"/>
  <c r="A3499" i="1"/>
  <c r="A3500" i="1"/>
  <c r="A3501" i="1"/>
  <c r="A3502" i="1"/>
  <c r="A3503" i="1"/>
  <c r="A3504" i="1"/>
  <c r="A3505" i="1"/>
  <c r="A3506" i="1"/>
  <c r="A3507" i="1"/>
  <c r="A3508" i="1"/>
  <c r="A3509" i="1"/>
  <c r="A3510" i="1"/>
  <c r="A3511" i="1"/>
  <c r="A3512" i="1"/>
  <c r="A3513" i="1"/>
  <c r="A3514" i="1"/>
  <c r="A3515" i="1"/>
  <c r="A3516" i="1"/>
  <c r="A3517" i="1"/>
  <c r="A3518" i="1"/>
  <c r="A3519" i="1"/>
  <c r="A3520" i="1"/>
  <c r="A3521" i="1"/>
  <c r="A3522" i="1"/>
  <c r="A3523" i="1"/>
  <c r="A3524" i="1"/>
  <c r="A3525" i="1"/>
  <c r="A3526" i="1"/>
  <c r="A3527" i="1"/>
  <c r="A3528" i="1"/>
  <c r="A3529" i="1"/>
  <c r="A3530" i="1"/>
  <c r="A3531" i="1"/>
  <c r="A3532" i="1"/>
  <c r="A3533" i="1"/>
  <c r="A3534" i="1"/>
  <c r="A3535" i="1"/>
  <c r="A3536" i="1"/>
  <c r="A3537" i="1"/>
  <c r="A3538" i="1"/>
  <c r="A3539" i="1"/>
  <c r="A3540" i="1"/>
  <c r="A3541" i="1"/>
  <c r="A3542" i="1"/>
  <c r="A3543" i="1"/>
  <c r="A3544" i="1"/>
  <c r="A3545" i="1"/>
  <c r="A3546" i="1"/>
  <c r="A3547" i="1"/>
  <c r="A3548" i="1"/>
  <c r="A3549" i="1"/>
  <c r="A3550" i="1"/>
  <c r="A3551" i="1"/>
  <c r="A3552" i="1"/>
  <c r="A3553" i="1"/>
  <c r="A3554" i="1"/>
  <c r="A3555" i="1"/>
  <c r="A3556" i="1"/>
  <c r="A3557" i="1"/>
  <c r="A3558" i="1"/>
  <c r="A3559" i="1"/>
  <c r="A3560" i="1"/>
  <c r="A3561" i="1"/>
  <c r="A3562" i="1"/>
  <c r="A3563" i="1"/>
  <c r="A3564" i="1"/>
  <c r="A3565" i="1"/>
  <c r="A3566" i="1"/>
  <c r="A3567" i="1"/>
  <c r="A3568" i="1"/>
  <c r="A3569" i="1"/>
  <c r="A3570" i="1"/>
  <c r="A3571" i="1"/>
  <c r="A3572" i="1"/>
  <c r="A3573" i="1"/>
  <c r="A3574" i="1"/>
  <c r="A3575" i="1"/>
  <c r="A3576" i="1"/>
  <c r="A3577" i="1"/>
  <c r="A3578" i="1"/>
  <c r="A3579" i="1"/>
  <c r="A3580" i="1"/>
  <c r="A3581" i="1"/>
  <c r="A3582" i="1"/>
  <c r="A3583" i="1"/>
  <c r="A3584" i="1"/>
  <c r="A3585" i="1"/>
  <c r="A3586" i="1"/>
  <c r="A3587" i="1"/>
  <c r="A3588" i="1"/>
  <c r="A3589" i="1"/>
  <c r="A3590" i="1"/>
  <c r="A3591" i="1"/>
  <c r="A3592" i="1"/>
  <c r="A3593" i="1"/>
  <c r="A3594" i="1"/>
  <c r="A3595" i="1"/>
  <c r="A3596" i="1"/>
  <c r="A3597" i="1"/>
  <c r="A3598" i="1"/>
  <c r="A3599" i="1"/>
  <c r="A3600" i="1"/>
  <c r="A3601" i="1"/>
  <c r="A3602" i="1"/>
  <c r="A3603" i="1"/>
  <c r="A3604" i="1"/>
  <c r="A3605" i="1"/>
  <c r="A3606" i="1"/>
  <c r="A3607" i="1"/>
  <c r="A3608" i="1"/>
  <c r="A3609" i="1"/>
  <c r="A3610" i="1"/>
  <c r="A3611" i="1"/>
  <c r="A3612" i="1"/>
  <c r="A3613" i="1"/>
  <c r="A3614" i="1"/>
  <c r="A3615" i="1"/>
  <c r="A3616" i="1"/>
  <c r="A3617" i="1"/>
  <c r="A3618" i="1"/>
  <c r="A3619" i="1"/>
  <c r="A3620" i="1"/>
  <c r="A3621" i="1"/>
  <c r="A3622" i="1"/>
  <c r="A3623" i="1"/>
  <c r="A3624" i="1"/>
  <c r="A3625" i="1"/>
  <c r="A3626" i="1"/>
  <c r="A3627" i="1"/>
  <c r="A3628" i="1"/>
  <c r="A3629" i="1"/>
  <c r="A3630" i="1"/>
  <c r="A3631" i="1"/>
  <c r="A3632" i="1"/>
  <c r="A3633" i="1"/>
  <c r="A3634" i="1"/>
  <c r="A3635" i="1"/>
  <c r="A3636" i="1"/>
  <c r="A3637" i="1"/>
  <c r="A3638" i="1"/>
  <c r="A3639" i="1"/>
  <c r="A3640" i="1"/>
  <c r="A3641" i="1"/>
  <c r="A3642" i="1"/>
  <c r="A3643" i="1"/>
  <c r="A3644" i="1"/>
  <c r="A3645" i="1"/>
  <c r="A3646" i="1"/>
  <c r="A3647" i="1"/>
  <c r="A3648" i="1"/>
  <c r="A3649" i="1"/>
  <c r="A3650" i="1"/>
  <c r="A3651" i="1"/>
  <c r="A3652" i="1"/>
  <c r="A3653" i="1"/>
  <c r="A3654" i="1"/>
  <c r="A3655" i="1"/>
  <c r="A3656" i="1"/>
  <c r="A3657" i="1"/>
  <c r="A3658" i="1"/>
  <c r="A3659" i="1"/>
  <c r="A3660" i="1"/>
  <c r="A3661" i="1"/>
  <c r="A3662" i="1"/>
  <c r="A3663" i="1"/>
  <c r="A3664" i="1"/>
  <c r="A3665" i="1"/>
  <c r="A3666" i="1"/>
  <c r="A3667" i="1"/>
  <c r="A3668" i="1"/>
  <c r="A3669" i="1"/>
  <c r="A3670" i="1"/>
  <c r="A3671" i="1"/>
  <c r="A3672" i="1"/>
  <c r="A3673" i="1"/>
  <c r="A3674" i="1"/>
  <c r="A3675" i="1"/>
  <c r="A3676" i="1"/>
  <c r="A3677" i="1"/>
  <c r="A3678" i="1"/>
  <c r="A3679" i="1"/>
  <c r="A3680" i="1"/>
  <c r="A3681" i="1"/>
  <c r="A3682" i="1"/>
  <c r="A3683" i="1"/>
  <c r="A3684" i="1"/>
  <c r="A3685" i="1"/>
  <c r="A3686" i="1"/>
  <c r="A3687" i="1"/>
  <c r="A3688" i="1"/>
  <c r="A3689" i="1"/>
  <c r="A3690" i="1"/>
  <c r="A3691" i="1"/>
  <c r="A3692" i="1"/>
  <c r="A3693" i="1"/>
  <c r="A3694" i="1"/>
  <c r="A3695" i="1"/>
  <c r="A3696" i="1"/>
  <c r="A3697" i="1"/>
  <c r="A3698" i="1"/>
  <c r="A3699" i="1"/>
  <c r="A3700" i="1"/>
  <c r="A3701" i="1"/>
  <c r="A3702" i="1"/>
  <c r="A3703" i="1"/>
  <c r="A3704" i="1"/>
  <c r="A3705" i="1"/>
  <c r="A3706" i="1"/>
  <c r="A3707" i="1"/>
  <c r="A3708" i="1"/>
  <c r="A3709" i="1"/>
  <c r="A3710" i="1"/>
  <c r="A3711" i="1"/>
  <c r="A3712" i="1"/>
  <c r="A3713" i="1"/>
  <c r="A3714" i="1"/>
  <c r="A3715" i="1"/>
  <c r="A3716" i="1"/>
  <c r="A3717" i="1"/>
  <c r="A3718" i="1"/>
  <c r="A3719" i="1"/>
  <c r="A3720" i="1"/>
  <c r="A3721" i="1"/>
  <c r="A3722" i="1"/>
  <c r="A3723" i="1"/>
  <c r="A3724" i="1"/>
  <c r="A3725" i="1"/>
  <c r="A3726" i="1"/>
  <c r="A3727" i="1"/>
  <c r="A3728" i="1"/>
  <c r="A3729" i="1"/>
  <c r="A3730" i="1"/>
  <c r="A3731" i="1"/>
  <c r="A3732" i="1"/>
  <c r="A3733" i="1"/>
  <c r="A3734" i="1"/>
  <c r="A3735" i="1"/>
  <c r="A3736" i="1"/>
  <c r="A3737" i="1"/>
  <c r="A3738" i="1"/>
  <c r="A3739" i="1"/>
  <c r="A3740" i="1"/>
  <c r="A3741" i="1"/>
  <c r="A3742" i="1"/>
  <c r="A3743" i="1"/>
  <c r="A3744" i="1"/>
  <c r="A3745" i="1"/>
  <c r="A3746" i="1"/>
  <c r="A3747" i="1"/>
  <c r="A3748" i="1"/>
  <c r="A3749" i="1"/>
  <c r="A3750" i="1"/>
  <c r="A3751" i="1"/>
  <c r="A3752" i="1"/>
  <c r="A3753" i="1"/>
  <c r="A3754" i="1"/>
  <c r="A3755" i="1"/>
  <c r="A3756" i="1"/>
  <c r="A3757" i="1"/>
  <c r="A3758" i="1"/>
  <c r="A3759" i="1"/>
  <c r="A3760" i="1"/>
  <c r="A3761" i="1"/>
  <c r="A3762" i="1"/>
  <c r="A3763" i="1"/>
  <c r="A3764" i="1"/>
  <c r="A3765" i="1"/>
  <c r="A3766" i="1"/>
  <c r="A3767" i="1"/>
  <c r="A3768" i="1"/>
  <c r="A3769" i="1"/>
  <c r="A3770" i="1"/>
  <c r="A3771" i="1"/>
  <c r="A3772" i="1"/>
  <c r="A3773" i="1"/>
  <c r="A3774" i="1"/>
  <c r="A3775" i="1"/>
  <c r="A3776" i="1"/>
  <c r="A3777" i="1"/>
  <c r="A3778" i="1"/>
  <c r="A3779" i="1"/>
  <c r="A3780" i="1"/>
  <c r="A3781" i="1"/>
  <c r="A3782" i="1"/>
  <c r="A3783" i="1"/>
  <c r="A3784" i="1"/>
  <c r="A3785" i="1"/>
  <c r="A3786" i="1"/>
  <c r="A3787" i="1"/>
  <c r="A3788" i="1"/>
  <c r="A3789" i="1"/>
  <c r="A3790" i="1"/>
  <c r="A3791" i="1"/>
  <c r="A3792" i="1"/>
  <c r="A3793" i="1"/>
  <c r="A3794" i="1"/>
  <c r="A3795" i="1"/>
  <c r="A3796" i="1"/>
  <c r="A3797" i="1"/>
  <c r="A3798" i="1"/>
  <c r="A3799" i="1"/>
  <c r="A3800" i="1"/>
  <c r="A3801" i="1"/>
  <c r="A3802" i="1"/>
  <c r="A3803" i="1"/>
  <c r="A3804" i="1"/>
  <c r="A3805" i="1"/>
  <c r="A3806" i="1"/>
  <c r="A3807" i="1"/>
  <c r="A3808" i="1"/>
  <c r="A3809" i="1"/>
  <c r="A3810" i="1"/>
  <c r="A3811" i="1"/>
  <c r="A3812" i="1"/>
  <c r="A3813" i="1"/>
  <c r="A3814" i="1"/>
  <c r="A3815" i="1"/>
  <c r="A3816" i="1"/>
  <c r="A3817" i="1"/>
  <c r="A3818" i="1"/>
  <c r="A3819" i="1"/>
  <c r="A3820" i="1"/>
  <c r="A3821" i="1"/>
  <c r="A3822" i="1"/>
  <c r="A3823" i="1"/>
  <c r="A3824" i="1"/>
  <c r="A3825" i="1"/>
  <c r="A3826" i="1"/>
  <c r="A3827" i="1"/>
  <c r="A3828" i="1"/>
  <c r="A3829" i="1"/>
  <c r="A3830" i="1"/>
  <c r="A3831" i="1"/>
  <c r="A3832" i="1"/>
  <c r="A3833" i="1"/>
  <c r="A3834" i="1"/>
  <c r="A3835" i="1"/>
  <c r="A3836" i="1"/>
  <c r="A3837" i="1"/>
  <c r="A3838" i="1"/>
  <c r="A3839" i="1"/>
  <c r="A3840" i="1"/>
  <c r="A3841" i="1"/>
  <c r="A3842" i="1"/>
  <c r="A3843" i="1"/>
  <c r="A3844" i="1"/>
  <c r="A3845" i="1"/>
  <c r="A3846" i="1"/>
  <c r="A3847" i="1"/>
  <c r="A3848" i="1"/>
  <c r="A3849" i="1"/>
  <c r="A3850" i="1"/>
  <c r="A3851" i="1"/>
  <c r="A3852" i="1"/>
  <c r="A3853" i="1"/>
  <c r="A3854" i="1"/>
  <c r="A3855" i="1"/>
  <c r="A3856" i="1"/>
  <c r="A3857" i="1"/>
  <c r="A3858" i="1"/>
  <c r="A3859" i="1"/>
  <c r="A3860" i="1"/>
  <c r="A3861" i="1"/>
  <c r="A3862" i="1"/>
  <c r="A3863" i="1"/>
  <c r="A3864" i="1"/>
  <c r="A3865" i="1"/>
  <c r="A3866" i="1"/>
  <c r="A3867" i="1"/>
  <c r="A3868" i="1"/>
  <c r="A3869" i="1"/>
  <c r="A3870" i="1"/>
  <c r="A3871" i="1"/>
  <c r="A3872" i="1"/>
  <c r="A3873" i="1"/>
  <c r="A3874" i="1"/>
  <c r="A3875" i="1"/>
  <c r="A3876" i="1"/>
  <c r="A3877" i="1"/>
  <c r="A3878" i="1"/>
  <c r="A3879" i="1"/>
  <c r="A3880" i="1"/>
  <c r="A3881" i="1"/>
  <c r="A3882" i="1"/>
  <c r="A3883" i="1"/>
  <c r="A3884" i="1"/>
  <c r="A3885" i="1"/>
  <c r="A3886" i="1"/>
  <c r="A3887" i="1"/>
  <c r="A3888" i="1"/>
  <c r="A3889" i="1"/>
  <c r="A3890" i="1"/>
  <c r="A3891" i="1"/>
  <c r="A3892" i="1"/>
  <c r="A3893" i="1"/>
  <c r="A3894" i="1"/>
  <c r="A3895" i="1"/>
  <c r="A3896" i="1"/>
  <c r="A3897" i="1"/>
  <c r="A3898" i="1"/>
  <c r="A3899" i="1"/>
  <c r="A3900" i="1"/>
  <c r="A3901" i="1"/>
  <c r="A3902" i="1"/>
  <c r="A3903" i="1"/>
  <c r="A3904" i="1"/>
  <c r="A3905" i="1"/>
  <c r="A3906" i="1"/>
  <c r="A3907" i="1"/>
  <c r="A3908" i="1"/>
  <c r="A3909" i="1"/>
  <c r="A3910" i="1"/>
  <c r="A3911" i="1"/>
  <c r="A3912" i="1"/>
  <c r="A3913" i="1"/>
  <c r="A3914" i="1"/>
  <c r="A3915" i="1"/>
  <c r="A3916" i="1"/>
  <c r="A3917" i="1"/>
  <c r="A3918" i="1"/>
  <c r="A3919" i="1"/>
  <c r="A3920" i="1"/>
  <c r="A3921" i="1"/>
  <c r="A3922" i="1"/>
  <c r="A3923" i="1"/>
  <c r="A3924" i="1"/>
  <c r="A3925" i="1"/>
  <c r="A3926" i="1"/>
  <c r="A3927" i="1"/>
  <c r="A3928" i="1"/>
  <c r="A3929" i="1"/>
  <c r="A3930" i="1"/>
  <c r="A3931" i="1"/>
  <c r="A3932" i="1"/>
  <c r="A3933" i="1"/>
  <c r="A3934" i="1"/>
  <c r="A3935" i="1"/>
  <c r="A3936" i="1"/>
  <c r="A3937" i="1"/>
  <c r="A3938" i="1"/>
  <c r="A3939" i="1"/>
  <c r="A3940" i="1"/>
  <c r="A3941" i="1"/>
  <c r="A3942" i="1"/>
  <c r="A3943" i="1"/>
  <c r="A3944" i="1"/>
  <c r="A3945" i="1"/>
  <c r="A3946" i="1"/>
  <c r="A3947" i="1"/>
  <c r="A3948" i="1"/>
  <c r="A3949" i="1"/>
  <c r="A3950" i="1"/>
  <c r="A3951" i="1"/>
  <c r="A3952" i="1"/>
  <c r="A3953" i="1"/>
  <c r="A3954" i="1"/>
  <c r="A3955" i="1"/>
  <c r="A3956" i="1"/>
  <c r="A3957" i="1"/>
  <c r="A3958" i="1"/>
  <c r="A3959" i="1"/>
  <c r="A3960" i="1"/>
  <c r="A3961" i="1"/>
  <c r="A3962" i="1"/>
  <c r="A3963" i="1"/>
  <c r="A3964" i="1"/>
  <c r="A3965" i="1"/>
  <c r="A3966" i="1"/>
  <c r="A3967" i="1"/>
  <c r="A3968" i="1"/>
  <c r="A3969" i="1"/>
  <c r="A3970" i="1"/>
  <c r="A3971" i="1"/>
  <c r="A3972" i="1"/>
  <c r="A3973" i="1"/>
  <c r="A3974" i="1"/>
  <c r="A3975" i="1"/>
  <c r="A3976" i="1"/>
  <c r="A3977" i="1"/>
  <c r="A3978" i="1"/>
  <c r="A3979" i="1"/>
  <c r="A3980" i="1"/>
  <c r="A3981" i="1"/>
  <c r="A3982" i="1"/>
  <c r="A3983" i="1"/>
  <c r="A3984" i="1"/>
  <c r="A3985" i="1"/>
  <c r="A3986" i="1"/>
  <c r="A3987" i="1"/>
  <c r="A3988" i="1"/>
  <c r="A3989" i="1"/>
  <c r="A3990" i="1"/>
  <c r="A3991" i="1"/>
  <c r="A3992" i="1"/>
  <c r="A3993" i="1"/>
  <c r="A3994" i="1"/>
  <c r="A3995" i="1"/>
  <c r="A3996" i="1"/>
  <c r="A3997" i="1"/>
  <c r="A3998" i="1"/>
  <c r="A3999" i="1"/>
  <c r="A4000" i="1"/>
  <c r="A4001" i="1"/>
  <c r="A4002" i="1"/>
  <c r="A4003" i="1"/>
  <c r="A4004" i="1"/>
  <c r="A4005" i="1"/>
  <c r="A4006" i="1"/>
  <c r="A4007" i="1"/>
  <c r="A4008" i="1"/>
  <c r="A4009" i="1"/>
  <c r="A4010" i="1"/>
  <c r="A4011" i="1"/>
  <c r="A4012" i="1"/>
  <c r="A4013" i="1"/>
  <c r="A4014" i="1"/>
  <c r="A4015" i="1"/>
  <c r="A4016" i="1"/>
  <c r="A4017" i="1"/>
  <c r="A4018" i="1"/>
  <c r="A4019" i="1"/>
  <c r="A4020" i="1"/>
  <c r="A4021" i="1"/>
  <c r="A4022" i="1"/>
  <c r="A4023" i="1"/>
  <c r="A4024" i="1"/>
  <c r="A4025" i="1"/>
  <c r="A4026" i="1"/>
  <c r="A4027" i="1"/>
  <c r="A4028" i="1"/>
  <c r="A4029" i="1"/>
  <c r="A4030" i="1"/>
  <c r="A4031" i="1"/>
  <c r="A4032" i="1"/>
  <c r="A4033" i="1"/>
  <c r="A4034" i="1"/>
  <c r="A4035" i="1"/>
  <c r="A4036" i="1"/>
  <c r="A4037" i="1"/>
  <c r="A4038" i="1"/>
  <c r="A4039" i="1"/>
  <c r="A4040" i="1"/>
  <c r="A4041" i="1"/>
  <c r="A4042" i="1"/>
  <c r="A4043" i="1"/>
  <c r="A4044" i="1"/>
  <c r="A4045" i="1"/>
  <c r="A4046" i="1"/>
  <c r="A4047" i="1"/>
  <c r="A4048" i="1"/>
  <c r="A4049" i="1"/>
  <c r="A4050" i="1"/>
  <c r="A4051" i="1"/>
  <c r="A4052" i="1"/>
  <c r="A4053" i="1"/>
  <c r="A4054" i="1"/>
  <c r="A4055" i="1"/>
  <c r="A4056" i="1"/>
  <c r="A4057" i="1"/>
  <c r="A4058" i="1"/>
  <c r="A4059" i="1"/>
  <c r="A4060" i="1"/>
  <c r="A4061" i="1"/>
  <c r="A4062" i="1"/>
  <c r="A4063" i="1"/>
  <c r="A4064" i="1"/>
  <c r="A4065" i="1"/>
  <c r="A4066" i="1"/>
  <c r="A4067" i="1"/>
  <c r="A4068" i="1"/>
  <c r="A4069" i="1"/>
  <c r="A4070" i="1"/>
  <c r="A4071" i="1"/>
  <c r="A4072" i="1"/>
  <c r="A4073" i="1"/>
  <c r="A4074" i="1"/>
  <c r="A4075" i="1"/>
  <c r="A4076" i="1"/>
  <c r="A4077" i="1"/>
  <c r="A4078" i="1"/>
  <c r="A4079" i="1"/>
  <c r="A4080" i="1"/>
  <c r="A4081" i="1"/>
  <c r="A4082" i="1"/>
  <c r="A4083" i="1"/>
  <c r="A4084" i="1"/>
  <c r="A4085" i="1"/>
  <c r="A4086" i="1"/>
  <c r="A4087" i="1"/>
  <c r="A4088" i="1"/>
  <c r="A4089" i="1"/>
  <c r="A4090" i="1"/>
  <c r="A4091" i="1"/>
  <c r="A4092" i="1"/>
  <c r="A4093" i="1"/>
  <c r="A4094" i="1"/>
  <c r="A4095" i="1"/>
  <c r="A4096" i="1"/>
  <c r="A4097" i="1"/>
  <c r="A4098" i="1"/>
  <c r="A4099" i="1"/>
  <c r="A4100" i="1"/>
  <c r="A4101" i="1"/>
  <c r="A4102" i="1"/>
  <c r="A4103" i="1"/>
  <c r="A4104" i="1"/>
  <c r="A4105" i="1"/>
  <c r="A4106" i="1"/>
  <c r="A4107" i="1"/>
  <c r="A4108" i="1"/>
  <c r="A4109" i="1"/>
  <c r="A4110" i="1"/>
  <c r="A4111" i="1"/>
  <c r="A4112" i="1"/>
  <c r="A4113" i="1"/>
  <c r="A4114" i="1"/>
  <c r="A4115" i="1"/>
  <c r="A4116" i="1"/>
  <c r="A4117" i="1"/>
  <c r="A4118" i="1"/>
  <c r="A4119" i="1"/>
  <c r="A4120" i="1"/>
  <c r="A4121" i="1"/>
  <c r="A4122" i="1"/>
  <c r="A4123" i="1"/>
  <c r="A4124" i="1"/>
  <c r="A4125" i="1"/>
  <c r="A4126" i="1"/>
  <c r="A4127" i="1"/>
  <c r="A4128" i="1"/>
  <c r="A4129" i="1"/>
  <c r="A4130" i="1"/>
  <c r="A4131" i="1"/>
  <c r="A4132" i="1"/>
  <c r="A4133" i="1"/>
  <c r="A4134" i="1"/>
  <c r="A4135" i="1"/>
  <c r="A4136" i="1"/>
  <c r="A4137" i="1"/>
  <c r="A4138" i="1"/>
  <c r="A4139" i="1"/>
  <c r="A4140" i="1"/>
  <c r="A4141" i="1"/>
  <c r="A4142" i="1"/>
  <c r="A4143" i="1"/>
  <c r="A4144" i="1"/>
  <c r="A4145" i="1"/>
  <c r="A4146" i="1"/>
  <c r="A4147" i="1"/>
  <c r="A4148" i="1"/>
  <c r="A4149" i="1"/>
  <c r="A4150" i="1"/>
  <c r="A4151" i="1"/>
  <c r="A4152" i="1"/>
  <c r="A4153" i="1"/>
  <c r="A4154" i="1"/>
  <c r="A4155" i="1"/>
  <c r="A4156" i="1"/>
  <c r="A4157" i="1"/>
  <c r="A4158" i="1"/>
  <c r="A4159" i="1"/>
  <c r="A4160" i="1"/>
  <c r="A4161" i="1"/>
  <c r="A4162" i="1"/>
  <c r="A4163" i="1"/>
  <c r="A4164" i="1"/>
  <c r="A4165" i="1"/>
  <c r="A4166" i="1"/>
  <c r="A4167" i="1"/>
  <c r="A4168" i="1"/>
  <c r="A4169" i="1"/>
  <c r="A4170" i="1"/>
  <c r="A4171" i="1"/>
  <c r="A4172" i="1"/>
  <c r="A4173" i="1"/>
  <c r="A4174" i="1"/>
  <c r="A4175" i="1"/>
  <c r="A4176" i="1"/>
  <c r="A4177" i="1"/>
  <c r="A4178" i="1"/>
  <c r="A4179" i="1"/>
  <c r="A4180" i="1"/>
  <c r="A4181" i="1"/>
  <c r="A4182" i="1"/>
  <c r="A4183" i="1"/>
  <c r="A4184" i="1"/>
  <c r="A4185" i="1"/>
  <c r="A4186" i="1"/>
  <c r="A4187" i="1"/>
  <c r="A4188" i="1"/>
  <c r="A4189" i="1"/>
  <c r="A4190" i="1"/>
  <c r="A4191" i="1"/>
  <c r="A4192" i="1"/>
  <c r="A4193" i="1"/>
  <c r="A4194" i="1"/>
  <c r="A4195" i="1"/>
  <c r="A4196" i="1"/>
  <c r="A4197" i="1"/>
  <c r="A4198" i="1"/>
  <c r="A4199" i="1"/>
  <c r="A4200" i="1"/>
  <c r="A4201" i="1"/>
  <c r="A4202" i="1"/>
  <c r="A4203" i="1"/>
  <c r="A4204" i="1"/>
  <c r="A4205" i="1"/>
  <c r="A4206" i="1"/>
  <c r="A4207" i="1"/>
  <c r="A4208" i="1"/>
  <c r="A4209" i="1"/>
  <c r="A4210" i="1"/>
  <c r="A4211" i="1"/>
  <c r="A4212" i="1"/>
  <c r="A4213" i="1"/>
  <c r="A4214" i="1"/>
  <c r="A4215" i="1"/>
  <c r="A4216" i="1"/>
  <c r="A4217" i="1"/>
  <c r="A4218" i="1"/>
  <c r="A4219" i="1"/>
  <c r="A4220" i="1"/>
  <c r="A4221" i="1"/>
  <c r="A4222" i="1"/>
  <c r="A4223" i="1"/>
  <c r="A4224" i="1"/>
  <c r="A4225" i="1"/>
  <c r="A4226" i="1"/>
  <c r="A4227" i="1"/>
  <c r="A4228" i="1"/>
  <c r="A4229" i="1"/>
  <c r="A4230" i="1"/>
  <c r="A4231" i="1"/>
  <c r="A4232" i="1"/>
  <c r="A4233" i="1"/>
  <c r="A4234" i="1"/>
  <c r="A4235" i="1"/>
  <c r="A4236" i="1"/>
  <c r="A4237" i="1"/>
  <c r="A4238" i="1"/>
  <c r="A4239" i="1"/>
  <c r="A4240" i="1"/>
  <c r="A4241" i="1"/>
  <c r="A4242" i="1"/>
  <c r="A4243" i="1"/>
  <c r="A4244" i="1"/>
  <c r="A4245" i="1"/>
  <c r="A4246" i="1"/>
  <c r="A4247" i="1"/>
  <c r="A4248" i="1"/>
  <c r="A4249" i="1"/>
  <c r="A4250" i="1"/>
  <c r="A4251" i="1"/>
  <c r="A4252" i="1"/>
  <c r="A4253" i="1"/>
  <c r="A4254" i="1"/>
  <c r="A4255" i="1"/>
  <c r="A4256" i="1"/>
  <c r="A4257" i="1"/>
  <c r="A4258" i="1"/>
  <c r="A4259" i="1"/>
  <c r="A4260" i="1"/>
  <c r="A4261" i="1"/>
  <c r="A4262" i="1"/>
  <c r="A4263" i="1"/>
  <c r="A4264" i="1"/>
  <c r="A4265" i="1"/>
  <c r="A4266" i="1"/>
  <c r="A4267" i="1"/>
  <c r="A4268" i="1"/>
  <c r="A4269" i="1"/>
  <c r="A4270" i="1"/>
  <c r="A4271" i="1"/>
  <c r="A4272" i="1"/>
  <c r="A4273" i="1"/>
  <c r="A4274" i="1"/>
  <c r="A4275" i="1"/>
  <c r="A4276" i="1"/>
  <c r="A4277" i="1"/>
  <c r="A4278" i="1"/>
  <c r="A4279" i="1"/>
  <c r="A4280" i="1"/>
  <c r="A4281" i="1"/>
  <c r="A4282" i="1"/>
  <c r="A4283" i="1"/>
  <c r="A4284" i="1"/>
  <c r="A4285" i="1"/>
  <c r="A4286" i="1"/>
  <c r="A4287" i="1"/>
  <c r="A4288" i="1"/>
  <c r="A4289" i="1"/>
  <c r="A4290" i="1"/>
  <c r="A4291" i="1"/>
  <c r="A4292" i="1"/>
  <c r="A4293" i="1"/>
  <c r="A4294" i="1"/>
  <c r="A4295" i="1"/>
  <c r="A4296" i="1"/>
  <c r="A4297" i="1"/>
  <c r="A4298" i="1"/>
  <c r="A4299" i="1"/>
  <c r="A4300" i="1"/>
  <c r="A4301" i="1"/>
  <c r="A4302" i="1"/>
  <c r="A4303" i="1"/>
  <c r="A4304" i="1"/>
  <c r="A4305" i="1"/>
  <c r="A4306" i="1"/>
  <c r="A4307" i="1"/>
  <c r="A4308" i="1"/>
  <c r="A4309" i="1"/>
  <c r="A4310" i="1"/>
  <c r="A4311" i="1"/>
  <c r="A4312" i="1"/>
  <c r="A4313" i="1"/>
  <c r="A4314" i="1"/>
  <c r="A4315" i="1"/>
  <c r="A4316" i="1"/>
  <c r="A4317" i="1"/>
  <c r="A4318" i="1"/>
  <c r="A4319" i="1"/>
  <c r="A4320" i="1"/>
  <c r="A4321" i="1"/>
  <c r="A4322" i="1"/>
  <c r="A4323" i="1"/>
  <c r="A4324" i="1"/>
  <c r="A4325" i="1"/>
  <c r="A4326" i="1"/>
  <c r="A4327" i="1"/>
  <c r="A4328" i="1"/>
  <c r="A4329" i="1"/>
  <c r="A4330" i="1"/>
  <c r="A4331" i="1"/>
  <c r="A4332" i="1"/>
  <c r="A4333" i="1"/>
  <c r="A4334" i="1"/>
  <c r="A4335" i="1"/>
  <c r="A4336" i="1"/>
  <c r="A4337" i="1"/>
  <c r="A4338" i="1"/>
  <c r="A4339" i="1"/>
  <c r="A4340" i="1"/>
  <c r="A4341" i="1"/>
  <c r="A4342" i="1"/>
  <c r="A4343" i="1"/>
  <c r="A4344" i="1"/>
  <c r="A4345" i="1"/>
  <c r="A4346" i="1"/>
  <c r="A4347" i="1"/>
  <c r="A4348" i="1"/>
  <c r="A4349" i="1"/>
  <c r="A4350" i="1"/>
  <c r="A4351" i="1"/>
  <c r="A4352" i="1"/>
  <c r="A4353" i="1"/>
  <c r="A4354" i="1"/>
  <c r="A4355" i="1"/>
  <c r="A4356" i="1"/>
  <c r="A4357" i="1"/>
  <c r="A4358" i="1"/>
  <c r="A4359" i="1"/>
  <c r="A4360" i="1"/>
  <c r="A4361" i="1"/>
  <c r="A4362" i="1"/>
  <c r="A4363" i="1"/>
  <c r="A4364" i="1"/>
  <c r="A4365" i="1"/>
  <c r="A4366" i="1"/>
  <c r="A4367" i="1"/>
  <c r="A4368" i="1"/>
  <c r="A4369" i="1"/>
  <c r="A4370" i="1"/>
  <c r="A4371" i="1"/>
  <c r="A4372" i="1"/>
  <c r="A4373" i="1"/>
  <c r="A4374" i="1"/>
  <c r="A4375" i="1"/>
  <c r="A4376" i="1"/>
  <c r="A4377" i="1"/>
  <c r="A4378" i="1"/>
  <c r="A4379" i="1"/>
  <c r="A4380" i="1"/>
  <c r="A4381" i="1"/>
  <c r="A4382" i="1"/>
  <c r="A4383" i="1"/>
  <c r="A4384" i="1"/>
  <c r="A4385" i="1"/>
  <c r="A4386" i="1"/>
  <c r="A4387" i="1"/>
  <c r="A4388" i="1"/>
  <c r="A4389" i="1"/>
  <c r="A4390" i="1"/>
  <c r="A4391" i="1"/>
  <c r="A4392" i="1"/>
  <c r="A4393" i="1"/>
  <c r="A4394" i="1"/>
  <c r="A4395" i="1"/>
  <c r="A4396" i="1"/>
  <c r="A4397" i="1"/>
  <c r="A4398" i="1"/>
  <c r="A4399" i="1"/>
  <c r="A4400" i="1"/>
  <c r="A4401" i="1"/>
  <c r="A4402" i="1"/>
  <c r="A4403" i="1"/>
  <c r="A4404" i="1"/>
  <c r="A4405" i="1"/>
  <c r="A4406" i="1"/>
  <c r="A4407" i="1"/>
  <c r="A4408" i="1"/>
  <c r="A4409" i="1"/>
  <c r="A4410" i="1"/>
  <c r="A4411" i="1"/>
  <c r="A4412" i="1"/>
  <c r="A4413" i="1"/>
  <c r="A4414" i="1"/>
  <c r="A4415" i="1"/>
  <c r="A4416" i="1"/>
  <c r="A4417" i="1"/>
  <c r="A4418" i="1"/>
  <c r="A4419" i="1"/>
  <c r="A4420" i="1"/>
  <c r="A4421" i="1"/>
  <c r="A4422" i="1"/>
  <c r="A4423" i="1"/>
  <c r="A4424" i="1"/>
  <c r="A4425" i="1"/>
  <c r="A4426" i="1"/>
  <c r="A4427" i="1"/>
  <c r="A4428" i="1"/>
  <c r="A4429" i="1"/>
  <c r="A4430" i="1"/>
  <c r="A4431" i="1"/>
  <c r="A4432" i="1"/>
  <c r="A4433" i="1"/>
  <c r="A4434" i="1"/>
  <c r="A4435" i="1"/>
  <c r="A4436" i="1"/>
  <c r="A4437" i="1"/>
  <c r="A4438" i="1"/>
  <c r="A4439" i="1"/>
  <c r="A4440" i="1"/>
  <c r="A4441" i="1"/>
  <c r="A4442" i="1"/>
  <c r="A4443" i="1"/>
  <c r="A4444" i="1"/>
  <c r="A4445" i="1"/>
  <c r="A4446" i="1"/>
  <c r="A4447" i="1"/>
  <c r="A4448" i="1"/>
  <c r="A4449" i="1"/>
  <c r="A4450" i="1"/>
  <c r="A4451" i="1"/>
  <c r="A4452" i="1"/>
  <c r="A4453" i="1"/>
  <c r="A4454" i="1"/>
  <c r="A4455" i="1"/>
  <c r="A4456" i="1"/>
  <c r="A4457" i="1"/>
  <c r="A4458" i="1"/>
  <c r="A4459" i="1"/>
  <c r="A4460" i="1"/>
  <c r="A4461" i="1"/>
  <c r="A4462" i="1"/>
  <c r="A4463" i="1"/>
  <c r="A4464" i="1"/>
  <c r="A4465" i="1"/>
  <c r="A4466" i="1"/>
  <c r="A4467" i="1"/>
  <c r="A4468" i="1"/>
  <c r="A4469" i="1"/>
  <c r="A4470" i="1"/>
  <c r="A4471" i="1"/>
  <c r="A4472" i="1"/>
  <c r="A4473" i="1"/>
  <c r="A4474" i="1"/>
  <c r="A4475" i="1"/>
  <c r="A4476" i="1"/>
  <c r="A4477" i="1"/>
  <c r="A4478" i="1"/>
  <c r="A4479" i="1"/>
  <c r="A4480" i="1"/>
  <c r="A4481" i="1"/>
  <c r="A4482" i="1"/>
  <c r="A4483" i="1"/>
  <c r="A4484" i="1"/>
  <c r="A4485" i="1"/>
  <c r="A4486" i="1"/>
  <c r="A4487" i="1"/>
  <c r="A4488" i="1"/>
  <c r="A4489" i="1"/>
  <c r="A4490" i="1"/>
  <c r="A4491" i="1"/>
  <c r="A4492" i="1"/>
  <c r="A4493" i="1"/>
  <c r="A4494" i="1"/>
  <c r="A4495" i="1"/>
  <c r="A4496" i="1"/>
  <c r="A4497" i="1"/>
  <c r="A4498" i="1"/>
  <c r="A4499" i="1"/>
  <c r="A4500" i="1"/>
  <c r="A4501" i="1"/>
  <c r="A4502" i="1"/>
  <c r="A4503" i="1"/>
  <c r="A4504" i="1"/>
  <c r="A4505" i="1"/>
  <c r="A4506" i="1"/>
  <c r="A4507" i="1"/>
  <c r="A4508" i="1"/>
  <c r="A4509" i="1"/>
  <c r="A4510" i="1"/>
  <c r="A4511" i="1"/>
  <c r="A4512" i="1"/>
  <c r="A4513" i="1"/>
  <c r="A4514" i="1"/>
  <c r="A4515" i="1"/>
  <c r="A4516" i="1"/>
  <c r="A4517" i="1"/>
  <c r="A4518" i="1"/>
  <c r="A4519" i="1"/>
  <c r="A4520" i="1"/>
  <c r="A4521" i="1"/>
  <c r="A4522" i="1"/>
  <c r="A4523" i="1"/>
  <c r="A4524" i="1"/>
  <c r="A4525" i="1"/>
  <c r="A4526" i="1"/>
  <c r="A4527" i="1"/>
  <c r="A4528" i="1"/>
  <c r="A4529" i="1"/>
  <c r="A4530" i="1"/>
  <c r="A4531" i="1"/>
  <c r="A4532" i="1"/>
  <c r="A4533" i="1"/>
  <c r="A4534" i="1"/>
  <c r="A4535" i="1"/>
  <c r="A4536" i="1"/>
  <c r="A4537" i="1"/>
  <c r="A4538" i="1"/>
  <c r="A4539" i="1"/>
  <c r="A4540" i="1"/>
  <c r="A4541" i="1"/>
  <c r="A4542" i="1"/>
  <c r="A4543" i="1"/>
  <c r="A4544" i="1"/>
  <c r="A4545" i="1"/>
  <c r="A4546" i="1"/>
  <c r="A4547" i="1"/>
  <c r="A4548" i="1"/>
  <c r="A4549" i="1"/>
  <c r="A4550" i="1"/>
  <c r="A4551" i="1"/>
  <c r="A4552" i="1"/>
  <c r="A4553" i="1"/>
  <c r="A4554" i="1"/>
  <c r="A4555" i="1"/>
  <c r="A4556" i="1"/>
  <c r="A4557" i="1"/>
  <c r="A4558" i="1"/>
  <c r="A4559" i="1"/>
  <c r="A4560" i="1"/>
  <c r="A4561" i="1"/>
  <c r="A4562" i="1"/>
  <c r="A4563" i="1"/>
  <c r="A4564" i="1"/>
  <c r="A4565" i="1"/>
  <c r="A4566" i="1"/>
  <c r="A4567" i="1"/>
  <c r="A4568" i="1"/>
  <c r="A4569" i="1"/>
  <c r="A4570" i="1"/>
  <c r="A4571" i="1"/>
  <c r="A4572" i="1"/>
  <c r="A4573" i="1"/>
  <c r="A4574" i="1"/>
  <c r="A4575" i="1"/>
  <c r="A4576" i="1"/>
  <c r="A4577" i="1"/>
  <c r="A4578" i="1"/>
  <c r="A4579" i="1"/>
  <c r="A4580" i="1"/>
  <c r="A4581" i="1"/>
  <c r="A4582" i="1"/>
  <c r="A4583" i="1"/>
  <c r="A4584" i="1"/>
  <c r="A4585" i="1"/>
  <c r="A4586" i="1"/>
  <c r="A4587" i="1"/>
  <c r="A4588" i="1"/>
  <c r="A4589" i="1"/>
  <c r="A4590" i="1"/>
  <c r="A4591" i="1"/>
  <c r="A4592" i="1"/>
  <c r="A4593" i="1"/>
  <c r="A4594" i="1"/>
  <c r="A4595" i="1"/>
  <c r="A4596" i="1"/>
  <c r="A4597" i="1"/>
  <c r="A4598" i="1"/>
  <c r="A4599" i="1"/>
  <c r="A4600" i="1"/>
  <c r="A4601" i="1"/>
  <c r="A4602" i="1"/>
  <c r="A4603" i="1"/>
  <c r="A4604" i="1"/>
  <c r="A4605" i="1"/>
  <c r="A4606" i="1"/>
  <c r="A4607" i="1"/>
  <c r="A4608" i="1"/>
  <c r="A4609" i="1"/>
  <c r="A4610" i="1"/>
  <c r="A4611" i="1"/>
  <c r="A4612" i="1"/>
  <c r="A4613" i="1"/>
  <c r="A4614" i="1"/>
  <c r="A4615" i="1"/>
  <c r="A4616" i="1"/>
  <c r="A4617" i="1"/>
  <c r="A4618" i="1"/>
  <c r="A4619" i="1"/>
  <c r="A4620" i="1"/>
  <c r="A4621" i="1"/>
  <c r="A4622" i="1"/>
  <c r="A4623" i="1"/>
  <c r="A4624" i="1"/>
  <c r="A4625" i="1"/>
  <c r="A4626" i="1"/>
  <c r="A4627" i="1"/>
  <c r="A4628" i="1"/>
  <c r="A4629" i="1"/>
  <c r="A4630" i="1"/>
  <c r="A4631" i="1"/>
  <c r="A4632" i="1"/>
  <c r="A4633" i="1"/>
  <c r="A4634" i="1"/>
  <c r="A4635" i="1"/>
  <c r="A4636" i="1"/>
  <c r="A4637" i="1"/>
  <c r="A4638" i="1"/>
  <c r="A4639" i="1"/>
  <c r="A4640" i="1"/>
  <c r="A4641" i="1"/>
  <c r="A4642" i="1"/>
  <c r="A4643" i="1"/>
  <c r="A4644" i="1"/>
  <c r="A4645" i="1"/>
  <c r="A4646" i="1"/>
  <c r="A4647" i="1"/>
  <c r="A4648" i="1"/>
  <c r="A4649" i="1"/>
  <c r="A4650" i="1"/>
  <c r="A4651" i="1"/>
  <c r="A4652" i="1"/>
  <c r="A4653" i="1"/>
  <c r="A4654" i="1"/>
  <c r="A4655" i="1"/>
  <c r="A4656" i="1"/>
  <c r="A4657" i="1"/>
  <c r="A4658" i="1"/>
  <c r="A4659" i="1"/>
  <c r="A4660" i="1"/>
  <c r="A4661" i="1"/>
  <c r="A4662" i="1"/>
  <c r="A4663" i="1"/>
  <c r="A4664" i="1"/>
  <c r="A4665" i="1"/>
  <c r="A4666" i="1"/>
  <c r="A4667" i="1"/>
  <c r="A4668" i="1"/>
  <c r="A4669" i="1"/>
  <c r="A4670" i="1"/>
  <c r="A4671" i="1"/>
  <c r="A4672" i="1"/>
  <c r="A4673" i="1"/>
  <c r="A4674" i="1"/>
  <c r="A4675" i="1"/>
  <c r="A4676" i="1"/>
  <c r="A4677" i="1"/>
  <c r="A4678" i="1"/>
  <c r="A4679" i="1"/>
  <c r="A4680" i="1"/>
  <c r="A4681" i="1"/>
  <c r="A4682" i="1"/>
  <c r="A4683" i="1"/>
  <c r="A4684" i="1"/>
  <c r="A4685" i="1"/>
  <c r="A4686" i="1"/>
  <c r="A4687" i="1"/>
  <c r="A4688" i="1"/>
  <c r="A4689" i="1"/>
  <c r="A4690" i="1"/>
  <c r="A4691" i="1"/>
  <c r="A4692" i="1"/>
  <c r="A4693" i="1"/>
  <c r="A4694" i="1"/>
  <c r="A4695" i="1"/>
  <c r="A4696" i="1"/>
  <c r="A4697" i="1"/>
  <c r="A4698" i="1"/>
  <c r="A4699" i="1"/>
  <c r="A4700" i="1"/>
  <c r="A4701" i="1"/>
  <c r="A4702" i="1"/>
  <c r="A4703" i="1"/>
  <c r="A4704" i="1"/>
  <c r="A4705" i="1"/>
  <c r="A4706" i="1"/>
  <c r="A4707" i="1"/>
  <c r="A4708" i="1"/>
  <c r="A4709" i="1"/>
  <c r="A4710" i="1"/>
  <c r="A4711" i="1"/>
  <c r="A4712" i="1"/>
  <c r="A4713" i="1"/>
  <c r="A4714" i="1"/>
  <c r="A4715" i="1"/>
  <c r="A4716" i="1"/>
  <c r="A4717" i="1"/>
  <c r="A4718" i="1"/>
  <c r="A4719" i="1"/>
  <c r="A4720" i="1"/>
  <c r="A4721" i="1"/>
  <c r="A4722" i="1"/>
  <c r="A4723" i="1"/>
  <c r="A4724" i="1"/>
  <c r="A4725" i="1"/>
  <c r="A4726" i="1"/>
  <c r="A4727" i="1"/>
  <c r="A4728" i="1"/>
  <c r="A4729" i="1"/>
  <c r="A4730" i="1"/>
  <c r="A4731" i="1"/>
  <c r="A4732" i="1"/>
  <c r="A4733" i="1"/>
  <c r="A4734" i="1"/>
  <c r="A4735" i="1"/>
  <c r="A4736" i="1"/>
  <c r="A4737" i="1"/>
  <c r="A4738" i="1"/>
  <c r="A4739" i="1"/>
  <c r="A4740" i="1"/>
  <c r="A4741" i="1"/>
  <c r="A4742" i="1"/>
  <c r="A4743" i="1"/>
  <c r="A4744" i="1"/>
  <c r="A4745" i="1"/>
  <c r="A4746" i="1"/>
  <c r="A4747" i="1"/>
  <c r="A4748" i="1"/>
  <c r="A4749" i="1"/>
  <c r="A4750" i="1"/>
  <c r="A4751" i="1"/>
  <c r="A4752" i="1"/>
  <c r="A4753" i="1"/>
  <c r="A4754" i="1"/>
  <c r="A4755" i="1"/>
  <c r="A4756" i="1"/>
  <c r="A4757" i="1"/>
  <c r="A4758" i="1"/>
  <c r="A4759" i="1"/>
  <c r="A4760" i="1"/>
  <c r="A4761" i="1"/>
  <c r="A4762" i="1"/>
  <c r="A4763" i="1"/>
  <c r="A4764" i="1"/>
  <c r="A4765" i="1"/>
  <c r="A4766" i="1"/>
  <c r="A4767" i="1"/>
  <c r="A4768" i="1"/>
  <c r="A4769" i="1"/>
  <c r="A4770" i="1"/>
  <c r="A4771" i="1"/>
  <c r="A4772" i="1"/>
  <c r="A4773" i="1"/>
  <c r="A4774" i="1"/>
  <c r="A4775" i="1"/>
  <c r="A4776" i="1"/>
  <c r="A4777" i="1"/>
  <c r="A4778" i="1"/>
  <c r="A4779" i="1"/>
  <c r="A4780" i="1"/>
  <c r="A4781" i="1"/>
  <c r="A4782" i="1"/>
  <c r="A4783" i="1"/>
  <c r="A4784" i="1"/>
  <c r="A4785" i="1"/>
  <c r="A4786" i="1"/>
  <c r="A4787" i="1"/>
  <c r="A4788" i="1"/>
  <c r="A4789" i="1"/>
  <c r="A4790" i="1"/>
  <c r="A4791" i="1"/>
  <c r="A4792" i="1"/>
  <c r="A4793" i="1"/>
  <c r="A4794" i="1"/>
  <c r="A4795" i="1"/>
  <c r="A4796" i="1"/>
  <c r="A4797" i="1"/>
  <c r="A4798" i="1"/>
  <c r="A4799" i="1"/>
  <c r="A4800" i="1"/>
  <c r="A4801" i="1"/>
  <c r="A4802" i="1"/>
  <c r="A4803" i="1"/>
  <c r="A4804" i="1"/>
  <c r="A4805" i="1"/>
  <c r="A4806" i="1"/>
  <c r="A4807" i="1"/>
  <c r="A4808" i="1"/>
  <c r="A4809" i="1"/>
  <c r="A4810" i="1"/>
  <c r="A4811" i="1"/>
  <c r="A4812" i="1"/>
  <c r="A4813" i="1"/>
  <c r="A4814" i="1"/>
  <c r="A4815" i="1"/>
  <c r="A4816" i="1"/>
  <c r="A4817" i="1"/>
  <c r="A4818" i="1"/>
  <c r="A4819" i="1"/>
  <c r="A4820" i="1"/>
  <c r="A4821" i="1"/>
  <c r="A4822" i="1"/>
  <c r="A4823" i="1"/>
  <c r="A4824" i="1"/>
  <c r="A4825" i="1"/>
  <c r="A4826" i="1"/>
  <c r="A4827" i="1"/>
  <c r="A4828" i="1"/>
  <c r="A4829" i="1"/>
  <c r="A4830" i="1"/>
  <c r="A4831" i="1"/>
  <c r="A4832" i="1"/>
  <c r="A4833" i="1"/>
  <c r="A4834" i="1"/>
  <c r="A4835" i="1"/>
  <c r="A4836" i="1"/>
  <c r="A4837" i="1"/>
  <c r="A4838" i="1"/>
  <c r="A4839" i="1"/>
  <c r="A4840" i="1"/>
  <c r="A4841" i="1"/>
  <c r="A4842" i="1"/>
  <c r="A4843" i="1"/>
  <c r="A4844" i="1"/>
  <c r="A4845" i="1"/>
  <c r="A4846" i="1"/>
  <c r="A4847" i="1"/>
  <c r="A4848" i="1"/>
  <c r="A4849" i="1"/>
  <c r="A4850" i="1"/>
  <c r="A4851" i="1"/>
  <c r="A4852" i="1"/>
  <c r="A4853" i="1"/>
  <c r="A4854" i="1"/>
  <c r="A4855" i="1"/>
  <c r="A4856" i="1"/>
  <c r="A4857" i="1"/>
  <c r="A4858" i="1"/>
  <c r="A4859" i="1"/>
  <c r="A4860" i="1"/>
  <c r="A4861" i="1"/>
  <c r="A4862" i="1"/>
  <c r="A4863" i="1"/>
  <c r="A4864" i="1"/>
  <c r="A4865" i="1"/>
  <c r="A4866" i="1"/>
  <c r="A4867" i="1"/>
  <c r="A4868" i="1"/>
  <c r="A4869" i="1"/>
  <c r="A4870" i="1"/>
  <c r="A4871" i="1"/>
  <c r="A4872" i="1"/>
  <c r="A4873" i="1"/>
  <c r="A4874" i="1"/>
  <c r="A4875" i="1"/>
  <c r="A4876" i="1"/>
  <c r="A4877" i="1"/>
  <c r="A4878" i="1"/>
  <c r="A4879" i="1"/>
  <c r="A4880" i="1"/>
  <c r="A4881" i="1"/>
  <c r="A4882" i="1"/>
  <c r="A4883" i="1"/>
  <c r="A4884" i="1"/>
  <c r="A4885" i="1"/>
  <c r="A4886" i="1"/>
  <c r="A4887" i="1"/>
  <c r="A4888" i="1"/>
  <c r="A4889" i="1"/>
  <c r="A4890" i="1"/>
  <c r="A4891" i="1"/>
  <c r="A4892" i="1"/>
  <c r="A4893" i="1"/>
  <c r="A4894" i="1"/>
  <c r="A4895" i="1"/>
  <c r="A4896" i="1"/>
  <c r="A4897" i="1"/>
  <c r="A4898" i="1"/>
  <c r="A4899" i="1"/>
  <c r="A4900" i="1"/>
  <c r="A4901" i="1"/>
  <c r="A4902" i="1"/>
  <c r="A4903" i="1"/>
  <c r="A4904" i="1"/>
  <c r="A4905" i="1"/>
  <c r="A4906" i="1"/>
  <c r="A4907" i="1"/>
  <c r="A4908" i="1"/>
  <c r="A4909" i="1"/>
  <c r="A4910" i="1"/>
  <c r="A4911" i="1"/>
  <c r="A4912" i="1"/>
  <c r="A4913" i="1"/>
  <c r="A4914" i="1"/>
  <c r="A4915" i="1"/>
  <c r="A4916" i="1"/>
  <c r="A4917" i="1"/>
  <c r="A4918" i="1"/>
  <c r="A4919" i="1"/>
  <c r="A4920" i="1"/>
  <c r="A4921" i="1"/>
  <c r="A4922" i="1"/>
  <c r="A4923" i="1"/>
  <c r="A4924" i="1"/>
  <c r="A4925" i="1"/>
  <c r="A4926" i="1"/>
  <c r="A4927" i="1"/>
  <c r="A4928" i="1"/>
  <c r="A4929" i="1"/>
  <c r="A4930" i="1"/>
  <c r="A4931" i="1"/>
  <c r="A4932" i="1"/>
  <c r="A4933" i="1"/>
  <c r="A4934" i="1"/>
  <c r="A4935" i="1"/>
  <c r="A4936" i="1"/>
  <c r="A4937" i="1"/>
  <c r="A4938" i="1"/>
  <c r="A4939" i="1"/>
  <c r="A4940" i="1"/>
  <c r="A4941" i="1"/>
  <c r="A4942" i="1"/>
  <c r="A4943" i="1"/>
  <c r="A4944" i="1"/>
  <c r="A4945" i="1"/>
  <c r="A4946" i="1"/>
  <c r="A4947" i="1"/>
  <c r="A4948" i="1"/>
  <c r="A4949" i="1"/>
  <c r="A4950" i="1"/>
  <c r="A4951" i="1"/>
  <c r="A4952" i="1"/>
  <c r="A4953" i="1"/>
  <c r="A4954" i="1"/>
  <c r="A4955" i="1"/>
  <c r="A4956" i="1"/>
  <c r="A4957" i="1"/>
  <c r="A4958" i="1"/>
  <c r="A4959" i="1"/>
  <c r="A4960" i="1"/>
  <c r="A4961" i="1"/>
  <c r="A4962" i="1"/>
  <c r="A4963" i="1"/>
  <c r="A4964" i="1"/>
  <c r="A4965" i="1"/>
  <c r="A4966" i="1"/>
  <c r="A4967" i="1"/>
  <c r="A4968" i="1"/>
  <c r="A4969" i="1"/>
  <c r="A4970" i="1"/>
  <c r="A4971" i="1"/>
  <c r="A4972" i="1"/>
  <c r="A4973" i="1"/>
  <c r="A4974" i="1"/>
  <c r="A4975" i="1"/>
  <c r="A4976" i="1"/>
  <c r="A4977" i="1"/>
  <c r="A4978" i="1"/>
  <c r="A4979" i="1"/>
  <c r="A4980" i="1"/>
  <c r="A4981" i="1"/>
  <c r="A4982" i="1"/>
  <c r="A4983" i="1"/>
  <c r="A4984" i="1"/>
  <c r="A4985" i="1"/>
  <c r="A4986" i="1"/>
  <c r="A4987" i="1"/>
  <c r="A4988" i="1"/>
  <c r="A4989" i="1"/>
  <c r="A4990" i="1"/>
  <c r="A4991" i="1"/>
  <c r="A4992" i="1"/>
  <c r="A4993" i="1"/>
  <c r="A4994" i="1"/>
  <c r="A4995" i="1"/>
  <c r="A4996" i="1"/>
  <c r="A4997" i="1"/>
  <c r="A4998" i="1"/>
  <c r="A4999" i="1"/>
  <c r="A5000" i="1"/>
  <c r="A5001" i="1"/>
  <c r="A5002" i="1"/>
  <c r="A5003" i="1"/>
  <c r="A5004" i="1"/>
  <c r="A5005" i="1"/>
  <c r="A5006" i="1"/>
  <c r="A5007" i="1"/>
  <c r="A5008" i="1"/>
  <c r="A5009" i="1"/>
  <c r="A5010" i="1"/>
  <c r="A5011" i="1"/>
  <c r="A5012" i="1"/>
  <c r="A5013" i="1"/>
  <c r="A5014" i="1"/>
  <c r="A5015" i="1"/>
  <c r="A5016" i="1"/>
  <c r="A5017" i="1"/>
  <c r="A5018" i="1"/>
  <c r="A5019" i="1"/>
  <c r="A5020" i="1"/>
  <c r="A5021" i="1"/>
  <c r="A5022" i="1"/>
  <c r="A5023" i="1"/>
  <c r="A5024" i="1"/>
  <c r="A5025" i="1"/>
  <c r="A5026" i="1"/>
  <c r="A5027" i="1"/>
  <c r="A5028" i="1"/>
  <c r="A5029" i="1"/>
  <c r="A5030" i="1"/>
  <c r="A5031" i="1"/>
  <c r="A5032" i="1"/>
  <c r="A5033" i="1"/>
  <c r="A5034" i="1"/>
  <c r="A5035" i="1"/>
  <c r="A5036" i="1"/>
  <c r="A5037" i="1"/>
  <c r="A5038" i="1"/>
  <c r="A5039" i="1"/>
  <c r="A5040" i="1"/>
  <c r="A5041" i="1"/>
  <c r="A5042" i="1"/>
  <c r="A5043" i="1"/>
  <c r="A5044" i="1"/>
  <c r="A5045" i="1"/>
  <c r="A5046" i="1"/>
  <c r="A5047" i="1"/>
  <c r="A5048" i="1"/>
  <c r="A5049" i="1"/>
  <c r="A5050" i="1"/>
  <c r="A5051" i="1"/>
  <c r="A5052" i="1"/>
  <c r="A5053" i="1"/>
  <c r="A5054" i="1"/>
  <c r="A5055" i="1"/>
  <c r="A5056" i="1"/>
  <c r="A5057" i="1"/>
  <c r="A5058" i="1"/>
  <c r="A5059" i="1"/>
  <c r="A5060" i="1"/>
  <c r="A5061" i="1"/>
  <c r="A5062" i="1"/>
  <c r="A5063" i="1"/>
  <c r="A5064" i="1"/>
  <c r="A5065" i="1"/>
  <c r="A5066" i="1"/>
  <c r="A5067" i="1"/>
  <c r="A5068" i="1"/>
  <c r="A5069" i="1"/>
  <c r="A5070" i="1"/>
  <c r="A5071" i="1"/>
  <c r="A5072" i="1"/>
  <c r="A5073" i="1"/>
  <c r="A5074" i="1"/>
  <c r="A5075" i="1"/>
  <c r="A5076" i="1"/>
  <c r="A5077" i="1"/>
  <c r="A5078" i="1"/>
  <c r="A5079" i="1"/>
  <c r="A5080" i="1"/>
  <c r="A5081" i="1"/>
  <c r="A5082" i="1"/>
  <c r="A5083" i="1"/>
  <c r="A5084" i="1"/>
  <c r="A5085" i="1"/>
  <c r="A5086" i="1"/>
  <c r="A5087" i="1"/>
  <c r="A5088" i="1"/>
  <c r="A5089" i="1"/>
  <c r="A5090" i="1"/>
  <c r="A5091" i="1"/>
  <c r="A5092" i="1"/>
  <c r="A5093" i="1"/>
  <c r="A5094" i="1"/>
  <c r="A5095" i="1"/>
  <c r="A5096" i="1"/>
  <c r="A5097" i="1"/>
  <c r="A5098" i="1"/>
  <c r="A5099" i="1"/>
  <c r="A5100" i="1"/>
  <c r="A5101" i="1"/>
  <c r="A5102" i="1"/>
  <c r="A5103" i="1"/>
  <c r="A5104" i="1"/>
  <c r="A5105" i="1"/>
  <c r="A5106" i="1"/>
  <c r="A5107" i="1"/>
  <c r="A5108" i="1"/>
  <c r="A5109" i="1"/>
  <c r="A5110" i="1"/>
  <c r="A5111" i="1"/>
  <c r="A5112" i="1"/>
  <c r="A5113" i="1"/>
  <c r="A5114" i="1"/>
  <c r="A5115" i="1"/>
  <c r="A5116" i="1"/>
  <c r="A5117" i="1"/>
  <c r="A5118" i="1"/>
  <c r="A5119" i="1"/>
  <c r="A5120" i="1"/>
  <c r="A5121" i="1"/>
  <c r="A5122" i="1"/>
  <c r="A5123" i="1"/>
  <c r="A5124" i="1"/>
  <c r="A5125" i="1"/>
  <c r="A5126" i="1"/>
  <c r="A5127" i="1"/>
  <c r="A5128" i="1"/>
  <c r="A5129" i="1"/>
  <c r="A5130" i="1"/>
  <c r="A5131" i="1"/>
  <c r="A5132" i="1"/>
  <c r="A5133" i="1"/>
  <c r="A5134" i="1"/>
  <c r="A5135" i="1"/>
  <c r="A5136" i="1"/>
  <c r="A5137" i="1"/>
  <c r="A5138" i="1"/>
  <c r="A5139" i="1"/>
  <c r="A5140" i="1"/>
  <c r="A5141" i="1"/>
  <c r="A5142" i="1"/>
  <c r="A5143" i="1"/>
  <c r="A5144" i="1"/>
  <c r="A5145" i="1"/>
  <c r="A5146" i="1"/>
  <c r="A5147" i="1"/>
  <c r="A5148" i="1"/>
  <c r="A5149" i="1"/>
  <c r="A5150" i="1"/>
  <c r="A5151" i="1"/>
  <c r="A5152" i="1"/>
  <c r="A5153" i="1"/>
  <c r="A5154" i="1"/>
  <c r="A5155" i="1"/>
  <c r="A5156" i="1"/>
  <c r="A5157" i="1"/>
  <c r="A5158" i="1"/>
  <c r="A5159" i="1"/>
  <c r="A5160" i="1"/>
  <c r="A5161" i="1"/>
  <c r="A5162" i="1"/>
  <c r="A5163" i="1"/>
  <c r="A5164" i="1"/>
  <c r="A5165" i="1"/>
  <c r="A5166" i="1"/>
  <c r="A5167" i="1"/>
  <c r="A5168" i="1"/>
  <c r="A5169" i="1"/>
  <c r="A5170" i="1"/>
  <c r="A5171" i="1"/>
  <c r="A5172" i="1"/>
  <c r="A5173" i="1"/>
  <c r="A5174" i="1"/>
  <c r="A5175" i="1"/>
  <c r="A5176" i="1"/>
  <c r="A5177" i="1"/>
  <c r="A5178" i="1"/>
  <c r="A5179" i="1"/>
  <c r="A5180" i="1"/>
  <c r="A5181" i="1"/>
  <c r="A5182" i="1"/>
  <c r="A5183" i="1"/>
  <c r="A5184" i="1"/>
  <c r="A5185" i="1"/>
  <c r="A5186" i="1"/>
  <c r="A5187" i="1"/>
  <c r="A5188" i="1"/>
  <c r="A5189" i="1"/>
  <c r="A5190" i="1"/>
  <c r="A5191" i="1"/>
  <c r="A5192" i="1"/>
  <c r="A5193" i="1"/>
  <c r="A5194" i="1"/>
  <c r="A5195" i="1"/>
  <c r="A5196" i="1"/>
  <c r="A5197" i="1"/>
  <c r="A5198" i="1"/>
  <c r="A5199" i="1"/>
  <c r="A5200" i="1"/>
  <c r="A5201" i="1"/>
  <c r="A5202" i="1"/>
  <c r="A5203" i="1"/>
  <c r="A5204" i="1"/>
  <c r="A5205" i="1"/>
  <c r="A5206" i="1"/>
  <c r="A5207" i="1"/>
  <c r="A5208" i="1"/>
  <c r="A5209" i="1"/>
  <c r="A5210" i="1"/>
  <c r="A5211" i="1"/>
  <c r="A5212" i="1"/>
  <c r="A5213" i="1"/>
  <c r="A5214" i="1"/>
  <c r="A5215" i="1"/>
  <c r="A5216" i="1"/>
  <c r="A5217" i="1"/>
  <c r="A5218" i="1"/>
  <c r="A5219" i="1"/>
  <c r="A5220" i="1"/>
  <c r="A5221" i="1"/>
  <c r="A5222" i="1"/>
  <c r="A5223" i="1"/>
  <c r="A5224" i="1"/>
  <c r="A5225" i="1"/>
  <c r="A5226" i="1"/>
  <c r="A5227" i="1"/>
  <c r="A5228" i="1"/>
  <c r="A5229" i="1"/>
  <c r="A5230" i="1"/>
  <c r="A5231" i="1"/>
  <c r="A5232" i="1"/>
  <c r="A5233" i="1"/>
  <c r="A5234" i="1"/>
  <c r="A5235" i="1"/>
  <c r="A5236" i="1"/>
  <c r="A5237" i="1"/>
  <c r="A5238" i="1"/>
  <c r="A5239" i="1"/>
  <c r="A5240" i="1"/>
  <c r="A5241" i="1"/>
  <c r="A5242" i="1"/>
  <c r="A5243" i="1"/>
  <c r="A5244" i="1"/>
  <c r="A5245" i="1"/>
  <c r="A5246" i="1"/>
  <c r="A5247" i="1"/>
  <c r="A5248" i="1"/>
  <c r="A5249" i="1"/>
  <c r="A5250" i="1"/>
  <c r="A5251" i="1"/>
  <c r="A5252" i="1"/>
  <c r="A5253" i="1"/>
  <c r="A5254" i="1"/>
  <c r="A5255" i="1"/>
  <c r="A5256" i="1"/>
  <c r="A5257" i="1"/>
  <c r="A5258" i="1"/>
  <c r="A5259" i="1"/>
  <c r="A5260" i="1"/>
  <c r="A5261" i="1"/>
  <c r="A5262" i="1"/>
  <c r="A5263" i="1"/>
  <c r="A5264" i="1"/>
  <c r="A5265" i="1"/>
  <c r="A5266" i="1"/>
  <c r="A5267" i="1"/>
  <c r="A5268" i="1"/>
  <c r="A5269" i="1"/>
  <c r="A5270" i="1"/>
  <c r="A5271" i="1"/>
  <c r="A5272" i="1"/>
  <c r="A5273" i="1"/>
  <c r="A5274" i="1"/>
  <c r="A5275" i="1"/>
  <c r="A5276" i="1"/>
  <c r="A5277" i="1"/>
  <c r="A5278" i="1"/>
  <c r="A5279" i="1"/>
  <c r="A5280" i="1"/>
  <c r="A5281" i="1"/>
  <c r="A5282" i="1"/>
  <c r="A5283" i="1"/>
  <c r="A5284" i="1"/>
  <c r="A5285" i="1"/>
  <c r="A5286" i="1"/>
  <c r="A5287" i="1"/>
  <c r="A5288" i="1"/>
  <c r="A5289" i="1"/>
  <c r="A5290" i="1"/>
  <c r="A5291" i="1"/>
  <c r="A5292" i="1"/>
  <c r="A5293" i="1"/>
  <c r="A5294" i="1"/>
  <c r="A5295" i="1"/>
  <c r="A5296" i="1"/>
  <c r="A5297" i="1"/>
  <c r="A5298" i="1"/>
  <c r="A5299" i="1"/>
  <c r="A5300" i="1"/>
  <c r="A5301" i="1"/>
  <c r="A5302" i="1"/>
  <c r="A5303" i="1"/>
  <c r="A5304" i="1"/>
  <c r="A5305" i="1"/>
  <c r="A5306" i="1"/>
  <c r="A5307" i="1"/>
  <c r="A5308" i="1"/>
  <c r="A5309" i="1"/>
  <c r="A5310" i="1"/>
  <c r="A5311" i="1"/>
  <c r="A5312" i="1"/>
  <c r="A5313" i="1"/>
  <c r="A5314" i="1"/>
  <c r="A5315" i="1"/>
  <c r="A5316" i="1"/>
  <c r="A5317" i="1"/>
  <c r="A5318" i="1"/>
  <c r="A5319" i="1"/>
  <c r="A5320" i="1"/>
  <c r="A5321" i="1"/>
  <c r="A5322" i="1"/>
  <c r="A5323" i="1"/>
  <c r="A5324" i="1"/>
  <c r="A5325" i="1"/>
  <c r="A5326" i="1"/>
  <c r="A5327" i="1"/>
  <c r="A5328" i="1"/>
  <c r="A5329" i="1"/>
  <c r="A5330" i="1"/>
  <c r="A5331" i="1"/>
  <c r="A5332" i="1"/>
  <c r="A5333" i="1"/>
  <c r="A5334" i="1"/>
  <c r="A5335" i="1"/>
  <c r="A5336" i="1"/>
  <c r="A5337" i="1"/>
  <c r="A5338" i="1"/>
  <c r="A5339" i="1"/>
  <c r="A5340" i="1"/>
  <c r="A5341" i="1"/>
  <c r="A5342" i="1"/>
  <c r="A5343" i="1"/>
  <c r="A5344" i="1"/>
  <c r="A5345" i="1"/>
  <c r="A5346" i="1"/>
  <c r="A5347" i="1"/>
  <c r="A5348" i="1"/>
  <c r="A5349" i="1"/>
  <c r="A5350" i="1"/>
  <c r="A5351" i="1"/>
  <c r="A5352" i="1"/>
  <c r="A5353" i="1"/>
  <c r="A5354" i="1"/>
  <c r="A5355" i="1"/>
  <c r="A5356" i="1"/>
  <c r="A5357" i="1"/>
  <c r="A5358" i="1"/>
  <c r="A5359" i="1"/>
  <c r="A5360" i="1"/>
  <c r="A5361" i="1"/>
  <c r="A5362" i="1"/>
  <c r="A5363" i="1"/>
  <c r="A5364" i="1"/>
  <c r="A5365" i="1"/>
  <c r="A5366" i="1"/>
  <c r="A5367" i="1"/>
  <c r="A5368" i="1"/>
  <c r="A5369" i="1"/>
  <c r="A5370" i="1"/>
  <c r="A5371" i="1"/>
  <c r="A5372" i="1"/>
  <c r="A5373" i="1"/>
  <c r="A5374" i="1"/>
  <c r="A5375" i="1"/>
  <c r="A5376" i="1"/>
  <c r="A5377" i="1"/>
  <c r="A5378" i="1"/>
  <c r="A5379" i="1"/>
  <c r="A5380" i="1"/>
  <c r="A5381" i="1"/>
  <c r="A5382" i="1"/>
  <c r="A5383" i="1"/>
  <c r="A5384" i="1"/>
  <c r="A5385" i="1"/>
  <c r="A5386" i="1"/>
  <c r="A5387" i="1"/>
  <c r="A5388" i="1"/>
  <c r="A5389" i="1"/>
  <c r="A5390" i="1"/>
  <c r="A5391" i="1"/>
  <c r="A5392" i="1"/>
  <c r="A5393" i="1"/>
  <c r="A5394" i="1"/>
  <c r="A5395" i="1"/>
  <c r="A5396" i="1"/>
  <c r="A5397" i="1"/>
  <c r="A5398" i="1"/>
  <c r="A5399" i="1"/>
  <c r="A5400" i="1"/>
  <c r="A5401" i="1"/>
  <c r="A5402" i="1"/>
  <c r="A5403" i="1"/>
  <c r="A5404" i="1"/>
  <c r="A5405" i="1"/>
  <c r="A5406" i="1"/>
  <c r="A5407" i="1"/>
  <c r="A5408" i="1"/>
  <c r="A5409" i="1"/>
  <c r="A5410" i="1"/>
  <c r="A5411" i="1"/>
  <c r="A5412" i="1"/>
  <c r="A5413" i="1"/>
  <c r="A5414" i="1"/>
  <c r="A5415" i="1"/>
  <c r="A5416" i="1"/>
  <c r="A5417" i="1"/>
  <c r="A5418" i="1"/>
  <c r="A5419" i="1"/>
  <c r="A5420" i="1"/>
  <c r="A5421" i="1"/>
  <c r="A5422" i="1"/>
  <c r="A5423" i="1"/>
  <c r="A5424" i="1"/>
  <c r="A5425" i="1"/>
  <c r="A5426" i="1"/>
  <c r="A5427" i="1"/>
  <c r="A5428" i="1"/>
  <c r="A5429" i="1"/>
  <c r="A5430" i="1"/>
  <c r="A5431" i="1"/>
  <c r="A5432" i="1"/>
  <c r="A5433" i="1"/>
  <c r="A5434" i="1"/>
  <c r="A5435" i="1"/>
  <c r="A5436" i="1"/>
  <c r="A5437" i="1"/>
  <c r="A5438" i="1"/>
  <c r="A5439" i="1"/>
  <c r="A5440" i="1"/>
  <c r="A5441" i="1"/>
  <c r="A5442" i="1"/>
  <c r="A5443" i="1"/>
  <c r="A5444" i="1"/>
  <c r="A5445" i="1"/>
  <c r="A5446" i="1"/>
  <c r="A5447" i="1"/>
  <c r="A5448" i="1"/>
  <c r="A5449" i="1"/>
  <c r="A5450" i="1"/>
  <c r="A5451" i="1"/>
  <c r="A5452" i="1"/>
  <c r="A5453" i="1"/>
  <c r="A5454" i="1"/>
  <c r="A5455" i="1"/>
  <c r="A5456" i="1"/>
  <c r="A5457" i="1"/>
  <c r="A5458" i="1"/>
  <c r="A5459" i="1"/>
  <c r="A5460" i="1"/>
  <c r="A5461" i="1"/>
  <c r="A5462" i="1"/>
  <c r="A5463" i="1"/>
  <c r="A5464" i="1"/>
  <c r="A5465" i="1"/>
  <c r="A5466" i="1"/>
  <c r="A5467" i="1"/>
  <c r="A5468" i="1"/>
  <c r="A5469" i="1"/>
  <c r="A5470" i="1"/>
  <c r="A5471" i="1"/>
  <c r="A5472" i="1"/>
  <c r="A5473" i="1"/>
  <c r="A5474" i="1"/>
  <c r="A5475" i="1"/>
  <c r="A5476" i="1"/>
  <c r="A5477" i="1"/>
  <c r="A5478" i="1"/>
  <c r="A5479" i="1"/>
  <c r="A5480" i="1"/>
  <c r="A5481" i="1"/>
  <c r="A5482" i="1"/>
  <c r="A5483" i="1"/>
  <c r="A5484" i="1"/>
  <c r="A5485" i="1"/>
  <c r="A5486" i="1"/>
  <c r="A5487" i="1"/>
  <c r="A5488" i="1"/>
  <c r="A5489" i="1"/>
  <c r="A5490" i="1"/>
  <c r="A5491" i="1"/>
  <c r="A5492" i="1"/>
  <c r="A5493" i="1"/>
  <c r="A5494" i="1"/>
  <c r="A5495" i="1"/>
  <c r="A5496" i="1"/>
  <c r="A5497" i="1"/>
  <c r="A5498" i="1"/>
  <c r="A5499" i="1"/>
  <c r="A5500" i="1"/>
  <c r="A5501" i="1"/>
  <c r="A5502" i="1"/>
  <c r="A5503" i="1"/>
  <c r="A5504" i="1"/>
  <c r="A5505" i="1"/>
  <c r="A5506" i="1"/>
  <c r="A5507" i="1"/>
  <c r="A5508" i="1"/>
  <c r="A5509" i="1"/>
  <c r="A5510" i="1"/>
  <c r="A5511" i="1"/>
  <c r="A5512" i="1"/>
  <c r="A5513" i="1"/>
  <c r="A5514" i="1"/>
  <c r="A5515" i="1"/>
  <c r="A5516" i="1"/>
  <c r="A5517" i="1"/>
  <c r="A5518" i="1"/>
  <c r="A5519" i="1"/>
  <c r="A5520" i="1"/>
  <c r="A5521" i="1"/>
  <c r="A5522" i="1"/>
  <c r="A5523" i="1"/>
  <c r="A5524" i="1"/>
  <c r="A5525" i="1"/>
  <c r="A5526" i="1"/>
  <c r="A5527" i="1"/>
  <c r="A5528" i="1"/>
  <c r="A5529" i="1"/>
  <c r="A5530" i="1"/>
  <c r="A5531" i="1"/>
  <c r="A5532" i="1"/>
  <c r="A5533" i="1"/>
  <c r="A5534" i="1"/>
  <c r="A5535" i="1"/>
  <c r="A5536" i="1"/>
  <c r="A5537" i="1"/>
  <c r="A5538" i="1"/>
  <c r="A5539" i="1"/>
  <c r="A5540" i="1"/>
  <c r="A5541" i="1"/>
  <c r="A5542" i="1"/>
  <c r="A5543" i="1"/>
  <c r="A5544" i="1"/>
  <c r="A5545" i="1"/>
  <c r="A5546" i="1"/>
  <c r="A5547" i="1"/>
  <c r="A5548" i="1"/>
  <c r="A5549" i="1"/>
  <c r="A5550" i="1"/>
  <c r="A5551" i="1"/>
  <c r="A5552" i="1"/>
  <c r="A5553" i="1"/>
  <c r="A5554" i="1"/>
  <c r="A5555" i="1"/>
  <c r="A5556" i="1"/>
  <c r="A5557" i="1"/>
  <c r="A5558" i="1"/>
  <c r="A5559" i="1"/>
  <c r="A5560" i="1"/>
  <c r="A5561" i="1"/>
  <c r="A5562" i="1"/>
  <c r="A5563" i="1"/>
  <c r="A5564" i="1"/>
  <c r="A5565" i="1"/>
  <c r="A5566" i="1"/>
  <c r="A5567" i="1"/>
  <c r="A5568" i="1"/>
  <c r="A5569" i="1"/>
  <c r="A5570" i="1"/>
  <c r="A5571" i="1"/>
  <c r="A5572" i="1"/>
  <c r="A5573" i="1"/>
  <c r="A5574" i="1"/>
  <c r="A5575" i="1"/>
  <c r="A5576" i="1"/>
  <c r="A5577" i="1"/>
  <c r="A5578" i="1"/>
  <c r="A5579" i="1"/>
  <c r="A5580" i="1"/>
  <c r="A5581" i="1"/>
  <c r="A5582" i="1"/>
  <c r="A5583" i="1"/>
  <c r="A5584" i="1"/>
  <c r="A5585" i="1"/>
  <c r="A5586" i="1"/>
  <c r="A5587" i="1"/>
  <c r="A5588" i="1"/>
  <c r="A5589" i="1"/>
  <c r="A5590" i="1"/>
  <c r="A5591" i="1"/>
  <c r="A5592" i="1"/>
  <c r="A5593" i="1"/>
  <c r="A5594" i="1"/>
  <c r="A5595" i="1"/>
  <c r="A5596" i="1"/>
  <c r="A5597" i="1"/>
  <c r="A5598" i="1"/>
  <c r="A5599" i="1"/>
  <c r="A5600" i="1"/>
  <c r="A5601" i="1"/>
  <c r="A5602" i="1"/>
  <c r="A5603" i="1"/>
  <c r="A5604" i="1"/>
  <c r="A5605" i="1"/>
  <c r="A5606" i="1"/>
  <c r="A5607" i="1"/>
  <c r="A5608" i="1"/>
  <c r="A5609" i="1"/>
  <c r="A5610" i="1"/>
  <c r="A5611" i="1"/>
  <c r="A5612" i="1"/>
  <c r="A5613" i="1"/>
  <c r="A5614" i="1"/>
  <c r="A5615" i="1"/>
  <c r="A5616" i="1"/>
  <c r="A5617" i="1"/>
  <c r="A5618" i="1"/>
  <c r="A5619" i="1"/>
  <c r="A5620" i="1"/>
  <c r="A5621" i="1"/>
  <c r="A5622" i="1"/>
  <c r="A5623" i="1"/>
  <c r="A5624" i="1"/>
  <c r="A5625" i="1"/>
  <c r="A5626" i="1"/>
  <c r="A5627" i="1"/>
  <c r="A5628" i="1"/>
  <c r="A5629" i="1"/>
  <c r="A5630" i="1"/>
  <c r="A5631" i="1"/>
  <c r="A5632" i="1"/>
  <c r="A5633" i="1"/>
  <c r="A5634" i="1"/>
  <c r="A5635" i="1"/>
  <c r="A5636" i="1"/>
  <c r="A5637" i="1"/>
  <c r="A5638" i="1"/>
  <c r="A5639" i="1"/>
  <c r="A5640" i="1"/>
  <c r="A5641" i="1"/>
  <c r="A5642" i="1"/>
  <c r="A5643" i="1"/>
  <c r="A5644" i="1"/>
  <c r="A5645" i="1"/>
  <c r="A5646" i="1"/>
  <c r="A5647" i="1"/>
  <c r="A5648" i="1"/>
  <c r="A5649" i="1"/>
  <c r="A5650" i="1"/>
  <c r="A5651" i="1"/>
  <c r="A5652" i="1"/>
  <c r="A5653" i="1"/>
  <c r="A5654" i="1"/>
  <c r="A5655" i="1"/>
  <c r="A5656" i="1"/>
  <c r="A5657" i="1"/>
  <c r="A5658" i="1"/>
  <c r="A5659" i="1"/>
  <c r="A5660" i="1"/>
  <c r="A5661" i="1"/>
  <c r="A5662" i="1"/>
  <c r="A5663" i="1"/>
  <c r="A5664" i="1"/>
  <c r="A5665" i="1"/>
  <c r="A5666" i="1"/>
  <c r="A5667" i="1"/>
  <c r="A5668" i="1"/>
  <c r="A5669" i="1"/>
  <c r="A5670" i="1"/>
  <c r="A5671" i="1"/>
  <c r="A5672" i="1"/>
  <c r="A5673" i="1"/>
  <c r="A5674" i="1"/>
  <c r="A5675" i="1"/>
  <c r="A5676" i="1"/>
  <c r="A5677" i="1"/>
  <c r="A5678" i="1"/>
  <c r="A5679" i="1"/>
  <c r="A5680" i="1"/>
  <c r="A5681" i="1"/>
  <c r="A5682" i="1"/>
  <c r="A5683" i="1"/>
  <c r="A5684" i="1"/>
  <c r="A5685" i="1"/>
  <c r="A5686" i="1"/>
  <c r="A5687" i="1"/>
  <c r="A5688" i="1"/>
  <c r="A5689" i="1"/>
  <c r="A5690" i="1"/>
  <c r="A5691" i="1"/>
  <c r="A5692" i="1"/>
  <c r="A5693" i="1"/>
  <c r="A5694" i="1"/>
  <c r="A5695" i="1"/>
  <c r="A5696" i="1"/>
  <c r="A5697" i="1"/>
  <c r="A5698" i="1"/>
  <c r="A5699" i="1"/>
  <c r="A5700" i="1"/>
  <c r="A5701" i="1"/>
  <c r="A5702" i="1"/>
  <c r="A5703" i="1"/>
  <c r="A5704" i="1"/>
  <c r="A5705" i="1"/>
  <c r="A5706" i="1"/>
  <c r="A5707" i="1"/>
  <c r="A5708" i="1"/>
  <c r="A5709" i="1"/>
  <c r="A5710" i="1"/>
  <c r="A5711" i="1"/>
  <c r="A5712" i="1"/>
  <c r="A5713" i="1"/>
  <c r="A5714" i="1"/>
  <c r="A5715" i="1"/>
  <c r="A5716" i="1"/>
  <c r="A5717" i="1"/>
  <c r="A5718" i="1"/>
  <c r="A5719" i="1"/>
  <c r="A5720" i="1"/>
  <c r="A5721" i="1"/>
  <c r="A5722" i="1"/>
  <c r="A5723" i="1"/>
  <c r="A5724" i="1"/>
  <c r="A5725" i="1"/>
  <c r="A5726" i="1"/>
  <c r="A5727" i="1"/>
  <c r="A5728" i="1"/>
  <c r="A5729" i="1"/>
  <c r="A5730" i="1"/>
  <c r="A5731" i="1"/>
  <c r="A5732" i="1"/>
  <c r="A5733" i="1"/>
  <c r="A5734" i="1"/>
  <c r="A5735" i="1"/>
  <c r="A5736" i="1"/>
  <c r="A5737" i="1"/>
  <c r="A5738" i="1"/>
  <c r="A5739" i="1"/>
  <c r="A5740" i="1"/>
  <c r="A5741" i="1"/>
  <c r="A5742" i="1"/>
  <c r="A5743" i="1"/>
  <c r="A5744" i="1"/>
  <c r="A5745" i="1"/>
  <c r="A5746" i="1"/>
  <c r="A5747" i="1"/>
  <c r="A5748" i="1"/>
  <c r="A5749" i="1"/>
  <c r="A5750" i="1"/>
  <c r="A5751" i="1"/>
  <c r="A5752" i="1"/>
  <c r="A5753" i="1"/>
  <c r="A5754" i="1"/>
  <c r="A5755" i="1"/>
  <c r="A5756" i="1"/>
  <c r="A5757" i="1"/>
  <c r="A5758" i="1"/>
  <c r="A5759" i="1"/>
  <c r="A5760" i="1"/>
  <c r="A5761" i="1"/>
  <c r="A5762" i="1"/>
  <c r="A5763" i="1"/>
  <c r="A5764" i="1"/>
  <c r="A5765" i="1"/>
  <c r="A5766" i="1"/>
  <c r="A5767" i="1"/>
  <c r="A5768" i="1"/>
  <c r="A5769" i="1"/>
  <c r="A5770" i="1"/>
  <c r="A5771" i="1"/>
  <c r="A5772" i="1"/>
  <c r="A5773" i="1"/>
  <c r="A5774" i="1"/>
  <c r="A5775" i="1"/>
  <c r="A5776" i="1"/>
  <c r="A5777" i="1"/>
  <c r="A5778" i="1"/>
  <c r="A5779" i="1"/>
  <c r="A5780" i="1"/>
  <c r="A5781" i="1"/>
  <c r="A5782" i="1"/>
  <c r="A5783" i="1"/>
  <c r="A5784" i="1"/>
  <c r="A5785" i="1"/>
  <c r="A5786" i="1"/>
  <c r="A5787" i="1"/>
  <c r="A5788" i="1"/>
  <c r="A5789" i="1"/>
  <c r="A5790" i="1"/>
  <c r="A5791" i="1"/>
  <c r="A5792" i="1"/>
  <c r="A5793" i="1"/>
  <c r="A5794" i="1"/>
  <c r="A5795" i="1"/>
  <c r="A5796" i="1"/>
  <c r="A5797" i="1"/>
  <c r="A5798" i="1"/>
  <c r="A5799" i="1"/>
  <c r="A5800" i="1"/>
  <c r="A5801" i="1"/>
  <c r="A5802" i="1"/>
  <c r="A5803" i="1"/>
  <c r="A5804" i="1"/>
  <c r="A5805" i="1"/>
  <c r="A5806" i="1"/>
  <c r="A5807" i="1"/>
  <c r="A5808" i="1"/>
  <c r="A5809" i="1"/>
  <c r="A5810" i="1"/>
  <c r="A5811" i="1"/>
  <c r="A5812" i="1"/>
  <c r="A5813" i="1"/>
  <c r="A5814" i="1"/>
  <c r="A5815" i="1"/>
  <c r="A5816" i="1"/>
  <c r="A5817" i="1"/>
  <c r="A5818" i="1"/>
  <c r="A5819" i="1"/>
  <c r="A5820" i="1"/>
  <c r="A5821" i="1"/>
  <c r="A5822" i="1"/>
  <c r="A5823" i="1"/>
  <c r="A5824" i="1"/>
  <c r="A5825" i="1"/>
  <c r="A5826" i="1"/>
  <c r="A5827" i="1"/>
  <c r="A5828" i="1"/>
  <c r="A5829" i="1"/>
  <c r="A5830" i="1"/>
  <c r="A5831" i="1"/>
  <c r="A5832" i="1"/>
  <c r="A5833" i="1"/>
  <c r="A5834" i="1"/>
  <c r="A5835" i="1"/>
  <c r="A5836" i="1"/>
  <c r="A5837" i="1"/>
  <c r="A5838" i="1"/>
  <c r="A5839" i="1"/>
  <c r="A5840" i="1"/>
  <c r="A5841" i="1"/>
  <c r="A5842" i="1"/>
  <c r="A5843" i="1"/>
  <c r="A5844" i="1"/>
  <c r="A5845" i="1"/>
  <c r="A5846" i="1"/>
  <c r="A5847" i="1"/>
  <c r="A5848" i="1"/>
  <c r="A5849" i="1"/>
  <c r="A5850" i="1"/>
  <c r="A5851" i="1"/>
  <c r="A5852" i="1"/>
  <c r="A5853" i="1"/>
  <c r="A5854" i="1"/>
  <c r="A5855" i="1"/>
  <c r="A5856" i="1"/>
  <c r="A5857" i="1"/>
  <c r="A5858" i="1"/>
  <c r="A5859" i="1"/>
  <c r="A5860" i="1"/>
  <c r="A5861" i="1"/>
  <c r="A5862" i="1"/>
  <c r="A5863" i="1"/>
  <c r="A5864" i="1"/>
  <c r="A5865" i="1"/>
  <c r="A5866" i="1"/>
  <c r="A5867" i="1"/>
  <c r="A5868" i="1"/>
  <c r="A5869" i="1"/>
  <c r="A5870" i="1"/>
  <c r="A5871" i="1"/>
  <c r="A5872" i="1"/>
  <c r="A5873" i="1"/>
  <c r="A5874" i="1"/>
  <c r="A5875" i="1"/>
  <c r="A5876" i="1"/>
  <c r="A5877" i="1"/>
  <c r="A5878" i="1"/>
  <c r="A5879" i="1"/>
  <c r="A5880" i="1"/>
  <c r="A5881" i="1"/>
  <c r="A5882" i="1"/>
  <c r="A5883" i="1"/>
  <c r="A5884" i="1"/>
  <c r="A5885" i="1"/>
  <c r="A5886" i="1"/>
  <c r="A5887" i="1"/>
  <c r="A5888" i="1"/>
  <c r="A5889" i="1"/>
  <c r="A5890" i="1"/>
  <c r="A5891" i="1"/>
  <c r="A5892" i="1"/>
  <c r="A5893" i="1"/>
  <c r="A5894" i="1"/>
  <c r="A5895" i="1"/>
  <c r="A5896" i="1"/>
  <c r="A5897" i="1"/>
  <c r="A5898" i="1"/>
  <c r="A5899" i="1"/>
  <c r="A5900" i="1"/>
  <c r="A5901" i="1"/>
  <c r="A5902" i="1"/>
  <c r="A5903" i="1"/>
  <c r="A5904" i="1"/>
  <c r="A5905" i="1"/>
  <c r="A5906" i="1"/>
  <c r="A5907" i="1"/>
  <c r="A5908" i="1"/>
  <c r="A5909" i="1"/>
  <c r="A5910" i="1"/>
  <c r="A5911" i="1"/>
  <c r="A5912" i="1"/>
  <c r="A5913" i="1"/>
  <c r="A5914" i="1"/>
  <c r="A5915" i="1"/>
  <c r="A5916" i="1"/>
  <c r="A5917" i="1"/>
  <c r="A5918" i="1"/>
  <c r="A5919" i="1"/>
  <c r="A5920" i="1"/>
  <c r="A5921" i="1"/>
  <c r="A5922" i="1"/>
  <c r="A5923" i="1"/>
  <c r="A5924" i="1"/>
  <c r="A5925" i="1"/>
  <c r="A5926" i="1"/>
  <c r="A5927" i="1"/>
  <c r="A5928" i="1"/>
  <c r="A5929" i="1"/>
  <c r="A5930" i="1"/>
  <c r="A5931" i="1"/>
  <c r="A5932" i="1"/>
  <c r="A5933" i="1"/>
  <c r="A5934" i="1"/>
  <c r="A5935" i="1"/>
  <c r="A5936" i="1"/>
  <c r="A5937" i="1"/>
  <c r="A5938" i="1"/>
  <c r="A5939" i="1"/>
  <c r="A5940" i="1"/>
  <c r="A5941" i="1"/>
  <c r="A5942" i="1"/>
  <c r="A5943" i="1"/>
  <c r="A5944" i="1"/>
  <c r="A5945" i="1"/>
  <c r="A5946" i="1"/>
  <c r="A5947" i="1"/>
  <c r="A5948" i="1"/>
  <c r="A5949" i="1"/>
  <c r="A5950" i="1"/>
  <c r="A5951" i="1"/>
  <c r="A5952" i="1"/>
  <c r="A5953" i="1"/>
  <c r="A5954" i="1"/>
  <c r="A5955" i="1"/>
  <c r="A5956" i="1"/>
  <c r="A5957" i="1"/>
  <c r="A5958" i="1"/>
  <c r="A5959" i="1"/>
  <c r="A5960" i="1"/>
  <c r="A5961" i="1"/>
  <c r="A5962" i="1"/>
  <c r="A5963" i="1"/>
  <c r="A5964" i="1"/>
  <c r="A5965" i="1"/>
  <c r="A5966" i="1"/>
  <c r="A5967" i="1"/>
  <c r="A5968" i="1"/>
  <c r="A5969" i="1"/>
  <c r="A5970" i="1"/>
  <c r="A5971" i="1"/>
  <c r="A5972" i="1"/>
  <c r="A5973" i="1"/>
  <c r="A5974" i="1"/>
  <c r="A5975" i="1"/>
  <c r="A5976" i="1"/>
  <c r="A5977" i="1"/>
  <c r="A5978" i="1"/>
  <c r="A5979" i="1"/>
  <c r="A5980" i="1"/>
  <c r="A5981" i="1"/>
  <c r="A5982" i="1"/>
  <c r="A5983" i="1"/>
  <c r="A5984" i="1"/>
  <c r="A5985" i="1"/>
  <c r="A5986" i="1"/>
  <c r="A5987" i="1"/>
  <c r="A5988" i="1"/>
  <c r="A5989" i="1"/>
  <c r="A5990" i="1"/>
  <c r="A5991" i="1"/>
  <c r="A5992" i="1"/>
  <c r="A5993" i="1"/>
  <c r="A5994" i="1"/>
  <c r="A5995" i="1"/>
  <c r="A5996" i="1"/>
  <c r="A5997" i="1"/>
  <c r="A5998" i="1"/>
  <c r="A5999" i="1"/>
  <c r="A6000" i="1"/>
  <c r="A6001" i="1"/>
  <c r="A6002" i="1"/>
  <c r="A6003" i="1"/>
  <c r="A6004" i="1"/>
  <c r="A6005" i="1"/>
  <c r="A6006" i="1"/>
  <c r="A6007" i="1"/>
  <c r="A6008" i="1"/>
  <c r="A6009" i="1"/>
  <c r="A6010" i="1"/>
  <c r="A6011" i="1"/>
  <c r="A6012" i="1"/>
  <c r="A6013" i="1"/>
  <c r="A6014" i="1"/>
  <c r="A6015" i="1"/>
  <c r="A6016" i="1"/>
  <c r="A6017" i="1"/>
  <c r="A6018" i="1"/>
  <c r="A6019" i="1"/>
  <c r="A6020" i="1"/>
  <c r="A6021" i="1"/>
  <c r="A6022" i="1"/>
  <c r="A6023" i="1"/>
  <c r="A6024" i="1"/>
  <c r="A6025" i="1"/>
  <c r="A6026" i="1"/>
  <c r="A6027" i="1"/>
  <c r="A6028" i="1"/>
  <c r="A6029" i="1"/>
  <c r="A6030" i="1"/>
  <c r="A6031" i="1"/>
  <c r="A6032" i="1"/>
  <c r="A6033" i="1"/>
  <c r="A6034" i="1"/>
  <c r="A6035" i="1"/>
  <c r="A6036" i="1"/>
  <c r="A6037" i="1"/>
  <c r="A6038" i="1"/>
  <c r="A6039" i="1"/>
  <c r="A6040" i="1"/>
  <c r="A6041" i="1"/>
  <c r="A6042" i="1"/>
  <c r="A6043" i="1"/>
  <c r="A6044" i="1"/>
  <c r="A6045" i="1"/>
  <c r="A6046" i="1"/>
  <c r="A6047" i="1"/>
  <c r="A6048" i="1"/>
  <c r="A6049" i="1"/>
  <c r="A6050" i="1"/>
  <c r="A6051" i="1"/>
  <c r="A6052" i="1"/>
  <c r="A6053" i="1"/>
  <c r="A6054" i="1"/>
  <c r="A6055" i="1"/>
  <c r="A6056" i="1"/>
  <c r="A6057" i="1"/>
  <c r="A6058" i="1"/>
  <c r="A6059" i="1"/>
  <c r="A6060" i="1"/>
  <c r="A6061" i="1"/>
  <c r="A6062" i="1"/>
  <c r="A6063" i="1"/>
  <c r="A6064" i="1"/>
  <c r="A6065" i="1"/>
  <c r="A6066" i="1"/>
  <c r="A6067" i="1"/>
  <c r="A6068" i="1"/>
  <c r="A6069" i="1"/>
  <c r="A6070" i="1"/>
  <c r="A6071" i="1"/>
  <c r="A6072" i="1"/>
  <c r="A6073" i="1"/>
  <c r="A6074" i="1"/>
  <c r="A6075" i="1"/>
  <c r="A6076" i="1"/>
  <c r="A6077" i="1"/>
  <c r="A6078" i="1"/>
  <c r="A6079" i="1"/>
  <c r="A6080" i="1"/>
  <c r="A6081" i="1"/>
  <c r="A6082" i="1"/>
  <c r="A6083" i="1"/>
  <c r="A6084" i="1"/>
  <c r="A6085" i="1"/>
  <c r="A6086" i="1"/>
  <c r="A6087" i="1"/>
  <c r="A6088" i="1"/>
  <c r="A6089" i="1"/>
  <c r="A6090" i="1"/>
  <c r="A6091" i="1"/>
  <c r="A6092" i="1"/>
  <c r="A6093" i="1"/>
  <c r="A6094" i="1"/>
  <c r="A6095" i="1"/>
  <c r="A6096" i="1"/>
  <c r="A6097" i="1"/>
  <c r="A6098" i="1"/>
  <c r="A6099" i="1"/>
  <c r="A6100" i="1"/>
  <c r="A6101" i="1"/>
  <c r="A6102" i="1"/>
  <c r="A6103" i="1"/>
  <c r="A6104" i="1"/>
  <c r="A6105" i="1"/>
  <c r="A6106" i="1"/>
  <c r="A6107" i="1"/>
  <c r="A6108" i="1"/>
  <c r="A6109" i="1"/>
  <c r="A6110" i="1"/>
  <c r="A6111" i="1"/>
  <c r="A6112" i="1"/>
  <c r="A6113" i="1"/>
  <c r="A6114" i="1"/>
  <c r="A6115" i="1"/>
  <c r="A6116" i="1"/>
  <c r="A6117" i="1"/>
  <c r="A6118" i="1"/>
  <c r="A6119" i="1"/>
  <c r="A6120" i="1"/>
  <c r="A6121" i="1"/>
  <c r="A6122" i="1"/>
  <c r="A6123" i="1"/>
  <c r="A6124" i="1"/>
  <c r="A6125" i="1"/>
  <c r="A6126" i="1"/>
  <c r="A6127" i="1"/>
  <c r="A6128" i="1"/>
  <c r="A6129" i="1"/>
  <c r="A6130" i="1"/>
  <c r="A6131" i="1"/>
  <c r="A6132" i="1"/>
  <c r="A6133" i="1"/>
  <c r="A6134" i="1"/>
  <c r="A6135" i="1"/>
  <c r="A6136" i="1"/>
  <c r="A6137" i="1"/>
  <c r="A6138" i="1"/>
  <c r="A6139" i="1"/>
  <c r="A6140" i="1"/>
  <c r="A6141" i="1"/>
  <c r="A6142" i="1"/>
  <c r="A6143" i="1"/>
  <c r="A6144" i="1"/>
  <c r="A6145" i="1"/>
  <c r="A6146" i="1"/>
  <c r="A6147" i="1"/>
  <c r="A6148" i="1"/>
  <c r="A6149" i="1"/>
  <c r="A6150" i="1"/>
  <c r="A6151" i="1"/>
  <c r="A6152" i="1"/>
  <c r="A6153" i="1"/>
  <c r="A6154" i="1"/>
  <c r="A6155" i="1"/>
  <c r="A6156" i="1"/>
  <c r="A6157" i="1"/>
  <c r="A6158" i="1"/>
  <c r="A6159" i="1"/>
  <c r="A6160" i="1"/>
  <c r="A6161" i="1"/>
  <c r="A6162" i="1"/>
  <c r="A6163" i="1"/>
  <c r="A6164" i="1"/>
  <c r="A6165" i="1"/>
  <c r="A6166" i="1"/>
  <c r="A6167" i="1"/>
  <c r="A6168" i="1"/>
  <c r="A6169" i="1"/>
  <c r="A6170" i="1"/>
  <c r="A6171" i="1"/>
  <c r="A6172" i="1"/>
  <c r="A6173" i="1"/>
  <c r="A6174" i="1"/>
  <c r="A6175" i="1"/>
  <c r="A6176" i="1"/>
  <c r="A6177" i="1"/>
  <c r="A6178" i="1"/>
  <c r="A6179" i="1"/>
  <c r="A6180" i="1"/>
  <c r="A6181" i="1"/>
  <c r="A6182" i="1"/>
  <c r="A6183" i="1"/>
  <c r="A6184" i="1"/>
  <c r="A6185" i="1"/>
  <c r="A6186" i="1"/>
  <c r="A6187" i="1"/>
  <c r="A6188" i="1"/>
  <c r="A6189" i="1"/>
  <c r="A6190" i="1"/>
  <c r="A6191" i="1"/>
  <c r="A6192" i="1"/>
  <c r="A6193" i="1"/>
  <c r="A6194" i="1"/>
  <c r="A6195" i="1"/>
  <c r="A6196" i="1"/>
  <c r="A6197" i="1"/>
  <c r="A6198" i="1"/>
  <c r="A6199" i="1"/>
  <c r="A6200" i="1"/>
  <c r="A6201" i="1"/>
  <c r="A6202" i="1"/>
  <c r="A6203" i="1"/>
  <c r="A6204" i="1"/>
  <c r="A6205" i="1"/>
  <c r="A6206" i="1"/>
  <c r="A6207" i="1"/>
  <c r="A6208" i="1"/>
  <c r="A6209" i="1"/>
  <c r="A6210" i="1"/>
  <c r="A6211" i="1"/>
  <c r="A6212" i="1"/>
  <c r="A6213" i="1"/>
  <c r="A6214" i="1"/>
  <c r="A6215" i="1"/>
  <c r="A6216" i="1"/>
  <c r="A6217" i="1"/>
  <c r="A6218" i="1"/>
  <c r="A6219" i="1"/>
  <c r="A6220" i="1"/>
  <c r="A6221" i="1"/>
  <c r="A6222" i="1"/>
  <c r="A6223" i="1"/>
  <c r="A6224" i="1"/>
  <c r="A6225" i="1"/>
  <c r="A6226" i="1"/>
  <c r="A6227" i="1"/>
  <c r="A6228" i="1"/>
  <c r="A6229" i="1"/>
  <c r="A6230" i="1"/>
  <c r="A6231" i="1"/>
  <c r="A6232" i="1"/>
  <c r="A6233" i="1"/>
  <c r="A6234" i="1"/>
  <c r="A6235" i="1"/>
  <c r="A6236" i="1"/>
  <c r="A6237" i="1"/>
  <c r="A6238" i="1"/>
  <c r="A6239" i="1"/>
  <c r="A6240" i="1"/>
  <c r="A6241" i="1"/>
  <c r="A6242" i="1"/>
  <c r="A6243" i="1"/>
  <c r="A6244" i="1"/>
  <c r="A6245" i="1"/>
  <c r="A6246" i="1"/>
  <c r="A6247" i="1"/>
  <c r="A6248" i="1"/>
  <c r="A6249" i="1"/>
  <c r="A6250" i="1"/>
  <c r="A6251" i="1"/>
  <c r="A6252" i="1"/>
  <c r="A6253" i="1"/>
  <c r="A6254" i="1"/>
  <c r="A6255" i="1"/>
  <c r="A6256" i="1"/>
  <c r="A6257" i="1"/>
  <c r="A6258" i="1"/>
  <c r="A6259" i="1"/>
  <c r="A6260" i="1"/>
  <c r="A6261" i="1"/>
  <c r="A6262" i="1"/>
  <c r="A6263" i="1"/>
  <c r="A6264" i="1"/>
  <c r="A6265" i="1"/>
  <c r="A1956" i="1"/>
</calcChain>
</file>

<file path=xl/sharedStrings.xml><?xml version="1.0" encoding="utf-8"?>
<sst xmlns="http://schemas.openxmlformats.org/spreadsheetml/2006/main" count="75562" uniqueCount="3084">
  <si>
    <t>annee</t>
  </si>
  <si>
    <t>originetab_idspe</t>
  </si>
  <si>
    <t>nom_site</t>
  </si>
  <si>
    <t>date_collecte</t>
  </si>
  <si>
    <t>mois_capture</t>
  </si>
  <si>
    <t>capture</t>
  </si>
  <si>
    <t>genre</t>
  </si>
  <si>
    <t>espece</t>
  </si>
  <si>
    <t>sexe</t>
  </si>
  <si>
    <t>contexte_paysager</t>
  </si>
  <si>
    <t>origine_tableau</t>
  </si>
  <si>
    <t>lectisme</t>
  </si>
  <si>
    <t>itd_moy_mesure_esp_sexe</t>
  </si>
  <si>
    <t>ITD</t>
  </si>
  <si>
    <t>TailleR</t>
  </si>
  <si>
    <t>maxforagingdistTailleR</t>
  </si>
  <si>
    <t>geslin142</t>
  </si>
  <si>
    <t>bonnelles</t>
  </si>
  <si>
    <t>06/05/11</t>
  </si>
  <si>
    <t>coupelle</t>
  </si>
  <si>
    <t>Andrena</t>
  </si>
  <si>
    <t>Andrena_angustior</t>
  </si>
  <si>
    <t>f</t>
  </si>
  <si>
    <t>suburb</t>
  </si>
  <si>
    <t>geslin</t>
  </si>
  <si>
    <t>polylectique</t>
  </si>
  <si>
    <t>NA</t>
  </si>
  <si>
    <t>geslin143</t>
  </si>
  <si>
    <t>geslin144</t>
  </si>
  <si>
    <t>geslin185</t>
  </si>
  <si>
    <t>ambesis</t>
  </si>
  <si>
    <t>agricole</t>
  </si>
  <si>
    <t>geslin186</t>
  </si>
  <si>
    <t>geslin131</t>
  </si>
  <si>
    <t>nemours</t>
  </si>
  <si>
    <t>03/05/11</t>
  </si>
  <si>
    <t>m</t>
  </si>
  <si>
    <t>geslin147</t>
  </si>
  <si>
    <t>geslin866</t>
  </si>
  <si>
    <t>mines</t>
  </si>
  <si>
    <t>25/06/11</t>
  </si>
  <si>
    <t>Andrena_anthrisci</t>
  </si>
  <si>
    <t>urbain</t>
  </si>
  <si>
    <t>geslin263</t>
  </si>
  <si>
    <t>11/05/11</t>
  </si>
  <si>
    <t>Andrena_bicolor</t>
  </si>
  <si>
    <t>geslin33</t>
  </si>
  <si>
    <t>13/04/11</t>
  </si>
  <si>
    <t>geslin47</t>
  </si>
  <si>
    <t>geslin237</t>
  </si>
  <si>
    <t>mnhn</t>
  </si>
  <si>
    <t>geslin539</t>
  </si>
  <si>
    <t>ciup</t>
  </si>
  <si>
    <t>15/06/11</t>
  </si>
  <si>
    <t>geslin969</t>
  </si>
  <si>
    <t>22/06/11</t>
  </si>
  <si>
    <t>geslin1363</t>
  </si>
  <si>
    <t>grignon</t>
  </si>
  <si>
    <t>29/06/11</t>
  </si>
  <si>
    <t>geslin1530</t>
  </si>
  <si>
    <t>bezanleu</t>
  </si>
  <si>
    <t>24/06/11</t>
  </si>
  <si>
    <t>geslin1604</t>
  </si>
  <si>
    <t>28/06/11</t>
  </si>
  <si>
    <t>geslin1803</t>
  </si>
  <si>
    <t>mulasserie</t>
  </si>
  <si>
    <t>seminat</t>
  </si>
  <si>
    <t>geslin1885</t>
  </si>
  <si>
    <t>geslin1886</t>
  </si>
  <si>
    <t>geslin1910</t>
  </si>
  <si>
    <t>geslin2101</t>
  </si>
  <si>
    <t>05/07/11</t>
  </si>
  <si>
    <t>geslin362</t>
  </si>
  <si>
    <t>18/05/11</t>
  </si>
  <si>
    <t>geslin363</t>
  </si>
  <si>
    <t>geslin442</t>
  </si>
  <si>
    <t>25/05/11</t>
  </si>
  <si>
    <t>geslin443</t>
  </si>
  <si>
    <t>geslin474</t>
  </si>
  <si>
    <t>08/06/11</t>
  </si>
  <si>
    <t>geslin655</t>
  </si>
  <si>
    <t>01/06/11</t>
  </si>
  <si>
    <t>geslin658</t>
  </si>
  <si>
    <t>geslin1601</t>
  </si>
  <si>
    <t>Andrena_bimaculata</t>
  </si>
  <si>
    <t>geslin50</t>
  </si>
  <si>
    <t>07/04/11</t>
  </si>
  <si>
    <t>Andrena_cineraria</t>
  </si>
  <si>
    <t>geslin77</t>
  </si>
  <si>
    <t>foljuif_bas</t>
  </si>
  <si>
    <t>19/04/11</t>
  </si>
  <si>
    <t>Andrena_dorsata</t>
  </si>
  <si>
    <t>geslin1696</t>
  </si>
  <si>
    <t>geslin1990</t>
  </si>
  <si>
    <t>st_lambert</t>
  </si>
  <si>
    <t>06/07/11</t>
  </si>
  <si>
    <t>geslin1991</t>
  </si>
  <si>
    <t>geslin2049</t>
  </si>
  <si>
    <t>geslin2050</t>
  </si>
  <si>
    <t>geslin2310</t>
  </si>
  <si>
    <t>21/07/11</t>
  </si>
  <si>
    <t>geslin433</t>
  </si>
  <si>
    <t>geslin814</t>
  </si>
  <si>
    <t>Andrena_flavipes</t>
  </si>
  <si>
    <t xml:space="preserve">agricole </t>
  </si>
  <si>
    <t>geslin39</t>
  </si>
  <si>
    <t>14/04/11</t>
  </si>
  <si>
    <t>geslin152</t>
  </si>
  <si>
    <t>28/04/11</t>
  </si>
  <si>
    <t>geslin184</t>
  </si>
  <si>
    <t>geslin201</t>
  </si>
  <si>
    <t>13/05/11</t>
  </si>
  <si>
    <t>geslin202</t>
  </si>
  <si>
    <t>geslin543</t>
  </si>
  <si>
    <t>geslin871</t>
  </si>
  <si>
    <t>geslin896</t>
  </si>
  <si>
    <t>geslin966</t>
  </si>
  <si>
    <t>geslin1077</t>
  </si>
  <si>
    <t>geslin1100</t>
  </si>
  <si>
    <t>geslin1339</t>
  </si>
  <si>
    <t>cimetiere</t>
  </si>
  <si>
    <t>geslin1494</t>
  </si>
  <si>
    <t>geslin1510</t>
  </si>
  <si>
    <t>geslin1585</t>
  </si>
  <si>
    <t>geslin1599</t>
  </si>
  <si>
    <t>geslin1651</t>
  </si>
  <si>
    <t>geslin1652</t>
  </si>
  <si>
    <t>geslin1779</t>
  </si>
  <si>
    <t>geslin1802</t>
  </si>
  <si>
    <t>geslin1882</t>
  </si>
  <si>
    <t>geslin1883</t>
  </si>
  <si>
    <t>geslin1884</t>
  </si>
  <si>
    <t>geslin1940</t>
  </si>
  <si>
    <t>geslin1986</t>
  </si>
  <si>
    <t>geslin1989</t>
  </si>
  <si>
    <t>geslin2027</t>
  </si>
  <si>
    <t>geslin2047</t>
  </si>
  <si>
    <t>geslin2048</t>
  </si>
  <si>
    <t>geslin2170</t>
  </si>
  <si>
    <t>geslin2256</t>
  </si>
  <si>
    <t>geslin2352</t>
  </si>
  <si>
    <t>geslin1955</t>
  </si>
  <si>
    <t>geslin52</t>
  </si>
  <si>
    <t>Andrena_fulva</t>
  </si>
  <si>
    <t>geslin55</t>
  </si>
  <si>
    <t>Andrena_gravida</t>
  </si>
  <si>
    <t>geslin79</t>
  </si>
  <si>
    <t>27/04/11</t>
  </si>
  <si>
    <t>geslin1667</t>
  </si>
  <si>
    <t>Andrena_minutula</t>
  </si>
  <si>
    <t>geslin352</t>
  </si>
  <si>
    <t>geslin2076</t>
  </si>
  <si>
    <t>geslin353</t>
  </si>
  <si>
    <t>geslin41</t>
  </si>
  <si>
    <t>geslin42</t>
  </si>
  <si>
    <t>geslin66</t>
  </si>
  <si>
    <t>geslin149</t>
  </si>
  <si>
    <t>04/05/11</t>
  </si>
  <si>
    <t>geslin421</t>
  </si>
  <si>
    <t>geslin450</t>
  </si>
  <si>
    <t>geslin472</t>
  </si>
  <si>
    <t>geslin838</t>
  </si>
  <si>
    <t>geslin839</t>
  </si>
  <si>
    <t>geslin979</t>
  </si>
  <si>
    <t>geslin1360</t>
  </si>
  <si>
    <t>geslin1553</t>
  </si>
  <si>
    <t>geslin1804</t>
  </si>
  <si>
    <t>geslin2162</t>
  </si>
  <si>
    <t>geslin656</t>
  </si>
  <si>
    <t>geslin1167</t>
  </si>
  <si>
    <t>geslin420</t>
  </si>
  <si>
    <t>Andrena_minutuloides</t>
  </si>
  <si>
    <t>geslin491</t>
  </si>
  <si>
    <t>geslin544</t>
  </si>
  <si>
    <t>geslin32</t>
  </si>
  <si>
    <t>Andrena_nigroaenea</t>
  </si>
  <si>
    <t>geslin70</t>
  </si>
  <si>
    <t>geslin138</t>
  </si>
  <si>
    <t>geslin177</t>
  </si>
  <si>
    <t>geslin198</t>
  </si>
  <si>
    <t>geslin224</t>
  </si>
  <si>
    <t>geslin428</t>
  </si>
  <si>
    <t>geslin16</t>
  </si>
  <si>
    <t>Andrena_nitida</t>
  </si>
  <si>
    <t>geslin98</t>
  </si>
  <si>
    <t>geslin987</t>
  </si>
  <si>
    <t>Andrena_pandellei</t>
  </si>
  <si>
    <t>monolectique/oligolectique</t>
  </si>
  <si>
    <t>geslin1419</t>
  </si>
  <si>
    <t>geslin1445</t>
  </si>
  <si>
    <t>07/07/11</t>
  </si>
  <si>
    <t>geslin840</t>
  </si>
  <si>
    <t>Andrena_pauxilla</t>
  </si>
  <si>
    <t>geslin163</t>
  </si>
  <si>
    <t>Andrena_praecox</t>
  </si>
  <si>
    <t>geslin668</t>
  </si>
  <si>
    <t>Andrena_propinqua</t>
  </si>
  <si>
    <t>geslin228</t>
  </si>
  <si>
    <t>Andrena_proxima</t>
  </si>
  <si>
    <t>geslin444</t>
  </si>
  <si>
    <t>Andrena_semilaevis</t>
  </si>
  <si>
    <t>geslin445</t>
  </si>
  <si>
    <t>geslin492</t>
  </si>
  <si>
    <t>geslin659</t>
  </si>
  <si>
    <t>geslin160</t>
  </si>
  <si>
    <t>Andrena_similis</t>
  </si>
  <si>
    <t>geslin165</t>
  </si>
  <si>
    <t>Andrena_subopaca</t>
  </si>
  <si>
    <t>geslin1455</t>
  </si>
  <si>
    <t>Panurgus</t>
  </si>
  <si>
    <t>Panurgus_calcaratus</t>
  </si>
  <si>
    <t>geslin1592</t>
  </si>
  <si>
    <t>Panurgus_dentipes</t>
  </si>
  <si>
    <t>geslin970</t>
  </si>
  <si>
    <t>geslin1850</t>
  </si>
  <si>
    <t>geslin1102</t>
  </si>
  <si>
    <t>Tetralonia</t>
  </si>
  <si>
    <t>Tetralonia_malvae</t>
  </si>
  <si>
    <t>geslin489</t>
  </si>
  <si>
    <t>Apis</t>
  </si>
  <si>
    <t>Apis_mellifera</t>
  </si>
  <si>
    <t>geslin652</t>
  </si>
  <si>
    <t>geslin665</t>
  </si>
  <si>
    <t>geslin666</t>
  </si>
  <si>
    <t>geslin672</t>
  </si>
  <si>
    <t>geslin985</t>
  </si>
  <si>
    <t>geslin2313</t>
  </si>
  <si>
    <t>geslin671</t>
  </si>
  <si>
    <t xml:space="preserve">Apis </t>
  </si>
  <si>
    <t>geslin1529</t>
  </si>
  <si>
    <t>Bombus</t>
  </si>
  <si>
    <t>Bombus_hortorum</t>
  </si>
  <si>
    <t>geslin1915</t>
  </si>
  <si>
    <t>geslin453</t>
  </si>
  <si>
    <t>geslin598</t>
  </si>
  <si>
    <t>Bombus_lapidarius</t>
  </si>
  <si>
    <t>geslin713</t>
  </si>
  <si>
    <t>geslin894</t>
  </si>
  <si>
    <t>geslin984</t>
  </si>
  <si>
    <t>geslin986</t>
  </si>
  <si>
    <t>geslin1239</t>
  </si>
  <si>
    <t>geslin1495</t>
  </si>
  <si>
    <t>geslin1509</t>
  </si>
  <si>
    <t>geslin1551</t>
  </si>
  <si>
    <t>geslin1987</t>
  </si>
  <si>
    <t>geslin2046</t>
  </si>
  <si>
    <t>geslin2231</t>
  </si>
  <si>
    <t>geslin2232</t>
  </si>
  <si>
    <t>geslin2233</t>
  </si>
  <si>
    <t>geslin2234</t>
  </si>
  <si>
    <t>geslin1186</t>
  </si>
  <si>
    <t>geslin1188</t>
  </si>
  <si>
    <t>geslin1191</t>
  </si>
  <si>
    <t>geslin1193</t>
  </si>
  <si>
    <t>geslin983</t>
  </si>
  <si>
    <t>Bombus_lucorum</t>
  </si>
  <si>
    <t>geslin1144</t>
  </si>
  <si>
    <t>geslin2099</t>
  </si>
  <si>
    <t>geslin519</t>
  </si>
  <si>
    <t>Bombus_terrestris</t>
  </si>
  <si>
    <t>geslin895</t>
  </si>
  <si>
    <t>Bombus_lucorum_terrestris</t>
  </si>
  <si>
    <t>geslin1317</t>
  </si>
  <si>
    <t>geslin1418</t>
  </si>
  <si>
    <t>geslin1130</t>
  </si>
  <si>
    <t>geslin1190</t>
  </si>
  <si>
    <t>geslin1192</t>
  </si>
  <si>
    <t>geslin1690</t>
  </si>
  <si>
    <t>Bombus_pascuorum</t>
  </si>
  <si>
    <t>geslin1880</t>
  </si>
  <si>
    <t>geslin1914</t>
  </si>
  <si>
    <t>geslin2100</t>
  </si>
  <si>
    <t>geslin1688</t>
  </si>
  <si>
    <t>Bombus_sylvestris</t>
  </si>
  <si>
    <t>geslin714</t>
  </si>
  <si>
    <t>geslin796</t>
  </si>
  <si>
    <t>geslin893</t>
  </si>
  <si>
    <t>geslin1549</t>
  </si>
  <si>
    <t>geslin1550</t>
  </si>
  <si>
    <t>geslin1686</t>
  </si>
  <si>
    <t>geslin1687</t>
  </si>
  <si>
    <t>geslin1689</t>
  </si>
  <si>
    <t>geslin2235</t>
  </si>
  <si>
    <t>geslin1187</t>
  </si>
  <si>
    <t>geslin1189</t>
  </si>
  <si>
    <t>geslin161</t>
  </si>
  <si>
    <t xml:space="preserve">Bombus </t>
  </si>
  <si>
    <t>geslin223</t>
  </si>
  <si>
    <t>geslin947</t>
  </si>
  <si>
    <t>geslin948</t>
  </si>
  <si>
    <t>geslin949</t>
  </si>
  <si>
    <t>geslin929</t>
  </si>
  <si>
    <t>geslin643</t>
  </si>
  <si>
    <t>geslin951</t>
  </si>
  <si>
    <t>geslin641</t>
  </si>
  <si>
    <t>geslin642</t>
  </si>
  <si>
    <t>geslin644</t>
  </si>
  <si>
    <t>geslin645</t>
  </si>
  <si>
    <t>geslin892</t>
  </si>
  <si>
    <t>geslin928</t>
  </si>
  <si>
    <t>geslin930</t>
  </si>
  <si>
    <t>geslin950</t>
  </si>
  <si>
    <t>geslin203</t>
  </si>
  <si>
    <t>Nomada</t>
  </si>
  <si>
    <t>Nomada_bifasciata</t>
  </si>
  <si>
    <t>cleptoparasite</t>
  </si>
  <si>
    <t>geslin980</t>
  </si>
  <si>
    <t>Nomada_flavoguttata</t>
  </si>
  <si>
    <t>geslin44</t>
  </si>
  <si>
    <t>geslin34</t>
  </si>
  <si>
    <t>Nomada_signata</t>
  </si>
  <si>
    <t>geslin412</t>
  </si>
  <si>
    <t>Nomada_zonata</t>
  </si>
  <si>
    <t>geslin451</t>
  </si>
  <si>
    <t>geslin1463</t>
  </si>
  <si>
    <t>geslin1464</t>
  </si>
  <si>
    <t>geslin1465</t>
  </si>
  <si>
    <t>geslin952</t>
  </si>
  <si>
    <t>Xylocopa</t>
  </si>
  <si>
    <t>Xylocopa_violacea</t>
  </si>
  <si>
    <t>geslin11</t>
  </si>
  <si>
    <t>22/04/11</t>
  </si>
  <si>
    <t>geslin74</t>
  </si>
  <si>
    <t>Colletes</t>
  </si>
  <si>
    <t>Colletes_cunicularius</t>
  </si>
  <si>
    <t>geslin447</t>
  </si>
  <si>
    <t>Hyaleus</t>
  </si>
  <si>
    <t>Hylaeus_communis</t>
  </si>
  <si>
    <t>geslin430</t>
  </si>
  <si>
    <t>geslin448</t>
  </si>
  <si>
    <t>Hylaeus_punctatus</t>
  </si>
  <si>
    <t>geslin337</t>
  </si>
  <si>
    <t>Hylaeus</t>
  </si>
  <si>
    <t>geslin339</t>
  </si>
  <si>
    <t>geslin340</t>
  </si>
  <si>
    <t>geslin341</t>
  </si>
  <si>
    <t>geslin342</t>
  </si>
  <si>
    <t>geslin343</t>
  </si>
  <si>
    <t>geslin345</t>
  </si>
  <si>
    <t>geslin346</t>
  </si>
  <si>
    <t>geslin348</t>
  </si>
  <si>
    <t>geslin349</t>
  </si>
  <si>
    <t>geslin354</t>
  </si>
  <si>
    <t>geslin374</t>
  </si>
  <si>
    <t>geslin2394</t>
  </si>
  <si>
    <t>geslin2395</t>
  </si>
  <si>
    <t>geslin2396</t>
  </si>
  <si>
    <t>geslin2479</t>
  </si>
  <si>
    <t>geslin2397</t>
  </si>
  <si>
    <t>geslin2398</t>
  </si>
  <si>
    <t>geslin2426</t>
  </si>
  <si>
    <t>geslin17</t>
  </si>
  <si>
    <t>Lasioglossum</t>
  </si>
  <si>
    <t>Lasioglossum_pauxillum</t>
  </si>
  <si>
    <t>geslin1691</t>
  </si>
  <si>
    <t>Dasypoda</t>
  </si>
  <si>
    <t>Dasypoda_hirtipes</t>
  </si>
  <si>
    <t>geslin1692</t>
  </si>
  <si>
    <t>geslin1866</t>
  </si>
  <si>
    <t>geslin2261</t>
  </si>
  <si>
    <t>geslin1216</t>
  </si>
  <si>
    <t>geslin1337</t>
  </si>
  <si>
    <t>Halictus</t>
  </si>
  <si>
    <t>Halictus_confusus</t>
  </si>
  <si>
    <t>geslin1428</t>
  </si>
  <si>
    <t>Halictus_maculatus</t>
  </si>
  <si>
    <t>geslin1490</t>
  </si>
  <si>
    <t>geslin1606</t>
  </si>
  <si>
    <t>geslin1607</t>
  </si>
  <si>
    <t>geslin1609</t>
  </si>
  <si>
    <t>geslin1610</t>
  </si>
  <si>
    <t>geslin1612</t>
  </si>
  <si>
    <t>geslin1614</t>
  </si>
  <si>
    <t>geslin1617</t>
  </si>
  <si>
    <t>geslin1653</t>
  </si>
  <si>
    <t>geslin1709</t>
  </si>
  <si>
    <t>geslin1734</t>
  </si>
  <si>
    <t>geslin1944</t>
  </si>
  <si>
    <t>geslin1032</t>
  </si>
  <si>
    <t>geslin1491</t>
  </si>
  <si>
    <t>geslin717</t>
  </si>
  <si>
    <t>Halictus_rubicundus</t>
  </si>
  <si>
    <t>geslin1214</t>
  </si>
  <si>
    <t>geslin1527</t>
  </si>
  <si>
    <t>geslin1602</t>
  </si>
  <si>
    <t>geslin1694</t>
  </si>
  <si>
    <t>geslin1695</t>
  </si>
  <si>
    <t>geslin1780</t>
  </si>
  <si>
    <t>geslin1805</t>
  </si>
  <si>
    <t>geslin1941</t>
  </si>
  <si>
    <t>geslin1942</t>
  </si>
  <si>
    <t>geslin2222</t>
  </si>
  <si>
    <t>geslin15</t>
  </si>
  <si>
    <t>Halictus_scabiosae</t>
  </si>
  <si>
    <t>geslin159</t>
  </si>
  <si>
    <t>geslin166</t>
  </si>
  <si>
    <t>geslin197</t>
  </si>
  <si>
    <t>geslin199</t>
  </si>
  <si>
    <t>geslin243</t>
  </si>
  <si>
    <t>geslin520</t>
  </si>
  <si>
    <t>geslin521</t>
  </si>
  <si>
    <t>geslin522</t>
  </si>
  <si>
    <t>geslin600</t>
  </si>
  <si>
    <t>geslin601</t>
  </si>
  <si>
    <t>geslin989</t>
  </si>
  <si>
    <t>geslin1346</t>
  </si>
  <si>
    <t>geslin1347</t>
  </si>
  <si>
    <t>geslin1420</t>
  </si>
  <si>
    <t>geslin1421</t>
  </si>
  <si>
    <t>geslin1535</t>
  </si>
  <si>
    <t>geslin1536</t>
  </si>
  <si>
    <t>geslin1597</t>
  </si>
  <si>
    <t>geslin1600</t>
  </si>
  <si>
    <t>geslin1693</t>
  </si>
  <si>
    <t>geslin1867</t>
  </si>
  <si>
    <t>geslin1879</t>
  </si>
  <si>
    <t>geslin2262</t>
  </si>
  <si>
    <t>geslin2263</t>
  </si>
  <si>
    <t>geslin1099</t>
  </si>
  <si>
    <t>Halictus_sexcinctus</t>
  </si>
  <si>
    <t>geslin200</t>
  </si>
  <si>
    <t>Halictus_simplex</t>
  </si>
  <si>
    <t>geslin523</t>
  </si>
  <si>
    <t>geslin524</t>
  </si>
  <si>
    <t>geslin525</t>
  </si>
  <si>
    <t>geslin872</t>
  </si>
  <si>
    <t>geslin944</t>
  </si>
  <si>
    <t>geslin988</t>
  </si>
  <si>
    <t>geslin1213</t>
  </si>
  <si>
    <t>geslin1265</t>
  </si>
  <si>
    <t>geslin1422</t>
  </si>
  <si>
    <t>geslin1423</t>
  </si>
  <si>
    <t>geslin1424</t>
  </si>
  <si>
    <t>geslin1425</t>
  </si>
  <si>
    <t>geslin1426</t>
  </si>
  <si>
    <t>geslin1427</t>
  </si>
  <si>
    <t>geslin1532</t>
  </si>
  <si>
    <t>geslin1533</t>
  </si>
  <si>
    <t>geslin1534</t>
  </si>
  <si>
    <t>geslin1887</t>
  </si>
  <si>
    <t>geslin1888</t>
  </si>
  <si>
    <t>geslin1889</t>
  </si>
  <si>
    <t>geslin2103</t>
  </si>
  <si>
    <t>geslin2104</t>
  </si>
  <si>
    <t>geslin2106</t>
  </si>
  <si>
    <t>geslin2</t>
  </si>
  <si>
    <t>20/04/11</t>
  </si>
  <si>
    <t>Halictus_tumulorum</t>
  </si>
  <si>
    <t>geslin81</t>
  </si>
  <si>
    <t>geslin481</t>
  </si>
  <si>
    <t>geslin1021</t>
  </si>
  <si>
    <t>geslin1096</t>
  </si>
  <si>
    <t>geslin1115</t>
  </si>
  <si>
    <t>geslin1215</t>
  </si>
  <si>
    <t>geslin1338</t>
  </si>
  <si>
    <t>geslin1555</t>
  </si>
  <si>
    <t>geslin1560</t>
  </si>
  <si>
    <t>geslin1620</t>
  </si>
  <si>
    <t>geslin1621</t>
  </si>
  <si>
    <t>geslin1666</t>
  </si>
  <si>
    <t>geslin1712</t>
  </si>
  <si>
    <t>geslin1713</t>
  </si>
  <si>
    <t>geslin1714</t>
  </si>
  <si>
    <t>geslin1715</t>
  </si>
  <si>
    <t>geslin1735</t>
  </si>
  <si>
    <t>geslin1736</t>
  </si>
  <si>
    <t>geslin1783</t>
  </si>
  <si>
    <t>geslin1908</t>
  </si>
  <si>
    <t>geslin1916</t>
  </si>
  <si>
    <t>geslin1943</t>
  </si>
  <si>
    <t>geslin1994</t>
  </si>
  <si>
    <t>geslin2028</t>
  </si>
  <si>
    <t>geslin2030</t>
  </si>
  <si>
    <t>geslin2031</t>
  </si>
  <si>
    <t>geslin2052</t>
  </si>
  <si>
    <t>geslin2108</t>
  </si>
  <si>
    <t>geslin2109</t>
  </si>
  <si>
    <t>geslin1871</t>
  </si>
  <si>
    <t>geslin2332</t>
  </si>
  <si>
    <t>geslin1092</t>
  </si>
  <si>
    <t>Lasioglossum_aeratum</t>
  </si>
  <si>
    <t>geslin1097</t>
  </si>
  <si>
    <t>geslin1098</t>
  </si>
  <si>
    <t>geslin1446</t>
  </si>
  <si>
    <t>geslin2193</t>
  </si>
  <si>
    <t>Lasioglossum_albipes</t>
  </si>
  <si>
    <t>geslin2240</t>
  </si>
  <si>
    <t>geslin2241</t>
  </si>
  <si>
    <t>geslin2243</t>
  </si>
  <si>
    <t>geslin2244</t>
  </si>
  <si>
    <t>geslin252</t>
  </si>
  <si>
    <t>Lasioglossum_bluethgeni</t>
  </si>
  <si>
    <t>geslin631</t>
  </si>
  <si>
    <t>geslin106</t>
  </si>
  <si>
    <t>Lasioglossum_calceatum</t>
  </si>
  <si>
    <t>geslin469</t>
  </si>
  <si>
    <t>geslin1176</t>
  </si>
  <si>
    <t>geslin1492</t>
  </si>
  <si>
    <t>geslin1493</t>
  </si>
  <si>
    <t>geslin1556</t>
  </si>
  <si>
    <t>geslin1557</t>
  </si>
  <si>
    <t>geslin1558</t>
  </si>
  <si>
    <t>geslin1559</t>
  </si>
  <si>
    <t>geslin1710</t>
  </si>
  <si>
    <t>geslin1711</t>
  </si>
  <si>
    <t>geslin1992</t>
  </si>
  <si>
    <t>geslin1993</t>
  </si>
  <si>
    <t>geslin2301</t>
  </si>
  <si>
    <t>geslin2304</t>
  </si>
  <si>
    <t>geslin602</t>
  </si>
  <si>
    <t>geslin632</t>
  </si>
  <si>
    <t>geslin723</t>
  </si>
  <si>
    <t>geslin859</t>
  </si>
  <si>
    <t>geslin903</t>
  </si>
  <si>
    <t>geslin932</t>
  </si>
  <si>
    <t>geslin945</t>
  </si>
  <si>
    <t>geslin946</t>
  </si>
  <si>
    <t>geslin1025</t>
  </si>
  <si>
    <t>geslin1101</t>
  </si>
  <si>
    <t>geslin1177</t>
  </si>
  <si>
    <t>geslin1209</t>
  </si>
  <si>
    <t>geslin1212</t>
  </si>
  <si>
    <t>geslin1240</t>
  </si>
  <si>
    <t>geslin1247</t>
  </si>
  <si>
    <t>geslin1248</t>
  </si>
  <si>
    <t>geslin1250</t>
  </si>
  <si>
    <t>geslin1326</t>
  </si>
  <si>
    <t>geslin1329</t>
  </si>
  <si>
    <t>geslin1352</t>
  </si>
  <si>
    <t>geslin1361</t>
  </si>
  <si>
    <t>geslin1393</t>
  </si>
  <si>
    <t>geslin1394</t>
  </si>
  <si>
    <t>geslin1395</t>
  </si>
  <si>
    <t>geslin1396</t>
  </si>
  <si>
    <t>geslin1397</t>
  </si>
  <si>
    <t>geslin1398</t>
  </si>
  <si>
    <t>geslin1399</t>
  </si>
  <si>
    <t>geslin1466</t>
  </si>
  <si>
    <t>geslin1467</t>
  </si>
  <si>
    <t>geslin1484</t>
  </si>
  <si>
    <t>geslin1489</t>
  </si>
  <si>
    <t>geslin1518</t>
  </si>
  <si>
    <t>geslin1519</t>
  </si>
  <si>
    <t>geslin1520</t>
  </si>
  <si>
    <t>geslin1521</t>
  </si>
  <si>
    <t>geslin1522</t>
  </si>
  <si>
    <t>geslin1523</t>
  </si>
  <si>
    <t>geslin1524</t>
  </si>
  <si>
    <t>geslin1539</t>
  </si>
  <si>
    <t>geslin1603</t>
  </si>
  <si>
    <t>geslin1608</t>
  </si>
  <si>
    <t>geslin1662</t>
  </si>
  <si>
    <t>geslin1679</t>
  </si>
  <si>
    <t>geslin1697</t>
  </si>
  <si>
    <t>geslin1698</t>
  </si>
  <si>
    <t>geslin1812</t>
  </si>
  <si>
    <t>geslin1813</t>
  </si>
  <si>
    <t>geslin1890</t>
  </si>
  <si>
    <t>geslin1919</t>
  </si>
  <si>
    <t>geslin1921</t>
  </si>
  <si>
    <t>geslin1996</t>
  </si>
  <si>
    <t>geslin2008</t>
  </si>
  <si>
    <t>geslin2032</t>
  </si>
  <si>
    <t>geslin2033</t>
  </si>
  <si>
    <t>geslin2034</t>
  </si>
  <si>
    <t>geslin2035</t>
  </si>
  <si>
    <t>geslin2036</t>
  </si>
  <si>
    <t>geslin2053</t>
  </si>
  <si>
    <t>geslin2054</t>
  </si>
  <si>
    <t>geslin2055</t>
  </si>
  <si>
    <t>geslin2056</t>
  </si>
  <si>
    <t>geslin2113</t>
  </si>
  <si>
    <t>geslin2115</t>
  </si>
  <si>
    <t>geslin2191</t>
  </si>
  <si>
    <t>geslin2192</t>
  </si>
  <si>
    <t>geslin2194</t>
  </si>
  <si>
    <t>geslin2195</t>
  </si>
  <si>
    <t>geslin2225</t>
  </si>
  <si>
    <t>geslin2226</t>
  </si>
  <si>
    <t>geslin2236</t>
  </si>
  <si>
    <t>geslin2237</t>
  </si>
  <si>
    <t>geslin2238</t>
  </si>
  <si>
    <t>geslin2239</t>
  </si>
  <si>
    <t>geslin2242</t>
  </si>
  <si>
    <t>geslin2245</t>
  </si>
  <si>
    <t>geslin2264</t>
  </si>
  <si>
    <t>geslin2265</t>
  </si>
  <si>
    <t>geslin2266</t>
  </si>
  <si>
    <t>geslin2268</t>
  </si>
  <si>
    <t>geslin2269</t>
  </si>
  <si>
    <t>geslin2283</t>
  </si>
  <si>
    <t>geslin2284</t>
  </si>
  <si>
    <t>geslin2292</t>
  </si>
  <si>
    <t>geslin2293</t>
  </si>
  <si>
    <t>geslin2294</t>
  </si>
  <si>
    <t>geslin2331</t>
  </si>
  <si>
    <t>geslin1263</t>
  </si>
  <si>
    <t>Lasioglossum_calceatum/pauxillum</t>
  </si>
  <si>
    <t>geslin934</t>
  </si>
  <si>
    <t>Lasioglossum_fulvicorne</t>
  </si>
  <si>
    <t>geslin998</t>
  </si>
  <si>
    <t>geslin999</t>
  </si>
  <si>
    <t>geslin1045</t>
  </si>
  <si>
    <t>geslin1332</t>
  </si>
  <si>
    <t>geslin1336</t>
  </si>
  <si>
    <t>geslin1567</t>
  </si>
  <si>
    <t>geslin1660</t>
  </si>
  <si>
    <t>geslin1784</t>
  </si>
  <si>
    <t>geslin2125</t>
  </si>
  <si>
    <t>geslin533</t>
  </si>
  <si>
    <t>Lasioglossum_glabriusculum</t>
  </si>
  <si>
    <t>geslin824</t>
  </si>
  <si>
    <t>geslin1654</t>
  </si>
  <si>
    <t>geslin1947</t>
  </si>
  <si>
    <t>geslin1948</t>
  </si>
  <si>
    <t>geslin1949</t>
  </si>
  <si>
    <t>geslin1950</t>
  </si>
  <si>
    <t>geslin1951</t>
  </si>
  <si>
    <t>geslin1952</t>
  </si>
  <si>
    <t>geslin1954</t>
  </si>
  <si>
    <t>geslin1554</t>
  </si>
  <si>
    <t>Lasioglossum_interruptum</t>
  </si>
  <si>
    <t>geslin2029</t>
  </si>
  <si>
    <t>Lasioglossum_laticeps</t>
  </si>
  <si>
    <t>geslin2438</t>
  </si>
  <si>
    <t>geslin468</t>
  </si>
  <si>
    <t>geslin2077</t>
  </si>
  <si>
    <t>geslin2169</t>
  </si>
  <si>
    <t>geslin2427</t>
  </si>
  <si>
    <t>geslin132</t>
  </si>
  <si>
    <t>geslin180</t>
  </si>
  <si>
    <t>geslin273</t>
  </si>
  <si>
    <t>geslin287</t>
  </si>
  <si>
    <t>geslin350</t>
  </si>
  <si>
    <t>geslin351</t>
  </si>
  <si>
    <t>geslin357</t>
  </si>
  <si>
    <t>geslin358</t>
  </si>
  <si>
    <t>geslin359</t>
  </si>
  <si>
    <t>geslin360</t>
  </si>
  <si>
    <t>geslin377</t>
  </si>
  <si>
    <t>geslin379</t>
  </si>
  <si>
    <t>geslin382</t>
  </si>
  <si>
    <t>geslin384</t>
  </si>
  <si>
    <t>geslin385</t>
  </si>
  <si>
    <t>geslin386</t>
  </si>
  <si>
    <t>geslin387</t>
  </si>
  <si>
    <t>geslin391</t>
  </si>
  <si>
    <t>geslin392</t>
  </si>
  <si>
    <t>geslin396</t>
  </si>
  <si>
    <t>geslin397</t>
  </si>
  <si>
    <t>geslin398</t>
  </si>
  <si>
    <t>geslin399</t>
  </si>
  <si>
    <t>geslin400</t>
  </si>
  <si>
    <t>geslin405</t>
  </si>
  <si>
    <t>geslin417</t>
  </si>
  <si>
    <t>geslin422</t>
  </si>
  <si>
    <t>geslin423</t>
  </si>
  <si>
    <t>geslin424</t>
  </si>
  <si>
    <t>geslin425</t>
  </si>
  <si>
    <t>geslin427</t>
  </si>
  <si>
    <t>geslin431</t>
  </si>
  <si>
    <t>geslin473</t>
  </si>
  <si>
    <t>geslin483</t>
  </si>
  <si>
    <t>geslin493</t>
  </si>
  <si>
    <t>geslin527</t>
  </si>
  <si>
    <t>geslin530</t>
  </si>
  <si>
    <t>geslin535</t>
  </si>
  <si>
    <t>geslin606</t>
  </si>
  <si>
    <t>geslin610</t>
  </si>
  <si>
    <t>geslin673</t>
  </si>
  <si>
    <t>geslin674</t>
  </si>
  <si>
    <t>geslin675</t>
  </si>
  <si>
    <t>geslin676</t>
  </si>
  <si>
    <t>geslin677</t>
  </si>
  <si>
    <t>geslin682</t>
  </si>
  <si>
    <t>geslin687</t>
  </si>
  <si>
    <t>geslin688</t>
  </si>
  <si>
    <t>geslin689</t>
  </si>
  <si>
    <t>geslin690</t>
  </si>
  <si>
    <t>geslin691</t>
  </si>
  <si>
    <t>geslin692</t>
  </si>
  <si>
    <t>geslin693</t>
  </si>
  <si>
    <t>geslin694</t>
  </si>
  <si>
    <t>geslin695</t>
  </si>
  <si>
    <t>geslin800</t>
  </si>
  <si>
    <t>geslin822</t>
  </si>
  <si>
    <t>geslin860</t>
  </si>
  <si>
    <t>geslin862</t>
  </si>
  <si>
    <t>geslin865</t>
  </si>
  <si>
    <t>geslin904</t>
  </si>
  <si>
    <t>geslin940</t>
  </si>
  <si>
    <t>geslin959</t>
  </si>
  <si>
    <t>geslin972</t>
  </si>
  <si>
    <t>geslin997</t>
  </si>
  <si>
    <t>geslin1001</t>
  </si>
  <si>
    <t>geslin1040</t>
  </si>
  <si>
    <t>geslin1067</t>
  </si>
  <si>
    <t>geslin1068</t>
  </si>
  <si>
    <t>geslin1112</t>
  </si>
  <si>
    <t>geslin1161</t>
  </si>
  <si>
    <t>geslin1162</t>
  </si>
  <si>
    <t>geslin1163</t>
  </si>
  <si>
    <t>geslin1164</t>
  </si>
  <si>
    <t>geslin1178</t>
  </si>
  <si>
    <t>geslin1179</t>
  </si>
  <si>
    <t>geslin1180</t>
  </si>
  <si>
    <t>geslin1184</t>
  </si>
  <si>
    <t>geslin1431</t>
  </si>
  <si>
    <t>geslin1442</t>
  </si>
  <si>
    <t>geslin1540</t>
  </si>
  <si>
    <t>geslin1817</t>
  </si>
  <si>
    <t>geslin2007</t>
  </si>
  <si>
    <t>geslin2072</t>
  </si>
  <si>
    <t>geslin2163</t>
  </si>
  <si>
    <t>geslin2178</t>
  </si>
  <si>
    <t>geslin2180</t>
  </si>
  <si>
    <t>geslin2181</t>
  </si>
  <si>
    <t>geslin2419</t>
  </si>
  <si>
    <t>geslin2448</t>
  </si>
  <si>
    <t>geslin2449</t>
  </si>
  <si>
    <t>geslin2450</t>
  </si>
  <si>
    <t>geslin1380</t>
  </si>
  <si>
    <t>geslin1705</t>
  </si>
  <si>
    <t>geslin2182</t>
  </si>
  <si>
    <t>geslin2393</t>
  </si>
  <si>
    <t>geslin1737</t>
  </si>
  <si>
    <t>Lasioglossum_lativentre</t>
  </si>
  <si>
    <t>geslin1266</t>
  </si>
  <si>
    <t>Lasioglossum_leucozonium</t>
  </si>
  <si>
    <t>geslin2224</t>
  </si>
  <si>
    <t>geslin215</t>
  </si>
  <si>
    <t>geslin1072</t>
  </si>
  <si>
    <t>geslin1249</t>
  </si>
  <si>
    <t>geslin1537</t>
  </si>
  <si>
    <t>geslin1538</t>
  </si>
  <si>
    <t>geslin1892</t>
  </si>
  <si>
    <t>geslin2223</t>
  </si>
  <si>
    <t>geslin2267</t>
  </si>
  <si>
    <t>geslin2281</t>
  </si>
  <si>
    <t>geslin2282</t>
  </si>
  <si>
    <t>geslin529</t>
  </si>
  <si>
    <t>Lasioglossum_lineare</t>
  </si>
  <si>
    <t>geslin1000</t>
  </si>
  <si>
    <t>geslin1435</t>
  </si>
  <si>
    <t>Lasioglossum_majus</t>
  </si>
  <si>
    <t>geslin1605</t>
  </si>
  <si>
    <t>geslin40</t>
  </si>
  <si>
    <t>Lasioglossum_malachurum</t>
  </si>
  <si>
    <t>geslin51</t>
  </si>
  <si>
    <t>geslin62</t>
  </si>
  <si>
    <t>geslin63</t>
  </si>
  <si>
    <t>geslin64</t>
  </si>
  <si>
    <t>geslin65</t>
  </si>
  <si>
    <t>geslin71</t>
  </si>
  <si>
    <t>geslin83</t>
  </si>
  <si>
    <t>geslin196</t>
  </si>
  <si>
    <t>geslin204</t>
  </si>
  <si>
    <t>geslin205</t>
  </si>
  <si>
    <t>geslin241</t>
  </si>
  <si>
    <t>geslin242</t>
  </si>
  <si>
    <t>geslin245</t>
  </si>
  <si>
    <t>geslin292</t>
  </si>
  <si>
    <t>geslin369</t>
  </si>
  <si>
    <t>geslin545</t>
  </si>
  <si>
    <t>geslin607</t>
  </si>
  <si>
    <t>geslin625</t>
  </si>
  <si>
    <t>geslin798</t>
  </si>
  <si>
    <t>geslin802</t>
  </si>
  <si>
    <t>geslin803</t>
  </si>
  <si>
    <t>geslin804</t>
  </si>
  <si>
    <t>geslin877</t>
  </si>
  <si>
    <t>geslin878</t>
  </si>
  <si>
    <t>geslin879</t>
  </si>
  <si>
    <t>geslin880</t>
  </si>
  <si>
    <t>geslin881</t>
  </si>
  <si>
    <t>geslin882</t>
  </si>
  <si>
    <t>geslin883</t>
  </si>
  <si>
    <t>geslin884</t>
  </si>
  <si>
    <t>geslin885</t>
  </si>
  <si>
    <t>geslin886</t>
  </si>
  <si>
    <t>geslin898</t>
  </si>
  <si>
    <t>geslin906</t>
  </si>
  <si>
    <t>geslin908</t>
  </si>
  <si>
    <t>geslin996</t>
  </si>
  <si>
    <t>geslin1013</t>
  </si>
  <si>
    <t>geslin1020</t>
  </si>
  <si>
    <t>geslin1022</t>
  </si>
  <si>
    <t>geslin1023</t>
  </si>
  <si>
    <t>geslin1026</t>
  </si>
  <si>
    <t>geslin1027</t>
  </si>
  <si>
    <t>geslin1028</t>
  </si>
  <si>
    <t>geslin1030</t>
  </si>
  <si>
    <t>geslin1031</t>
  </si>
  <si>
    <t>geslin1033</t>
  </si>
  <si>
    <t>geslin1034</t>
  </si>
  <si>
    <t>geslin1035</t>
  </si>
  <si>
    <t>geslin1036</t>
  </si>
  <si>
    <t>geslin1037</t>
  </si>
  <si>
    <t>geslin1038</t>
  </si>
  <si>
    <t>geslin1039</t>
  </si>
  <si>
    <t>geslin1041</t>
  </si>
  <si>
    <t>geslin1042</t>
  </si>
  <si>
    <t>geslin1046</t>
  </si>
  <si>
    <t>geslin1049</t>
  </si>
  <si>
    <t>geslin1050</t>
  </si>
  <si>
    <t>geslin1051</t>
  </si>
  <si>
    <t>geslin1052</t>
  </si>
  <si>
    <t>geslin1053</t>
  </si>
  <si>
    <t>geslin1054</t>
  </si>
  <si>
    <t>geslin1055</t>
  </si>
  <si>
    <t>geslin1056</t>
  </si>
  <si>
    <t>geslin1057</t>
  </si>
  <si>
    <t>geslin1058</t>
  </si>
  <si>
    <t>geslin1059</t>
  </si>
  <si>
    <t>geslin1060</t>
  </si>
  <si>
    <t>geslin1061</t>
  </si>
  <si>
    <t>geslin1062</t>
  </si>
  <si>
    <t>geslin1063</t>
  </si>
  <si>
    <t>geslin1064</t>
  </si>
  <si>
    <t>geslin1065</t>
  </si>
  <si>
    <t>geslin1066</t>
  </si>
  <si>
    <t>geslin1071</t>
  </si>
  <si>
    <t>geslin1073</t>
  </si>
  <si>
    <t>geslin1075</t>
  </si>
  <si>
    <t>geslin1105</t>
  </si>
  <si>
    <t>geslin1106</t>
  </si>
  <si>
    <t>geslin1107</t>
  </si>
  <si>
    <t>geslin1108</t>
  </si>
  <si>
    <t>geslin1109</t>
  </si>
  <si>
    <t>geslin1110</t>
  </si>
  <si>
    <t>geslin1111</t>
  </si>
  <si>
    <t>geslin1113</t>
  </si>
  <si>
    <t>geslin1114</t>
  </si>
  <si>
    <t>geslin1116</t>
  </si>
  <si>
    <t>geslin1117</t>
  </si>
  <si>
    <t>geslin1118</t>
  </si>
  <si>
    <t>geslin1119</t>
  </si>
  <si>
    <t>geslin1120</t>
  </si>
  <si>
    <t>geslin1121</t>
  </si>
  <si>
    <t>geslin1200</t>
  </si>
  <si>
    <t>geslin1202</t>
  </si>
  <si>
    <t>geslin1203</t>
  </si>
  <si>
    <t>geslin1204</t>
  </si>
  <si>
    <t>geslin1211</t>
  </si>
  <si>
    <t>geslin1244</t>
  </si>
  <si>
    <t>geslin1245</t>
  </si>
  <si>
    <t>geslin1246</t>
  </si>
  <si>
    <t>geslin1259</t>
  </si>
  <si>
    <t>geslin1356</t>
  </si>
  <si>
    <t>geslin1470</t>
  </si>
  <si>
    <t>geslin1471</t>
  </si>
  <si>
    <t>geslin1472</t>
  </si>
  <si>
    <t>geslin1473</t>
  </si>
  <si>
    <t>geslin1474</t>
  </si>
  <si>
    <t>geslin1475</t>
  </si>
  <si>
    <t>geslin1476</t>
  </si>
  <si>
    <t>geslin1477</t>
  </si>
  <si>
    <t>geslin1478</t>
  </si>
  <si>
    <t>geslin1479</t>
  </si>
  <si>
    <t>geslin1480</t>
  </si>
  <si>
    <t>geslin1481</t>
  </si>
  <si>
    <t>geslin1482</t>
  </si>
  <si>
    <t>geslin1483</t>
  </si>
  <si>
    <t>geslin1485</t>
  </si>
  <si>
    <t>geslin1486</t>
  </si>
  <si>
    <t>geslin1487</t>
  </si>
  <si>
    <t>geslin1488</t>
  </si>
  <si>
    <t>geslin1511</t>
  </si>
  <si>
    <t>geslin1512</t>
  </si>
  <si>
    <t>geslin1513</t>
  </si>
  <si>
    <t>geslin1514</t>
  </si>
  <si>
    <t>geslin1515</t>
  </si>
  <si>
    <t>geslin1564</t>
  </si>
  <si>
    <t>geslin1569</t>
  </si>
  <si>
    <t>geslin1570</t>
  </si>
  <si>
    <t>geslin1571</t>
  </si>
  <si>
    <t>geslin1591</t>
  </si>
  <si>
    <t>geslin1611</t>
  </si>
  <si>
    <t>geslin1613</t>
  </si>
  <si>
    <t>geslin1615</t>
  </si>
  <si>
    <t>geslin1616</t>
  </si>
  <si>
    <t>geslin1619</t>
  </si>
  <si>
    <t>geslin1661</t>
  </si>
  <si>
    <t>geslin1782</t>
  </si>
  <si>
    <t>geslin1806</t>
  </si>
  <si>
    <t>geslin1807</t>
  </si>
  <si>
    <t>geslin1808</t>
  </si>
  <si>
    <t>geslin1809</t>
  </si>
  <si>
    <t>geslin1810</t>
  </si>
  <si>
    <t>geslin1811a</t>
  </si>
  <si>
    <t>30/06/11</t>
  </si>
  <si>
    <t>geslin1811b</t>
  </si>
  <si>
    <t>geslin1815</t>
  </si>
  <si>
    <t>geslin1816</t>
  </si>
  <si>
    <t>geslin1818</t>
  </si>
  <si>
    <t>geslin1820</t>
  </si>
  <si>
    <t>geslin1821</t>
  </si>
  <si>
    <t>geslin1822</t>
  </si>
  <si>
    <t>geslin1823</t>
  </si>
  <si>
    <t>geslin1824</t>
  </si>
  <si>
    <t>geslin1825</t>
  </si>
  <si>
    <t>geslin1826</t>
  </si>
  <si>
    <t>geslin1827</t>
  </si>
  <si>
    <t>geslin1828</t>
  </si>
  <si>
    <t>geslin1829</t>
  </si>
  <si>
    <t>geslin1830</t>
  </si>
  <si>
    <t>geslin1831</t>
  </si>
  <si>
    <t>geslin1832</t>
  </si>
  <si>
    <t>geslin1835</t>
  </si>
  <si>
    <t>geslin1891</t>
  </si>
  <si>
    <t>geslin1893</t>
  </si>
  <si>
    <t>geslin1902</t>
  </si>
  <si>
    <t>geslin1903</t>
  </si>
  <si>
    <t>geslin1904</t>
  </si>
  <si>
    <t>geslin1917</t>
  </si>
  <si>
    <t>geslin1918</t>
  </si>
  <si>
    <t>geslin1920</t>
  </si>
  <si>
    <t>geslin1922</t>
  </si>
  <si>
    <t>geslin1923</t>
  </si>
  <si>
    <t>geslin1924</t>
  </si>
  <si>
    <t>geslin1925</t>
  </si>
  <si>
    <t>geslin1926</t>
  </si>
  <si>
    <t>geslin1945</t>
  </si>
  <si>
    <t>geslin1995</t>
  </si>
  <si>
    <t>geslin2057</t>
  </si>
  <si>
    <t>geslin2058</t>
  </si>
  <si>
    <t>geslin2059</t>
  </si>
  <si>
    <t>geslin2070</t>
  </si>
  <si>
    <t>geslin2071</t>
  </si>
  <si>
    <t>geslin2073</t>
  </si>
  <si>
    <t>geslin2110</t>
  </si>
  <si>
    <t>geslin2111</t>
  </si>
  <si>
    <t>geslin2112</t>
  </si>
  <si>
    <t>geslin2114</t>
  </si>
  <si>
    <t>geslin2116</t>
  </si>
  <si>
    <t>geslin2117</t>
  </si>
  <si>
    <t>geslin2118</t>
  </si>
  <si>
    <t>geslin2119</t>
  </si>
  <si>
    <t>geslin2120</t>
  </si>
  <si>
    <t>geslin2121</t>
  </si>
  <si>
    <t>geslin2122</t>
  </si>
  <si>
    <t>geslin2123</t>
  </si>
  <si>
    <t>geslin2124</t>
  </si>
  <si>
    <t>geslin2126</t>
  </si>
  <si>
    <t>geslin2128</t>
  </si>
  <si>
    <t>geslin2129</t>
  </si>
  <si>
    <t>geslin2134</t>
  </si>
  <si>
    <t>geslin2135</t>
  </si>
  <si>
    <t>geslin2136</t>
  </si>
  <si>
    <t>geslin2137</t>
  </si>
  <si>
    <t>geslin2138</t>
  </si>
  <si>
    <t>geslin2139</t>
  </si>
  <si>
    <t>geslin2164</t>
  </si>
  <si>
    <t>geslin2165</t>
  </si>
  <si>
    <t>geslin2166</t>
  </si>
  <si>
    <t>geslin2167</t>
  </si>
  <si>
    <t>geslin2174</t>
  </si>
  <si>
    <t>geslin2175</t>
  </si>
  <si>
    <t>geslin2176</t>
  </si>
  <si>
    <t>geslin2177</t>
  </si>
  <si>
    <t>geslin2179</t>
  </si>
  <si>
    <t>geslin2257</t>
  </si>
  <si>
    <t>geslin2270</t>
  </si>
  <si>
    <t>geslin2271</t>
  </si>
  <si>
    <t>geslin2272</t>
  </si>
  <si>
    <t>geslin2285</t>
  </si>
  <si>
    <t>geslin2286</t>
  </si>
  <si>
    <t>geslin2288</t>
  </si>
  <si>
    <t>geslin2295</t>
  </si>
  <si>
    <t>geslin2317</t>
  </si>
  <si>
    <t>geslin2318</t>
  </si>
  <si>
    <t>geslin2442</t>
  </si>
  <si>
    <t>geslin1330</t>
  </si>
  <si>
    <t>Lasioglossum_mediterraneum</t>
  </si>
  <si>
    <t>geslin475</t>
  </si>
  <si>
    <t>Lasioglossum_morio</t>
  </si>
  <si>
    <t>geslin476</t>
  </si>
  <si>
    <t>geslin477</t>
  </si>
  <si>
    <t>geslin2323</t>
  </si>
  <si>
    <t>geslin465</t>
  </si>
  <si>
    <t>geslin60</t>
  </si>
  <si>
    <t>geslin230</t>
  </si>
  <si>
    <t>geslin271</t>
  </si>
  <si>
    <t>geslin276</t>
  </si>
  <si>
    <t>geslin286</t>
  </si>
  <si>
    <t>geslin291</t>
  </si>
  <si>
    <t>geslin373</t>
  </si>
  <si>
    <t>geslin378</t>
  </si>
  <si>
    <t>geslin380</t>
  </si>
  <si>
    <t>geslin381</t>
  </si>
  <si>
    <t>geslin383</t>
  </si>
  <si>
    <t>geslin393</t>
  </si>
  <si>
    <t>geslin394</t>
  </si>
  <si>
    <t>geslin395</t>
  </si>
  <si>
    <t>geslin401</t>
  </si>
  <si>
    <t>geslin402</t>
  </si>
  <si>
    <t>geslin403</t>
  </si>
  <si>
    <t>geslin406</t>
  </si>
  <si>
    <t>geslin414</t>
  </si>
  <si>
    <t>geslin418</t>
  </si>
  <si>
    <t>geslin419</t>
  </si>
  <si>
    <t>geslin457</t>
  </si>
  <si>
    <t>geslin458</t>
  </si>
  <si>
    <t>geslin459</t>
  </si>
  <si>
    <t>geslin460</t>
  </si>
  <si>
    <t>geslin461</t>
  </si>
  <si>
    <t>geslin462</t>
  </si>
  <si>
    <t>geslin466</t>
  </si>
  <si>
    <t>geslin470</t>
  </si>
  <si>
    <t>geslin486</t>
  </si>
  <si>
    <t>geslin487</t>
  </si>
  <si>
    <t>geslin498</t>
  </si>
  <si>
    <t>geslin537</t>
  </si>
  <si>
    <t>geslin538</t>
  </si>
  <si>
    <t>geslin549</t>
  </si>
  <si>
    <t>geslin557</t>
  </si>
  <si>
    <t>geslin639</t>
  </si>
  <si>
    <t>geslin640</t>
  </si>
  <si>
    <t>geslin680</t>
  </si>
  <si>
    <t>geslin681</t>
  </si>
  <si>
    <t>geslin685</t>
  </si>
  <si>
    <t>geslin696</t>
  </si>
  <si>
    <t>geslin697</t>
  </si>
  <si>
    <t>geslin699</t>
  </si>
  <si>
    <t>geslin720</t>
  </si>
  <si>
    <t>geslin721</t>
  </si>
  <si>
    <t>geslin812</t>
  </si>
  <si>
    <t>geslin823</t>
  </si>
  <si>
    <t>geslin825</t>
  </si>
  <si>
    <t>geslin850</t>
  </si>
  <si>
    <t>geslin887</t>
  </si>
  <si>
    <t>geslin889</t>
  </si>
  <si>
    <t>geslin890</t>
  </si>
  <si>
    <t>geslin891</t>
  </si>
  <si>
    <t>geslin909</t>
  </si>
  <si>
    <t>geslin910</t>
  </si>
  <si>
    <t>geslin933</t>
  </si>
  <si>
    <t>geslin939</t>
  </si>
  <si>
    <t>geslin943</t>
  </si>
  <si>
    <t>geslin955</t>
  </si>
  <si>
    <t>geslin961</t>
  </si>
  <si>
    <t>geslin974</t>
  </si>
  <si>
    <t>geslin975</t>
  </si>
  <si>
    <t>geslin1150</t>
  </si>
  <si>
    <t>geslin1152</t>
  </si>
  <si>
    <t>geslin1154</t>
  </si>
  <si>
    <t>geslin1155</t>
  </si>
  <si>
    <t>geslin1156</t>
  </si>
  <si>
    <t>geslin1158</t>
  </si>
  <si>
    <t>geslin1159</t>
  </si>
  <si>
    <t>geslin1165</t>
  </si>
  <si>
    <t>geslin1169</t>
  </si>
  <si>
    <t>geslin1328</t>
  </si>
  <si>
    <t>geslin1335</t>
  </si>
  <si>
    <t>geslin1349</t>
  </si>
  <si>
    <t>geslin1377</t>
  </si>
  <si>
    <t>geslin1378</t>
  </si>
  <si>
    <t>geslin1391</t>
  </si>
  <si>
    <t>geslin1392</t>
  </si>
  <si>
    <t>geslin1430</t>
  </si>
  <si>
    <t>geslin1469</t>
  </si>
  <si>
    <t>geslin1526</t>
  </si>
  <si>
    <t>geslin1572</t>
  </si>
  <si>
    <t>geslin1624</t>
  </si>
  <si>
    <t>geslin1625</t>
  </si>
  <si>
    <t>geslin1702</t>
  </si>
  <si>
    <t>geslin1839</t>
  </si>
  <si>
    <t>geslin1840</t>
  </si>
  <si>
    <t>geslin1841</t>
  </si>
  <si>
    <t>geslin1862</t>
  </si>
  <si>
    <t>geslin1873</t>
  </si>
  <si>
    <t>geslin1897</t>
  </si>
  <si>
    <t>geslin1899</t>
  </si>
  <si>
    <t>geslin1906</t>
  </si>
  <si>
    <t>geslin1998</t>
  </si>
  <si>
    <t>geslin2009</t>
  </si>
  <si>
    <t>geslin2075</t>
  </si>
  <si>
    <t>geslin2133</t>
  </si>
  <si>
    <t>geslin2142</t>
  </si>
  <si>
    <t>geslin2144</t>
  </si>
  <si>
    <t>geslin2145</t>
  </si>
  <si>
    <t>geslin2146</t>
  </si>
  <si>
    <t>geslin2147</t>
  </si>
  <si>
    <t>geslin2149</t>
  </si>
  <si>
    <t>geslin2150</t>
  </si>
  <si>
    <t>geslin2151</t>
  </si>
  <si>
    <t>geslin2153</t>
  </si>
  <si>
    <t>geslin2155</t>
  </si>
  <si>
    <t>geslin2197</t>
  </si>
  <si>
    <t>geslin2246</t>
  </si>
  <si>
    <t>geslin2296</t>
  </si>
  <si>
    <t>geslin2326</t>
  </si>
  <si>
    <t>geslin2327</t>
  </si>
  <si>
    <t>geslin2333</t>
  </si>
  <si>
    <t>geslin2335</t>
  </si>
  <si>
    <t>geslin2336</t>
  </si>
  <si>
    <t>geslin2337</t>
  </si>
  <si>
    <t>geslin2338</t>
  </si>
  <si>
    <t>geslin2339</t>
  </si>
  <si>
    <t>geslin2340</t>
  </si>
  <si>
    <t>geslin2342</t>
  </si>
  <si>
    <t>geslin2343</t>
  </si>
  <si>
    <t>geslin2345</t>
  </si>
  <si>
    <t>geslin2346</t>
  </si>
  <si>
    <t>geslin2347</t>
  </si>
  <si>
    <t>geslin2348</t>
  </si>
  <si>
    <t>geslin2349</t>
  </si>
  <si>
    <t>geslin2353</t>
  </si>
  <si>
    <t>geslin2362</t>
  </si>
  <si>
    <t>geslin2364</t>
  </si>
  <si>
    <t>geslin2366</t>
  </si>
  <si>
    <t>geslin2402</t>
  </si>
  <si>
    <t>geslin2405</t>
  </si>
  <si>
    <t>geslin2406</t>
  </si>
  <si>
    <t>geslin2408</t>
  </si>
  <si>
    <t>geslin2420</t>
  </si>
  <si>
    <t>geslin2421</t>
  </si>
  <si>
    <t>geslin2422</t>
  </si>
  <si>
    <t>geslin2439</t>
  </si>
  <si>
    <t>geslin2452</t>
  </si>
  <si>
    <t>geslin2453</t>
  </si>
  <si>
    <t>geslin2455</t>
  </si>
  <si>
    <t>geslin2459</t>
  </si>
  <si>
    <t>geslin2460</t>
  </si>
  <si>
    <t>geslin2461</t>
  </si>
  <si>
    <t>geslin2462</t>
  </si>
  <si>
    <t>geslin2463</t>
  </si>
  <si>
    <t>geslin2464</t>
  </si>
  <si>
    <t>geslin2465</t>
  </si>
  <si>
    <t>geslin2466</t>
  </si>
  <si>
    <t>geslin2467</t>
  </si>
  <si>
    <t>geslin2468</t>
  </si>
  <si>
    <t>geslin2470</t>
  </si>
  <si>
    <t>geslin2472</t>
  </si>
  <si>
    <t>geslin2473</t>
  </si>
  <si>
    <t>geslin684</t>
  </si>
  <si>
    <t>geslin1379</t>
  </si>
  <si>
    <t>geslin2328</t>
  </si>
  <si>
    <t>geslin270</t>
  </si>
  <si>
    <t>Lasioglossum_nitidiusculum</t>
  </si>
  <si>
    <t>geslin556</t>
  </si>
  <si>
    <t>geslin2051</t>
  </si>
  <si>
    <t>Lasioglossum_nitidulum</t>
  </si>
  <si>
    <t>geslin2069</t>
  </si>
  <si>
    <t>geslin441</t>
  </si>
  <si>
    <t>geslin446</t>
  </si>
  <si>
    <t>geslin449</t>
  </si>
  <si>
    <t>geslin464</t>
  </si>
  <si>
    <t>geslin2474</t>
  </si>
  <si>
    <t>geslin72</t>
  </si>
  <si>
    <t>geslin107</t>
  </si>
  <si>
    <t>geslin129</t>
  </si>
  <si>
    <t>geslin145</t>
  </si>
  <si>
    <t>geslin146</t>
  </si>
  <si>
    <t>geslin162</t>
  </si>
  <si>
    <t>geslin239</t>
  </si>
  <si>
    <t>geslin272</t>
  </si>
  <si>
    <t>geslin274</t>
  </si>
  <si>
    <t>geslin275</t>
  </si>
  <si>
    <t>geslin278</t>
  </si>
  <si>
    <t>geslin335</t>
  </si>
  <si>
    <t>geslin390</t>
  </si>
  <si>
    <t>geslin416</t>
  </si>
  <si>
    <t>geslin454</t>
  </si>
  <si>
    <t>geslin455</t>
  </si>
  <si>
    <t>geslin456</t>
  </si>
  <si>
    <t>geslin478</t>
  </si>
  <si>
    <t>geslin485</t>
  </si>
  <si>
    <t>geslin490</t>
  </si>
  <si>
    <t>geslin624</t>
  </si>
  <si>
    <t>geslin678</t>
  </si>
  <si>
    <t>geslin831</t>
  </si>
  <si>
    <t>geslin835</t>
  </si>
  <si>
    <t>geslin836</t>
  </si>
  <si>
    <t>geslin837</t>
  </si>
  <si>
    <t>geslin861</t>
  </si>
  <si>
    <t>geslin863</t>
  </si>
  <si>
    <t>geslin864</t>
  </si>
  <si>
    <t>geslin888</t>
  </si>
  <si>
    <t>geslin941</t>
  </si>
  <si>
    <t>geslin942</t>
  </si>
  <si>
    <t>geslin958</t>
  </si>
  <si>
    <t>geslin960</t>
  </si>
  <si>
    <t>geslin971</t>
  </si>
  <si>
    <t>geslin973</t>
  </si>
  <si>
    <t>geslin1018</t>
  </si>
  <si>
    <t>geslin1122</t>
  </si>
  <si>
    <t>geslin1125</t>
  </si>
  <si>
    <t>geslin1128</t>
  </si>
  <si>
    <t>geslin1133</t>
  </si>
  <si>
    <t>geslin1153</t>
  </si>
  <si>
    <t>geslin1160</t>
  </si>
  <si>
    <t>geslin1166</t>
  </si>
  <si>
    <t>geslin1168</t>
  </si>
  <si>
    <t>geslin1181</t>
  </si>
  <si>
    <t>geslin1207</t>
  </si>
  <si>
    <t>geslin1302</t>
  </si>
  <si>
    <t>geslin1440</t>
  </si>
  <si>
    <t>geslin1441</t>
  </si>
  <si>
    <t>geslin1680</t>
  </si>
  <si>
    <t>geslin1699</t>
  </si>
  <si>
    <t>geslin1700</t>
  </si>
  <si>
    <t>geslin1701</t>
  </si>
  <si>
    <t>geslin1703</t>
  </si>
  <si>
    <t>geslin1704</t>
  </si>
  <si>
    <t>geslin1718</t>
  </si>
  <si>
    <t>geslin1719</t>
  </si>
  <si>
    <t>geslin1720</t>
  </si>
  <si>
    <t>geslin1721</t>
  </si>
  <si>
    <t>geslin1722</t>
  </si>
  <si>
    <t>geslin1723</t>
  </si>
  <si>
    <t>geslin1814</t>
  </si>
  <si>
    <t>geslin1819</t>
  </si>
  <si>
    <t>geslin1834</t>
  </si>
  <si>
    <t>geslin1838</t>
  </si>
  <si>
    <t>geslin1861</t>
  </si>
  <si>
    <t>geslin1868</t>
  </si>
  <si>
    <t>geslin1869</t>
  </si>
  <si>
    <t>geslin1870</t>
  </si>
  <si>
    <t>geslin1872</t>
  </si>
  <si>
    <t>geslin1874</t>
  </si>
  <si>
    <t>geslin1895</t>
  </si>
  <si>
    <t>geslin1896</t>
  </si>
  <si>
    <t>geslin1898</t>
  </si>
  <si>
    <t>geslin1900</t>
  </si>
  <si>
    <t>geslin1901</t>
  </si>
  <si>
    <t>geslin2060</t>
  </si>
  <si>
    <t>geslin2127</t>
  </si>
  <si>
    <t>geslin2130</t>
  </si>
  <si>
    <t>geslin2131</t>
  </si>
  <si>
    <t>geslin2132</t>
  </si>
  <si>
    <t>geslin2141</t>
  </si>
  <si>
    <t>geslin2143</t>
  </si>
  <si>
    <t>geslin2148</t>
  </si>
  <si>
    <t>geslin2152</t>
  </si>
  <si>
    <t>geslin2154</t>
  </si>
  <si>
    <t>geslin2156</t>
  </si>
  <si>
    <t>geslin2157</t>
  </si>
  <si>
    <t>geslin2334</t>
  </si>
  <si>
    <t>geslin2344</t>
  </si>
  <si>
    <t>geslin2363</t>
  </si>
  <si>
    <t>geslin2365</t>
  </si>
  <si>
    <t>geslin2418</t>
  </si>
  <si>
    <t>geslin2440</t>
  </si>
  <si>
    <t>geslin2443</t>
  </si>
  <si>
    <t>geslin2447</t>
  </si>
  <si>
    <t>geslin2451</t>
  </si>
  <si>
    <t>geslin2454</t>
  </si>
  <si>
    <t>geslin2456</t>
  </si>
  <si>
    <t>geslin2457</t>
  </si>
  <si>
    <t>geslin2458</t>
  </si>
  <si>
    <t>geslin2471</t>
  </si>
  <si>
    <t>geslin2478</t>
  </si>
  <si>
    <t>geslin626</t>
  </si>
  <si>
    <t>geslin654</t>
  </si>
  <si>
    <t>geslin657</t>
  </si>
  <si>
    <t>geslin660</t>
  </si>
  <si>
    <t>geslin662</t>
  </si>
  <si>
    <t>geslin667</t>
  </si>
  <si>
    <t>geslin698</t>
  </si>
  <si>
    <t>geslin832</t>
  </si>
  <si>
    <t>geslin833</t>
  </si>
  <si>
    <t>geslin867</t>
  </si>
  <si>
    <t>geslin868</t>
  </si>
  <si>
    <t>geslin957</t>
  </si>
  <si>
    <t>geslin977</t>
  </si>
  <si>
    <t>geslin1706</t>
  </si>
  <si>
    <t>geslin1909</t>
  </si>
  <si>
    <t>geslin2367</t>
  </si>
  <si>
    <t>geslin2368</t>
  </si>
  <si>
    <t>geslin35</t>
  </si>
  <si>
    <t>Lasioglossum_pallens</t>
  </si>
  <si>
    <t>geslin902</t>
  </si>
  <si>
    <t>Lasioglossum_pauperatum</t>
  </si>
  <si>
    <t>geslin911</t>
  </si>
  <si>
    <t>geslin80</t>
  </si>
  <si>
    <t>geslin101</t>
  </si>
  <si>
    <t>geslin175</t>
  </si>
  <si>
    <t>geslin214</t>
  </si>
  <si>
    <t>geslin253</t>
  </si>
  <si>
    <t>geslin480</t>
  </si>
  <si>
    <t>geslin484</t>
  </si>
  <si>
    <t>geslin528</t>
  </si>
  <si>
    <t>geslin531</t>
  </si>
  <si>
    <t>geslin532</t>
  </si>
  <si>
    <t>geslin534</t>
  </si>
  <si>
    <t>geslin536</t>
  </si>
  <si>
    <t>geslin541</t>
  </si>
  <si>
    <t>geslin546</t>
  </si>
  <si>
    <t>geslin547</t>
  </si>
  <si>
    <t>geslin548</t>
  </si>
  <si>
    <t>geslin551</t>
  </si>
  <si>
    <t>geslin552</t>
  </si>
  <si>
    <t>geslin609</t>
  </si>
  <si>
    <t>geslin611</t>
  </si>
  <si>
    <t>geslin612</t>
  </si>
  <si>
    <t>geslin613</t>
  </si>
  <si>
    <t>geslin614</t>
  </si>
  <si>
    <t>geslin615</t>
  </si>
  <si>
    <t>geslin616</t>
  </si>
  <si>
    <t>geslin617</t>
  </si>
  <si>
    <t>geslin618</t>
  </si>
  <si>
    <t>geslin619</t>
  </si>
  <si>
    <t>geslin683</t>
  </si>
  <si>
    <t>geslin849</t>
  </si>
  <si>
    <t>geslin851</t>
  </si>
  <si>
    <t>geslin852</t>
  </si>
  <si>
    <t>geslin905</t>
  </si>
  <si>
    <t>geslin1024</t>
  </si>
  <si>
    <t>geslin1123</t>
  </si>
  <si>
    <t>geslin1127</t>
  </si>
  <si>
    <t>geslin1151</t>
  </si>
  <si>
    <t>geslin1243</t>
  </si>
  <si>
    <t>geslin1254</t>
  </si>
  <si>
    <t>geslin1256</t>
  </si>
  <si>
    <t>geslin1257</t>
  </si>
  <si>
    <t>geslin1258</t>
  </si>
  <si>
    <t>geslin1260</t>
  </si>
  <si>
    <t>geslin1262</t>
  </si>
  <si>
    <t>geslin1264</t>
  </si>
  <si>
    <t>geslin1355</t>
  </si>
  <si>
    <t>geslin1429</t>
  </si>
  <si>
    <t>geslin1432</t>
  </si>
  <si>
    <t>geslin1516</t>
  </si>
  <si>
    <t>geslin1541</t>
  </si>
  <si>
    <t>geslin1542</t>
  </si>
  <si>
    <t>geslin1588</t>
  </si>
  <si>
    <t>geslin1622</t>
  </si>
  <si>
    <t>geslin1623</t>
  </si>
  <si>
    <t>geslin1626</t>
  </si>
  <si>
    <t>geslin1655</t>
  </si>
  <si>
    <t>geslin1656</t>
  </si>
  <si>
    <t>geslin1657</t>
  </si>
  <si>
    <t>geslin1658</t>
  </si>
  <si>
    <t>geslin1659</t>
  </si>
  <si>
    <t>geslin1946</t>
  </si>
  <si>
    <t>geslin1953</t>
  </si>
  <si>
    <t>geslin2074</t>
  </si>
  <si>
    <t>geslin2273</t>
  </si>
  <si>
    <t>geslin2289</t>
  </si>
  <si>
    <t>geslin2311</t>
  </si>
  <si>
    <t>geslin2341</t>
  </si>
  <si>
    <t>geslin488</t>
  </si>
  <si>
    <t>geslin3</t>
  </si>
  <si>
    <t>Lasioglossum_politum</t>
  </si>
  <si>
    <t>geslin181</t>
  </si>
  <si>
    <t>geslin191</t>
  </si>
  <si>
    <t>geslin207</t>
  </si>
  <si>
    <t>geslin542</t>
  </si>
  <si>
    <t>geslin553</t>
  </si>
  <si>
    <t>geslin554</t>
  </si>
  <si>
    <t>geslin622</t>
  </si>
  <si>
    <t>geslin628</t>
  </si>
  <si>
    <t>geslin811</t>
  </si>
  <si>
    <t>geslin956</t>
  </si>
  <si>
    <t>geslin1014</t>
  </si>
  <si>
    <t>geslin1015</t>
  </si>
  <si>
    <t>geslin1019</t>
  </si>
  <si>
    <t>geslin1029</t>
  </si>
  <si>
    <t>geslin1048</t>
  </si>
  <si>
    <t>geslin1070</t>
  </si>
  <si>
    <t>geslin1076</t>
  </si>
  <si>
    <t>geslin1124</t>
  </si>
  <si>
    <t>geslin1126</t>
  </si>
  <si>
    <t>geslin1331</t>
  </si>
  <si>
    <t>geslin1334</t>
  </si>
  <si>
    <t>geslin1376</t>
  </si>
  <si>
    <t>geslin1586</t>
  </si>
  <si>
    <t>geslin1627</t>
  </si>
  <si>
    <t>geslin1628</t>
  </si>
  <si>
    <t>geslin1724</t>
  </si>
  <si>
    <t>geslin1842</t>
  </si>
  <si>
    <t>geslin1843</t>
  </si>
  <si>
    <t>geslin1844</t>
  </si>
  <si>
    <t>geslin1845</t>
  </si>
  <si>
    <t>geslin1846</t>
  </si>
  <si>
    <t>geslin1847</t>
  </si>
  <si>
    <t>geslin1848</t>
  </si>
  <si>
    <t>geslin1849</t>
  </si>
  <si>
    <t>geslin1894</t>
  </si>
  <si>
    <t>geslin1907</t>
  </si>
  <si>
    <t>geslin2061</t>
  </si>
  <si>
    <t>geslin2140</t>
  </si>
  <si>
    <t>geslin2168</t>
  </si>
  <si>
    <t>geslin2302</t>
  </si>
  <si>
    <t>geslin2469</t>
  </si>
  <si>
    <t>geslin1434</t>
  </si>
  <si>
    <t>Lasioglossum_punctatissimum</t>
  </si>
  <si>
    <t>geslin1468</t>
  </si>
  <si>
    <t>geslin2196</t>
  </si>
  <si>
    <t>geslin726</t>
  </si>
  <si>
    <t>geslin1905</t>
  </si>
  <si>
    <t>Lasioglossum_puncticolle</t>
  </si>
  <si>
    <t>geslin206</t>
  </si>
  <si>
    <t>Lasioglossum_pygmaeum</t>
  </si>
  <si>
    <t>geslin679</t>
  </si>
  <si>
    <t>geslin1016</t>
  </si>
  <si>
    <t>geslin1017</t>
  </si>
  <si>
    <t>geslin1074</t>
  </si>
  <si>
    <t>geslin1170</t>
  </si>
  <si>
    <t>geslin1327</t>
  </si>
  <si>
    <t>geslin1333</t>
  </si>
  <si>
    <t>geslin1833</t>
  </si>
  <si>
    <t>geslin1836</t>
  </si>
  <si>
    <t>geslin1837</t>
  </si>
  <si>
    <t>geslin1997</t>
  </si>
  <si>
    <t>geslin724</t>
  </si>
  <si>
    <t>geslin725</t>
  </si>
  <si>
    <t>geslin130</t>
  </si>
  <si>
    <t>Lasioglossum_sabulosum</t>
  </si>
  <si>
    <t>geslin669</t>
  </si>
  <si>
    <t>geslin238</t>
  </si>
  <si>
    <t>Lasioglossum_sexnotatum</t>
  </si>
  <si>
    <t>geslin1525</t>
  </si>
  <si>
    <t>Lasioglossum_sexstrigatum</t>
  </si>
  <si>
    <t>geslin1531</t>
  </si>
  <si>
    <t>Lasioglossum_subhirtum</t>
  </si>
  <si>
    <t>geslin59</t>
  </si>
  <si>
    <t>geslin67</t>
  </si>
  <si>
    <t>geslin599</t>
  </si>
  <si>
    <t>geslin603</t>
  </si>
  <si>
    <t>geslin604</t>
  </si>
  <si>
    <t>geslin608</t>
  </si>
  <si>
    <t>geslin719</t>
  </si>
  <si>
    <t>geslin722</t>
  </si>
  <si>
    <t>geslin797</t>
  </si>
  <si>
    <t>geslin799</t>
  </si>
  <si>
    <t>geslin899</t>
  </si>
  <si>
    <t>geslin900</t>
  </si>
  <si>
    <t>geslin995</t>
  </si>
  <si>
    <t>geslin1198</t>
  </si>
  <si>
    <t>geslin1199</t>
  </si>
  <si>
    <t>geslin1208</t>
  </si>
  <si>
    <t>geslin1210</t>
  </si>
  <si>
    <t>geslin1241</t>
  </si>
  <si>
    <t>geslin1242</t>
  </si>
  <si>
    <t>geslin1251</t>
  </si>
  <si>
    <t>geslin1252</t>
  </si>
  <si>
    <t>geslin1255</t>
  </si>
  <si>
    <t>geslin1261</t>
  </si>
  <si>
    <t>geslin1350</t>
  </si>
  <si>
    <t>geslin1351</t>
  </si>
  <si>
    <t>geslin1353</t>
  </si>
  <si>
    <t>geslin1354</t>
  </si>
  <si>
    <t>geslin1357</t>
  </si>
  <si>
    <t>geslin1358</t>
  </si>
  <si>
    <t>geslin1359</t>
  </si>
  <si>
    <t>geslin1561</t>
  </si>
  <si>
    <t>geslin1562</t>
  </si>
  <si>
    <t>geslin1563</t>
  </si>
  <si>
    <t>geslin1565</t>
  </si>
  <si>
    <t>geslin1566</t>
  </si>
  <si>
    <t>geslin1568</t>
  </si>
  <si>
    <t>geslin1587</t>
  </si>
  <si>
    <t>geslin1589</t>
  </si>
  <si>
    <t>geslin1590</t>
  </si>
  <si>
    <t>geslin1717</t>
  </si>
  <si>
    <t>geslin2287</t>
  </si>
  <si>
    <t>geslin179</t>
  </si>
  <si>
    <t>Lasioglossum_villosulum</t>
  </si>
  <si>
    <t>geslin415</t>
  </si>
  <si>
    <t>geslin550</t>
  </si>
  <si>
    <t>geslin1043</t>
  </si>
  <si>
    <t>geslin1157</t>
  </si>
  <si>
    <t>geslin2354</t>
  </si>
  <si>
    <t>geslin2407</t>
  </si>
  <si>
    <t>geslin976</t>
  </si>
  <si>
    <t>geslin1716</t>
  </si>
  <si>
    <t>Lasioglossum_zonulum</t>
  </si>
  <si>
    <t>geslin68</t>
  </si>
  <si>
    <t>geslin73</t>
  </si>
  <si>
    <t>geslin2399</t>
  </si>
  <si>
    <t>Chelostoma</t>
  </si>
  <si>
    <t>Chelostoma_campanularum</t>
  </si>
  <si>
    <t>geslin2400</t>
  </si>
  <si>
    <t>geslin2401</t>
  </si>
  <si>
    <t>geslin2477</t>
  </si>
  <si>
    <t>geslin404</t>
  </si>
  <si>
    <t>geslin540</t>
  </si>
  <si>
    <t>geslin1171</t>
  </si>
  <si>
    <t>geslin1406</t>
  </si>
  <si>
    <t>geslin1707</t>
  </si>
  <si>
    <t>geslin2369</t>
  </si>
  <si>
    <t>geslin2370</t>
  </si>
  <si>
    <t>geslin2371</t>
  </si>
  <si>
    <t>geslin2372</t>
  </si>
  <si>
    <t>geslin2373</t>
  </si>
  <si>
    <t>geslin2374</t>
  </si>
  <si>
    <t>geslin2375</t>
  </si>
  <si>
    <t>geslin2376</t>
  </si>
  <si>
    <t>geslin2377</t>
  </si>
  <si>
    <t>geslin2378</t>
  </si>
  <si>
    <t>geslin2379</t>
  </si>
  <si>
    <t>geslin2380</t>
  </si>
  <si>
    <t>geslin2381</t>
  </si>
  <si>
    <t>geslin2382</t>
  </si>
  <si>
    <t>geslin2383</t>
  </si>
  <si>
    <t>geslin2384</t>
  </si>
  <si>
    <t>geslin2385</t>
  </si>
  <si>
    <t>geslin2386</t>
  </si>
  <si>
    <t>geslin2387</t>
  </si>
  <si>
    <t>geslin2388</t>
  </si>
  <si>
    <t>geslin2389</t>
  </si>
  <si>
    <t>geslin2390</t>
  </si>
  <si>
    <t>geslin2391</t>
  </si>
  <si>
    <t>geslin2392</t>
  </si>
  <si>
    <t>geslin2423</t>
  </si>
  <si>
    <t>geslin2476</t>
  </si>
  <si>
    <t>geslin2360</t>
  </si>
  <si>
    <t>Chelostoma_rapunculi</t>
  </si>
  <si>
    <t>geslin2475</t>
  </si>
  <si>
    <t>geslin978</t>
  </si>
  <si>
    <t>Heriades</t>
  </si>
  <si>
    <t>Heriades_crenulata</t>
  </si>
  <si>
    <t>geslin355</t>
  </si>
  <si>
    <t>Heriades_truncorum</t>
  </si>
  <si>
    <t>geslin229</t>
  </si>
  <si>
    <t>geslin1443</t>
  </si>
  <si>
    <t>geslin1444</t>
  </si>
  <si>
    <t>geslin1147</t>
  </si>
  <si>
    <t>Megachile</t>
  </si>
  <si>
    <t>Megachile_centuncularis</t>
  </si>
  <si>
    <t>geslin870</t>
  </si>
  <si>
    <t>geslin1348</t>
  </si>
  <si>
    <t>Megachile_ericetorum</t>
  </si>
  <si>
    <t>geslin2096</t>
  </si>
  <si>
    <t>Megachile_maritima</t>
  </si>
  <si>
    <t>geslin285</t>
  </si>
  <si>
    <t>Megachile_willughbiella</t>
  </si>
  <si>
    <t>geslin429</t>
  </si>
  <si>
    <t>geslin2330</t>
  </si>
  <si>
    <t>geslin6</t>
  </si>
  <si>
    <t>Osmia</t>
  </si>
  <si>
    <t>Osmia_bicornis</t>
  </si>
  <si>
    <t>geslin148</t>
  </si>
  <si>
    <t>geslin1047</t>
  </si>
  <si>
    <t xml:space="preserve">Heriades </t>
  </si>
  <si>
    <t>geslin356</t>
  </si>
  <si>
    <t>Melitta</t>
  </si>
  <si>
    <t>ropars2J7</t>
  </si>
  <si>
    <t>bercy</t>
  </si>
  <si>
    <t>20/05/2014</t>
  </si>
  <si>
    <t>Hylaeus_confusus</t>
  </si>
  <si>
    <t>ropars</t>
  </si>
  <si>
    <t>ropars2J8</t>
  </si>
  <si>
    <t>ropars2J9</t>
  </si>
  <si>
    <t>ropars3B2</t>
  </si>
  <si>
    <t>bnf</t>
  </si>
  <si>
    <t>ropars3B3</t>
  </si>
  <si>
    <t>ropars3B4</t>
  </si>
  <si>
    <t>ropars3B5</t>
  </si>
  <si>
    <t>ropars4B1</t>
  </si>
  <si>
    <t>p7</t>
  </si>
  <si>
    <t>roparsB1</t>
  </si>
  <si>
    <t>28/05/2014</t>
  </si>
  <si>
    <t>roparsB16</t>
  </si>
  <si>
    <t>06/06/2014</t>
  </si>
  <si>
    <t>roparsB20</t>
  </si>
  <si>
    <t>13/06/2014</t>
  </si>
  <si>
    <t>roparsB22</t>
  </si>
  <si>
    <t>roparsB23</t>
  </si>
  <si>
    <t>roparsB24</t>
  </si>
  <si>
    <t>roparsB25</t>
  </si>
  <si>
    <t>roparsB26</t>
  </si>
  <si>
    <t>roparsB27</t>
  </si>
  <si>
    <t>roparsB29</t>
  </si>
  <si>
    <t>roparsB3</t>
  </si>
  <si>
    <t>roparsB35</t>
  </si>
  <si>
    <t>18/06/2014</t>
  </si>
  <si>
    <t xml:space="preserve">Lasioglossum </t>
  </si>
  <si>
    <t>roparsB36</t>
  </si>
  <si>
    <t>roparsB38</t>
  </si>
  <si>
    <t>roparsB39</t>
  </si>
  <si>
    <t xml:space="preserve">roparsB40 </t>
  </si>
  <si>
    <t>roparsB42</t>
  </si>
  <si>
    <t>Andrena_sp.</t>
  </si>
  <si>
    <t>roparsB44</t>
  </si>
  <si>
    <t>roparsB45</t>
  </si>
  <si>
    <t>roparsB46</t>
  </si>
  <si>
    <t>24/06/2014</t>
  </si>
  <si>
    <t>roparsB47</t>
  </si>
  <si>
    <t>roparsB48</t>
  </si>
  <si>
    <t>roparsB49</t>
  </si>
  <si>
    <t>roparsB50</t>
  </si>
  <si>
    <t>roparsB51</t>
  </si>
  <si>
    <t>Lasioglossum_minutissimum</t>
  </si>
  <si>
    <t>roparsB56</t>
  </si>
  <si>
    <t>roparsB58</t>
  </si>
  <si>
    <t>roparsB59</t>
  </si>
  <si>
    <t>roparsB6</t>
  </si>
  <si>
    <t>roparsB63</t>
  </si>
  <si>
    <t>roparsB64</t>
  </si>
  <si>
    <t>roparsB65</t>
  </si>
  <si>
    <t>roparsB66</t>
  </si>
  <si>
    <t>Lasioglossum_leucopus</t>
  </si>
  <si>
    <t>roparsB67</t>
  </si>
  <si>
    <t>roparsB68</t>
  </si>
  <si>
    <t>02/07/2014</t>
  </si>
  <si>
    <t>roparsB70</t>
  </si>
  <si>
    <t>roparsB71</t>
  </si>
  <si>
    <t>roparsB75</t>
  </si>
  <si>
    <t>08/07/2014</t>
  </si>
  <si>
    <t>roparsD10</t>
  </si>
  <si>
    <t>16/07/2014</t>
  </si>
  <si>
    <t>roparsD3</t>
  </si>
  <si>
    <t>roparsD4</t>
  </si>
  <si>
    <t>roparsD5</t>
  </si>
  <si>
    <t>roparsD6</t>
  </si>
  <si>
    <t>roparsD9</t>
  </si>
  <si>
    <t>roparsDEC10</t>
  </si>
  <si>
    <t>p5</t>
  </si>
  <si>
    <t>roparsDEC11</t>
  </si>
  <si>
    <t>22/07/2014</t>
  </si>
  <si>
    <t>roparsDEC12</t>
  </si>
  <si>
    <t>roparsDEC13</t>
  </si>
  <si>
    <t>roparsDEC14</t>
  </si>
  <si>
    <t>roparsDEC3</t>
  </si>
  <si>
    <t>roparsDEC4</t>
  </si>
  <si>
    <t>roparsDEC5</t>
  </si>
  <si>
    <t>roparsDEC6</t>
  </si>
  <si>
    <t>Hylaeus_hyalinatus</t>
  </si>
  <si>
    <t>roparsDEC8</t>
  </si>
  <si>
    <t>roparsDEC9</t>
  </si>
  <si>
    <t>roparsI1</t>
  </si>
  <si>
    <t>ipgp</t>
  </si>
  <si>
    <t>roparsI11</t>
  </si>
  <si>
    <t>roparsI13</t>
  </si>
  <si>
    <t>roparsI14</t>
  </si>
  <si>
    <t>roparsI16</t>
  </si>
  <si>
    <t>roparsI17</t>
  </si>
  <si>
    <t>roparsI5</t>
  </si>
  <si>
    <t>roparsI6</t>
  </si>
  <si>
    <t>roparsI7</t>
  </si>
  <si>
    <t>roparsI8</t>
  </si>
  <si>
    <t>roparsU11</t>
  </si>
  <si>
    <t>upmc</t>
  </si>
  <si>
    <t>roparsU13</t>
  </si>
  <si>
    <t>roparsU14</t>
  </si>
  <si>
    <t>roparsU15</t>
  </si>
  <si>
    <t>roparsU16</t>
  </si>
  <si>
    <t>roparsU17</t>
  </si>
  <si>
    <t>Hylaeus_sp.</t>
  </si>
  <si>
    <t>roparsU18</t>
  </si>
  <si>
    <t>roparsU19</t>
  </si>
  <si>
    <t>roparsU2</t>
  </si>
  <si>
    <t>roparsU20</t>
  </si>
  <si>
    <t>roparsU21</t>
  </si>
  <si>
    <t>roparsU22</t>
  </si>
  <si>
    <t>roparsU23</t>
  </si>
  <si>
    <t>roparsU24</t>
  </si>
  <si>
    <t>roparsU25</t>
  </si>
  <si>
    <t>roparsU26</t>
  </si>
  <si>
    <t>roparsU27</t>
  </si>
  <si>
    <t>roparsU28</t>
  </si>
  <si>
    <t>roparsU29</t>
  </si>
  <si>
    <t>roparsU31</t>
  </si>
  <si>
    <t>roparsU32</t>
  </si>
  <si>
    <t>roparsU33</t>
  </si>
  <si>
    <t>roparsU34</t>
  </si>
  <si>
    <t>roparsU35</t>
  </si>
  <si>
    <t>roparsU36</t>
  </si>
  <si>
    <t>roparsU37</t>
  </si>
  <si>
    <t>roparsU38</t>
  </si>
  <si>
    <t>roparsU4</t>
  </si>
  <si>
    <t>roparsU40</t>
  </si>
  <si>
    <t>roparsU41</t>
  </si>
  <si>
    <t>roparsU42</t>
  </si>
  <si>
    <t>roparsU43</t>
  </si>
  <si>
    <t>roparsU44</t>
  </si>
  <si>
    <t>roparsU45</t>
  </si>
  <si>
    <t>roparsU46</t>
  </si>
  <si>
    <t>Lasioglossum_sp.</t>
  </si>
  <si>
    <t>roparsU47</t>
  </si>
  <si>
    <t>roparsU48</t>
  </si>
  <si>
    <t>roparsU49</t>
  </si>
  <si>
    <t>roparsU5</t>
  </si>
  <si>
    <t>roparsU50</t>
  </si>
  <si>
    <t>roparsU6</t>
  </si>
  <si>
    <t>roparsU7</t>
  </si>
  <si>
    <t>roparsU8</t>
  </si>
  <si>
    <t>ropars3</t>
  </si>
  <si>
    <t>ropars11</t>
  </si>
  <si>
    <t>08/04/2015</t>
  </si>
  <si>
    <t>ropars16</t>
  </si>
  <si>
    <t>ropars766</t>
  </si>
  <si>
    <t>ropars421</t>
  </si>
  <si>
    <t>10/07/2015</t>
  </si>
  <si>
    <t>ropars422</t>
  </si>
  <si>
    <t>16/06/2015</t>
  </si>
  <si>
    <t>ropars209</t>
  </si>
  <si>
    <t>college</t>
  </si>
  <si>
    <t>ropars27</t>
  </si>
  <si>
    <t>29/05/2015</t>
  </si>
  <si>
    <t>ropars36</t>
  </si>
  <si>
    <t>14/04/2015</t>
  </si>
  <si>
    <t>Andrena_carantonica-trimmerana</t>
  </si>
  <si>
    <t>ropars66</t>
  </si>
  <si>
    <t>ropars87</t>
  </si>
  <si>
    <t>23/04/2015</t>
  </si>
  <si>
    <t>ropars20b</t>
  </si>
  <si>
    <t>ropars721</t>
  </si>
  <si>
    <t>19/05/2015</t>
  </si>
  <si>
    <t>ropars205</t>
  </si>
  <si>
    <t>Andrena_fulvago</t>
  </si>
  <si>
    <t>ropars290</t>
  </si>
  <si>
    <t>ropars492</t>
  </si>
  <si>
    <t>04/06/2015</t>
  </si>
  <si>
    <t>ropars673</t>
  </si>
  <si>
    <t>26/06/2015</t>
  </si>
  <si>
    <t>ropars674</t>
  </si>
  <si>
    <t>01/07/2015</t>
  </si>
  <si>
    <t>ropars704</t>
  </si>
  <si>
    <t>ropars705</t>
  </si>
  <si>
    <t>ropars912</t>
  </si>
  <si>
    <t>ropars51</t>
  </si>
  <si>
    <t>15/07/2015</t>
  </si>
  <si>
    <t>ropars309</t>
  </si>
  <si>
    <t>21/04/2015</t>
  </si>
  <si>
    <t>ropars110</t>
  </si>
  <si>
    <t>11/06/2015</t>
  </si>
  <si>
    <t>ropars433</t>
  </si>
  <si>
    <t>ropars5</t>
  </si>
  <si>
    <t>ropars124</t>
  </si>
  <si>
    <t>ropars343</t>
  </si>
  <si>
    <t>12/05/2015</t>
  </si>
  <si>
    <t>ropars25</t>
  </si>
  <si>
    <t>12/06/2015</t>
  </si>
  <si>
    <t>ropars1</t>
  </si>
  <si>
    <t>ropars8</t>
  </si>
  <si>
    <t>ropars9</t>
  </si>
  <si>
    <t>ropars10</t>
  </si>
  <si>
    <t>ropars35</t>
  </si>
  <si>
    <t>Andrena_strohmella</t>
  </si>
  <si>
    <t>ropars911</t>
  </si>
  <si>
    <t>ropars113</t>
  </si>
  <si>
    <t>Anthophora</t>
  </si>
  <si>
    <t>Anthophora_plumipes</t>
  </si>
  <si>
    <t>ropars203</t>
  </si>
  <si>
    <t>ropars127</t>
  </si>
  <si>
    <t>ropars360</t>
  </si>
  <si>
    <t>ropars777</t>
  </si>
  <si>
    <t>ropars708</t>
  </si>
  <si>
    <t>ropars720</t>
  </si>
  <si>
    <t>ropars208</t>
  </si>
  <si>
    <t>ropars217</t>
  </si>
  <si>
    <t>ropars300</t>
  </si>
  <si>
    <t>ropars301</t>
  </si>
  <si>
    <t>ropars871</t>
  </si>
  <si>
    <t>ropars898</t>
  </si>
  <si>
    <t>ropars316</t>
  </si>
  <si>
    <t>ropars426</t>
  </si>
  <si>
    <t>ropars430</t>
  </si>
  <si>
    <t>ropars636</t>
  </si>
  <si>
    <t>ropars643</t>
  </si>
  <si>
    <t>ropars812</t>
  </si>
  <si>
    <t>ropars813</t>
  </si>
  <si>
    <t>ropars361</t>
  </si>
  <si>
    <t>Bombus_gr_terrestris</t>
  </si>
  <si>
    <t>ropars362</t>
  </si>
  <si>
    <t>ropars363</t>
  </si>
  <si>
    <t>ropars698</t>
  </si>
  <si>
    <t>ropars644</t>
  </si>
  <si>
    <t>ropars337</t>
  </si>
  <si>
    <t>ropars414</t>
  </si>
  <si>
    <t>ropars719</t>
  </si>
  <si>
    <t>ropars605</t>
  </si>
  <si>
    <t>ropars901</t>
  </si>
  <si>
    <t>ropars907</t>
  </si>
  <si>
    <t>ropars1000</t>
  </si>
  <si>
    <t>ropars735</t>
  </si>
  <si>
    <t>ropars121</t>
  </si>
  <si>
    <t>ropars129</t>
  </si>
  <si>
    <t>ropars260</t>
  </si>
  <si>
    <t>ropars261</t>
  </si>
  <si>
    <t>ropars341</t>
  </si>
  <si>
    <t>ropars773</t>
  </si>
  <si>
    <t>ropars937</t>
  </si>
  <si>
    <t>ropars637</t>
  </si>
  <si>
    <t>ropars376</t>
  </si>
  <si>
    <t>ropars736</t>
  </si>
  <si>
    <t>ropars818</t>
  </si>
  <si>
    <t>ropars17</t>
  </si>
  <si>
    <t>ropars253</t>
  </si>
  <si>
    <t>ropars255</t>
  </si>
  <si>
    <t>ropars365</t>
  </si>
  <si>
    <t>ropars371</t>
  </si>
  <si>
    <t>ropars699</t>
  </si>
  <si>
    <t>ropars723</t>
  </si>
  <si>
    <t>ropars725</t>
  </si>
  <si>
    <t>ropars729</t>
  </si>
  <si>
    <t>ropars730</t>
  </si>
  <si>
    <t>ropars731</t>
  </si>
  <si>
    <t>ropars732</t>
  </si>
  <si>
    <t>ropars733</t>
  </si>
  <si>
    <t>ropars768</t>
  </si>
  <si>
    <t>ropars769</t>
  </si>
  <si>
    <t>ropars770</t>
  </si>
  <si>
    <t>ropars776</t>
  </si>
  <si>
    <t>ropars702</t>
  </si>
  <si>
    <t>ropars402</t>
  </si>
  <si>
    <t>ropars603</t>
  </si>
  <si>
    <t>17/06/2015</t>
  </si>
  <si>
    <t>ropars861</t>
  </si>
  <si>
    <t>ropars864</t>
  </si>
  <si>
    <t>ropars866</t>
  </si>
  <si>
    <t>ropars867</t>
  </si>
  <si>
    <t>ropars869</t>
  </si>
  <si>
    <t>ropars896</t>
  </si>
  <si>
    <t>ropars1001</t>
  </si>
  <si>
    <t>ropars1005</t>
  </si>
  <si>
    <t>ropars829</t>
  </si>
  <si>
    <t>ropars814</t>
  </si>
  <si>
    <t>ropars822</t>
  </si>
  <si>
    <t>ropars939</t>
  </si>
  <si>
    <t>ropars26</t>
  </si>
  <si>
    <t>ropars427</t>
  </si>
  <si>
    <t>ropars782</t>
  </si>
  <si>
    <t>ropars784</t>
  </si>
  <si>
    <t>ropars920</t>
  </si>
  <si>
    <t>ropars13</t>
  </si>
  <si>
    <t>ropars15</t>
  </si>
  <si>
    <t>ropars18</t>
  </si>
  <si>
    <t>ropars19</t>
  </si>
  <si>
    <t>ropars254</t>
  </si>
  <si>
    <t>ropars262</t>
  </si>
  <si>
    <t>ropars333</t>
  </si>
  <si>
    <t>ropars364</t>
  </si>
  <si>
    <t>ropars375</t>
  </si>
  <si>
    <t>ropars515</t>
  </si>
  <si>
    <t>ropars112</t>
  </si>
  <si>
    <t>ropars816</t>
  </si>
  <si>
    <t>ropars817</t>
  </si>
  <si>
    <t>ropars819</t>
  </si>
  <si>
    <t>ropars820</t>
  </si>
  <si>
    <t>ropars821</t>
  </si>
  <si>
    <t>ropars938</t>
  </si>
  <si>
    <t>ropars780</t>
  </si>
  <si>
    <t>ropars913</t>
  </si>
  <si>
    <t>ropars252</t>
  </si>
  <si>
    <t>ropars263</t>
  </si>
  <si>
    <t>ropars332</t>
  </si>
  <si>
    <t>ropars344</t>
  </si>
  <si>
    <t>ropars366</t>
  </si>
  <si>
    <t>ropars367</t>
  </si>
  <si>
    <t>ropars377</t>
  </si>
  <si>
    <t>ropars507</t>
  </si>
  <si>
    <t>ropars508</t>
  </si>
  <si>
    <t>ropars518</t>
  </si>
  <si>
    <t>ropars519</t>
  </si>
  <si>
    <t>ropars520</t>
  </si>
  <si>
    <t>ropars701</t>
  </si>
  <si>
    <t>ropars772</t>
  </si>
  <si>
    <t>ropars774</t>
  </si>
  <si>
    <t>ropars779</t>
  </si>
  <si>
    <t>ropars10b</t>
  </si>
  <si>
    <t>ropars717</t>
  </si>
  <si>
    <t>ropars771</t>
  </si>
  <si>
    <t>ropars303</t>
  </si>
  <si>
    <t>ropars900</t>
  </si>
  <si>
    <t>ropars902</t>
  </si>
  <si>
    <t>ropars904</t>
  </si>
  <si>
    <t>ropars905</t>
  </si>
  <si>
    <t>ropars1006</t>
  </si>
  <si>
    <t>ropars1007</t>
  </si>
  <si>
    <t>ropars326</t>
  </si>
  <si>
    <t>ropars827</t>
  </si>
  <si>
    <t>ropars396</t>
  </si>
  <si>
    <t>ropars111</t>
  </si>
  <si>
    <t>ropars243</t>
  </si>
  <si>
    <t>ropars460</t>
  </si>
  <si>
    <t>ropars815</t>
  </si>
  <si>
    <t>ropars21b</t>
  </si>
  <si>
    <t>ropars173</t>
  </si>
  <si>
    <t>ropars310</t>
  </si>
  <si>
    <t>ropars311</t>
  </si>
  <si>
    <t>ropars424</t>
  </si>
  <si>
    <t>ropars428</t>
  </si>
  <si>
    <t>ropars431</t>
  </si>
  <si>
    <t>ropars434</t>
  </si>
  <si>
    <t>ropars442</t>
  </si>
  <si>
    <t>ropars783</t>
  </si>
  <si>
    <t>ropars785</t>
  </si>
  <si>
    <t>ropars917</t>
  </si>
  <si>
    <t>ropars921</t>
  </si>
  <si>
    <t>ropars922</t>
  </si>
  <si>
    <t>ropars763</t>
  </si>
  <si>
    <t>ropars56</t>
  </si>
  <si>
    <t>ropars57</t>
  </si>
  <si>
    <t>ropars58</t>
  </si>
  <si>
    <t>ropars302</t>
  </si>
  <si>
    <t>ropars404</t>
  </si>
  <si>
    <t>ropars406</t>
  </si>
  <si>
    <t>ropars451</t>
  </si>
  <si>
    <t>ropars602</t>
  </si>
  <si>
    <t>ropars865</t>
  </si>
  <si>
    <t>ropars868</t>
  </si>
  <si>
    <t>ropars40</t>
  </si>
  <si>
    <t>ropars55</t>
  </si>
  <si>
    <t>ropars250</t>
  </si>
  <si>
    <t>ropars251</t>
  </si>
  <si>
    <t>ropars412</t>
  </si>
  <si>
    <t>ropars653</t>
  </si>
  <si>
    <t>ropars826</t>
  </si>
  <si>
    <t>ropars47</t>
  </si>
  <si>
    <t>ropars385</t>
  </si>
  <si>
    <t>ropars393</t>
  </si>
  <si>
    <t>ropars394</t>
  </si>
  <si>
    <t>ropars395</t>
  </si>
  <si>
    <t>ropars397</t>
  </si>
  <si>
    <t>ropars983</t>
  </si>
  <si>
    <t>ropars984</t>
  </si>
  <si>
    <t>ropars246</t>
  </si>
  <si>
    <t>ropars28</t>
  </si>
  <si>
    <t>ropars54</t>
  </si>
  <si>
    <t>ropars130</t>
  </si>
  <si>
    <t>ropars403</t>
  </si>
  <si>
    <t>ropars222</t>
  </si>
  <si>
    <t>ropars461</t>
  </si>
  <si>
    <t>ropars506</t>
  </si>
  <si>
    <t>ropars369</t>
  </si>
  <si>
    <t>ropars707</t>
  </si>
  <si>
    <t>ropars765</t>
  </si>
  <si>
    <t>Megachile_leachella</t>
  </si>
  <si>
    <t>ropars767</t>
  </si>
  <si>
    <t>ropars517</t>
  </si>
  <si>
    <t>Megachile_rotundata</t>
  </si>
  <si>
    <t>ropars423</t>
  </si>
  <si>
    <t>ropars330</t>
  </si>
  <si>
    <t>ropars11b</t>
  </si>
  <si>
    <t>ropars169</t>
  </si>
  <si>
    <t>ropars4</t>
  </si>
  <si>
    <t>Nomada_fabriciana</t>
  </si>
  <si>
    <t>ropars14</t>
  </si>
  <si>
    <t>ropars20</t>
  </si>
  <si>
    <t>ropars24</t>
  </si>
  <si>
    <t>ropars6</t>
  </si>
  <si>
    <t>ropars29</t>
  </si>
  <si>
    <t>ropars914</t>
  </si>
  <si>
    <t>Nomada_sp.</t>
  </si>
  <si>
    <t>ropars307</t>
  </si>
  <si>
    <t xml:space="preserve">Osmia </t>
  </si>
  <si>
    <t>Hoplitis_adunca</t>
  </si>
  <si>
    <t>ropars308</t>
  </si>
  <si>
    <t>ropars21</t>
  </si>
  <si>
    <t>Osmia_cornuta</t>
  </si>
  <si>
    <t>ropars67</t>
  </si>
  <si>
    <t>ropars22</t>
  </si>
  <si>
    <t>ropars23</t>
  </si>
  <si>
    <t>ropars220</t>
  </si>
  <si>
    <t>Osmia_niveata</t>
  </si>
  <si>
    <t>ropars2</t>
  </si>
  <si>
    <t>ropars12</t>
  </si>
  <si>
    <t>ropars30</t>
  </si>
  <si>
    <t>ropars31</t>
  </si>
  <si>
    <t>ropars32</t>
  </si>
  <si>
    <t>ropars33</t>
  </si>
  <si>
    <t>ropars706</t>
  </si>
  <si>
    <t>ropars923</t>
  </si>
  <si>
    <t>ropars620</t>
  </si>
  <si>
    <t>Sphecodes</t>
  </si>
  <si>
    <t>Sphecodes_ferruginatus</t>
  </si>
  <si>
    <t>roparsRITC-16-1</t>
  </si>
  <si>
    <t>roparsRITC-16-2</t>
  </si>
  <si>
    <t>06/04/16</t>
  </si>
  <si>
    <t>roparsRITC-16-3</t>
  </si>
  <si>
    <t>roparsRITC-16-5</t>
  </si>
  <si>
    <t>roparsRITC-16-6</t>
  </si>
  <si>
    <t>roparsRITC-16-7</t>
  </si>
  <si>
    <t>roparsRITC-16-8</t>
  </si>
  <si>
    <t>Andrena_haemorrhoa</t>
  </si>
  <si>
    <t>roparsRITC-16-9</t>
  </si>
  <si>
    <t>roparsRITC-16-10</t>
  </si>
  <si>
    <t>Andrena_chrysosceles</t>
  </si>
  <si>
    <t>roparsRITC-16-11</t>
  </si>
  <si>
    <t>roparsRITC-16-12</t>
  </si>
  <si>
    <t>roparsRITC-16-13</t>
  </si>
  <si>
    <t>roparsRITC-16-14</t>
  </si>
  <si>
    <t>roparsRITC-16-15</t>
  </si>
  <si>
    <t>roparsRITC-16-16</t>
  </si>
  <si>
    <t>roparsRITC-16-17</t>
  </si>
  <si>
    <t>roparsRITC-16-18</t>
  </si>
  <si>
    <t>roparsRITC-16-19</t>
  </si>
  <si>
    <t>roparsRITC-16-20</t>
  </si>
  <si>
    <t>15/04/16</t>
  </si>
  <si>
    <t>roparsRITC-16-21</t>
  </si>
  <si>
    <t>roparsRITC-16-22</t>
  </si>
  <si>
    <t>roparsRITC-16-23</t>
  </si>
  <si>
    <t>roparsRITC-16-24</t>
  </si>
  <si>
    <t>roparsRITC-16-27</t>
  </si>
  <si>
    <t>roparsRITC-16-29</t>
  </si>
  <si>
    <t>roparsRITC-16-00</t>
  </si>
  <si>
    <t>20/04/16</t>
  </si>
  <si>
    <t>roparsRITC-16-30</t>
  </si>
  <si>
    <t>roparsRITC-16-31</t>
  </si>
  <si>
    <t>roparsRITC-16-33</t>
  </si>
  <si>
    <t>Osmia_caerulescens</t>
  </si>
  <si>
    <t>roparsRITC-16-34</t>
  </si>
  <si>
    <t>roparsRITC-16-36</t>
  </si>
  <si>
    <t>roparsRITC-16-37</t>
  </si>
  <si>
    <t>roparsRITC-16-39</t>
  </si>
  <si>
    <t>roparsRITC-16-50</t>
  </si>
  <si>
    <t>roparsRITC-16-51</t>
  </si>
  <si>
    <t>03/05/16</t>
  </si>
  <si>
    <t>roparsRITC-16-53</t>
  </si>
  <si>
    <t>roparsRITC-16-55</t>
  </si>
  <si>
    <t>roparsRITC-16-56</t>
  </si>
  <si>
    <t>roparsRITC-16-58</t>
  </si>
  <si>
    <t>roparsRITC-16-59</t>
  </si>
  <si>
    <t>10/05/16</t>
  </si>
  <si>
    <t>roparsRiTC-16-66</t>
  </si>
  <si>
    <t>roparsRITC-16-67</t>
  </si>
  <si>
    <t>18/05/16</t>
  </si>
  <si>
    <t>roparsRITC-16-68</t>
  </si>
  <si>
    <t>roparsRITC-16-69</t>
  </si>
  <si>
    <t>roparsRITC-16-70</t>
  </si>
  <si>
    <t>roparsRITC-16-71</t>
  </si>
  <si>
    <t>roparsRITC-16-72</t>
  </si>
  <si>
    <t>roparsRITC-16-73</t>
  </si>
  <si>
    <t>roparsRITC-16-74</t>
  </si>
  <si>
    <t>roparsRITC-16-79</t>
  </si>
  <si>
    <t>roparsRITC-16-80</t>
  </si>
  <si>
    <t>roparsRITC-16-91</t>
  </si>
  <si>
    <t>26/05/16</t>
  </si>
  <si>
    <t>roparsRITC-16-93</t>
  </si>
  <si>
    <t>roparsRITC-16-94</t>
  </si>
  <si>
    <t>roparsRITC-16-95</t>
  </si>
  <si>
    <t>roparsRITC-16-101</t>
  </si>
  <si>
    <t>10/06/16</t>
  </si>
  <si>
    <t>roparsRITC-16-102</t>
  </si>
  <si>
    <t>roparsRITC-16-104</t>
  </si>
  <si>
    <t>Halictus_subauratus</t>
  </si>
  <si>
    <t>roparsRITC-16-105</t>
  </si>
  <si>
    <t>23/06/16</t>
  </si>
  <si>
    <t>roparsRITC-16-109</t>
  </si>
  <si>
    <t>Hylaeus_pictipes</t>
  </si>
  <si>
    <t>roparsRITC-16-110</t>
  </si>
  <si>
    <t>roparsRITC-16-112</t>
  </si>
  <si>
    <t>roparsRITC-16-116</t>
  </si>
  <si>
    <t>29/06/16</t>
  </si>
  <si>
    <t>roparsRITC-16-118</t>
  </si>
  <si>
    <t>roparsRITC-16-121</t>
  </si>
  <si>
    <t>roparsRITC-16-122</t>
  </si>
  <si>
    <t>roparsRITC-16-123</t>
  </si>
  <si>
    <t>roparsRITC-16-124</t>
  </si>
  <si>
    <t>roparsRITC-16-127</t>
  </si>
  <si>
    <t>roparsRITC-16-131</t>
  </si>
  <si>
    <t>roparsRITC-16-132</t>
  </si>
  <si>
    <t>roparsRITC-16-137</t>
  </si>
  <si>
    <t>roparsRITC-16-153</t>
  </si>
  <si>
    <t>roparsRITC-16-154</t>
  </si>
  <si>
    <t>roparsRITC-16-155</t>
  </si>
  <si>
    <t>roparsRITC-16-156</t>
  </si>
  <si>
    <t>roparsRITC-16-158</t>
  </si>
  <si>
    <t>roparsRITC-16-160</t>
  </si>
  <si>
    <t>roparsRITC-16-161</t>
  </si>
  <si>
    <t>roparsRITC-16-165</t>
  </si>
  <si>
    <t>roparsRITC-16-166</t>
  </si>
  <si>
    <t>08/07/16</t>
  </si>
  <si>
    <t>roparsRITC-16-173</t>
  </si>
  <si>
    <t>roparsRITC-16-175</t>
  </si>
  <si>
    <t>roparsRITC-16-176</t>
  </si>
  <si>
    <t>roparsRITC-16-177</t>
  </si>
  <si>
    <t>roparsRITC-16-178</t>
  </si>
  <si>
    <t>roparsRITC-16-179</t>
  </si>
  <si>
    <t>roparsRITC-16-180</t>
  </si>
  <si>
    <t>roparsRITC-16-183</t>
  </si>
  <si>
    <t>roparsRITC-16-192</t>
  </si>
  <si>
    <t>roparsRITC-16-193</t>
  </si>
  <si>
    <t>roparsRITC-16-198</t>
  </si>
  <si>
    <t>roparsRITC-16-199</t>
  </si>
  <si>
    <t>13/07/16</t>
  </si>
  <si>
    <t>roparsRITC-16-204</t>
  </si>
  <si>
    <t>roparsRITC-16-205</t>
  </si>
  <si>
    <t>roparsRITC-16-206</t>
  </si>
  <si>
    <t>roparsRITC-16-207</t>
  </si>
  <si>
    <t>roparsRITC-16-212</t>
  </si>
  <si>
    <t>roparsRITC-16-219</t>
  </si>
  <si>
    <t>roparsRITC-16-220</t>
  </si>
  <si>
    <t>roparsRITC-16-221</t>
  </si>
  <si>
    <t>roparsRITC-16-222</t>
  </si>
  <si>
    <t>roparsRITC-16-223</t>
  </si>
  <si>
    <t>roparsRITC-16-224</t>
  </si>
  <si>
    <t>roparsRITC-16-225</t>
  </si>
  <si>
    <t>roparsRITC-16-226</t>
  </si>
  <si>
    <t>roparsRITC-16-231</t>
  </si>
  <si>
    <t>roparsRITC-16-232</t>
  </si>
  <si>
    <t>roparsRITC-16-234</t>
  </si>
  <si>
    <t>roparsRITC-16-235</t>
  </si>
  <si>
    <t>roparsRITC-16-236</t>
  </si>
  <si>
    <t>roparsRITC-16-178*</t>
  </si>
  <si>
    <t>roparsRITC-16-179*</t>
  </si>
  <si>
    <t>roparsRITC-16-183*</t>
  </si>
  <si>
    <t>roparsRITC-16-184*</t>
  </si>
  <si>
    <t>roparsRITC-16-185*</t>
  </si>
  <si>
    <t>roparsRITC-16-187*</t>
  </si>
  <si>
    <t>roparsRITC-16-188*</t>
  </si>
  <si>
    <t>roparsRITC-16-189*</t>
  </si>
  <si>
    <t>roparsRITCF-16-1</t>
  </si>
  <si>
    <t>filet</t>
  </si>
  <si>
    <t>roparsRITCF-16-2</t>
  </si>
  <si>
    <t>05/04/2016</t>
  </si>
  <si>
    <t>roparsRITCF-16-3</t>
  </si>
  <si>
    <t>roparsRITCF-16-4</t>
  </si>
  <si>
    <t>roparsRITCF-16-5</t>
  </si>
  <si>
    <t>roparsRITCF-16-6</t>
  </si>
  <si>
    <t>roparsRITCF-16-9</t>
  </si>
  <si>
    <t>roparsRITCF-16-11</t>
  </si>
  <si>
    <t>roparsRITCF-16-13</t>
  </si>
  <si>
    <t>roparsRITCF-16-14</t>
  </si>
  <si>
    <t>14/04/2016</t>
  </si>
  <si>
    <t>roparsRITCF-16-15</t>
  </si>
  <si>
    <t>roparsRITCF-16-16</t>
  </si>
  <si>
    <t>roparsRITCF-16-18</t>
  </si>
  <si>
    <t>roparsRITCF-16-19</t>
  </si>
  <si>
    <t>roparsRITCF-16-20</t>
  </si>
  <si>
    <t>roparsRITCF-16-21</t>
  </si>
  <si>
    <t>roparsRITCF-16-22</t>
  </si>
  <si>
    <t>roparsRITCF-16-23</t>
  </si>
  <si>
    <t>roparsRITCF-16-24</t>
  </si>
  <si>
    <t>roparsRITCF-16-25</t>
  </si>
  <si>
    <t>roparsRITCF-16-27</t>
  </si>
  <si>
    <t>roparsRITCF-16-28</t>
  </si>
  <si>
    <t>roparsRITCF-16-30</t>
  </si>
  <si>
    <t>roparsRITCF-16-31</t>
  </si>
  <si>
    <t>roparsRITCF-16-32</t>
  </si>
  <si>
    <t>19/04/2016</t>
  </si>
  <si>
    <t>roparsRITCF-16-33</t>
  </si>
  <si>
    <t>roparsRITCF-16-34</t>
  </si>
  <si>
    <t>roparsRITCF-16-35</t>
  </si>
  <si>
    <t>roparsRITCF-16-38</t>
  </si>
  <si>
    <t>roparsRITCF-16-39</t>
  </si>
  <si>
    <t>roparsRITCF-16-41</t>
  </si>
  <si>
    <t>roparsRITCF-16-42</t>
  </si>
  <si>
    <t>Nomada_lathburiana</t>
  </si>
  <si>
    <t>roparsRITCF-16-43</t>
  </si>
  <si>
    <t>roparsRITCF-16-44</t>
  </si>
  <si>
    <t>roparsRITCF-16-49</t>
  </si>
  <si>
    <t>roparsRITCF-16-50</t>
  </si>
  <si>
    <t>roparsRITCF-16-51</t>
  </si>
  <si>
    <t>roparsRITCF-16-54</t>
  </si>
  <si>
    <t>roparsRITCF-16-55</t>
  </si>
  <si>
    <t>02/05/2016</t>
  </si>
  <si>
    <t>roparsRITCF-16-58</t>
  </si>
  <si>
    <t>roparsRITCF-16-59</t>
  </si>
  <si>
    <t>10/05/2016</t>
  </si>
  <si>
    <t>roparsRITCF-16-60</t>
  </si>
  <si>
    <t>17/05/2016</t>
  </si>
  <si>
    <t>roparsRITCF-16-65</t>
  </si>
  <si>
    <t>roparsRITCF-16-66</t>
  </si>
  <si>
    <t>Anthophora_quadrimaculata</t>
  </si>
  <si>
    <t>roparsRITCF-16-67</t>
  </si>
  <si>
    <t>roparsRITCF-16-68</t>
  </si>
  <si>
    <t>roparsRITCF-16-71</t>
  </si>
  <si>
    <t>roparsRITCF-16-73</t>
  </si>
  <si>
    <t>roparsRITCF-16-74</t>
  </si>
  <si>
    <t>roparsRITCF-16-75</t>
  </si>
  <si>
    <t>roparsRITCF-16-76</t>
  </si>
  <si>
    <t>roparsRITCF-16-77</t>
  </si>
  <si>
    <t>roparsRITCF-16-79</t>
  </si>
  <si>
    <t>roparsRITCF-16-80</t>
  </si>
  <si>
    <t>roparsRITCF-16-81</t>
  </si>
  <si>
    <t>roparsRITCF-16-83</t>
  </si>
  <si>
    <t>roparsRITCF-16-86</t>
  </si>
  <si>
    <t>roparsRITCF-16-94</t>
  </si>
  <si>
    <t>25/05/2016</t>
  </si>
  <si>
    <t>roparsRITCF-16-95</t>
  </si>
  <si>
    <t>roparsRITCF-16-96</t>
  </si>
  <si>
    <t>Lasioglossum_limbellum</t>
  </si>
  <si>
    <t>roparsRITCF-16-97</t>
  </si>
  <si>
    <t>roparsRITCF-16-98</t>
  </si>
  <si>
    <t>roparsRITCF-16-99</t>
  </si>
  <si>
    <t>roparsRITCF-16-102</t>
  </si>
  <si>
    <t>roparsRITCF-16-103</t>
  </si>
  <si>
    <t>roparsRITCF-16-104</t>
  </si>
  <si>
    <t>roparsRITCF-16-106</t>
  </si>
  <si>
    <t>09/06/2016</t>
  </si>
  <si>
    <t>roparsRITCF-16-107</t>
  </si>
  <si>
    <t>roparsRITCF-16-108</t>
  </si>
  <si>
    <t>roparsRITCF-16-109</t>
  </si>
  <si>
    <t>roparsRITCF-16-117</t>
  </si>
  <si>
    <t>roparsRITCF-16-118</t>
  </si>
  <si>
    <t>roparsRITCF-16-120</t>
  </si>
  <si>
    <t>roparsRITCF-16-122</t>
  </si>
  <si>
    <t>roparsRITCF-16-123</t>
  </si>
  <si>
    <t>roparsRITCF-16-128</t>
  </si>
  <si>
    <t>roparsRITCF-16-129</t>
  </si>
  <si>
    <t>roparsRITCF-16-132</t>
  </si>
  <si>
    <t>roparsRITCF-16-133</t>
  </si>
  <si>
    <t>roparsRITCF-16-134</t>
  </si>
  <si>
    <t>22/06/2016</t>
  </si>
  <si>
    <t>roparsRITCF-16-135</t>
  </si>
  <si>
    <t>roparsRITCF-16-136</t>
  </si>
  <si>
    <t>roparsRITCF-16-138</t>
  </si>
  <si>
    <t>roparsRITCF-16-140</t>
  </si>
  <si>
    <t>roparsRITCF-16-147</t>
  </si>
  <si>
    <t>roparsRITCF-16-148</t>
  </si>
  <si>
    <t>roparsRITCF-16-149</t>
  </si>
  <si>
    <t>roparsRITCF-16-150</t>
  </si>
  <si>
    <t>roparsRITCF-16-151</t>
  </si>
  <si>
    <t>roparsRITCF-16-152</t>
  </si>
  <si>
    <t>roparsRITCF-16-153</t>
  </si>
  <si>
    <t>roparsRITCF-16-154</t>
  </si>
  <si>
    <t>roparsRITCF-16-155</t>
  </si>
  <si>
    <t>roparsRITCF-16-156</t>
  </si>
  <si>
    <t>roparsRITCF-16-157</t>
  </si>
  <si>
    <t>roparsRITCF-16-158</t>
  </si>
  <si>
    <t>Anthidium</t>
  </si>
  <si>
    <t>Anthidium_manicatum</t>
  </si>
  <si>
    <t>roparsRITCF-16-159</t>
  </si>
  <si>
    <t>roparsRITCF-16-161</t>
  </si>
  <si>
    <t>Hoplitis</t>
  </si>
  <si>
    <t>roparsRITCF-16-162</t>
  </si>
  <si>
    <t>roparsRITCF-16-163</t>
  </si>
  <si>
    <t>28/06/2016</t>
  </si>
  <si>
    <t>roparsRITCF-16-164</t>
  </si>
  <si>
    <t>roparsRITCF-16-165</t>
  </si>
  <si>
    <t>roparsRITCF-16-166</t>
  </si>
  <si>
    <t>roparsRITCF-16-167</t>
  </si>
  <si>
    <t>roparsRITCF-16-172</t>
  </si>
  <si>
    <t>roparsRITCF-16-173</t>
  </si>
  <si>
    <t>roparsRITCF-16-174</t>
  </si>
  <si>
    <t>roparsRITCF-16-178</t>
  </si>
  <si>
    <t>roparsRITCF-16-179</t>
  </si>
  <si>
    <t>roparsRITCF-16-180</t>
  </si>
  <si>
    <t>roparsRITCF-16-181</t>
  </si>
  <si>
    <t>roparsRITCF-16-182</t>
  </si>
  <si>
    <t>roparsRITCF-16-183</t>
  </si>
  <si>
    <t>roparsRITCF-16-184</t>
  </si>
  <si>
    <t>roparsRITCF-16-185</t>
  </si>
  <si>
    <t>roparsRITCF-16-187</t>
  </si>
  <si>
    <t>roparsRITCF-16-188</t>
  </si>
  <si>
    <t>07/07/2016</t>
  </si>
  <si>
    <t>roparsRITCF-16-189</t>
  </si>
  <si>
    <t>roparsRITCF-16-190</t>
  </si>
  <si>
    <t>roparsRITCF-16-194</t>
  </si>
  <si>
    <t>roparsRITCF-16-195</t>
  </si>
  <si>
    <t>roparsRITCF-16-196</t>
  </si>
  <si>
    <t>roparsRITCF-16-197</t>
  </si>
  <si>
    <t>Melitta_leporina</t>
  </si>
  <si>
    <t>roparsRITCF-16-198</t>
  </si>
  <si>
    <t>roparsRITCF-16-199</t>
  </si>
  <si>
    <t>roparsRITCF-16-200</t>
  </si>
  <si>
    <t>roparsRITCF-16-201</t>
  </si>
  <si>
    <t>roparsRITCF-16-202</t>
  </si>
  <si>
    <t>roparsRITCF-16-203</t>
  </si>
  <si>
    <t>roparsRITCF-16-204</t>
  </si>
  <si>
    <t>roparsRITCF-16-205</t>
  </si>
  <si>
    <t>roparsRITCF-16-206</t>
  </si>
  <si>
    <t>Hylaeus_brevicornis</t>
  </si>
  <si>
    <t>roparsRITCF-16-207</t>
  </si>
  <si>
    <t>roparsRITCF-16-208</t>
  </si>
  <si>
    <t>roparsRITCF-16-209</t>
  </si>
  <si>
    <t>roparsRITCF-16-210</t>
  </si>
  <si>
    <t>roparsRITCF-16-211</t>
  </si>
  <si>
    <t>roparsRITCF-16-212</t>
  </si>
  <si>
    <t>roparsRITCF-16-213</t>
  </si>
  <si>
    <t>roparsRITCF-16-214</t>
  </si>
  <si>
    <t>roparsRITCF-16-215</t>
  </si>
  <si>
    <t>roparsRITCF-16-216</t>
  </si>
  <si>
    <t>12/07/2016</t>
  </si>
  <si>
    <t>Bombus_vestalis</t>
  </si>
  <si>
    <t>roparsRITCF-16-217</t>
  </si>
  <si>
    <t>roparsRITCF-16-218</t>
  </si>
  <si>
    <t>Anthidium_septemspinosum</t>
  </si>
  <si>
    <t>roparsRITCF-16-220</t>
  </si>
  <si>
    <t>roparsRITCF-16-221</t>
  </si>
  <si>
    <t>roparsRITCF-16-222</t>
  </si>
  <si>
    <t>roparsRITCF-16-223</t>
  </si>
  <si>
    <t>Megachile_lagopoda</t>
  </si>
  <si>
    <t>roparsRITCF-16-224</t>
  </si>
  <si>
    <t>roparsRITCF-16-225</t>
  </si>
  <si>
    <t>roparsRITCF-16-226</t>
  </si>
  <si>
    <t>roparsRITCF-16-227</t>
  </si>
  <si>
    <t>roparsRITCF-16-228</t>
  </si>
  <si>
    <t>roparsRITCF-16-231</t>
  </si>
  <si>
    <t>roparsRITCF-16-232</t>
  </si>
  <si>
    <t>roparsRITCF-16-233</t>
  </si>
  <si>
    <t>roparsRITCF-16-234</t>
  </si>
  <si>
    <t>roparsRITCF-16-235</t>
  </si>
  <si>
    <t>roparsRITCF-16-236</t>
  </si>
  <si>
    <t>roparsRITCF-16-237</t>
  </si>
  <si>
    <t>roparsRITCF-16-238</t>
  </si>
  <si>
    <t>zaninotto17016</t>
  </si>
  <si>
    <t>foljuif-haut</t>
  </si>
  <si>
    <t>pot</t>
  </si>
  <si>
    <t>zaninotto</t>
  </si>
  <si>
    <t>zaninotto17026</t>
  </si>
  <si>
    <t>avon</t>
  </si>
  <si>
    <t>14/03/17</t>
  </si>
  <si>
    <t>zaninotto17027</t>
  </si>
  <si>
    <t>zaninotto17015</t>
  </si>
  <si>
    <t>zaninotto17017</t>
  </si>
  <si>
    <t>zaninotto17018</t>
  </si>
  <si>
    <t>zaninotto17019</t>
  </si>
  <si>
    <t>zaninotto17029</t>
  </si>
  <si>
    <t>Andrena_pusilla</t>
  </si>
  <si>
    <t>zaninotto17021</t>
  </si>
  <si>
    <t>16/03/17</t>
  </si>
  <si>
    <t>zaninotto17003</t>
  </si>
  <si>
    <t>zaninotto17004</t>
  </si>
  <si>
    <t>zaninotto17020</t>
  </si>
  <si>
    <t>zaninotto17010</t>
  </si>
  <si>
    <t>zaninotto17005</t>
  </si>
  <si>
    <t>zaninotto17006</t>
  </si>
  <si>
    <t>zaninotto17030</t>
  </si>
  <si>
    <t>Nomada_fulvicornis</t>
  </si>
  <si>
    <t>zaninotto17011</t>
  </si>
  <si>
    <t>17/03/17</t>
  </si>
  <si>
    <t>zaninotto17035</t>
  </si>
  <si>
    <t>20/03/17</t>
  </si>
  <si>
    <t>zaninotto17100</t>
  </si>
  <si>
    <t>24/03/17</t>
  </si>
  <si>
    <t>zaninotto17023</t>
  </si>
  <si>
    <t>zaninotto17106</t>
  </si>
  <si>
    <t>zaninotto17043</t>
  </si>
  <si>
    <t>zaninotto17107</t>
  </si>
  <si>
    <t>zaninotto17024</t>
  </si>
  <si>
    <t>zaninotto17042</t>
  </si>
  <si>
    <t>zaninotto17101</t>
  </si>
  <si>
    <t>zaninotto17102</t>
  </si>
  <si>
    <t>zaninotto17046</t>
  </si>
  <si>
    <t>28/03/17</t>
  </si>
  <si>
    <t>zaninotto17047</t>
  </si>
  <si>
    <t>zaninotto17045</t>
  </si>
  <si>
    <t>zaninotto17118</t>
  </si>
  <si>
    <t>zaninotto17092</t>
  </si>
  <si>
    <t>zaninotto17093</t>
  </si>
  <si>
    <t>zaninotto17095</t>
  </si>
  <si>
    <t>zaninotto17094</t>
  </si>
  <si>
    <t>zaninotto17053</t>
  </si>
  <si>
    <t>30/03/17</t>
  </si>
  <si>
    <t>zaninotto17049</t>
  </si>
  <si>
    <t>zaninotto17051</t>
  </si>
  <si>
    <t>zaninotto17050</t>
  </si>
  <si>
    <t>zaninotto17055</t>
  </si>
  <si>
    <t>zaninotto17056</t>
  </si>
  <si>
    <t>zaninotto17059</t>
  </si>
  <si>
    <t>03/04/17</t>
  </si>
  <si>
    <t>zaninotto17060</t>
  </si>
  <si>
    <t>zaninotto17119</t>
  </si>
  <si>
    <t>zaninotto17058</t>
  </si>
  <si>
    <t>zaninotto17097</t>
  </si>
  <si>
    <t>zaninotto17096</t>
  </si>
  <si>
    <t>Nomada_ferruginata</t>
  </si>
  <si>
    <t>zaninotto17057</t>
  </si>
  <si>
    <t>zaninotto17065</t>
  </si>
  <si>
    <t>07/04/17</t>
  </si>
  <si>
    <t>zaninotto17123</t>
  </si>
  <si>
    <t>zaninotto17068</t>
  </si>
  <si>
    <t>zaninotto17098</t>
  </si>
  <si>
    <t>zaninotto17067</t>
  </si>
  <si>
    <t>zaninotto17069</t>
  </si>
  <si>
    <t>zaninotto17120</t>
  </si>
  <si>
    <t>zaninotto17122</t>
  </si>
  <si>
    <t>zaninotto17154</t>
  </si>
  <si>
    <t>11/04/17</t>
  </si>
  <si>
    <t>zaninotto17147</t>
  </si>
  <si>
    <t>Andrena_lagopus</t>
  </si>
  <si>
    <t>zaninotto17146</t>
  </si>
  <si>
    <t>zaninotto17072</t>
  </si>
  <si>
    <t>zaninotto17073</t>
  </si>
  <si>
    <t>zaninotto17075</t>
  </si>
  <si>
    <t>zaninotto17077</t>
  </si>
  <si>
    <t>zaninotto17078</t>
  </si>
  <si>
    <t>zaninotto17079</t>
  </si>
  <si>
    <t>zaninotto17080</t>
  </si>
  <si>
    <t>zaninotto17155</t>
  </si>
  <si>
    <t>zaninotto17151</t>
  </si>
  <si>
    <t>zaninotto17152</t>
  </si>
  <si>
    <t>zaninotto17076</t>
  </si>
  <si>
    <t>zaninotto17070</t>
  </si>
  <si>
    <t>zaninotto17071</t>
  </si>
  <si>
    <t>zaninotto17148</t>
  </si>
  <si>
    <t>Nomada_panzeri</t>
  </si>
  <si>
    <t>zaninotto17090</t>
  </si>
  <si>
    <t>14/04/17</t>
  </si>
  <si>
    <t>zaninotto17088</t>
  </si>
  <si>
    <t>zaninotto17081</t>
  </si>
  <si>
    <t>zaninotto17082</t>
  </si>
  <si>
    <t>zaninotto17083</t>
  </si>
  <si>
    <t>zaninotto17084</t>
  </si>
  <si>
    <t>zaninotto17085</t>
  </si>
  <si>
    <t>zaninotto17087</t>
  </si>
  <si>
    <t>zaninotto17086</t>
  </si>
  <si>
    <t>zaninotto17128</t>
  </si>
  <si>
    <t>21/04/17</t>
  </si>
  <si>
    <t>zaninotto17129</t>
  </si>
  <si>
    <t>zaninotto17126</t>
  </si>
  <si>
    <t>zaninotto17127</t>
  </si>
  <si>
    <t>zaninotto17132</t>
  </si>
  <si>
    <t>24/04/17</t>
  </si>
  <si>
    <t>zaninotto17130</t>
  </si>
  <si>
    <t>zaninotto17131</t>
  </si>
  <si>
    <t>zaninotto17156</t>
  </si>
  <si>
    <t>27/04/17</t>
  </si>
  <si>
    <t>zaninotto17157</t>
  </si>
  <si>
    <t>zaninotto17142</t>
  </si>
  <si>
    <t>02/05/17</t>
  </si>
  <si>
    <t>zaninotto17136</t>
  </si>
  <si>
    <t>zaninotto17137</t>
  </si>
  <si>
    <t>zaninotto17139</t>
  </si>
  <si>
    <t>zaninotto17140</t>
  </si>
  <si>
    <t>zaninotto17141</t>
  </si>
  <si>
    <t>zaninotto17135</t>
  </si>
  <si>
    <t>zaninotto17145</t>
  </si>
  <si>
    <t>04/05/17</t>
  </si>
  <si>
    <t>zaninotto17144</t>
  </si>
  <si>
    <t>zaninotto17183</t>
  </si>
  <si>
    <t>05/05/17</t>
  </si>
  <si>
    <t>zaninotto17185</t>
  </si>
  <si>
    <t>zaninotto17184</t>
  </si>
  <si>
    <t>zaninotto17159</t>
  </si>
  <si>
    <t>09/05/17</t>
  </si>
  <si>
    <t>zaninotto17160</t>
  </si>
  <si>
    <t>zaninotto17188</t>
  </si>
  <si>
    <t>zaninotto17189</t>
  </si>
  <si>
    <t>zaninotto17195</t>
  </si>
  <si>
    <t>zaninotto17190</t>
  </si>
  <si>
    <t>zaninotto17191</t>
  </si>
  <si>
    <t>zaninotto17193</t>
  </si>
  <si>
    <t>zaninotto17196</t>
  </si>
  <si>
    <t>zaninotto17194</t>
  </si>
  <si>
    <t>Lasioglossum_marginatum</t>
  </si>
  <si>
    <t>zaninotto17187</t>
  </si>
  <si>
    <t>zaninotto17161</t>
  </si>
  <si>
    <t>12/05/17</t>
  </si>
  <si>
    <t>zaninotto17162</t>
  </si>
  <si>
    <t>zaninotto17164</t>
  </si>
  <si>
    <t>zaninotto17163</t>
  </si>
  <si>
    <t>zaninotto17200</t>
  </si>
  <si>
    <t>zaninotto17201</t>
  </si>
  <si>
    <t>zaninotto17202</t>
  </si>
  <si>
    <t>zaninotto17203</t>
  </si>
  <si>
    <t>zaninotto17204</t>
  </si>
  <si>
    <t>zaninotto17205</t>
  </si>
  <si>
    <t>zaninotto17207</t>
  </si>
  <si>
    <t>zaninotto17206</t>
  </si>
  <si>
    <t>zaninotto17208</t>
  </si>
  <si>
    <t>zaninotto17209</t>
  </si>
  <si>
    <t>zaninotto17171</t>
  </si>
  <si>
    <t>16/05/17</t>
  </si>
  <si>
    <t>zaninotto17172</t>
  </si>
  <si>
    <t>zaninotto17173</t>
  </si>
  <si>
    <t>zaninotto17174</t>
  </si>
  <si>
    <t>zaninotto17176</t>
  </si>
  <si>
    <t>zaninotto17179</t>
  </si>
  <si>
    <t>zaninotto17170</t>
  </si>
  <si>
    <t>zaninotto17177</t>
  </si>
  <si>
    <t>zaninotto17178</t>
  </si>
  <si>
    <t>zaninotto17169</t>
  </si>
  <si>
    <t>zaninotto17168</t>
  </si>
  <si>
    <t>zaninotto17175</t>
  </si>
  <si>
    <t>zaninotto17210</t>
  </si>
  <si>
    <t>18/05/17</t>
  </si>
  <si>
    <t>zaninotto17182</t>
  </si>
  <si>
    <t>19/05/17</t>
  </si>
  <si>
    <t>zaninotto17220</t>
  </si>
  <si>
    <t>zaninotto17219</t>
  </si>
  <si>
    <t>zaninotto17181</t>
  </si>
  <si>
    <t>zaninotto17218</t>
  </si>
  <si>
    <t>zaninotto17211</t>
  </si>
  <si>
    <t>zaninotto17228</t>
  </si>
  <si>
    <t>22/05/17</t>
  </si>
  <si>
    <t>zaninotto17226</t>
  </si>
  <si>
    <t>zaninotto17229</t>
  </si>
  <si>
    <t>zaninotto17223</t>
  </si>
  <si>
    <t>zaninotto17222</t>
  </si>
  <si>
    <t>zaninotto17227</t>
  </si>
  <si>
    <t>zaninotto17230</t>
  </si>
  <si>
    <t>zaninotto17234</t>
  </si>
  <si>
    <t>23/05/17</t>
  </si>
  <si>
    <t>zaninotto17235</t>
  </si>
  <si>
    <t>zaninotto17236</t>
  </si>
  <si>
    <t>zaninotto17231</t>
  </si>
  <si>
    <t>24/05/17</t>
  </si>
  <si>
    <t>zaninotto17232</t>
  </si>
  <si>
    <t>zaninotto17242</t>
  </si>
  <si>
    <t>zaninotto17233</t>
  </si>
  <si>
    <t>zaninotto17240</t>
  </si>
  <si>
    <t>zaninotto17241</t>
  </si>
  <si>
    <t>zaninotto17245</t>
  </si>
  <si>
    <t>zaninotto17244</t>
  </si>
  <si>
    <t>zaninotto17238</t>
  </si>
  <si>
    <t>zaninotto17239</t>
  </si>
  <si>
    <t>zaninotto17253</t>
  </si>
  <si>
    <t>30/05/17</t>
  </si>
  <si>
    <t>Anthidium_punctatum</t>
  </si>
  <si>
    <t>zaninotto17247</t>
  </si>
  <si>
    <t>zaninotto17328</t>
  </si>
  <si>
    <t>zaninotto17323</t>
  </si>
  <si>
    <t>zaninotto17325</t>
  </si>
  <si>
    <t>zaninotto17322</t>
  </si>
  <si>
    <t>Lasioglossum_laevigatum</t>
  </si>
  <si>
    <t>zaninotto17246</t>
  </si>
  <si>
    <t>zaninotto17251</t>
  </si>
  <si>
    <t>zaninotto17249</t>
  </si>
  <si>
    <t>zaninotto17324</t>
  </si>
  <si>
    <t>zaninotto17250</t>
  </si>
  <si>
    <t>zaninotto17326</t>
  </si>
  <si>
    <t>zaninotto17248</t>
  </si>
  <si>
    <t>zaninotto17352</t>
  </si>
  <si>
    <t>01/06/17</t>
  </si>
  <si>
    <t>zaninotto17256</t>
  </si>
  <si>
    <t>zaninotto17258</t>
  </si>
  <si>
    <t>zaninotto17329</t>
  </si>
  <si>
    <t>zaninotto17257</t>
  </si>
  <si>
    <t>zaninotto17330</t>
  </si>
  <si>
    <t>zaninotto17332</t>
  </si>
  <si>
    <t>zaninotto17333</t>
  </si>
  <si>
    <t>zaninotto17337</t>
  </si>
  <si>
    <t>zaninotto17351</t>
  </si>
  <si>
    <t>zaninotto17338</t>
  </si>
  <si>
    <t>zaninotto17339</t>
  </si>
  <si>
    <t>zaninotto17340</t>
  </si>
  <si>
    <t>zaninotto17341</t>
  </si>
  <si>
    <t>zaninotto17335</t>
  </si>
  <si>
    <t>zaninotto17259</t>
  </si>
  <si>
    <t>zaninotto17264</t>
  </si>
  <si>
    <t>06/06/17</t>
  </si>
  <si>
    <t>zaninotto17265</t>
  </si>
  <si>
    <t>zaninotto17260</t>
  </si>
  <si>
    <t>zaninotto17261</t>
  </si>
  <si>
    <t>zaninotto17273</t>
  </si>
  <si>
    <t>09/06/17</t>
  </si>
  <si>
    <t>zaninotto17270</t>
  </si>
  <si>
    <t>zaninotto17271</t>
  </si>
  <si>
    <t>zaninotto17274</t>
  </si>
  <si>
    <t>zaninotto17276</t>
  </si>
  <si>
    <t>zaninotto17277</t>
  </si>
  <si>
    <t>zaninotto17275</t>
  </si>
  <si>
    <t>zaninotto17334</t>
  </si>
  <si>
    <t>Osmia_submicans</t>
  </si>
  <si>
    <t>zaninotto17345</t>
  </si>
  <si>
    <t>13/06/17</t>
  </si>
  <si>
    <t>zaninotto17279</t>
  </si>
  <si>
    <t>zaninotto17282</t>
  </si>
  <si>
    <t>zaninotto17284</t>
  </si>
  <si>
    <t>zaninotto17344</t>
  </si>
  <si>
    <t>zaninotto17281</t>
  </si>
  <si>
    <t>zaninotto17283</t>
  </si>
  <si>
    <t>zaninotto17280</t>
  </si>
  <si>
    <t>zaninotto17343</t>
  </si>
  <si>
    <t>zaninotto17346</t>
  </si>
  <si>
    <t>15/06/17</t>
  </si>
  <si>
    <t>zaninotto17287</t>
  </si>
  <si>
    <t>zaninotto17354</t>
  </si>
  <si>
    <t>19/06/17</t>
  </si>
  <si>
    <t>zaninotto17288</t>
  </si>
  <si>
    <t>zaninotto17355</t>
  </si>
  <si>
    <t>Hoplitis_leucomelana</t>
  </si>
  <si>
    <t>zaninotto17289</t>
  </si>
  <si>
    <t>zaninotto17290</t>
  </si>
  <si>
    <t>20/06/17</t>
  </si>
  <si>
    <t>zaninotto17295</t>
  </si>
  <si>
    <t>22/06/17</t>
  </si>
  <si>
    <t>zaninotto17298</t>
  </si>
  <si>
    <t>zaninotto17347</t>
  </si>
  <si>
    <t>zaninotto17292</t>
  </si>
  <si>
    <t>zaninotto17300</t>
  </si>
  <si>
    <t>zaninotto17293</t>
  </si>
  <si>
    <t>zaninotto17296</t>
  </si>
  <si>
    <t>zaninotto17299</t>
  </si>
  <si>
    <t>zaninotto17356</t>
  </si>
  <si>
    <t>zaninotto17301</t>
  </si>
  <si>
    <t>26/06/17</t>
  </si>
  <si>
    <t>zaninotto17302</t>
  </si>
  <si>
    <t>Anthidiellum</t>
  </si>
  <si>
    <t>Anthidiellum_strigatum</t>
  </si>
  <si>
    <t>zaninotto17303</t>
  </si>
  <si>
    <t>zaninotto17308</t>
  </si>
  <si>
    <t>zaninotto17309</t>
  </si>
  <si>
    <t>zaninotto17304</t>
  </si>
  <si>
    <t>zaninotto17305</t>
  </si>
  <si>
    <t>zaninotto17306</t>
  </si>
  <si>
    <t>zaninotto17307</t>
  </si>
  <si>
    <t>zaninotto17310</t>
  </si>
  <si>
    <t>zaninotto17311</t>
  </si>
  <si>
    <t>zaninotto17316</t>
  </si>
  <si>
    <t>29/06/17</t>
  </si>
  <si>
    <t>zaninotto17317</t>
  </si>
  <si>
    <t>zaninotto17312</t>
  </si>
  <si>
    <t>zaninotto17313</t>
  </si>
  <si>
    <t>zaninotto18034</t>
  </si>
  <si>
    <t>06/03/18</t>
  </si>
  <si>
    <t>Andrena_apicata</t>
  </si>
  <si>
    <t>zaninotto18011</t>
  </si>
  <si>
    <t>12/03/18</t>
  </si>
  <si>
    <t>zaninotto18012</t>
  </si>
  <si>
    <t>zaninotto18000</t>
  </si>
  <si>
    <t>21/03/18</t>
  </si>
  <si>
    <t>zaninotto18006</t>
  </si>
  <si>
    <t>26/03/18</t>
  </si>
  <si>
    <t>zaninotto18004</t>
  </si>
  <si>
    <t>zaninotto18005</t>
  </si>
  <si>
    <t>zaninotto18003</t>
  </si>
  <si>
    <t>zaninotto18007</t>
  </si>
  <si>
    <t>zaninotto18035</t>
  </si>
  <si>
    <t>06/04/18</t>
  </si>
  <si>
    <t>zaninotto18014</t>
  </si>
  <si>
    <t>11/04/18</t>
  </si>
  <si>
    <t>zaninotto18013</t>
  </si>
  <si>
    <t>Andrena_tenuistriata</t>
  </si>
  <si>
    <t>zaninotto18016</t>
  </si>
  <si>
    <t>13/04/18</t>
  </si>
  <si>
    <t>zaninotto18017</t>
  </si>
  <si>
    <t>zaninotto18018</t>
  </si>
  <si>
    <t>zaninotto18028</t>
  </si>
  <si>
    <t>17/04/18</t>
  </si>
  <si>
    <t>zaninotto18020</t>
  </si>
  <si>
    <t>zaninotto18021</t>
  </si>
  <si>
    <t>zaninotto18024</t>
  </si>
  <si>
    <t>zaninotto18019</t>
  </si>
  <si>
    <t>zaninotto18022</t>
  </si>
  <si>
    <t>zaninotto18025</t>
  </si>
  <si>
    <t>zaninotto18027</t>
  </si>
  <si>
    <t>zaninotto18023</t>
  </si>
  <si>
    <t>zaninotto18026</t>
  </si>
  <si>
    <t>zaninotto18040</t>
  </si>
  <si>
    <t>20/4/2018</t>
  </si>
  <si>
    <t>zaninotto18037</t>
  </si>
  <si>
    <t>20/04/18</t>
  </si>
  <si>
    <t>zaninotto18038</t>
  </si>
  <si>
    <t>zaninotto18039</t>
  </si>
  <si>
    <t>zaninotto18087</t>
  </si>
  <si>
    <t>zaninotto18088</t>
  </si>
  <si>
    <t>zaninotto18043</t>
  </si>
  <si>
    <t>24/4/2018</t>
  </si>
  <si>
    <t>zaninotto18042</t>
  </si>
  <si>
    <t>zaninotto18041</t>
  </si>
  <si>
    <t>zaninotto18044</t>
  </si>
  <si>
    <t>zaninotto18046</t>
  </si>
  <si>
    <t>zaninotto18091</t>
  </si>
  <si>
    <t>zaninotto18090</t>
  </si>
  <si>
    <t>zaninotto18092</t>
  </si>
  <si>
    <t>zaninotto18049</t>
  </si>
  <si>
    <t>26/4/2018</t>
  </si>
  <si>
    <t>zaninotto18050</t>
  </si>
  <si>
    <t>zaninotto18051</t>
  </si>
  <si>
    <t>27/4/2018</t>
  </si>
  <si>
    <t>zaninotto18053</t>
  </si>
  <si>
    <t>zaninotto18054</t>
  </si>
  <si>
    <t>zaninotto18086</t>
  </si>
  <si>
    <t>zaninotto18085</t>
  </si>
  <si>
    <t>zaninotto18052</t>
  </si>
  <si>
    <t>zaninotto18061</t>
  </si>
  <si>
    <t>2/5/2018</t>
  </si>
  <si>
    <t>zaninotto18058</t>
  </si>
  <si>
    <t>zaninotto18059</t>
  </si>
  <si>
    <t>zaninotto18060</t>
  </si>
  <si>
    <t>zaninotto18056</t>
  </si>
  <si>
    <t>zaninotto18057</t>
  </si>
  <si>
    <t>zaninotto18093</t>
  </si>
  <si>
    <t>zaninotto18097</t>
  </si>
  <si>
    <t>4/5/2018</t>
  </si>
  <si>
    <t>zaninotto18067</t>
  </si>
  <si>
    <t>zaninotto18062</t>
  </si>
  <si>
    <t>zaninotto18063</t>
  </si>
  <si>
    <t>zaninotto18064</t>
  </si>
  <si>
    <t>zaninotto18065</t>
  </si>
  <si>
    <t>zaninotto18066</t>
  </si>
  <si>
    <t>zaninotto18095</t>
  </si>
  <si>
    <t>zaninotto18094</t>
  </si>
  <si>
    <t>zaninotto18068</t>
  </si>
  <si>
    <t>zaninotto18096</t>
  </si>
  <si>
    <t>zaninotto18070</t>
  </si>
  <si>
    <t>7/5/2018</t>
  </si>
  <si>
    <t>zaninotto18073</t>
  </si>
  <si>
    <t>zaninotto18179</t>
  </si>
  <si>
    <t>zaninotto18077</t>
  </si>
  <si>
    <t>zaninotto18078</t>
  </si>
  <si>
    <t>zaninotto18079</t>
  </si>
  <si>
    <t>zaninotto18072</t>
  </si>
  <si>
    <t>zaninotto18069</t>
  </si>
  <si>
    <t>zaninotto18076</t>
  </si>
  <si>
    <t>zaninotto18071</t>
  </si>
  <si>
    <t>zaninotto18098</t>
  </si>
  <si>
    <t>zaninotto18099</t>
  </si>
  <si>
    <t>zaninotto18074</t>
  </si>
  <si>
    <t>zaninotto18100</t>
  </si>
  <si>
    <t>9/5/2018</t>
  </si>
  <si>
    <t>zaninotto18101</t>
  </si>
  <si>
    <t>zaninotto18186</t>
  </si>
  <si>
    <t>11/5/2018</t>
  </si>
  <si>
    <t>zaninotto18184</t>
  </si>
  <si>
    <t>zaninotto18185</t>
  </si>
  <si>
    <t>zaninotto18181</t>
  </si>
  <si>
    <t>zaninotto18182</t>
  </si>
  <si>
    <t>zaninotto18183</t>
  </si>
  <si>
    <t>zaninotto18081</t>
  </si>
  <si>
    <t>zaninotto18084</t>
  </si>
  <si>
    <t>15/5/2018</t>
  </si>
  <si>
    <t>zaninotto18163</t>
  </si>
  <si>
    <t>17/5/2018</t>
  </si>
  <si>
    <t>zaninotto18105</t>
  </si>
  <si>
    <t>18/5/2018</t>
  </si>
  <si>
    <t>zaninotto18103</t>
  </si>
  <si>
    <t>zaninotto18107</t>
  </si>
  <si>
    <t>zaninotto18108</t>
  </si>
  <si>
    <t>zaninotto18106</t>
  </si>
  <si>
    <t>zaninotto18188</t>
  </si>
  <si>
    <t>zaninotto18189</t>
  </si>
  <si>
    <t>zaninotto18187</t>
  </si>
  <si>
    <t>zaninotto18114</t>
  </si>
  <si>
    <t>22/5/2018</t>
  </si>
  <si>
    <t>zaninotto18111</t>
  </si>
  <si>
    <t>zaninotto18191</t>
  </si>
  <si>
    <t>zaninotto18192</t>
  </si>
  <si>
    <t>zaninotto18193</t>
  </si>
  <si>
    <t>zaninotto18194</t>
  </si>
  <si>
    <t>zaninotto18109</t>
  </si>
  <si>
    <t>zaninotto18110</t>
  </si>
  <si>
    <t>zaninotto18112</t>
  </si>
  <si>
    <t>zaninotto18113</t>
  </si>
  <si>
    <t>zaninotto18198</t>
  </si>
  <si>
    <t>24/5/2018</t>
  </si>
  <si>
    <t>zaninotto18199</t>
  </si>
  <si>
    <t>zaninotto18200</t>
  </si>
  <si>
    <t>zaninotto18201</t>
  </si>
  <si>
    <t>zaninotto18202</t>
  </si>
  <si>
    <t>zaninotto18203</t>
  </si>
  <si>
    <t>zaninotto18204</t>
  </si>
  <si>
    <t>zaninotto18205</t>
  </si>
  <si>
    <t>zaninotto18206</t>
  </si>
  <si>
    <t>zaninotto18120</t>
  </si>
  <si>
    <t>25/5/2018</t>
  </si>
  <si>
    <t>zaninotto18167</t>
  </si>
  <si>
    <t>zaninotto18164</t>
  </si>
  <si>
    <t>zaninotto18165</t>
  </si>
  <si>
    <t>zaninotto18166</t>
  </si>
  <si>
    <t>zaninotto18168</t>
  </si>
  <si>
    <t>zaninotto18169</t>
  </si>
  <si>
    <t>zaninotto18115</t>
  </si>
  <si>
    <t>zaninotto18116</t>
  </si>
  <si>
    <t>zaninotto18117</t>
  </si>
  <si>
    <t>zaninotto18118</t>
  </si>
  <si>
    <t>zaninotto18171</t>
  </si>
  <si>
    <t>28/5/2018</t>
  </si>
  <si>
    <t>zaninotto18123</t>
  </si>
  <si>
    <t>zaninotto18125</t>
  </si>
  <si>
    <t>zaninotto18172</t>
  </si>
  <si>
    <t>zaninotto18173</t>
  </si>
  <si>
    <t>zaninotto18124</t>
  </si>
  <si>
    <t>zaninotto18126</t>
  </si>
  <si>
    <t>zaninotto18170</t>
  </si>
  <si>
    <t>zaninotto18174</t>
  </si>
  <si>
    <t>zaninotto18175</t>
  </si>
  <si>
    <t>zaninotto18207</t>
  </si>
  <si>
    <t>1/6/2018</t>
  </si>
  <si>
    <t>zaninotto18176</t>
  </si>
  <si>
    <t>4/6/2018</t>
  </si>
  <si>
    <t>zaninotto18129</t>
  </si>
  <si>
    <t>zaninotto18128</t>
  </si>
  <si>
    <t>zaninotto18130</t>
  </si>
  <si>
    <t>8/6/2018</t>
  </si>
  <si>
    <t>zaninotto18177</t>
  </si>
  <si>
    <t>zaninotto18131</t>
  </si>
  <si>
    <t>zaninotto18133</t>
  </si>
  <si>
    <t>zaninotto18132</t>
  </si>
  <si>
    <t>zaninotto18178</t>
  </si>
  <si>
    <t>13/6/2018</t>
  </si>
  <si>
    <t>zaninotto18135</t>
  </si>
  <si>
    <t>15/6/2018</t>
  </si>
  <si>
    <t>zaninotto18139</t>
  </si>
  <si>
    <t>19/6/2018</t>
  </si>
  <si>
    <t>zaninotto18140</t>
  </si>
  <si>
    <t>zaninotto18143</t>
  </si>
  <si>
    <t>zaninotto18137</t>
  </si>
  <si>
    <t>zaninotto18136</t>
  </si>
  <si>
    <t>zaninotto18141</t>
  </si>
  <si>
    <t>zaninotto18144</t>
  </si>
  <si>
    <t>22/6/2018</t>
  </si>
  <si>
    <t>zaninotto18151</t>
  </si>
  <si>
    <t>zaninotto18145</t>
  </si>
  <si>
    <t>zaninotto18147</t>
  </si>
  <si>
    <t>zaninotto18208</t>
  </si>
  <si>
    <t>zaninotto18146</t>
  </si>
  <si>
    <t>zaninotto18211</t>
  </si>
  <si>
    <t>zaninotto18161</t>
  </si>
  <si>
    <t>25/6/2018</t>
  </si>
  <si>
    <t>zaninotto18158</t>
  </si>
  <si>
    <t>zaninotto18160</t>
  </si>
  <si>
    <t>zaninotto18159</t>
  </si>
  <si>
    <t>zaninotto18157</t>
  </si>
  <si>
    <t>zaninotto18156</t>
  </si>
  <si>
    <t>zaninotto18154</t>
  </si>
  <si>
    <t>zaninotto18214</t>
  </si>
  <si>
    <t>29/6/2018</t>
  </si>
  <si>
    <t>zaninotto18226</t>
  </si>
  <si>
    <t>zaninotto18216</t>
  </si>
  <si>
    <t>zaninotto18212</t>
  </si>
  <si>
    <t>zaninotto18213</t>
  </si>
  <si>
    <t>zaninotto18215</t>
  </si>
  <si>
    <t>zaninotto18225</t>
  </si>
  <si>
    <t>zaninotto18219</t>
  </si>
  <si>
    <t>2/7/2018</t>
  </si>
  <si>
    <t>Anthidium_oblongatum</t>
  </si>
  <si>
    <t>zaninotto18217</t>
  </si>
  <si>
    <t>zaninotto18218</t>
  </si>
  <si>
    <t>zaninotto18227</t>
  </si>
  <si>
    <t>3/7/2018</t>
  </si>
  <si>
    <t>Anthidium_strigatum</t>
  </si>
  <si>
    <t>zaninotto18228</t>
  </si>
  <si>
    <t>zaninotto18220</t>
  </si>
  <si>
    <t>6/7/2018</t>
  </si>
  <si>
    <t>zaninotto18221</t>
  </si>
  <si>
    <t>zaninotto18223</t>
  </si>
  <si>
    <t>12/7/2018</t>
  </si>
  <si>
    <t>zaninotto18222</t>
  </si>
  <si>
    <t>zaninotto18238</t>
  </si>
  <si>
    <t>22/8/2018</t>
  </si>
  <si>
    <t>zaninotto18239</t>
  </si>
  <si>
    <t>zaninotto18240</t>
  </si>
  <si>
    <t>zaninotto18241</t>
  </si>
  <si>
    <t>zaninotto18242</t>
  </si>
  <si>
    <t>zaninotto18243</t>
  </si>
  <si>
    <t>zaninotto18244</t>
  </si>
  <si>
    <t>zaninotto18245</t>
  </si>
  <si>
    <t>zaninotto18246</t>
  </si>
  <si>
    <t>zaninotto18247</t>
  </si>
  <si>
    <t>zaninotto18248</t>
  </si>
  <si>
    <t>zaninotto18249</t>
  </si>
  <si>
    <t>zaninotto18250</t>
  </si>
  <si>
    <t>zaninotto18234</t>
  </si>
  <si>
    <t>zaninotto18229</t>
  </si>
  <si>
    <t>zaninotto18230</t>
  </si>
  <si>
    <t>zaninotto18232</t>
  </si>
  <si>
    <t>zaninotto18231</t>
  </si>
  <si>
    <t>zaninotto18237</t>
  </si>
  <si>
    <t>zaninotto18259</t>
  </si>
  <si>
    <t>24/8/2018</t>
  </si>
  <si>
    <t>zaninotto18260</t>
  </si>
  <si>
    <t>zaninotto18264</t>
  </si>
  <si>
    <t>zaninotto18360</t>
  </si>
  <si>
    <t>zaninotto18262</t>
  </si>
  <si>
    <t>zaninotto18359</t>
  </si>
  <si>
    <t>zaninotto18261</t>
  </si>
  <si>
    <t>zaninotto18396</t>
  </si>
  <si>
    <t>zaninotto18282</t>
  </si>
  <si>
    <t>28/8/2018</t>
  </si>
  <si>
    <t>zaninotto18271</t>
  </si>
  <si>
    <t>zaninotto18275</t>
  </si>
  <si>
    <t>zaninotto18277</t>
  </si>
  <si>
    <t>zaninotto18278</t>
  </si>
  <si>
    <t>zaninotto18283</t>
  </si>
  <si>
    <t>zaninotto18284</t>
  </si>
  <si>
    <t>zaninotto18286</t>
  </si>
  <si>
    <t>zaninotto18287</t>
  </si>
  <si>
    <t>zaninotto18267</t>
  </si>
  <si>
    <t>zaninotto18270</t>
  </si>
  <si>
    <t>zaninotto18274</t>
  </si>
  <si>
    <t>zaninotto18363</t>
  </si>
  <si>
    <t>zaninotto18269</t>
  </si>
  <si>
    <t>zaninotto18402</t>
  </si>
  <si>
    <t>zaninotto18279</t>
  </si>
  <si>
    <t>zaninotto18362</t>
  </si>
  <si>
    <t>zaninotto18399</t>
  </si>
  <si>
    <t>zaninotto18400</t>
  </si>
  <si>
    <t>zaninotto18401</t>
  </si>
  <si>
    <t>zaninotto18403</t>
  </si>
  <si>
    <t>zaninotto18404</t>
  </si>
  <si>
    <t>zaninotto18405</t>
  </si>
  <si>
    <t>zaninotto18266</t>
  </si>
  <si>
    <t>zaninotto18281</t>
  </si>
  <si>
    <t>zaninotto18361</t>
  </si>
  <si>
    <t>zaninotto18398</t>
  </si>
  <si>
    <t>zaninotto18280</t>
  </si>
  <si>
    <t>zaninotto18265</t>
  </si>
  <si>
    <t>zaninotto18272</t>
  </si>
  <si>
    <t>zaninotto18273</t>
  </si>
  <si>
    <t>zaninotto18268</t>
  </si>
  <si>
    <t>zaninotto18364</t>
  </si>
  <si>
    <t>zaninotto18276</t>
  </si>
  <si>
    <t>zaninotto18365</t>
  </si>
  <si>
    <t>zaninotto18295</t>
  </si>
  <si>
    <t>30/8/2018</t>
  </si>
  <si>
    <t>zaninotto18305</t>
  </si>
  <si>
    <t>zaninotto18369</t>
  </si>
  <si>
    <t>zaninotto18370</t>
  </si>
  <si>
    <t>zaninotto18294</t>
  </si>
  <si>
    <t>zaninotto18367</t>
  </si>
  <si>
    <t>zaninotto18298</t>
  </si>
  <si>
    <t>zaninotto18368</t>
  </si>
  <si>
    <t>zaninotto18311</t>
  </si>
  <si>
    <t>31/8/2018</t>
  </si>
  <si>
    <t>zaninotto18310</t>
  </si>
  <si>
    <t>zaninotto18315</t>
  </si>
  <si>
    <t>3/9/2018</t>
  </si>
  <si>
    <t>zaninotto18316</t>
  </si>
  <si>
    <t>zaninotto18321</t>
  </si>
  <si>
    <t>zaninotto18322</t>
  </si>
  <si>
    <t>zaninotto18323</t>
  </si>
  <si>
    <t>zaninotto18376</t>
  </si>
  <si>
    <t>zaninotto18377</t>
  </si>
  <si>
    <t>zaninotto18317</t>
  </si>
  <si>
    <t>zaninotto18375</t>
  </si>
  <si>
    <t>zaninotto18379</t>
  </si>
  <si>
    <t>zaninotto18374</t>
  </si>
  <si>
    <t>zaninotto18318</t>
  </si>
  <si>
    <t>zaninotto18378</t>
  </si>
  <si>
    <t>zaninotto18406</t>
  </si>
  <si>
    <t>4/9/2018</t>
  </si>
  <si>
    <t>zaninotto18407</t>
  </si>
  <si>
    <t>zaninotto18329</t>
  </si>
  <si>
    <t>6/9/2018</t>
  </si>
  <si>
    <t>zaninotto18408</t>
  </si>
  <si>
    <t>zaninotto18330</t>
  </si>
  <si>
    <t>zaninotto18387</t>
  </si>
  <si>
    <t>7/9/2018</t>
  </si>
  <si>
    <t>zaninotto18388</t>
  </si>
  <si>
    <t>zaninotto18386</t>
  </si>
  <si>
    <t>zaninotto18412</t>
  </si>
  <si>
    <t>10/9/2018</t>
  </si>
  <si>
    <t>zaninotto18413</t>
  </si>
  <si>
    <t>zaninotto18333</t>
  </si>
  <si>
    <t>zaninotto18337</t>
  </si>
  <si>
    <t>zaninotto18340</t>
  </si>
  <si>
    <t>13/9/2018</t>
  </si>
  <si>
    <t>zaninotto18343</t>
  </si>
  <si>
    <t>zaninotto18445</t>
  </si>
  <si>
    <t>14/9/2018</t>
  </si>
  <si>
    <t>zaninotto18463</t>
  </si>
  <si>
    <t>zaninotto18462</t>
  </si>
  <si>
    <t>zaninotto18442</t>
  </si>
  <si>
    <t>zaninotto18443</t>
  </si>
  <si>
    <t>zaninotto18444</t>
  </si>
  <si>
    <t>zaninotto18441</t>
  </si>
  <si>
    <t>zaninotto18348</t>
  </si>
  <si>
    <t>17/9/2018</t>
  </si>
  <si>
    <t>zaninotto18349</t>
  </si>
  <si>
    <t>zaninotto18354</t>
  </si>
  <si>
    <t>zaninotto18355</t>
  </si>
  <si>
    <t>zaninotto18356</t>
  </si>
  <si>
    <t>zaninotto18357</t>
  </si>
  <si>
    <t>zaninotto18358</t>
  </si>
  <si>
    <t>zaninotto18446</t>
  </si>
  <si>
    <t>zaninotto18451</t>
  </si>
  <si>
    <t>zaninotto18447</t>
  </si>
  <si>
    <t>zaninotto18449</t>
  </si>
  <si>
    <t>zaninotto18448</t>
  </si>
  <si>
    <t>zaninotto18352</t>
  </si>
  <si>
    <t>zaninotto18351</t>
  </si>
  <si>
    <t>zaninotto18450</t>
  </si>
  <si>
    <t>zaninotto18353</t>
  </si>
  <si>
    <t>zaninotto18464</t>
  </si>
  <si>
    <t>18/9/2018</t>
  </si>
  <si>
    <t>zaninotto18467</t>
  </si>
  <si>
    <t>20/9/2018</t>
  </si>
  <si>
    <t>zaninotto18466</t>
  </si>
  <si>
    <t>Hylaeus_gibbus</t>
  </si>
  <si>
    <t>zaninotto18391</t>
  </si>
  <si>
    <t>zaninotto18395</t>
  </si>
  <si>
    <t>zaninotto18418</t>
  </si>
  <si>
    <t>25/9/2018</t>
  </si>
  <si>
    <t>zaninotto18419</t>
  </si>
  <si>
    <t>zaninotto18453</t>
  </si>
  <si>
    <t>26/9/2018</t>
  </si>
  <si>
    <t>zaninotto18455</t>
  </si>
  <si>
    <t>zaninotto18456</t>
  </si>
  <si>
    <t>Lasioglossum_monstrificum</t>
  </si>
  <si>
    <t>zaninotto18454</t>
  </si>
  <si>
    <t>zaninotto18470</t>
  </si>
  <si>
    <t>27/9/2018</t>
  </si>
  <si>
    <t>zaninotto18471</t>
  </si>
  <si>
    <t>zaninotto18474</t>
  </si>
  <si>
    <t>Halictus_submediterranea</t>
  </si>
  <si>
    <t>zaninotto18473</t>
  </si>
  <si>
    <t>zaninotto18472</t>
  </si>
  <si>
    <t>zaninotto18469</t>
  </si>
  <si>
    <t>zaninotto18422</t>
  </si>
  <si>
    <t>zaninotto18423</t>
  </si>
  <si>
    <t>zaninotto18420</t>
  </si>
  <si>
    <t>zaninotto18421</t>
  </si>
  <si>
    <t>zaninotto18457</t>
  </si>
  <si>
    <t>zaninotto18438</t>
  </si>
  <si>
    <t>zaninotto18461</t>
  </si>
  <si>
    <t>4/10/2018</t>
  </si>
  <si>
    <t>zaninotto18460</t>
  </si>
  <si>
    <t>zaninotto18493</t>
  </si>
  <si>
    <t>5/10/2018</t>
  </si>
  <si>
    <t>zaninotto18494</t>
  </si>
  <si>
    <t>zaninotto18492</t>
  </si>
  <si>
    <t>zaninotto18476</t>
  </si>
  <si>
    <t>9/10/2018</t>
  </si>
  <si>
    <t>zaninotto18495</t>
  </si>
  <si>
    <t>11/10/2018</t>
  </si>
  <si>
    <t>zaninotto18479</t>
  </si>
  <si>
    <t>zaninotto18499</t>
  </si>
  <si>
    <t>16/10/2018</t>
  </si>
  <si>
    <t>zaninotto18486</t>
  </si>
  <si>
    <t>18/10/2018</t>
  </si>
  <si>
    <t>zaninotto18497</t>
  </si>
  <si>
    <t>19/10/2018</t>
  </si>
  <si>
    <t>zaninotto18526</t>
  </si>
  <si>
    <t>25/10/18</t>
  </si>
  <si>
    <t>Sphecodes_puncticeps</t>
  </si>
  <si>
    <t>zaninotto18506</t>
  </si>
  <si>
    <t>5/11/2018</t>
  </si>
  <si>
    <t>geslin8</t>
  </si>
  <si>
    <t>Lasioglossum_tumulorum</t>
  </si>
  <si>
    <t>geslin12</t>
  </si>
  <si>
    <t>geslin99</t>
  </si>
  <si>
    <t>geslin167</t>
  </si>
  <si>
    <t>geslin479</t>
  </si>
  <si>
    <t>geslin623</t>
  </si>
  <si>
    <t>geslin718</t>
  </si>
  <si>
    <t>geslin805</t>
  </si>
  <si>
    <t>geslin813</t>
  </si>
  <si>
    <t>geslin897</t>
  </si>
  <si>
    <t>geslin901</t>
  </si>
  <si>
    <t>geslin1044</t>
  </si>
  <si>
    <t>geslin1069</t>
  </si>
  <si>
    <t>geslin1205</t>
  </si>
  <si>
    <t>geslin1206</t>
  </si>
  <si>
    <t>geslin1618</t>
  </si>
  <si>
    <t>geslin216</t>
  </si>
  <si>
    <t>geslin627</t>
  </si>
  <si>
    <t>roparsDEC7</t>
  </si>
  <si>
    <t>Macropis</t>
  </si>
  <si>
    <t>parc_belleville</t>
  </si>
  <si>
    <t>zaninotto2</t>
  </si>
  <si>
    <t>parc_monceau</t>
  </si>
  <si>
    <t>jardin_sauvage_st_vincent</t>
  </si>
  <si>
    <t>parc_georges_brassens</t>
  </si>
  <si>
    <t>jardin_andre_citroen</t>
  </si>
  <si>
    <t>jardin_catherine_laboure</t>
  </si>
  <si>
    <t>st_yves</t>
  </si>
  <si>
    <t>jardin_villemin</t>
  </si>
  <si>
    <t>jardin_naturel_pierre_emmanuel</t>
  </si>
  <si>
    <t>itd_moy_mesure_esp_sexe : moyenne de mesures d'ITD (distance intertégulaire) par especes et sexe, issues de la bases de donnée de traits de Zaninnotto ou alors ajouté au cours du stage. Le nombre de mesure réalisés pour les moyennes est indiqué dans la colonne "nbre_individus_pour_moyenne". Exprimé en mm</t>
  </si>
  <si>
    <t>ITD : distance intertégulaire calculée pour un individu, exprimé en mm</t>
  </si>
  <si>
    <t>contexte_paysager : urbain = + de 50% de sol imperméabilisé, suburb = 25-50% de sol imperméabilisé, agricole = + 40% de terres agricoles, seminat = + de 50% de zones recouvertes par de la prairie/ forêt</t>
  </si>
  <si>
    <t>TailleR : mesure d'ITD par individus, si la donnée est absente mesure d'ITD par espèce + sexe, exprimé en mm</t>
  </si>
  <si>
    <t>Données supprimées :</t>
  </si>
  <si>
    <t>Base Benoît Geslin : Collecteur, identificateur, ordre, famille, morphotype, durée d'exposition des coupelles, température, altitude, nombre d'entrée</t>
  </si>
  <si>
    <t>Base Zaninotto 1 : jour, heure, observateur, morphogroupe, espece (sans le genre), vague, parasite, statut de conservation, ITD</t>
  </si>
  <si>
    <t>Base Zaninotto 2 : identificateur, heure, si c'est une reine, morphogroupe, famille</t>
  </si>
  <si>
    <t>Méthode de capture :</t>
  </si>
  <si>
    <t>Filet : technique de capture active, sous estime les petites abeilles</t>
  </si>
  <si>
    <t>Coupelle : technique de capture passive, il existe plusieurs couleurs de coupelles peintes aux UV donc attractif pour les abeilles, sous estime les grandes abeilles qui peuvent sortir de la coupelle</t>
  </si>
  <si>
    <t>Pot : technique de capture active, la capture est réalisée sur une fleur lorsque un insecte la pollinise</t>
  </si>
  <si>
    <t>Protocole de capture :</t>
  </si>
  <si>
    <t>Base Benoit Geslin : des coupelles de 3 couleurs sont disposés pendant 24h à côtés de 5 espèces de plantes à fleurs en assiette ou en tube (Lotus corniculatus L., Medicago sativa L. and Consolida regalis Gray; Matricaria inodora L. and Sinapis arvensis L.)</t>
  </si>
  <si>
    <t>Base Lise Ropars : les coupelles de 3 couleurs sont posées pendant 2h (permet de limiter la prédation des insectes par les oiseaux), les captures au filet sont réalisées sur des patch fleuris</t>
  </si>
  <si>
    <t>Base Zaninotto 1 : Les captures sont réalisées sur deux espèces à fleurs jaune (une en tube une en assiette : Lotus corniculatus L. et Sinapsis alba L.), pendant 5 minutes</t>
  </si>
  <si>
    <t>Andrena_rufula</t>
  </si>
  <si>
    <t>Sphecodes_ephippius</t>
  </si>
  <si>
    <t>Nomada_flava</t>
  </si>
  <si>
    <t>Nomada_goodeniana</t>
  </si>
  <si>
    <t>Nomada_discrepans</t>
  </si>
  <si>
    <t>Andrena_florea</t>
  </si>
  <si>
    <t>Andrena_ventralis</t>
  </si>
  <si>
    <t>Nomada_succincta</t>
  </si>
  <si>
    <t>Bombus_hypnorum</t>
  </si>
  <si>
    <t>Andrena_viridescens</t>
  </si>
  <si>
    <t>Bombus_pratorum</t>
  </si>
  <si>
    <t>Hylaeus_incongruus</t>
  </si>
  <si>
    <t>Hylaeus_gredleri</t>
  </si>
  <si>
    <t>Nomada_distinguenda</t>
  </si>
  <si>
    <t>Hylaeus_variegatus</t>
  </si>
  <si>
    <t>Macropis_europaea</t>
  </si>
  <si>
    <t>Stelis_punctulatissima</t>
  </si>
  <si>
    <t>Sphecodes_pseudofasciatus</t>
  </si>
  <si>
    <t>Andrena_ovatula</t>
  </si>
  <si>
    <t>Lasioglossum_cupromicans</t>
  </si>
  <si>
    <t>Coelioxys_inermis</t>
  </si>
  <si>
    <t>Sphecodes_niger</t>
  </si>
  <si>
    <t>Hylaeus_signatus</t>
  </si>
  <si>
    <t>Sphecodes_gibbus</t>
  </si>
  <si>
    <t>Colletes_marginatus</t>
  </si>
  <si>
    <t>Colletes_daviesanus</t>
  </si>
  <si>
    <t>Sphecodes_crassus</t>
  </si>
  <si>
    <t>Lasioglossum_griseolum</t>
  </si>
  <si>
    <t>Pseudoanthidium_nanum</t>
  </si>
  <si>
    <t>Colletes_similis</t>
  </si>
  <si>
    <t>Halictus_langobardicus</t>
  </si>
  <si>
    <t>Colletes_hederae</t>
  </si>
  <si>
    <t>maxforagingdistTailleR : Distance maximale parcourue par les abeilles exprimé en km, calculé à partir de TailleR et de la formule de Greenleaf 2007</t>
  </si>
  <si>
    <t>Base Zaninotto 2 : capture dans les parcs de Paris au filet et à la coupelle</t>
  </si>
  <si>
    <t>Coelioxys</t>
  </si>
  <si>
    <t>Pseudoanthidium</t>
  </si>
  <si>
    <t>Stelis</t>
  </si>
  <si>
    <t>Base Lise Ropars : Ordre, famille, identificateur, "Autre", spécimens RITC-16_00 où il y a plusieurs fois le même identifiant (on en sais pas si c'est un même individus ou si il y a un problème dans les identifiants) dans tous les cas ce sont des Apis mellifera.</t>
  </si>
  <si>
    <t>Impermeabilisation500m</t>
  </si>
  <si>
    <t>taux_impermabilisation500m : correspond aux zone imperméabilisés 500m autour du point GPS. Calculé grâce aux données cartographique de l'IRD (données de 2021). Dans chaque zone un tampon de la moyenne de foraging distance des abeilles est réalisé. Puis, le taux de zones imperméabilisé (habitats individuel, collectifs, activité, équipement, transports, carrière, décharge et chantiers) / surface totale est calculé  pour chaque point d'échantillonnage. Cartographie réalisée.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</si>
</sst>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C]General"/>
  </numFmts>
  <fonts count="6" x14ac:knownFonts="1">
    <font>
      <sz val="11"/>
      <color rgb="FF000000"/>
      <name val="Calibri"/>
      <family val="2"/>
      <scheme val="minor"/>
    </font>
    <font>
      <sz val="10"/>
      <color rgb="FF000000"/>
      <name val="Helvetica Neue"/>
      <family val="2"/>
    </font>
    <font>
      <sz val="12"/>
      <color rgb="FF000000"/>
      <name val="Helvetica"/>
      <family val="2"/>
    </font>
    <font>
      <sz val="8"/>
      <name val="Calibri"/>
      <family val="2"/>
      <scheme val="minor"/>
    </font>
    <font>
      <sz val="11"/>
      <color rgb="FF000000"/>
      <name val="Calibri"/>
      <family val="2"/>
    </font>
    <font>
      <sz val="12"/>
      <color theme="1"/>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164" fontId="4" fillId="0" borderId="0"/>
  </cellStyleXfs>
  <cellXfs count="11">
    <xf numFmtId="0" fontId="0" fillId="0" borderId="0" xfId="0"/>
    <xf numFmtId="14" fontId="1" fillId="0" borderId="0" xfId="0" applyNumberFormat="1" applyFont="1"/>
    <xf numFmtId="0" fontId="1" fillId="0" borderId="0" xfId="0" applyFont="1"/>
    <xf numFmtId="0" fontId="2" fillId="0" borderId="0" xfId="0" applyFont="1"/>
    <xf numFmtId="0" fontId="5" fillId="0" borderId="0" xfId="0" applyFont="1"/>
    <xf numFmtId="0" fontId="1" fillId="2" borderId="0" xfId="0" applyFont="1" applyFill="1"/>
    <xf numFmtId="0" fontId="0" fillId="2" borderId="0" xfId="0" applyFill="1"/>
    <xf numFmtId="14" fontId="1" fillId="2" borderId="0" xfId="0" applyNumberFormat="1" applyFont="1" applyFill="1"/>
    <xf numFmtId="2" fontId="0" fillId="0" borderId="0" xfId="0" applyNumberFormat="1"/>
    <xf numFmtId="2" fontId="0" fillId="2" borderId="0" xfId="0" applyNumberFormat="1" applyFill="1"/>
    <xf numFmtId="2" fontId="1" fillId="0" borderId="0" xfId="0" applyNumberFormat="1" applyFont="1"/>
  </cellXfs>
  <cellStyles count="2">
    <cellStyle name="Excel Built-in Normal" xfId="1" xr:uid="{145F4795-4BD9-274A-A2AD-6C68EBB0BAEF}"/>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6925"/>
  <sheetViews>
    <sheetView tabSelected="1" zoomScale="111" zoomScaleNormal="100" workbookViewId="0">
      <selection activeCell="J1" sqref="J1"/>
    </sheetView>
  </sheetViews>
  <sheetFormatPr baseColWidth="10" defaultColWidth="11.5" defaultRowHeight="15" x14ac:dyDescent="0.2"/>
  <cols>
    <col min="8" max="8" width="19" customWidth="1"/>
    <col min="13" max="13" width="11.5" style="8"/>
    <col min="15" max="15" width="11.5" style="8"/>
    <col min="16" max="16" width="18.5" style="8" bestFit="1" customWidth="1"/>
    <col min="17" max="17" width="20.6640625" style="8" bestFit="1" customWidth="1"/>
  </cols>
  <sheetData>
    <row r="1" spans="1:17" x14ac:dyDescent="0.2">
      <c r="A1" t="s">
        <v>0</v>
      </c>
      <c r="B1" t="s">
        <v>1</v>
      </c>
      <c r="C1" t="s">
        <v>2</v>
      </c>
      <c r="D1" t="s">
        <v>3</v>
      </c>
      <c r="E1" t="s">
        <v>4</v>
      </c>
      <c r="F1" t="s">
        <v>5</v>
      </c>
      <c r="G1" t="s">
        <v>6</v>
      </c>
      <c r="H1" t="s">
        <v>7</v>
      </c>
      <c r="I1" t="s">
        <v>8</v>
      </c>
      <c r="J1" t="s">
        <v>9</v>
      </c>
      <c r="K1" t="s">
        <v>10</v>
      </c>
      <c r="L1" t="s">
        <v>11</v>
      </c>
      <c r="M1" s="8" t="s">
        <v>12</v>
      </c>
      <c r="N1" t="s">
        <v>13</v>
      </c>
      <c r="O1" s="8" t="s">
        <v>14</v>
      </c>
      <c r="P1" s="8" t="s">
        <v>15</v>
      </c>
      <c r="Q1" s="8" t="s">
        <v>3082</v>
      </c>
    </row>
    <row r="2" spans="1:17" x14ac:dyDescent="0.2">
      <c r="A2">
        <v>2011</v>
      </c>
      <c r="B2" t="s">
        <v>16</v>
      </c>
      <c r="C2" t="s">
        <v>17</v>
      </c>
      <c r="D2" t="s">
        <v>18</v>
      </c>
      <c r="E2">
        <v>5</v>
      </c>
      <c r="F2" t="s">
        <v>19</v>
      </c>
      <c r="G2" t="s">
        <v>20</v>
      </c>
      <c r="H2" t="s">
        <v>21</v>
      </c>
      <c r="I2" t="s">
        <v>22</v>
      </c>
      <c r="J2" t="s">
        <v>23</v>
      </c>
      <c r="K2" t="s">
        <v>24</v>
      </c>
      <c r="L2" t="s">
        <v>25</v>
      </c>
      <c r="M2" s="8" t="s">
        <v>26</v>
      </c>
      <c r="N2" t="s">
        <v>26</v>
      </c>
      <c r="O2" s="8" t="s">
        <v>26</v>
      </c>
      <c r="P2" s="8" t="s">
        <v>26</v>
      </c>
      <c r="Q2" s="8">
        <f>(605161.6*100)/5834449</f>
        <v>10.372215096918321</v>
      </c>
    </row>
    <row r="3" spans="1:17" x14ac:dyDescent="0.2">
      <c r="A3">
        <v>2011</v>
      </c>
      <c r="B3" t="s">
        <v>27</v>
      </c>
      <c r="C3" t="s">
        <v>17</v>
      </c>
      <c r="D3" t="s">
        <v>18</v>
      </c>
      <c r="E3">
        <v>5</v>
      </c>
      <c r="F3" t="s">
        <v>19</v>
      </c>
      <c r="G3" t="s">
        <v>20</v>
      </c>
      <c r="H3" t="s">
        <v>21</v>
      </c>
      <c r="I3" t="s">
        <v>22</v>
      </c>
      <c r="J3" t="s">
        <v>23</v>
      </c>
      <c r="K3" t="s">
        <v>24</v>
      </c>
      <c r="L3" t="s">
        <v>25</v>
      </c>
      <c r="M3" s="8" t="s">
        <v>26</v>
      </c>
      <c r="N3" t="s">
        <v>26</v>
      </c>
      <c r="O3" s="8" t="s">
        <v>26</v>
      </c>
      <c r="P3" s="8" t="s">
        <v>26</v>
      </c>
      <c r="Q3" s="8">
        <f>(605161.6*100)/5834449</f>
        <v>10.372215096918321</v>
      </c>
    </row>
    <row r="4" spans="1:17" x14ac:dyDescent="0.2">
      <c r="A4">
        <v>2011</v>
      </c>
      <c r="B4" t="s">
        <v>28</v>
      </c>
      <c r="C4" t="s">
        <v>17</v>
      </c>
      <c r="D4" t="s">
        <v>18</v>
      </c>
      <c r="E4">
        <v>5</v>
      </c>
      <c r="F4" t="s">
        <v>19</v>
      </c>
      <c r="G4" t="s">
        <v>20</v>
      </c>
      <c r="H4" t="s">
        <v>21</v>
      </c>
      <c r="I4" t="s">
        <v>22</v>
      </c>
      <c r="J4" t="s">
        <v>23</v>
      </c>
      <c r="K4" t="s">
        <v>24</v>
      </c>
      <c r="L4" t="s">
        <v>25</v>
      </c>
      <c r="M4" s="8" t="s">
        <v>26</v>
      </c>
      <c r="N4" t="s">
        <v>26</v>
      </c>
      <c r="O4" s="8" t="s">
        <v>26</v>
      </c>
      <c r="P4" s="8" t="s">
        <v>26</v>
      </c>
      <c r="Q4" s="8">
        <f>(605161.6*100)/5834449</f>
        <v>10.372215096918321</v>
      </c>
    </row>
    <row r="5" spans="1:17" x14ac:dyDescent="0.2">
      <c r="A5">
        <v>2011</v>
      </c>
      <c r="B5" t="s">
        <v>29</v>
      </c>
      <c r="C5" t="s">
        <v>30</v>
      </c>
      <c r="D5" t="s">
        <v>18</v>
      </c>
      <c r="E5">
        <v>5</v>
      </c>
      <c r="F5" t="s">
        <v>19</v>
      </c>
      <c r="G5" t="s">
        <v>20</v>
      </c>
      <c r="H5" t="s">
        <v>21</v>
      </c>
      <c r="I5" t="s">
        <v>22</v>
      </c>
      <c r="J5" t="s">
        <v>31</v>
      </c>
      <c r="K5" t="s">
        <v>24</v>
      </c>
      <c r="L5" t="s">
        <v>25</v>
      </c>
      <c r="M5" s="8" t="s">
        <v>26</v>
      </c>
      <c r="N5" t="s">
        <v>26</v>
      </c>
      <c r="O5" s="8" t="s">
        <v>26</v>
      </c>
      <c r="P5" s="8" t="s">
        <v>26</v>
      </c>
      <c r="Q5" s="8">
        <f>(34897.31*100)/4728180</f>
        <v>0.73807067412831151</v>
      </c>
    </row>
    <row r="6" spans="1:17" x14ac:dyDescent="0.2">
      <c r="A6">
        <v>2011</v>
      </c>
      <c r="B6" t="s">
        <v>32</v>
      </c>
      <c r="C6" t="s">
        <v>30</v>
      </c>
      <c r="D6" t="s">
        <v>18</v>
      </c>
      <c r="E6">
        <v>5</v>
      </c>
      <c r="F6" t="s">
        <v>19</v>
      </c>
      <c r="G6" t="s">
        <v>20</v>
      </c>
      <c r="H6" t="s">
        <v>21</v>
      </c>
      <c r="I6" t="s">
        <v>22</v>
      </c>
      <c r="J6" t="s">
        <v>31</v>
      </c>
      <c r="K6" t="s">
        <v>24</v>
      </c>
      <c r="L6" t="s">
        <v>25</v>
      </c>
      <c r="M6" s="8" t="s">
        <v>26</v>
      </c>
      <c r="N6" t="s">
        <v>26</v>
      </c>
      <c r="O6" s="8" t="s">
        <v>26</v>
      </c>
      <c r="P6" s="8" t="s">
        <v>26</v>
      </c>
      <c r="Q6" s="8">
        <f>(34897.31*100)/4728180</f>
        <v>0.73807067412831151</v>
      </c>
    </row>
    <row r="7" spans="1:17" x14ac:dyDescent="0.2">
      <c r="A7">
        <v>2011</v>
      </c>
      <c r="B7" t="s">
        <v>33</v>
      </c>
      <c r="C7" t="s">
        <v>34</v>
      </c>
      <c r="D7" t="s">
        <v>35</v>
      </c>
      <c r="E7">
        <v>5</v>
      </c>
      <c r="F7" t="s">
        <v>19</v>
      </c>
      <c r="G7" t="s">
        <v>20</v>
      </c>
      <c r="H7" t="s">
        <v>21</v>
      </c>
      <c r="I7" t="s">
        <v>36</v>
      </c>
      <c r="J7" t="s">
        <v>23</v>
      </c>
      <c r="K7" t="s">
        <v>24</v>
      </c>
      <c r="L7" t="s">
        <v>25</v>
      </c>
      <c r="M7" s="8" t="s">
        <v>26</v>
      </c>
      <c r="N7" t="s">
        <v>26</v>
      </c>
      <c r="O7" s="8" t="s">
        <v>26</v>
      </c>
      <c r="P7" s="8" t="s">
        <v>26</v>
      </c>
      <c r="Q7" s="8">
        <f>(1478835*100)/2190162</f>
        <v>67.5217175715769</v>
      </c>
    </row>
    <row r="8" spans="1:17" x14ac:dyDescent="0.2">
      <c r="A8">
        <v>2011</v>
      </c>
      <c r="B8" t="s">
        <v>37</v>
      </c>
      <c r="C8" t="s">
        <v>17</v>
      </c>
      <c r="D8" t="s">
        <v>18</v>
      </c>
      <c r="E8">
        <v>5</v>
      </c>
      <c r="F8" t="s">
        <v>19</v>
      </c>
      <c r="G8" t="s">
        <v>20</v>
      </c>
      <c r="H8" t="s">
        <v>21</v>
      </c>
      <c r="I8" t="s">
        <v>36</v>
      </c>
      <c r="J8" t="s">
        <v>23</v>
      </c>
      <c r="K8" t="s">
        <v>24</v>
      </c>
      <c r="L8" t="s">
        <v>25</v>
      </c>
      <c r="M8" s="8" t="s">
        <v>26</v>
      </c>
      <c r="N8" t="s">
        <v>26</v>
      </c>
      <c r="O8" s="8" t="s">
        <v>26</v>
      </c>
      <c r="P8" s="8" t="s">
        <v>26</v>
      </c>
      <c r="Q8" s="8">
        <f>(605161.6*100)/5834449</f>
        <v>10.372215096918321</v>
      </c>
    </row>
    <row r="9" spans="1:17" x14ac:dyDescent="0.2">
      <c r="A9">
        <v>2011</v>
      </c>
      <c r="B9" t="s">
        <v>38</v>
      </c>
      <c r="C9" t="s">
        <v>39</v>
      </c>
      <c r="D9" t="s">
        <v>40</v>
      </c>
      <c r="E9">
        <v>6</v>
      </c>
      <c r="F9" t="s">
        <v>19</v>
      </c>
      <c r="G9" t="s">
        <v>20</v>
      </c>
      <c r="H9" t="s">
        <v>41</v>
      </c>
      <c r="I9" t="s">
        <v>36</v>
      </c>
      <c r="J9" t="s">
        <v>42</v>
      </c>
      <c r="K9" t="s">
        <v>24</v>
      </c>
      <c r="L9" t="s">
        <v>25</v>
      </c>
      <c r="M9" s="8" t="s">
        <v>26</v>
      </c>
      <c r="N9" t="s">
        <v>26</v>
      </c>
      <c r="O9" s="8" t="s">
        <v>26</v>
      </c>
      <c r="P9" s="8" t="s">
        <v>26</v>
      </c>
      <c r="Q9" s="8">
        <f>(2375365*100)/2680339</f>
        <v>88.621812390149159</v>
      </c>
    </row>
    <row r="10" spans="1:17" x14ac:dyDescent="0.2">
      <c r="A10">
        <v>2011</v>
      </c>
      <c r="B10" t="s">
        <v>43</v>
      </c>
      <c r="C10" t="s">
        <v>39</v>
      </c>
      <c r="D10" t="s">
        <v>44</v>
      </c>
      <c r="E10">
        <v>5</v>
      </c>
      <c r="F10" t="s">
        <v>19</v>
      </c>
      <c r="G10" t="s">
        <v>20</v>
      </c>
      <c r="H10" t="s">
        <v>45</v>
      </c>
      <c r="I10" t="s">
        <v>36</v>
      </c>
      <c r="J10" t="s">
        <v>42</v>
      </c>
      <c r="K10" t="s">
        <v>24</v>
      </c>
      <c r="L10" t="s">
        <v>25</v>
      </c>
      <c r="M10" s="8">
        <v>1.5053333330000001</v>
      </c>
      <c r="N10" t="s">
        <v>26</v>
      </c>
      <c r="O10" s="8">
        <v>1.5053333330000001</v>
      </c>
      <c r="P10" s="8">
        <f>EXP(-1.363+3.366*LOG(O10,10))</f>
        <v>0.46529279523463329</v>
      </c>
      <c r="Q10" s="8">
        <f>(2375365*100)/2680339</f>
        <v>88.621812390149159</v>
      </c>
    </row>
    <row r="11" spans="1:17" x14ac:dyDescent="0.2">
      <c r="A11">
        <v>2011</v>
      </c>
      <c r="B11" t="s">
        <v>46</v>
      </c>
      <c r="C11" t="s">
        <v>17</v>
      </c>
      <c r="D11" t="s">
        <v>47</v>
      </c>
      <c r="E11">
        <v>4</v>
      </c>
      <c r="F11" t="s">
        <v>19</v>
      </c>
      <c r="G11" t="s">
        <v>20</v>
      </c>
      <c r="H11" t="s">
        <v>45</v>
      </c>
      <c r="I11" t="s">
        <v>22</v>
      </c>
      <c r="J11" t="s">
        <v>23</v>
      </c>
      <c r="K11" t="s">
        <v>24</v>
      </c>
      <c r="L11" t="s">
        <v>25</v>
      </c>
      <c r="M11" s="8">
        <v>1.903333333</v>
      </c>
      <c r="N11" t="s">
        <v>26</v>
      </c>
      <c r="O11" s="8">
        <v>1.903333333</v>
      </c>
      <c r="P11" s="8">
        <f>EXP(-1.363+3.366*LOG(O11,10))</f>
        <v>0.65563371760507783</v>
      </c>
      <c r="Q11" s="8">
        <f>(605161.6*100)/5834449</f>
        <v>10.372215096918321</v>
      </c>
    </row>
    <row r="12" spans="1:17" x14ac:dyDescent="0.2">
      <c r="A12">
        <v>2011</v>
      </c>
      <c r="B12" t="s">
        <v>48</v>
      </c>
      <c r="C12" t="s">
        <v>39</v>
      </c>
      <c r="D12" t="s">
        <v>47</v>
      </c>
      <c r="E12">
        <v>4</v>
      </c>
      <c r="F12" t="s">
        <v>19</v>
      </c>
      <c r="G12" t="s">
        <v>20</v>
      </c>
      <c r="H12" t="s">
        <v>45</v>
      </c>
      <c r="I12" t="s">
        <v>22</v>
      </c>
      <c r="J12" t="s">
        <v>42</v>
      </c>
      <c r="K12" t="s">
        <v>24</v>
      </c>
      <c r="L12" t="s">
        <v>25</v>
      </c>
      <c r="M12" s="8">
        <v>1.903333333</v>
      </c>
      <c r="N12" t="s">
        <v>26</v>
      </c>
      <c r="O12" s="8">
        <v>1.903333333</v>
      </c>
      <c r="P12" s="8">
        <f>EXP(-1.363+3.366*LOG(O12,10))</f>
        <v>0.65563371760507783</v>
      </c>
      <c r="Q12" s="8">
        <f>(2375365*100)/2680339</f>
        <v>88.621812390149159</v>
      </c>
    </row>
    <row r="13" spans="1:17" x14ac:dyDescent="0.2">
      <c r="A13">
        <v>2011</v>
      </c>
      <c r="B13" t="s">
        <v>49</v>
      </c>
      <c r="C13" t="s">
        <v>50</v>
      </c>
      <c r="D13" t="s">
        <v>44</v>
      </c>
      <c r="E13">
        <v>5</v>
      </c>
      <c r="F13" t="s">
        <v>19</v>
      </c>
      <c r="G13" t="s">
        <v>20</v>
      </c>
      <c r="H13" t="s">
        <v>45</v>
      </c>
      <c r="I13" t="s">
        <v>22</v>
      </c>
      <c r="J13" t="s">
        <v>42</v>
      </c>
      <c r="K13" t="s">
        <v>24</v>
      </c>
      <c r="L13" t="s">
        <v>25</v>
      </c>
      <c r="M13" s="8">
        <v>1.903333333</v>
      </c>
      <c r="N13" t="s">
        <v>26</v>
      </c>
      <c r="O13" s="8">
        <v>1.903333333</v>
      </c>
      <c r="P13" s="8">
        <f>EXP(-1.363+3.366*LOG(O13,10))</f>
        <v>0.65563371760507783</v>
      </c>
      <c r="Q13" s="8">
        <f>(4488342*100)/4914798</f>
        <v>91.323020803703429</v>
      </c>
    </row>
    <row r="14" spans="1:17" x14ac:dyDescent="0.2">
      <c r="A14">
        <v>2011</v>
      </c>
      <c r="B14" t="s">
        <v>51</v>
      </c>
      <c r="C14" t="s">
        <v>52</v>
      </c>
      <c r="D14" t="s">
        <v>53</v>
      </c>
      <c r="E14">
        <v>6</v>
      </c>
      <c r="F14" t="s">
        <v>19</v>
      </c>
      <c r="G14" t="s">
        <v>20</v>
      </c>
      <c r="H14" t="s">
        <v>45</v>
      </c>
      <c r="I14" t="s">
        <v>22</v>
      </c>
      <c r="J14" t="s">
        <v>42</v>
      </c>
      <c r="K14" t="s">
        <v>24</v>
      </c>
      <c r="L14" t="s">
        <v>25</v>
      </c>
      <c r="M14" s="8">
        <v>1.903333333</v>
      </c>
      <c r="N14" t="s">
        <v>26</v>
      </c>
      <c r="O14" s="8">
        <v>1.903333333</v>
      </c>
      <c r="P14" s="8">
        <f>EXP(-1.363+3.366*LOG(O14,10))</f>
        <v>0.65563371760507783</v>
      </c>
      <c r="Q14" s="8">
        <f>(1626350*100)/1973941</f>
        <v>82.391013713175823</v>
      </c>
    </row>
    <row r="15" spans="1:17" x14ac:dyDescent="0.2">
      <c r="A15">
        <v>2011</v>
      </c>
      <c r="B15" t="s">
        <v>54</v>
      </c>
      <c r="C15" t="s">
        <v>50</v>
      </c>
      <c r="D15" t="s">
        <v>55</v>
      </c>
      <c r="E15">
        <v>6</v>
      </c>
      <c r="F15" t="s">
        <v>19</v>
      </c>
      <c r="G15" t="s">
        <v>20</v>
      </c>
      <c r="H15" t="s">
        <v>45</v>
      </c>
      <c r="I15" t="s">
        <v>22</v>
      </c>
      <c r="J15" t="s">
        <v>42</v>
      </c>
      <c r="K15" t="s">
        <v>24</v>
      </c>
      <c r="L15" t="s">
        <v>25</v>
      </c>
      <c r="M15" s="8">
        <v>1.903333333</v>
      </c>
      <c r="N15" t="s">
        <v>26</v>
      </c>
      <c r="O15" s="8">
        <v>1.903333333</v>
      </c>
      <c r="P15" s="8">
        <f>EXP(-1.363+3.366*LOG(O15,10))</f>
        <v>0.65563371760507783</v>
      </c>
      <c r="Q15" s="8">
        <f>(4488342*100)/4914798</f>
        <v>91.323020803703429</v>
      </c>
    </row>
    <row r="16" spans="1:17" x14ac:dyDescent="0.2">
      <c r="A16">
        <v>2011</v>
      </c>
      <c r="B16" t="s">
        <v>56</v>
      </c>
      <c r="C16" t="s">
        <v>57</v>
      </c>
      <c r="D16" t="s">
        <v>58</v>
      </c>
      <c r="E16">
        <v>6</v>
      </c>
      <c r="F16" t="s">
        <v>19</v>
      </c>
      <c r="G16" t="s">
        <v>20</v>
      </c>
      <c r="H16" t="s">
        <v>45</v>
      </c>
      <c r="I16" t="s">
        <v>22</v>
      </c>
      <c r="J16" t="s">
        <v>31</v>
      </c>
      <c r="K16" t="s">
        <v>24</v>
      </c>
      <c r="L16" t="s">
        <v>25</v>
      </c>
      <c r="M16" s="8">
        <v>1.903333333</v>
      </c>
      <c r="N16" t="s">
        <v>26</v>
      </c>
      <c r="O16" s="8">
        <v>1.903333333</v>
      </c>
      <c r="P16" s="8">
        <f>EXP(-1.363+3.366*LOG(O16,10))</f>
        <v>0.65563371760507783</v>
      </c>
      <c r="Q16" s="8">
        <f>(321151.3*100)/5927002</f>
        <v>5.4184442657518925</v>
      </c>
    </row>
    <row r="17" spans="1:17" x14ac:dyDescent="0.2">
      <c r="A17">
        <v>2011</v>
      </c>
      <c r="B17" t="s">
        <v>59</v>
      </c>
      <c r="C17" t="s">
        <v>60</v>
      </c>
      <c r="D17" t="s">
        <v>61</v>
      </c>
      <c r="E17">
        <v>6</v>
      </c>
      <c r="F17" t="s">
        <v>19</v>
      </c>
      <c r="G17" t="s">
        <v>20</v>
      </c>
      <c r="H17" t="s">
        <v>45</v>
      </c>
      <c r="I17" t="s">
        <v>22</v>
      </c>
      <c r="J17" t="s">
        <v>31</v>
      </c>
      <c r="K17" t="s">
        <v>24</v>
      </c>
      <c r="L17" t="s">
        <v>25</v>
      </c>
      <c r="M17" s="8">
        <v>1.903333333</v>
      </c>
      <c r="N17" t="s">
        <v>26</v>
      </c>
      <c r="O17" s="8">
        <v>1.903333333</v>
      </c>
      <c r="P17" s="8">
        <f>EXP(-1.363+3.366*LOG(O17,10))</f>
        <v>0.65563371760507783</v>
      </c>
      <c r="Q17" s="8">
        <f>(27433.05*100)/7611378</f>
        <v>0.36042159514348127</v>
      </c>
    </row>
    <row r="18" spans="1:17" x14ac:dyDescent="0.2">
      <c r="A18">
        <v>2011</v>
      </c>
      <c r="B18" t="s">
        <v>62</v>
      </c>
      <c r="C18" t="s">
        <v>30</v>
      </c>
      <c r="D18" t="s">
        <v>63</v>
      </c>
      <c r="E18">
        <v>6</v>
      </c>
      <c r="F18" t="s">
        <v>19</v>
      </c>
      <c r="G18" t="s">
        <v>20</v>
      </c>
      <c r="H18" t="s">
        <v>45</v>
      </c>
      <c r="I18" t="s">
        <v>22</v>
      </c>
      <c r="J18" t="s">
        <v>31</v>
      </c>
      <c r="K18" t="s">
        <v>24</v>
      </c>
      <c r="L18" t="s">
        <v>25</v>
      </c>
      <c r="M18" s="8">
        <v>1.903333333</v>
      </c>
      <c r="N18" t="s">
        <v>26</v>
      </c>
      <c r="O18" s="8">
        <v>1.903333333</v>
      </c>
      <c r="P18" s="8">
        <f>EXP(-1.363+3.366*LOG(O18,10))</f>
        <v>0.65563371760507783</v>
      </c>
      <c r="Q18" s="8">
        <f>(34897.31*100)/4728180</f>
        <v>0.73807067412831151</v>
      </c>
    </row>
    <row r="19" spans="1:17" x14ac:dyDescent="0.2">
      <c r="A19">
        <v>2011</v>
      </c>
      <c r="B19" t="s">
        <v>64</v>
      </c>
      <c r="C19" t="s">
        <v>65</v>
      </c>
      <c r="D19" t="s">
        <v>58</v>
      </c>
      <c r="E19">
        <v>6</v>
      </c>
      <c r="F19" t="s">
        <v>19</v>
      </c>
      <c r="G19" t="s">
        <v>20</v>
      </c>
      <c r="H19" t="s">
        <v>45</v>
      </c>
      <c r="I19" t="s">
        <v>22</v>
      </c>
      <c r="J19" t="s">
        <v>66</v>
      </c>
      <c r="K19" t="s">
        <v>24</v>
      </c>
      <c r="L19" t="s">
        <v>25</v>
      </c>
      <c r="M19" s="8">
        <v>1.903333333</v>
      </c>
      <c r="N19" t="s">
        <v>26</v>
      </c>
      <c r="O19" s="8">
        <v>1.903333333</v>
      </c>
      <c r="P19" s="8">
        <f>EXP(-1.363+3.366*LOG(O19,10))</f>
        <v>0.65563371760507783</v>
      </c>
      <c r="Q19" s="8">
        <f>(1788886*100)/6788946</f>
        <v>26.349981278389901</v>
      </c>
    </row>
    <row r="20" spans="1:17" x14ac:dyDescent="0.2">
      <c r="A20">
        <v>2011</v>
      </c>
      <c r="B20" t="s">
        <v>67</v>
      </c>
      <c r="C20" t="s">
        <v>65</v>
      </c>
      <c r="D20" t="s">
        <v>58</v>
      </c>
      <c r="E20">
        <v>6</v>
      </c>
      <c r="F20" t="s">
        <v>19</v>
      </c>
      <c r="G20" t="s">
        <v>20</v>
      </c>
      <c r="H20" t="s">
        <v>45</v>
      </c>
      <c r="I20" t="s">
        <v>22</v>
      </c>
      <c r="J20" t="s">
        <v>66</v>
      </c>
      <c r="K20" t="s">
        <v>24</v>
      </c>
      <c r="L20" t="s">
        <v>25</v>
      </c>
      <c r="M20" s="8">
        <v>1.903333333</v>
      </c>
      <c r="N20" t="s">
        <v>26</v>
      </c>
      <c r="O20" s="8">
        <v>1.903333333</v>
      </c>
      <c r="P20" s="8">
        <f>EXP(-1.363+3.366*LOG(O20,10))</f>
        <v>0.65563371760507783</v>
      </c>
      <c r="Q20" s="8">
        <f>(1788886*100)/6788946</f>
        <v>26.349981278389901</v>
      </c>
    </row>
    <row r="21" spans="1:17" x14ac:dyDescent="0.2">
      <c r="A21">
        <v>2011</v>
      </c>
      <c r="B21" t="s">
        <v>68</v>
      </c>
      <c r="C21" t="s">
        <v>65</v>
      </c>
      <c r="D21" t="s">
        <v>58</v>
      </c>
      <c r="E21">
        <v>6</v>
      </c>
      <c r="F21" t="s">
        <v>19</v>
      </c>
      <c r="G21" t="s">
        <v>20</v>
      </c>
      <c r="H21" t="s">
        <v>45</v>
      </c>
      <c r="I21" t="s">
        <v>22</v>
      </c>
      <c r="J21" t="s">
        <v>66</v>
      </c>
      <c r="K21" t="s">
        <v>24</v>
      </c>
      <c r="L21" t="s">
        <v>25</v>
      </c>
      <c r="M21" s="8">
        <v>1.903333333</v>
      </c>
      <c r="N21" t="s">
        <v>26</v>
      </c>
      <c r="O21" s="8">
        <v>1.903333333</v>
      </c>
      <c r="P21" s="8">
        <f>EXP(-1.363+3.366*LOG(O21,10))</f>
        <v>0.65563371760507783</v>
      </c>
      <c r="Q21" s="8">
        <f>(1788886*100)/6788946</f>
        <v>26.349981278389901</v>
      </c>
    </row>
    <row r="22" spans="1:17" x14ac:dyDescent="0.2">
      <c r="A22">
        <v>2011</v>
      </c>
      <c r="B22" t="s">
        <v>69</v>
      </c>
      <c r="C22" t="s">
        <v>65</v>
      </c>
      <c r="D22" t="s">
        <v>58</v>
      </c>
      <c r="E22">
        <v>6</v>
      </c>
      <c r="F22" t="s">
        <v>19</v>
      </c>
      <c r="G22" t="s">
        <v>20</v>
      </c>
      <c r="H22" t="s">
        <v>45</v>
      </c>
      <c r="I22" t="s">
        <v>22</v>
      </c>
      <c r="J22" t="s">
        <v>66</v>
      </c>
      <c r="K22" t="s">
        <v>24</v>
      </c>
      <c r="L22" t="s">
        <v>25</v>
      </c>
      <c r="M22" s="8">
        <v>1.903333333</v>
      </c>
      <c r="N22" t="s">
        <v>26</v>
      </c>
      <c r="O22" s="8">
        <v>1.903333333</v>
      </c>
      <c r="P22" s="8">
        <f>EXP(-1.363+3.366*LOG(O22,10))</f>
        <v>0.65563371760507783</v>
      </c>
      <c r="Q22" s="8">
        <f>(1788886*100)/6788946</f>
        <v>26.349981278389901</v>
      </c>
    </row>
    <row r="23" spans="1:17" x14ac:dyDescent="0.2">
      <c r="A23">
        <v>2011</v>
      </c>
      <c r="B23" t="s">
        <v>70</v>
      </c>
      <c r="C23" t="s">
        <v>65</v>
      </c>
      <c r="D23" t="s">
        <v>71</v>
      </c>
      <c r="E23">
        <v>7</v>
      </c>
      <c r="F23" t="s">
        <v>19</v>
      </c>
      <c r="G23" t="s">
        <v>20</v>
      </c>
      <c r="H23" t="s">
        <v>45</v>
      </c>
      <c r="I23" t="s">
        <v>22</v>
      </c>
      <c r="J23" t="s">
        <v>66</v>
      </c>
      <c r="K23" t="s">
        <v>24</v>
      </c>
      <c r="L23" t="s">
        <v>25</v>
      </c>
      <c r="M23" s="8">
        <v>1.903333333</v>
      </c>
      <c r="N23" t="s">
        <v>26</v>
      </c>
      <c r="O23" s="8">
        <v>1.903333333</v>
      </c>
      <c r="P23" s="8">
        <f>EXP(-1.363+3.366*LOG(O23,10))</f>
        <v>0.65563371760507783</v>
      </c>
      <c r="Q23" s="8">
        <f>(1788886*100)/6788946</f>
        <v>26.349981278389901</v>
      </c>
    </row>
    <row r="24" spans="1:17" x14ac:dyDescent="0.2">
      <c r="A24">
        <v>2011</v>
      </c>
      <c r="B24" t="s">
        <v>72</v>
      </c>
      <c r="C24" t="s">
        <v>39</v>
      </c>
      <c r="D24" t="s">
        <v>73</v>
      </c>
      <c r="E24">
        <v>5</v>
      </c>
      <c r="F24" t="s">
        <v>19</v>
      </c>
      <c r="G24" t="s">
        <v>20</v>
      </c>
      <c r="H24" t="s">
        <v>45</v>
      </c>
      <c r="I24" t="s">
        <v>36</v>
      </c>
      <c r="J24" t="s">
        <v>42</v>
      </c>
      <c r="K24" t="s">
        <v>24</v>
      </c>
      <c r="L24" t="s">
        <v>25</v>
      </c>
      <c r="M24" s="8">
        <v>1.5053333330000001</v>
      </c>
      <c r="N24" t="s">
        <v>26</v>
      </c>
      <c r="O24" s="8">
        <v>1.5053333330000001</v>
      </c>
      <c r="P24" s="8">
        <f>EXP(-1.363+3.366*LOG(O24,10))</f>
        <v>0.46529279523463329</v>
      </c>
      <c r="Q24" s="8">
        <f>(2375365*100)/2680339</f>
        <v>88.621812390149159</v>
      </c>
    </row>
    <row r="25" spans="1:17" x14ac:dyDescent="0.2">
      <c r="A25">
        <v>2011</v>
      </c>
      <c r="B25" t="s">
        <v>74</v>
      </c>
      <c r="C25" t="s">
        <v>39</v>
      </c>
      <c r="D25" t="s">
        <v>73</v>
      </c>
      <c r="E25">
        <v>5</v>
      </c>
      <c r="F25" t="s">
        <v>19</v>
      </c>
      <c r="G25" t="s">
        <v>20</v>
      </c>
      <c r="H25" t="s">
        <v>45</v>
      </c>
      <c r="I25" t="s">
        <v>36</v>
      </c>
      <c r="J25" t="s">
        <v>42</v>
      </c>
      <c r="K25" t="s">
        <v>24</v>
      </c>
      <c r="L25" t="s">
        <v>25</v>
      </c>
      <c r="M25" s="8">
        <v>1.5053333330000001</v>
      </c>
      <c r="N25" t="s">
        <v>26</v>
      </c>
      <c r="O25" s="8">
        <v>1.5053333330000001</v>
      </c>
      <c r="P25" s="8">
        <f>EXP(-1.363+3.366*LOG(O25,10))</f>
        <v>0.46529279523463329</v>
      </c>
      <c r="Q25" s="8">
        <f>(2375365*100)/2680339</f>
        <v>88.621812390149159</v>
      </c>
    </row>
    <row r="26" spans="1:17" x14ac:dyDescent="0.2">
      <c r="A26">
        <v>2011</v>
      </c>
      <c r="B26" t="s">
        <v>75</v>
      </c>
      <c r="C26" t="s">
        <v>39</v>
      </c>
      <c r="D26" t="s">
        <v>76</v>
      </c>
      <c r="E26">
        <v>5</v>
      </c>
      <c r="F26" t="s">
        <v>19</v>
      </c>
      <c r="G26" t="s">
        <v>20</v>
      </c>
      <c r="H26" t="s">
        <v>45</v>
      </c>
      <c r="I26" t="s">
        <v>36</v>
      </c>
      <c r="J26" t="s">
        <v>42</v>
      </c>
      <c r="K26" t="s">
        <v>24</v>
      </c>
      <c r="L26" t="s">
        <v>25</v>
      </c>
      <c r="M26" s="8">
        <v>1.5053333330000001</v>
      </c>
      <c r="N26" t="s">
        <v>26</v>
      </c>
      <c r="O26" s="8">
        <v>1.5053333330000001</v>
      </c>
      <c r="P26" s="8">
        <f>EXP(-1.363+3.366*LOG(O26,10))</f>
        <v>0.46529279523463329</v>
      </c>
      <c r="Q26" s="8">
        <f>(2375365*100)/2680339</f>
        <v>88.621812390149159</v>
      </c>
    </row>
    <row r="27" spans="1:17" x14ac:dyDescent="0.2">
      <c r="A27">
        <v>2011</v>
      </c>
      <c r="B27" t="s">
        <v>77</v>
      </c>
      <c r="C27" t="s">
        <v>39</v>
      </c>
      <c r="D27" t="s">
        <v>76</v>
      </c>
      <c r="E27">
        <v>5</v>
      </c>
      <c r="F27" t="s">
        <v>19</v>
      </c>
      <c r="G27" t="s">
        <v>20</v>
      </c>
      <c r="H27" t="s">
        <v>45</v>
      </c>
      <c r="I27" t="s">
        <v>36</v>
      </c>
      <c r="J27" t="s">
        <v>42</v>
      </c>
      <c r="K27" t="s">
        <v>24</v>
      </c>
      <c r="L27" t="s">
        <v>25</v>
      </c>
      <c r="M27" s="8">
        <v>1.5053333330000001</v>
      </c>
      <c r="N27" t="s">
        <v>26</v>
      </c>
      <c r="O27" s="8">
        <v>1.5053333330000001</v>
      </c>
      <c r="P27" s="8">
        <f>EXP(-1.363+3.366*LOG(O27,10))</f>
        <v>0.46529279523463329</v>
      </c>
      <c r="Q27" s="8">
        <f>(2375365*100)/2680339</f>
        <v>88.621812390149159</v>
      </c>
    </row>
    <row r="28" spans="1:17" x14ac:dyDescent="0.2">
      <c r="A28">
        <v>2011</v>
      </c>
      <c r="B28" t="s">
        <v>78</v>
      </c>
      <c r="C28" t="s">
        <v>50</v>
      </c>
      <c r="D28" t="s">
        <v>79</v>
      </c>
      <c r="E28">
        <v>6</v>
      </c>
      <c r="F28" t="s">
        <v>19</v>
      </c>
      <c r="G28" t="s">
        <v>20</v>
      </c>
      <c r="H28" t="s">
        <v>45</v>
      </c>
      <c r="I28" t="s">
        <v>36</v>
      </c>
      <c r="J28" t="s">
        <v>42</v>
      </c>
      <c r="K28" t="s">
        <v>24</v>
      </c>
      <c r="L28" t="s">
        <v>25</v>
      </c>
      <c r="M28" s="8">
        <v>1.5053333330000001</v>
      </c>
      <c r="N28" t="s">
        <v>26</v>
      </c>
      <c r="O28" s="8">
        <v>1.5053333330000001</v>
      </c>
      <c r="P28" s="8">
        <f>EXP(-1.363+3.366*LOG(O28,10))</f>
        <v>0.46529279523463329</v>
      </c>
      <c r="Q28" s="8">
        <f>(4488342*100)/4914798</f>
        <v>91.323020803703429</v>
      </c>
    </row>
    <row r="29" spans="1:17" x14ac:dyDescent="0.2">
      <c r="A29">
        <v>2011</v>
      </c>
      <c r="B29" t="s">
        <v>80</v>
      </c>
      <c r="C29" t="s">
        <v>39</v>
      </c>
      <c r="D29" t="s">
        <v>81</v>
      </c>
      <c r="E29">
        <v>6</v>
      </c>
      <c r="F29" t="s">
        <v>19</v>
      </c>
      <c r="G29" t="s">
        <v>20</v>
      </c>
      <c r="H29" t="s">
        <v>45</v>
      </c>
      <c r="I29" t="s">
        <v>36</v>
      </c>
      <c r="J29" t="s">
        <v>42</v>
      </c>
      <c r="K29" t="s">
        <v>24</v>
      </c>
      <c r="L29" t="s">
        <v>25</v>
      </c>
      <c r="M29" s="8">
        <v>1.5053333330000001</v>
      </c>
      <c r="N29" t="s">
        <v>26</v>
      </c>
      <c r="O29" s="8">
        <v>1.5053333330000001</v>
      </c>
      <c r="P29" s="8">
        <f>EXP(-1.363+3.366*LOG(O29,10))</f>
        <v>0.46529279523463329</v>
      </c>
      <c r="Q29" s="8">
        <f>(2375365*100)/2680339</f>
        <v>88.621812390149159</v>
      </c>
    </row>
    <row r="30" spans="1:17" x14ac:dyDescent="0.2">
      <c r="A30">
        <v>2011</v>
      </c>
      <c r="B30" t="s">
        <v>82</v>
      </c>
      <c r="C30" t="s">
        <v>39</v>
      </c>
      <c r="D30" t="s">
        <v>81</v>
      </c>
      <c r="E30">
        <v>6</v>
      </c>
      <c r="F30" t="s">
        <v>19</v>
      </c>
      <c r="G30" t="s">
        <v>20</v>
      </c>
      <c r="H30" t="s">
        <v>45</v>
      </c>
      <c r="I30" t="s">
        <v>36</v>
      </c>
      <c r="J30" t="s">
        <v>42</v>
      </c>
      <c r="K30" t="s">
        <v>24</v>
      </c>
      <c r="L30" t="s">
        <v>25</v>
      </c>
      <c r="M30" s="8">
        <v>1.5053333330000001</v>
      </c>
      <c r="N30" t="s">
        <v>26</v>
      </c>
      <c r="O30" s="8">
        <v>1.5053333330000001</v>
      </c>
      <c r="P30" s="8">
        <f>EXP(-1.363+3.366*LOG(O30,10))</f>
        <v>0.46529279523463329</v>
      </c>
      <c r="Q30" s="8">
        <f>(2375365*100)/2680339</f>
        <v>88.621812390149159</v>
      </c>
    </row>
    <row r="31" spans="1:17" x14ac:dyDescent="0.2">
      <c r="A31">
        <v>2011</v>
      </c>
      <c r="B31" t="s">
        <v>83</v>
      </c>
      <c r="C31" t="s">
        <v>30</v>
      </c>
      <c r="D31" t="s">
        <v>63</v>
      </c>
      <c r="E31">
        <v>6</v>
      </c>
      <c r="F31" t="s">
        <v>19</v>
      </c>
      <c r="G31" t="s">
        <v>20</v>
      </c>
      <c r="H31" t="s">
        <v>84</v>
      </c>
      <c r="I31" t="s">
        <v>22</v>
      </c>
      <c r="J31" t="s">
        <v>31</v>
      </c>
      <c r="K31" t="s">
        <v>24</v>
      </c>
      <c r="L31" t="s">
        <v>25</v>
      </c>
      <c r="M31" s="8" t="s">
        <v>26</v>
      </c>
      <c r="N31" t="s">
        <v>26</v>
      </c>
      <c r="O31" s="8" t="s">
        <v>26</v>
      </c>
      <c r="P31" s="8" t="s">
        <v>26</v>
      </c>
      <c r="Q31" s="8">
        <f>(34897.31*100)/4728180</f>
        <v>0.73807067412831151</v>
      </c>
    </row>
    <row r="32" spans="1:17" x14ac:dyDescent="0.2">
      <c r="A32">
        <v>2011</v>
      </c>
      <c r="B32" t="s">
        <v>85</v>
      </c>
      <c r="C32" t="s">
        <v>52</v>
      </c>
      <c r="D32" t="s">
        <v>86</v>
      </c>
      <c r="E32">
        <v>4</v>
      </c>
      <c r="F32" t="s">
        <v>19</v>
      </c>
      <c r="G32" t="s">
        <v>20</v>
      </c>
      <c r="H32" t="s">
        <v>87</v>
      </c>
      <c r="I32" t="s">
        <v>22</v>
      </c>
      <c r="J32" t="s">
        <v>42</v>
      </c>
      <c r="K32" t="s">
        <v>24</v>
      </c>
      <c r="L32" t="s">
        <v>25</v>
      </c>
      <c r="M32" s="8">
        <v>2.9449999999999998</v>
      </c>
      <c r="N32" t="s">
        <v>26</v>
      </c>
      <c r="O32" s="8">
        <v>2.9449999999999998</v>
      </c>
      <c r="P32" s="8">
        <f>EXP(-1.363+3.366*LOG(O32,10))</f>
        <v>1.2410293011327156</v>
      </c>
      <c r="Q32" s="8">
        <f>(1626350*100)/1973941</f>
        <v>82.391013713175823</v>
      </c>
    </row>
    <row r="33" spans="1:17" x14ac:dyDescent="0.2">
      <c r="A33">
        <v>2011</v>
      </c>
      <c r="B33" t="s">
        <v>88</v>
      </c>
      <c r="C33" t="s">
        <v>89</v>
      </c>
      <c r="D33" t="s">
        <v>90</v>
      </c>
      <c r="E33">
        <v>4</v>
      </c>
      <c r="F33" t="s">
        <v>19</v>
      </c>
      <c r="G33" t="s">
        <v>20</v>
      </c>
      <c r="H33" t="s">
        <v>91</v>
      </c>
      <c r="I33" t="s">
        <v>22</v>
      </c>
      <c r="J33" t="s">
        <v>66</v>
      </c>
      <c r="K33" t="s">
        <v>24</v>
      </c>
      <c r="L33" t="s">
        <v>25</v>
      </c>
      <c r="M33" s="8">
        <v>2.0630000000000002</v>
      </c>
      <c r="N33" t="s">
        <v>26</v>
      </c>
      <c r="O33" s="8">
        <v>2.0630000000000002</v>
      </c>
      <c r="P33" s="8">
        <f>EXP(-1.363+3.366*LOG(O33,10))</f>
        <v>0.73756902742293162</v>
      </c>
      <c r="Q33" s="8">
        <f>(61997.93*100)/7298102</f>
        <v>0.84950758430068529</v>
      </c>
    </row>
    <row r="34" spans="1:17" x14ac:dyDescent="0.2">
      <c r="A34">
        <v>2011</v>
      </c>
      <c r="B34" t="s">
        <v>92</v>
      </c>
      <c r="C34" t="s">
        <v>17</v>
      </c>
      <c r="D34" t="s">
        <v>63</v>
      </c>
      <c r="E34">
        <v>6</v>
      </c>
      <c r="F34" t="s">
        <v>19</v>
      </c>
      <c r="G34" t="s">
        <v>20</v>
      </c>
      <c r="H34" t="s">
        <v>91</v>
      </c>
      <c r="I34" t="s">
        <v>22</v>
      </c>
      <c r="J34" t="s">
        <v>23</v>
      </c>
      <c r="K34" t="s">
        <v>24</v>
      </c>
      <c r="L34" t="s">
        <v>25</v>
      </c>
      <c r="M34" s="8">
        <v>2.0630000000000002</v>
      </c>
      <c r="N34" t="s">
        <v>26</v>
      </c>
      <c r="O34" s="8">
        <v>2.0630000000000002</v>
      </c>
      <c r="P34" s="8">
        <f>EXP(-1.363+3.366*LOG(O34,10))</f>
        <v>0.73756902742293162</v>
      </c>
      <c r="Q34" s="8">
        <f>(605161.6*100)/5834449</f>
        <v>10.372215096918321</v>
      </c>
    </row>
    <row r="35" spans="1:17" x14ac:dyDescent="0.2">
      <c r="A35">
        <v>2011</v>
      </c>
      <c r="B35" t="s">
        <v>93</v>
      </c>
      <c r="C35" t="s">
        <v>94</v>
      </c>
      <c r="D35" t="s">
        <v>95</v>
      </c>
      <c r="E35">
        <v>7</v>
      </c>
      <c r="F35" t="s">
        <v>19</v>
      </c>
      <c r="G35" t="s">
        <v>20</v>
      </c>
      <c r="H35" t="s">
        <v>91</v>
      </c>
      <c r="I35" t="s">
        <v>22</v>
      </c>
      <c r="J35" t="s">
        <v>66</v>
      </c>
      <c r="K35" t="s">
        <v>24</v>
      </c>
      <c r="L35" t="s">
        <v>25</v>
      </c>
      <c r="M35" s="8">
        <v>2.0630000000000002</v>
      </c>
      <c r="N35" t="s">
        <v>26</v>
      </c>
      <c r="O35" s="8">
        <v>2.0630000000000002</v>
      </c>
      <c r="P35" s="8">
        <f>EXP(-1.363+3.366*LOG(O35,10))</f>
        <v>0.73756902742293162</v>
      </c>
      <c r="Q35" s="8">
        <f>(46623.23*100)/15165196</f>
        <v>0.30743572321782059</v>
      </c>
    </row>
    <row r="36" spans="1:17" x14ac:dyDescent="0.2">
      <c r="A36">
        <v>2011</v>
      </c>
      <c r="B36" t="s">
        <v>96</v>
      </c>
      <c r="C36" t="s">
        <v>94</v>
      </c>
      <c r="D36" t="s">
        <v>95</v>
      </c>
      <c r="E36">
        <v>7</v>
      </c>
      <c r="F36" t="s">
        <v>19</v>
      </c>
      <c r="G36" t="s">
        <v>20</v>
      </c>
      <c r="H36" t="s">
        <v>91</v>
      </c>
      <c r="I36" t="s">
        <v>22</v>
      </c>
      <c r="J36" t="s">
        <v>66</v>
      </c>
      <c r="K36" t="s">
        <v>24</v>
      </c>
      <c r="L36" t="s">
        <v>25</v>
      </c>
      <c r="M36" s="8">
        <v>2.0630000000000002</v>
      </c>
      <c r="N36" t="s">
        <v>26</v>
      </c>
      <c r="O36" s="8">
        <v>2.0630000000000002</v>
      </c>
      <c r="P36" s="8">
        <f>EXP(-1.363+3.366*LOG(O36,10))</f>
        <v>0.73756902742293162</v>
      </c>
      <c r="Q36" s="8">
        <f>(46623.23*100)/15165196</f>
        <v>0.30743572321782059</v>
      </c>
    </row>
    <row r="37" spans="1:17" x14ac:dyDescent="0.2">
      <c r="A37">
        <v>2011</v>
      </c>
      <c r="B37" t="s">
        <v>97</v>
      </c>
      <c r="C37" t="s">
        <v>94</v>
      </c>
      <c r="D37" t="s">
        <v>95</v>
      </c>
      <c r="E37">
        <v>7</v>
      </c>
      <c r="F37" t="s">
        <v>19</v>
      </c>
      <c r="G37" t="s">
        <v>20</v>
      </c>
      <c r="H37" t="s">
        <v>91</v>
      </c>
      <c r="I37" t="s">
        <v>22</v>
      </c>
      <c r="J37" t="s">
        <v>66</v>
      </c>
      <c r="K37" t="s">
        <v>24</v>
      </c>
      <c r="L37" t="s">
        <v>25</v>
      </c>
      <c r="M37" s="8">
        <v>2.0630000000000002</v>
      </c>
      <c r="N37" t="s">
        <v>26</v>
      </c>
      <c r="O37" s="8">
        <v>2.0630000000000002</v>
      </c>
      <c r="P37" s="8">
        <f>EXP(-1.363+3.366*LOG(O37,10))</f>
        <v>0.73756902742293162</v>
      </c>
      <c r="Q37" s="8">
        <f>(46623.23*100)/15165196</f>
        <v>0.30743572321782059</v>
      </c>
    </row>
    <row r="38" spans="1:17" x14ac:dyDescent="0.2">
      <c r="A38">
        <v>2011</v>
      </c>
      <c r="B38" t="s">
        <v>98</v>
      </c>
      <c r="C38" t="s">
        <v>94</v>
      </c>
      <c r="D38" t="s">
        <v>95</v>
      </c>
      <c r="E38">
        <v>7</v>
      </c>
      <c r="F38" t="s">
        <v>19</v>
      </c>
      <c r="G38" t="s">
        <v>20</v>
      </c>
      <c r="H38" t="s">
        <v>91</v>
      </c>
      <c r="I38" t="s">
        <v>22</v>
      </c>
      <c r="J38" t="s">
        <v>66</v>
      </c>
      <c r="K38" t="s">
        <v>24</v>
      </c>
      <c r="L38" t="s">
        <v>25</v>
      </c>
      <c r="M38" s="8">
        <v>2.0630000000000002</v>
      </c>
      <c r="N38" t="s">
        <v>26</v>
      </c>
      <c r="O38" s="8">
        <v>2.0630000000000002</v>
      </c>
      <c r="P38" s="8">
        <f>EXP(-1.363+3.366*LOG(O38,10))</f>
        <v>0.73756902742293162</v>
      </c>
      <c r="Q38" s="8">
        <f>(46623.23*100)/15165196</f>
        <v>0.30743572321782059</v>
      </c>
    </row>
    <row r="39" spans="1:17" x14ac:dyDescent="0.2">
      <c r="A39">
        <v>2011</v>
      </c>
      <c r="B39" t="s">
        <v>99</v>
      </c>
      <c r="C39" t="s">
        <v>94</v>
      </c>
      <c r="D39" t="s">
        <v>100</v>
      </c>
      <c r="E39">
        <v>7</v>
      </c>
      <c r="F39" t="s">
        <v>19</v>
      </c>
      <c r="G39" t="s">
        <v>20</v>
      </c>
      <c r="H39" t="s">
        <v>91</v>
      </c>
      <c r="I39" t="s">
        <v>22</v>
      </c>
      <c r="J39" t="s">
        <v>66</v>
      </c>
      <c r="K39" t="s">
        <v>24</v>
      </c>
      <c r="L39" t="s">
        <v>25</v>
      </c>
      <c r="M39" s="8">
        <v>2.0630000000000002</v>
      </c>
      <c r="N39" t="s">
        <v>26</v>
      </c>
      <c r="O39" s="8">
        <v>2.0630000000000002</v>
      </c>
      <c r="P39" s="8">
        <f>EXP(-1.363+3.366*LOG(O39,10))</f>
        <v>0.73756902742293162</v>
      </c>
      <c r="Q39" s="8">
        <f>(46623.23*100)/15165196</f>
        <v>0.30743572321782059</v>
      </c>
    </row>
    <row r="40" spans="1:17" x14ac:dyDescent="0.2">
      <c r="A40">
        <v>2011</v>
      </c>
      <c r="B40" t="s">
        <v>101</v>
      </c>
      <c r="C40" t="s">
        <v>39</v>
      </c>
      <c r="D40" t="s">
        <v>76</v>
      </c>
      <c r="E40">
        <v>5</v>
      </c>
      <c r="F40" t="s">
        <v>19</v>
      </c>
      <c r="G40" t="s">
        <v>20</v>
      </c>
      <c r="H40" t="s">
        <v>91</v>
      </c>
      <c r="I40" t="s">
        <v>36</v>
      </c>
      <c r="J40" t="s">
        <v>42</v>
      </c>
      <c r="K40" t="s">
        <v>24</v>
      </c>
      <c r="L40" t="s">
        <v>25</v>
      </c>
      <c r="M40" s="8">
        <v>1.5753333329999999</v>
      </c>
      <c r="N40" t="s">
        <v>26</v>
      </c>
      <c r="O40" s="8">
        <v>1.5753333329999999</v>
      </c>
      <c r="P40" s="8">
        <f>EXP(-1.363+3.366*LOG(O40,10))</f>
        <v>0.49725898537469421</v>
      </c>
      <c r="Q40" s="8">
        <f>(2375365*100)/2680339</f>
        <v>88.621812390149159</v>
      </c>
    </row>
    <row r="41" spans="1:17" x14ac:dyDescent="0.2">
      <c r="A41">
        <v>2011</v>
      </c>
      <c r="B41" t="s">
        <v>102</v>
      </c>
      <c r="C41" t="s">
        <v>57</v>
      </c>
      <c r="D41" t="s">
        <v>71</v>
      </c>
      <c r="E41">
        <v>7</v>
      </c>
      <c r="F41" t="s">
        <v>19</v>
      </c>
      <c r="G41" t="s">
        <v>20</v>
      </c>
      <c r="H41" t="s">
        <v>103</v>
      </c>
      <c r="I41" t="s">
        <v>36</v>
      </c>
      <c r="J41" t="s">
        <v>104</v>
      </c>
      <c r="K41" t="s">
        <v>24</v>
      </c>
      <c r="L41" t="s">
        <v>25</v>
      </c>
      <c r="M41" s="8">
        <v>1.856666667</v>
      </c>
      <c r="N41" t="s">
        <v>26</v>
      </c>
      <c r="O41" s="8">
        <v>1.856666667</v>
      </c>
      <c r="P41" s="8">
        <f>EXP(-1.363+3.366*LOG(O41,10))</f>
        <v>0.63226823262235543</v>
      </c>
      <c r="Q41" s="8">
        <f>(321151.3*100)/5927002</f>
        <v>5.4184442657518925</v>
      </c>
    </row>
    <row r="42" spans="1:17" x14ac:dyDescent="0.2">
      <c r="A42">
        <v>2011</v>
      </c>
      <c r="B42" t="s">
        <v>105</v>
      </c>
      <c r="C42" t="s">
        <v>65</v>
      </c>
      <c r="D42" t="s">
        <v>106</v>
      </c>
      <c r="E42">
        <v>4</v>
      </c>
      <c r="F42" t="s">
        <v>19</v>
      </c>
      <c r="G42" t="s">
        <v>20</v>
      </c>
      <c r="H42" t="s">
        <v>103</v>
      </c>
      <c r="I42" t="s">
        <v>22</v>
      </c>
      <c r="J42" t="s">
        <v>66</v>
      </c>
      <c r="K42" t="s">
        <v>24</v>
      </c>
      <c r="L42" t="s">
        <v>25</v>
      </c>
      <c r="M42" s="8">
        <v>2.177</v>
      </c>
      <c r="N42" t="s">
        <v>26</v>
      </c>
      <c r="O42" s="8">
        <v>2.177</v>
      </c>
      <c r="P42" s="8">
        <f>EXP(-1.363+3.366*LOG(O42,10))</f>
        <v>0.79790277256387487</v>
      </c>
      <c r="Q42" s="8">
        <f>(1788886*100)/6788946</f>
        <v>26.349981278389901</v>
      </c>
    </row>
    <row r="43" spans="1:17" x14ac:dyDescent="0.2">
      <c r="A43">
        <v>2011</v>
      </c>
      <c r="B43" t="s">
        <v>107</v>
      </c>
      <c r="C43" t="s">
        <v>65</v>
      </c>
      <c r="D43" t="s">
        <v>108</v>
      </c>
      <c r="E43">
        <v>4</v>
      </c>
      <c r="F43" t="s">
        <v>19</v>
      </c>
      <c r="G43" t="s">
        <v>20</v>
      </c>
      <c r="H43" t="s">
        <v>103</v>
      </c>
      <c r="I43" t="s">
        <v>22</v>
      </c>
      <c r="J43" t="s">
        <v>66</v>
      </c>
      <c r="K43" t="s">
        <v>24</v>
      </c>
      <c r="L43" t="s">
        <v>25</v>
      </c>
      <c r="M43" s="8">
        <v>2.177</v>
      </c>
      <c r="N43" t="s">
        <v>26</v>
      </c>
      <c r="O43" s="8">
        <v>2.177</v>
      </c>
      <c r="P43" s="8">
        <f>EXP(-1.363+3.366*LOG(O43,10))</f>
        <v>0.79790277256387487</v>
      </c>
      <c r="Q43" s="8">
        <f>(1788886*100)/6788946</f>
        <v>26.349981278389901</v>
      </c>
    </row>
    <row r="44" spans="1:17" x14ac:dyDescent="0.2">
      <c r="A44">
        <v>2011</v>
      </c>
      <c r="B44" t="s">
        <v>109</v>
      </c>
      <c r="C44" t="s">
        <v>30</v>
      </c>
      <c r="D44" t="s">
        <v>18</v>
      </c>
      <c r="E44">
        <v>5</v>
      </c>
      <c r="F44" t="s">
        <v>19</v>
      </c>
      <c r="G44" t="s">
        <v>20</v>
      </c>
      <c r="H44" t="s">
        <v>103</v>
      </c>
      <c r="I44" t="s">
        <v>22</v>
      </c>
      <c r="J44" t="s">
        <v>31</v>
      </c>
      <c r="K44" t="s">
        <v>24</v>
      </c>
      <c r="L44" t="s">
        <v>25</v>
      </c>
      <c r="M44" s="8">
        <v>2.177</v>
      </c>
      <c r="N44" t="s">
        <v>26</v>
      </c>
      <c r="O44" s="8">
        <v>2.177</v>
      </c>
      <c r="P44" s="8">
        <f>EXP(-1.363+3.366*LOG(O44,10))</f>
        <v>0.79790277256387487</v>
      </c>
      <c r="Q44" s="8">
        <f>(34897.31*100)/4728180</f>
        <v>0.73807067412831151</v>
      </c>
    </row>
    <row r="45" spans="1:17" x14ac:dyDescent="0.2">
      <c r="A45">
        <v>2011</v>
      </c>
      <c r="B45" t="s">
        <v>110</v>
      </c>
      <c r="C45" t="s">
        <v>65</v>
      </c>
      <c r="D45" t="s">
        <v>111</v>
      </c>
      <c r="E45">
        <v>5</v>
      </c>
      <c r="F45" t="s">
        <v>19</v>
      </c>
      <c r="G45" t="s">
        <v>20</v>
      </c>
      <c r="H45" t="s">
        <v>103</v>
      </c>
      <c r="I45" t="s">
        <v>22</v>
      </c>
      <c r="J45" t="s">
        <v>66</v>
      </c>
      <c r="K45" t="s">
        <v>24</v>
      </c>
      <c r="L45" t="s">
        <v>25</v>
      </c>
      <c r="M45" s="8">
        <v>2.177</v>
      </c>
      <c r="N45" t="s">
        <v>26</v>
      </c>
      <c r="O45" s="8">
        <v>2.177</v>
      </c>
      <c r="P45" s="8">
        <f>EXP(-1.363+3.366*LOG(O45,10))</f>
        <v>0.79790277256387487</v>
      </c>
      <c r="Q45" s="8">
        <f>(1788886*100)/6788946</f>
        <v>26.349981278389901</v>
      </c>
    </row>
    <row r="46" spans="1:17" x14ac:dyDescent="0.2">
      <c r="A46">
        <v>2011</v>
      </c>
      <c r="B46" t="s">
        <v>112</v>
      </c>
      <c r="C46" t="s">
        <v>65</v>
      </c>
      <c r="D46" t="s">
        <v>111</v>
      </c>
      <c r="E46">
        <v>5</v>
      </c>
      <c r="F46" t="s">
        <v>19</v>
      </c>
      <c r="G46" t="s">
        <v>20</v>
      </c>
      <c r="H46" t="s">
        <v>103</v>
      </c>
      <c r="I46" t="s">
        <v>22</v>
      </c>
      <c r="J46" t="s">
        <v>66</v>
      </c>
      <c r="K46" t="s">
        <v>24</v>
      </c>
      <c r="L46" t="s">
        <v>25</v>
      </c>
      <c r="M46" s="8">
        <v>2.177</v>
      </c>
      <c r="N46" t="s">
        <v>26</v>
      </c>
      <c r="O46" s="8">
        <v>2.177</v>
      </c>
      <c r="P46" s="8">
        <f>EXP(-1.363+3.366*LOG(O46,10))</f>
        <v>0.79790277256387487</v>
      </c>
      <c r="Q46" s="8">
        <f>(1788886*100)/6788946</f>
        <v>26.349981278389901</v>
      </c>
    </row>
    <row r="47" spans="1:17" x14ac:dyDescent="0.2">
      <c r="A47">
        <v>2011</v>
      </c>
      <c r="B47" t="s">
        <v>113</v>
      </c>
      <c r="C47" t="s">
        <v>52</v>
      </c>
      <c r="D47" t="s">
        <v>53</v>
      </c>
      <c r="E47">
        <v>6</v>
      </c>
      <c r="F47" t="s">
        <v>19</v>
      </c>
      <c r="G47" t="s">
        <v>20</v>
      </c>
      <c r="H47" t="s">
        <v>103</v>
      </c>
      <c r="I47" t="s">
        <v>22</v>
      </c>
      <c r="J47" t="s">
        <v>42</v>
      </c>
      <c r="K47" t="s">
        <v>24</v>
      </c>
      <c r="L47" t="s">
        <v>25</v>
      </c>
      <c r="M47" s="8">
        <v>2.177</v>
      </c>
      <c r="N47" t="s">
        <v>26</v>
      </c>
      <c r="O47" s="8">
        <v>2.177</v>
      </c>
      <c r="P47" s="8">
        <f>EXP(-1.363+3.366*LOG(O47,10))</f>
        <v>0.79790277256387487</v>
      </c>
      <c r="Q47" s="8">
        <f>(1626350*100)/1973941</f>
        <v>82.391013713175823</v>
      </c>
    </row>
    <row r="48" spans="1:17" x14ac:dyDescent="0.2">
      <c r="A48">
        <v>2011</v>
      </c>
      <c r="B48" t="s">
        <v>114</v>
      </c>
      <c r="C48" t="s">
        <v>65</v>
      </c>
      <c r="D48" t="s">
        <v>58</v>
      </c>
      <c r="E48">
        <v>6</v>
      </c>
      <c r="F48" t="s">
        <v>19</v>
      </c>
      <c r="G48" t="s">
        <v>20</v>
      </c>
      <c r="H48" t="s">
        <v>103</v>
      </c>
      <c r="I48" t="s">
        <v>22</v>
      </c>
      <c r="J48" t="s">
        <v>66</v>
      </c>
      <c r="K48" t="s">
        <v>24</v>
      </c>
      <c r="L48" t="s">
        <v>25</v>
      </c>
      <c r="M48" s="8">
        <v>2.177</v>
      </c>
      <c r="N48" t="s">
        <v>26</v>
      </c>
      <c r="O48" s="8">
        <v>2.177</v>
      </c>
      <c r="P48" s="8">
        <f>EXP(-1.363+3.366*LOG(O48,10))</f>
        <v>0.79790277256387487</v>
      </c>
      <c r="Q48" s="8">
        <f>(1788886*100)/6788946</f>
        <v>26.349981278389901</v>
      </c>
    </row>
    <row r="49" spans="1:17" x14ac:dyDescent="0.2">
      <c r="A49">
        <v>2011</v>
      </c>
      <c r="B49" t="s">
        <v>115</v>
      </c>
      <c r="C49" t="s">
        <v>57</v>
      </c>
      <c r="D49" t="s">
        <v>71</v>
      </c>
      <c r="E49">
        <v>7</v>
      </c>
      <c r="F49" t="s">
        <v>19</v>
      </c>
      <c r="G49" t="s">
        <v>20</v>
      </c>
      <c r="H49" t="s">
        <v>103</v>
      </c>
      <c r="I49" t="s">
        <v>22</v>
      </c>
      <c r="J49" t="s">
        <v>31</v>
      </c>
      <c r="K49" t="s">
        <v>24</v>
      </c>
      <c r="L49" t="s">
        <v>25</v>
      </c>
      <c r="M49" s="8">
        <v>2.177</v>
      </c>
      <c r="N49" t="s">
        <v>26</v>
      </c>
      <c r="O49" s="8">
        <v>2.177</v>
      </c>
      <c r="P49" s="8">
        <f>EXP(-1.363+3.366*LOG(O49,10))</f>
        <v>0.79790277256387487</v>
      </c>
      <c r="Q49" s="8">
        <f>(321151.3*100)/5927002</f>
        <v>5.4184442657518925</v>
      </c>
    </row>
    <row r="50" spans="1:17" x14ac:dyDescent="0.2">
      <c r="A50">
        <v>2011</v>
      </c>
      <c r="B50" t="s">
        <v>116</v>
      </c>
      <c r="C50" t="s">
        <v>50</v>
      </c>
      <c r="D50" t="s">
        <v>55</v>
      </c>
      <c r="E50">
        <v>6</v>
      </c>
      <c r="F50" t="s">
        <v>19</v>
      </c>
      <c r="G50" t="s">
        <v>20</v>
      </c>
      <c r="H50" t="s">
        <v>103</v>
      </c>
      <c r="I50" t="s">
        <v>22</v>
      </c>
      <c r="J50" t="s">
        <v>42</v>
      </c>
      <c r="K50" t="s">
        <v>24</v>
      </c>
      <c r="L50" t="s">
        <v>25</v>
      </c>
      <c r="M50" s="8">
        <v>2.177</v>
      </c>
      <c r="N50" t="s">
        <v>26</v>
      </c>
      <c r="O50" s="8">
        <v>2.177</v>
      </c>
      <c r="P50" s="8">
        <f>EXP(-1.363+3.366*LOG(O50,10))</f>
        <v>0.79790277256387487</v>
      </c>
      <c r="Q50" s="8">
        <f>(4488342*100)/4914798</f>
        <v>91.323020803703429</v>
      </c>
    </row>
    <row r="51" spans="1:17" x14ac:dyDescent="0.2">
      <c r="A51">
        <v>2011</v>
      </c>
      <c r="B51" t="s">
        <v>117</v>
      </c>
      <c r="C51" t="s">
        <v>65</v>
      </c>
      <c r="D51" t="s">
        <v>71</v>
      </c>
      <c r="E51">
        <v>7</v>
      </c>
      <c r="F51" t="s">
        <v>19</v>
      </c>
      <c r="G51" t="s">
        <v>20</v>
      </c>
      <c r="H51" t="s">
        <v>103</v>
      </c>
      <c r="I51" t="s">
        <v>22</v>
      </c>
      <c r="J51" t="s">
        <v>66</v>
      </c>
      <c r="K51" t="s">
        <v>24</v>
      </c>
      <c r="L51" t="s">
        <v>25</v>
      </c>
      <c r="M51" s="8">
        <v>2.177</v>
      </c>
      <c r="N51" t="s">
        <v>26</v>
      </c>
      <c r="O51" s="8">
        <v>2.177</v>
      </c>
      <c r="P51" s="8">
        <f>EXP(-1.363+3.366*LOG(O51,10))</f>
        <v>0.79790277256387487</v>
      </c>
      <c r="Q51" s="8">
        <f>(1788886*100)/6788946</f>
        <v>26.349981278389901</v>
      </c>
    </row>
    <row r="52" spans="1:17" x14ac:dyDescent="0.2">
      <c r="A52">
        <v>2011</v>
      </c>
      <c r="B52" t="s">
        <v>118</v>
      </c>
      <c r="C52" t="s">
        <v>89</v>
      </c>
      <c r="D52" t="s">
        <v>53</v>
      </c>
      <c r="E52">
        <v>6</v>
      </c>
      <c r="F52" t="s">
        <v>19</v>
      </c>
      <c r="G52" t="s">
        <v>20</v>
      </c>
      <c r="H52" t="s">
        <v>103</v>
      </c>
      <c r="I52" t="s">
        <v>22</v>
      </c>
      <c r="J52" t="s">
        <v>66</v>
      </c>
      <c r="K52" t="s">
        <v>24</v>
      </c>
      <c r="L52" t="s">
        <v>25</v>
      </c>
      <c r="M52" s="8">
        <v>2.177</v>
      </c>
      <c r="N52" t="s">
        <v>26</v>
      </c>
      <c r="O52" s="8">
        <v>2.177</v>
      </c>
      <c r="P52" s="8">
        <f>EXP(-1.363+3.366*LOG(O52,10))</f>
        <v>0.79790277256387487</v>
      </c>
      <c r="Q52" s="8">
        <f>(61997.93*100)/7298102</f>
        <v>0.84950758430068529</v>
      </c>
    </row>
    <row r="53" spans="1:17" x14ac:dyDescent="0.2">
      <c r="A53">
        <v>2011</v>
      </c>
      <c r="B53" t="s">
        <v>119</v>
      </c>
      <c r="C53" t="s">
        <v>120</v>
      </c>
      <c r="D53" t="s">
        <v>58</v>
      </c>
      <c r="E53">
        <v>6</v>
      </c>
      <c r="F53" t="s">
        <v>19</v>
      </c>
      <c r="G53" t="s">
        <v>20</v>
      </c>
      <c r="H53" t="s">
        <v>103</v>
      </c>
      <c r="I53" t="s">
        <v>22</v>
      </c>
      <c r="J53" t="s">
        <v>23</v>
      </c>
      <c r="K53" t="s">
        <v>24</v>
      </c>
      <c r="L53" t="s">
        <v>25</v>
      </c>
      <c r="M53" s="8">
        <v>2.177</v>
      </c>
      <c r="N53" t="s">
        <v>26</v>
      </c>
      <c r="O53" s="8">
        <v>2.177</v>
      </c>
      <c r="P53" s="8">
        <f>EXP(-1.363+3.366*LOG(O53,10))</f>
        <v>0.79790277256387487</v>
      </c>
      <c r="Q53" s="8">
        <f>(2256192*100)/6055896</f>
        <v>37.256121967748456</v>
      </c>
    </row>
    <row r="54" spans="1:17" x14ac:dyDescent="0.2">
      <c r="A54">
        <v>2011</v>
      </c>
      <c r="B54" t="s">
        <v>121</v>
      </c>
      <c r="C54" t="s">
        <v>30</v>
      </c>
      <c r="D54" t="s">
        <v>95</v>
      </c>
      <c r="E54">
        <v>7</v>
      </c>
      <c r="F54" t="s">
        <v>19</v>
      </c>
      <c r="G54" t="s">
        <v>20</v>
      </c>
      <c r="H54" t="s">
        <v>103</v>
      </c>
      <c r="I54" t="s">
        <v>22</v>
      </c>
      <c r="J54" t="s">
        <v>31</v>
      </c>
      <c r="K54" t="s">
        <v>24</v>
      </c>
      <c r="L54" t="s">
        <v>25</v>
      </c>
      <c r="M54" s="8">
        <v>2.177</v>
      </c>
      <c r="N54" t="s">
        <v>26</v>
      </c>
      <c r="O54" s="8">
        <v>2.177</v>
      </c>
      <c r="P54" s="8">
        <f>EXP(-1.363+3.366*LOG(O54,10))</f>
        <v>0.79790277256387487</v>
      </c>
      <c r="Q54" s="8">
        <f>(34897.31*100)/4728180</f>
        <v>0.73807067412831151</v>
      </c>
    </row>
    <row r="55" spans="1:17" x14ac:dyDescent="0.2">
      <c r="A55">
        <v>2011</v>
      </c>
      <c r="B55" t="s">
        <v>122</v>
      </c>
      <c r="C55" t="s">
        <v>30</v>
      </c>
      <c r="D55" t="s">
        <v>95</v>
      </c>
      <c r="E55">
        <v>7</v>
      </c>
      <c r="F55" t="s">
        <v>19</v>
      </c>
      <c r="G55" t="s">
        <v>20</v>
      </c>
      <c r="H55" t="s">
        <v>103</v>
      </c>
      <c r="I55" t="s">
        <v>22</v>
      </c>
      <c r="J55" t="s">
        <v>31</v>
      </c>
      <c r="K55" t="s">
        <v>24</v>
      </c>
      <c r="L55" t="s">
        <v>25</v>
      </c>
      <c r="M55" s="8">
        <v>2.177</v>
      </c>
      <c r="N55" t="s">
        <v>26</v>
      </c>
      <c r="O55" s="8">
        <v>2.177</v>
      </c>
      <c r="P55" s="8">
        <f>EXP(-1.363+3.366*LOG(O55,10))</f>
        <v>0.79790277256387487</v>
      </c>
      <c r="Q55" s="8">
        <f>(34897.31*100)/4728180</f>
        <v>0.73807067412831151</v>
      </c>
    </row>
    <row r="56" spans="1:17" x14ac:dyDescent="0.2">
      <c r="A56">
        <v>2011</v>
      </c>
      <c r="B56" t="s">
        <v>123</v>
      </c>
      <c r="C56" t="s">
        <v>57</v>
      </c>
      <c r="D56" t="s">
        <v>58</v>
      </c>
      <c r="E56">
        <v>6</v>
      </c>
      <c r="F56" t="s">
        <v>19</v>
      </c>
      <c r="G56" t="s">
        <v>20</v>
      </c>
      <c r="H56" t="s">
        <v>103</v>
      </c>
      <c r="I56" t="s">
        <v>22</v>
      </c>
      <c r="J56" t="s">
        <v>31</v>
      </c>
      <c r="K56" t="s">
        <v>24</v>
      </c>
      <c r="L56" t="s">
        <v>25</v>
      </c>
      <c r="M56" s="8">
        <v>2.177</v>
      </c>
      <c r="N56" t="s">
        <v>26</v>
      </c>
      <c r="O56" s="8">
        <v>2.177</v>
      </c>
      <c r="P56" s="8">
        <f>EXP(-1.363+3.366*LOG(O56,10))</f>
        <v>0.79790277256387487</v>
      </c>
      <c r="Q56" s="8">
        <f>(321151.3*100)/5927002</f>
        <v>5.4184442657518925</v>
      </c>
    </row>
    <row r="57" spans="1:17" x14ac:dyDescent="0.2">
      <c r="A57">
        <v>2011</v>
      </c>
      <c r="B57" t="s">
        <v>124</v>
      </c>
      <c r="C57" t="s">
        <v>30</v>
      </c>
      <c r="D57" t="s">
        <v>63</v>
      </c>
      <c r="E57">
        <v>6</v>
      </c>
      <c r="F57" t="s">
        <v>19</v>
      </c>
      <c r="G57" t="s">
        <v>20</v>
      </c>
      <c r="H57" t="s">
        <v>103</v>
      </c>
      <c r="I57" t="s">
        <v>22</v>
      </c>
      <c r="J57" t="s">
        <v>31</v>
      </c>
      <c r="K57" t="s">
        <v>24</v>
      </c>
      <c r="L57" t="s">
        <v>25</v>
      </c>
      <c r="M57" s="8">
        <v>2.177</v>
      </c>
      <c r="N57" t="s">
        <v>26</v>
      </c>
      <c r="O57" s="8">
        <v>2.177</v>
      </c>
      <c r="P57" s="8">
        <f>EXP(-1.363+3.366*LOG(O57,10))</f>
        <v>0.79790277256387487</v>
      </c>
      <c r="Q57" s="8">
        <f>(34897.31*100)/4728180</f>
        <v>0.73807067412831151</v>
      </c>
    </row>
    <row r="58" spans="1:17" x14ac:dyDescent="0.2">
      <c r="A58">
        <v>2011</v>
      </c>
      <c r="B58" t="s">
        <v>125</v>
      </c>
      <c r="C58" t="s">
        <v>30</v>
      </c>
      <c r="D58" t="s">
        <v>63</v>
      </c>
      <c r="E58">
        <v>6</v>
      </c>
      <c r="F58" t="s">
        <v>19</v>
      </c>
      <c r="G58" t="s">
        <v>20</v>
      </c>
      <c r="H58" t="s">
        <v>103</v>
      </c>
      <c r="I58" t="s">
        <v>22</v>
      </c>
      <c r="J58" t="s">
        <v>31</v>
      </c>
      <c r="K58" t="s">
        <v>24</v>
      </c>
      <c r="L58" t="s">
        <v>25</v>
      </c>
      <c r="M58" s="8">
        <v>2.177</v>
      </c>
      <c r="N58" t="s">
        <v>26</v>
      </c>
      <c r="O58" s="8">
        <v>2.177</v>
      </c>
      <c r="P58" s="8">
        <f>EXP(-1.363+3.366*LOG(O58,10))</f>
        <v>0.79790277256387487</v>
      </c>
      <c r="Q58" s="8">
        <f>(34897.31*100)/4728180</f>
        <v>0.73807067412831151</v>
      </c>
    </row>
    <row r="59" spans="1:17" x14ac:dyDescent="0.2">
      <c r="A59">
        <v>2011</v>
      </c>
      <c r="B59" t="s">
        <v>126</v>
      </c>
      <c r="C59" t="s">
        <v>30</v>
      </c>
      <c r="D59" t="s">
        <v>63</v>
      </c>
      <c r="E59">
        <v>6</v>
      </c>
      <c r="F59" t="s">
        <v>19</v>
      </c>
      <c r="G59" t="s">
        <v>20</v>
      </c>
      <c r="H59" t="s">
        <v>103</v>
      </c>
      <c r="I59" t="s">
        <v>22</v>
      </c>
      <c r="J59" t="s">
        <v>31</v>
      </c>
      <c r="K59" t="s">
        <v>24</v>
      </c>
      <c r="L59" t="s">
        <v>25</v>
      </c>
      <c r="M59" s="8">
        <v>2.177</v>
      </c>
      <c r="N59" t="s">
        <v>26</v>
      </c>
      <c r="O59" s="8">
        <v>2.177</v>
      </c>
      <c r="P59" s="8">
        <f>EXP(-1.363+3.366*LOG(O59,10))</f>
        <v>0.79790277256387487</v>
      </c>
      <c r="Q59" s="8">
        <f>(34897.31*100)/4728180</f>
        <v>0.73807067412831151</v>
      </c>
    </row>
    <row r="60" spans="1:17" x14ac:dyDescent="0.2">
      <c r="A60">
        <v>2011</v>
      </c>
      <c r="B60" t="s">
        <v>127</v>
      </c>
      <c r="C60" t="s">
        <v>94</v>
      </c>
      <c r="D60" t="s">
        <v>63</v>
      </c>
      <c r="E60">
        <v>6</v>
      </c>
      <c r="F60" t="s">
        <v>19</v>
      </c>
      <c r="G60" t="s">
        <v>20</v>
      </c>
      <c r="H60" t="s">
        <v>103</v>
      </c>
      <c r="I60" t="s">
        <v>22</v>
      </c>
      <c r="J60" t="s">
        <v>66</v>
      </c>
      <c r="K60" t="s">
        <v>24</v>
      </c>
      <c r="L60" t="s">
        <v>25</v>
      </c>
      <c r="M60" s="8">
        <v>2.177</v>
      </c>
      <c r="N60" t="s">
        <v>26</v>
      </c>
      <c r="O60" s="8">
        <v>2.177</v>
      </c>
      <c r="P60" s="8">
        <f>EXP(-1.363+3.366*LOG(O60,10))</f>
        <v>0.79790277256387487</v>
      </c>
      <c r="Q60" s="8">
        <f>(46623.23*100)/15165196</f>
        <v>0.30743572321782059</v>
      </c>
    </row>
    <row r="61" spans="1:17" x14ac:dyDescent="0.2">
      <c r="A61">
        <v>2011</v>
      </c>
      <c r="B61" t="s">
        <v>128</v>
      </c>
      <c r="C61" t="s">
        <v>65</v>
      </c>
      <c r="D61" t="s">
        <v>58</v>
      </c>
      <c r="E61">
        <v>6</v>
      </c>
      <c r="F61" t="s">
        <v>19</v>
      </c>
      <c r="G61" t="s">
        <v>20</v>
      </c>
      <c r="H61" t="s">
        <v>103</v>
      </c>
      <c r="I61" t="s">
        <v>22</v>
      </c>
      <c r="J61" t="s">
        <v>66</v>
      </c>
      <c r="K61" t="s">
        <v>24</v>
      </c>
      <c r="L61" t="s">
        <v>25</v>
      </c>
      <c r="M61" s="8">
        <v>2.177</v>
      </c>
      <c r="N61" t="s">
        <v>26</v>
      </c>
      <c r="O61" s="8">
        <v>2.177</v>
      </c>
      <c r="P61" s="8">
        <f>EXP(-1.363+3.366*LOG(O61,10))</f>
        <v>0.79790277256387487</v>
      </c>
      <c r="Q61" s="8">
        <f>(1788886*100)/6788946</f>
        <v>26.349981278389901</v>
      </c>
    </row>
    <row r="62" spans="1:17" x14ac:dyDescent="0.2">
      <c r="A62">
        <v>2011</v>
      </c>
      <c r="B62" t="s">
        <v>129</v>
      </c>
      <c r="C62" t="s">
        <v>65</v>
      </c>
      <c r="D62" t="s">
        <v>58</v>
      </c>
      <c r="E62">
        <v>6</v>
      </c>
      <c r="F62" t="s">
        <v>19</v>
      </c>
      <c r="G62" t="s">
        <v>20</v>
      </c>
      <c r="H62" t="s">
        <v>103</v>
      </c>
      <c r="I62" t="s">
        <v>22</v>
      </c>
      <c r="J62" t="s">
        <v>66</v>
      </c>
      <c r="K62" t="s">
        <v>24</v>
      </c>
      <c r="L62" t="s">
        <v>25</v>
      </c>
      <c r="M62" s="8">
        <v>2.177</v>
      </c>
      <c r="N62" t="s">
        <v>26</v>
      </c>
      <c r="O62" s="8">
        <v>2.177</v>
      </c>
      <c r="P62" s="8">
        <f>EXP(-1.363+3.366*LOG(O62,10))</f>
        <v>0.79790277256387487</v>
      </c>
      <c r="Q62" s="8">
        <f>(1788886*100)/6788946</f>
        <v>26.349981278389901</v>
      </c>
    </row>
    <row r="63" spans="1:17" x14ac:dyDescent="0.2">
      <c r="A63">
        <v>2011</v>
      </c>
      <c r="B63" t="s">
        <v>130</v>
      </c>
      <c r="C63" t="s">
        <v>65</v>
      </c>
      <c r="D63" t="s">
        <v>58</v>
      </c>
      <c r="E63">
        <v>6</v>
      </c>
      <c r="F63" t="s">
        <v>19</v>
      </c>
      <c r="G63" t="s">
        <v>20</v>
      </c>
      <c r="H63" t="s">
        <v>103</v>
      </c>
      <c r="I63" t="s">
        <v>22</v>
      </c>
      <c r="J63" t="s">
        <v>66</v>
      </c>
      <c r="K63" t="s">
        <v>24</v>
      </c>
      <c r="L63" t="s">
        <v>25</v>
      </c>
      <c r="M63" s="8">
        <v>2.177</v>
      </c>
      <c r="N63" t="s">
        <v>26</v>
      </c>
      <c r="O63" s="8">
        <v>2.177</v>
      </c>
      <c r="P63" s="8">
        <f>EXP(-1.363+3.366*LOG(O63,10))</f>
        <v>0.79790277256387487</v>
      </c>
      <c r="Q63" s="8">
        <f>(1788886*100)/6788946</f>
        <v>26.349981278389901</v>
      </c>
    </row>
    <row r="64" spans="1:17" x14ac:dyDescent="0.2">
      <c r="A64">
        <v>2011</v>
      </c>
      <c r="B64" t="s">
        <v>131</v>
      </c>
      <c r="C64" t="s">
        <v>65</v>
      </c>
      <c r="D64" t="s">
        <v>58</v>
      </c>
      <c r="E64">
        <v>6</v>
      </c>
      <c r="F64" t="s">
        <v>19</v>
      </c>
      <c r="G64" t="s">
        <v>20</v>
      </c>
      <c r="H64" t="s">
        <v>103</v>
      </c>
      <c r="I64" t="s">
        <v>22</v>
      </c>
      <c r="J64" t="s">
        <v>66</v>
      </c>
      <c r="K64" t="s">
        <v>24</v>
      </c>
      <c r="L64" t="s">
        <v>25</v>
      </c>
      <c r="M64" s="8">
        <v>2.177</v>
      </c>
      <c r="N64" t="s">
        <v>26</v>
      </c>
      <c r="O64" s="8">
        <v>2.177</v>
      </c>
      <c r="P64" s="8">
        <f>EXP(-1.363+3.366*LOG(O64,10))</f>
        <v>0.79790277256387487</v>
      </c>
      <c r="Q64" s="8">
        <f>(1788886*100)/6788946</f>
        <v>26.349981278389901</v>
      </c>
    </row>
    <row r="65" spans="1:17" x14ac:dyDescent="0.2">
      <c r="A65">
        <v>2011</v>
      </c>
      <c r="B65" t="s">
        <v>132</v>
      </c>
      <c r="C65" t="s">
        <v>30</v>
      </c>
      <c r="D65" t="s">
        <v>63</v>
      </c>
      <c r="E65">
        <v>6</v>
      </c>
      <c r="F65" t="s">
        <v>19</v>
      </c>
      <c r="G65" t="s">
        <v>20</v>
      </c>
      <c r="H65" t="s">
        <v>103</v>
      </c>
      <c r="I65" t="s">
        <v>22</v>
      </c>
      <c r="J65" t="s">
        <v>31</v>
      </c>
      <c r="K65" t="s">
        <v>24</v>
      </c>
      <c r="L65" t="s">
        <v>25</v>
      </c>
      <c r="M65" s="8">
        <v>2.177</v>
      </c>
      <c r="N65" t="s">
        <v>26</v>
      </c>
      <c r="O65" s="8">
        <v>2.177</v>
      </c>
      <c r="P65" s="8">
        <f>EXP(-1.363+3.366*LOG(O65,10))</f>
        <v>0.79790277256387487</v>
      </c>
      <c r="Q65" s="8">
        <f>(34897.31*100)/4728180</f>
        <v>0.73807067412831151</v>
      </c>
    </row>
    <row r="66" spans="1:17" x14ac:dyDescent="0.2">
      <c r="A66">
        <v>2011</v>
      </c>
      <c r="B66" t="s">
        <v>133</v>
      </c>
      <c r="C66" t="s">
        <v>94</v>
      </c>
      <c r="D66" t="s">
        <v>95</v>
      </c>
      <c r="E66">
        <v>7</v>
      </c>
      <c r="F66" t="s">
        <v>19</v>
      </c>
      <c r="G66" t="s">
        <v>20</v>
      </c>
      <c r="H66" t="s">
        <v>103</v>
      </c>
      <c r="I66" t="s">
        <v>22</v>
      </c>
      <c r="J66" t="s">
        <v>66</v>
      </c>
      <c r="K66" t="s">
        <v>24</v>
      </c>
      <c r="L66" t="s">
        <v>25</v>
      </c>
      <c r="M66" s="8">
        <v>2.177</v>
      </c>
      <c r="N66" t="s">
        <v>26</v>
      </c>
      <c r="O66" s="8">
        <v>2.177</v>
      </c>
      <c r="P66" s="8">
        <f>EXP(-1.363+3.366*LOG(O66,10))</f>
        <v>0.79790277256387487</v>
      </c>
      <c r="Q66" s="8">
        <f>(46623.23*100)/15165196</f>
        <v>0.30743572321782059</v>
      </c>
    </row>
    <row r="67" spans="1:17" x14ac:dyDescent="0.2">
      <c r="A67">
        <v>2011</v>
      </c>
      <c r="B67" t="s">
        <v>134</v>
      </c>
      <c r="C67" t="s">
        <v>94</v>
      </c>
      <c r="D67" t="s">
        <v>95</v>
      </c>
      <c r="E67">
        <v>7</v>
      </c>
      <c r="F67" t="s">
        <v>19</v>
      </c>
      <c r="G67" t="s">
        <v>20</v>
      </c>
      <c r="H67" t="s">
        <v>103</v>
      </c>
      <c r="I67" t="s">
        <v>22</v>
      </c>
      <c r="J67" t="s">
        <v>66</v>
      </c>
      <c r="K67" t="s">
        <v>24</v>
      </c>
      <c r="L67" t="s">
        <v>25</v>
      </c>
      <c r="M67" s="8">
        <v>2.177</v>
      </c>
      <c r="N67" t="s">
        <v>26</v>
      </c>
      <c r="O67" s="8">
        <v>2.177</v>
      </c>
      <c r="P67" s="8">
        <f>EXP(-1.363+3.366*LOG(O67,10))</f>
        <v>0.79790277256387487</v>
      </c>
      <c r="Q67" s="8">
        <f>(46623.23*100)/15165196</f>
        <v>0.30743572321782059</v>
      </c>
    </row>
    <row r="68" spans="1:17" x14ac:dyDescent="0.2">
      <c r="A68">
        <v>2011</v>
      </c>
      <c r="B68" t="s">
        <v>135</v>
      </c>
      <c r="C68" t="s">
        <v>94</v>
      </c>
      <c r="D68" t="s">
        <v>95</v>
      </c>
      <c r="E68">
        <v>7</v>
      </c>
      <c r="F68" t="s">
        <v>19</v>
      </c>
      <c r="G68" t="s">
        <v>20</v>
      </c>
      <c r="H68" t="s">
        <v>103</v>
      </c>
      <c r="I68" t="s">
        <v>22</v>
      </c>
      <c r="J68" t="s">
        <v>66</v>
      </c>
      <c r="K68" t="s">
        <v>24</v>
      </c>
      <c r="L68" t="s">
        <v>25</v>
      </c>
      <c r="M68" s="8">
        <v>2.177</v>
      </c>
      <c r="N68" t="s">
        <v>26</v>
      </c>
      <c r="O68" s="8">
        <v>2.177</v>
      </c>
      <c r="P68" s="8">
        <f>EXP(-1.363+3.366*LOG(O68,10))</f>
        <v>0.79790277256387487</v>
      </c>
      <c r="Q68" s="8">
        <f>(46623.23*100)/15165196</f>
        <v>0.30743572321782059</v>
      </c>
    </row>
    <row r="69" spans="1:17" x14ac:dyDescent="0.2">
      <c r="A69">
        <v>2011</v>
      </c>
      <c r="B69" t="s">
        <v>136</v>
      </c>
      <c r="C69" t="s">
        <v>94</v>
      </c>
      <c r="D69" t="s">
        <v>95</v>
      </c>
      <c r="E69">
        <v>7</v>
      </c>
      <c r="F69" t="s">
        <v>19</v>
      </c>
      <c r="G69" t="s">
        <v>20</v>
      </c>
      <c r="H69" t="s">
        <v>103</v>
      </c>
      <c r="I69" t="s">
        <v>22</v>
      </c>
      <c r="J69" t="s">
        <v>66</v>
      </c>
      <c r="K69" t="s">
        <v>24</v>
      </c>
      <c r="L69" t="s">
        <v>25</v>
      </c>
      <c r="M69" s="8">
        <v>2.177</v>
      </c>
      <c r="N69" t="s">
        <v>26</v>
      </c>
      <c r="O69" s="8">
        <v>2.177</v>
      </c>
      <c r="P69" s="8">
        <f>EXP(-1.363+3.366*LOG(O69,10))</f>
        <v>0.79790277256387487</v>
      </c>
      <c r="Q69" s="8">
        <f>(46623.23*100)/15165196</f>
        <v>0.30743572321782059</v>
      </c>
    </row>
    <row r="70" spans="1:17" x14ac:dyDescent="0.2">
      <c r="A70">
        <v>2011</v>
      </c>
      <c r="B70" t="s">
        <v>137</v>
      </c>
      <c r="C70" t="s">
        <v>94</v>
      </c>
      <c r="D70" t="s">
        <v>95</v>
      </c>
      <c r="E70">
        <v>7</v>
      </c>
      <c r="F70" t="s">
        <v>19</v>
      </c>
      <c r="G70" t="s">
        <v>20</v>
      </c>
      <c r="H70" t="s">
        <v>103</v>
      </c>
      <c r="I70" t="s">
        <v>22</v>
      </c>
      <c r="J70" t="s">
        <v>66</v>
      </c>
      <c r="K70" t="s">
        <v>24</v>
      </c>
      <c r="L70" t="s">
        <v>25</v>
      </c>
      <c r="M70" s="8">
        <v>2.177</v>
      </c>
      <c r="N70" t="s">
        <v>26</v>
      </c>
      <c r="O70" s="8">
        <v>2.177</v>
      </c>
      <c r="P70" s="8">
        <f>EXP(-1.363+3.366*LOG(O70,10))</f>
        <v>0.79790277256387487</v>
      </c>
      <c r="Q70" s="8">
        <f>(46623.23*100)/15165196</f>
        <v>0.30743572321782059</v>
      </c>
    </row>
    <row r="71" spans="1:17" x14ac:dyDescent="0.2">
      <c r="A71">
        <v>2011</v>
      </c>
      <c r="B71" t="s">
        <v>138</v>
      </c>
      <c r="C71" t="s">
        <v>57</v>
      </c>
      <c r="D71" t="s">
        <v>100</v>
      </c>
      <c r="E71">
        <v>7</v>
      </c>
      <c r="F71" t="s">
        <v>19</v>
      </c>
      <c r="G71" t="s">
        <v>20</v>
      </c>
      <c r="H71" t="s">
        <v>103</v>
      </c>
      <c r="I71" t="s">
        <v>22</v>
      </c>
      <c r="J71" t="s">
        <v>31</v>
      </c>
      <c r="K71" t="s">
        <v>24</v>
      </c>
      <c r="L71" t="s">
        <v>25</v>
      </c>
      <c r="M71" s="8">
        <v>2.177</v>
      </c>
      <c r="N71" t="s">
        <v>26</v>
      </c>
      <c r="O71" s="8">
        <v>2.177</v>
      </c>
      <c r="P71" s="8">
        <f>EXP(-1.363+3.366*LOG(O71,10))</f>
        <v>0.79790277256387487</v>
      </c>
      <c r="Q71" s="8">
        <f>(321151.3*100)/5927002</f>
        <v>5.4184442657518925</v>
      </c>
    </row>
    <row r="72" spans="1:17" x14ac:dyDescent="0.2">
      <c r="A72">
        <v>2011</v>
      </c>
      <c r="B72" t="s">
        <v>139</v>
      </c>
      <c r="C72" t="s">
        <v>57</v>
      </c>
      <c r="D72" t="s">
        <v>100</v>
      </c>
      <c r="E72">
        <v>7</v>
      </c>
      <c r="F72" t="s">
        <v>19</v>
      </c>
      <c r="G72" t="s">
        <v>20</v>
      </c>
      <c r="H72" t="s">
        <v>103</v>
      </c>
      <c r="I72" t="s">
        <v>22</v>
      </c>
      <c r="J72" t="s">
        <v>31</v>
      </c>
      <c r="K72" t="s">
        <v>24</v>
      </c>
      <c r="L72" t="s">
        <v>25</v>
      </c>
      <c r="M72" s="8">
        <v>2.177</v>
      </c>
      <c r="N72" t="s">
        <v>26</v>
      </c>
      <c r="O72" s="8">
        <v>2.177</v>
      </c>
      <c r="P72" s="8">
        <f>EXP(-1.363+3.366*LOG(O72,10))</f>
        <v>0.79790277256387487</v>
      </c>
      <c r="Q72" s="8">
        <f>(321151.3*100)/5927002</f>
        <v>5.4184442657518925</v>
      </c>
    </row>
    <row r="73" spans="1:17" x14ac:dyDescent="0.2">
      <c r="A73">
        <v>2011</v>
      </c>
      <c r="B73" t="s">
        <v>140</v>
      </c>
      <c r="C73" t="s">
        <v>50</v>
      </c>
      <c r="D73" t="s">
        <v>95</v>
      </c>
      <c r="E73">
        <v>7</v>
      </c>
      <c r="F73" t="s">
        <v>19</v>
      </c>
      <c r="G73" t="s">
        <v>20</v>
      </c>
      <c r="H73" t="s">
        <v>103</v>
      </c>
      <c r="I73" t="s">
        <v>22</v>
      </c>
      <c r="J73" t="s">
        <v>42</v>
      </c>
      <c r="K73" t="s">
        <v>24</v>
      </c>
      <c r="L73" t="s">
        <v>25</v>
      </c>
      <c r="M73" s="8">
        <v>2.177</v>
      </c>
      <c r="N73" t="s">
        <v>26</v>
      </c>
      <c r="O73" s="8">
        <v>2.177</v>
      </c>
      <c r="P73" s="8">
        <f>EXP(-1.363+3.366*LOG(O73,10))</f>
        <v>0.79790277256387487</v>
      </c>
      <c r="Q73" s="8">
        <f>(4488342*100)/4914798</f>
        <v>91.323020803703429</v>
      </c>
    </row>
    <row r="74" spans="1:17" x14ac:dyDescent="0.2">
      <c r="A74">
        <v>2011</v>
      </c>
      <c r="B74" t="s">
        <v>141</v>
      </c>
      <c r="C74" t="s">
        <v>30</v>
      </c>
      <c r="D74" t="s">
        <v>63</v>
      </c>
      <c r="E74">
        <v>6</v>
      </c>
      <c r="F74" t="s">
        <v>19</v>
      </c>
      <c r="G74" t="s">
        <v>20</v>
      </c>
      <c r="H74" t="s">
        <v>103</v>
      </c>
      <c r="I74" t="s">
        <v>36</v>
      </c>
      <c r="J74" t="s">
        <v>31</v>
      </c>
      <c r="K74" t="s">
        <v>24</v>
      </c>
      <c r="L74" t="s">
        <v>25</v>
      </c>
      <c r="M74" s="8">
        <v>1.856666667</v>
      </c>
      <c r="N74" t="s">
        <v>26</v>
      </c>
      <c r="O74" s="8">
        <v>1.856666667</v>
      </c>
      <c r="P74" s="8">
        <f>EXP(-1.363+3.366*LOG(O74,10))</f>
        <v>0.63226823262235543</v>
      </c>
      <c r="Q74" s="8">
        <f>(34897.31*100)/4728180</f>
        <v>0.73807067412831151</v>
      </c>
    </row>
    <row r="75" spans="1:17" x14ac:dyDescent="0.2">
      <c r="A75">
        <v>2011</v>
      </c>
      <c r="B75" t="s">
        <v>142</v>
      </c>
      <c r="C75" t="s">
        <v>17</v>
      </c>
      <c r="D75" t="s">
        <v>47</v>
      </c>
      <c r="E75">
        <v>4</v>
      </c>
      <c r="F75" t="s">
        <v>19</v>
      </c>
      <c r="G75" t="s">
        <v>20</v>
      </c>
      <c r="H75" t="s">
        <v>143</v>
      </c>
      <c r="I75" t="s">
        <v>22</v>
      </c>
      <c r="J75" t="s">
        <v>23</v>
      </c>
      <c r="K75" t="s">
        <v>24</v>
      </c>
      <c r="L75" t="s">
        <v>25</v>
      </c>
      <c r="M75" s="8" t="s">
        <v>26</v>
      </c>
      <c r="N75" t="s">
        <v>26</v>
      </c>
      <c r="O75" s="8" t="s">
        <v>26</v>
      </c>
      <c r="P75" s="8" t="s">
        <v>26</v>
      </c>
      <c r="Q75" s="8">
        <f>(605161.6*100)/5834449</f>
        <v>10.372215096918321</v>
      </c>
    </row>
    <row r="76" spans="1:17" x14ac:dyDescent="0.2">
      <c r="A76">
        <v>2011</v>
      </c>
      <c r="B76" t="s">
        <v>144</v>
      </c>
      <c r="C76" t="s">
        <v>30</v>
      </c>
      <c r="D76" t="s">
        <v>47</v>
      </c>
      <c r="E76">
        <v>4</v>
      </c>
      <c r="F76" t="s">
        <v>19</v>
      </c>
      <c r="G76" t="s">
        <v>20</v>
      </c>
      <c r="H76" t="s">
        <v>145</v>
      </c>
      <c r="I76" t="s">
        <v>22</v>
      </c>
      <c r="J76" t="s">
        <v>31</v>
      </c>
      <c r="K76" t="s">
        <v>24</v>
      </c>
      <c r="L76" t="s">
        <v>25</v>
      </c>
      <c r="M76" s="8">
        <v>2.399666667</v>
      </c>
      <c r="N76" t="s">
        <v>26</v>
      </c>
      <c r="O76" s="8">
        <v>2.399666667</v>
      </c>
      <c r="P76" s="8">
        <f>EXP(-1.363+3.366*LOG(O76,10))</f>
        <v>0.91997203423956198</v>
      </c>
      <c r="Q76" s="8">
        <f>(34897.31*100)/4728180</f>
        <v>0.73807067412831151</v>
      </c>
    </row>
    <row r="77" spans="1:17" x14ac:dyDescent="0.2">
      <c r="A77">
        <v>2011</v>
      </c>
      <c r="B77" t="s">
        <v>146</v>
      </c>
      <c r="C77" t="s">
        <v>52</v>
      </c>
      <c r="D77" t="s">
        <v>147</v>
      </c>
      <c r="E77">
        <v>4</v>
      </c>
      <c r="F77" t="s">
        <v>19</v>
      </c>
      <c r="G77" t="s">
        <v>20</v>
      </c>
      <c r="H77" t="s">
        <v>145</v>
      </c>
      <c r="I77" t="s">
        <v>22</v>
      </c>
      <c r="J77" t="s">
        <v>42</v>
      </c>
      <c r="K77" t="s">
        <v>24</v>
      </c>
      <c r="L77" t="s">
        <v>25</v>
      </c>
      <c r="M77" s="8">
        <v>2.399666667</v>
      </c>
      <c r="N77" t="s">
        <v>26</v>
      </c>
      <c r="O77" s="8">
        <v>2.399666667</v>
      </c>
      <c r="P77" s="8">
        <f>EXP(-1.363+3.366*LOG(O77,10))</f>
        <v>0.91997203423956198</v>
      </c>
      <c r="Q77" s="8">
        <f>(1626350*100)/1973941</f>
        <v>82.391013713175823</v>
      </c>
    </row>
    <row r="78" spans="1:17" x14ac:dyDescent="0.2">
      <c r="A78">
        <v>2011</v>
      </c>
      <c r="B78" t="s">
        <v>148</v>
      </c>
      <c r="C78" t="s">
        <v>17</v>
      </c>
      <c r="D78" t="s">
        <v>63</v>
      </c>
      <c r="E78">
        <v>6</v>
      </c>
      <c r="F78" t="s">
        <v>19</v>
      </c>
      <c r="G78" t="s">
        <v>20</v>
      </c>
      <c r="H78" t="s">
        <v>149</v>
      </c>
      <c r="I78" t="s">
        <v>22</v>
      </c>
      <c r="J78" t="s">
        <v>23</v>
      </c>
      <c r="K78" t="s">
        <v>24</v>
      </c>
      <c r="L78" t="s">
        <v>25</v>
      </c>
      <c r="M78" s="8">
        <v>1.45</v>
      </c>
      <c r="N78" t="s">
        <v>26</v>
      </c>
      <c r="O78" s="8">
        <v>1.45</v>
      </c>
      <c r="P78" s="8">
        <f>EXP(-1.363+3.366*LOG(O78,10))</f>
        <v>0.44050419760124854</v>
      </c>
      <c r="Q78" s="8">
        <f>(605161.6*100)/5834449</f>
        <v>10.372215096918321</v>
      </c>
    </row>
    <row r="79" spans="1:17" x14ac:dyDescent="0.2">
      <c r="A79">
        <v>2011</v>
      </c>
      <c r="B79" t="s">
        <v>150</v>
      </c>
      <c r="C79" t="s">
        <v>39</v>
      </c>
      <c r="D79" t="s">
        <v>73</v>
      </c>
      <c r="E79">
        <v>5</v>
      </c>
      <c r="F79" t="s">
        <v>19</v>
      </c>
      <c r="G79" t="s">
        <v>20</v>
      </c>
      <c r="H79" t="s">
        <v>149</v>
      </c>
      <c r="I79" t="s">
        <v>22</v>
      </c>
      <c r="J79" t="s">
        <v>42</v>
      </c>
      <c r="K79" t="s">
        <v>24</v>
      </c>
      <c r="L79" t="s">
        <v>25</v>
      </c>
      <c r="M79" s="8">
        <v>1.45</v>
      </c>
      <c r="N79" t="s">
        <v>26</v>
      </c>
      <c r="O79" s="8">
        <v>1.45</v>
      </c>
      <c r="P79" s="8">
        <f>EXP(-1.363+3.366*LOG(O79,10))</f>
        <v>0.44050419760124854</v>
      </c>
      <c r="Q79" s="8">
        <f>(2375365*100)/2680339</f>
        <v>88.621812390149159</v>
      </c>
    </row>
    <row r="80" spans="1:17" x14ac:dyDescent="0.2">
      <c r="A80">
        <v>2011</v>
      </c>
      <c r="B80" t="s">
        <v>151</v>
      </c>
      <c r="C80" t="s">
        <v>65</v>
      </c>
      <c r="D80" t="s">
        <v>100</v>
      </c>
      <c r="E80">
        <v>7</v>
      </c>
      <c r="F80" t="s">
        <v>19</v>
      </c>
      <c r="G80" t="s">
        <v>20</v>
      </c>
      <c r="H80" t="s">
        <v>149</v>
      </c>
      <c r="I80" t="s">
        <v>36</v>
      </c>
      <c r="J80" t="s">
        <v>66</v>
      </c>
      <c r="K80" t="s">
        <v>24</v>
      </c>
      <c r="L80" t="s">
        <v>25</v>
      </c>
      <c r="M80" s="8">
        <v>1.032666667</v>
      </c>
      <c r="N80" t="s">
        <v>26</v>
      </c>
      <c r="O80" s="8">
        <v>1.032666667</v>
      </c>
      <c r="P80" s="8">
        <f>EXP(-1.363+3.366*LOG(O80,10))</f>
        <v>0.26820327281159584</v>
      </c>
      <c r="Q80" s="8">
        <f>(1788886*100)/6788946</f>
        <v>26.349981278389901</v>
      </c>
    </row>
    <row r="81" spans="1:17" x14ac:dyDescent="0.2">
      <c r="A81">
        <v>2011</v>
      </c>
      <c r="B81" t="s">
        <v>152</v>
      </c>
      <c r="C81" t="s">
        <v>39</v>
      </c>
      <c r="D81" t="s">
        <v>73</v>
      </c>
      <c r="E81">
        <v>5</v>
      </c>
      <c r="F81" t="s">
        <v>19</v>
      </c>
      <c r="G81" t="s">
        <v>20</v>
      </c>
      <c r="H81" t="s">
        <v>149</v>
      </c>
      <c r="I81" t="s">
        <v>36</v>
      </c>
      <c r="J81" t="s">
        <v>42</v>
      </c>
      <c r="K81" t="s">
        <v>24</v>
      </c>
      <c r="L81" t="s">
        <v>25</v>
      </c>
      <c r="M81" s="8">
        <v>1.032666667</v>
      </c>
      <c r="N81" t="s">
        <v>26</v>
      </c>
      <c r="O81" s="8">
        <v>1.032666667</v>
      </c>
      <c r="P81" s="8">
        <f>EXP(-1.363+3.366*LOG(O81,10))</f>
        <v>0.26820327281159584</v>
      </c>
      <c r="Q81" s="8">
        <f>(2375365*100)/2680339</f>
        <v>88.621812390149159</v>
      </c>
    </row>
    <row r="82" spans="1:17" x14ac:dyDescent="0.2">
      <c r="A82">
        <v>2011</v>
      </c>
      <c r="B82" t="s">
        <v>153</v>
      </c>
      <c r="C82" t="s">
        <v>65</v>
      </c>
      <c r="D82" t="s">
        <v>106</v>
      </c>
      <c r="E82">
        <v>4</v>
      </c>
      <c r="F82" t="s">
        <v>19</v>
      </c>
      <c r="G82" t="s">
        <v>20</v>
      </c>
      <c r="H82" t="s">
        <v>149</v>
      </c>
      <c r="I82" t="s">
        <v>22</v>
      </c>
      <c r="J82" t="s">
        <v>66</v>
      </c>
      <c r="K82" t="s">
        <v>24</v>
      </c>
      <c r="L82" t="s">
        <v>25</v>
      </c>
      <c r="M82" s="8">
        <v>1.45</v>
      </c>
      <c r="N82" t="s">
        <v>26</v>
      </c>
      <c r="O82" s="8">
        <v>1.45</v>
      </c>
      <c r="P82" s="8">
        <f>EXP(-1.363+3.366*LOG(O82,10))</f>
        <v>0.44050419760124854</v>
      </c>
      <c r="Q82" s="8">
        <f>(1788886*100)/6788946</f>
        <v>26.349981278389901</v>
      </c>
    </row>
    <row r="83" spans="1:17" x14ac:dyDescent="0.2">
      <c r="A83">
        <v>2011</v>
      </c>
      <c r="B83" t="s">
        <v>154</v>
      </c>
      <c r="C83" t="s">
        <v>65</v>
      </c>
      <c r="D83" t="s">
        <v>106</v>
      </c>
      <c r="E83">
        <v>4</v>
      </c>
      <c r="F83" t="s">
        <v>19</v>
      </c>
      <c r="G83" t="s">
        <v>20</v>
      </c>
      <c r="H83" t="s">
        <v>149</v>
      </c>
      <c r="I83" t="s">
        <v>22</v>
      </c>
      <c r="J83" t="s">
        <v>66</v>
      </c>
      <c r="K83" t="s">
        <v>24</v>
      </c>
      <c r="L83" t="s">
        <v>25</v>
      </c>
      <c r="M83" s="8">
        <v>1.45</v>
      </c>
      <c r="N83" t="s">
        <v>26</v>
      </c>
      <c r="O83" s="8">
        <v>1.45</v>
      </c>
      <c r="P83" s="8">
        <f>EXP(-1.363+3.366*LOG(O83,10))</f>
        <v>0.44050419760124854</v>
      </c>
      <c r="Q83" s="8">
        <f>(1788886*100)/6788946</f>
        <v>26.349981278389901</v>
      </c>
    </row>
    <row r="84" spans="1:17" x14ac:dyDescent="0.2">
      <c r="A84">
        <v>2011</v>
      </c>
      <c r="B84" t="s">
        <v>155</v>
      </c>
      <c r="C84" t="s">
        <v>65</v>
      </c>
      <c r="D84" t="s">
        <v>106</v>
      </c>
      <c r="E84">
        <v>4</v>
      </c>
      <c r="F84" t="s">
        <v>19</v>
      </c>
      <c r="G84" t="s">
        <v>20</v>
      </c>
      <c r="H84" t="s">
        <v>149</v>
      </c>
      <c r="I84" t="s">
        <v>22</v>
      </c>
      <c r="J84" t="s">
        <v>66</v>
      </c>
      <c r="K84" t="s">
        <v>24</v>
      </c>
      <c r="L84" t="s">
        <v>25</v>
      </c>
      <c r="M84" s="8">
        <v>1.45</v>
      </c>
      <c r="N84" t="s">
        <v>26</v>
      </c>
      <c r="O84" s="8">
        <v>1.45</v>
      </c>
      <c r="P84" s="8">
        <f>EXP(-1.363+3.366*LOG(O84,10))</f>
        <v>0.44050419760124854</v>
      </c>
      <c r="Q84" s="8">
        <f>(1788886*100)/6788946</f>
        <v>26.349981278389901</v>
      </c>
    </row>
    <row r="85" spans="1:17" x14ac:dyDescent="0.2">
      <c r="A85">
        <v>2011</v>
      </c>
      <c r="B85" t="s">
        <v>156</v>
      </c>
      <c r="C85" t="s">
        <v>39</v>
      </c>
      <c r="D85" t="s">
        <v>157</v>
      </c>
      <c r="E85">
        <v>5</v>
      </c>
      <c r="F85" t="s">
        <v>19</v>
      </c>
      <c r="G85" t="s">
        <v>20</v>
      </c>
      <c r="H85" t="s">
        <v>149</v>
      </c>
      <c r="I85" t="s">
        <v>22</v>
      </c>
      <c r="J85" t="s">
        <v>42</v>
      </c>
      <c r="K85" t="s">
        <v>24</v>
      </c>
      <c r="L85" t="s">
        <v>25</v>
      </c>
      <c r="M85" s="8">
        <v>1.45</v>
      </c>
      <c r="N85" t="s">
        <v>26</v>
      </c>
      <c r="O85" s="8">
        <v>1.45</v>
      </c>
      <c r="P85" s="8">
        <f>EXP(-1.363+3.366*LOG(O85,10))</f>
        <v>0.44050419760124854</v>
      </c>
      <c r="Q85" s="8">
        <f>(2375365*100)/2680339</f>
        <v>88.621812390149159</v>
      </c>
    </row>
    <row r="86" spans="1:17" x14ac:dyDescent="0.2">
      <c r="A86">
        <v>2011</v>
      </c>
      <c r="B86" t="s">
        <v>158</v>
      </c>
      <c r="C86" t="s">
        <v>50</v>
      </c>
      <c r="D86" t="s">
        <v>76</v>
      </c>
      <c r="E86">
        <v>5</v>
      </c>
      <c r="F86" t="s">
        <v>19</v>
      </c>
      <c r="G86" t="s">
        <v>20</v>
      </c>
      <c r="H86" t="s">
        <v>149</v>
      </c>
      <c r="I86" t="s">
        <v>22</v>
      </c>
      <c r="J86" t="s">
        <v>42</v>
      </c>
      <c r="K86" t="s">
        <v>24</v>
      </c>
      <c r="L86" t="s">
        <v>25</v>
      </c>
      <c r="M86" s="8">
        <v>1.45</v>
      </c>
      <c r="N86" t="s">
        <v>26</v>
      </c>
      <c r="O86" s="8">
        <v>1.45</v>
      </c>
      <c r="P86" s="8">
        <f>EXP(-1.363+3.366*LOG(O86,10))</f>
        <v>0.44050419760124854</v>
      </c>
      <c r="Q86" s="8">
        <f>(4488342*100)/4914798</f>
        <v>91.323020803703429</v>
      </c>
    </row>
    <row r="87" spans="1:17" x14ac:dyDescent="0.2">
      <c r="A87">
        <v>2011</v>
      </c>
      <c r="B87" t="s">
        <v>159</v>
      </c>
      <c r="C87" t="s">
        <v>39</v>
      </c>
      <c r="D87" t="s">
        <v>53</v>
      </c>
      <c r="E87">
        <v>6</v>
      </c>
      <c r="F87" t="s">
        <v>19</v>
      </c>
      <c r="G87" t="s">
        <v>20</v>
      </c>
      <c r="H87" t="s">
        <v>149</v>
      </c>
      <c r="I87" t="s">
        <v>22</v>
      </c>
      <c r="J87" t="s">
        <v>42</v>
      </c>
      <c r="K87" t="s">
        <v>24</v>
      </c>
      <c r="L87" t="s">
        <v>25</v>
      </c>
      <c r="M87" s="8">
        <v>1.45</v>
      </c>
      <c r="N87" t="s">
        <v>26</v>
      </c>
      <c r="O87" s="8">
        <v>1.45</v>
      </c>
      <c r="P87" s="8">
        <f>EXP(-1.363+3.366*LOG(O87,10))</f>
        <v>0.44050419760124854</v>
      </c>
      <c r="Q87" s="8">
        <f>(2375365*100)/2680339</f>
        <v>88.621812390149159</v>
      </c>
    </row>
    <row r="88" spans="1:17" x14ac:dyDescent="0.2">
      <c r="A88">
        <v>2011</v>
      </c>
      <c r="B88" t="s">
        <v>160</v>
      </c>
      <c r="C88" t="s">
        <v>50</v>
      </c>
      <c r="D88" t="s">
        <v>79</v>
      </c>
      <c r="E88">
        <v>6</v>
      </c>
      <c r="F88" t="s">
        <v>19</v>
      </c>
      <c r="G88" t="s">
        <v>20</v>
      </c>
      <c r="H88" t="s">
        <v>149</v>
      </c>
      <c r="I88" t="s">
        <v>22</v>
      </c>
      <c r="J88" t="s">
        <v>42</v>
      </c>
      <c r="K88" t="s">
        <v>24</v>
      </c>
      <c r="L88" t="s">
        <v>25</v>
      </c>
      <c r="M88" s="8">
        <v>1.45</v>
      </c>
      <c r="N88" t="s">
        <v>26</v>
      </c>
      <c r="O88" s="8">
        <v>1.45</v>
      </c>
      <c r="P88" s="8">
        <f>EXP(-1.363+3.366*LOG(O88,10))</f>
        <v>0.44050419760124854</v>
      </c>
      <c r="Q88" s="8">
        <f>(4488342*100)/4914798</f>
        <v>91.323020803703429</v>
      </c>
    </row>
    <row r="89" spans="1:17" x14ac:dyDescent="0.2">
      <c r="A89">
        <v>2011</v>
      </c>
      <c r="B89" t="s">
        <v>161</v>
      </c>
      <c r="C89" t="s">
        <v>39</v>
      </c>
      <c r="D89" t="s">
        <v>55</v>
      </c>
      <c r="E89">
        <v>6</v>
      </c>
      <c r="F89" t="s">
        <v>19</v>
      </c>
      <c r="G89" t="s">
        <v>20</v>
      </c>
      <c r="H89" t="s">
        <v>149</v>
      </c>
      <c r="I89" t="s">
        <v>22</v>
      </c>
      <c r="J89" t="s">
        <v>42</v>
      </c>
      <c r="K89" t="s">
        <v>24</v>
      </c>
      <c r="L89" t="s">
        <v>25</v>
      </c>
      <c r="M89" s="8">
        <v>1.45</v>
      </c>
      <c r="N89" t="s">
        <v>26</v>
      </c>
      <c r="O89" s="8">
        <v>1.45</v>
      </c>
      <c r="P89" s="8">
        <f>EXP(-1.363+3.366*LOG(O89,10))</f>
        <v>0.44050419760124854</v>
      </c>
      <c r="Q89" s="8">
        <f>(2375365*100)/2680339</f>
        <v>88.621812390149159</v>
      </c>
    </row>
    <row r="90" spans="1:17" x14ac:dyDescent="0.2">
      <c r="A90">
        <v>2011</v>
      </c>
      <c r="B90" t="s">
        <v>162</v>
      </c>
      <c r="C90" t="s">
        <v>39</v>
      </c>
      <c r="D90" t="s">
        <v>55</v>
      </c>
      <c r="E90">
        <v>6</v>
      </c>
      <c r="F90" t="s">
        <v>19</v>
      </c>
      <c r="G90" t="s">
        <v>20</v>
      </c>
      <c r="H90" t="s">
        <v>149</v>
      </c>
      <c r="I90" t="s">
        <v>22</v>
      </c>
      <c r="J90" t="s">
        <v>42</v>
      </c>
      <c r="K90" t="s">
        <v>24</v>
      </c>
      <c r="L90" t="s">
        <v>25</v>
      </c>
      <c r="M90" s="8">
        <v>1.45</v>
      </c>
      <c r="N90" t="s">
        <v>26</v>
      </c>
      <c r="O90" s="8">
        <v>1.45</v>
      </c>
      <c r="P90" s="8">
        <f>EXP(-1.363+3.366*LOG(O90,10))</f>
        <v>0.44050419760124854</v>
      </c>
      <c r="Q90" s="8">
        <f>(2375365*100)/2680339</f>
        <v>88.621812390149159</v>
      </c>
    </row>
    <row r="91" spans="1:17" x14ac:dyDescent="0.2">
      <c r="A91">
        <v>2011</v>
      </c>
      <c r="B91" t="s">
        <v>163</v>
      </c>
      <c r="C91" t="s">
        <v>50</v>
      </c>
      <c r="D91" t="s">
        <v>55</v>
      </c>
      <c r="E91">
        <v>6</v>
      </c>
      <c r="F91" t="s">
        <v>19</v>
      </c>
      <c r="G91" t="s">
        <v>20</v>
      </c>
      <c r="H91" t="s">
        <v>149</v>
      </c>
      <c r="I91" t="s">
        <v>22</v>
      </c>
      <c r="J91" t="s">
        <v>42</v>
      </c>
      <c r="K91" t="s">
        <v>24</v>
      </c>
      <c r="L91" t="s">
        <v>25</v>
      </c>
      <c r="M91" s="8">
        <v>1.45</v>
      </c>
      <c r="N91" t="s">
        <v>26</v>
      </c>
      <c r="O91" s="8">
        <v>1.45</v>
      </c>
      <c r="P91" s="8">
        <f>EXP(-1.363+3.366*LOG(O91,10))</f>
        <v>0.44050419760124854</v>
      </c>
      <c r="Q91" s="8">
        <f>(4488342*100)/4914798</f>
        <v>91.323020803703429</v>
      </c>
    </row>
    <row r="92" spans="1:17" x14ac:dyDescent="0.2">
      <c r="A92">
        <v>2011</v>
      </c>
      <c r="B92" t="s">
        <v>164</v>
      </c>
      <c r="C92" t="s">
        <v>57</v>
      </c>
      <c r="D92" t="s">
        <v>58</v>
      </c>
      <c r="E92">
        <v>6</v>
      </c>
      <c r="F92" t="s">
        <v>19</v>
      </c>
      <c r="G92" t="s">
        <v>20</v>
      </c>
      <c r="H92" t="s">
        <v>149</v>
      </c>
      <c r="I92" t="s">
        <v>22</v>
      </c>
      <c r="J92" t="s">
        <v>31</v>
      </c>
      <c r="K92" t="s">
        <v>24</v>
      </c>
      <c r="L92" t="s">
        <v>25</v>
      </c>
      <c r="M92" s="8">
        <v>1.45</v>
      </c>
      <c r="N92" t="s">
        <v>26</v>
      </c>
      <c r="O92" s="8">
        <v>1.45</v>
      </c>
      <c r="P92" s="8">
        <f>EXP(-1.363+3.366*LOG(O92,10))</f>
        <v>0.44050419760124854</v>
      </c>
      <c r="Q92" s="8">
        <f>(321151.3*100)/5927002</f>
        <v>5.4184442657518925</v>
      </c>
    </row>
    <row r="93" spans="1:17" x14ac:dyDescent="0.2">
      <c r="A93">
        <v>2011</v>
      </c>
      <c r="B93" t="s">
        <v>165</v>
      </c>
      <c r="C93" t="s">
        <v>57</v>
      </c>
      <c r="D93" t="s">
        <v>58</v>
      </c>
      <c r="E93">
        <v>6</v>
      </c>
      <c r="F93" t="s">
        <v>19</v>
      </c>
      <c r="G93" t="s">
        <v>20</v>
      </c>
      <c r="H93" t="s">
        <v>149</v>
      </c>
      <c r="I93" t="s">
        <v>22</v>
      </c>
      <c r="J93" t="s">
        <v>31</v>
      </c>
      <c r="K93" t="s">
        <v>24</v>
      </c>
      <c r="L93" t="s">
        <v>25</v>
      </c>
      <c r="M93" s="8">
        <v>1.45</v>
      </c>
      <c r="N93" t="s">
        <v>26</v>
      </c>
      <c r="O93" s="8">
        <v>1.45</v>
      </c>
      <c r="P93" s="8">
        <f>EXP(-1.363+3.366*LOG(O93,10))</f>
        <v>0.44050419760124854</v>
      </c>
      <c r="Q93" s="8">
        <f>(321151.3*100)/5927002</f>
        <v>5.4184442657518925</v>
      </c>
    </row>
    <row r="94" spans="1:17" x14ac:dyDescent="0.2">
      <c r="A94">
        <v>2011</v>
      </c>
      <c r="B94" t="s">
        <v>166</v>
      </c>
      <c r="C94" t="s">
        <v>65</v>
      </c>
      <c r="D94" t="s">
        <v>58</v>
      </c>
      <c r="E94">
        <v>6</v>
      </c>
      <c r="F94" t="s">
        <v>19</v>
      </c>
      <c r="G94" t="s">
        <v>20</v>
      </c>
      <c r="H94" t="s">
        <v>149</v>
      </c>
      <c r="I94" t="s">
        <v>22</v>
      </c>
      <c r="J94" t="s">
        <v>66</v>
      </c>
      <c r="K94" t="s">
        <v>24</v>
      </c>
      <c r="L94" t="s">
        <v>25</v>
      </c>
      <c r="M94" s="8">
        <v>1.45</v>
      </c>
      <c r="N94" t="s">
        <v>26</v>
      </c>
      <c r="O94" s="8">
        <v>1.45</v>
      </c>
      <c r="P94" s="8">
        <f>EXP(-1.363+3.366*LOG(O94,10))</f>
        <v>0.44050419760124854</v>
      </c>
      <c r="Q94" s="8">
        <f>(1788886*100)/6788946</f>
        <v>26.349981278389901</v>
      </c>
    </row>
    <row r="95" spans="1:17" x14ac:dyDescent="0.2">
      <c r="A95">
        <v>2011</v>
      </c>
      <c r="B95" t="s">
        <v>167</v>
      </c>
      <c r="C95" t="s">
        <v>65</v>
      </c>
      <c r="D95" t="s">
        <v>100</v>
      </c>
      <c r="E95">
        <v>7</v>
      </c>
      <c r="F95" t="s">
        <v>19</v>
      </c>
      <c r="G95" t="s">
        <v>20</v>
      </c>
      <c r="H95" t="s">
        <v>149</v>
      </c>
      <c r="I95" t="s">
        <v>22</v>
      </c>
      <c r="J95" t="s">
        <v>66</v>
      </c>
      <c r="K95" t="s">
        <v>24</v>
      </c>
      <c r="L95" t="s">
        <v>25</v>
      </c>
      <c r="M95" s="8">
        <v>1.45</v>
      </c>
      <c r="N95" t="s">
        <v>26</v>
      </c>
      <c r="O95" s="8">
        <v>1.45</v>
      </c>
      <c r="P95" s="8">
        <f>EXP(-1.363+3.366*LOG(O95,10))</f>
        <v>0.44050419760124854</v>
      </c>
      <c r="Q95" s="8">
        <f>(1788886*100)/6788946</f>
        <v>26.349981278389901</v>
      </c>
    </row>
    <row r="96" spans="1:17" x14ac:dyDescent="0.2">
      <c r="A96">
        <v>2011</v>
      </c>
      <c r="B96" t="s">
        <v>168</v>
      </c>
      <c r="C96" t="s">
        <v>39</v>
      </c>
      <c r="D96" t="s">
        <v>81</v>
      </c>
      <c r="E96">
        <v>6</v>
      </c>
      <c r="F96" t="s">
        <v>19</v>
      </c>
      <c r="G96" t="s">
        <v>20</v>
      </c>
      <c r="H96" t="s">
        <v>149</v>
      </c>
      <c r="I96" t="s">
        <v>36</v>
      </c>
      <c r="J96" t="s">
        <v>42</v>
      </c>
      <c r="K96" t="s">
        <v>24</v>
      </c>
      <c r="L96" t="s">
        <v>25</v>
      </c>
      <c r="M96" s="8">
        <v>1.032666667</v>
      </c>
      <c r="N96" t="s">
        <v>26</v>
      </c>
      <c r="O96" s="8">
        <v>1.032666667</v>
      </c>
      <c r="P96" s="8">
        <f>EXP(-1.363+3.366*LOG(O96,10))</f>
        <v>0.26820327281159584</v>
      </c>
      <c r="Q96" s="8">
        <f>(2375365*100)/2680339</f>
        <v>88.621812390149159</v>
      </c>
    </row>
    <row r="97" spans="1:17" x14ac:dyDescent="0.2">
      <c r="A97">
        <v>2011</v>
      </c>
      <c r="B97" t="s">
        <v>169</v>
      </c>
      <c r="C97" t="s">
        <v>50</v>
      </c>
      <c r="D97" t="s">
        <v>53</v>
      </c>
      <c r="E97">
        <v>6</v>
      </c>
      <c r="F97" t="s">
        <v>19</v>
      </c>
      <c r="G97" t="s">
        <v>20</v>
      </c>
      <c r="H97" t="s">
        <v>149</v>
      </c>
      <c r="I97" t="s">
        <v>22</v>
      </c>
      <c r="J97" t="s">
        <v>42</v>
      </c>
      <c r="K97" t="s">
        <v>24</v>
      </c>
      <c r="L97" t="s">
        <v>25</v>
      </c>
      <c r="M97" s="8">
        <v>1.45</v>
      </c>
      <c r="N97" t="s">
        <v>26</v>
      </c>
      <c r="O97" s="8">
        <v>1.45</v>
      </c>
      <c r="P97" s="8">
        <f>EXP(-1.363+3.366*LOG(O97,10))</f>
        <v>0.44050419760124854</v>
      </c>
      <c r="Q97" s="8">
        <f>(4488342*100)/4914798</f>
        <v>91.323020803703429</v>
      </c>
    </row>
    <row r="98" spans="1:17" x14ac:dyDescent="0.2">
      <c r="A98">
        <v>2011</v>
      </c>
      <c r="B98" t="s">
        <v>170</v>
      </c>
      <c r="C98" t="s">
        <v>50</v>
      </c>
      <c r="D98" t="s">
        <v>76</v>
      </c>
      <c r="E98">
        <v>5</v>
      </c>
      <c r="F98" t="s">
        <v>19</v>
      </c>
      <c r="G98" t="s">
        <v>20</v>
      </c>
      <c r="H98" t="s">
        <v>171</v>
      </c>
      <c r="I98" t="s">
        <v>22</v>
      </c>
      <c r="J98" t="s">
        <v>42</v>
      </c>
      <c r="K98" t="s">
        <v>24</v>
      </c>
      <c r="L98" t="s">
        <v>25</v>
      </c>
      <c r="M98" s="8">
        <v>1.258</v>
      </c>
      <c r="N98" t="s">
        <v>26</v>
      </c>
      <c r="O98" s="8">
        <v>1.258</v>
      </c>
      <c r="P98" s="8">
        <f>EXP(-1.363+3.366*LOG(O98,10))</f>
        <v>0.35790955576548023</v>
      </c>
      <c r="Q98" s="8">
        <f>(4488342*100)/4914798</f>
        <v>91.323020803703429</v>
      </c>
    </row>
    <row r="99" spans="1:17" x14ac:dyDescent="0.2">
      <c r="A99">
        <v>2011</v>
      </c>
      <c r="B99" t="s">
        <v>172</v>
      </c>
      <c r="C99" t="s">
        <v>39</v>
      </c>
      <c r="D99" t="s">
        <v>81</v>
      </c>
      <c r="E99">
        <v>6</v>
      </c>
      <c r="F99" t="s">
        <v>19</v>
      </c>
      <c r="G99" t="s">
        <v>20</v>
      </c>
      <c r="H99" t="s">
        <v>171</v>
      </c>
      <c r="I99" t="s">
        <v>36</v>
      </c>
      <c r="J99" t="s">
        <v>42</v>
      </c>
      <c r="K99" t="s">
        <v>24</v>
      </c>
      <c r="L99" t="s">
        <v>25</v>
      </c>
      <c r="M99" s="8">
        <v>1.104666667</v>
      </c>
      <c r="N99" t="s">
        <v>26</v>
      </c>
      <c r="O99" s="8">
        <v>1.104666667</v>
      </c>
      <c r="P99" s="8">
        <f>EXP(-1.363+3.366*LOG(O99,10))</f>
        <v>0.29597401543594926</v>
      </c>
      <c r="Q99" s="8">
        <f>(2375365*100)/2680339</f>
        <v>88.621812390149159</v>
      </c>
    </row>
    <row r="100" spans="1:17" x14ac:dyDescent="0.2">
      <c r="A100">
        <v>2011</v>
      </c>
      <c r="B100" t="s">
        <v>173</v>
      </c>
      <c r="C100" t="s">
        <v>52</v>
      </c>
      <c r="D100" t="s">
        <v>53</v>
      </c>
      <c r="E100">
        <v>6</v>
      </c>
      <c r="F100" t="s">
        <v>19</v>
      </c>
      <c r="G100" t="s">
        <v>20</v>
      </c>
      <c r="H100" t="s">
        <v>171</v>
      </c>
      <c r="I100" t="s">
        <v>22</v>
      </c>
      <c r="J100" t="s">
        <v>42</v>
      </c>
      <c r="K100" t="s">
        <v>24</v>
      </c>
      <c r="L100" t="s">
        <v>25</v>
      </c>
      <c r="M100" s="8">
        <v>1.258</v>
      </c>
      <c r="N100" t="s">
        <v>26</v>
      </c>
      <c r="O100" s="8">
        <v>1.258</v>
      </c>
      <c r="P100" s="8">
        <f>EXP(-1.363+3.366*LOG(O100,10))</f>
        <v>0.35790955576548023</v>
      </c>
      <c r="Q100" s="8">
        <f>(1626350*100)/1973941</f>
        <v>82.391013713175823</v>
      </c>
    </row>
    <row r="101" spans="1:17" x14ac:dyDescent="0.2">
      <c r="A101">
        <v>2011</v>
      </c>
      <c r="B101" t="s">
        <v>174</v>
      </c>
      <c r="C101" t="s">
        <v>17</v>
      </c>
      <c r="D101" t="s">
        <v>47</v>
      </c>
      <c r="E101">
        <v>4</v>
      </c>
      <c r="F101" t="s">
        <v>19</v>
      </c>
      <c r="G101" t="s">
        <v>20</v>
      </c>
      <c r="H101" t="s">
        <v>175</v>
      </c>
      <c r="I101" t="s">
        <v>22</v>
      </c>
      <c r="J101" t="s">
        <v>23</v>
      </c>
      <c r="K101" t="s">
        <v>24</v>
      </c>
      <c r="L101" t="s">
        <v>25</v>
      </c>
      <c r="M101" s="8">
        <v>2.826333333</v>
      </c>
      <c r="N101" t="s">
        <v>26</v>
      </c>
      <c r="O101" s="8">
        <v>2.826333333</v>
      </c>
      <c r="P101" s="8">
        <f>EXP(-1.363+3.366*LOG(O101,10))</f>
        <v>1.1686133777472321</v>
      </c>
      <c r="Q101" s="8">
        <f>(605161.6*100)/5834449</f>
        <v>10.372215096918321</v>
      </c>
    </row>
    <row r="102" spans="1:17" x14ac:dyDescent="0.2">
      <c r="A102">
        <v>2011</v>
      </c>
      <c r="B102" t="s">
        <v>176</v>
      </c>
      <c r="C102" t="s">
        <v>120</v>
      </c>
      <c r="D102" t="s">
        <v>106</v>
      </c>
      <c r="E102">
        <v>4</v>
      </c>
      <c r="F102" t="s">
        <v>19</v>
      </c>
      <c r="G102" t="s">
        <v>20</v>
      </c>
      <c r="H102" t="s">
        <v>175</v>
      </c>
      <c r="I102" t="s">
        <v>22</v>
      </c>
      <c r="J102" t="s">
        <v>23</v>
      </c>
      <c r="K102" t="s">
        <v>24</v>
      </c>
      <c r="L102" t="s">
        <v>25</v>
      </c>
      <c r="M102" s="8">
        <v>2.826333333</v>
      </c>
      <c r="N102" t="s">
        <v>26</v>
      </c>
      <c r="O102" s="8">
        <v>2.826333333</v>
      </c>
      <c r="P102" s="8">
        <f>EXP(-1.363+3.366*LOG(O102,10))</f>
        <v>1.1686133777472321</v>
      </c>
      <c r="Q102" s="8">
        <f>(2256192*100)/6055896</f>
        <v>37.256121967748456</v>
      </c>
    </row>
    <row r="103" spans="1:17" x14ac:dyDescent="0.2">
      <c r="A103">
        <v>2011</v>
      </c>
      <c r="B103" t="s">
        <v>177</v>
      </c>
      <c r="C103" t="s">
        <v>50</v>
      </c>
      <c r="D103" t="s">
        <v>157</v>
      </c>
      <c r="E103">
        <v>5</v>
      </c>
      <c r="F103" t="s">
        <v>19</v>
      </c>
      <c r="G103" t="s">
        <v>20</v>
      </c>
      <c r="H103" t="s">
        <v>175</v>
      </c>
      <c r="I103" t="s">
        <v>22</v>
      </c>
      <c r="J103" t="s">
        <v>42</v>
      </c>
      <c r="K103" t="s">
        <v>24</v>
      </c>
      <c r="L103" t="s">
        <v>25</v>
      </c>
      <c r="M103" s="8">
        <v>2.826333333</v>
      </c>
      <c r="N103" t="s">
        <v>26</v>
      </c>
      <c r="O103" s="8">
        <v>2.826333333</v>
      </c>
      <c r="P103" s="8">
        <f>EXP(-1.363+3.366*LOG(O103,10))</f>
        <v>1.1686133777472321</v>
      </c>
      <c r="Q103" s="8">
        <f>(4488342*100)/4914798</f>
        <v>91.323020803703429</v>
      </c>
    </row>
    <row r="104" spans="1:17" x14ac:dyDescent="0.2">
      <c r="A104">
        <v>2011</v>
      </c>
      <c r="B104" t="s">
        <v>178</v>
      </c>
      <c r="C104" t="s">
        <v>120</v>
      </c>
      <c r="D104" t="s">
        <v>111</v>
      </c>
      <c r="E104">
        <v>5</v>
      </c>
      <c r="F104" t="s">
        <v>19</v>
      </c>
      <c r="G104" t="s">
        <v>20</v>
      </c>
      <c r="H104" t="s">
        <v>175</v>
      </c>
      <c r="I104" t="s">
        <v>22</v>
      </c>
      <c r="J104" t="s">
        <v>23</v>
      </c>
      <c r="K104" t="s">
        <v>24</v>
      </c>
      <c r="L104" t="s">
        <v>25</v>
      </c>
      <c r="M104" s="8">
        <v>2.826333333</v>
      </c>
      <c r="N104" t="s">
        <v>26</v>
      </c>
      <c r="O104" s="8">
        <v>2.826333333</v>
      </c>
      <c r="P104" s="8">
        <f>EXP(-1.363+3.366*LOG(O104,10))</f>
        <v>1.1686133777472321</v>
      </c>
      <c r="Q104" s="8">
        <f>(2256192*100)/6055896</f>
        <v>37.256121967748456</v>
      </c>
    </row>
    <row r="105" spans="1:17" x14ac:dyDescent="0.2">
      <c r="A105">
        <v>2011</v>
      </c>
      <c r="B105" t="s">
        <v>179</v>
      </c>
      <c r="C105" t="s">
        <v>57</v>
      </c>
      <c r="D105" t="s">
        <v>111</v>
      </c>
      <c r="E105">
        <v>5</v>
      </c>
      <c r="F105" t="s">
        <v>19</v>
      </c>
      <c r="G105" t="s">
        <v>20</v>
      </c>
      <c r="H105" t="s">
        <v>175</v>
      </c>
      <c r="I105" t="s">
        <v>22</v>
      </c>
      <c r="J105" t="s">
        <v>31</v>
      </c>
      <c r="K105" t="s">
        <v>24</v>
      </c>
      <c r="L105" t="s">
        <v>25</v>
      </c>
      <c r="M105" s="8">
        <v>2.826333333</v>
      </c>
      <c r="N105" t="s">
        <v>26</v>
      </c>
      <c r="O105" s="8">
        <v>2.826333333</v>
      </c>
      <c r="P105" s="8">
        <f>EXP(-1.363+3.366*LOG(O105,10))</f>
        <v>1.1686133777472321</v>
      </c>
      <c r="Q105" s="8">
        <f>(321151.3*100)/5927002</f>
        <v>5.4184442657518925</v>
      </c>
    </row>
    <row r="106" spans="1:17" x14ac:dyDescent="0.2">
      <c r="A106">
        <v>2011</v>
      </c>
      <c r="B106" t="s">
        <v>180</v>
      </c>
      <c r="C106" t="s">
        <v>57</v>
      </c>
      <c r="D106" t="s">
        <v>111</v>
      </c>
      <c r="E106">
        <v>5</v>
      </c>
      <c r="F106" t="s">
        <v>19</v>
      </c>
      <c r="G106" t="s">
        <v>20</v>
      </c>
      <c r="H106" t="s">
        <v>175</v>
      </c>
      <c r="I106" t="s">
        <v>22</v>
      </c>
      <c r="J106" t="s">
        <v>31</v>
      </c>
      <c r="K106" t="s">
        <v>24</v>
      </c>
      <c r="L106" t="s">
        <v>25</v>
      </c>
      <c r="M106" s="8">
        <v>2.826333333</v>
      </c>
      <c r="N106" t="s">
        <v>26</v>
      </c>
      <c r="O106" s="8">
        <v>2.826333333</v>
      </c>
      <c r="P106" s="8">
        <f>EXP(-1.363+3.366*LOG(O106,10))</f>
        <v>1.1686133777472321</v>
      </c>
      <c r="Q106" s="8">
        <f>(321151.3*100)/5927002</f>
        <v>5.4184442657518925</v>
      </c>
    </row>
    <row r="107" spans="1:17" x14ac:dyDescent="0.2">
      <c r="A107">
        <v>2011</v>
      </c>
      <c r="B107" t="s">
        <v>181</v>
      </c>
      <c r="C107" t="s">
        <v>50</v>
      </c>
      <c r="D107" t="s">
        <v>76</v>
      </c>
      <c r="E107">
        <v>5</v>
      </c>
      <c r="F107" t="s">
        <v>19</v>
      </c>
      <c r="G107" t="s">
        <v>20</v>
      </c>
      <c r="H107" t="s">
        <v>175</v>
      </c>
      <c r="I107" t="s">
        <v>22</v>
      </c>
      <c r="J107" t="s">
        <v>42</v>
      </c>
      <c r="K107" t="s">
        <v>24</v>
      </c>
      <c r="L107" t="s">
        <v>25</v>
      </c>
      <c r="M107" s="8">
        <v>2.826333333</v>
      </c>
      <c r="N107" t="s">
        <v>26</v>
      </c>
      <c r="O107" s="8">
        <v>2.826333333</v>
      </c>
      <c r="P107" s="8">
        <f>EXP(-1.363+3.366*LOG(O107,10))</f>
        <v>1.1686133777472321</v>
      </c>
      <c r="Q107" s="8">
        <f>(4488342*100)/4914798</f>
        <v>91.323020803703429</v>
      </c>
    </row>
    <row r="108" spans="1:17" x14ac:dyDescent="0.2">
      <c r="A108">
        <v>2011</v>
      </c>
      <c r="B108" t="s">
        <v>182</v>
      </c>
      <c r="C108" t="s">
        <v>60</v>
      </c>
      <c r="D108" t="s">
        <v>90</v>
      </c>
      <c r="E108">
        <v>4</v>
      </c>
      <c r="F108" t="s">
        <v>19</v>
      </c>
      <c r="G108" t="s">
        <v>20</v>
      </c>
      <c r="H108" t="s">
        <v>183</v>
      </c>
      <c r="I108" t="s">
        <v>22</v>
      </c>
      <c r="J108" t="s">
        <v>31</v>
      </c>
      <c r="K108" t="s">
        <v>24</v>
      </c>
      <c r="L108" t="s">
        <v>25</v>
      </c>
      <c r="M108" s="8">
        <v>2.7893333330000001</v>
      </c>
      <c r="N108" t="s">
        <v>26</v>
      </c>
      <c r="O108" s="8">
        <v>2.7893333330000001</v>
      </c>
      <c r="P108" s="8">
        <f>EXP(-1.363+3.366*LOG(O108,10))</f>
        <v>1.1463172389308915</v>
      </c>
      <c r="Q108" s="8">
        <f>(27433.05*100)/7611378</f>
        <v>0.36042159514348127</v>
      </c>
    </row>
    <row r="109" spans="1:17" x14ac:dyDescent="0.2">
      <c r="A109">
        <v>2011</v>
      </c>
      <c r="B109" t="s">
        <v>184</v>
      </c>
      <c r="C109" t="s">
        <v>120</v>
      </c>
      <c r="D109" t="s">
        <v>108</v>
      </c>
      <c r="E109">
        <v>4</v>
      </c>
      <c r="F109" t="s">
        <v>19</v>
      </c>
      <c r="G109" t="s">
        <v>20</v>
      </c>
      <c r="H109" t="s">
        <v>183</v>
      </c>
      <c r="I109" t="s">
        <v>22</v>
      </c>
      <c r="J109" t="s">
        <v>23</v>
      </c>
      <c r="K109" t="s">
        <v>24</v>
      </c>
      <c r="L109" t="s">
        <v>25</v>
      </c>
      <c r="M109" s="8">
        <v>2.7893333330000001</v>
      </c>
      <c r="N109" t="s">
        <v>26</v>
      </c>
      <c r="O109" s="8">
        <v>2.7893333330000001</v>
      </c>
      <c r="P109" s="8">
        <f>EXP(-1.363+3.366*LOG(O109,10))</f>
        <v>1.1463172389308915</v>
      </c>
      <c r="Q109" s="8">
        <f>(2256192*100)/6055896</f>
        <v>37.256121967748456</v>
      </c>
    </row>
    <row r="110" spans="1:17" x14ac:dyDescent="0.2">
      <c r="A110">
        <v>2011</v>
      </c>
      <c r="B110" t="s">
        <v>185</v>
      </c>
      <c r="C110" t="s">
        <v>60</v>
      </c>
      <c r="D110" t="s">
        <v>61</v>
      </c>
      <c r="E110">
        <v>6</v>
      </c>
      <c r="F110" t="s">
        <v>19</v>
      </c>
      <c r="G110" t="s">
        <v>20</v>
      </c>
      <c r="H110" t="s">
        <v>186</v>
      </c>
      <c r="I110" t="s">
        <v>22</v>
      </c>
      <c r="J110" t="s">
        <v>31</v>
      </c>
      <c r="K110" t="s">
        <v>24</v>
      </c>
      <c r="L110" t="s">
        <v>187</v>
      </c>
      <c r="M110" s="8" t="s">
        <v>26</v>
      </c>
      <c r="N110" t="s">
        <v>26</v>
      </c>
      <c r="O110" s="8" t="s">
        <v>26</v>
      </c>
      <c r="P110" s="8" t="s">
        <v>26</v>
      </c>
      <c r="Q110" s="8">
        <f>(27433.05*100)/7611378</f>
        <v>0.36042159514348127</v>
      </c>
    </row>
    <row r="111" spans="1:17" x14ac:dyDescent="0.2">
      <c r="A111">
        <v>2011</v>
      </c>
      <c r="B111" t="s">
        <v>188</v>
      </c>
      <c r="C111" t="s">
        <v>60</v>
      </c>
      <c r="D111" t="s">
        <v>53</v>
      </c>
      <c r="E111">
        <v>6</v>
      </c>
      <c r="F111" t="s">
        <v>19</v>
      </c>
      <c r="G111" t="s">
        <v>20</v>
      </c>
      <c r="H111" t="s">
        <v>186</v>
      </c>
      <c r="I111" t="s">
        <v>22</v>
      </c>
      <c r="J111" t="s">
        <v>31</v>
      </c>
      <c r="K111" t="s">
        <v>24</v>
      </c>
      <c r="L111" t="s">
        <v>187</v>
      </c>
      <c r="M111" s="8" t="s">
        <v>26</v>
      </c>
      <c r="N111" t="s">
        <v>26</v>
      </c>
      <c r="O111" s="8" t="s">
        <v>26</v>
      </c>
      <c r="P111" s="8" t="s">
        <v>26</v>
      </c>
      <c r="Q111" s="8">
        <f>(27433.05*100)/7611378</f>
        <v>0.36042159514348127</v>
      </c>
    </row>
    <row r="112" spans="1:17" x14ac:dyDescent="0.2">
      <c r="A112">
        <v>2011</v>
      </c>
      <c r="B112" t="s">
        <v>189</v>
      </c>
      <c r="C112" t="s">
        <v>89</v>
      </c>
      <c r="D112" t="s">
        <v>190</v>
      </c>
      <c r="E112">
        <v>7</v>
      </c>
      <c r="F112" t="s">
        <v>19</v>
      </c>
      <c r="G112" t="s">
        <v>20</v>
      </c>
      <c r="H112" t="s">
        <v>186</v>
      </c>
      <c r="I112" t="s">
        <v>22</v>
      </c>
      <c r="J112" t="s">
        <v>66</v>
      </c>
      <c r="K112" t="s">
        <v>24</v>
      </c>
      <c r="L112" t="s">
        <v>187</v>
      </c>
      <c r="M112" s="8" t="s">
        <v>26</v>
      </c>
      <c r="N112" t="s">
        <v>26</v>
      </c>
      <c r="O112" s="8" t="s">
        <v>26</v>
      </c>
      <c r="P112" s="8" t="s">
        <v>26</v>
      </c>
      <c r="Q112" s="8">
        <f>(61997.93*100)/7298102</f>
        <v>0.84950758430068529</v>
      </c>
    </row>
    <row r="113" spans="1:17" x14ac:dyDescent="0.2">
      <c r="A113">
        <v>2011</v>
      </c>
      <c r="B113" t="s">
        <v>191</v>
      </c>
      <c r="C113" t="s">
        <v>39</v>
      </c>
      <c r="D113" t="s">
        <v>55</v>
      </c>
      <c r="E113">
        <v>6</v>
      </c>
      <c r="F113" t="s">
        <v>19</v>
      </c>
      <c r="G113" t="s">
        <v>20</v>
      </c>
      <c r="H113" t="s">
        <v>192</v>
      </c>
      <c r="I113" t="s">
        <v>22</v>
      </c>
      <c r="J113" t="s">
        <v>42</v>
      </c>
      <c r="K113" t="s">
        <v>24</v>
      </c>
      <c r="L113" t="s">
        <v>26</v>
      </c>
      <c r="M113" s="8" t="s">
        <v>26</v>
      </c>
      <c r="N113" t="s">
        <v>26</v>
      </c>
      <c r="O113" s="8" t="s">
        <v>26</v>
      </c>
      <c r="P113" s="8" t="s">
        <v>26</v>
      </c>
      <c r="Q113" s="8">
        <f>(2375365*100)/2680339</f>
        <v>88.621812390149159</v>
      </c>
    </row>
    <row r="114" spans="1:17" x14ac:dyDescent="0.2">
      <c r="A114">
        <v>2011</v>
      </c>
      <c r="B114" t="s">
        <v>193</v>
      </c>
      <c r="C114" t="s">
        <v>60</v>
      </c>
      <c r="D114" t="s">
        <v>35</v>
      </c>
      <c r="E114">
        <v>5</v>
      </c>
      <c r="F114" t="s">
        <v>19</v>
      </c>
      <c r="G114" t="s">
        <v>20</v>
      </c>
      <c r="H114" t="s">
        <v>194</v>
      </c>
      <c r="I114" t="s">
        <v>22</v>
      </c>
      <c r="J114" t="s">
        <v>31</v>
      </c>
      <c r="K114" t="s">
        <v>24</v>
      </c>
      <c r="L114" t="s">
        <v>187</v>
      </c>
      <c r="M114" s="8" t="s">
        <v>26</v>
      </c>
      <c r="N114" t="s">
        <v>26</v>
      </c>
      <c r="O114" s="8" t="s">
        <v>26</v>
      </c>
      <c r="P114" s="8" t="s">
        <v>26</v>
      </c>
      <c r="Q114" s="8">
        <f>(27433.05*100)/7611378</f>
        <v>0.36042159514348127</v>
      </c>
    </row>
    <row r="115" spans="1:17" x14ac:dyDescent="0.2">
      <c r="A115">
        <v>2011</v>
      </c>
      <c r="B115" t="s">
        <v>195</v>
      </c>
      <c r="C115" t="s">
        <v>39</v>
      </c>
      <c r="D115" t="s">
        <v>55</v>
      </c>
      <c r="E115">
        <v>6</v>
      </c>
      <c r="F115" t="s">
        <v>19</v>
      </c>
      <c r="G115" t="s">
        <v>20</v>
      </c>
      <c r="H115" t="s">
        <v>196</v>
      </c>
      <c r="I115" t="s">
        <v>36</v>
      </c>
      <c r="J115" t="s">
        <v>42</v>
      </c>
      <c r="K115" t="s">
        <v>24</v>
      </c>
      <c r="L115" t="s">
        <v>26</v>
      </c>
      <c r="M115" s="8">
        <v>1.458</v>
      </c>
      <c r="N115" t="s">
        <v>26</v>
      </c>
      <c r="O115" s="8">
        <v>1.458</v>
      </c>
      <c r="P115" s="8">
        <f>EXP(-1.363+3.366*LOG(O115,10))</f>
        <v>0.44406151703054614</v>
      </c>
      <c r="Q115" s="8">
        <f>(2375365*100)/2680339</f>
        <v>88.621812390149159</v>
      </c>
    </row>
    <row r="116" spans="1:17" x14ac:dyDescent="0.2">
      <c r="A116">
        <v>2011</v>
      </c>
      <c r="B116" t="s">
        <v>197</v>
      </c>
      <c r="C116" t="s">
        <v>50</v>
      </c>
      <c r="D116" t="s">
        <v>44</v>
      </c>
      <c r="E116">
        <v>5</v>
      </c>
      <c r="F116" t="s">
        <v>19</v>
      </c>
      <c r="G116" t="s">
        <v>20</v>
      </c>
      <c r="H116" t="s">
        <v>198</v>
      </c>
      <c r="I116" t="s">
        <v>22</v>
      </c>
      <c r="J116" t="s">
        <v>42</v>
      </c>
      <c r="K116" t="s">
        <v>24</v>
      </c>
      <c r="L116" t="s">
        <v>187</v>
      </c>
      <c r="M116" s="8">
        <v>1.7889999999999999</v>
      </c>
      <c r="N116" t="s">
        <v>26</v>
      </c>
      <c r="O116" s="8">
        <v>1.7889999999999999</v>
      </c>
      <c r="P116" s="8">
        <f>EXP(-1.363+3.366*LOG(O116,10))</f>
        <v>0.59886828672590986</v>
      </c>
      <c r="Q116" s="8">
        <f>(4488342*100)/4914798</f>
        <v>91.323020803703429</v>
      </c>
    </row>
    <row r="117" spans="1:17" x14ac:dyDescent="0.2">
      <c r="A117">
        <v>2011</v>
      </c>
      <c r="B117" t="s">
        <v>199</v>
      </c>
      <c r="C117" t="s">
        <v>39</v>
      </c>
      <c r="D117" t="s">
        <v>76</v>
      </c>
      <c r="E117">
        <v>5</v>
      </c>
      <c r="F117" t="s">
        <v>19</v>
      </c>
      <c r="G117" t="s">
        <v>20</v>
      </c>
      <c r="H117" t="s">
        <v>200</v>
      </c>
      <c r="I117" t="s">
        <v>36</v>
      </c>
      <c r="J117" t="s">
        <v>42</v>
      </c>
      <c r="K117" t="s">
        <v>24</v>
      </c>
      <c r="L117" t="s">
        <v>25</v>
      </c>
      <c r="M117" s="8" t="s">
        <v>26</v>
      </c>
      <c r="N117" t="s">
        <v>26</v>
      </c>
      <c r="O117" s="8" t="s">
        <v>26</v>
      </c>
      <c r="P117" s="8" t="s">
        <v>26</v>
      </c>
      <c r="Q117" s="8">
        <f>(2375365*100)/2680339</f>
        <v>88.621812390149159</v>
      </c>
    </row>
    <row r="118" spans="1:17" x14ac:dyDescent="0.2">
      <c r="A118">
        <v>2011</v>
      </c>
      <c r="B118" t="s">
        <v>201</v>
      </c>
      <c r="C118" t="s">
        <v>39</v>
      </c>
      <c r="D118" t="s">
        <v>76</v>
      </c>
      <c r="E118">
        <v>5</v>
      </c>
      <c r="F118" t="s">
        <v>19</v>
      </c>
      <c r="G118" t="s">
        <v>20</v>
      </c>
      <c r="H118" t="s">
        <v>200</v>
      </c>
      <c r="I118" t="s">
        <v>36</v>
      </c>
      <c r="J118" t="s">
        <v>42</v>
      </c>
      <c r="K118" t="s">
        <v>24</v>
      </c>
      <c r="L118" t="s">
        <v>25</v>
      </c>
      <c r="M118" s="8" t="s">
        <v>26</v>
      </c>
      <c r="N118" t="s">
        <v>26</v>
      </c>
      <c r="O118" s="8" t="s">
        <v>26</v>
      </c>
      <c r="P118" s="8" t="s">
        <v>26</v>
      </c>
      <c r="Q118" s="8">
        <f>(2375365*100)/2680339</f>
        <v>88.621812390149159</v>
      </c>
    </row>
    <row r="119" spans="1:17" x14ac:dyDescent="0.2">
      <c r="A119">
        <v>2011</v>
      </c>
      <c r="B119" t="s">
        <v>202</v>
      </c>
      <c r="C119" t="s">
        <v>39</v>
      </c>
      <c r="D119" t="s">
        <v>81</v>
      </c>
      <c r="E119">
        <v>6</v>
      </c>
      <c r="F119" t="s">
        <v>19</v>
      </c>
      <c r="G119" t="s">
        <v>20</v>
      </c>
      <c r="H119" t="s">
        <v>200</v>
      </c>
      <c r="I119" t="s">
        <v>36</v>
      </c>
      <c r="J119" t="s">
        <v>42</v>
      </c>
      <c r="K119" t="s">
        <v>24</v>
      </c>
      <c r="L119" t="s">
        <v>25</v>
      </c>
      <c r="M119" s="8" t="s">
        <v>26</v>
      </c>
      <c r="N119" t="s">
        <v>26</v>
      </c>
      <c r="O119" s="8" t="s">
        <v>26</v>
      </c>
      <c r="P119" s="8" t="s">
        <v>26</v>
      </c>
      <c r="Q119" s="8">
        <f>(2375365*100)/2680339</f>
        <v>88.621812390149159</v>
      </c>
    </row>
    <row r="120" spans="1:17" x14ac:dyDescent="0.2">
      <c r="A120">
        <v>2011</v>
      </c>
      <c r="B120" t="s">
        <v>203</v>
      </c>
      <c r="C120" t="s">
        <v>39</v>
      </c>
      <c r="D120" t="s">
        <v>81</v>
      </c>
      <c r="E120">
        <v>6</v>
      </c>
      <c r="F120" t="s">
        <v>19</v>
      </c>
      <c r="G120" t="s">
        <v>20</v>
      </c>
      <c r="H120" t="s">
        <v>200</v>
      </c>
      <c r="I120" t="s">
        <v>36</v>
      </c>
      <c r="J120" t="s">
        <v>42</v>
      </c>
      <c r="K120" t="s">
        <v>24</v>
      </c>
      <c r="L120" t="s">
        <v>25</v>
      </c>
      <c r="M120" s="8" t="s">
        <v>26</v>
      </c>
      <c r="N120" t="s">
        <v>26</v>
      </c>
      <c r="O120" s="8" t="s">
        <v>26</v>
      </c>
      <c r="P120" s="8" t="s">
        <v>26</v>
      </c>
      <c r="Q120" s="8">
        <f>(2375365*100)/2680339</f>
        <v>88.621812390149159</v>
      </c>
    </row>
    <row r="121" spans="1:17" x14ac:dyDescent="0.2">
      <c r="A121">
        <v>2011</v>
      </c>
      <c r="B121" t="s">
        <v>204</v>
      </c>
      <c r="C121" t="s">
        <v>120</v>
      </c>
      <c r="D121" t="s">
        <v>111</v>
      </c>
      <c r="E121">
        <v>5</v>
      </c>
      <c r="F121" t="s">
        <v>19</v>
      </c>
      <c r="G121" t="s">
        <v>20</v>
      </c>
      <c r="H121" t="s">
        <v>205</v>
      </c>
      <c r="I121" t="s">
        <v>22</v>
      </c>
      <c r="J121" t="s">
        <v>23</v>
      </c>
      <c r="K121" t="s">
        <v>24</v>
      </c>
      <c r="L121" t="s">
        <v>187</v>
      </c>
      <c r="M121" s="8">
        <v>2.5310000000000001</v>
      </c>
      <c r="N121" t="s">
        <v>26</v>
      </c>
      <c r="O121" s="8">
        <v>2.5310000000000001</v>
      </c>
      <c r="P121" s="8">
        <f>EXP(-1.363+3.366*LOG(O121,10))</f>
        <v>0.99449656031964306</v>
      </c>
      <c r="Q121" s="8">
        <f>(2256192*100)/6055896</f>
        <v>37.256121967748456</v>
      </c>
    </row>
    <row r="122" spans="1:17" x14ac:dyDescent="0.2">
      <c r="A122">
        <v>2011</v>
      </c>
      <c r="B122" t="s">
        <v>206</v>
      </c>
      <c r="C122" t="s">
        <v>30</v>
      </c>
      <c r="D122" t="s">
        <v>18</v>
      </c>
      <c r="E122">
        <v>5</v>
      </c>
      <c r="F122" t="s">
        <v>19</v>
      </c>
      <c r="G122" t="s">
        <v>20</v>
      </c>
      <c r="H122" t="s">
        <v>207</v>
      </c>
      <c r="I122" t="s">
        <v>22</v>
      </c>
      <c r="J122" t="s">
        <v>31</v>
      </c>
      <c r="K122" t="s">
        <v>24</v>
      </c>
      <c r="L122" t="s">
        <v>25</v>
      </c>
      <c r="M122" s="8" t="s">
        <v>26</v>
      </c>
      <c r="N122" t="s">
        <v>26</v>
      </c>
      <c r="O122" s="8" t="s">
        <v>26</v>
      </c>
      <c r="P122" s="8" t="s">
        <v>26</v>
      </c>
      <c r="Q122" s="8">
        <f>(34897.31*100)/4728180</f>
        <v>0.73807067412831151</v>
      </c>
    </row>
    <row r="123" spans="1:17" x14ac:dyDescent="0.2">
      <c r="A123">
        <v>2011</v>
      </c>
      <c r="B123" t="s">
        <v>208</v>
      </c>
      <c r="C123" t="s">
        <v>89</v>
      </c>
      <c r="D123" t="s">
        <v>190</v>
      </c>
      <c r="E123">
        <v>7</v>
      </c>
      <c r="F123" t="s">
        <v>19</v>
      </c>
      <c r="G123" t="s">
        <v>209</v>
      </c>
      <c r="H123" t="s">
        <v>210</v>
      </c>
      <c r="I123" t="s">
        <v>22</v>
      </c>
      <c r="J123" t="s">
        <v>66</v>
      </c>
      <c r="K123" t="s">
        <v>24</v>
      </c>
      <c r="L123" t="s">
        <v>187</v>
      </c>
      <c r="M123" s="8" t="s">
        <v>26</v>
      </c>
      <c r="N123" t="s">
        <v>26</v>
      </c>
      <c r="O123" s="8" t="s">
        <v>26</v>
      </c>
      <c r="P123" s="8" t="s">
        <v>26</v>
      </c>
      <c r="Q123" s="8">
        <f>(61997.93*100)/7298102</f>
        <v>0.84950758430068529</v>
      </c>
    </row>
    <row r="124" spans="1:17" x14ac:dyDescent="0.2">
      <c r="A124">
        <v>2011</v>
      </c>
      <c r="B124" t="s">
        <v>211</v>
      </c>
      <c r="C124" t="s">
        <v>57</v>
      </c>
      <c r="D124" t="s">
        <v>58</v>
      </c>
      <c r="E124">
        <v>6</v>
      </c>
      <c r="F124" t="s">
        <v>19</v>
      </c>
      <c r="G124" t="s">
        <v>209</v>
      </c>
      <c r="H124" t="s">
        <v>212</v>
      </c>
      <c r="I124" t="s">
        <v>22</v>
      </c>
      <c r="J124" t="s">
        <v>31</v>
      </c>
      <c r="K124" t="s">
        <v>24</v>
      </c>
      <c r="L124" t="s">
        <v>187</v>
      </c>
      <c r="M124" s="8">
        <v>1.6839999999999999</v>
      </c>
      <c r="N124" t="s">
        <v>26</v>
      </c>
      <c r="O124" s="8">
        <v>1.6839999999999999</v>
      </c>
      <c r="P124" s="8">
        <f>EXP(-1.363+3.366*LOG(O124,10))</f>
        <v>0.54819043975287984</v>
      </c>
      <c r="Q124" s="8">
        <f>(321151.3*100)/5927002</f>
        <v>5.4184442657518925</v>
      </c>
    </row>
    <row r="125" spans="1:17" x14ac:dyDescent="0.2">
      <c r="A125">
        <v>2011</v>
      </c>
      <c r="B125" t="s">
        <v>213</v>
      </c>
      <c r="C125" t="s">
        <v>50</v>
      </c>
      <c r="D125" t="s">
        <v>55</v>
      </c>
      <c r="E125">
        <v>6</v>
      </c>
      <c r="F125" t="s">
        <v>19</v>
      </c>
      <c r="G125" t="s">
        <v>209</v>
      </c>
      <c r="H125" t="s">
        <v>212</v>
      </c>
      <c r="I125" t="s">
        <v>36</v>
      </c>
      <c r="J125" t="s">
        <v>42</v>
      </c>
      <c r="K125" t="s">
        <v>24</v>
      </c>
      <c r="L125" t="s">
        <v>187</v>
      </c>
      <c r="M125" s="8">
        <v>1.534</v>
      </c>
      <c r="N125" t="s">
        <v>26</v>
      </c>
      <c r="O125" s="8">
        <v>1.534</v>
      </c>
      <c r="P125" s="8">
        <f>EXP(-1.363+3.366*LOG(O125,10))</f>
        <v>0.47830252961730491</v>
      </c>
      <c r="Q125" s="8">
        <f>(4488342*100)/4914798</f>
        <v>91.323020803703429</v>
      </c>
    </row>
    <row r="126" spans="1:17" x14ac:dyDescent="0.2">
      <c r="A126">
        <v>2011</v>
      </c>
      <c r="B126" t="s">
        <v>214</v>
      </c>
      <c r="C126" t="s">
        <v>65</v>
      </c>
      <c r="D126" t="s">
        <v>58</v>
      </c>
      <c r="E126">
        <v>6</v>
      </c>
      <c r="F126" t="s">
        <v>19</v>
      </c>
      <c r="G126" t="s">
        <v>209</v>
      </c>
      <c r="H126" t="s">
        <v>212</v>
      </c>
      <c r="I126" t="s">
        <v>36</v>
      </c>
      <c r="J126" t="s">
        <v>66</v>
      </c>
      <c r="K126" t="s">
        <v>24</v>
      </c>
      <c r="L126" t="s">
        <v>187</v>
      </c>
      <c r="M126" s="8">
        <v>1.534</v>
      </c>
      <c r="N126" t="s">
        <v>26</v>
      </c>
      <c r="O126" s="8">
        <v>1.534</v>
      </c>
      <c r="P126" s="8">
        <f>EXP(-1.363+3.366*LOG(O126,10))</f>
        <v>0.47830252961730491</v>
      </c>
      <c r="Q126" s="8">
        <f>(1788886*100)/6788946</f>
        <v>26.349981278389901</v>
      </c>
    </row>
    <row r="127" spans="1:17" x14ac:dyDescent="0.2">
      <c r="A127">
        <v>2011</v>
      </c>
      <c r="B127" t="s">
        <v>215</v>
      </c>
      <c r="C127" t="s">
        <v>89</v>
      </c>
      <c r="D127" t="s">
        <v>53</v>
      </c>
      <c r="E127">
        <v>6</v>
      </c>
      <c r="F127" t="s">
        <v>19</v>
      </c>
      <c r="G127" t="s">
        <v>216</v>
      </c>
      <c r="H127" t="s">
        <v>217</v>
      </c>
      <c r="I127" t="s">
        <v>36</v>
      </c>
      <c r="J127" t="s">
        <v>66</v>
      </c>
      <c r="K127" t="s">
        <v>24</v>
      </c>
      <c r="L127" t="s">
        <v>25</v>
      </c>
      <c r="M127" s="8" t="s">
        <v>26</v>
      </c>
      <c r="N127" t="s">
        <v>26</v>
      </c>
      <c r="O127" s="8" t="s">
        <v>26</v>
      </c>
      <c r="P127" s="8" t="s">
        <v>26</v>
      </c>
      <c r="Q127" s="8">
        <f>(61997.93*100)/7298102</f>
        <v>0.84950758430068529</v>
      </c>
    </row>
    <row r="128" spans="1:17" x14ac:dyDescent="0.2">
      <c r="A128">
        <v>2011</v>
      </c>
      <c r="B128" t="s">
        <v>218</v>
      </c>
      <c r="C128" t="s">
        <v>39</v>
      </c>
      <c r="D128" t="s">
        <v>81</v>
      </c>
      <c r="E128">
        <v>6</v>
      </c>
      <c r="F128" t="s">
        <v>19</v>
      </c>
      <c r="G128" t="s">
        <v>219</v>
      </c>
      <c r="H128" t="s">
        <v>220</v>
      </c>
      <c r="I128" t="s">
        <v>22</v>
      </c>
      <c r="J128" t="s">
        <v>42</v>
      </c>
      <c r="K128" t="s">
        <v>24</v>
      </c>
      <c r="L128" t="s">
        <v>25</v>
      </c>
      <c r="M128" s="8">
        <v>2.8969999999999998</v>
      </c>
      <c r="N128" t="s">
        <v>26</v>
      </c>
      <c r="O128" s="8">
        <v>2.8969999999999998</v>
      </c>
      <c r="P128" s="8">
        <f>EXP(-1.363+3.366*LOG(O128,10))</f>
        <v>1.2115719332293342</v>
      </c>
      <c r="Q128" s="8">
        <f>(2375365*100)/2680339</f>
        <v>88.621812390149159</v>
      </c>
    </row>
    <row r="129" spans="1:17" x14ac:dyDescent="0.2">
      <c r="A129">
        <v>2011</v>
      </c>
      <c r="B129" t="s">
        <v>221</v>
      </c>
      <c r="C129" t="s">
        <v>39</v>
      </c>
      <c r="D129" t="s">
        <v>81</v>
      </c>
      <c r="E129">
        <v>6</v>
      </c>
      <c r="F129" t="s">
        <v>19</v>
      </c>
      <c r="G129" t="s">
        <v>219</v>
      </c>
      <c r="H129" t="s">
        <v>220</v>
      </c>
      <c r="I129" t="s">
        <v>22</v>
      </c>
      <c r="J129" t="s">
        <v>42</v>
      </c>
      <c r="K129" t="s">
        <v>24</v>
      </c>
      <c r="L129" t="s">
        <v>25</v>
      </c>
      <c r="M129" s="8">
        <v>2.8969999999999998</v>
      </c>
      <c r="N129" t="s">
        <v>26</v>
      </c>
      <c r="O129" s="8">
        <v>2.8969999999999998</v>
      </c>
      <c r="P129" s="8">
        <f>EXP(-1.363+3.366*LOG(O129,10))</f>
        <v>1.2115719332293342</v>
      </c>
      <c r="Q129" s="8">
        <f>(2375365*100)/2680339</f>
        <v>88.621812390149159</v>
      </c>
    </row>
    <row r="130" spans="1:17" x14ac:dyDescent="0.2">
      <c r="A130">
        <v>2011</v>
      </c>
      <c r="B130" t="s">
        <v>222</v>
      </c>
      <c r="C130" t="s">
        <v>39</v>
      </c>
      <c r="D130" t="s">
        <v>55</v>
      </c>
      <c r="E130">
        <v>6</v>
      </c>
      <c r="F130" t="s">
        <v>19</v>
      </c>
      <c r="G130" t="s">
        <v>219</v>
      </c>
      <c r="H130" t="s">
        <v>220</v>
      </c>
      <c r="I130" t="s">
        <v>22</v>
      </c>
      <c r="J130" t="s">
        <v>42</v>
      </c>
      <c r="K130" t="s">
        <v>24</v>
      </c>
      <c r="L130" t="s">
        <v>25</v>
      </c>
      <c r="M130" s="8">
        <v>2.8969999999999998</v>
      </c>
      <c r="N130" t="s">
        <v>26</v>
      </c>
      <c r="O130" s="8">
        <v>2.8969999999999998</v>
      </c>
      <c r="P130" s="8">
        <f>EXP(-1.363+3.366*LOG(O130,10))</f>
        <v>1.2115719332293342</v>
      </c>
      <c r="Q130" s="8">
        <f>(2375365*100)/2680339</f>
        <v>88.621812390149159</v>
      </c>
    </row>
    <row r="131" spans="1:17" x14ac:dyDescent="0.2">
      <c r="A131">
        <v>2011</v>
      </c>
      <c r="B131" t="s">
        <v>223</v>
      </c>
      <c r="C131" t="s">
        <v>39</v>
      </c>
      <c r="D131" t="s">
        <v>55</v>
      </c>
      <c r="E131">
        <v>6</v>
      </c>
      <c r="F131" t="s">
        <v>19</v>
      </c>
      <c r="G131" t="s">
        <v>219</v>
      </c>
      <c r="H131" t="s">
        <v>220</v>
      </c>
      <c r="I131" t="s">
        <v>22</v>
      </c>
      <c r="J131" t="s">
        <v>42</v>
      </c>
      <c r="K131" t="s">
        <v>24</v>
      </c>
      <c r="L131" t="s">
        <v>25</v>
      </c>
      <c r="M131" s="8">
        <v>2.8969999999999998</v>
      </c>
      <c r="N131" t="s">
        <v>26</v>
      </c>
      <c r="O131" s="8">
        <v>2.8969999999999998</v>
      </c>
      <c r="P131" s="8">
        <f>EXP(-1.363+3.366*LOG(O131,10))</f>
        <v>1.2115719332293342</v>
      </c>
      <c r="Q131" s="8">
        <f>(2375365*100)/2680339</f>
        <v>88.621812390149159</v>
      </c>
    </row>
    <row r="132" spans="1:17" x14ac:dyDescent="0.2">
      <c r="A132">
        <v>2011</v>
      </c>
      <c r="B132" t="s">
        <v>224</v>
      </c>
      <c r="C132" t="s">
        <v>50</v>
      </c>
      <c r="D132" t="s">
        <v>81</v>
      </c>
      <c r="E132">
        <v>6</v>
      </c>
      <c r="F132" t="s">
        <v>19</v>
      </c>
      <c r="G132" t="s">
        <v>219</v>
      </c>
      <c r="H132" t="s">
        <v>220</v>
      </c>
      <c r="I132" t="s">
        <v>22</v>
      </c>
      <c r="J132" t="s">
        <v>42</v>
      </c>
      <c r="K132" t="s">
        <v>24</v>
      </c>
      <c r="L132" t="s">
        <v>25</v>
      </c>
      <c r="M132" s="8">
        <v>2.8969999999999998</v>
      </c>
      <c r="N132" t="s">
        <v>26</v>
      </c>
      <c r="O132" s="8">
        <v>2.8969999999999998</v>
      </c>
      <c r="P132" s="8">
        <f>EXP(-1.363+3.366*LOG(O132,10))</f>
        <v>1.2115719332293342</v>
      </c>
      <c r="Q132" s="8">
        <f>(4488342*100)/4914798</f>
        <v>91.323020803703429</v>
      </c>
    </row>
    <row r="133" spans="1:17" x14ac:dyDescent="0.2">
      <c r="A133">
        <v>2011</v>
      </c>
      <c r="B133" t="s">
        <v>225</v>
      </c>
      <c r="C133" t="s">
        <v>60</v>
      </c>
      <c r="D133" t="s">
        <v>61</v>
      </c>
      <c r="E133">
        <v>6</v>
      </c>
      <c r="F133" t="s">
        <v>19</v>
      </c>
      <c r="G133" t="s">
        <v>219</v>
      </c>
      <c r="H133" t="s">
        <v>220</v>
      </c>
      <c r="I133" t="s">
        <v>22</v>
      </c>
      <c r="J133" t="s">
        <v>31</v>
      </c>
      <c r="K133" t="s">
        <v>24</v>
      </c>
      <c r="L133" t="s">
        <v>25</v>
      </c>
      <c r="M133" s="8">
        <v>2.8969999999999998</v>
      </c>
      <c r="N133" t="s">
        <v>26</v>
      </c>
      <c r="O133" s="8">
        <v>2.8969999999999998</v>
      </c>
      <c r="P133" s="8">
        <f>EXP(-1.363+3.366*LOG(O133,10))</f>
        <v>1.2115719332293342</v>
      </c>
      <c r="Q133" s="8">
        <f>(27433.05*100)/7611378</f>
        <v>0.36042159514348127</v>
      </c>
    </row>
    <row r="134" spans="1:17" x14ac:dyDescent="0.2">
      <c r="A134">
        <v>2011</v>
      </c>
      <c r="B134" t="s">
        <v>226</v>
      </c>
      <c r="C134" t="s">
        <v>30</v>
      </c>
      <c r="D134" t="s">
        <v>100</v>
      </c>
      <c r="E134">
        <v>7</v>
      </c>
      <c r="F134" t="s">
        <v>19</v>
      </c>
      <c r="G134" t="s">
        <v>219</v>
      </c>
      <c r="H134" t="s">
        <v>220</v>
      </c>
      <c r="I134" t="s">
        <v>22</v>
      </c>
      <c r="J134" t="s">
        <v>31</v>
      </c>
      <c r="K134" t="s">
        <v>24</v>
      </c>
      <c r="L134" t="s">
        <v>25</v>
      </c>
      <c r="M134" s="8">
        <v>2.8969999999999998</v>
      </c>
      <c r="N134" t="s">
        <v>26</v>
      </c>
      <c r="O134" s="8">
        <v>2.8969999999999998</v>
      </c>
      <c r="P134" s="8">
        <f>EXP(-1.363+3.366*LOG(O134,10))</f>
        <v>1.2115719332293342</v>
      </c>
      <c r="Q134" s="8">
        <f>(34897.31*100)/4728180</f>
        <v>0.73807067412831151</v>
      </c>
    </row>
    <row r="135" spans="1:17" x14ac:dyDescent="0.2">
      <c r="A135">
        <v>2011</v>
      </c>
      <c r="B135" t="s">
        <v>227</v>
      </c>
      <c r="C135" t="s">
        <v>50</v>
      </c>
      <c r="D135" t="s">
        <v>81</v>
      </c>
      <c r="E135">
        <v>6</v>
      </c>
      <c r="F135" t="s">
        <v>19</v>
      </c>
      <c r="G135" t="s">
        <v>228</v>
      </c>
      <c r="H135" t="s">
        <v>220</v>
      </c>
      <c r="I135" t="s">
        <v>22</v>
      </c>
      <c r="J135" t="s">
        <v>42</v>
      </c>
      <c r="K135" t="s">
        <v>24</v>
      </c>
      <c r="L135" t="s">
        <v>25</v>
      </c>
      <c r="M135" s="8">
        <v>2.8969999999999998</v>
      </c>
      <c r="N135" t="s">
        <v>26</v>
      </c>
      <c r="O135" s="8">
        <v>2.8969999999999998</v>
      </c>
      <c r="P135" s="8">
        <f>EXP(-1.363+3.366*LOG(O135,10))</f>
        <v>1.2115719332293342</v>
      </c>
      <c r="Q135" s="8">
        <f>(4488342*100)/4914798</f>
        <v>91.323020803703429</v>
      </c>
    </row>
    <row r="136" spans="1:17" x14ac:dyDescent="0.2">
      <c r="A136">
        <v>2011</v>
      </c>
      <c r="B136" t="s">
        <v>229</v>
      </c>
      <c r="C136" t="s">
        <v>60</v>
      </c>
      <c r="D136" t="s">
        <v>61</v>
      </c>
      <c r="E136">
        <v>6</v>
      </c>
      <c r="F136" t="s">
        <v>19</v>
      </c>
      <c r="G136" t="s">
        <v>230</v>
      </c>
      <c r="H136" t="s">
        <v>231</v>
      </c>
      <c r="I136" t="s">
        <v>22</v>
      </c>
      <c r="J136" t="s">
        <v>31</v>
      </c>
      <c r="K136" t="s">
        <v>24</v>
      </c>
      <c r="L136" t="s">
        <v>25</v>
      </c>
      <c r="M136" s="8" t="s">
        <v>26</v>
      </c>
      <c r="N136" t="s">
        <v>26</v>
      </c>
      <c r="O136" s="8" t="s">
        <v>26</v>
      </c>
      <c r="P136" s="8" t="s">
        <v>26</v>
      </c>
      <c r="Q136" s="8">
        <f>(27433.05*100)/7611378</f>
        <v>0.36042159514348127</v>
      </c>
    </row>
    <row r="137" spans="1:17" x14ac:dyDescent="0.2">
      <c r="A137">
        <v>2011</v>
      </c>
      <c r="B137" t="s">
        <v>232</v>
      </c>
      <c r="C137" t="s">
        <v>30</v>
      </c>
      <c r="D137" t="s">
        <v>95</v>
      </c>
      <c r="E137">
        <v>7</v>
      </c>
      <c r="F137" t="s">
        <v>19</v>
      </c>
      <c r="G137" t="s">
        <v>230</v>
      </c>
      <c r="H137" t="s">
        <v>231</v>
      </c>
      <c r="I137" t="s">
        <v>36</v>
      </c>
      <c r="J137" t="s">
        <v>31</v>
      </c>
      <c r="K137" t="s">
        <v>24</v>
      </c>
      <c r="L137" t="s">
        <v>25</v>
      </c>
      <c r="M137" s="8">
        <v>3.694</v>
      </c>
      <c r="N137" t="s">
        <v>26</v>
      </c>
      <c r="O137" s="8">
        <v>3.694</v>
      </c>
      <c r="P137" s="8">
        <f>EXP(-1.363+3.366*LOG(O137,10))</f>
        <v>1.7283972525050015</v>
      </c>
      <c r="Q137" s="8">
        <f>(34897.31*100)/4728180</f>
        <v>0.73807067412831151</v>
      </c>
    </row>
    <row r="138" spans="1:17" x14ac:dyDescent="0.2">
      <c r="A138">
        <v>2011</v>
      </c>
      <c r="B138" t="s">
        <v>233</v>
      </c>
      <c r="C138" t="s">
        <v>50</v>
      </c>
      <c r="D138" t="s">
        <v>53</v>
      </c>
      <c r="E138">
        <v>6</v>
      </c>
      <c r="F138" t="s">
        <v>19</v>
      </c>
      <c r="G138" t="s">
        <v>230</v>
      </c>
      <c r="H138" t="s">
        <v>231</v>
      </c>
      <c r="I138" t="s">
        <v>36</v>
      </c>
      <c r="J138" t="s">
        <v>42</v>
      </c>
      <c r="K138" t="s">
        <v>24</v>
      </c>
      <c r="L138" t="s">
        <v>25</v>
      </c>
      <c r="M138" s="8">
        <v>3.694</v>
      </c>
      <c r="N138" t="s">
        <v>26</v>
      </c>
      <c r="O138" s="8">
        <v>3.694</v>
      </c>
      <c r="P138" s="8">
        <f>EXP(-1.363+3.366*LOG(O138,10))</f>
        <v>1.7283972525050015</v>
      </c>
      <c r="Q138" s="8">
        <f>(4488342*100)/4914798</f>
        <v>91.323020803703429</v>
      </c>
    </row>
    <row r="139" spans="1:17" x14ac:dyDescent="0.2">
      <c r="A139">
        <v>2011</v>
      </c>
      <c r="B139" t="s">
        <v>234</v>
      </c>
      <c r="C139" t="s">
        <v>60</v>
      </c>
      <c r="D139" t="s">
        <v>53</v>
      </c>
      <c r="E139">
        <v>6</v>
      </c>
      <c r="F139" t="s">
        <v>19</v>
      </c>
      <c r="G139" t="s">
        <v>230</v>
      </c>
      <c r="H139" t="s">
        <v>235</v>
      </c>
      <c r="I139" t="s">
        <v>22</v>
      </c>
      <c r="J139" t="s">
        <v>31</v>
      </c>
      <c r="K139" t="s">
        <v>24</v>
      </c>
      <c r="L139" t="s">
        <v>25</v>
      </c>
      <c r="M139" s="8">
        <v>3.4609999999999999</v>
      </c>
      <c r="N139" t="s">
        <v>26</v>
      </c>
      <c r="O139" s="8">
        <v>3.4609999999999999</v>
      </c>
      <c r="P139" s="8">
        <f>EXP(-1.363+3.366*LOG(O139,10))</f>
        <v>1.5713774371592206</v>
      </c>
      <c r="Q139" s="8">
        <f>(27433.05*100)/7611378</f>
        <v>0.36042159514348127</v>
      </c>
    </row>
    <row r="140" spans="1:17" x14ac:dyDescent="0.2">
      <c r="A140">
        <v>2011</v>
      </c>
      <c r="B140" t="s">
        <v>236</v>
      </c>
      <c r="C140" t="s">
        <v>89</v>
      </c>
      <c r="D140" t="s">
        <v>53</v>
      </c>
      <c r="E140">
        <v>6</v>
      </c>
      <c r="F140" t="s">
        <v>19</v>
      </c>
      <c r="G140" t="s">
        <v>230</v>
      </c>
      <c r="H140" t="s">
        <v>235</v>
      </c>
      <c r="I140" t="s">
        <v>22</v>
      </c>
      <c r="J140" t="s">
        <v>66</v>
      </c>
      <c r="K140" t="s">
        <v>24</v>
      </c>
      <c r="L140" t="s">
        <v>25</v>
      </c>
      <c r="M140" s="8">
        <v>3.4609999999999999</v>
      </c>
      <c r="N140" t="s">
        <v>26</v>
      </c>
      <c r="O140" s="8">
        <v>3.4609999999999999</v>
      </c>
      <c r="P140" s="8">
        <f>EXP(-1.363+3.366*LOG(O140,10))</f>
        <v>1.5713774371592206</v>
      </c>
      <c r="Q140" s="8">
        <f>(61997.93*100)/7298102</f>
        <v>0.84950758430068529</v>
      </c>
    </row>
    <row r="141" spans="1:17" x14ac:dyDescent="0.2">
      <c r="A141">
        <v>2011</v>
      </c>
      <c r="B141" t="s">
        <v>237</v>
      </c>
      <c r="C141" t="s">
        <v>57</v>
      </c>
      <c r="D141" t="s">
        <v>71</v>
      </c>
      <c r="E141">
        <v>7</v>
      </c>
      <c r="F141" t="s">
        <v>19</v>
      </c>
      <c r="G141" t="s">
        <v>230</v>
      </c>
      <c r="H141" t="s">
        <v>235</v>
      </c>
      <c r="I141" t="s">
        <v>22</v>
      </c>
      <c r="J141" t="s">
        <v>31</v>
      </c>
      <c r="K141" t="s">
        <v>24</v>
      </c>
      <c r="L141" t="s">
        <v>25</v>
      </c>
      <c r="M141" s="8">
        <v>3.4609999999999999</v>
      </c>
      <c r="N141" t="s">
        <v>26</v>
      </c>
      <c r="O141" s="8">
        <v>3.4609999999999999</v>
      </c>
      <c r="P141" s="8">
        <f>EXP(-1.363+3.366*LOG(O141,10))</f>
        <v>1.5713774371592206</v>
      </c>
      <c r="Q141" s="8">
        <f>(321151.3*100)/5927002</f>
        <v>5.4184442657518925</v>
      </c>
    </row>
    <row r="142" spans="1:17" x14ac:dyDescent="0.2">
      <c r="A142">
        <v>2011</v>
      </c>
      <c r="B142" t="s">
        <v>238</v>
      </c>
      <c r="C142" t="s">
        <v>60</v>
      </c>
      <c r="D142" t="s">
        <v>61</v>
      </c>
      <c r="E142">
        <v>6</v>
      </c>
      <c r="F142" t="s">
        <v>19</v>
      </c>
      <c r="G142" t="s">
        <v>230</v>
      </c>
      <c r="H142" t="s">
        <v>235</v>
      </c>
      <c r="I142" t="s">
        <v>22</v>
      </c>
      <c r="J142" t="s">
        <v>31</v>
      </c>
      <c r="K142" t="s">
        <v>24</v>
      </c>
      <c r="L142" t="s">
        <v>25</v>
      </c>
      <c r="M142" s="8">
        <v>3.4609999999999999</v>
      </c>
      <c r="N142" t="s">
        <v>26</v>
      </c>
      <c r="O142" s="8">
        <v>3.4609999999999999</v>
      </c>
      <c r="P142" s="8">
        <f>EXP(-1.363+3.366*LOG(O142,10))</f>
        <v>1.5713774371592206</v>
      </c>
      <c r="Q142" s="8">
        <f>(27433.05*100)/7611378</f>
        <v>0.36042159514348127</v>
      </c>
    </row>
    <row r="143" spans="1:17" x14ac:dyDescent="0.2">
      <c r="A143">
        <v>2011</v>
      </c>
      <c r="B143" t="s">
        <v>239</v>
      </c>
      <c r="C143" t="s">
        <v>60</v>
      </c>
      <c r="D143" t="s">
        <v>61</v>
      </c>
      <c r="E143">
        <v>6</v>
      </c>
      <c r="F143" t="s">
        <v>19</v>
      </c>
      <c r="G143" t="s">
        <v>230</v>
      </c>
      <c r="H143" t="s">
        <v>235</v>
      </c>
      <c r="I143" t="s">
        <v>22</v>
      </c>
      <c r="J143" t="s">
        <v>31</v>
      </c>
      <c r="K143" t="s">
        <v>24</v>
      </c>
      <c r="L143" t="s">
        <v>25</v>
      </c>
      <c r="M143" s="8">
        <v>3.4609999999999999</v>
      </c>
      <c r="N143" t="s">
        <v>26</v>
      </c>
      <c r="O143" s="8">
        <v>3.4609999999999999</v>
      </c>
      <c r="P143" s="8">
        <f>EXP(-1.363+3.366*LOG(O143,10))</f>
        <v>1.5713774371592206</v>
      </c>
      <c r="Q143" s="8">
        <f>(27433.05*100)/7611378</f>
        <v>0.36042159514348127</v>
      </c>
    </row>
    <row r="144" spans="1:17" x14ac:dyDescent="0.2">
      <c r="A144">
        <v>2011</v>
      </c>
      <c r="B144" t="s">
        <v>240</v>
      </c>
      <c r="C144" t="s">
        <v>60</v>
      </c>
      <c r="D144" t="s">
        <v>61</v>
      </c>
      <c r="E144">
        <v>6</v>
      </c>
      <c r="F144" t="s">
        <v>19</v>
      </c>
      <c r="G144" t="s">
        <v>230</v>
      </c>
      <c r="H144" t="s">
        <v>235</v>
      </c>
      <c r="I144" t="s">
        <v>22</v>
      </c>
      <c r="J144" t="s">
        <v>31</v>
      </c>
      <c r="K144" t="s">
        <v>24</v>
      </c>
      <c r="L144" t="s">
        <v>25</v>
      </c>
      <c r="M144" s="8">
        <v>3.4609999999999999</v>
      </c>
      <c r="N144" t="s">
        <v>26</v>
      </c>
      <c r="O144" s="8">
        <v>3.4609999999999999</v>
      </c>
      <c r="P144" s="8">
        <f>EXP(-1.363+3.366*LOG(O144,10))</f>
        <v>1.5713774371592206</v>
      </c>
      <c r="Q144" s="8">
        <f>(27433.05*100)/7611378</f>
        <v>0.36042159514348127</v>
      </c>
    </row>
    <row r="145" spans="1:17" x14ac:dyDescent="0.2">
      <c r="A145">
        <v>2011</v>
      </c>
      <c r="B145" t="s">
        <v>241</v>
      </c>
      <c r="C145" t="s">
        <v>30</v>
      </c>
      <c r="D145" t="s">
        <v>95</v>
      </c>
      <c r="E145">
        <v>7</v>
      </c>
      <c r="F145" t="s">
        <v>19</v>
      </c>
      <c r="G145" t="s">
        <v>230</v>
      </c>
      <c r="H145" t="s">
        <v>235</v>
      </c>
      <c r="I145" t="s">
        <v>22</v>
      </c>
      <c r="J145" t="s">
        <v>31</v>
      </c>
      <c r="K145" t="s">
        <v>24</v>
      </c>
      <c r="L145" t="s">
        <v>25</v>
      </c>
      <c r="M145" s="8">
        <v>3.4609999999999999</v>
      </c>
      <c r="N145" t="s">
        <v>26</v>
      </c>
      <c r="O145" s="8">
        <v>3.4609999999999999</v>
      </c>
      <c r="P145" s="8">
        <f>EXP(-1.363+3.366*LOG(O145,10))</f>
        <v>1.5713774371592206</v>
      </c>
      <c r="Q145" s="8">
        <f>(34897.31*100)/4728180</f>
        <v>0.73807067412831151</v>
      </c>
    </row>
    <row r="146" spans="1:17" x14ac:dyDescent="0.2">
      <c r="A146">
        <v>2011</v>
      </c>
      <c r="B146" t="s">
        <v>242</v>
      </c>
      <c r="C146" t="s">
        <v>30</v>
      </c>
      <c r="D146" t="s">
        <v>95</v>
      </c>
      <c r="E146">
        <v>7</v>
      </c>
      <c r="F146" t="s">
        <v>19</v>
      </c>
      <c r="G146" t="s">
        <v>230</v>
      </c>
      <c r="H146" t="s">
        <v>235</v>
      </c>
      <c r="I146" t="s">
        <v>22</v>
      </c>
      <c r="J146" t="s">
        <v>31</v>
      </c>
      <c r="K146" t="s">
        <v>24</v>
      </c>
      <c r="L146" t="s">
        <v>25</v>
      </c>
      <c r="M146" s="8">
        <v>3.4609999999999999</v>
      </c>
      <c r="N146" t="s">
        <v>26</v>
      </c>
      <c r="O146" s="8">
        <v>3.4609999999999999</v>
      </c>
      <c r="P146" s="8">
        <f>EXP(-1.363+3.366*LOG(O146,10))</f>
        <v>1.5713774371592206</v>
      </c>
      <c r="Q146" s="8">
        <f>(34897.31*100)/4728180</f>
        <v>0.73807067412831151</v>
      </c>
    </row>
    <row r="147" spans="1:17" x14ac:dyDescent="0.2">
      <c r="A147">
        <v>2011</v>
      </c>
      <c r="B147" t="s">
        <v>243</v>
      </c>
      <c r="C147" t="s">
        <v>57</v>
      </c>
      <c r="D147" t="s">
        <v>58</v>
      </c>
      <c r="E147">
        <v>6</v>
      </c>
      <c r="F147" t="s">
        <v>19</v>
      </c>
      <c r="G147" t="s">
        <v>230</v>
      </c>
      <c r="H147" t="s">
        <v>235</v>
      </c>
      <c r="I147" t="s">
        <v>22</v>
      </c>
      <c r="J147" t="s">
        <v>31</v>
      </c>
      <c r="K147" t="s">
        <v>24</v>
      </c>
      <c r="L147" t="s">
        <v>25</v>
      </c>
      <c r="M147" s="8">
        <v>3.4609999999999999</v>
      </c>
      <c r="N147" t="s">
        <v>26</v>
      </c>
      <c r="O147" s="8">
        <v>3.4609999999999999</v>
      </c>
      <c r="P147" s="8">
        <f>EXP(-1.363+3.366*LOG(O147,10))</f>
        <v>1.5713774371592206</v>
      </c>
      <c r="Q147" s="8">
        <f>(321151.3*100)/5927002</f>
        <v>5.4184442657518925</v>
      </c>
    </row>
    <row r="148" spans="1:17" x14ac:dyDescent="0.2">
      <c r="A148">
        <v>2011</v>
      </c>
      <c r="B148" t="s">
        <v>244</v>
      </c>
      <c r="C148" t="s">
        <v>94</v>
      </c>
      <c r="D148" t="s">
        <v>95</v>
      </c>
      <c r="E148">
        <v>7</v>
      </c>
      <c r="F148" t="s">
        <v>19</v>
      </c>
      <c r="G148" t="s">
        <v>230</v>
      </c>
      <c r="H148" t="s">
        <v>235</v>
      </c>
      <c r="I148" t="s">
        <v>22</v>
      </c>
      <c r="J148" t="s">
        <v>66</v>
      </c>
      <c r="K148" t="s">
        <v>24</v>
      </c>
      <c r="L148" t="s">
        <v>25</v>
      </c>
      <c r="M148" s="8">
        <v>3.4609999999999999</v>
      </c>
      <c r="N148" t="s">
        <v>26</v>
      </c>
      <c r="O148" s="8">
        <v>3.4609999999999999</v>
      </c>
      <c r="P148" s="8">
        <f>EXP(-1.363+3.366*LOG(O148,10))</f>
        <v>1.5713774371592206</v>
      </c>
      <c r="Q148" s="8">
        <f>(46623.23*100)/15165196</f>
        <v>0.30743572321782059</v>
      </c>
    </row>
    <row r="149" spans="1:17" x14ac:dyDescent="0.2">
      <c r="A149">
        <v>2011</v>
      </c>
      <c r="B149" t="s">
        <v>245</v>
      </c>
      <c r="C149" t="s">
        <v>94</v>
      </c>
      <c r="D149" t="s">
        <v>95</v>
      </c>
      <c r="E149">
        <v>7</v>
      </c>
      <c r="F149" t="s">
        <v>19</v>
      </c>
      <c r="G149" t="s">
        <v>230</v>
      </c>
      <c r="H149" t="s">
        <v>235</v>
      </c>
      <c r="I149" t="s">
        <v>22</v>
      </c>
      <c r="J149" t="s">
        <v>66</v>
      </c>
      <c r="K149" t="s">
        <v>24</v>
      </c>
      <c r="L149" t="s">
        <v>25</v>
      </c>
      <c r="M149" s="8">
        <v>3.4609999999999999</v>
      </c>
      <c r="N149" t="s">
        <v>26</v>
      </c>
      <c r="O149" s="8">
        <v>3.4609999999999999</v>
      </c>
      <c r="P149" s="8">
        <f>EXP(-1.363+3.366*LOG(O149,10))</f>
        <v>1.5713774371592206</v>
      </c>
      <c r="Q149" s="8">
        <f>(46623.23*100)/15165196</f>
        <v>0.30743572321782059</v>
      </c>
    </row>
    <row r="150" spans="1:17" x14ac:dyDescent="0.2">
      <c r="A150">
        <v>2011</v>
      </c>
      <c r="B150" t="s">
        <v>246</v>
      </c>
      <c r="C150" t="s">
        <v>89</v>
      </c>
      <c r="D150" t="s">
        <v>40</v>
      </c>
      <c r="E150">
        <v>6</v>
      </c>
      <c r="F150" t="s">
        <v>19</v>
      </c>
      <c r="G150" t="s">
        <v>230</v>
      </c>
      <c r="H150" t="s">
        <v>235</v>
      </c>
      <c r="I150" t="s">
        <v>22</v>
      </c>
      <c r="J150" t="s">
        <v>66</v>
      </c>
      <c r="K150" t="s">
        <v>24</v>
      </c>
      <c r="L150" t="s">
        <v>25</v>
      </c>
      <c r="M150" s="8">
        <v>3.4609999999999999</v>
      </c>
      <c r="N150" t="s">
        <v>26</v>
      </c>
      <c r="O150" s="8">
        <v>3.4609999999999999</v>
      </c>
      <c r="P150" s="8">
        <f>EXP(-1.363+3.366*LOG(O150,10))</f>
        <v>1.5713774371592206</v>
      </c>
      <c r="Q150" s="8">
        <f>(61997.93*100)/7298102</f>
        <v>0.84950758430068529</v>
      </c>
    </row>
    <row r="151" spans="1:17" x14ac:dyDescent="0.2">
      <c r="A151">
        <v>2011</v>
      </c>
      <c r="B151" t="s">
        <v>247</v>
      </c>
      <c r="C151" t="s">
        <v>89</v>
      </c>
      <c r="D151" t="s">
        <v>40</v>
      </c>
      <c r="E151">
        <v>6</v>
      </c>
      <c r="F151" t="s">
        <v>19</v>
      </c>
      <c r="G151" t="s">
        <v>230</v>
      </c>
      <c r="H151" t="s">
        <v>235</v>
      </c>
      <c r="I151" t="s">
        <v>22</v>
      </c>
      <c r="J151" t="s">
        <v>66</v>
      </c>
      <c r="K151" t="s">
        <v>24</v>
      </c>
      <c r="L151" t="s">
        <v>25</v>
      </c>
      <c r="M151" s="8">
        <v>3.4609999999999999</v>
      </c>
      <c r="N151" t="s">
        <v>26</v>
      </c>
      <c r="O151" s="8">
        <v>3.4609999999999999</v>
      </c>
      <c r="P151" s="8">
        <f>EXP(-1.363+3.366*LOG(O151,10))</f>
        <v>1.5713774371592206</v>
      </c>
      <c r="Q151" s="8">
        <f>(61997.93*100)/7298102</f>
        <v>0.84950758430068529</v>
      </c>
    </row>
    <row r="152" spans="1:17" x14ac:dyDescent="0.2">
      <c r="A152">
        <v>2011</v>
      </c>
      <c r="B152" t="s">
        <v>248</v>
      </c>
      <c r="C152" t="s">
        <v>89</v>
      </c>
      <c r="D152" t="s">
        <v>40</v>
      </c>
      <c r="E152">
        <v>6</v>
      </c>
      <c r="F152" t="s">
        <v>19</v>
      </c>
      <c r="G152" t="s">
        <v>230</v>
      </c>
      <c r="H152" t="s">
        <v>235</v>
      </c>
      <c r="I152" t="s">
        <v>22</v>
      </c>
      <c r="J152" t="s">
        <v>66</v>
      </c>
      <c r="K152" t="s">
        <v>24</v>
      </c>
      <c r="L152" t="s">
        <v>25</v>
      </c>
      <c r="M152" s="8">
        <v>3.4609999999999999</v>
      </c>
      <c r="N152" t="s">
        <v>26</v>
      </c>
      <c r="O152" s="8">
        <v>3.4609999999999999</v>
      </c>
      <c r="P152" s="8">
        <f>EXP(-1.363+3.366*LOG(O152,10))</f>
        <v>1.5713774371592206</v>
      </c>
      <c r="Q152" s="8">
        <f>(61997.93*100)/7298102</f>
        <v>0.84950758430068529</v>
      </c>
    </row>
    <row r="153" spans="1:17" x14ac:dyDescent="0.2">
      <c r="A153">
        <v>2011</v>
      </c>
      <c r="B153" t="s">
        <v>249</v>
      </c>
      <c r="C153" t="s">
        <v>89</v>
      </c>
      <c r="D153" t="s">
        <v>40</v>
      </c>
      <c r="E153">
        <v>6</v>
      </c>
      <c r="F153" t="s">
        <v>19</v>
      </c>
      <c r="G153" t="s">
        <v>230</v>
      </c>
      <c r="H153" t="s">
        <v>235</v>
      </c>
      <c r="I153" t="s">
        <v>22</v>
      </c>
      <c r="J153" t="s">
        <v>66</v>
      </c>
      <c r="K153" t="s">
        <v>24</v>
      </c>
      <c r="L153" t="s">
        <v>25</v>
      </c>
      <c r="M153" s="8">
        <v>3.4609999999999999</v>
      </c>
      <c r="N153" t="s">
        <v>26</v>
      </c>
      <c r="O153" s="8">
        <v>3.4609999999999999</v>
      </c>
      <c r="P153" s="8">
        <f>EXP(-1.363+3.366*LOG(O153,10))</f>
        <v>1.5713774371592206</v>
      </c>
      <c r="Q153" s="8">
        <f>(61997.93*100)/7298102</f>
        <v>0.84950758430068529</v>
      </c>
    </row>
    <row r="154" spans="1:17" x14ac:dyDescent="0.2">
      <c r="A154">
        <v>2011</v>
      </c>
      <c r="B154" t="s">
        <v>250</v>
      </c>
      <c r="C154" t="s">
        <v>57</v>
      </c>
      <c r="D154" t="s">
        <v>71</v>
      </c>
      <c r="E154">
        <v>7</v>
      </c>
      <c r="F154" t="s">
        <v>19</v>
      </c>
      <c r="G154" t="s">
        <v>230</v>
      </c>
      <c r="H154" t="s">
        <v>235</v>
      </c>
      <c r="I154" t="s">
        <v>26</v>
      </c>
      <c r="J154" t="s">
        <v>31</v>
      </c>
      <c r="K154" t="s">
        <v>24</v>
      </c>
      <c r="L154" t="s">
        <v>25</v>
      </c>
      <c r="M154" s="8" t="s">
        <v>26</v>
      </c>
      <c r="N154" t="s">
        <v>26</v>
      </c>
      <c r="O154" s="8" t="s">
        <v>26</v>
      </c>
      <c r="P154" s="8" t="s">
        <v>26</v>
      </c>
      <c r="Q154" s="8">
        <f>(321151.3*100)/5927002</f>
        <v>5.4184442657518925</v>
      </c>
    </row>
    <row r="155" spans="1:17" x14ac:dyDescent="0.2">
      <c r="A155">
        <v>2011</v>
      </c>
      <c r="B155" t="s">
        <v>251</v>
      </c>
      <c r="C155" t="s">
        <v>57</v>
      </c>
      <c r="D155" t="s">
        <v>71</v>
      </c>
      <c r="E155">
        <v>7</v>
      </c>
      <c r="F155" t="s">
        <v>19</v>
      </c>
      <c r="G155" t="s">
        <v>230</v>
      </c>
      <c r="H155" t="s">
        <v>235</v>
      </c>
      <c r="I155" t="s">
        <v>26</v>
      </c>
      <c r="J155" t="s">
        <v>31</v>
      </c>
      <c r="K155" t="s">
        <v>24</v>
      </c>
      <c r="L155" t="s">
        <v>25</v>
      </c>
      <c r="M155" s="8" t="s">
        <v>26</v>
      </c>
      <c r="N155" t="s">
        <v>26</v>
      </c>
      <c r="O155" s="8" t="s">
        <v>26</v>
      </c>
      <c r="P155" s="8" t="s">
        <v>26</v>
      </c>
      <c r="Q155" s="8">
        <f>(321151.3*100)/5927002</f>
        <v>5.4184442657518925</v>
      </c>
    </row>
    <row r="156" spans="1:17" x14ac:dyDescent="0.2">
      <c r="A156">
        <v>2011</v>
      </c>
      <c r="B156" t="s">
        <v>252</v>
      </c>
      <c r="C156" t="s">
        <v>57</v>
      </c>
      <c r="D156" t="s">
        <v>71</v>
      </c>
      <c r="E156">
        <v>7</v>
      </c>
      <c r="F156" t="s">
        <v>19</v>
      </c>
      <c r="G156" t="s">
        <v>230</v>
      </c>
      <c r="H156" t="s">
        <v>235</v>
      </c>
      <c r="I156" t="s">
        <v>26</v>
      </c>
      <c r="J156" t="s">
        <v>31</v>
      </c>
      <c r="K156" t="s">
        <v>24</v>
      </c>
      <c r="L156" t="s">
        <v>25</v>
      </c>
      <c r="M156" s="8" t="s">
        <v>26</v>
      </c>
      <c r="N156" t="s">
        <v>26</v>
      </c>
      <c r="O156" s="8" t="s">
        <v>26</v>
      </c>
      <c r="P156" s="8" t="s">
        <v>26</v>
      </c>
      <c r="Q156" s="8">
        <f>(321151.3*100)/5927002</f>
        <v>5.4184442657518925</v>
      </c>
    </row>
    <row r="157" spans="1:17" x14ac:dyDescent="0.2">
      <c r="A157">
        <v>2011</v>
      </c>
      <c r="B157" t="s">
        <v>253</v>
      </c>
      <c r="C157" t="s">
        <v>57</v>
      </c>
      <c r="D157" t="s">
        <v>71</v>
      </c>
      <c r="E157">
        <v>7</v>
      </c>
      <c r="F157" t="s">
        <v>19</v>
      </c>
      <c r="G157" t="s">
        <v>230</v>
      </c>
      <c r="H157" t="s">
        <v>235</v>
      </c>
      <c r="I157" t="s">
        <v>26</v>
      </c>
      <c r="J157" t="s">
        <v>31</v>
      </c>
      <c r="K157" t="s">
        <v>24</v>
      </c>
      <c r="L157" t="s">
        <v>25</v>
      </c>
      <c r="M157" s="8" t="s">
        <v>26</v>
      </c>
      <c r="N157" t="s">
        <v>26</v>
      </c>
      <c r="O157" s="8" t="s">
        <v>26</v>
      </c>
      <c r="P157" s="8" t="s">
        <v>26</v>
      </c>
      <c r="Q157" s="8">
        <f>(321151.3*100)/5927002</f>
        <v>5.4184442657518925</v>
      </c>
    </row>
    <row r="158" spans="1:17" x14ac:dyDescent="0.2">
      <c r="A158">
        <v>2011</v>
      </c>
      <c r="B158" t="s">
        <v>254</v>
      </c>
      <c r="C158" t="s">
        <v>60</v>
      </c>
      <c r="D158" t="s">
        <v>61</v>
      </c>
      <c r="E158">
        <v>6</v>
      </c>
      <c r="F158" t="s">
        <v>19</v>
      </c>
      <c r="G158" t="s">
        <v>230</v>
      </c>
      <c r="H158" t="s">
        <v>255</v>
      </c>
      <c r="I158" t="s">
        <v>22</v>
      </c>
      <c r="J158" t="s">
        <v>31</v>
      </c>
      <c r="K158" t="s">
        <v>24</v>
      </c>
      <c r="L158" t="s">
        <v>25</v>
      </c>
      <c r="M158" s="8">
        <v>3.1943333329999999</v>
      </c>
      <c r="N158" t="s">
        <v>26</v>
      </c>
      <c r="O158" s="8">
        <v>3.1943333329999999</v>
      </c>
      <c r="P158" s="8">
        <f>EXP(-1.363+3.366*LOG(O158,10))</f>
        <v>1.3975823704079444</v>
      </c>
      <c r="Q158" s="8">
        <f>(27433.05*100)/7611378</f>
        <v>0.36042159514348127</v>
      </c>
    </row>
    <row r="159" spans="1:17" x14ac:dyDescent="0.2">
      <c r="A159">
        <v>2011</v>
      </c>
      <c r="B159" t="s">
        <v>256</v>
      </c>
      <c r="C159" t="s">
        <v>50</v>
      </c>
      <c r="D159" t="s">
        <v>53</v>
      </c>
      <c r="E159">
        <v>6</v>
      </c>
      <c r="F159" t="s">
        <v>19</v>
      </c>
      <c r="G159" t="s">
        <v>230</v>
      </c>
      <c r="H159" t="s">
        <v>255</v>
      </c>
      <c r="I159" t="s">
        <v>22</v>
      </c>
      <c r="J159" t="s">
        <v>42</v>
      </c>
      <c r="K159" t="s">
        <v>24</v>
      </c>
      <c r="L159" t="s">
        <v>25</v>
      </c>
      <c r="M159" s="8">
        <v>3.1943333329999999</v>
      </c>
      <c r="N159" t="s">
        <v>26</v>
      </c>
      <c r="O159" s="8">
        <v>3.1943333329999999</v>
      </c>
      <c r="P159" s="8">
        <f>EXP(-1.363+3.366*LOG(O159,10))</f>
        <v>1.3975823704079444</v>
      </c>
      <c r="Q159" s="8">
        <f>(4488342*100)/4914798</f>
        <v>91.323020803703429</v>
      </c>
    </row>
    <row r="160" spans="1:17" x14ac:dyDescent="0.2">
      <c r="A160">
        <v>2011</v>
      </c>
      <c r="B160" t="s">
        <v>257</v>
      </c>
      <c r="C160" t="s">
        <v>65</v>
      </c>
      <c r="D160" t="s">
        <v>71</v>
      </c>
      <c r="E160">
        <v>7</v>
      </c>
      <c r="F160" t="s">
        <v>19</v>
      </c>
      <c r="G160" t="s">
        <v>230</v>
      </c>
      <c r="H160" t="s">
        <v>255</v>
      </c>
      <c r="I160" t="s">
        <v>22</v>
      </c>
      <c r="J160" t="s">
        <v>66</v>
      </c>
      <c r="K160" t="s">
        <v>24</v>
      </c>
      <c r="L160" t="s">
        <v>25</v>
      </c>
      <c r="M160" s="8">
        <v>3.1943333329999999</v>
      </c>
      <c r="N160" t="s">
        <v>26</v>
      </c>
      <c r="O160" s="8">
        <v>3.1943333329999999</v>
      </c>
      <c r="P160" s="8">
        <f>EXP(-1.363+3.366*LOG(O160,10))</f>
        <v>1.3975823704079444</v>
      </c>
      <c r="Q160" s="8">
        <f>(1788886*100)/6788946</f>
        <v>26.349981278389901</v>
      </c>
    </row>
    <row r="161" spans="1:17" x14ac:dyDescent="0.2">
      <c r="A161">
        <v>2011</v>
      </c>
      <c r="B161" t="s">
        <v>258</v>
      </c>
      <c r="C161" t="s">
        <v>60</v>
      </c>
      <c r="D161" t="s">
        <v>53</v>
      </c>
      <c r="E161">
        <v>6</v>
      </c>
      <c r="F161" t="s">
        <v>19</v>
      </c>
      <c r="G161" t="s">
        <v>230</v>
      </c>
      <c r="H161" t="s">
        <v>259</v>
      </c>
      <c r="I161" t="s">
        <v>22</v>
      </c>
      <c r="J161" t="s">
        <v>31</v>
      </c>
      <c r="K161" t="s">
        <v>24</v>
      </c>
      <c r="L161" t="s">
        <v>25</v>
      </c>
      <c r="M161" s="8">
        <v>4.2283333330000001</v>
      </c>
      <c r="N161" t="s">
        <v>26</v>
      </c>
      <c r="O161" s="8">
        <v>4.2283333330000001</v>
      </c>
      <c r="P161" s="8">
        <f>EXP(-1.363+3.366*LOG(O161,10))</f>
        <v>2.1057792396965977</v>
      </c>
      <c r="Q161" s="8">
        <f>(27433.05*100)/7611378</f>
        <v>0.36042159514348127</v>
      </c>
    </row>
    <row r="162" spans="1:17" x14ac:dyDescent="0.2">
      <c r="A162">
        <v>2011</v>
      </c>
      <c r="B162" t="s">
        <v>260</v>
      </c>
      <c r="C162" t="s">
        <v>57</v>
      </c>
      <c r="D162" t="s">
        <v>71</v>
      </c>
      <c r="E162">
        <v>7</v>
      </c>
      <c r="F162" t="s">
        <v>19</v>
      </c>
      <c r="G162" t="s">
        <v>230</v>
      </c>
      <c r="H162" t="s">
        <v>261</v>
      </c>
      <c r="I162" t="s">
        <v>22</v>
      </c>
      <c r="J162" t="s">
        <v>31</v>
      </c>
      <c r="K162" t="s">
        <v>24</v>
      </c>
      <c r="L162" t="s">
        <v>25</v>
      </c>
      <c r="M162" s="8" t="s">
        <v>26</v>
      </c>
      <c r="N162" t="s">
        <v>26</v>
      </c>
      <c r="O162" s="8" t="s">
        <v>26</v>
      </c>
      <c r="P162" s="8" t="s">
        <v>26</v>
      </c>
      <c r="Q162" s="8">
        <f>(321151.3*100)/5927002</f>
        <v>5.4184442657518925</v>
      </c>
    </row>
    <row r="163" spans="1:17" x14ac:dyDescent="0.2">
      <c r="A163">
        <v>2011</v>
      </c>
      <c r="B163" t="s">
        <v>262</v>
      </c>
      <c r="C163" t="s">
        <v>120</v>
      </c>
      <c r="D163" t="s">
        <v>58</v>
      </c>
      <c r="E163">
        <v>6</v>
      </c>
      <c r="F163" t="s">
        <v>19</v>
      </c>
      <c r="G163" t="s">
        <v>230</v>
      </c>
      <c r="H163" t="s">
        <v>261</v>
      </c>
      <c r="I163" t="s">
        <v>22</v>
      </c>
      <c r="J163" t="s">
        <v>23</v>
      </c>
      <c r="K163" t="s">
        <v>24</v>
      </c>
      <c r="L163" t="s">
        <v>25</v>
      </c>
      <c r="M163" s="8" t="s">
        <v>26</v>
      </c>
      <c r="N163" t="s">
        <v>26</v>
      </c>
      <c r="O163" s="8" t="s">
        <v>26</v>
      </c>
      <c r="P163" s="8" t="s">
        <v>26</v>
      </c>
      <c r="Q163" s="8">
        <f>(2256192*100)/6055896</f>
        <v>37.256121967748456</v>
      </c>
    </row>
    <row r="164" spans="1:17" x14ac:dyDescent="0.2">
      <c r="A164">
        <v>2011</v>
      </c>
      <c r="B164" t="s">
        <v>263</v>
      </c>
      <c r="C164" t="s">
        <v>60</v>
      </c>
      <c r="D164" t="s">
        <v>53</v>
      </c>
      <c r="E164">
        <v>6</v>
      </c>
      <c r="F164" t="s">
        <v>19</v>
      </c>
      <c r="G164" t="s">
        <v>230</v>
      </c>
      <c r="H164" t="s">
        <v>259</v>
      </c>
      <c r="I164" t="s">
        <v>22</v>
      </c>
      <c r="J164" t="s">
        <v>31</v>
      </c>
      <c r="K164" t="s">
        <v>24</v>
      </c>
      <c r="L164" t="s">
        <v>25</v>
      </c>
      <c r="M164" s="8">
        <v>4.2283333330000001</v>
      </c>
      <c r="N164" t="s">
        <v>26</v>
      </c>
      <c r="O164" s="8">
        <v>4.2283333330000001</v>
      </c>
      <c r="P164" s="8">
        <f>EXP(-1.363+3.366*LOG(O164,10))</f>
        <v>2.1057792396965977</v>
      </c>
      <c r="Q164" s="8">
        <f>(27433.05*100)/7611378</f>
        <v>0.36042159514348127</v>
      </c>
    </row>
    <row r="165" spans="1:17" x14ac:dyDescent="0.2">
      <c r="A165">
        <v>2011</v>
      </c>
      <c r="B165" t="s">
        <v>264</v>
      </c>
      <c r="C165" t="s">
        <v>65</v>
      </c>
      <c r="D165" t="s">
        <v>71</v>
      </c>
      <c r="E165">
        <v>7</v>
      </c>
      <c r="F165" t="s">
        <v>19</v>
      </c>
      <c r="G165" t="s">
        <v>230</v>
      </c>
      <c r="H165" t="s">
        <v>261</v>
      </c>
      <c r="I165" t="s">
        <v>26</v>
      </c>
      <c r="J165" t="s">
        <v>66</v>
      </c>
      <c r="K165" t="s">
        <v>24</v>
      </c>
      <c r="L165" t="s">
        <v>25</v>
      </c>
      <c r="M165" s="8" t="s">
        <v>26</v>
      </c>
      <c r="N165" t="s">
        <v>26</v>
      </c>
      <c r="O165" s="8" t="s">
        <v>26</v>
      </c>
      <c r="P165" s="8" t="s">
        <v>26</v>
      </c>
      <c r="Q165" s="8">
        <f>(1788886*100)/6788946</f>
        <v>26.349981278389901</v>
      </c>
    </row>
    <row r="166" spans="1:17" x14ac:dyDescent="0.2">
      <c r="A166">
        <v>2011</v>
      </c>
      <c r="B166" t="s">
        <v>265</v>
      </c>
      <c r="C166" t="s">
        <v>57</v>
      </c>
      <c r="D166" t="s">
        <v>71</v>
      </c>
      <c r="E166">
        <v>7</v>
      </c>
      <c r="F166" t="s">
        <v>19</v>
      </c>
      <c r="G166" t="s">
        <v>230</v>
      </c>
      <c r="H166" t="s">
        <v>261</v>
      </c>
      <c r="I166" t="s">
        <v>26</v>
      </c>
      <c r="J166" t="s">
        <v>31</v>
      </c>
      <c r="K166" t="s">
        <v>24</v>
      </c>
      <c r="L166" t="s">
        <v>25</v>
      </c>
      <c r="M166" s="8" t="s">
        <v>26</v>
      </c>
      <c r="N166" t="s">
        <v>26</v>
      </c>
      <c r="O166" s="8" t="s">
        <v>26</v>
      </c>
      <c r="P166" s="8" t="s">
        <v>26</v>
      </c>
      <c r="Q166" s="8">
        <f>(321151.3*100)/5927002</f>
        <v>5.4184442657518925</v>
      </c>
    </row>
    <row r="167" spans="1:17" x14ac:dyDescent="0.2">
      <c r="A167">
        <v>2011</v>
      </c>
      <c r="B167" t="s">
        <v>266</v>
      </c>
      <c r="C167" t="s">
        <v>57</v>
      </c>
      <c r="D167" t="s">
        <v>71</v>
      </c>
      <c r="E167">
        <v>7</v>
      </c>
      <c r="F167" t="s">
        <v>19</v>
      </c>
      <c r="G167" t="s">
        <v>230</v>
      </c>
      <c r="H167" t="s">
        <v>261</v>
      </c>
      <c r="I167" t="s">
        <v>26</v>
      </c>
      <c r="J167" t="s">
        <v>31</v>
      </c>
      <c r="K167" t="s">
        <v>24</v>
      </c>
      <c r="L167" t="s">
        <v>25</v>
      </c>
      <c r="M167" s="8" t="s">
        <v>26</v>
      </c>
      <c r="N167" t="s">
        <v>26</v>
      </c>
      <c r="O167" s="8" t="s">
        <v>26</v>
      </c>
      <c r="P167" s="8" t="s">
        <v>26</v>
      </c>
      <c r="Q167" s="8">
        <f>(321151.3*100)/5927002</f>
        <v>5.4184442657518925</v>
      </c>
    </row>
    <row r="168" spans="1:17" x14ac:dyDescent="0.2">
      <c r="A168">
        <v>2011</v>
      </c>
      <c r="B168" t="s">
        <v>267</v>
      </c>
      <c r="C168" t="s">
        <v>17</v>
      </c>
      <c r="D168" t="s">
        <v>63</v>
      </c>
      <c r="E168">
        <v>6</v>
      </c>
      <c r="F168" t="s">
        <v>19</v>
      </c>
      <c r="G168" t="s">
        <v>230</v>
      </c>
      <c r="H168" t="s">
        <v>268</v>
      </c>
      <c r="I168" t="s">
        <v>22</v>
      </c>
      <c r="J168" t="s">
        <v>23</v>
      </c>
      <c r="K168" t="s">
        <v>24</v>
      </c>
      <c r="L168" t="s">
        <v>25</v>
      </c>
      <c r="M168" s="8">
        <v>3.5356666670000001</v>
      </c>
      <c r="N168" t="s">
        <v>26</v>
      </c>
      <c r="O168" s="8">
        <v>3.5356666670000001</v>
      </c>
      <c r="P168" s="8">
        <f>EXP(-1.363+3.366*LOG(O168,10))</f>
        <v>1.6211802664427075</v>
      </c>
      <c r="Q168" s="8">
        <f>(605161.6*100)/5834449</f>
        <v>10.372215096918321</v>
      </c>
    </row>
    <row r="169" spans="1:17" x14ac:dyDescent="0.2">
      <c r="A169">
        <v>2011</v>
      </c>
      <c r="B169" t="s">
        <v>269</v>
      </c>
      <c r="C169" t="s">
        <v>65</v>
      </c>
      <c r="D169" t="s">
        <v>58</v>
      </c>
      <c r="E169">
        <v>6</v>
      </c>
      <c r="F169" t="s">
        <v>19</v>
      </c>
      <c r="G169" t="s">
        <v>230</v>
      </c>
      <c r="H169" t="s">
        <v>268</v>
      </c>
      <c r="I169" t="s">
        <v>22</v>
      </c>
      <c r="J169" t="s">
        <v>66</v>
      </c>
      <c r="K169" t="s">
        <v>24</v>
      </c>
      <c r="L169" t="s">
        <v>25</v>
      </c>
      <c r="M169" s="8">
        <v>3.5356666670000001</v>
      </c>
      <c r="N169" t="s">
        <v>26</v>
      </c>
      <c r="O169" s="8">
        <v>3.5356666670000001</v>
      </c>
      <c r="P169" s="8">
        <f>EXP(-1.363+3.366*LOG(O169,10))</f>
        <v>1.6211802664427075</v>
      </c>
      <c r="Q169" s="8">
        <f>(1788886*100)/6788946</f>
        <v>26.349981278389901</v>
      </c>
    </row>
    <row r="170" spans="1:17" x14ac:dyDescent="0.2">
      <c r="A170">
        <v>2011</v>
      </c>
      <c r="B170" t="s">
        <v>270</v>
      </c>
      <c r="C170" t="s">
        <v>30</v>
      </c>
      <c r="D170" t="s">
        <v>95</v>
      </c>
      <c r="E170">
        <v>7</v>
      </c>
      <c r="F170" t="s">
        <v>19</v>
      </c>
      <c r="G170" t="s">
        <v>230</v>
      </c>
      <c r="H170" t="s">
        <v>268</v>
      </c>
      <c r="I170" t="s">
        <v>22</v>
      </c>
      <c r="J170" t="s">
        <v>31</v>
      </c>
      <c r="K170" t="s">
        <v>24</v>
      </c>
      <c r="L170" t="s">
        <v>25</v>
      </c>
      <c r="M170" s="8">
        <v>3.5356666670000001</v>
      </c>
      <c r="N170" t="s">
        <v>26</v>
      </c>
      <c r="O170" s="8">
        <v>3.5356666670000001</v>
      </c>
      <c r="P170" s="8">
        <f>EXP(-1.363+3.366*LOG(O170,10))</f>
        <v>1.6211802664427075</v>
      </c>
      <c r="Q170" s="8">
        <f>(34897.31*100)/4728180</f>
        <v>0.73807067412831151</v>
      </c>
    </row>
    <row r="171" spans="1:17" x14ac:dyDescent="0.2">
      <c r="A171">
        <v>2011</v>
      </c>
      <c r="B171" t="s">
        <v>271</v>
      </c>
      <c r="C171" t="s">
        <v>65</v>
      </c>
      <c r="D171" t="s">
        <v>71</v>
      </c>
      <c r="E171">
        <v>7</v>
      </c>
      <c r="F171" t="s">
        <v>19</v>
      </c>
      <c r="G171" t="s">
        <v>230</v>
      </c>
      <c r="H171" t="s">
        <v>268</v>
      </c>
      <c r="I171" t="s">
        <v>22</v>
      </c>
      <c r="J171" t="s">
        <v>66</v>
      </c>
      <c r="K171" t="s">
        <v>24</v>
      </c>
      <c r="L171" t="s">
        <v>25</v>
      </c>
      <c r="M171" s="8">
        <v>3.5356666670000001</v>
      </c>
      <c r="N171" t="s">
        <v>26</v>
      </c>
      <c r="O171" s="8">
        <v>3.5356666670000001</v>
      </c>
      <c r="P171" s="8">
        <f>EXP(-1.363+3.366*LOG(O171,10))</f>
        <v>1.6211802664427075</v>
      </c>
      <c r="Q171" s="8">
        <f>(1788886*100)/6788946</f>
        <v>26.349981278389901</v>
      </c>
    </row>
    <row r="172" spans="1:17" x14ac:dyDescent="0.2">
      <c r="A172">
        <v>2011</v>
      </c>
      <c r="B172" t="s">
        <v>272</v>
      </c>
      <c r="C172" t="s">
        <v>17</v>
      </c>
      <c r="D172" t="s">
        <v>63</v>
      </c>
      <c r="E172">
        <v>6</v>
      </c>
      <c r="F172" t="s">
        <v>19</v>
      </c>
      <c r="G172" t="s">
        <v>230</v>
      </c>
      <c r="H172" t="s">
        <v>273</v>
      </c>
      <c r="I172" t="s">
        <v>36</v>
      </c>
      <c r="J172" t="s">
        <v>23</v>
      </c>
      <c r="K172" t="s">
        <v>24</v>
      </c>
      <c r="L172" t="s">
        <v>26</v>
      </c>
      <c r="M172" s="8" t="s">
        <v>26</v>
      </c>
      <c r="N172" t="s">
        <v>26</v>
      </c>
      <c r="O172" s="8" t="s">
        <v>26</v>
      </c>
      <c r="P172" s="8" t="s">
        <v>26</v>
      </c>
      <c r="Q172" s="8">
        <f>(605161.6*100)/5834449</f>
        <v>10.372215096918321</v>
      </c>
    </row>
    <row r="173" spans="1:17" x14ac:dyDescent="0.2">
      <c r="A173">
        <v>2011</v>
      </c>
      <c r="B173" t="s">
        <v>274</v>
      </c>
      <c r="C173" t="s">
        <v>89</v>
      </c>
      <c r="D173" t="s">
        <v>53</v>
      </c>
      <c r="E173">
        <v>6</v>
      </c>
      <c r="F173" t="s">
        <v>19</v>
      </c>
      <c r="G173" t="s">
        <v>230</v>
      </c>
      <c r="H173" t="s">
        <v>259</v>
      </c>
      <c r="I173" t="s">
        <v>22</v>
      </c>
      <c r="J173" t="s">
        <v>66</v>
      </c>
      <c r="K173" t="s">
        <v>24</v>
      </c>
      <c r="L173" t="s">
        <v>25</v>
      </c>
      <c r="M173" s="8">
        <v>4.2283333330000001</v>
      </c>
      <c r="N173" t="s">
        <v>26</v>
      </c>
      <c r="O173" s="8">
        <v>4.2283333330000001</v>
      </c>
      <c r="P173" s="8">
        <f>EXP(-1.363+3.366*LOG(O173,10))</f>
        <v>2.1057792396965977</v>
      </c>
      <c r="Q173" s="8">
        <f>(61997.93*100)/7298102</f>
        <v>0.84950758430068529</v>
      </c>
    </row>
    <row r="174" spans="1:17" x14ac:dyDescent="0.2">
      <c r="A174">
        <v>2011</v>
      </c>
      <c r="B174" t="s">
        <v>275</v>
      </c>
      <c r="C174" t="s">
        <v>57</v>
      </c>
      <c r="D174" t="s">
        <v>71</v>
      </c>
      <c r="E174">
        <v>7</v>
      </c>
      <c r="F174" t="s">
        <v>19</v>
      </c>
      <c r="G174" t="s">
        <v>230</v>
      </c>
      <c r="H174" t="s">
        <v>259</v>
      </c>
      <c r="I174" t="s">
        <v>22</v>
      </c>
      <c r="J174" t="s">
        <v>104</v>
      </c>
      <c r="K174" t="s">
        <v>24</v>
      </c>
      <c r="L174" t="s">
        <v>25</v>
      </c>
      <c r="M174" s="8">
        <v>4.2283333330000001</v>
      </c>
      <c r="N174" t="s">
        <v>26</v>
      </c>
      <c r="O174" s="8">
        <v>4.2283333330000001</v>
      </c>
      <c r="P174" s="8">
        <f>EXP(-1.363+3.366*LOG(O174,10))</f>
        <v>2.1057792396965977</v>
      </c>
      <c r="Q174" s="8">
        <f>(321151.3*100)/5927002</f>
        <v>5.4184442657518925</v>
      </c>
    </row>
    <row r="175" spans="1:17" x14ac:dyDescent="0.2">
      <c r="A175">
        <v>2011</v>
      </c>
      <c r="B175" t="s">
        <v>276</v>
      </c>
      <c r="C175" t="s">
        <v>57</v>
      </c>
      <c r="D175" t="s">
        <v>71</v>
      </c>
      <c r="E175">
        <v>7</v>
      </c>
      <c r="F175" t="s">
        <v>19</v>
      </c>
      <c r="G175" t="s">
        <v>230</v>
      </c>
      <c r="H175" t="s">
        <v>259</v>
      </c>
      <c r="I175" t="s">
        <v>22</v>
      </c>
      <c r="J175" t="s">
        <v>31</v>
      </c>
      <c r="K175" t="s">
        <v>24</v>
      </c>
      <c r="L175" t="s">
        <v>25</v>
      </c>
      <c r="M175" s="8">
        <v>4.2283333330000001</v>
      </c>
      <c r="N175" t="s">
        <v>26</v>
      </c>
      <c r="O175" s="8">
        <v>4.2283333330000001</v>
      </c>
      <c r="P175" s="8">
        <f>EXP(-1.363+3.366*LOG(O175,10))</f>
        <v>2.1057792396965977</v>
      </c>
      <c r="Q175" s="8">
        <f>(321151.3*100)/5927002</f>
        <v>5.4184442657518925</v>
      </c>
    </row>
    <row r="176" spans="1:17" x14ac:dyDescent="0.2">
      <c r="A176">
        <v>2011</v>
      </c>
      <c r="B176" t="s">
        <v>277</v>
      </c>
      <c r="C176" t="s">
        <v>57</v>
      </c>
      <c r="D176" t="s">
        <v>58</v>
      </c>
      <c r="E176">
        <v>6</v>
      </c>
      <c r="F176" t="s">
        <v>19</v>
      </c>
      <c r="G176" t="s">
        <v>230</v>
      </c>
      <c r="H176" t="s">
        <v>259</v>
      </c>
      <c r="I176" t="s">
        <v>22</v>
      </c>
      <c r="J176" t="s">
        <v>31</v>
      </c>
      <c r="K176" t="s">
        <v>24</v>
      </c>
      <c r="L176" t="s">
        <v>25</v>
      </c>
      <c r="M176" s="8">
        <v>4.2283333330000001</v>
      </c>
      <c r="N176" t="s">
        <v>26</v>
      </c>
      <c r="O176" s="8">
        <v>4.2283333330000001</v>
      </c>
      <c r="P176" s="8">
        <f>EXP(-1.363+3.366*LOG(O176,10))</f>
        <v>2.1057792396965977</v>
      </c>
      <c r="Q176" s="8">
        <f>(321151.3*100)/5927002</f>
        <v>5.4184442657518925</v>
      </c>
    </row>
    <row r="177" spans="1:17" x14ac:dyDescent="0.2">
      <c r="A177">
        <v>2011</v>
      </c>
      <c r="B177" t="s">
        <v>278</v>
      </c>
      <c r="C177" t="s">
        <v>57</v>
      </c>
      <c r="D177" t="s">
        <v>58</v>
      </c>
      <c r="E177">
        <v>6</v>
      </c>
      <c r="F177" t="s">
        <v>19</v>
      </c>
      <c r="G177" t="s">
        <v>230</v>
      </c>
      <c r="H177" t="s">
        <v>259</v>
      </c>
      <c r="I177" t="s">
        <v>22</v>
      </c>
      <c r="J177" t="s">
        <v>31</v>
      </c>
      <c r="K177" t="s">
        <v>24</v>
      </c>
      <c r="L177" t="s">
        <v>25</v>
      </c>
      <c r="M177" s="8">
        <v>4.2283333330000001</v>
      </c>
      <c r="N177" t="s">
        <v>26</v>
      </c>
      <c r="O177" s="8">
        <v>4.2283333330000001</v>
      </c>
      <c r="P177" s="8">
        <f>EXP(-1.363+3.366*LOG(O177,10))</f>
        <v>2.1057792396965977</v>
      </c>
      <c r="Q177" s="8">
        <f>(321151.3*100)/5927002</f>
        <v>5.4184442657518925</v>
      </c>
    </row>
    <row r="178" spans="1:17" x14ac:dyDescent="0.2">
      <c r="A178">
        <v>2011</v>
      </c>
      <c r="B178" t="s">
        <v>279</v>
      </c>
      <c r="C178" t="s">
        <v>17</v>
      </c>
      <c r="D178" t="s">
        <v>63</v>
      </c>
      <c r="E178">
        <v>6</v>
      </c>
      <c r="F178" t="s">
        <v>19</v>
      </c>
      <c r="G178" t="s">
        <v>230</v>
      </c>
      <c r="H178" t="s">
        <v>259</v>
      </c>
      <c r="I178" t="s">
        <v>22</v>
      </c>
      <c r="J178" t="s">
        <v>23</v>
      </c>
      <c r="K178" t="s">
        <v>24</v>
      </c>
      <c r="L178" t="s">
        <v>25</v>
      </c>
      <c r="M178" s="8">
        <v>4.2283333330000001</v>
      </c>
      <c r="N178" t="s">
        <v>26</v>
      </c>
      <c r="O178" s="8">
        <v>4.2283333330000001</v>
      </c>
      <c r="P178" s="8">
        <f>EXP(-1.363+3.366*LOG(O178,10))</f>
        <v>2.1057792396965977</v>
      </c>
      <c r="Q178" s="8">
        <f>(605161.6*100)/5834449</f>
        <v>10.372215096918321</v>
      </c>
    </row>
    <row r="179" spans="1:17" x14ac:dyDescent="0.2">
      <c r="A179">
        <v>2011</v>
      </c>
      <c r="B179" t="s">
        <v>280</v>
      </c>
      <c r="C179" t="s">
        <v>17</v>
      </c>
      <c r="D179" t="s">
        <v>63</v>
      </c>
      <c r="E179">
        <v>6</v>
      </c>
      <c r="F179" t="s">
        <v>19</v>
      </c>
      <c r="G179" t="s">
        <v>230</v>
      </c>
      <c r="H179" t="s">
        <v>259</v>
      </c>
      <c r="I179" t="s">
        <v>22</v>
      </c>
      <c r="J179" t="s">
        <v>23</v>
      </c>
      <c r="K179" t="s">
        <v>24</v>
      </c>
      <c r="L179" t="s">
        <v>25</v>
      </c>
      <c r="M179" s="8">
        <v>4.2283333330000001</v>
      </c>
      <c r="N179" t="s">
        <v>26</v>
      </c>
      <c r="O179" s="8">
        <v>4.2283333330000001</v>
      </c>
      <c r="P179" s="8">
        <f>EXP(-1.363+3.366*LOG(O179,10))</f>
        <v>2.1057792396965977</v>
      </c>
      <c r="Q179" s="8">
        <f>(605161.6*100)/5834449</f>
        <v>10.372215096918321</v>
      </c>
    </row>
    <row r="180" spans="1:17" x14ac:dyDescent="0.2">
      <c r="A180">
        <v>2011</v>
      </c>
      <c r="B180" t="s">
        <v>281</v>
      </c>
      <c r="C180" t="s">
        <v>17</v>
      </c>
      <c r="D180" t="s">
        <v>63</v>
      </c>
      <c r="E180">
        <v>6</v>
      </c>
      <c r="F180" t="s">
        <v>19</v>
      </c>
      <c r="G180" t="s">
        <v>230</v>
      </c>
      <c r="H180" t="s">
        <v>259</v>
      </c>
      <c r="I180" t="s">
        <v>22</v>
      </c>
      <c r="J180" t="s">
        <v>23</v>
      </c>
      <c r="K180" t="s">
        <v>24</v>
      </c>
      <c r="L180" t="s">
        <v>25</v>
      </c>
      <c r="M180" s="8">
        <v>4.2283333330000001</v>
      </c>
      <c r="N180" t="s">
        <v>26</v>
      </c>
      <c r="O180" s="8">
        <v>4.2283333330000001</v>
      </c>
      <c r="P180" s="8">
        <f>EXP(-1.363+3.366*LOG(O180,10))</f>
        <v>2.1057792396965977</v>
      </c>
      <c r="Q180" s="8">
        <f>(605161.6*100)/5834449</f>
        <v>10.372215096918321</v>
      </c>
    </row>
    <row r="181" spans="1:17" x14ac:dyDescent="0.2">
      <c r="A181">
        <v>2011</v>
      </c>
      <c r="B181" t="s">
        <v>282</v>
      </c>
      <c r="C181" t="s">
        <v>89</v>
      </c>
      <c r="D181" t="s">
        <v>40</v>
      </c>
      <c r="E181">
        <v>6</v>
      </c>
      <c r="F181" t="s">
        <v>19</v>
      </c>
      <c r="G181" t="s">
        <v>230</v>
      </c>
      <c r="H181" t="s">
        <v>259</v>
      </c>
      <c r="I181" t="s">
        <v>22</v>
      </c>
      <c r="J181" t="s">
        <v>66</v>
      </c>
      <c r="K181" t="s">
        <v>24</v>
      </c>
      <c r="L181" t="s">
        <v>25</v>
      </c>
      <c r="M181" s="8">
        <v>4.2283333330000001</v>
      </c>
      <c r="N181" t="s">
        <v>26</v>
      </c>
      <c r="O181" s="8">
        <v>4.2283333330000001</v>
      </c>
      <c r="P181" s="8">
        <f>EXP(-1.363+3.366*LOG(O181,10))</f>
        <v>2.1057792396965977</v>
      </c>
      <c r="Q181" s="8">
        <f>(61997.93*100)/7298102</f>
        <v>0.84950758430068529</v>
      </c>
    </row>
    <row r="182" spans="1:17" x14ac:dyDescent="0.2">
      <c r="A182">
        <v>2011</v>
      </c>
      <c r="B182" t="s">
        <v>283</v>
      </c>
      <c r="C182" t="s">
        <v>57</v>
      </c>
      <c r="D182" t="s">
        <v>71</v>
      </c>
      <c r="E182">
        <v>7</v>
      </c>
      <c r="F182" t="s">
        <v>19</v>
      </c>
      <c r="G182" t="s">
        <v>230</v>
      </c>
      <c r="H182" t="s">
        <v>259</v>
      </c>
      <c r="I182" t="s">
        <v>26</v>
      </c>
      <c r="J182" t="s">
        <v>31</v>
      </c>
      <c r="K182" t="s">
        <v>24</v>
      </c>
      <c r="L182" t="s">
        <v>25</v>
      </c>
      <c r="M182" s="8" t="s">
        <v>26</v>
      </c>
      <c r="N182" t="s">
        <v>26</v>
      </c>
      <c r="O182" s="8" t="s">
        <v>26</v>
      </c>
      <c r="P182" s="8" t="s">
        <v>26</v>
      </c>
      <c r="Q182" s="8">
        <f>(321151.3*100)/5927002</f>
        <v>5.4184442657518925</v>
      </c>
    </row>
    <row r="183" spans="1:17" x14ac:dyDescent="0.2">
      <c r="A183">
        <v>2011</v>
      </c>
      <c r="B183" t="s">
        <v>284</v>
      </c>
      <c r="C183" t="s">
        <v>57</v>
      </c>
      <c r="D183" t="s">
        <v>71</v>
      </c>
      <c r="E183">
        <v>7</v>
      </c>
      <c r="F183" t="s">
        <v>19</v>
      </c>
      <c r="G183" t="s">
        <v>230</v>
      </c>
      <c r="H183" t="s">
        <v>259</v>
      </c>
      <c r="I183" t="s">
        <v>26</v>
      </c>
      <c r="J183" t="s">
        <v>31</v>
      </c>
      <c r="K183" t="s">
        <v>24</v>
      </c>
      <c r="L183" t="s">
        <v>25</v>
      </c>
      <c r="M183" s="8" t="s">
        <v>26</v>
      </c>
      <c r="N183" t="s">
        <v>26</v>
      </c>
      <c r="O183" s="8" t="s">
        <v>26</v>
      </c>
      <c r="P183" s="8" t="s">
        <v>26</v>
      </c>
      <c r="Q183" s="8">
        <f>(321151.3*100)/5927002</f>
        <v>5.4184442657518925</v>
      </c>
    </row>
    <row r="184" spans="1:17" x14ac:dyDescent="0.2">
      <c r="A184">
        <v>2011</v>
      </c>
      <c r="B184" t="s">
        <v>285</v>
      </c>
      <c r="C184" t="s">
        <v>120</v>
      </c>
      <c r="D184" t="s">
        <v>111</v>
      </c>
      <c r="E184">
        <v>5</v>
      </c>
      <c r="F184" t="s">
        <v>19</v>
      </c>
      <c r="G184" t="s">
        <v>286</v>
      </c>
      <c r="H184" t="s">
        <v>235</v>
      </c>
      <c r="I184" t="s">
        <v>22</v>
      </c>
      <c r="J184" t="s">
        <v>23</v>
      </c>
      <c r="K184" t="s">
        <v>24</v>
      </c>
      <c r="L184" t="s">
        <v>25</v>
      </c>
      <c r="M184" s="8">
        <v>3.4609999999999999</v>
      </c>
      <c r="N184" t="s">
        <v>26</v>
      </c>
      <c r="O184" s="8">
        <v>3.4609999999999999</v>
      </c>
      <c r="P184" s="8">
        <f>EXP(-1.363+3.366*LOG(O184,10))</f>
        <v>1.5713774371592206</v>
      </c>
      <c r="Q184" s="8">
        <f>(2256192*100)/6055896</f>
        <v>37.256121967748456</v>
      </c>
    </row>
    <row r="185" spans="1:17" x14ac:dyDescent="0.2">
      <c r="A185">
        <v>2011</v>
      </c>
      <c r="B185" t="s">
        <v>287</v>
      </c>
      <c r="C185" t="s">
        <v>57</v>
      </c>
      <c r="D185" t="s">
        <v>111</v>
      </c>
      <c r="E185">
        <v>5</v>
      </c>
      <c r="F185" t="s">
        <v>19</v>
      </c>
      <c r="G185" t="s">
        <v>286</v>
      </c>
      <c r="H185" t="s">
        <v>235</v>
      </c>
      <c r="I185" t="s">
        <v>22</v>
      </c>
      <c r="J185" t="s">
        <v>31</v>
      </c>
      <c r="K185" t="s">
        <v>24</v>
      </c>
      <c r="L185" t="s">
        <v>25</v>
      </c>
      <c r="M185" s="8">
        <v>3.4609999999999999</v>
      </c>
      <c r="N185" t="s">
        <v>26</v>
      </c>
      <c r="O185" s="8">
        <v>3.4609999999999999</v>
      </c>
      <c r="P185" s="8">
        <f>EXP(-1.363+3.366*LOG(O185,10))</f>
        <v>1.5713774371592206</v>
      </c>
      <c r="Q185" s="8">
        <f>(321151.3*100)/5927002</f>
        <v>5.4184442657518925</v>
      </c>
    </row>
    <row r="186" spans="1:17" x14ac:dyDescent="0.2">
      <c r="A186">
        <v>2011</v>
      </c>
      <c r="B186" t="s">
        <v>288</v>
      </c>
      <c r="C186" t="s">
        <v>120</v>
      </c>
      <c r="D186" t="s">
        <v>71</v>
      </c>
      <c r="E186">
        <v>7</v>
      </c>
      <c r="F186" t="s">
        <v>19</v>
      </c>
      <c r="G186" t="s">
        <v>286</v>
      </c>
      <c r="H186" t="s">
        <v>235</v>
      </c>
      <c r="I186" t="s">
        <v>22</v>
      </c>
      <c r="J186" t="s">
        <v>23</v>
      </c>
      <c r="K186" t="s">
        <v>24</v>
      </c>
      <c r="L186" t="s">
        <v>25</v>
      </c>
      <c r="M186" s="8">
        <v>3.4609999999999999</v>
      </c>
      <c r="N186" t="s">
        <v>26</v>
      </c>
      <c r="O186" s="8">
        <v>3.4609999999999999</v>
      </c>
      <c r="P186" s="8">
        <f>EXP(-1.363+3.366*LOG(O186,10))</f>
        <v>1.5713774371592206</v>
      </c>
      <c r="Q186" s="8">
        <f>(2256192*100)/6055896</f>
        <v>37.256121967748456</v>
      </c>
    </row>
    <row r="187" spans="1:17" x14ac:dyDescent="0.2">
      <c r="A187">
        <v>2011</v>
      </c>
      <c r="B187" t="s">
        <v>289</v>
      </c>
      <c r="C187" t="s">
        <v>120</v>
      </c>
      <c r="D187" t="s">
        <v>71</v>
      </c>
      <c r="E187">
        <v>7</v>
      </c>
      <c r="F187" t="s">
        <v>19</v>
      </c>
      <c r="G187" t="s">
        <v>286</v>
      </c>
      <c r="H187" t="s">
        <v>235</v>
      </c>
      <c r="I187" t="s">
        <v>22</v>
      </c>
      <c r="J187" t="s">
        <v>23</v>
      </c>
      <c r="K187" t="s">
        <v>24</v>
      </c>
      <c r="L187" t="s">
        <v>25</v>
      </c>
      <c r="M187" s="8">
        <v>3.4609999999999999</v>
      </c>
      <c r="N187" t="s">
        <v>26</v>
      </c>
      <c r="O187" s="8">
        <v>3.4609999999999999</v>
      </c>
      <c r="P187" s="8">
        <f>EXP(-1.363+3.366*LOG(O187,10))</f>
        <v>1.5713774371592206</v>
      </c>
      <c r="Q187" s="8">
        <f>(2256192*100)/6055896</f>
        <v>37.256121967748456</v>
      </c>
    </row>
    <row r="188" spans="1:17" x14ac:dyDescent="0.2">
      <c r="A188">
        <v>2011</v>
      </c>
      <c r="B188" t="s">
        <v>290</v>
      </c>
      <c r="C188" t="s">
        <v>120</v>
      </c>
      <c r="D188" t="s">
        <v>71</v>
      </c>
      <c r="E188">
        <v>7</v>
      </c>
      <c r="F188" t="s">
        <v>19</v>
      </c>
      <c r="G188" t="s">
        <v>286</v>
      </c>
      <c r="H188" t="s">
        <v>235</v>
      </c>
      <c r="I188" t="s">
        <v>22</v>
      </c>
      <c r="J188" t="s">
        <v>23</v>
      </c>
      <c r="K188" t="s">
        <v>24</v>
      </c>
      <c r="L188" t="s">
        <v>25</v>
      </c>
      <c r="M188" s="8">
        <v>3.4609999999999999</v>
      </c>
      <c r="N188" t="s">
        <v>26</v>
      </c>
      <c r="O188" s="8">
        <v>3.4609999999999999</v>
      </c>
      <c r="P188" s="8">
        <f>EXP(-1.363+3.366*LOG(O188,10))</f>
        <v>1.5713774371592206</v>
      </c>
      <c r="Q188" s="8">
        <f>(2256192*100)/6055896</f>
        <v>37.256121967748456</v>
      </c>
    </row>
    <row r="189" spans="1:17" x14ac:dyDescent="0.2">
      <c r="A189">
        <v>2011</v>
      </c>
      <c r="B189" t="s">
        <v>291</v>
      </c>
      <c r="C189" t="s">
        <v>120</v>
      </c>
      <c r="D189" t="s">
        <v>71</v>
      </c>
      <c r="E189">
        <v>7</v>
      </c>
      <c r="F189" t="s">
        <v>19</v>
      </c>
      <c r="G189" t="s">
        <v>286</v>
      </c>
      <c r="H189" t="s">
        <v>255</v>
      </c>
      <c r="I189" t="s">
        <v>22</v>
      </c>
      <c r="J189" t="s">
        <v>23</v>
      </c>
      <c r="K189" t="s">
        <v>24</v>
      </c>
      <c r="L189" t="s">
        <v>25</v>
      </c>
      <c r="M189" s="8">
        <v>3.1943333329999999</v>
      </c>
      <c r="N189" t="s">
        <v>26</v>
      </c>
      <c r="O189" s="8">
        <v>3.1943333329999999</v>
      </c>
      <c r="P189" s="8">
        <f>EXP(-1.363+3.366*LOG(O189,10))</f>
        <v>1.3975823704079444</v>
      </c>
      <c r="Q189" s="8">
        <f>(2256192*100)/6055896</f>
        <v>37.256121967748456</v>
      </c>
    </row>
    <row r="190" spans="1:17" x14ac:dyDescent="0.2">
      <c r="A190">
        <v>2011</v>
      </c>
      <c r="B190" t="s">
        <v>292</v>
      </c>
      <c r="C190" t="s">
        <v>120</v>
      </c>
      <c r="D190" t="s">
        <v>71</v>
      </c>
      <c r="E190">
        <v>7</v>
      </c>
      <c r="F190" t="s">
        <v>19</v>
      </c>
      <c r="G190" t="s">
        <v>286</v>
      </c>
      <c r="H190" t="s">
        <v>261</v>
      </c>
      <c r="I190" t="s">
        <v>22</v>
      </c>
      <c r="J190" t="s">
        <v>23</v>
      </c>
      <c r="K190" t="s">
        <v>24</v>
      </c>
      <c r="L190" t="s">
        <v>25</v>
      </c>
      <c r="M190" s="8" t="s">
        <v>26</v>
      </c>
      <c r="N190" t="s">
        <v>26</v>
      </c>
      <c r="O190" s="8" t="s">
        <v>26</v>
      </c>
      <c r="P190" s="8" t="s">
        <v>26</v>
      </c>
      <c r="Q190" s="8">
        <f>(2256192*100)/6055896</f>
        <v>37.256121967748456</v>
      </c>
    </row>
    <row r="191" spans="1:17" x14ac:dyDescent="0.2">
      <c r="A191">
        <v>2011</v>
      </c>
      <c r="B191" t="s">
        <v>293</v>
      </c>
      <c r="C191" t="s">
        <v>120</v>
      </c>
      <c r="D191" t="s">
        <v>71</v>
      </c>
      <c r="E191">
        <v>7</v>
      </c>
      <c r="F191" t="s">
        <v>19</v>
      </c>
      <c r="G191" t="s">
        <v>286</v>
      </c>
      <c r="H191" t="s">
        <v>261</v>
      </c>
      <c r="I191" t="s">
        <v>22</v>
      </c>
      <c r="J191" t="s">
        <v>23</v>
      </c>
      <c r="K191" t="s">
        <v>24</v>
      </c>
      <c r="L191" t="s">
        <v>25</v>
      </c>
      <c r="M191" s="8" t="s">
        <v>26</v>
      </c>
      <c r="N191" t="s">
        <v>26</v>
      </c>
      <c r="O191" s="8" t="s">
        <v>26</v>
      </c>
      <c r="P191" s="8" t="s">
        <v>26</v>
      </c>
      <c r="Q191" s="8">
        <f>(2256192*100)/6055896</f>
        <v>37.256121967748456</v>
      </c>
    </row>
    <row r="192" spans="1:17" x14ac:dyDescent="0.2">
      <c r="A192">
        <v>2011</v>
      </c>
      <c r="B192" t="s">
        <v>294</v>
      </c>
      <c r="C192" t="s">
        <v>120</v>
      </c>
      <c r="D192" t="s">
        <v>71</v>
      </c>
      <c r="E192">
        <v>7</v>
      </c>
      <c r="F192" t="s">
        <v>19</v>
      </c>
      <c r="G192" t="s">
        <v>286</v>
      </c>
      <c r="H192" t="s">
        <v>259</v>
      </c>
      <c r="I192" t="s">
        <v>22</v>
      </c>
      <c r="J192" t="s">
        <v>23</v>
      </c>
      <c r="K192" t="s">
        <v>24</v>
      </c>
      <c r="L192" t="s">
        <v>25</v>
      </c>
      <c r="M192" s="8">
        <v>4.2283333330000001</v>
      </c>
      <c r="N192" t="s">
        <v>26</v>
      </c>
      <c r="O192" s="8">
        <v>4.2283333330000001</v>
      </c>
      <c r="P192" s="8">
        <f>EXP(-1.363+3.366*LOG(O192,10))</f>
        <v>2.1057792396965977</v>
      </c>
      <c r="Q192" s="8">
        <f>(2256192*100)/6055896</f>
        <v>37.256121967748456</v>
      </c>
    </row>
    <row r="193" spans="1:17" x14ac:dyDescent="0.2">
      <c r="A193">
        <v>2011</v>
      </c>
      <c r="B193" t="s">
        <v>295</v>
      </c>
      <c r="C193" t="s">
        <v>120</v>
      </c>
      <c r="D193" t="s">
        <v>71</v>
      </c>
      <c r="E193">
        <v>7</v>
      </c>
      <c r="F193" t="s">
        <v>19</v>
      </c>
      <c r="G193" t="s">
        <v>286</v>
      </c>
      <c r="H193" t="s">
        <v>259</v>
      </c>
      <c r="I193" t="s">
        <v>22</v>
      </c>
      <c r="J193" t="s">
        <v>23</v>
      </c>
      <c r="K193" t="s">
        <v>24</v>
      </c>
      <c r="L193" t="s">
        <v>25</v>
      </c>
      <c r="M193" s="8">
        <v>4.2283333330000001</v>
      </c>
      <c r="N193" t="s">
        <v>26</v>
      </c>
      <c r="O193" s="8">
        <v>4.2283333330000001</v>
      </c>
      <c r="P193" s="8">
        <f>EXP(-1.363+3.366*LOG(O193,10))</f>
        <v>2.1057792396965977</v>
      </c>
      <c r="Q193" s="8">
        <f>(2256192*100)/6055896</f>
        <v>37.256121967748456</v>
      </c>
    </row>
    <row r="194" spans="1:17" x14ac:dyDescent="0.2">
      <c r="A194">
        <v>2011</v>
      </c>
      <c r="B194" t="s">
        <v>296</v>
      </c>
      <c r="C194" t="s">
        <v>120</v>
      </c>
      <c r="D194" t="s">
        <v>71</v>
      </c>
      <c r="E194">
        <v>7</v>
      </c>
      <c r="F194" t="s">
        <v>19</v>
      </c>
      <c r="G194" t="s">
        <v>286</v>
      </c>
      <c r="H194" t="s">
        <v>259</v>
      </c>
      <c r="I194" t="s">
        <v>22</v>
      </c>
      <c r="J194" t="s">
        <v>23</v>
      </c>
      <c r="K194" t="s">
        <v>24</v>
      </c>
      <c r="L194" t="s">
        <v>25</v>
      </c>
      <c r="M194" s="8">
        <v>4.2283333330000001</v>
      </c>
      <c r="N194" t="s">
        <v>26</v>
      </c>
      <c r="O194" s="8">
        <v>4.2283333330000001</v>
      </c>
      <c r="P194" s="8">
        <f>EXP(-1.363+3.366*LOG(O194,10))</f>
        <v>2.1057792396965977</v>
      </c>
      <c r="Q194" s="8">
        <f>(2256192*100)/6055896</f>
        <v>37.256121967748456</v>
      </c>
    </row>
    <row r="195" spans="1:17" x14ac:dyDescent="0.2">
      <c r="A195">
        <v>2011</v>
      </c>
      <c r="B195" t="s">
        <v>297</v>
      </c>
      <c r="C195" t="s">
        <v>120</v>
      </c>
      <c r="D195" t="s">
        <v>71</v>
      </c>
      <c r="E195">
        <v>7</v>
      </c>
      <c r="F195" t="s">
        <v>19</v>
      </c>
      <c r="G195" t="s">
        <v>286</v>
      </c>
      <c r="H195" t="s">
        <v>259</v>
      </c>
      <c r="I195" t="s">
        <v>22</v>
      </c>
      <c r="J195" t="s">
        <v>23</v>
      </c>
      <c r="K195" t="s">
        <v>24</v>
      </c>
      <c r="L195" t="s">
        <v>25</v>
      </c>
      <c r="M195" s="8">
        <v>4.2283333330000001</v>
      </c>
      <c r="N195" t="s">
        <v>26</v>
      </c>
      <c r="O195" s="8">
        <v>4.2283333330000001</v>
      </c>
      <c r="P195" s="8">
        <f>EXP(-1.363+3.366*LOG(O195,10))</f>
        <v>2.1057792396965977</v>
      </c>
      <c r="Q195" s="8">
        <f>(2256192*100)/6055896</f>
        <v>37.256121967748456</v>
      </c>
    </row>
    <row r="196" spans="1:17" x14ac:dyDescent="0.2">
      <c r="A196">
        <v>2011</v>
      </c>
      <c r="B196" t="s">
        <v>298</v>
      </c>
      <c r="C196" t="s">
        <v>57</v>
      </c>
      <c r="D196" t="s">
        <v>71</v>
      </c>
      <c r="E196">
        <v>7</v>
      </c>
      <c r="F196" t="s">
        <v>19</v>
      </c>
      <c r="G196" t="s">
        <v>286</v>
      </c>
      <c r="H196" t="s">
        <v>259</v>
      </c>
      <c r="I196" t="s">
        <v>22</v>
      </c>
      <c r="J196" t="s">
        <v>31</v>
      </c>
      <c r="K196" t="s">
        <v>24</v>
      </c>
      <c r="L196" t="s">
        <v>25</v>
      </c>
      <c r="M196" s="8">
        <v>4.2283333330000001</v>
      </c>
      <c r="N196" t="s">
        <v>26</v>
      </c>
      <c r="O196" s="8">
        <v>4.2283333330000001</v>
      </c>
      <c r="P196" s="8">
        <f>EXP(-1.363+3.366*LOG(O196,10))</f>
        <v>2.1057792396965977</v>
      </c>
      <c r="Q196" s="8">
        <f>(321151.3*100)/5927002</f>
        <v>5.4184442657518925</v>
      </c>
    </row>
    <row r="197" spans="1:17" x14ac:dyDescent="0.2">
      <c r="A197">
        <v>2011</v>
      </c>
      <c r="B197" t="s">
        <v>299</v>
      </c>
      <c r="C197" t="s">
        <v>120</v>
      </c>
      <c r="D197" t="s">
        <v>71</v>
      </c>
      <c r="E197">
        <v>7</v>
      </c>
      <c r="F197" t="s">
        <v>19</v>
      </c>
      <c r="G197" t="s">
        <v>286</v>
      </c>
      <c r="H197" t="s">
        <v>259</v>
      </c>
      <c r="I197" t="s">
        <v>22</v>
      </c>
      <c r="J197" t="s">
        <v>23</v>
      </c>
      <c r="K197" t="s">
        <v>24</v>
      </c>
      <c r="L197" t="s">
        <v>25</v>
      </c>
      <c r="M197" s="8">
        <v>4.2283333330000001</v>
      </c>
      <c r="N197" t="s">
        <v>26</v>
      </c>
      <c r="O197" s="8">
        <v>4.2283333330000001</v>
      </c>
      <c r="P197" s="8">
        <f>EXP(-1.363+3.366*LOG(O197,10))</f>
        <v>2.1057792396965977</v>
      </c>
      <c r="Q197" s="8">
        <f>(2256192*100)/6055896</f>
        <v>37.256121967748456</v>
      </c>
    </row>
    <row r="198" spans="1:17" x14ac:dyDescent="0.2">
      <c r="A198">
        <v>2011</v>
      </c>
      <c r="B198" t="s">
        <v>300</v>
      </c>
      <c r="C198" t="s">
        <v>120</v>
      </c>
      <c r="D198" t="s">
        <v>71</v>
      </c>
      <c r="E198">
        <v>7</v>
      </c>
      <c r="F198" t="s">
        <v>19</v>
      </c>
      <c r="G198" t="s">
        <v>286</v>
      </c>
      <c r="H198" t="s">
        <v>259</v>
      </c>
      <c r="I198" t="s">
        <v>22</v>
      </c>
      <c r="J198" t="s">
        <v>23</v>
      </c>
      <c r="K198" t="s">
        <v>24</v>
      </c>
      <c r="L198" t="s">
        <v>25</v>
      </c>
      <c r="M198" s="8">
        <v>4.2283333330000001</v>
      </c>
      <c r="N198" t="s">
        <v>26</v>
      </c>
      <c r="O198" s="8">
        <v>4.2283333330000001</v>
      </c>
      <c r="P198" s="8">
        <f>EXP(-1.363+3.366*LOG(O198,10))</f>
        <v>2.1057792396965977</v>
      </c>
      <c r="Q198" s="8">
        <f>(2256192*100)/6055896</f>
        <v>37.256121967748456</v>
      </c>
    </row>
    <row r="199" spans="1:17" x14ac:dyDescent="0.2">
      <c r="A199">
        <v>2011</v>
      </c>
      <c r="B199" t="s">
        <v>301</v>
      </c>
      <c r="C199" t="s">
        <v>120</v>
      </c>
      <c r="D199" t="s">
        <v>71</v>
      </c>
      <c r="E199">
        <v>7</v>
      </c>
      <c r="F199" t="s">
        <v>19</v>
      </c>
      <c r="G199" t="s">
        <v>286</v>
      </c>
      <c r="H199" t="s">
        <v>259</v>
      </c>
      <c r="I199" t="s">
        <v>22</v>
      </c>
      <c r="J199" t="s">
        <v>23</v>
      </c>
      <c r="K199" t="s">
        <v>24</v>
      </c>
      <c r="L199" t="s">
        <v>25</v>
      </c>
      <c r="M199" s="8">
        <v>4.2283333330000001</v>
      </c>
      <c r="N199" t="s">
        <v>26</v>
      </c>
      <c r="O199" s="8">
        <v>4.2283333330000001</v>
      </c>
      <c r="P199" s="8">
        <f>EXP(-1.363+3.366*LOG(O199,10))</f>
        <v>2.1057792396965977</v>
      </c>
      <c r="Q199" s="8">
        <f>(2256192*100)/6055896</f>
        <v>37.256121967748456</v>
      </c>
    </row>
    <row r="200" spans="1:17" x14ac:dyDescent="0.2">
      <c r="A200">
        <v>2011</v>
      </c>
      <c r="B200" t="s">
        <v>302</v>
      </c>
      <c r="C200" t="s">
        <v>65</v>
      </c>
      <c r="D200" t="s">
        <v>111</v>
      </c>
      <c r="E200">
        <v>5</v>
      </c>
      <c r="F200" t="s">
        <v>19</v>
      </c>
      <c r="G200" t="s">
        <v>303</v>
      </c>
      <c r="H200" t="s">
        <v>304</v>
      </c>
      <c r="I200" t="s">
        <v>22</v>
      </c>
      <c r="J200" t="s">
        <v>66</v>
      </c>
      <c r="K200" t="s">
        <v>24</v>
      </c>
      <c r="L200" t="s">
        <v>305</v>
      </c>
      <c r="M200" s="8">
        <v>1.8525</v>
      </c>
      <c r="N200" t="s">
        <v>26</v>
      </c>
      <c r="O200" s="8">
        <v>1.8525</v>
      </c>
      <c r="P200" s="8">
        <f>EXP(-1.363+3.366*LOG(O200,10))</f>
        <v>0.63019508881221808</v>
      </c>
      <c r="Q200" s="8">
        <f>(1788886*100)/6788946</f>
        <v>26.349981278389901</v>
      </c>
    </row>
    <row r="201" spans="1:17" x14ac:dyDescent="0.2">
      <c r="A201">
        <v>2011</v>
      </c>
      <c r="B201" t="s">
        <v>306</v>
      </c>
      <c r="C201" t="s">
        <v>50</v>
      </c>
      <c r="D201" t="s">
        <v>55</v>
      </c>
      <c r="E201">
        <v>6</v>
      </c>
      <c r="F201" t="s">
        <v>19</v>
      </c>
      <c r="G201" t="s">
        <v>303</v>
      </c>
      <c r="H201" t="s">
        <v>307</v>
      </c>
      <c r="I201" t="s">
        <v>36</v>
      </c>
      <c r="J201" t="s">
        <v>42</v>
      </c>
      <c r="K201" t="s">
        <v>24</v>
      </c>
      <c r="L201" t="s">
        <v>305</v>
      </c>
      <c r="M201" s="8">
        <v>1.01</v>
      </c>
      <c r="N201" t="s">
        <v>26</v>
      </c>
      <c r="O201" s="8">
        <v>1.01</v>
      </c>
      <c r="P201" s="8">
        <f>EXP(-1.363+3.366*LOG(O201,10))</f>
        <v>0.25964128962709732</v>
      </c>
      <c r="Q201" s="8">
        <f>(4488342*100)/4914798</f>
        <v>91.323020803703429</v>
      </c>
    </row>
    <row r="202" spans="1:17" x14ac:dyDescent="0.2">
      <c r="A202">
        <v>2011</v>
      </c>
      <c r="B202" t="s">
        <v>308</v>
      </c>
      <c r="C202" t="s">
        <v>39</v>
      </c>
      <c r="D202" t="s">
        <v>86</v>
      </c>
      <c r="E202">
        <v>4</v>
      </c>
      <c r="F202" t="s">
        <v>19</v>
      </c>
      <c r="G202" t="s">
        <v>303</v>
      </c>
      <c r="H202" t="s">
        <v>307</v>
      </c>
      <c r="I202" t="s">
        <v>36</v>
      </c>
      <c r="J202" t="s">
        <v>42</v>
      </c>
      <c r="K202" t="s">
        <v>24</v>
      </c>
      <c r="L202" t="s">
        <v>305</v>
      </c>
      <c r="M202" s="8">
        <v>1.01</v>
      </c>
      <c r="N202" t="s">
        <v>26</v>
      </c>
      <c r="O202" s="8">
        <v>1.01</v>
      </c>
      <c r="P202" s="8">
        <f>EXP(-1.363+3.366*LOG(O202,10))</f>
        <v>0.25964128962709732</v>
      </c>
      <c r="Q202" s="8">
        <f>(2375365*100)/2680339</f>
        <v>88.621812390149159</v>
      </c>
    </row>
    <row r="203" spans="1:17" x14ac:dyDescent="0.2">
      <c r="A203">
        <v>2011</v>
      </c>
      <c r="B203" t="s">
        <v>309</v>
      </c>
      <c r="C203" t="s">
        <v>89</v>
      </c>
      <c r="D203" t="s">
        <v>86</v>
      </c>
      <c r="E203">
        <v>4</v>
      </c>
      <c r="F203" t="s">
        <v>19</v>
      </c>
      <c r="G203" t="s">
        <v>303</v>
      </c>
      <c r="H203" t="s">
        <v>310</v>
      </c>
      <c r="I203" t="s">
        <v>22</v>
      </c>
      <c r="J203" t="s">
        <v>66</v>
      </c>
      <c r="K203" t="s">
        <v>24</v>
      </c>
      <c r="L203" t="s">
        <v>305</v>
      </c>
      <c r="M203" s="8" t="s">
        <v>26</v>
      </c>
      <c r="N203" t="s">
        <v>26</v>
      </c>
      <c r="O203" s="8" t="s">
        <v>26</v>
      </c>
      <c r="P203" s="8" t="s">
        <v>26</v>
      </c>
      <c r="Q203" s="8">
        <f>(61997.93*100)/7298102</f>
        <v>0.84950758430068529</v>
      </c>
    </row>
    <row r="204" spans="1:17" x14ac:dyDescent="0.2">
      <c r="A204">
        <v>2011</v>
      </c>
      <c r="B204" t="s">
        <v>311</v>
      </c>
      <c r="C204" t="s">
        <v>50</v>
      </c>
      <c r="D204" t="s">
        <v>76</v>
      </c>
      <c r="E204">
        <v>5</v>
      </c>
      <c r="F204" t="s">
        <v>19</v>
      </c>
      <c r="G204" t="s">
        <v>303</v>
      </c>
      <c r="H204" t="s">
        <v>312</v>
      </c>
      <c r="I204" t="s">
        <v>22</v>
      </c>
      <c r="J204" t="s">
        <v>42</v>
      </c>
      <c r="K204" t="s">
        <v>24</v>
      </c>
      <c r="L204" t="s">
        <v>305</v>
      </c>
      <c r="M204" s="8">
        <v>1.5776666669999999</v>
      </c>
      <c r="N204" t="s">
        <v>26</v>
      </c>
      <c r="O204" s="8">
        <v>1.5776666669999999</v>
      </c>
      <c r="P204" s="8">
        <f>EXP(-1.363+3.366*LOG(O204,10))</f>
        <v>0.49833603071292354</v>
      </c>
      <c r="Q204" s="8">
        <f>(4488342*100)/4914798</f>
        <v>91.323020803703429</v>
      </c>
    </row>
    <row r="205" spans="1:17" x14ac:dyDescent="0.2">
      <c r="A205">
        <v>2011</v>
      </c>
      <c r="B205" t="s">
        <v>313</v>
      </c>
      <c r="C205" t="s">
        <v>39</v>
      </c>
      <c r="D205" t="s">
        <v>53</v>
      </c>
      <c r="E205">
        <v>6</v>
      </c>
      <c r="F205" t="s">
        <v>19</v>
      </c>
      <c r="G205" t="s">
        <v>303</v>
      </c>
      <c r="H205" t="s">
        <v>312</v>
      </c>
      <c r="I205" t="s">
        <v>22</v>
      </c>
      <c r="J205" t="s">
        <v>42</v>
      </c>
      <c r="K205" t="s">
        <v>24</v>
      </c>
      <c r="L205" t="s">
        <v>305</v>
      </c>
      <c r="M205" s="8">
        <v>1.5776666669999999</v>
      </c>
      <c r="N205" t="s">
        <v>26</v>
      </c>
      <c r="O205" s="8">
        <v>1.5776666669999999</v>
      </c>
      <c r="P205" s="8">
        <f>EXP(-1.363+3.366*LOG(O205,10))</f>
        <v>0.49833603071292354</v>
      </c>
      <c r="Q205" s="8">
        <f>(2375365*100)/2680339</f>
        <v>88.621812390149159</v>
      </c>
    </row>
    <row r="206" spans="1:17" x14ac:dyDescent="0.2">
      <c r="A206">
        <v>2011</v>
      </c>
      <c r="B206" t="s">
        <v>314</v>
      </c>
      <c r="C206" t="s">
        <v>89</v>
      </c>
      <c r="D206" t="s">
        <v>190</v>
      </c>
      <c r="E206">
        <v>7</v>
      </c>
      <c r="F206" t="s">
        <v>19</v>
      </c>
      <c r="G206" t="s">
        <v>216</v>
      </c>
      <c r="H206" t="s">
        <v>217</v>
      </c>
      <c r="I206" t="s">
        <v>22</v>
      </c>
      <c r="J206" t="s">
        <v>66</v>
      </c>
      <c r="K206" t="s">
        <v>24</v>
      </c>
      <c r="L206" t="s">
        <v>25</v>
      </c>
      <c r="M206" s="8" t="s">
        <v>26</v>
      </c>
      <c r="N206" t="s">
        <v>26</v>
      </c>
      <c r="O206" s="8" t="s">
        <v>26</v>
      </c>
      <c r="P206" s="8" t="s">
        <v>26</v>
      </c>
      <c r="Q206" s="8">
        <f>(61997.93*100)/7298102</f>
        <v>0.84950758430068529</v>
      </c>
    </row>
    <row r="207" spans="1:17" x14ac:dyDescent="0.2">
      <c r="A207">
        <v>2011</v>
      </c>
      <c r="B207" t="s">
        <v>315</v>
      </c>
      <c r="C207" t="s">
        <v>89</v>
      </c>
      <c r="D207" t="s">
        <v>190</v>
      </c>
      <c r="E207">
        <v>7</v>
      </c>
      <c r="F207" t="s">
        <v>19</v>
      </c>
      <c r="G207" t="s">
        <v>216</v>
      </c>
      <c r="H207" t="s">
        <v>217</v>
      </c>
      <c r="I207" t="s">
        <v>36</v>
      </c>
      <c r="J207" t="s">
        <v>66</v>
      </c>
      <c r="K207" t="s">
        <v>24</v>
      </c>
      <c r="L207" t="s">
        <v>25</v>
      </c>
      <c r="M207" s="8" t="s">
        <v>26</v>
      </c>
      <c r="N207" t="s">
        <v>26</v>
      </c>
      <c r="O207" s="8" t="s">
        <v>26</v>
      </c>
      <c r="P207" s="8" t="s">
        <v>26</v>
      </c>
      <c r="Q207" s="8">
        <f>(61997.93*100)/7298102</f>
        <v>0.84950758430068529</v>
      </c>
    </row>
    <row r="208" spans="1:17" x14ac:dyDescent="0.2">
      <c r="A208">
        <v>2011</v>
      </c>
      <c r="B208" t="s">
        <v>316</v>
      </c>
      <c r="C208" t="s">
        <v>89</v>
      </c>
      <c r="D208" t="s">
        <v>190</v>
      </c>
      <c r="E208">
        <v>7</v>
      </c>
      <c r="F208" t="s">
        <v>19</v>
      </c>
      <c r="G208" t="s">
        <v>216</v>
      </c>
      <c r="H208" t="s">
        <v>217</v>
      </c>
      <c r="I208" t="s">
        <v>36</v>
      </c>
      <c r="J208" t="s">
        <v>66</v>
      </c>
      <c r="K208" t="s">
        <v>24</v>
      </c>
      <c r="L208" t="s">
        <v>25</v>
      </c>
      <c r="M208" s="8" t="s">
        <v>26</v>
      </c>
      <c r="N208" t="s">
        <v>26</v>
      </c>
      <c r="O208" s="8" t="s">
        <v>26</v>
      </c>
      <c r="P208" s="8" t="s">
        <v>26</v>
      </c>
      <c r="Q208" s="8">
        <f>(61997.93*100)/7298102</f>
        <v>0.84950758430068529</v>
      </c>
    </row>
    <row r="209" spans="1:17" x14ac:dyDescent="0.2">
      <c r="A209">
        <v>2011</v>
      </c>
      <c r="B209" t="s">
        <v>317</v>
      </c>
      <c r="C209" t="s">
        <v>120</v>
      </c>
      <c r="D209" t="s">
        <v>71</v>
      </c>
      <c r="E209">
        <v>7</v>
      </c>
      <c r="F209" t="s">
        <v>19</v>
      </c>
      <c r="G209" t="s">
        <v>318</v>
      </c>
      <c r="H209" t="s">
        <v>319</v>
      </c>
      <c r="I209" t="s">
        <v>22</v>
      </c>
      <c r="J209" t="s">
        <v>23</v>
      </c>
      <c r="K209" t="s">
        <v>24</v>
      </c>
      <c r="L209" t="s">
        <v>25</v>
      </c>
      <c r="M209" s="8">
        <v>5.71</v>
      </c>
      <c r="N209" t="s">
        <v>26</v>
      </c>
      <c r="O209" s="8">
        <v>5.71</v>
      </c>
      <c r="P209" s="8">
        <f>EXP(-1.363+3.366*LOG(O209,10))</f>
        <v>3.2668856822755741</v>
      </c>
      <c r="Q209" s="8">
        <f>(2256192*100)/6055896</f>
        <v>37.256121967748456</v>
      </c>
    </row>
    <row r="210" spans="1:17" x14ac:dyDescent="0.2">
      <c r="A210">
        <v>2011</v>
      </c>
      <c r="B210" t="s">
        <v>320</v>
      </c>
      <c r="C210" t="s">
        <v>17</v>
      </c>
      <c r="D210" t="s">
        <v>321</v>
      </c>
      <c r="E210">
        <v>4</v>
      </c>
      <c r="F210" t="s">
        <v>19</v>
      </c>
      <c r="G210" t="s">
        <v>20</v>
      </c>
      <c r="H210" t="s">
        <v>145</v>
      </c>
      <c r="I210" t="s">
        <v>22</v>
      </c>
      <c r="J210" t="s">
        <v>23</v>
      </c>
      <c r="K210" t="s">
        <v>24</v>
      </c>
      <c r="L210" t="s">
        <v>25</v>
      </c>
      <c r="M210" s="8">
        <v>2.399666667</v>
      </c>
      <c r="N210" t="s">
        <v>26</v>
      </c>
      <c r="O210" s="8">
        <v>2.399666667</v>
      </c>
      <c r="P210" s="8">
        <f>EXP(-1.363+3.366*LOG(O210,10))</f>
        <v>0.91997203423956198</v>
      </c>
      <c r="Q210" s="8">
        <f>(605161.6*100)/5834449</f>
        <v>10.372215096918321</v>
      </c>
    </row>
    <row r="211" spans="1:17" x14ac:dyDescent="0.2">
      <c r="A211">
        <v>2011</v>
      </c>
      <c r="B211" t="s">
        <v>322</v>
      </c>
      <c r="C211" t="s">
        <v>89</v>
      </c>
      <c r="D211" t="s">
        <v>90</v>
      </c>
      <c r="E211">
        <v>4</v>
      </c>
      <c r="F211" t="s">
        <v>19</v>
      </c>
      <c r="G211" t="s">
        <v>323</v>
      </c>
      <c r="H211" t="s">
        <v>324</v>
      </c>
      <c r="I211" t="s">
        <v>22</v>
      </c>
      <c r="J211" t="s">
        <v>66</v>
      </c>
      <c r="K211" t="s">
        <v>24</v>
      </c>
      <c r="L211" t="s">
        <v>25</v>
      </c>
      <c r="M211" s="8" t="s">
        <v>26</v>
      </c>
      <c r="N211" t="s">
        <v>26</v>
      </c>
      <c r="O211" s="8" t="s">
        <v>26</v>
      </c>
      <c r="P211" s="8" t="s">
        <v>26</v>
      </c>
      <c r="Q211" s="8">
        <f>(61997.93*100)/7298102</f>
        <v>0.84950758430068529</v>
      </c>
    </row>
    <row r="212" spans="1:17" x14ac:dyDescent="0.2">
      <c r="A212">
        <v>2011</v>
      </c>
      <c r="B212" t="s">
        <v>325</v>
      </c>
      <c r="C212" t="s">
        <v>39</v>
      </c>
      <c r="D212" t="s">
        <v>76</v>
      </c>
      <c r="E212">
        <v>5</v>
      </c>
      <c r="F212" t="s">
        <v>19</v>
      </c>
      <c r="G212" t="s">
        <v>326</v>
      </c>
      <c r="H212" t="s">
        <v>327</v>
      </c>
      <c r="I212" t="s">
        <v>36</v>
      </c>
      <c r="J212" t="s">
        <v>42</v>
      </c>
      <c r="K212" t="s">
        <v>24</v>
      </c>
      <c r="L212" t="s">
        <v>25</v>
      </c>
      <c r="M212" s="8">
        <v>1.0693333330000001</v>
      </c>
      <c r="N212" t="s">
        <v>26</v>
      </c>
      <c r="O212" s="8">
        <v>1.0693333330000001</v>
      </c>
      <c r="P212" s="8">
        <f>EXP(-1.363+3.366*LOG(O212,10))</f>
        <v>0.28223780327142356</v>
      </c>
      <c r="Q212" s="8">
        <f>(2375365*100)/2680339</f>
        <v>88.621812390149159</v>
      </c>
    </row>
    <row r="213" spans="1:17" x14ac:dyDescent="0.2">
      <c r="A213">
        <v>2011</v>
      </c>
      <c r="B213" t="s">
        <v>328</v>
      </c>
      <c r="C213" t="s">
        <v>39</v>
      </c>
      <c r="D213" t="s">
        <v>76</v>
      </c>
      <c r="E213">
        <v>5</v>
      </c>
      <c r="F213" t="s">
        <v>19</v>
      </c>
      <c r="G213" t="s">
        <v>326</v>
      </c>
      <c r="H213" t="s">
        <v>327</v>
      </c>
      <c r="I213" t="s">
        <v>36</v>
      </c>
      <c r="J213" t="s">
        <v>42</v>
      </c>
      <c r="K213" t="s">
        <v>24</v>
      </c>
      <c r="L213" t="s">
        <v>25</v>
      </c>
      <c r="M213" s="8">
        <v>1.0693333330000001</v>
      </c>
      <c r="N213" t="s">
        <v>26</v>
      </c>
      <c r="O213" s="8">
        <v>1.0693333330000001</v>
      </c>
      <c r="P213" s="8">
        <f>EXP(-1.363+3.366*LOG(O213,10))</f>
        <v>0.28223780327142356</v>
      </c>
      <c r="Q213" s="8">
        <f>(2375365*100)/2680339</f>
        <v>88.621812390149159</v>
      </c>
    </row>
    <row r="214" spans="1:17" x14ac:dyDescent="0.2">
      <c r="A214">
        <v>2011</v>
      </c>
      <c r="B214" t="s">
        <v>329</v>
      </c>
      <c r="C214" t="s">
        <v>39</v>
      </c>
      <c r="D214" t="s">
        <v>76</v>
      </c>
      <c r="E214">
        <v>5</v>
      </c>
      <c r="F214" t="s">
        <v>19</v>
      </c>
      <c r="G214" t="s">
        <v>326</v>
      </c>
      <c r="H214" t="s">
        <v>330</v>
      </c>
      <c r="I214" t="s">
        <v>36</v>
      </c>
      <c r="J214" t="s">
        <v>42</v>
      </c>
      <c r="K214" t="s">
        <v>24</v>
      </c>
      <c r="L214" t="s">
        <v>25</v>
      </c>
      <c r="M214" s="8">
        <v>1.100666667</v>
      </c>
      <c r="N214" t="s">
        <v>26</v>
      </c>
      <c r="O214" s="8">
        <v>1.100666667</v>
      </c>
      <c r="P214" s="8">
        <f>EXP(-1.363+3.366*LOG(O214,10))</f>
        <v>0.29440864465042604</v>
      </c>
      <c r="Q214" s="8">
        <f>(2375365*100)/2680339</f>
        <v>88.621812390149159</v>
      </c>
    </row>
    <row r="215" spans="1:17" x14ac:dyDescent="0.2">
      <c r="A215">
        <v>2011</v>
      </c>
      <c r="B215" t="s">
        <v>331</v>
      </c>
      <c r="C215" t="s">
        <v>39</v>
      </c>
      <c r="D215" t="s">
        <v>73</v>
      </c>
      <c r="E215">
        <v>5</v>
      </c>
      <c r="F215" t="s">
        <v>19</v>
      </c>
      <c r="G215" t="s">
        <v>332</v>
      </c>
      <c r="H215" t="s">
        <v>330</v>
      </c>
      <c r="I215" t="s">
        <v>22</v>
      </c>
      <c r="J215" t="s">
        <v>42</v>
      </c>
      <c r="K215" t="s">
        <v>24</v>
      </c>
      <c r="L215" t="s">
        <v>25</v>
      </c>
      <c r="M215" s="8">
        <v>1.2170000000000001</v>
      </c>
      <c r="N215" t="s">
        <v>26</v>
      </c>
      <c r="O215" s="8">
        <v>1.2170000000000001</v>
      </c>
      <c r="P215" s="8">
        <f>EXP(-1.363+3.366*LOG(O215,10))</f>
        <v>0.34098666307598596</v>
      </c>
      <c r="Q215" s="8">
        <f>(2375365*100)/2680339</f>
        <v>88.621812390149159</v>
      </c>
    </row>
    <row r="216" spans="1:17" x14ac:dyDescent="0.2">
      <c r="A216">
        <v>2011</v>
      </c>
      <c r="B216" t="s">
        <v>333</v>
      </c>
      <c r="C216" t="s">
        <v>39</v>
      </c>
      <c r="D216" t="s">
        <v>73</v>
      </c>
      <c r="E216">
        <v>5</v>
      </c>
      <c r="F216" t="s">
        <v>19</v>
      </c>
      <c r="G216" t="s">
        <v>332</v>
      </c>
      <c r="H216" t="s">
        <v>330</v>
      </c>
      <c r="I216" t="s">
        <v>22</v>
      </c>
      <c r="J216" t="s">
        <v>42</v>
      </c>
      <c r="K216" t="s">
        <v>24</v>
      </c>
      <c r="L216" t="s">
        <v>25</v>
      </c>
      <c r="M216" s="8">
        <v>1.2170000000000001</v>
      </c>
      <c r="N216" t="s">
        <v>26</v>
      </c>
      <c r="O216" s="8">
        <v>1.2170000000000001</v>
      </c>
      <c r="P216" s="8">
        <f>EXP(-1.363+3.366*LOG(O216,10))</f>
        <v>0.34098666307598596</v>
      </c>
      <c r="Q216" s="8">
        <f>(2375365*100)/2680339</f>
        <v>88.621812390149159</v>
      </c>
    </row>
    <row r="217" spans="1:17" x14ac:dyDescent="0.2">
      <c r="A217">
        <v>2011</v>
      </c>
      <c r="B217" t="s">
        <v>334</v>
      </c>
      <c r="C217" t="s">
        <v>39</v>
      </c>
      <c r="D217" t="s">
        <v>73</v>
      </c>
      <c r="E217">
        <v>5</v>
      </c>
      <c r="F217" t="s">
        <v>19</v>
      </c>
      <c r="G217" t="s">
        <v>332</v>
      </c>
      <c r="H217" t="s">
        <v>330</v>
      </c>
      <c r="I217" t="s">
        <v>36</v>
      </c>
      <c r="J217" t="s">
        <v>42</v>
      </c>
      <c r="K217" t="s">
        <v>24</v>
      </c>
      <c r="L217" t="s">
        <v>25</v>
      </c>
      <c r="M217" s="8">
        <v>1.100666667</v>
      </c>
      <c r="N217" t="s">
        <v>26</v>
      </c>
      <c r="O217" s="8">
        <v>1.100666667</v>
      </c>
      <c r="P217" s="8">
        <f>EXP(-1.363+3.366*LOG(O217,10))</f>
        <v>0.29440864465042604</v>
      </c>
      <c r="Q217" s="8">
        <f>(2375365*100)/2680339</f>
        <v>88.621812390149159</v>
      </c>
    </row>
    <row r="218" spans="1:17" x14ac:dyDescent="0.2">
      <c r="A218">
        <v>2011</v>
      </c>
      <c r="B218" t="s">
        <v>335</v>
      </c>
      <c r="C218" t="s">
        <v>39</v>
      </c>
      <c r="D218" t="s">
        <v>73</v>
      </c>
      <c r="E218">
        <v>5</v>
      </c>
      <c r="F218" t="s">
        <v>19</v>
      </c>
      <c r="G218" t="s">
        <v>332</v>
      </c>
      <c r="H218" t="s">
        <v>330</v>
      </c>
      <c r="I218" t="s">
        <v>22</v>
      </c>
      <c r="J218" t="s">
        <v>42</v>
      </c>
      <c r="K218" t="s">
        <v>24</v>
      </c>
      <c r="L218" t="s">
        <v>25</v>
      </c>
      <c r="M218" s="8">
        <v>1.2170000000000001</v>
      </c>
      <c r="N218" t="s">
        <v>26</v>
      </c>
      <c r="O218" s="8">
        <v>1.2170000000000001</v>
      </c>
      <c r="P218" s="8">
        <f>EXP(-1.363+3.366*LOG(O218,10))</f>
        <v>0.34098666307598596</v>
      </c>
      <c r="Q218" s="8">
        <f>(2375365*100)/2680339</f>
        <v>88.621812390149159</v>
      </c>
    </row>
    <row r="219" spans="1:17" x14ac:dyDescent="0.2">
      <c r="A219">
        <v>2011</v>
      </c>
      <c r="B219" t="s">
        <v>336</v>
      </c>
      <c r="C219" t="s">
        <v>39</v>
      </c>
      <c r="D219" t="s">
        <v>73</v>
      </c>
      <c r="E219">
        <v>5</v>
      </c>
      <c r="F219" t="s">
        <v>19</v>
      </c>
      <c r="G219" t="s">
        <v>332</v>
      </c>
      <c r="H219" t="s">
        <v>330</v>
      </c>
      <c r="I219" t="s">
        <v>36</v>
      </c>
      <c r="J219" t="s">
        <v>42</v>
      </c>
      <c r="K219" t="s">
        <v>24</v>
      </c>
      <c r="L219" t="s">
        <v>25</v>
      </c>
      <c r="M219" s="8">
        <v>1.100666667</v>
      </c>
      <c r="N219" t="s">
        <v>26</v>
      </c>
      <c r="O219" s="8">
        <v>1.100666667</v>
      </c>
      <c r="P219" s="8">
        <f>EXP(-1.363+3.366*LOG(O219,10))</f>
        <v>0.29440864465042604</v>
      </c>
      <c r="Q219" s="8">
        <f>(2375365*100)/2680339</f>
        <v>88.621812390149159</v>
      </c>
    </row>
    <row r="220" spans="1:17" x14ac:dyDescent="0.2">
      <c r="A220">
        <v>2011</v>
      </c>
      <c r="B220" t="s">
        <v>337</v>
      </c>
      <c r="C220" t="s">
        <v>39</v>
      </c>
      <c r="D220" t="s">
        <v>73</v>
      </c>
      <c r="E220">
        <v>5</v>
      </c>
      <c r="F220" t="s">
        <v>19</v>
      </c>
      <c r="G220" t="s">
        <v>332</v>
      </c>
      <c r="H220" t="s">
        <v>330</v>
      </c>
      <c r="I220" t="s">
        <v>22</v>
      </c>
      <c r="J220" t="s">
        <v>42</v>
      </c>
      <c r="K220" t="s">
        <v>24</v>
      </c>
      <c r="L220" t="s">
        <v>25</v>
      </c>
      <c r="M220" s="8">
        <v>1.2170000000000001</v>
      </c>
      <c r="N220" t="s">
        <v>26</v>
      </c>
      <c r="O220" s="8">
        <v>1.2170000000000001</v>
      </c>
      <c r="P220" s="8">
        <f>EXP(-1.363+3.366*LOG(O220,10))</f>
        <v>0.34098666307598596</v>
      </c>
      <c r="Q220" s="8">
        <f>(2375365*100)/2680339</f>
        <v>88.621812390149159</v>
      </c>
    </row>
    <row r="221" spans="1:17" x14ac:dyDescent="0.2">
      <c r="A221">
        <v>2011</v>
      </c>
      <c r="B221" t="s">
        <v>338</v>
      </c>
      <c r="C221" t="s">
        <v>39</v>
      </c>
      <c r="D221" t="s">
        <v>73</v>
      </c>
      <c r="E221">
        <v>5</v>
      </c>
      <c r="F221" t="s">
        <v>19</v>
      </c>
      <c r="G221" t="s">
        <v>332</v>
      </c>
      <c r="H221" t="s">
        <v>330</v>
      </c>
      <c r="I221" t="s">
        <v>36</v>
      </c>
      <c r="J221" t="s">
        <v>42</v>
      </c>
      <c r="K221" t="s">
        <v>24</v>
      </c>
      <c r="L221" t="s">
        <v>25</v>
      </c>
      <c r="M221" s="8">
        <v>1.100666667</v>
      </c>
      <c r="N221" t="s">
        <v>26</v>
      </c>
      <c r="O221" s="8">
        <v>1.100666667</v>
      </c>
      <c r="P221" s="8">
        <f>EXP(-1.363+3.366*LOG(O221,10))</f>
        <v>0.29440864465042604</v>
      </c>
      <c r="Q221" s="8">
        <f>(2375365*100)/2680339</f>
        <v>88.621812390149159</v>
      </c>
    </row>
    <row r="222" spans="1:17" x14ac:dyDescent="0.2">
      <c r="A222">
        <v>2011</v>
      </c>
      <c r="B222" t="s">
        <v>339</v>
      </c>
      <c r="C222" t="s">
        <v>39</v>
      </c>
      <c r="D222" t="s">
        <v>73</v>
      </c>
      <c r="E222">
        <v>5</v>
      </c>
      <c r="F222" t="s">
        <v>19</v>
      </c>
      <c r="G222" t="s">
        <v>332</v>
      </c>
      <c r="H222" t="s">
        <v>330</v>
      </c>
      <c r="I222" t="s">
        <v>36</v>
      </c>
      <c r="J222" t="s">
        <v>42</v>
      </c>
      <c r="K222" t="s">
        <v>24</v>
      </c>
      <c r="L222" t="s">
        <v>25</v>
      </c>
      <c r="M222" s="8">
        <v>1.100666667</v>
      </c>
      <c r="N222" t="s">
        <v>26</v>
      </c>
      <c r="O222" s="8">
        <v>1.100666667</v>
      </c>
      <c r="P222" s="8">
        <f>EXP(-1.363+3.366*LOG(O222,10))</f>
        <v>0.29440864465042604</v>
      </c>
      <c r="Q222" s="8">
        <f>(2375365*100)/2680339</f>
        <v>88.621812390149159</v>
      </c>
    </row>
    <row r="223" spans="1:17" x14ac:dyDescent="0.2">
      <c r="A223">
        <v>2011</v>
      </c>
      <c r="B223" t="s">
        <v>340</v>
      </c>
      <c r="C223" t="s">
        <v>39</v>
      </c>
      <c r="D223" t="s">
        <v>73</v>
      </c>
      <c r="E223">
        <v>5</v>
      </c>
      <c r="F223" t="s">
        <v>19</v>
      </c>
      <c r="G223" t="s">
        <v>332</v>
      </c>
      <c r="H223" t="s">
        <v>330</v>
      </c>
      <c r="I223" t="s">
        <v>36</v>
      </c>
      <c r="J223" t="s">
        <v>42</v>
      </c>
      <c r="K223" t="s">
        <v>24</v>
      </c>
      <c r="L223" t="s">
        <v>25</v>
      </c>
      <c r="M223" s="8">
        <v>1.100666667</v>
      </c>
      <c r="N223" t="s">
        <v>26</v>
      </c>
      <c r="O223" s="8">
        <v>1.100666667</v>
      </c>
      <c r="P223" s="8">
        <f>EXP(-1.363+3.366*LOG(O223,10))</f>
        <v>0.29440864465042604</v>
      </c>
      <c r="Q223" s="8">
        <f>(2375365*100)/2680339</f>
        <v>88.621812390149159</v>
      </c>
    </row>
    <row r="224" spans="1:17" x14ac:dyDescent="0.2">
      <c r="A224">
        <v>2011</v>
      </c>
      <c r="B224" t="s">
        <v>341</v>
      </c>
      <c r="C224" t="s">
        <v>39</v>
      </c>
      <c r="D224" t="s">
        <v>73</v>
      </c>
      <c r="E224">
        <v>5</v>
      </c>
      <c r="F224" t="s">
        <v>19</v>
      </c>
      <c r="G224" t="s">
        <v>332</v>
      </c>
      <c r="H224" t="s">
        <v>330</v>
      </c>
      <c r="I224" t="s">
        <v>36</v>
      </c>
      <c r="J224" t="s">
        <v>42</v>
      </c>
      <c r="K224" t="s">
        <v>24</v>
      </c>
      <c r="L224" t="s">
        <v>25</v>
      </c>
      <c r="M224" s="8">
        <v>1.100666667</v>
      </c>
      <c r="N224" t="s">
        <v>26</v>
      </c>
      <c r="O224" s="8">
        <v>1.100666667</v>
      </c>
      <c r="P224" s="8">
        <f>EXP(-1.363+3.366*LOG(O224,10))</f>
        <v>0.29440864465042604</v>
      </c>
      <c r="Q224" s="8">
        <f>(2375365*100)/2680339</f>
        <v>88.621812390149159</v>
      </c>
    </row>
    <row r="225" spans="1:17" x14ac:dyDescent="0.2">
      <c r="A225">
        <v>2011</v>
      </c>
      <c r="B225" t="s">
        <v>342</v>
      </c>
      <c r="C225" t="s">
        <v>39</v>
      </c>
      <c r="D225" t="s">
        <v>73</v>
      </c>
      <c r="E225">
        <v>5</v>
      </c>
      <c r="F225" t="s">
        <v>19</v>
      </c>
      <c r="G225" t="s">
        <v>332</v>
      </c>
      <c r="H225" t="s">
        <v>330</v>
      </c>
      <c r="I225" t="s">
        <v>36</v>
      </c>
      <c r="J225" t="s">
        <v>42</v>
      </c>
      <c r="K225" t="s">
        <v>24</v>
      </c>
      <c r="L225" t="s">
        <v>25</v>
      </c>
      <c r="M225" s="8">
        <v>1.100666667</v>
      </c>
      <c r="N225" t="s">
        <v>26</v>
      </c>
      <c r="O225" s="8">
        <v>1.100666667</v>
      </c>
      <c r="P225" s="8">
        <f>EXP(-1.363+3.366*LOG(O225,10))</f>
        <v>0.29440864465042604</v>
      </c>
      <c r="Q225" s="8">
        <f>(2375365*100)/2680339</f>
        <v>88.621812390149159</v>
      </c>
    </row>
    <row r="226" spans="1:17" x14ac:dyDescent="0.2">
      <c r="A226">
        <v>2011</v>
      </c>
      <c r="B226" t="s">
        <v>343</v>
      </c>
      <c r="C226" t="s">
        <v>50</v>
      </c>
      <c r="D226" t="s">
        <v>76</v>
      </c>
      <c r="E226">
        <v>5</v>
      </c>
      <c r="F226" t="s">
        <v>19</v>
      </c>
      <c r="G226" t="s">
        <v>332</v>
      </c>
      <c r="H226" t="s">
        <v>330</v>
      </c>
      <c r="I226" t="s">
        <v>22</v>
      </c>
      <c r="J226" t="s">
        <v>42</v>
      </c>
      <c r="K226" t="s">
        <v>24</v>
      </c>
      <c r="L226" t="s">
        <v>25</v>
      </c>
      <c r="M226" s="8">
        <v>1.2170000000000001</v>
      </c>
      <c r="N226" t="s">
        <v>26</v>
      </c>
      <c r="O226" s="8">
        <v>1.2170000000000001</v>
      </c>
      <c r="P226" s="8">
        <f>EXP(-1.363+3.366*LOG(O226,10))</f>
        <v>0.34098666307598596</v>
      </c>
      <c r="Q226" s="8">
        <f>(4488342*100)/4914798</f>
        <v>91.323020803703429</v>
      </c>
    </row>
    <row r="227" spans="1:17" x14ac:dyDescent="0.2">
      <c r="A227">
        <v>2011</v>
      </c>
      <c r="B227" t="s">
        <v>344</v>
      </c>
      <c r="C227" t="s">
        <v>50</v>
      </c>
      <c r="D227" t="s">
        <v>95</v>
      </c>
      <c r="E227">
        <v>7</v>
      </c>
      <c r="F227" t="s">
        <v>19</v>
      </c>
      <c r="G227" t="s">
        <v>332</v>
      </c>
      <c r="H227" t="s">
        <v>330</v>
      </c>
      <c r="I227" t="s">
        <v>22</v>
      </c>
      <c r="J227" t="s">
        <v>42</v>
      </c>
      <c r="K227" t="s">
        <v>24</v>
      </c>
      <c r="L227" t="s">
        <v>25</v>
      </c>
      <c r="M227" s="8">
        <v>1.2170000000000001</v>
      </c>
      <c r="N227" t="s">
        <v>26</v>
      </c>
      <c r="O227" s="8">
        <v>1.2170000000000001</v>
      </c>
      <c r="P227" s="8">
        <f>EXP(-1.363+3.366*LOG(O227,10))</f>
        <v>0.34098666307598596</v>
      </c>
      <c r="Q227" s="8">
        <f>(4488342*100)/4914798</f>
        <v>91.323020803703429</v>
      </c>
    </row>
    <row r="228" spans="1:17" x14ac:dyDescent="0.2">
      <c r="A228">
        <v>2011</v>
      </c>
      <c r="B228" t="s">
        <v>345</v>
      </c>
      <c r="C228" t="s">
        <v>50</v>
      </c>
      <c r="D228" t="s">
        <v>95</v>
      </c>
      <c r="E228">
        <v>7</v>
      </c>
      <c r="F228" t="s">
        <v>19</v>
      </c>
      <c r="G228" t="s">
        <v>332</v>
      </c>
      <c r="H228" t="s">
        <v>330</v>
      </c>
      <c r="I228" t="s">
        <v>22</v>
      </c>
      <c r="J228" t="s">
        <v>42</v>
      </c>
      <c r="K228" t="s">
        <v>24</v>
      </c>
      <c r="L228" t="s">
        <v>25</v>
      </c>
      <c r="M228" s="8">
        <v>1.2170000000000001</v>
      </c>
      <c r="N228" t="s">
        <v>26</v>
      </c>
      <c r="O228" s="8">
        <v>1.2170000000000001</v>
      </c>
      <c r="P228" s="8">
        <f>EXP(-1.363+3.366*LOG(O228,10))</f>
        <v>0.34098666307598596</v>
      </c>
      <c r="Q228" s="8">
        <f>(4488342*100)/4914798</f>
        <v>91.323020803703429</v>
      </c>
    </row>
    <row r="229" spans="1:17" x14ac:dyDescent="0.2">
      <c r="A229">
        <v>2011</v>
      </c>
      <c r="B229" t="s">
        <v>346</v>
      </c>
      <c r="C229" t="s">
        <v>50</v>
      </c>
      <c r="D229" t="s">
        <v>95</v>
      </c>
      <c r="E229">
        <v>7</v>
      </c>
      <c r="F229" t="s">
        <v>19</v>
      </c>
      <c r="G229" t="s">
        <v>332</v>
      </c>
      <c r="H229" t="s">
        <v>330</v>
      </c>
      <c r="I229" t="s">
        <v>22</v>
      </c>
      <c r="J229" t="s">
        <v>42</v>
      </c>
      <c r="K229" t="s">
        <v>24</v>
      </c>
      <c r="L229" t="s">
        <v>25</v>
      </c>
      <c r="M229" s="8">
        <v>1.2170000000000001</v>
      </c>
      <c r="N229" t="s">
        <v>26</v>
      </c>
      <c r="O229" s="8">
        <v>1.2170000000000001</v>
      </c>
      <c r="P229" s="8">
        <f>EXP(-1.363+3.366*LOG(O229,10))</f>
        <v>0.34098666307598596</v>
      </c>
      <c r="Q229" s="8">
        <f>(4488342*100)/4914798</f>
        <v>91.323020803703429</v>
      </c>
    </row>
    <row r="230" spans="1:17" x14ac:dyDescent="0.2">
      <c r="A230">
        <v>2011</v>
      </c>
      <c r="B230" t="s">
        <v>347</v>
      </c>
      <c r="C230" t="s">
        <v>39</v>
      </c>
      <c r="D230" t="s">
        <v>58</v>
      </c>
      <c r="E230">
        <v>6</v>
      </c>
      <c r="F230" t="s">
        <v>19</v>
      </c>
      <c r="G230" t="s">
        <v>332</v>
      </c>
      <c r="H230" t="s">
        <v>330</v>
      </c>
      <c r="I230" t="s">
        <v>22</v>
      </c>
      <c r="J230" t="s">
        <v>42</v>
      </c>
      <c r="K230" t="s">
        <v>24</v>
      </c>
      <c r="L230" t="s">
        <v>25</v>
      </c>
      <c r="M230" s="8">
        <v>1.2170000000000001</v>
      </c>
      <c r="N230" t="s">
        <v>26</v>
      </c>
      <c r="O230" s="8">
        <v>1.2170000000000001</v>
      </c>
      <c r="P230" s="8">
        <f>EXP(-1.363+3.366*LOG(O230,10))</f>
        <v>0.34098666307598596</v>
      </c>
      <c r="Q230" s="8">
        <f>(2375365*100)/2680339</f>
        <v>88.621812390149159</v>
      </c>
    </row>
    <row r="231" spans="1:17" x14ac:dyDescent="0.2">
      <c r="A231">
        <v>2011</v>
      </c>
      <c r="B231" t="s">
        <v>348</v>
      </c>
      <c r="C231" t="s">
        <v>50</v>
      </c>
      <c r="D231" t="s">
        <v>95</v>
      </c>
      <c r="E231">
        <v>7</v>
      </c>
      <c r="F231" t="s">
        <v>19</v>
      </c>
      <c r="G231" t="s">
        <v>332</v>
      </c>
      <c r="H231" t="s">
        <v>330</v>
      </c>
      <c r="I231" t="s">
        <v>36</v>
      </c>
      <c r="J231" t="s">
        <v>42</v>
      </c>
      <c r="K231" t="s">
        <v>24</v>
      </c>
      <c r="L231" t="s">
        <v>25</v>
      </c>
      <c r="M231" s="8">
        <v>1.100666667</v>
      </c>
      <c r="N231" t="s">
        <v>26</v>
      </c>
      <c r="O231" s="8">
        <v>1.100666667</v>
      </c>
      <c r="P231" s="8">
        <f>EXP(-1.363+3.366*LOG(O231,10))</f>
        <v>0.29440864465042604</v>
      </c>
      <c r="Q231" s="8">
        <f>(4488342*100)/4914798</f>
        <v>91.323020803703429</v>
      </c>
    </row>
    <row r="232" spans="1:17" x14ac:dyDescent="0.2">
      <c r="A232">
        <v>2011</v>
      </c>
      <c r="B232" t="s">
        <v>349</v>
      </c>
      <c r="C232" t="s">
        <v>50</v>
      </c>
      <c r="D232" t="s">
        <v>95</v>
      </c>
      <c r="E232">
        <v>7</v>
      </c>
      <c r="F232" t="s">
        <v>19</v>
      </c>
      <c r="G232" t="s">
        <v>332</v>
      </c>
      <c r="H232" t="s">
        <v>330</v>
      </c>
      <c r="I232" t="s">
        <v>36</v>
      </c>
      <c r="J232" t="s">
        <v>42</v>
      </c>
      <c r="K232" t="s">
        <v>24</v>
      </c>
      <c r="L232" t="s">
        <v>25</v>
      </c>
      <c r="M232" s="8">
        <v>1.100666667</v>
      </c>
      <c r="N232" t="s">
        <v>26</v>
      </c>
      <c r="O232" s="8">
        <v>1.100666667</v>
      </c>
      <c r="P232" s="8">
        <f>EXP(-1.363+3.366*LOG(O232,10))</f>
        <v>0.29440864465042604</v>
      </c>
      <c r="Q232" s="8">
        <f>(4488342*100)/4914798</f>
        <v>91.323020803703429</v>
      </c>
    </row>
    <row r="233" spans="1:17" x14ac:dyDescent="0.2">
      <c r="A233">
        <v>2011</v>
      </c>
      <c r="B233" t="s">
        <v>350</v>
      </c>
      <c r="C233" t="s">
        <v>39</v>
      </c>
      <c r="D233" t="s">
        <v>58</v>
      </c>
      <c r="E233">
        <v>6</v>
      </c>
      <c r="F233" t="s">
        <v>19</v>
      </c>
      <c r="G233" t="s">
        <v>332</v>
      </c>
      <c r="H233" t="s">
        <v>330</v>
      </c>
      <c r="I233" t="s">
        <v>36</v>
      </c>
      <c r="J233" t="s">
        <v>42</v>
      </c>
      <c r="K233" t="s">
        <v>24</v>
      </c>
      <c r="L233" t="s">
        <v>25</v>
      </c>
      <c r="M233" s="8">
        <v>1.100666667</v>
      </c>
      <c r="N233" t="s">
        <v>26</v>
      </c>
      <c r="O233" s="8">
        <v>1.100666667</v>
      </c>
      <c r="P233" s="8">
        <f>EXP(-1.363+3.366*LOG(O233,10))</f>
        <v>0.29440864465042604</v>
      </c>
      <c r="Q233" s="8">
        <f>(2375365*100)/2680339</f>
        <v>88.621812390149159</v>
      </c>
    </row>
    <row r="234" spans="1:17" x14ac:dyDescent="0.2">
      <c r="A234">
        <v>2011</v>
      </c>
      <c r="B234" t="s">
        <v>351</v>
      </c>
      <c r="C234" t="s">
        <v>60</v>
      </c>
      <c r="D234" t="s">
        <v>90</v>
      </c>
      <c r="E234">
        <v>4</v>
      </c>
      <c r="F234" t="s">
        <v>19</v>
      </c>
      <c r="G234" t="s">
        <v>352</v>
      </c>
      <c r="H234" t="s">
        <v>353</v>
      </c>
      <c r="I234" t="s">
        <v>22</v>
      </c>
      <c r="J234" t="s">
        <v>31</v>
      </c>
      <c r="K234" t="s">
        <v>24</v>
      </c>
      <c r="L234" t="s">
        <v>25</v>
      </c>
      <c r="M234" s="8">
        <v>1.1623333330000001</v>
      </c>
      <c r="N234" t="s">
        <v>26</v>
      </c>
      <c r="O234" s="8">
        <v>1.1623333330000001</v>
      </c>
      <c r="P234" s="8">
        <f>EXP(-1.363+3.366*LOG(O234,10))</f>
        <v>0.31883010989102206</v>
      </c>
      <c r="Q234" s="8">
        <f>(27433.05*100)/7611378</f>
        <v>0.36042159514348127</v>
      </c>
    </row>
    <row r="235" spans="1:17" x14ac:dyDescent="0.2">
      <c r="A235">
        <v>2011</v>
      </c>
      <c r="B235" t="s">
        <v>354</v>
      </c>
      <c r="C235" t="s">
        <v>17</v>
      </c>
      <c r="D235" t="s">
        <v>63</v>
      </c>
      <c r="E235">
        <v>6</v>
      </c>
      <c r="F235" t="s">
        <v>19</v>
      </c>
      <c r="G235" t="s">
        <v>355</v>
      </c>
      <c r="H235" t="s">
        <v>356</v>
      </c>
      <c r="I235" t="s">
        <v>22</v>
      </c>
      <c r="J235" t="s">
        <v>23</v>
      </c>
      <c r="K235" t="s">
        <v>24</v>
      </c>
      <c r="L235" t="s">
        <v>187</v>
      </c>
      <c r="M235" s="8" t="s">
        <v>26</v>
      </c>
      <c r="N235" t="s">
        <v>26</v>
      </c>
      <c r="O235" s="8" t="s">
        <v>26</v>
      </c>
      <c r="P235" s="8" t="s">
        <v>26</v>
      </c>
      <c r="Q235" s="8">
        <f>(605161.6*100)/5834449</f>
        <v>10.372215096918321</v>
      </c>
    </row>
    <row r="236" spans="1:17" x14ac:dyDescent="0.2">
      <c r="A236">
        <v>2011</v>
      </c>
      <c r="B236" t="s">
        <v>357</v>
      </c>
      <c r="C236" t="s">
        <v>17</v>
      </c>
      <c r="D236" t="s">
        <v>63</v>
      </c>
      <c r="E236">
        <v>6</v>
      </c>
      <c r="F236" t="s">
        <v>19</v>
      </c>
      <c r="G236" t="s">
        <v>355</v>
      </c>
      <c r="H236" t="s">
        <v>356</v>
      </c>
      <c r="I236" t="s">
        <v>22</v>
      </c>
      <c r="J236" t="s">
        <v>23</v>
      </c>
      <c r="K236" t="s">
        <v>24</v>
      </c>
      <c r="L236" t="s">
        <v>187</v>
      </c>
      <c r="M236" s="8" t="s">
        <v>26</v>
      </c>
      <c r="N236" t="s">
        <v>26</v>
      </c>
      <c r="O236" s="8" t="s">
        <v>26</v>
      </c>
      <c r="P236" s="8" t="s">
        <v>26</v>
      </c>
      <c r="Q236" s="8">
        <f>(605161.6*100)/5834449</f>
        <v>10.372215096918321</v>
      </c>
    </row>
    <row r="237" spans="1:17" x14ac:dyDescent="0.2">
      <c r="A237">
        <v>2011</v>
      </c>
      <c r="B237" t="s">
        <v>358</v>
      </c>
      <c r="C237" t="s">
        <v>17</v>
      </c>
      <c r="D237" t="s">
        <v>95</v>
      </c>
      <c r="E237">
        <v>7</v>
      </c>
      <c r="F237" t="s">
        <v>19</v>
      </c>
      <c r="G237" t="s">
        <v>355</v>
      </c>
      <c r="H237" t="s">
        <v>356</v>
      </c>
      <c r="I237" t="s">
        <v>22</v>
      </c>
      <c r="J237" t="s">
        <v>23</v>
      </c>
      <c r="K237" t="s">
        <v>24</v>
      </c>
      <c r="L237" t="s">
        <v>187</v>
      </c>
      <c r="M237" s="8" t="s">
        <v>26</v>
      </c>
      <c r="N237" t="s">
        <v>26</v>
      </c>
      <c r="O237" s="8" t="s">
        <v>26</v>
      </c>
      <c r="P237" s="8" t="s">
        <v>26</v>
      </c>
      <c r="Q237" s="8">
        <f>(605161.6*100)/5834449</f>
        <v>10.372215096918321</v>
      </c>
    </row>
    <row r="238" spans="1:17" x14ac:dyDescent="0.2">
      <c r="A238">
        <v>2011</v>
      </c>
      <c r="B238" t="s">
        <v>359</v>
      </c>
      <c r="C238" t="s">
        <v>60</v>
      </c>
      <c r="D238" t="s">
        <v>190</v>
      </c>
      <c r="E238">
        <v>7</v>
      </c>
      <c r="F238" t="s">
        <v>19</v>
      </c>
      <c r="G238" t="s">
        <v>355</v>
      </c>
      <c r="H238" t="s">
        <v>356</v>
      </c>
      <c r="I238" t="s">
        <v>22</v>
      </c>
      <c r="J238" t="s">
        <v>31</v>
      </c>
      <c r="K238" t="s">
        <v>24</v>
      </c>
      <c r="L238" t="s">
        <v>187</v>
      </c>
      <c r="M238" s="8" t="s">
        <v>26</v>
      </c>
      <c r="N238" t="s">
        <v>26</v>
      </c>
      <c r="O238" s="8" t="s">
        <v>26</v>
      </c>
      <c r="P238" s="8" t="s">
        <v>26</v>
      </c>
      <c r="Q238" s="8">
        <f>(27433.05*100)/7611378</f>
        <v>0.36042159514348127</v>
      </c>
    </row>
    <row r="239" spans="1:17" x14ac:dyDescent="0.2">
      <c r="A239">
        <v>2011</v>
      </c>
      <c r="B239" t="s">
        <v>360</v>
      </c>
      <c r="C239" t="s">
        <v>57</v>
      </c>
      <c r="D239" t="s">
        <v>71</v>
      </c>
      <c r="E239">
        <v>7</v>
      </c>
      <c r="F239" t="s">
        <v>19</v>
      </c>
      <c r="G239" t="s">
        <v>355</v>
      </c>
      <c r="H239" t="s">
        <v>356</v>
      </c>
      <c r="I239" t="s">
        <v>36</v>
      </c>
      <c r="J239" t="s">
        <v>31</v>
      </c>
      <c r="K239" t="s">
        <v>24</v>
      </c>
      <c r="L239" t="s">
        <v>187</v>
      </c>
      <c r="M239" s="8" t="s">
        <v>26</v>
      </c>
      <c r="N239" t="s">
        <v>26</v>
      </c>
      <c r="O239" s="8" t="s">
        <v>26</v>
      </c>
      <c r="P239" s="8" t="s">
        <v>26</v>
      </c>
      <c r="Q239" s="8">
        <f>(321151.3*100)/5927002</f>
        <v>5.4184442657518925</v>
      </c>
    </row>
    <row r="240" spans="1:17" x14ac:dyDescent="0.2">
      <c r="A240">
        <v>2011</v>
      </c>
      <c r="B240" t="s">
        <v>361</v>
      </c>
      <c r="C240" t="s">
        <v>120</v>
      </c>
      <c r="D240" t="s">
        <v>58</v>
      </c>
      <c r="E240">
        <v>6</v>
      </c>
      <c r="F240" t="s">
        <v>19</v>
      </c>
      <c r="G240" t="s">
        <v>362</v>
      </c>
      <c r="H240" t="s">
        <v>363</v>
      </c>
      <c r="I240" t="s">
        <v>22</v>
      </c>
      <c r="J240" t="s">
        <v>23</v>
      </c>
      <c r="K240" t="s">
        <v>24</v>
      </c>
      <c r="L240" t="s">
        <v>25</v>
      </c>
      <c r="M240" s="8" t="s">
        <v>26</v>
      </c>
      <c r="N240" t="s">
        <v>26</v>
      </c>
      <c r="O240" s="8" t="s">
        <v>26</v>
      </c>
      <c r="P240" s="8" t="s">
        <v>26</v>
      </c>
      <c r="Q240" s="8">
        <f>(2256192*100)/6055896</f>
        <v>37.256121967748456</v>
      </c>
    </row>
    <row r="241" spans="1:17" x14ac:dyDescent="0.2">
      <c r="A241">
        <v>2011</v>
      </c>
      <c r="B241" t="s">
        <v>364</v>
      </c>
      <c r="C241" t="s">
        <v>60</v>
      </c>
      <c r="D241" t="s">
        <v>53</v>
      </c>
      <c r="E241">
        <v>6</v>
      </c>
      <c r="F241" t="s">
        <v>19</v>
      </c>
      <c r="G241" t="s">
        <v>362</v>
      </c>
      <c r="H241" t="s">
        <v>365</v>
      </c>
      <c r="I241" t="s">
        <v>22</v>
      </c>
      <c r="J241" t="s">
        <v>31</v>
      </c>
      <c r="K241" t="s">
        <v>24</v>
      </c>
      <c r="L241" t="s">
        <v>25</v>
      </c>
      <c r="M241" s="8" t="s">
        <v>26</v>
      </c>
      <c r="N241" t="s">
        <v>26</v>
      </c>
      <c r="O241" s="8" t="s">
        <v>26</v>
      </c>
      <c r="P241" s="8" t="s">
        <v>26</v>
      </c>
      <c r="Q241" s="8">
        <f>(27433.05*100)/7611378</f>
        <v>0.36042159514348127</v>
      </c>
    </row>
    <row r="242" spans="1:17" x14ac:dyDescent="0.2">
      <c r="A242">
        <v>2011</v>
      </c>
      <c r="B242" t="s">
        <v>366</v>
      </c>
      <c r="C242" t="s">
        <v>30</v>
      </c>
      <c r="D242" t="s">
        <v>95</v>
      </c>
      <c r="E242">
        <v>7</v>
      </c>
      <c r="F242" t="s">
        <v>19</v>
      </c>
      <c r="G242" t="s">
        <v>362</v>
      </c>
      <c r="H242" t="s">
        <v>365</v>
      </c>
      <c r="I242" t="s">
        <v>22</v>
      </c>
      <c r="J242" t="s">
        <v>31</v>
      </c>
      <c r="K242" t="s">
        <v>24</v>
      </c>
      <c r="L242" t="s">
        <v>25</v>
      </c>
      <c r="M242" s="8" t="s">
        <v>26</v>
      </c>
      <c r="N242" t="s">
        <v>26</v>
      </c>
      <c r="O242" s="8" t="s">
        <v>26</v>
      </c>
      <c r="P242" s="8" t="s">
        <v>26</v>
      </c>
      <c r="Q242" s="8">
        <f>(34897.31*100)/4728180</f>
        <v>0.73807067412831151</v>
      </c>
    </row>
    <row r="243" spans="1:17" x14ac:dyDescent="0.2">
      <c r="A243">
        <v>2011</v>
      </c>
      <c r="B243" t="s">
        <v>367</v>
      </c>
      <c r="C243" t="s">
        <v>30</v>
      </c>
      <c r="D243" t="s">
        <v>63</v>
      </c>
      <c r="E243">
        <v>6</v>
      </c>
      <c r="F243" t="s">
        <v>19</v>
      </c>
      <c r="G243" t="s">
        <v>362</v>
      </c>
      <c r="H243" t="s">
        <v>365</v>
      </c>
      <c r="I243" t="s">
        <v>22</v>
      </c>
      <c r="J243" t="s">
        <v>31</v>
      </c>
      <c r="K243" t="s">
        <v>24</v>
      </c>
      <c r="L243" t="s">
        <v>25</v>
      </c>
      <c r="M243" s="8" t="s">
        <v>26</v>
      </c>
      <c r="N243" t="s">
        <v>26</v>
      </c>
      <c r="O243" s="8" t="s">
        <v>26</v>
      </c>
      <c r="P243" s="8" t="s">
        <v>26</v>
      </c>
      <c r="Q243" s="8">
        <f>(34897.31*100)/4728180</f>
        <v>0.73807067412831151</v>
      </c>
    </row>
    <row r="244" spans="1:17" x14ac:dyDescent="0.2">
      <c r="A244">
        <v>2011</v>
      </c>
      <c r="B244" t="s">
        <v>368</v>
      </c>
      <c r="C244" t="s">
        <v>30</v>
      </c>
      <c r="D244" t="s">
        <v>63</v>
      </c>
      <c r="E244">
        <v>6</v>
      </c>
      <c r="F244" t="s">
        <v>19</v>
      </c>
      <c r="G244" t="s">
        <v>362</v>
      </c>
      <c r="H244" t="s">
        <v>365</v>
      </c>
      <c r="I244" t="s">
        <v>22</v>
      </c>
      <c r="J244" t="s">
        <v>31</v>
      </c>
      <c r="K244" t="s">
        <v>24</v>
      </c>
      <c r="L244" t="s">
        <v>25</v>
      </c>
      <c r="M244" s="8" t="s">
        <v>26</v>
      </c>
      <c r="N244" t="s">
        <v>26</v>
      </c>
      <c r="O244" s="8" t="s">
        <v>26</v>
      </c>
      <c r="P244" s="8" t="s">
        <v>26</v>
      </c>
      <c r="Q244" s="8">
        <f>(34897.31*100)/4728180</f>
        <v>0.73807067412831151</v>
      </c>
    </row>
    <row r="245" spans="1:17" x14ac:dyDescent="0.2">
      <c r="A245">
        <v>2011</v>
      </c>
      <c r="B245" t="s">
        <v>369</v>
      </c>
      <c r="C245" t="s">
        <v>30</v>
      </c>
      <c r="D245" t="s">
        <v>63</v>
      </c>
      <c r="E245">
        <v>6</v>
      </c>
      <c r="F245" t="s">
        <v>19</v>
      </c>
      <c r="G245" t="s">
        <v>362</v>
      </c>
      <c r="H245" t="s">
        <v>365</v>
      </c>
      <c r="I245" t="s">
        <v>22</v>
      </c>
      <c r="J245" t="s">
        <v>31</v>
      </c>
      <c r="K245" t="s">
        <v>24</v>
      </c>
      <c r="L245" t="s">
        <v>25</v>
      </c>
      <c r="M245" s="8" t="s">
        <v>26</v>
      </c>
      <c r="N245" t="s">
        <v>26</v>
      </c>
      <c r="O245" s="8" t="s">
        <v>26</v>
      </c>
      <c r="P245" s="8" t="s">
        <v>26</v>
      </c>
      <c r="Q245" s="8">
        <f>(34897.31*100)/4728180</f>
        <v>0.73807067412831151</v>
      </c>
    </row>
    <row r="246" spans="1:17" x14ac:dyDescent="0.2">
      <c r="A246">
        <v>2011</v>
      </c>
      <c r="B246" t="s">
        <v>370</v>
      </c>
      <c r="C246" t="s">
        <v>30</v>
      </c>
      <c r="D246" t="s">
        <v>63</v>
      </c>
      <c r="E246">
        <v>6</v>
      </c>
      <c r="F246" t="s">
        <v>19</v>
      </c>
      <c r="G246" t="s">
        <v>362</v>
      </c>
      <c r="H246" t="s">
        <v>365</v>
      </c>
      <c r="I246" t="s">
        <v>22</v>
      </c>
      <c r="J246" t="s">
        <v>31</v>
      </c>
      <c r="K246" t="s">
        <v>24</v>
      </c>
      <c r="L246" t="s">
        <v>25</v>
      </c>
      <c r="M246" s="8" t="s">
        <v>26</v>
      </c>
      <c r="N246" t="s">
        <v>26</v>
      </c>
      <c r="O246" s="8" t="s">
        <v>26</v>
      </c>
      <c r="P246" s="8" t="s">
        <v>26</v>
      </c>
      <c r="Q246" s="8">
        <f>(34897.31*100)/4728180</f>
        <v>0.73807067412831151</v>
      </c>
    </row>
    <row r="247" spans="1:17" x14ac:dyDescent="0.2">
      <c r="A247">
        <v>2011</v>
      </c>
      <c r="B247" t="s">
        <v>371</v>
      </c>
      <c r="C247" t="s">
        <v>30</v>
      </c>
      <c r="D247" t="s">
        <v>63</v>
      </c>
      <c r="E247">
        <v>6</v>
      </c>
      <c r="F247" t="s">
        <v>19</v>
      </c>
      <c r="G247" t="s">
        <v>362</v>
      </c>
      <c r="H247" t="s">
        <v>365</v>
      </c>
      <c r="I247" t="s">
        <v>22</v>
      </c>
      <c r="J247" t="s">
        <v>31</v>
      </c>
      <c r="K247" t="s">
        <v>24</v>
      </c>
      <c r="L247" t="s">
        <v>25</v>
      </c>
      <c r="M247" s="8" t="s">
        <v>26</v>
      </c>
      <c r="N247" t="s">
        <v>26</v>
      </c>
      <c r="O247" s="8" t="s">
        <v>26</v>
      </c>
      <c r="P247" s="8" t="s">
        <v>26</v>
      </c>
      <c r="Q247" s="8">
        <f>(34897.31*100)/4728180</f>
        <v>0.73807067412831151</v>
      </c>
    </row>
    <row r="248" spans="1:17" x14ac:dyDescent="0.2">
      <c r="A248">
        <v>2011</v>
      </c>
      <c r="B248" t="s">
        <v>372</v>
      </c>
      <c r="C248" t="s">
        <v>30</v>
      </c>
      <c r="D248" t="s">
        <v>63</v>
      </c>
      <c r="E248">
        <v>6</v>
      </c>
      <c r="F248" t="s">
        <v>19</v>
      </c>
      <c r="G248" t="s">
        <v>362</v>
      </c>
      <c r="H248" t="s">
        <v>365</v>
      </c>
      <c r="I248" t="s">
        <v>22</v>
      </c>
      <c r="J248" t="s">
        <v>31</v>
      </c>
      <c r="K248" t="s">
        <v>24</v>
      </c>
      <c r="L248" t="s">
        <v>25</v>
      </c>
      <c r="M248" s="8" t="s">
        <v>26</v>
      </c>
      <c r="N248" t="s">
        <v>26</v>
      </c>
      <c r="O248" s="8" t="s">
        <v>26</v>
      </c>
      <c r="P248" s="8" t="s">
        <v>26</v>
      </c>
      <c r="Q248" s="8">
        <f>(34897.31*100)/4728180</f>
        <v>0.73807067412831151</v>
      </c>
    </row>
    <row r="249" spans="1:17" x14ac:dyDescent="0.2">
      <c r="A249">
        <v>2011</v>
      </c>
      <c r="B249" t="s">
        <v>373</v>
      </c>
      <c r="C249" t="s">
        <v>30</v>
      </c>
      <c r="D249" t="s">
        <v>63</v>
      </c>
      <c r="E249">
        <v>6</v>
      </c>
      <c r="F249" t="s">
        <v>19</v>
      </c>
      <c r="G249" t="s">
        <v>362</v>
      </c>
      <c r="H249" t="s">
        <v>365</v>
      </c>
      <c r="I249" t="s">
        <v>22</v>
      </c>
      <c r="J249" t="s">
        <v>31</v>
      </c>
      <c r="K249" t="s">
        <v>24</v>
      </c>
      <c r="L249" t="s">
        <v>25</v>
      </c>
      <c r="M249" s="8" t="s">
        <v>26</v>
      </c>
      <c r="N249" t="s">
        <v>26</v>
      </c>
      <c r="O249" s="8" t="s">
        <v>26</v>
      </c>
      <c r="P249" s="8" t="s">
        <v>26</v>
      </c>
      <c r="Q249" s="8">
        <f>(34897.31*100)/4728180</f>
        <v>0.73807067412831151</v>
      </c>
    </row>
    <row r="250" spans="1:17" x14ac:dyDescent="0.2">
      <c r="A250">
        <v>2011</v>
      </c>
      <c r="B250" t="s">
        <v>374</v>
      </c>
      <c r="C250" t="s">
        <v>30</v>
      </c>
      <c r="D250" t="s">
        <v>63</v>
      </c>
      <c r="E250">
        <v>6</v>
      </c>
      <c r="F250" t="s">
        <v>19</v>
      </c>
      <c r="G250" t="s">
        <v>362</v>
      </c>
      <c r="H250" t="s">
        <v>365</v>
      </c>
      <c r="I250" t="s">
        <v>22</v>
      </c>
      <c r="J250" t="s">
        <v>31</v>
      </c>
      <c r="K250" t="s">
        <v>24</v>
      </c>
      <c r="L250" t="s">
        <v>25</v>
      </c>
      <c r="M250" s="8" t="s">
        <v>26</v>
      </c>
      <c r="N250" t="s">
        <v>26</v>
      </c>
      <c r="O250" s="8" t="s">
        <v>26</v>
      </c>
      <c r="P250" s="8" t="s">
        <v>26</v>
      </c>
      <c r="Q250" s="8">
        <f>(34897.31*100)/4728180</f>
        <v>0.73807067412831151</v>
      </c>
    </row>
    <row r="251" spans="1:17" x14ac:dyDescent="0.2">
      <c r="A251">
        <v>2011</v>
      </c>
      <c r="B251" t="s">
        <v>375</v>
      </c>
      <c r="C251" t="s">
        <v>94</v>
      </c>
      <c r="D251" t="s">
        <v>63</v>
      </c>
      <c r="E251">
        <v>6</v>
      </c>
      <c r="F251" t="s">
        <v>19</v>
      </c>
      <c r="G251" t="s">
        <v>362</v>
      </c>
      <c r="H251" t="s">
        <v>365</v>
      </c>
      <c r="I251" t="s">
        <v>22</v>
      </c>
      <c r="J251" t="s">
        <v>66</v>
      </c>
      <c r="K251" t="s">
        <v>24</v>
      </c>
      <c r="L251" t="s">
        <v>25</v>
      </c>
      <c r="M251" s="8" t="s">
        <v>26</v>
      </c>
      <c r="N251" t="s">
        <v>26</v>
      </c>
      <c r="O251" s="8" t="s">
        <v>26</v>
      </c>
      <c r="P251" s="8" t="s">
        <v>26</v>
      </c>
      <c r="Q251" s="8">
        <f>(46623.23*100)/15165196</f>
        <v>0.30743572321782059</v>
      </c>
    </row>
    <row r="252" spans="1:17" x14ac:dyDescent="0.2">
      <c r="A252">
        <v>2011</v>
      </c>
      <c r="B252" t="s">
        <v>376</v>
      </c>
      <c r="C252" t="s">
        <v>94</v>
      </c>
      <c r="D252" t="s">
        <v>63</v>
      </c>
      <c r="E252">
        <v>6</v>
      </c>
      <c r="F252" t="s">
        <v>19</v>
      </c>
      <c r="G252" t="s">
        <v>362</v>
      </c>
      <c r="H252" t="s">
        <v>365</v>
      </c>
      <c r="I252" t="s">
        <v>22</v>
      </c>
      <c r="J252" t="s">
        <v>66</v>
      </c>
      <c r="K252" t="s">
        <v>24</v>
      </c>
      <c r="L252" t="s">
        <v>25</v>
      </c>
      <c r="M252" s="8" t="s">
        <v>26</v>
      </c>
      <c r="N252" t="s">
        <v>26</v>
      </c>
      <c r="O252" s="8" t="s">
        <v>26</v>
      </c>
      <c r="P252" s="8" t="s">
        <v>26</v>
      </c>
      <c r="Q252" s="8">
        <f>(46623.23*100)/15165196</f>
        <v>0.30743572321782059</v>
      </c>
    </row>
    <row r="253" spans="1:17" x14ac:dyDescent="0.2">
      <c r="A253">
        <v>2011</v>
      </c>
      <c r="B253" t="s">
        <v>377</v>
      </c>
      <c r="C253" t="s">
        <v>30</v>
      </c>
      <c r="D253" t="s">
        <v>63</v>
      </c>
      <c r="E253">
        <v>6</v>
      </c>
      <c r="F253" t="s">
        <v>19</v>
      </c>
      <c r="G253" t="s">
        <v>362</v>
      </c>
      <c r="H253" t="s">
        <v>365</v>
      </c>
      <c r="I253" t="s">
        <v>22</v>
      </c>
      <c r="J253" t="s">
        <v>31</v>
      </c>
      <c r="K253" t="s">
        <v>24</v>
      </c>
      <c r="L253" t="s">
        <v>25</v>
      </c>
      <c r="M253" s="8" t="s">
        <v>26</v>
      </c>
      <c r="N253" t="s">
        <v>26</v>
      </c>
      <c r="O253" s="8" t="s">
        <v>26</v>
      </c>
      <c r="P253" s="8" t="s">
        <v>26</v>
      </c>
      <c r="Q253" s="8">
        <f>(34897.31*100)/4728180</f>
        <v>0.73807067412831151</v>
      </c>
    </row>
    <row r="254" spans="1:17" x14ac:dyDescent="0.2">
      <c r="A254">
        <v>2011</v>
      </c>
      <c r="B254" t="s">
        <v>378</v>
      </c>
      <c r="C254" t="s">
        <v>65</v>
      </c>
      <c r="D254" t="s">
        <v>71</v>
      </c>
      <c r="E254">
        <v>7</v>
      </c>
      <c r="F254" t="s">
        <v>19</v>
      </c>
      <c r="G254" t="s">
        <v>362</v>
      </c>
      <c r="H254" t="s">
        <v>365</v>
      </c>
      <c r="I254" t="s">
        <v>22</v>
      </c>
      <c r="J254" t="s">
        <v>66</v>
      </c>
      <c r="K254" t="s">
        <v>24</v>
      </c>
      <c r="L254" t="s">
        <v>25</v>
      </c>
      <c r="M254" s="8" t="s">
        <v>26</v>
      </c>
      <c r="N254" t="s">
        <v>26</v>
      </c>
      <c r="O254" s="8" t="s">
        <v>26</v>
      </c>
      <c r="P254" s="8" t="s">
        <v>26</v>
      </c>
      <c r="Q254" s="8">
        <f>(1788886*100)/6788946</f>
        <v>26.349981278389901</v>
      </c>
    </row>
    <row r="255" spans="1:17" x14ac:dyDescent="0.2">
      <c r="A255">
        <v>2011</v>
      </c>
      <c r="B255" t="s">
        <v>379</v>
      </c>
      <c r="C255" t="s">
        <v>30</v>
      </c>
      <c r="D255" t="s">
        <v>95</v>
      </c>
      <c r="E255">
        <v>7</v>
      </c>
      <c r="F255" t="s">
        <v>19</v>
      </c>
      <c r="G255" t="s">
        <v>362</v>
      </c>
      <c r="H255" t="s">
        <v>365</v>
      </c>
      <c r="I255" t="s">
        <v>22</v>
      </c>
      <c r="J255" t="s">
        <v>31</v>
      </c>
      <c r="K255" t="s">
        <v>24</v>
      </c>
      <c r="L255" t="s">
        <v>25</v>
      </c>
      <c r="M255" s="8" t="s">
        <v>26</v>
      </c>
      <c r="N255" t="s">
        <v>26</v>
      </c>
      <c r="O255" s="8" t="s">
        <v>26</v>
      </c>
      <c r="P255" s="8" t="s">
        <v>26</v>
      </c>
      <c r="Q255" s="8">
        <f>(34897.31*100)/4728180</f>
        <v>0.73807067412831151</v>
      </c>
    </row>
    <row r="256" spans="1:17" x14ac:dyDescent="0.2">
      <c r="A256">
        <v>2011</v>
      </c>
      <c r="B256" t="s">
        <v>380</v>
      </c>
      <c r="C256" t="s">
        <v>89</v>
      </c>
      <c r="D256" t="s">
        <v>53</v>
      </c>
      <c r="E256">
        <v>6</v>
      </c>
      <c r="F256" t="s">
        <v>19</v>
      </c>
      <c r="G256" t="s">
        <v>362</v>
      </c>
      <c r="H256" t="s">
        <v>381</v>
      </c>
      <c r="I256" t="s">
        <v>22</v>
      </c>
      <c r="J256" t="s">
        <v>66</v>
      </c>
      <c r="K256" t="s">
        <v>24</v>
      </c>
      <c r="L256" t="s">
        <v>25</v>
      </c>
      <c r="M256" s="8" t="s">
        <v>26</v>
      </c>
      <c r="N256" t="s">
        <v>26</v>
      </c>
      <c r="O256" s="8" t="s">
        <v>26</v>
      </c>
      <c r="P256" s="8" t="s">
        <v>26</v>
      </c>
      <c r="Q256" s="8">
        <f>(61997.93*100)/7298102</f>
        <v>0.84950758430068529</v>
      </c>
    </row>
    <row r="257" spans="1:17" x14ac:dyDescent="0.2">
      <c r="A257">
        <v>2011</v>
      </c>
      <c r="B257" t="s">
        <v>382</v>
      </c>
      <c r="C257" t="s">
        <v>57</v>
      </c>
      <c r="D257" t="s">
        <v>71</v>
      </c>
      <c r="E257">
        <v>7</v>
      </c>
      <c r="F257" t="s">
        <v>19</v>
      </c>
      <c r="G257" t="s">
        <v>362</v>
      </c>
      <c r="H257" t="s">
        <v>381</v>
      </c>
      <c r="I257" t="s">
        <v>22</v>
      </c>
      <c r="J257" t="s">
        <v>31</v>
      </c>
      <c r="K257" t="s">
        <v>24</v>
      </c>
      <c r="L257" t="s">
        <v>25</v>
      </c>
      <c r="M257" s="8" t="s">
        <v>26</v>
      </c>
      <c r="N257" t="s">
        <v>26</v>
      </c>
      <c r="O257" s="8" t="s">
        <v>26</v>
      </c>
      <c r="P257" s="8" t="s">
        <v>26</v>
      </c>
      <c r="Q257" s="8">
        <f>(321151.3*100)/5927002</f>
        <v>5.4184442657518925</v>
      </c>
    </row>
    <row r="258" spans="1:17" x14ac:dyDescent="0.2">
      <c r="A258">
        <v>2011</v>
      </c>
      <c r="B258" t="s">
        <v>383</v>
      </c>
      <c r="C258" t="s">
        <v>120</v>
      </c>
      <c r="D258" t="s">
        <v>58</v>
      </c>
      <c r="E258">
        <v>6</v>
      </c>
      <c r="F258" t="s">
        <v>19</v>
      </c>
      <c r="G258" t="s">
        <v>362</v>
      </c>
      <c r="H258" t="s">
        <v>381</v>
      </c>
      <c r="I258" t="s">
        <v>22</v>
      </c>
      <c r="J258" t="s">
        <v>23</v>
      </c>
      <c r="K258" t="s">
        <v>24</v>
      </c>
      <c r="L258" t="s">
        <v>25</v>
      </c>
      <c r="M258" s="8" t="s">
        <v>26</v>
      </c>
      <c r="N258" t="s">
        <v>26</v>
      </c>
      <c r="O258" s="8" t="s">
        <v>26</v>
      </c>
      <c r="P258" s="8" t="s">
        <v>26</v>
      </c>
      <c r="Q258" s="8">
        <f>(2256192*100)/6055896</f>
        <v>37.256121967748456</v>
      </c>
    </row>
    <row r="259" spans="1:17" x14ac:dyDescent="0.2">
      <c r="A259">
        <v>2011</v>
      </c>
      <c r="B259" t="s">
        <v>384</v>
      </c>
      <c r="C259" t="s">
        <v>30</v>
      </c>
      <c r="D259" t="s">
        <v>63</v>
      </c>
      <c r="E259">
        <v>6</v>
      </c>
      <c r="F259" t="s">
        <v>19</v>
      </c>
      <c r="G259" t="s">
        <v>362</v>
      </c>
      <c r="H259" t="s">
        <v>381</v>
      </c>
      <c r="I259" t="s">
        <v>22</v>
      </c>
      <c r="J259" t="s">
        <v>31</v>
      </c>
      <c r="K259" t="s">
        <v>24</v>
      </c>
      <c r="L259" t="s">
        <v>25</v>
      </c>
      <c r="M259" s="8" t="s">
        <v>26</v>
      </c>
      <c r="N259" t="s">
        <v>26</v>
      </c>
      <c r="O259" s="8" t="s">
        <v>26</v>
      </c>
      <c r="P259" s="8" t="s">
        <v>26</v>
      </c>
      <c r="Q259" s="8">
        <f>(34897.31*100)/4728180</f>
        <v>0.73807067412831151</v>
      </c>
    </row>
    <row r="260" spans="1:17" x14ac:dyDescent="0.2">
      <c r="A260">
        <v>2011</v>
      </c>
      <c r="B260" t="s">
        <v>385</v>
      </c>
      <c r="C260" t="s">
        <v>17</v>
      </c>
      <c r="D260" t="s">
        <v>63</v>
      </c>
      <c r="E260">
        <v>6</v>
      </c>
      <c r="F260" t="s">
        <v>19</v>
      </c>
      <c r="G260" t="s">
        <v>362</v>
      </c>
      <c r="H260" t="s">
        <v>381</v>
      </c>
      <c r="I260" t="s">
        <v>22</v>
      </c>
      <c r="J260" t="s">
        <v>23</v>
      </c>
      <c r="K260" t="s">
        <v>24</v>
      </c>
      <c r="L260" t="s">
        <v>25</v>
      </c>
      <c r="M260" s="8" t="s">
        <v>26</v>
      </c>
      <c r="N260" t="s">
        <v>26</v>
      </c>
      <c r="O260" s="8" t="s">
        <v>26</v>
      </c>
      <c r="P260" s="8" t="s">
        <v>26</v>
      </c>
      <c r="Q260" s="8">
        <f>(605161.6*100)/5834449</f>
        <v>10.372215096918321</v>
      </c>
    </row>
    <row r="261" spans="1:17" x14ac:dyDescent="0.2">
      <c r="A261">
        <v>2011</v>
      </c>
      <c r="B261" t="s">
        <v>386</v>
      </c>
      <c r="C261" t="s">
        <v>17</v>
      </c>
      <c r="D261" t="s">
        <v>63</v>
      </c>
      <c r="E261">
        <v>6</v>
      </c>
      <c r="F261" t="s">
        <v>19</v>
      </c>
      <c r="G261" t="s">
        <v>362</v>
      </c>
      <c r="H261" t="s">
        <v>381</v>
      </c>
      <c r="I261" t="s">
        <v>22</v>
      </c>
      <c r="J261" t="s">
        <v>23</v>
      </c>
      <c r="K261" t="s">
        <v>24</v>
      </c>
      <c r="L261" t="s">
        <v>25</v>
      </c>
      <c r="M261" s="8" t="s">
        <v>26</v>
      </c>
      <c r="N261" t="s">
        <v>26</v>
      </c>
      <c r="O261" s="8" t="s">
        <v>26</v>
      </c>
      <c r="P261" s="8" t="s">
        <v>26</v>
      </c>
      <c r="Q261" s="8">
        <f>(605161.6*100)/5834449</f>
        <v>10.372215096918321</v>
      </c>
    </row>
    <row r="262" spans="1:17" x14ac:dyDescent="0.2">
      <c r="A262">
        <v>2011</v>
      </c>
      <c r="B262" t="s">
        <v>387</v>
      </c>
      <c r="C262" t="s">
        <v>94</v>
      </c>
      <c r="D262" t="s">
        <v>63</v>
      </c>
      <c r="E262">
        <v>6</v>
      </c>
      <c r="F262" t="s">
        <v>19</v>
      </c>
      <c r="G262" t="s">
        <v>362</v>
      </c>
      <c r="H262" t="s">
        <v>381</v>
      </c>
      <c r="I262" t="s">
        <v>22</v>
      </c>
      <c r="J262" t="s">
        <v>66</v>
      </c>
      <c r="K262" t="s">
        <v>24</v>
      </c>
      <c r="L262" t="s">
        <v>25</v>
      </c>
      <c r="M262" s="8" t="s">
        <v>26</v>
      </c>
      <c r="N262" t="s">
        <v>26</v>
      </c>
      <c r="O262" s="8" t="s">
        <v>26</v>
      </c>
      <c r="P262" s="8" t="s">
        <v>26</v>
      </c>
      <c r="Q262" s="8">
        <f>(46623.23*100)/15165196</f>
        <v>0.30743572321782059</v>
      </c>
    </row>
    <row r="263" spans="1:17" x14ac:dyDescent="0.2">
      <c r="A263">
        <v>2011</v>
      </c>
      <c r="B263" t="s">
        <v>388</v>
      </c>
      <c r="C263" t="s">
        <v>65</v>
      </c>
      <c r="D263" t="s">
        <v>58</v>
      </c>
      <c r="E263">
        <v>6</v>
      </c>
      <c r="F263" t="s">
        <v>19</v>
      </c>
      <c r="G263" t="s">
        <v>362</v>
      </c>
      <c r="H263" t="s">
        <v>381</v>
      </c>
      <c r="I263" t="s">
        <v>22</v>
      </c>
      <c r="J263" t="s">
        <v>66</v>
      </c>
      <c r="K263" t="s">
        <v>24</v>
      </c>
      <c r="L263" t="s">
        <v>25</v>
      </c>
      <c r="M263" s="8" t="s">
        <v>26</v>
      </c>
      <c r="N263" t="s">
        <v>26</v>
      </c>
      <c r="O263" s="8" t="s">
        <v>26</v>
      </c>
      <c r="P263" s="8" t="s">
        <v>26</v>
      </c>
      <c r="Q263" s="8">
        <f>(1788886*100)/6788946</f>
        <v>26.349981278389901</v>
      </c>
    </row>
    <row r="264" spans="1:17" x14ac:dyDescent="0.2">
      <c r="A264">
        <v>2011</v>
      </c>
      <c r="B264" t="s">
        <v>389</v>
      </c>
      <c r="C264" t="s">
        <v>30</v>
      </c>
      <c r="D264" t="s">
        <v>63</v>
      </c>
      <c r="E264">
        <v>6</v>
      </c>
      <c r="F264" t="s">
        <v>19</v>
      </c>
      <c r="G264" t="s">
        <v>362</v>
      </c>
      <c r="H264" t="s">
        <v>381</v>
      </c>
      <c r="I264" t="s">
        <v>22</v>
      </c>
      <c r="J264" t="s">
        <v>31</v>
      </c>
      <c r="K264" t="s">
        <v>24</v>
      </c>
      <c r="L264" t="s">
        <v>25</v>
      </c>
      <c r="M264" s="8" t="s">
        <v>26</v>
      </c>
      <c r="N264" t="s">
        <v>26</v>
      </c>
      <c r="O264" s="8" t="s">
        <v>26</v>
      </c>
      <c r="P264" s="8" t="s">
        <v>26</v>
      </c>
      <c r="Q264" s="8">
        <f>(34897.31*100)/4728180</f>
        <v>0.73807067412831151</v>
      </c>
    </row>
    <row r="265" spans="1:17" x14ac:dyDescent="0.2">
      <c r="A265">
        <v>2011</v>
      </c>
      <c r="B265" t="s">
        <v>390</v>
      </c>
      <c r="C265" t="s">
        <v>30</v>
      </c>
      <c r="D265" t="s">
        <v>63</v>
      </c>
      <c r="E265">
        <v>6</v>
      </c>
      <c r="F265" t="s">
        <v>19</v>
      </c>
      <c r="G265" t="s">
        <v>362</v>
      </c>
      <c r="H265" t="s">
        <v>381</v>
      </c>
      <c r="I265" t="s">
        <v>22</v>
      </c>
      <c r="J265" t="s">
        <v>31</v>
      </c>
      <c r="K265" t="s">
        <v>24</v>
      </c>
      <c r="L265" t="s">
        <v>25</v>
      </c>
      <c r="M265" s="8" t="s">
        <v>26</v>
      </c>
      <c r="N265" t="s">
        <v>26</v>
      </c>
      <c r="O265" s="8" t="s">
        <v>26</v>
      </c>
      <c r="P265" s="8" t="s">
        <v>26</v>
      </c>
      <c r="Q265" s="8">
        <f>(34897.31*100)/4728180</f>
        <v>0.73807067412831151</v>
      </c>
    </row>
    <row r="266" spans="1:17" x14ac:dyDescent="0.2">
      <c r="A266">
        <v>2011</v>
      </c>
      <c r="B266" t="s">
        <v>391</v>
      </c>
      <c r="C266" t="s">
        <v>89</v>
      </c>
      <c r="D266" t="s">
        <v>40</v>
      </c>
      <c r="E266">
        <v>6</v>
      </c>
      <c r="F266" t="s">
        <v>19</v>
      </c>
      <c r="G266" t="s">
        <v>362</v>
      </c>
      <c r="H266" t="s">
        <v>381</v>
      </c>
      <c r="I266" t="s">
        <v>22</v>
      </c>
      <c r="J266" t="s">
        <v>66</v>
      </c>
      <c r="K266" t="s">
        <v>24</v>
      </c>
      <c r="L266" t="s">
        <v>25</v>
      </c>
      <c r="M266" s="8" t="s">
        <v>26</v>
      </c>
      <c r="N266" t="s">
        <v>26</v>
      </c>
      <c r="O266" s="8" t="s">
        <v>26</v>
      </c>
      <c r="P266" s="8" t="s">
        <v>26</v>
      </c>
      <c r="Q266" s="8">
        <f>(61997.93*100)/7298102</f>
        <v>0.84950758430068529</v>
      </c>
    </row>
    <row r="267" spans="1:17" x14ac:dyDescent="0.2">
      <c r="A267">
        <v>2011</v>
      </c>
      <c r="B267" t="s">
        <v>392</v>
      </c>
      <c r="C267" t="s">
        <v>60</v>
      </c>
      <c r="D267" t="s">
        <v>90</v>
      </c>
      <c r="E267">
        <v>4</v>
      </c>
      <c r="F267" t="s">
        <v>19</v>
      </c>
      <c r="G267" t="s">
        <v>362</v>
      </c>
      <c r="H267" t="s">
        <v>393</v>
      </c>
      <c r="I267" t="s">
        <v>22</v>
      </c>
      <c r="J267" t="s">
        <v>31</v>
      </c>
      <c r="K267" t="s">
        <v>24</v>
      </c>
      <c r="L267" t="s">
        <v>25</v>
      </c>
      <c r="M267" s="8">
        <v>2.4239999999999999</v>
      </c>
      <c r="N267" t="s">
        <v>26</v>
      </c>
      <c r="O267" s="8">
        <v>2.4239999999999999</v>
      </c>
      <c r="P267" s="8">
        <f>EXP(-1.363+3.366*LOG(O267,10))</f>
        <v>0.93364106227732868</v>
      </c>
      <c r="Q267" s="8">
        <f>(27433.05*100)/7611378</f>
        <v>0.36042159514348127</v>
      </c>
    </row>
    <row r="268" spans="1:17" x14ac:dyDescent="0.2">
      <c r="A268">
        <v>2011</v>
      </c>
      <c r="B268" t="s">
        <v>394</v>
      </c>
      <c r="C268" t="s">
        <v>120</v>
      </c>
      <c r="D268" t="s">
        <v>111</v>
      </c>
      <c r="E268">
        <v>5</v>
      </c>
      <c r="F268" t="s">
        <v>19</v>
      </c>
      <c r="G268" t="s">
        <v>362</v>
      </c>
      <c r="H268" t="s">
        <v>393</v>
      </c>
      <c r="I268" t="s">
        <v>22</v>
      </c>
      <c r="J268" t="s">
        <v>23</v>
      </c>
      <c r="K268" t="s">
        <v>24</v>
      </c>
      <c r="L268" t="s">
        <v>25</v>
      </c>
      <c r="M268" s="8">
        <v>2.4239999999999999</v>
      </c>
      <c r="N268" t="s">
        <v>26</v>
      </c>
      <c r="O268" s="8">
        <v>2.4239999999999999</v>
      </c>
      <c r="P268" s="8">
        <f>EXP(-1.363+3.366*LOG(O268,10))</f>
        <v>0.93364106227732868</v>
      </c>
      <c r="Q268" s="8">
        <f>(2256192*100)/6055896</f>
        <v>37.256121967748456</v>
      </c>
    </row>
    <row r="269" spans="1:17" x14ac:dyDescent="0.2">
      <c r="A269">
        <v>2011</v>
      </c>
      <c r="B269" t="s">
        <v>395</v>
      </c>
      <c r="C269" t="s">
        <v>30</v>
      </c>
      <c r="D269" t="s">
        <v>18</v>
      </c>
      <c r="E269">
        <v>5</v>
      </c>
      <c r="F269" t="s">
        <v>19</v>
      </c>
      <c r="G269" t="s">
        <v>362</v>
      </c>
      <c r="H269" t="s">
        <v>393</v>
      </c>
      <c r="I269" t="s">
        <v>22</v>
      </c>
      <c r="J269" t="s">
        <v>31</v>
      </c>
      <c r="K269" t="s">
        <v>24</v>
      </c>
      <c r="L269" t="s">
        <v>25</v>
      </c>
      <c r="M269" s="8">
        <v>2.4239999999999999</v>
      </c>
      <c r="N269" t="s">
        <v>26</v>
      </c>
      <c r="O269" s="8">
        <v>2.4239999999999999</v>
      </c>
      <c r="P269" s="8">
        <f>EXP(-1.363+3.366*LOG(O269,10))</f>
        <v>0.93364106227732868</v>
      </c>
      <c r="Q269" s="8">
        <f>(34897.31*100)/4728180</f>
        <v>0.73807067412831151</v>
      </c>
    </row>
    <row r="270" spans="1:17" x14ac:dyDescent="0.2">
      <c r="A270">
        <v>2011</v>
      </c>
      <c r="B270" t="s">
        <v>396</v>
      </c>
      <c r="C270" t="s">
        <v>57</v>
      </c>
      <c r="D270" t="s">
        <v>111</v>
      </c>
      <c r="E270">
        <v>5</v>
      </c>
      <c r="F270" t="s">
        <v>19</v>
      </c>
      <c r="G270" t="s">
        <v>362</v>
      </c>
      <c r="H270" t="s">
        <v>393</v>
      </c>
      <c r="I270" t="s">
        <v>22</v>
      </c>
      <c r="J270" t="s">
        <v>31</v>
      </c>
      <c r="K270" t="s">
        <v>24</v>
      </c>
      <c r="L270" t="s">
        <v>25</v>
      </c>
      <c r="M270" s="8">
        <v>2.4239999999999999</v>
      </c>
      <c r="N270" t="s">
        <v>26</v>
      </c>
      <c r="O270" s="8">
        <v>2.4239999999999999</v>
      </c>
      <c r="P270" s="8">
        <f>EXP(-1.363+3.366*LOG(O270,10))</f>
        <v>0.93364106227732868</v>
      </c>
      <c r="Q270" s="8">
        <f>(321151.3*100)/5927002</f>
        <v>5.4184442657518925</v>
      </c>
    </row>
    <row r="271" spans="1:17" x14ac:dyDescent="0.2">
      <c r="A271">
        <v>2011</v>
      </c>
      <c r="B271" t="s">
        <v>397</v>
      </c>
      <c r="C271" t="s">
        <v>57</v>
      </c>
      <c r="D271" t="s">
        <v>111</v>
      </c>
      <c r="E271">
        <v>5</v>
      </c>
      <c r="F271" t="s">
        <v>19</v>
      </c>
      <c r="G271" t="s">
        <v>362</v>
      </c>
      <c r="H271" t="s">
        <v>393</v>
      </c>
      <c r="I271" t="s">
        <v>22</v>
      </c>
      <c r="J271" t="s">
        <v>31</v>
      </c>
      <c r="K271" t="s">
        <v>24</v>
      </c>
      <c r="L271" t="s">
        <v>25</v>
      </c>
      <c r="M271" s="8">
        <v>2.4239999999999999</v>
      </c>
      <c r="N271" t="s">
        <v>26</v>
      </c>
      <c r="O271" s="8">
        <v>2.4239999999999999</v>
      </c>
      <c r="P271" s="8">
        <f>EXP(-1.363+3.366*LOG(O271,10))</f>
        <v>0.93364106227732868</v>
      </c>
      <c r="Q271" s="8">
        <f>(321151.3*100)/5927002</f>
        <v>5.4184442657518925</v>
      </c>
    </row>
    <row r="272" spans="1:17" x14ac:dyDescent="0.2">
      <c r="A272">
        <v>2011</v>
      </c>
      <c r="B272" t="s">
        <v>398</v>
      </c>
      <c r="C272" t="s">
        <v>65</v>
      </c>
      <c r="D272" t="s">
        <v>111</v>
      </c>
      <c r="E272">
        <v>5</v>
      </c>
      <c r="F272" t="s">
        <v>19</v>
      </c>
      <c r="G272" t="s">
        <v>362</v>
      </c>
      <c r="H272" t="s">
        <v>393</v>
      </c>
      <c r="I272" t="s">
        <v>22</v>
      </c>
      <c r="J272" t="s">
        <v>66</v>
      </c>
      <c r="K272" t="s">
        <v>24</v>
      </c>
      <c r="L272" t="s">
        <v>25</v>
      </c>
      <c r="M272" s="8">
        <v>2.4239999999999999</v>
      </c>
      <c r="N272" t="s">
        <v>26</v>
      </c>
      <c r="O272" s="8">
        <v>2.4239999999999999</v>
      </c>
      <c r="P272" s="8">
        <f>EXP(-1.363+3.366*LOG(O272,10))</f>
        <v>0.93364106227732868</v>
      </c>
      <c r="Q272" s="8">
        <f>(1788886*100)/6788946</f>
        <v>26.349981278389901</v>
      </c>
    </row>
    <row r="273" spans="1:17" x14ac:dyDescent="0.2">
      <c r="A273">
        <v>2011</v>
      </c>
      <c r="B273" t="s">
        <v>399</v>
      </c>
      <c r="C273" t="s">
        <v>60</v>
      </c>
      <c r="D273" t="s">
        <v>53</v>
      </c>
      <c r="E273">
        <v>6</v>
      </c>
      <c r="F273" t="s">
        <v>19</v>
      </c>
      <c r="G273" t="s">
        <v>362</v>
      </c>
      <c r="H273" t="s">
        <v>393</v>
      </c>
      <c r="I273" t="s">
        <v>22</v>
      </c>
      <c r="J273" t="s">
        <v>31</v>
      </c>
      <c r="K273" t="s">
        <v>24</v>
      </c>
      <c r="L273" t="s">
        <v>25</v>
      </c>
      <c r="M273" s="8">
        <v>2.4239999999999999</v>
      </c>
      <c r="N273" t="s">
        <v>26</v>
      </c>
      <c r="O273" s="8">
        <v>2.4239999999999999</v>
      </c>
      <c r="P273" s="8">
        <f>EXP(-1.363+3.366*LOG(O273,10))</f>
        <v>0.93364106227732868</v>
      </c>
      <c r="Q273" s="8">
        <f>(27433.05*100)/7611378</f>
        <v>0.36042159514348127</v>
      </c>
    </row>
    <row r="274" spans="1:17" x14ac:dyDescent="0.2">
      <c r="A274">
        <v>2011</v>
      </c>
      <c r="B274" t="s">
        <v>400</v>
      </c>
      <c r="C274" t="s">
        <v>60</v>
      </c>
      <c r="D274" t="s">
        <v>53</v>
      </c>
      <c r="E274">
        <v>6</v>
      </c>
      <c r="F274" t="s">
        <v>19</v>
      </c>
      <c r="G274" t="s">
        <v>362</v>
      </c>
      <c r="H274" t="s">
        <v>393</v>
      </c>
      <c r="I274" t="s">
        <v>22</v>
      </c>
      <c r="J274" t="s">
        <v>31</v>
      </c>
      <c r="K274" t="s">
        <v>24</v>
      </c>
      <c r="L274" t="s">
        <v>25</v>
      </c>
      <c r="M274" s="8">
        <v>2.4239999999999999</v>
      </c>
      <c r="N274" t="s">
        <v>26</v>
      </c>
      <c r="O274" s="8">
        <v>2.4239999999999999</v>
      </c>
      <c r="P274" s="8">
        <f>EXP(-1.363+3.366*LOG(O274,10))</f>
        <v>0.93364106227732868</v>
      </c>
      <c r="Q274" s="8">
        <f>(27433.05*100)/7611378</f>
        <v>0.36042159514348127</v>
      </c>
    </row>
    <row r="275" spans="1:17" x14ac:dyDescent="0.2">
      <c r="A275">
        <v>2011</v>
      </c>
      <c r="B275" t="s">
        <v>401</v>
      </c>
      <c r="C275" t="s">
        <v>60</v>
      </c>
      <c r="D275" t="s">
        <v>53</v>
      </c>
      <c r="E275">
        <v>6</v>
      </c>
      <c r="F275" t="s">
        <v>19</v>
      </c>
      <c r="G275" t="s">
        <v>362</v>
      </c>
      <c r="H275" t="s">
        <v>393</v>
      </c>
      <c r="I275" t="s">
        <v>22</v>
      </c>
      <c r="J275" t="s">
        <v>31</v>
      </c>
      <c r="K275" t="s">
        <v>24</v>
      </c>
      <c r="L275" t="s">
        <v>25</v>
      </c>
      <c r="M275" s="8">
        <v>2.4239999999999999</v>
      </c>
      <c r="N275" t="s">
        <v>26</v>
      </c>
      <c r="O275" s="8">
        <v>2.4239999999999999</v>
      </c>
      <c r="P275" s="8">
        <f>EXP(-1.363+3.366*LOG(O275,10))</f>
        <v>0.93364106227732868</v>
      </c>
      <c r="Q275" s="8">
        <f>(27433.05*100)/7611378</f>
        <v>0.36042159514348127</v>
      </c>
    </row>
    <row r="276" spans="1:17" x14ac:dyDescent="0.2">
      <c r="A276">
        <v>2011</v>
      </c>
      <c r="B276" t="s">
        <v>402</v>
      </c>
      <c r="C276" t="s">
        <v>60</v>
      </c>
      <c r="D276" t="s">
        <v>53</v>
      </c>
      <c r="E276">
        <v>6</v>
      </c>
      <c r="F276" t="s">
        <v>19</v>
      </c>
      <c r="G276" t="s">
        <v>362</v>
      </c>
      <c r="H276" t="s">
        <v>393</v>
      </c>
      <c r="I276" t="s">
        <v>22</v>
      </c>
      <c r="J276" t="s">
        <v>31</v>
      </c>
      <c r="K276" t="s">
        <v>24</v>
      </c>
      <c r="L276" t="s">
        <v>25</v>
      </c>
      <c r="M276" s="8">
        <v>2.4239999999999999</v>
      </c>
      <c r="N276" t="s">
        <v>26</v>
      </c>
      <c r="O276" s="8">
        <v>2.4239999999999999</v>
      </c>
      <c r="P276" s="8">
        <f>EXP(-1.363+3.366*LOG(O276,10))</f>
        <v>0.93364106227732868</v>
      </c>
      <c r="Q276" s="8">
        <f>(27433.05*100)/7611378</f>
        <v>0.36042159514348127</v>
      </c>
    </row>
    <row r="277" spans="1:17" x14ac:dyDescent="0.2">
      <c r="A277">
        <v>2011</v>
      </c>
      <c r="B277" t="s">
        <v>403</v>
      </c>
      <c r="C277" t="s">
        <v>60</v>
      </c>
      <c r="D277" t="s">
        <v>53</v>
      </c>
      <c r="E277">
        <v>6</v>
      </c>
      <c r="F277" t="s">
        <v>19</v>
      </c>
      <c r="G277" t="s">
        <v>362</v>
      </c>
      <c r="H277" t="s">
        <v>393</v>
      </c>
      <c r="I277" t="s">
        <v>22</v>
      </c>
      <c r="J277" t="s">
        <v>31</v>
      </c>
      <c r="K277" t="s">
        <v>24</v>
      </c>
      <c r="L277" t="s">
        <v>25</v>
      </c>
      <c r="M277" s="8">
        <v>2.4239999999999999</v>
      </c>
      <c r="N277" t="s">
        <v>26</v>
      </c>
      <c r="O277" s="8">
        <v>2.4239999999999999</v>
      </c>
      <c r="P277" s="8">
        <f>EXP(-1.363+3.366*LOG(O277,10))</f>
        <v>0.93364106227732868</v>
      </c>
      <c r="Q277" s="8">
        <f>(27433.05*100)/7611378</f>
        <v>0.36042159514348127</v>
      </c>
    </row>
    <row r="278" spans="1:17" x14ac:dyDescent="0.2">
      <c r="A278">
        <v>2011</v>
      </c>
      <c r="B278" t="s">
        <v>404</v>
      </c>
      <c r="C278" t="s">
        <v>60</v>
      </c>
      <c r="D278" t="s">
        <v>61</v>
      </c>
      <c r="E278">
        <v>6</v>
      </c>
      <c r="F278" t="s">
        <v>19</v>
      </c>
      <c r="G278" t="s">
        <v>362</v>
      </c>
      <c r="H278" t="s">
        <v>393</v>
      </c>
      <c r="I278" t="s">
        <v>22</v>
      </c>
      <c r="J278" t="s">
        <v>31</v>
      </c>
      <c r="K278" t="s">
        <v>24</v>
      </c>
      <c r="L278" t="s">
        <v>25</v>
      </c>
      <c r="M278" s="8">
        <v>2.4239999999999999</v>
      </c>
      <c r="N278" t="s">
        <v>26</v>
      </c>
      <c r="O278" s="8">
        <v>2.4239999999999999</v>
      </c>
      <c r="P278" s="8">
        <f>EXP(-1.363+3.366*LOG(O278,10))</f>
        <v>0.93364106227732868</v>
      </c>
      <c r="Q278" s="8">
        <f>(27433.05*100)/7611378</f>
        <v>0.36042159514348127</v>
      </c>
    </row>
    <row r="279" spans="1:17" x14ac:dyDescent="0.2">
      <c r="A279">
        <v>2011</v>
      </c>
      <c r="B279" t="s">
        <v>405</v>
      </c>
      <c r="C279" t="s">
        <v>57</v>
      </c>
      <c r="D279" t="s">
        <v>58</v>
      </c>
      <c r="E279">
        <v>6</v>
      </c>
      <c r="F279" t="s">
        <v>19</v>
      </c>
      <c r="G279" t="s">
        <v>362</v>
      </c>
      <c r="H279" t="s">
        <v>393</v>
      </c>
      <c r="I279" t="s">
        <v>22</v>
      </c>
      <c r="J279" t="s">
        <v>31</v>
      </c>
      <c r="K279" t="s">
        <v>24</v>
      </c>
      <c r="L279" t="s">
        <v>25</v>
      </c>
      <c r="M279" s="8">
        <v>2.4239999999999999</v>
      </c>
      <c r="N279" t="s">
        <v>26</v>
      </c>
      <c r="O279" s="8">
        <v>2.4239999999999999</v>
      </c>
      <c r="P279" s="8">
        <f>EXP(-1.363+3.366*LOG(O279,10))</f>
        <v>0.93364106227732868</v>
      </c>
      <c r="Q279" s="8">
        <f>(321151.3*100)/5927002</f>
        <v>5.4184442657518925</v>
      </c>
    </row>
    <row r="280" spans="1:17" x14ac:dyDescent="0.2">
      <c r="A280">
        <v>2011</v>
      </c>
      <c r="B280" t="s">
        <v>406</v>
      </c>
      <c r="C280" t="s">
        <v>57</v>
      </c>
      <c r="D280" t="s">
        <v>58</v>
      </c>
      <c r="E280">
        <v>6</v>
      </c>
      <c r="F280" t="s">
        <v>19</v>
      </c>
      <c r="G280" t="s">
        <v>362</v>
      </c>
      <c r="H280" t="s">
        <v>393</v>
      </c>
      <c r="I280" t="s">
        <v>22</v>
      </c>
      <c r="J280" t="s">
        <v>31</v>
      </c>
      <c r="K280" t="s">
        <v>24</v>
      </c>
      <c r="L280" t="s">
        <v>25</v>
      </c>
      <c r="M280" s="8">
        <v>2.4239999999999999</v>
      </c>
      <c r="N280" t="s">
        <v>26</v>
      </c>
      <c r="O280" s="8">
        <v>2.4239999999999999</v>
      </c>
      <c r="P280" s="8">
        <f>EXP(-1.363+3.366*LOG(O280,10))</f>
        <v>0.93364106227732868</v>
      </c>
      <c r="Q280" s="8">
        <f>(321151.3*100)/5927002</f>
        <v>5.4184442657518925</v>
      </c>
    </row>
    <row r="281" spans="1:17" x14ac:dyDescent="0.2">
      <c r="A281">
        <v>2011</v>
      </c>
      <c r="B281" t="s">
        <v>407</v>
      </c>
      <c r="C281" t="s">
        <v>60</v>
      </c>
      <c r="D281" t="s">
        <v>53</v>
      </c>
      <c r="E281">
        <v>6</v>
      </c>
      <c r="F281" t="s">
        <v>19</v>
      </c>
      <c r="G281" t="s">
        <v>362</v>
      </c>
      <c r="H281" t="s">
        <v>393</v>
      </c>
      <c r="I281" t="s">
        <v>22</v>
      </c>
      <c r="J281" t="s">
        <v>31</v>
      </c>
      <c r="K281" t="s">
        <v>24</v>
      </c>
      <c r="L281" t="s">
        <v>25</v>
      </c>
      <c r="M281" s="8">
        <v>2.4239999999999999</v>
      </c>
      <c r="N281" t="s">
        <v>26</v>
      </c>
      <c r="O281" s="8">
        <v>2.4239999999999999</v>
      </c>
      <c r="P281" s="8">
        <f>EXP(-1.363+3.366*LOG(O281,10))</f>
        <v>0.93364106227732868</v>
      </c>
      <c r="Q281" s="8">
        <f>(27433.05*100)/7611378</f>
        <v>0.36042159514348127</v>
      </c>
    </row>
    <row r="282" spans="1:17" x14ac:dyDescent="0.2">
      <c r="A282">
        <v>2011</v>
      </c>
      <c r="B282" t="s">
        <v>408</v>
      </c>
      <c r="C282" t="s">
        <v>60</v>
      </c>
      <c r="D282" t="s">
        <v>53</v>
      </c>
      <c r="E282">
        <v>6</v>
      </c>
      <c r="F282" t="s">
        <v>19</v>
      </c>
      <c r="G282" t="s">
        <v>362</v>
      </c>
      <c r="H282" t="s">
        <v>393</v>
      </c>
      <c r="I282" t="s">
        <v>22</v>
      </c>
      <c r="J282" t="s">
        <v>31</v>
      </c>
      <c r="K282" t="s">
        <v>24</v>
      </c>
      <c r="L282" t="s">
        <v>25</v>
      </c>
      <c r="M282" s="8">
        <v>2.4239999999999999</v>
      </c>
      <c r="N282" t="s">
        <v>26</v>
      </c>
      <c r="O282" s="8">
        <v>2.4239999999999999</v>
      </c>
      <c r="P282" s="8">
        <f>EXP(-1.363+3.366*LOG(O282,10))</f>
        <v>0.93364106227732868</v>
      </c>
      <c r="Q282" s="8">
        <f>(27433.05*100)/7611378</f>
        <v>0.36042159514348127</v>
      </c>
    </row>
    <row r="283" spans="1:17" x14ac:dyDescent="0.2">
      <c r="A283">
        <v>2011</v>
      </c>
      <c r="B283" t="s">
        <v>409</v>
      </c>
      <c r="C283" t="s">
        <v>60</v>
      </c>
      <c r="D283" t="s">
        <v>61</v>
      </c>
      <c r="E283">
        <v>6</v>
      </c>
      <c r="F283" t="s">
        <v>19</v>
      </c>
      <c r="G283" t="s">
        <v>362</v>
      </c>
      <c r="H283" t="s">
        <v>393</v>
      </c>
      <c r="I283" t="s">
        <v>22</v>
      </c>
      <c r="J283" t="s">
        <v>31</v>
      </c>
      <c r="K283" t="s">
        <v>24</v>
      </c>
      <c r="L283" t="s">
        <v>25</v>
      </c>
      <c r="M283" s="8">
        <v>2.4239999999999999</v>
      </c>
      <c r="N283" t="s">
        <v>26</v>
      </c>
      <c r="O283" s="8">
        <v>2.4239999999999999</v>
      </c>
      <c r="P283" s="8">
        <f>EXP(-1.363+3.366*LOG(O283,10))</f>
        <v>0.93364106227732868</v>
      </c>
      <c r="Q283" s="8">
        <f>(27433.05*100)/7611378</f>
        <v>0.36042159514348127</v>
      </c>
    </row>
    <row r="284" spans="1:17" x14ac:dyDescent="0.2">
      <c r="A284">
        <v>2011</v>
      </c>
      <c r="B284" t="s">
        <v>410</v>
      </c>
      <c r="C284" t="s">
        <v>60</v>
      </c>
      <c r="D284" t="s">
        <v>61</v>
      </c>
      <c r="E284">
        <v>6</v>
      </c>
      <c r="F284" t="s">
        <v>19</v>
      </c>
      <c r="G284" t="s">
        <v>362</v>
      </c>
      <c r="H284" t="s">
        <v>393</v>
      </c>
      <c r="I284" t="s">
        <v>22</v>
      </c>
      <c r="J284" t="s">
        <v>31</v>
      </c>
      <c r="K284" t="s">
        <v>24</v>
      </c>
      <c r="L284" t="s">
        <v>25</v>
      </c>
      <c r="M284" s="8">
        <v>2.4239999999999999</v>
      </c>
      <c r="N284" t="s">
        <v>26</v>
      </c>
      <c r="O284" s="8">
        <v>2.4239999999999999</v>
      </c>
      <c r="P284" s="8">
        <f>EXP(-1.363+3.366*LOG(O284,10))</f>
        <v>0.93364106227732868</v>
      </c>
      <c r="Q284" s="8">
        <f>(27433.05*100)/7611378</f>
        <v>0.36042159514348127</v>
      </c>
    </row>
    <row r="285" spans="1:17" x14ac:dyDescent="0.2">
      <c r="A285">
        <v>2011</v>
      </c>
      <c r="B285" t="s">
        <v>411</v>
      </c>
      <c r="C285" t="s">
        <v>30</v>
      </c>
      <c r="D285" t="s">
        <v>63</v>
      </c>
      <c r="E285">
        <v>6</v>
      </c>
      <c r="F285" t="s">
        <v>19</v>
      </c>
      <c r="G285" t="s">
        <v>362</v>
      </c>
      <c r="H285" t="s">
        <v>393</v>
      </c>
      <c r="I285" t="s">
        <v>22</v>
      </c>
      <c r="J285" t="s">
        <v>31</v>
      </c>
      <c r="K285" t="s">
        <v>24</v>
      </c>
      <c r="L285" t="s">
        <v>25</v>
      </c>
      <c r="M285" s="8">
        <v>2.4239999999999999</v>
      </c>
      <c r="N285" t="s">
        <v>26</v>
      </c>
      <c r="O285" s="8">
        <v>2.4239999999999999</v>
      </c>
      <c r="P285" s="8">
        <f>EXP(-1.363+3.366*LOG(O285,10))</f>
        <v>0.93364106227732868</v>
      </c>
      <c r="Q285" s="8">
        <f>(34897.31*100)/4728180</f>
        <v>0.73807067412831151</v>
      </c>
    </row>
    <row r="286" spans="1:17" x14ac:dyDescent="0.2">
      <c r="A286">
        <v>2011</v>
      </c>
      <c r="B286" t="s">
        <v>412</v>
      </c>
      <c r="C286" t="s">
        <v>30</v>
      </c>
      <c r="D286" t="s">
        <v>63</v>
      </c>
      <c r="E286">
        <v>6</v>
      </c>
      <c r="F286" t="s">
        <v>19</v>
      </c>
      <c r="G286" t="s">
        <v>362</v>
      </c>
      <c r="H286" t="s">
        <v>393</v>
      </c>
      <c r="I286" t="s">
        <v>22</v>
      </c>
      <c r="J286" t="s">
        <v>31</v>
      </c>
      <c r="K286" t="s">
        <v>24</v>
      </c>
      <c r="L286" t="s">
        <v>25</v>
      </c>
      <c r="M286" s="8">
        <v>2.4239999999999999</v>
      </c>
      <c r="N286" t="s">
        <v>26</v>
      </c>
      <c r="O286" s="8">
        <v>2.4239999999999999</v>
      </c>
      <c r="P286" s="8">
        <f>EXP(-1.363+3.366*LOG(O286,10))</f>
        <v>0.93364106227732868</v>
      </c>
      <c r="Q286" s="8">
        <f>(34897.31*100)/4728180</f>
        <v>0.73807067412831151</v>
      </c>
    </row>
    <row r="287" spans="1:17" x14ac:dyDescent="0.2">
      <c r="A287">
        <v>2011</v>
      </c>
      <c r="B287" t="s">
        <v>413</v>
      </c>
      <c r="C287" t="s">
        <v>17</v>
      </c>
      <c r="D287" t="s">
        <v>63</v>
      </c>
      <c r="E287">
        <v>6</v>
      </c>
      <c r="F287" t="s">
        <v>19</v>
      </c>
      <c r="G287" t="s">
        <v>362</v>
      </c>
      <c r="H287" t="s">
        <v>393</v>
      </c>
      <c r="I287" t="s">
        <v>22</v>
      </c>
      <c r="J287" t="s">
        <v>23</v>
      </c>
      <c r="K287" t="s">
        <v>24</v>
      </c>
      <c r="L287" t="s">
        <v>25</v>
      </c>
      <c r="M287" s="8">
        <v>2.4239999999999999</v>
      </c>
      <c r="N287" t="s">
        <v>26</v>
      </c>
      <c r="O287" s="8">
        <v>2.4239999999999999</v>
      </c>
      <c r="P287" s="8">
        <f>EXP(-1.363+3.366*LOG(O287,10))</f>
        <v>0.93364106227732868</v>
      </c>
      <c r="Q287" s="8">
        <f>(605161.6*100)/5834449</f>
        <v>10.372215096918321</v>
      </c>
    </row>
    <row r="288" spans="1:17" x14ac:dyDescent="0.2">
      <c r="A288">
        <v>2011</v>
      </c>
      <c r="B288" t="s">
        <v>414</v>
      </c>
      <c r="C288" t="s">
        <v>17</v>
      </c>
      <c r="D288" t="s">
        <v>95</v>
      </c>
      <c r="E288">
        <v>7</v>
      </c>
      <c r="F288" t="s">
        <v>19</v>
      </c>
      <c r="G288" t="s">
        <v>362</v>
      </c>
      <c r="H288" t="s">
        <v>393</v>
      </c>
      <c r="I288" t="s">
        <v>22</v>
      </c>
      <c r="J288" t="s">
        <v>23</v>
      </c>
      <c r="K288" t="s">
        <v>24</v>
      </c>
      <c r="L288" t="s">
        <v>25</v>
      </c>
      <c r="M288" s="8">
        <v>2.4239999999999999</v>
      </c>
      <c r="N288" t="s">
        <v>26</v>
      </c>
      <c r="O288" s="8">
        <v>2.4239999999999999</v>
      </c>
      <c r="P288" s="8">
        <f>EXP(-1.363+3.366*LOG(O288,10))</f>
        <v>0.93364106227732868</v>
      </c>
      <c r="Q288" s="8">
        <f>(605161.6*100)/5834449</f>
        <v>10.372215096918321</v>
      </c>
    </row>
    <row r="289" spans="1:17" x14ac:dyDescent="0.2">
      <c r="A289">
        <v>2011</v>
      </c>
      <c r="B289" t="s">
        <v>415</v>
      </c>
      <c r="C289" t="s">
        <v>65</v>
      </c>
      <c r="D289" t="s">
        <v>58</v>
      </c>
      <c r="E289">
        <v>6</v>
      </c>
      <c r="F289" t="s">
        <v>19</v>
      </c>
      <c r="G289" t="s">
        <v>362</v>
      </c>
      <c r="H289" t="s">
        <v>393</v>
      </c>
      <c r="I289" t="s">
        <v>22</v>
      </c>
      <c r="J289" t="s">
        <v>66</v>
      </c>
      <c r="K289" t="s">
        <v>24</v>
      </c>
      <c r="L289" t="s">
        <v>25</v>
      </c>
      <c r="M289" s="8">
        <v>2.4239999999999999</v>
      </c>
      <c r="N289" t="s">
        <v>26</v>
      </c>
      <c r="O289" s="8">
        <v>2.4239999999999999</v>
      </c>
      <c r="P289" s="8">
        <f>EXP(-1.363+3.366*LOG(O289,10))</f>
        <v>0.93364106227732868</v>
      </c>
      <c r="Q289" s="8">
        <f>(1788886*100)/6788946</f>
        <v>26.349981278389901</v>
      </c>
    </row>
    <row r="290" spans="1:17" x14ac:dyDescent="0.2">
      <c r="A290">
        <v>2011</v>
      </c>
      <c r="B290" t="s">
        <v>416</v>
      </c>
      <c r="C290" t="s">
        <v>60</v>
      </c>
      <c r="D290" t="s">
        <v>190</v>
      </c>
      <c r="E290">
        <v>7</v>
      </c>
      <c r="F290" t="s">
        <v>19</v>
      </c>
      <c r="G290" t="s">
        <v>362</v>
      </c>
      <c r="H290" t="s">
        <v>393</v>
      </c>
      <c r="I290" t="s">
        <v>22</v>
      </c>
      <c r="J290" t="s">
        <v>31</v>
      </c>
      <c r="K290" t="s">
        <v>24</v>
      </c>
      <c r="L290" t="s">
        <v>25</v>
      </c>
      <c r="M290" s="8">
        <v>2.4239999999999999</v>
      </c>
      <c r="N290" t="s">
        <v>26</v>
      </c>
      <c r="O290" s="8">
        <v>2.4239999999999999</v>
      </c>
      <c r="P290" s="8">
        <f>EXP(-1.363+3.366*LOG(O290,10))</f>
        <v>0.93364106227732868</v>
      </c>
      <c r="Q290" s="8">
        <f>(27433.05*100)/7611378</f>
        <v>0.36042159514348127</v>
      </c>
    </row>
    <row r="291" spans="1:17" x14ac:dyDescent="0.2">
      <c r="A291">
        <v>2011</v>
      </c>
      <c r="B291" t="s">
        <v>417</v>
      </c>
      <c r="C291" t="s">
        <v>60</v>
      </c>
      <c r="D291" t="s">
        <v>190</v>
      </c>
      <c r="E291">
        <v>7</v>
      </c>
      <c r="F291" t="s">
        <v>19</v>
      </c>
      <c r="G291" t="s">
        <v>362</v>
      </c>
      <c r="H291" t="s">
        <v>393</v>
      </c>
      <c r="I291" t="s">
        <v>22</v>
      </c>
      <c r="J291" t="s">
        <v>31</v>
      </c>
      <c r="K291" t="s">
        <v>24</v>
      </c>
      <c r="L291" t="s">
        <v>25</v>
      </c>
      <c r="M291" s="8">
        <v>2.4239999999999999</v>
      </c>
      <c r="N291" t="s">
        <v>26</v>
      </c>
      <c r="O291" s="8">
        <v>2.4239999999999999</v>
      </c>
      <c r="P291" s="8">
        <f>EXP(-1.363+3.366*LOG(O291,10))</f>
        <v>0.93364106227732868</v>
      </c>
      <c r="Q291" s="8">
        <f>(27433.05*100)/7611378</f>
        <v>0.36042159514348127</v>
      </c>
    </row>
    <row r="292" spans="1:17" x14ac:dyDescent="0.2">
      <c r="A292">
        <v>2011</v>
      </c>
      <c r="B292" t="s">
        <v>418</v>
      </c>
      <c r="C292" t="s">
        <v>89</v>
      </c>
      <c r="D292" t="s">
        <v>53</v>
      </c>
      <c r="E292">
        <v>6</v>
      </c>
      <c r="F292" t="s">
        <v>19</v>
      </c>
      <c r="G292" t="s">
        <v>362</v>
      </c>
      <c r="H292" t="s">
        <v>419</v>
      </c>
      <c r="I292" t="s">
        <v>22</v>
      </c>
      <c r="J292" t="s">
        <v>66</v>
      </c>
      <c r="K292" t="s">
        <v>24</v>
      </c>
      <c r="L292" t="s">
        <v>25</v>
      </c>
      <c r="M292" s="8" t="s">
        <v>26</v>
      </c>
      <c r="N292" t="s">
        <v>26</v>
      </c>
      <c r="O292" s="8" t="s">
        <v>26</v>
      </c>
      <c r="P292" s="8" t="s">
        <v>26</v>
      </c>
      <c r="Q292" s="8">
        <f>(61997.93*100)/7298102</f>
        <v>0.84950758430068529</v>
      </c>
    </row>
    <row r="293" spans="1:17" x14ac:dyDescent="0.2">
      <c r="A293">
        <v>2011</v>
      </c>
      <c r="B293" t="s">
        <v>420</v>
      </c>
      <c r="C293" t="s">
        <v>65</v>
      </c>
      <c r="D293" t="s">
        <v>111</v>
      </c>
      <c r="E293">
        <v>5</v>
      </c>
      <c r="F293" t="s">
        <v>19</v>
      </c>
      <c r="G293" t="s">
        <v>362</v>
      </c>
      <c r="H293" t="s">
        <v>421</v>
      </c>
      <c r="I293" t="s">
        <v>22</v>
      </c>
      <c r="J293" t="s">
        <v>66</v>
      </c>
      <c r="K293" t="s">
        <v>24</v>
      </c>
      <c r="L293" t="s">
        <v>25</v>
      </c>
      <c r="M293" s="8">
        <v>1.921333333</v>
      </c>
      <c r="N293" t="s">
        <v>26</v>
      </c>
      <c r="O293" s="8">
        <v>1.921333333</v>
      </c>
      <c r="P293" s="8">
        <f>EXP(-1.363+3.366*LOG(O293,10))</f>
        <v>0.66471742502276976</v>
      </c>
      <c r="Q293" s="8">
        <f>(1788886*100)/6788946</f>
        <v>26.349981278389901</v>
      </c>
    </row>
    <row r="294" spans="1:17" x14ac:dyDescent="0.2">
      <c r="A294">
        <v>2011</v>
      </c>
      <c r="B294" t="s">
        <v>422</v>
      </c>
      <c r="C294" t="s">
        <v>60</v>
      </c>
      <c r="D294" t="s">
        <v>53</v>
      </c>
      <c r="E294">
        <v>6</v>
      </c>
      <c r="F294" t="s">
        <v>19</v>
      </c>
      <c r="G294" t="s">
        <v>362</v>
      </c>
      <c r="H294" t="s">
        <v>421</v>
      </c>
      <c r="I294" t="s">
        <v>22</v>
      </c>
      <c r="J294" t="s">
        <v>31</v>
      </c>
      <c r="K294" t="s">
        <v>24</v>
      </c>
      <c r="L294" t="s">
        <v>25</v>
      </c>
      <c r="M294" s="8">
        <v>1.921333333</v>
      </c>
      <c r="N294" t="s">
        <v>26</v>
      </c>
      <c r="O294" s="8">
        <v>1.921333333</v>
      </c>
      <c r="P294" s="8">
        <f>EXP(-1.363+3.366*LOG(O294,10))</f>
        <v>0.66471742502276976</v>
      </c>
      <c r="Q294" s="8">
        <f>(27433.05*100)/7611378</f>
        <v>0.36042159514348127</v>
      </c>
    </row>
    <row r="295" spans="1:17" x14ac:dyDescent="0.2">
      <c r="A295">
        <v>2011</v>
      </c>
      <c r="B295" t="s">
        <v>423</v>
      </c>
      <c r="C295" t="s">
        <v>60</v>
      </c>
      <c r="D295" t="s">
        <v>53</v>
      </c>
      <c r="E295">
        <v>6</v>
      </c>
      <c r="F295" t="s">
        <v>19</v>
      </c>
      <c r="G295" t="s">
        <v>362</v>
      </c>
      <c r="H295" t="s">
        <v>421</v>
      </c>
      <c r="I295" t="s">
        <v>22</v>
      </c>
      <c r="J295" t="s">
        <v>31</v>
      </c>
      <c r="K295" t="s">
        <v>24</v>
      </c>
      <c r="L295" t="s">
        <v>25</v>
      </c>
      <c r="M295" s="8">
        <v>1.921333333</v>
      </c>
      <c r="N295" t="s">
        <v>26</v>
      </c>
      <c r="O295" s="8">
        <v>1.921333333</v>
      </c>
      <c r="P295" s="8">
        <f>EXP(-1.363+3.366*LOG(O295,10))</f>
        <v>0.66471742502276976</v>
      </c>
      <c r="Q295" s="8">
        <f>(27433.05*100)/7611378</f>
        <v>0.36042159514348127</v>
      </c>
    </row>
    <row r="296" spans="1:17" x14ac:dyDescent="0.2">
      <c r="A296">
        <v>2011</v>
      </c>
      <c r="B296" t="s">
        <v>424</v>
      </c>
      <c r="C296" t="s">
        <v>60</v>
      </c>
      <c r="D296" t="s">
        <v>53</v>
      </c>
      <c r="E296">
        <v>6</v>
      </c>
      <c r="F296" t="s">
        <v>19</v>
      </c>
      <c r="G296" t="s">
        <v>362</v>
      </c>
      <c r="H296" t="s">
        <v>421</v>
      </c>
      <c r="I296" t="s">
        <v>22</v>
      </c>
      <c r="J296" t="s">
        <v>31</v>
      </c>
      <c r="K296" t="s">
        <v>24</v>
      </c>
      <c r="L296" t="s">
        <v>25</v>
      </c>
      <c r="M296" s="8">
        <v>1.921333333</v>
      </c>
      <c r="N296" t="s">
        <v>26</v>
      </c>
      <c r="O296" s="8">
        <v>1.921333333</v>
      </c>
      <c r="P296" s="8">
        <f>EXP(-1.363+3.366*LOG(O296,10))</f>
        <v>0.66471742502276976</v>
      </c>
      <c r="Q296" s="8">
        <f>(27433.05*100)/7611378</f>
        <v>0.36042159514348127</v>
      </c>
    </row>
    <row r="297" spans="1:17" x14ac:dyDescent="0.2">
      <c r="A297">
        <v>2011</v>
      </c>
      <c r="B297" t="s">
        <v>425</v>
      </c>
      <c r="C297" t="s">
        <v>65</v>
      </c>
      <c r="D297" t="s">
        <v>58</v>
      </c>
      <c r="E297">
        <v>6</v>
      </c>
      <c r="F297" t="s">
        <v>19</v>
      </c>
      <c r="G297" t="s">
        <v>362</v>
      </c>
      <c r="H297" t="s">
        <v>421</v>
      </c>
      <c r="I297" t="s">
        <v>22</v>
      </c>
      <c r="J297" t="s">
        <v>66</v>
      </c>
      <c r="K297" t="s">
        <v>24</v>
      </c>
      <c r="L297" t="s">
        <v>25</v>
      </c>
      <c r="M297" s="8">
        <v>1.921333333</v>
      </c>
      <c r="N297" t="s">
        <v>26</v>
      </c>
      <c r="O297" s="8">
        <v>1.921333333</v>
      </c>
      <c r="P297" s="8">
        <f>EXP(-1.363+3.366*LOG(O297,10))</f>
        <v>0.66471742502276976</v>
      </c>
      <c r="Q297" s="8">
        <f>(1788886*100)/6788946</f>
        <v>26.349981278389901</v>
      </c>
    </row>
    <row r="298" spans="1:17" x14ac:dyDescent="0.2">
      <c r="A298">
        <v>2011</v>
      </c>
      <c r="B298" t="s">
        <v>426</v>
      </c>
      <c r="C298" t="s">
        <v>120</v>
      </c>
      <c r="D298" t="s">
        <v>71</v>
      </c>
      <c r="E298">
        <v>7</v>
      </c>
      <c r="F298" t="s">
        <v>19</v>
      </c>
      <c r="G298" t="s">
        <v>362</v>
      </c>
      <c r="H298" t="s">
        <v>421</v>
      </c>
      <c r="I298" t="s">
        <v>22</v>
      </c>
      <c r="J298" t="s">
        <v>23</v>
      </c>
      <c r="K298" t="s">
        <v>24</v>
      </c>
      <c r="L298" t="s">
        <v>25</v>
      </c>
      <c r="M298" s="8">
        <v>1.921333333</v>
      </c>
      <c r="N298" t="s">
        <v>26</v>
      </c>
      <c r="O298" s="8">
        <v>1.921333333</v>
      </c>
      <c r="P298" s="8">
        <f>EXP(-1.363+3.366*LOG(O298,10))</f>
        <v>0.66471742502276976</v>
      </c>
      <c r="Q298" s="8">
        <f>(2256192*100)/6055896</f>
        <v>37.256121967748456</v>
      </c>
    </row>
    <row r="299" spans="1:17" x14ac:dyDescent="0.2">
      <c r="A299">
        <v>2011</v>
      </c>
      <c r="B299" t="s">
        <v>427</v>
      </c>
      <c r="C299" t="s">
        <v>60</v>
      </c>
      <c r="D299" t="s">
        <v>61</v>
      </c>
      <c r="E299">
        <v>6</v>
      </c>
      <c r="F299" t="s">
        <v>19</v>
      </c>
      <c r="G299" t="s">
        <v>362</v>
      </c>
      <c r="H299" t="s">
        <v>421</v>
      </c>
      <c r="I299" t="s">
        <v>22</v>
      </c>
      <c r="J299" t="s">
        <v>31</v>
      </c>
      <c r="K299" t="s">
        <v>24</v>
      </c>
      <c r="L299" t="s">
        <v>25</v>
      </c>
      <c r="M299" s="8">
        <v>1.921333333</v>
      </c>
      <c r="N299" t="s">
        <v>26</v>
      </c>
      <c r="O299" s="8">
        <v>1.921333333</v>
      </c>
      <c r="P299" s="8">
        <f>EXP(-1.363+3.366*LOG(O299,10))</f>
        <v>0.66471742502276976</v>
      </c>
      <c r="Q299" s="8">
        <f>(27433.05*100)/7611378</f>
        <v>0.36042159514348127</v>
      </c>
    </row>
    <row r="300" spans="1:17" x14ac:dyDescent="0.2">
      <c r="A300">
        <v>2011</v>
      </c>
      <c r="B300" t="s">
        <v>428</v>
      </c>
      <c r="C300" t="s">
        <v>57</v>
      </c>
      <c r="D300" t="s">
        <v>71</v>
      </c>
      <c r="E300">
        <v>7</v>
      </c>
      <c r="F300" t="s">
        <v>19</v>
      </c>
      <c r="G300" t="s">
        <v>362</v>
      </c>
      <c r="H300" t="s">
        <v>421</v>
      </c>
      <c r="I300" t="s">
        <v>22</v>
      </c>
      <c r="J300" t="s">
        <v>31</v>
      </c>
      <c r="K300" t="s">
        <v>24</v>
      </c>
      <c r="L300" t="s">
        <v>25</v>
      </c>
      <c r="M300" s="8">
        <v>1.921333333</v>
      </c>
      <c r="N300" t="s">
        <v>26</v>
      </c>
      <c r="O300" s="8">
        <v>1.921333333</v>
      </c>
      <c r="P300" s="8">
        <f>EXP(-1.363+3.366*LOG(O300,10))</f>
        <v>0.66471742502276976</v>
      </c>
      <c r="Q300" s="8">
        <f>(321151.3*100)/5927002</f>
        <v>5.4184442657518925</v>
      </c>
    </row>
    <row r="301" spans="1:17" x14ac:dyDescent="0.2">
      <c r="A301">
        <v>2011</v>
      </c>
      <c r="B301" t="s">
        <v>429</v>
      </c>
      <c r="C301" t="s">
        <v>60</v>
      </c>
      <c r="D301" t="s">
        <v>61</v>
      </c>
      <c r="E301">
        <v>6</v>
      </c>
      <c r="F301" t="s">
        <v>19</v>
      </c>
      <c r="G301" t="s">
        <v>362</v>
      </c>
      <c r="H301" t="s">
        <v>421</v>
      </c>
      <c r="I301" t="s">
        <v>22</v>
      </c>
      <c r="J301" t="s">
        <v>31</v>
      </c>
      <c r="K301" t="s">
        <v>24</v>
      </c>
      <c r="L301" t="s">
        <v>25</v>
      </c>
      <c r="M301" s="8">
        <v>1.921333333</v>
      </c>
      <c r="N301" t="s">
        <v>26</v>
      </c>
      <c r="O301" s="8">
        <v>1.921333333</v>
      </c>
      <c r="P301" s="8">
        <f>EXP(-1.363+3.366*LOG(O301,10))</f>
        <v>0.66471742502276976</v>
      </c>
      <c r="Q301" s="8">
        <f>(27433.05*100)/7611378</f>
        <v>0.36042159514348127</v>
      </c>
    </row>
    <row r="302" spans="1:17" x14ac:dyDescent="0.2">
      <c r="A302">
        <v>2011</v>
      </c>
      <c r="B302" t="s">
        <v>430</v>
      </c>
      <c r="C302" t="s">
        <v>60</v>
      </c>
      <c r="D302" t="s">
        <v>53</v>
      </c>
      <c r="E302">
        <v>6</v>
      </c>
      <c r="F302" t="s">
        <v>19</v>
      </c>
      <c r="G302" t="s">
        <v>362</v>
      </c>
      <c r="H302" t="s">
        <v>421</v>
      </c>
      <c r="I302" t="s">
        <v>22</v>
      </c>
      <c r="J302" t="s">
        <v>31</v>
      </c>
      <c r="K302" t="s">
        <v>24</v>
      </c>
      <c r="L302" t="s">
        <v>25</v>
      </c>
      <c r="M302" s="8">
        <v>1.921333333</v>
      </c>
      <c r="N302" t="s">
        <v>26</v>
      </c>
      <c r="O302" s="8">
        <v>1.921333333</v>
      </c>
      <c r="P302" s="8">
        <f>EXP(-1.363+3.366*LOG(O302,10))</f>
        <v>0.66471742502276976</v>
      </c>
      <c r="Q302" s="8">
        <f>(27433.05*100)/7611378</f>
        <v>0.36042159514348127</v>
      </c>
    </row>
    <row r="303" spans="1:17" x14ac:dyDescent="0.2">
      <c r="A303">
        <v>2011</v>
      </c>
      <c r="B303" t="s">
        <v>431</v>
      </c>
      <c r="C303" t="s">
        <v>60</v>
      </c>
      <c r="D303" t="s">
        <v>53</v>
      </c>
      <c r="E303">
        <v>6</v>
      </c>
      <c r="F303" t="s">
        <v>19</v>
      </c>
      <c r="G303" t="s">
        <v>362</v>
      </c>
      <c r="H303" t="s">
        <v>421</v>
      </c>
      <c r="I303" t="s">
        <v>22</v>
      </c>
      <c r="J303" t="s">
        <v>31</v>
      </c>
      <c r="K303" t="s">
        <v>24</v>
      </c>
      <c r="L303" t="s">
        <v>25</v>
      </c>
      <c r="M303" s="8">
        <v>1.921333333</v>
      </c>
      <c r="N303" t="s">
        <v>26</v>
      </c>
      <c r="O303" s="8">
        <v>1.921333333</v>
      </c>
      <c r="P303" s="8">
        <f>EXP(-1.363+3.366*LOG(O303,10))</f>
        <v>0.66471742502276976</v>
      </c>
      <c r="Q303" s="8">
        <f>(27433.05*100)/7611378</f>
        <v>0.36042159514348127</v>
      </c>
    </row>
    <row r="304" spans="1:17" x14ac:dyDescent="0.2">
      <c r="A304">
        <v>2011</v>
      </c>
      <c r="B304" t="s">
        <v>432</v>
      </c>
      <c r="C304" t="s">
        <v>60</v>
      </c>
      <c r="D304" t="s">
        <v>53</v>
      </c>
      <c r="E304">
        <v>6</v>
      </c>
      <c r="F304" t="s">
        <v>19</v>
      </c>
      <c r="G304" t="s">
        <v>362</v>
      </c>
      <c r="H304" t="s">
        <v>421</v>
      </c>
      <c r="I304" t="s">
        <v>22</v>
      </c>
      <c r="J304" t="s">
        <v>31</v>
      </c>
      <c r="K304" t="s">
        <v>24</v>
      </c>
      <c r="L304" t="s">
        <v>25</v>
      </c>
      <c r="M304" s="8">
        <v>1.921333333</v>
      </c>
      <c r="N304" t="s">
        <v>26</v>
      </c>
      <c r="O304" s="8">
        <v>1.921333333</v>
      </c>
      <c r="P304" s="8">
        <f>EXP(-1.363+3.366*LOG(O304,10))</f>
        <v>0.66471742502276976</v>
      </c>
      <c r="Q304" s="8">
        <f>(27433.05*100)/7611378</f>
        <v>0.36042159514348127</v>
      </c>
    </row>
    <row r="305" spans="1:17" x14ac:dyDescent="0.2">
      <c r="A305">
        <v>2011</v>
      </c>
      <c r="B305" t="s">
        <v>433</v>
      </c>
      <c r="C305" t="s">
        <v>60</v>
      </c>
      <c r="D305" t="s">
        <v>53</v>
      </c>
      <c r="E305">
        <v>6</v>
      </c>
      <c r="F305" t="s">
        <v>19</v>
      </c>
      <c r="G305" t="s">
        <v>362</v>
      </c>
      <c r="H305" t="s">
        <v>421</v>
      </c>
      <c r="I305" t="s">
        <v>22</v>
      </c>
      <c r="J305" t="s">
        <v>31</v>
      </c>
      <c r="K305" t="s">
        <v>24</v>
      </c>
      <c r="L305" t="s">
        <v>25</v>
      </c>
      <c r="M305" s="8">
        <v>1.921333333</v>
      </c>
      <c r="N305" t="s">
        <v>26</v>
      </c>
      <c r="O305" s="8">
        <v>1.921333333</v>
      </c>
      <c r="P305" s="8">
        <f>EXP(-1.363+3.366*LOG(O305,10))</f>
        <v>0.66471742502276976</v>
      </c>
      <c r="Q305" s="8">
        <f>(27433.05*100)/7611378</f>
        <v>0.36042159514348127</v>
      </c>
    </row>
    <row r="306" spans="1:17" x14ac:dyDescent="0.2">
      <c r="A306">
        <v>2011</v>
      </c>
      <c r="B306" t="s">
        <v>434</v>
      </c>
      <c r="C306" t="s">
        <v>60</v>
      </c>
      <c r="D306" t="s">
        <v>53</v>
      </c>
      <c r="E306">
        <v>6</v>
      </c>
      <c r="F306" t="s">
        <v>19</v>
      </c>
      <c r="G306" t="s">
        <v>362</v>
      </c>
      <c r="H306" t="s">
        <v>421</v>
      </c>
      <c r="I306" t="s">
        <v>22</v>
      </c>
      <c r="J306" t="s">
        <v>31</v>
      </c>
      <c r="K306" t="s">
        <v>24</v>
      </c>
      <c r="L306" t="s">
        <v>25</v>
      </c>
      <c r="M306" s="8">
        <v>1.921333333</v>
      </c>
      <c r="N306" t="s">
        <v>26</v>
      </c>
      <c r="O306" s="8">
        <v>1.921333333</v>
      </c>
      <c r="P306" s="8">
        <f>EXP(-1.363+3.366*LOG(O306,10))</f>
        <v>0.66471742502276976</v>
      </c>
      <c r="Q306" s="8">
        <f>(27433.05*100)/7611378</f>
        <v>0.36042159514348127</v>
      </c>
    </row>
    <row r="307" spans="1:17" x14ac:dyDescent="0.2">
      <c r="A307">
        <v>2011</v>
      </c>
      <c r="B307" t="s">
        <v>435</v>
      </c>
      <c r="C307" t="s">
        <v>60</v>
      </c>
      <c r="D307" t="s">
        <v>53</v>
      </c>
      <c r="E307">
        <v>6</v>
      </c>
      <c r="F307" t="s">
        <v>19</v>
      </c>
      <c r="G307" t="s">
        <v>362</v>
      </c>
      <c r="H307" t="s">
        <v>421</v>
      </c>
      <c r="I307" t="s">
        <v>22</v>
      </c>
      <c r="J307" t="s">
        <v>31</v>
      </c>
      <c r="K307" t="s">
        <v>24</v>
      </c>
      <c r="L307" t="s">
        <v>25</v>
      </c>
      <c r="M307" s="8">
        <v>1.921333333</v>
      </c>
      <c r="N307" t="s">
        <v>26</v>
      </c>
      <c r="O307" s="8">
        <v>1.921333333</v>
      </c>
      <c r="P307" s="8">
        <f>EXP(-1.363+3.366*LOG(O307,10))</f>
        <v>0.66471742502276976</v>
      </c>
      <c r="Q307" s="8">
        <f>(27433.05*100)/7611378</f>
        <v>0.36042159514348127</v>
      </c>
    </row>
    <row r="308" spans="1:17" x14ac:dyDescent="0.2">
      <c r="A308">
        <v>2011</v>
      </c>
      <c r="B308" t="s">
        <v>436</v>
      </c>
      <c r="C308" t="s">
        <v>60</v>
      </c>
      <c r="D308" t="s">
        <v>61</v>
      </c>
      <c r="E308">
        <v>6</v>
      </c>
      <c r="F308" t="s">
        <v>19</v>
      </c>
      <c r="G308" t="s">
        <v>362</v>
      </c>
      <c r="H308" t="s">
        <v>421</v>
      </c>
      <c r="I308" t="s">
        <v>22</v>
      </c>
      <c r="J308" t="s">
        <v>31</v>
      </c>
      <c r="K308" t="s">
        <v>24</v>
      </c>
      <c r="L308" t="s">
        <v>25</v>
      </c>
      <c r="M308" s="8">
        <v>1.921333333</v>
      </c>
      <c r="N308" t="s">
        <v>26</v>
      </c>
      <c r="O308" s="8">
        <v>1.921333333</v>
      </c>
      <c r="P308" s="8">
        <f>EXP(-1.363+3.366*LOG(O308,10))</f>
        <v>0.66471742502276976</v>
      </c>
      <c r="Q308" s="8">
        <f>(27433.05*100)/7611378</f>
        <v>0.36042159514348127</v>
      </c>
    </row>
    <row r="309" spans="1:17" x14ac:dyDescent="0.2">
      <c r="A309">
        <v>2011</v>
      </c>
      <c r="B309" t="s">
        <v>437</v>
      </c>
      <c r="C309" t="s">
        <v>60</v>
      </c>
      <c r="D309" t="s">
        <v>61</v>
      </c>
      <c r="E309">
        <v>6</v>
      </c>
      <c r="F309" t="s">
        <v>19</v>
      </c>
      <c r="G309" t="s">
        <v>362</v>
      </c>
      <c r="H309" t="s">
        <v>421</v>
      </c>
      <c r="I309" t="s">
        <v>22</v>
      </c>
      <c r="J309" t="s">
        <v>31</v>
      </c>
      <c r="K309" t="s">
        <v>24</v>
      </c>
      <c r="L309" t="s">
        <v>25</v>
      </c>
      <c r="M309" s="8">
        <v>1.921333333</v>
      </c>
      <c r="N309" t="s">
        <v>26</v>
      </c>
      <c r="O309" s="8">
        <v>1.921333333</v>
      </c>
      <c r="P309" s="8">
        <f>EXP(-1.363+3.366*LOG(O309,10))</f>
        <v>0.66471742502276976</v>
      </c>
      <c r="Q309" s="8">
        <f>(27433.05*100)/7611378</f>
        <v>0.36042159514348127</v>
      </c>
    </row>
    <row r="310" spans="1:17" x14ac:dyDescent="0.2">
      <c r="A310">
        <v>2011</v>
      </c>
      <c r="B310" t="s">
        <v>438</v>
      </c>
      <c r="C310" t="s">
        <v>60</v>
      </c>
      <c r="D310" t="s">
        <v>61</v>
      </c>
      <c r="E310">
        <v>6</v>
      </c>
      <c r="F310" t="s">
        <v>19</v>
      </c>
      <c r="G310" t="s">
        <v>362</v>
      </c>
      <c r="H310" t="s">
        <v>421</v>
      </c>
      <c r="I310" t="s">
        <v>22</v>
      </c>
      <c r="J310" t="s">
        <v>31</v>
      </c>
      <c r="K310" t="s">
        <v>24</v>
      </c>
      <c r="L310" t="s">
        <v>25</v>
      </c>
      <c r="M310" s="8">
        <v>1.921333333</v>
      </c>
      <c r="N310" t="s">
        <v>26</v>
      </c>
      <c r="O310" s="8">
        <v>1.921333333</v>
      </c>
      <c r="P310" s="8">
        <f>EXP(-1.363+3.366*LOG(O310,10))</f>
        <v>0.66471742502276976</v>
      </c>
      <c r="Q310" s="8">
        <f>(27433.05*100)/7611378</f>
        <v>0.36042159514348127</v>
      </c>
    </row>
    <row r="311" spans="1:17" x14ac:dyDescent="0.2">
      <c r="A311">
        <v>2011</v>
      </c>
      <c r="B311" t="s">
        <v>439</v>
      </c>
      <c r="C311" t="s">
        <v>65</v>
      </c>
      <c r="D311" t="s">
        <v>58</v>
      </c>
      <c r="E311">
        <v>6</v>
      </c>
      <c r="F311" t="s">
        <v>19</v>
      </c>
      <c r="G311" t="s">
        <v>362</v>
      </c>
      <c r="H311" t="s">
        <v>421</v>
      </c>
      <c r="I311" t="s">
        <v>22</v>
      </c>
      <c r="J311" t="s">
        <v>66</v>
      </c>
      <c r="K311" t="s">
        <v>24</v>
      </c>
      <c r="L311" t="s">
        <v>25</v>
      </c>
      <c r="M311" s="8">
        <v>1.921333333</v>
      </c>
      <c r="N311" t="s">
        <v>26</v>
      </c>
      <c r="O311" s="8">
        <v>1.921333333</v>
      </c>
      <c r="P311" s="8">
        <f>EXP(-1.363+3.366*LOG(O311,10))</f>
        <v>0.66471742502276976</v>
      </c>
      <c r="Q311" s="8">
        <f>(1788886*100)/6788946</f>
        <v>26.349981278389901</v>
      </c>
    </row>
    <row r="312" spans="1:17" x14ac:dyDescent="0.2">
      <c r="A312">
        <v>2011</v>
      </c>
      <c r="B312" t="s">
        <v>440</v>
      </c>
      <c r="C312" t="s">
        <v>65</v>
      </c>
      <c r="D312" t="s">
        <v>58</v>
      </c>
      <c r="E312">
        <v>6</v>
      </c>
      <c r="F312" t="s">
        <v>19</v>
      </c>
      <c r="G312" t="s">
        <v>362</v>
      </c>
      <c r="H312" t="s">
        <v>421</v>
      </c>
      <c r="I312" t="s">
        <v>22</v>
      </c>
      <c r="J312" t="s">
        <v>66</v>
      </c>
      <c r="K312" t="s">
        <v>24</v>
      </c>
      <c r="L312" t="s">
        <v>25</v>
      </c>
      <c r="M312" s="8">
        <v>1.921333333</v>
      </c>
      <c r="N312" t="s">
        <v>26</v>
      </c>
      <c r="O312" s="8">
        <v>1.921333333</v>
      </c>
      <c r="P312" s="8">
        <f>EXP(-1.363+3.366*LOG(O312,10))</f>
        <v>0.66471742502276976</v>
      </c>
      <c r="Q312" s="8">
        <f>(1788886*100)/6788946</f>
        <v>26.349981278389901</v>
      </c>
    </row>
    <row r="313" spans="1:17" x14ac:dyDescent="0.2">
      <c r="A313">
        <v>2011</v>
      </c>
      <c r="B313" t="s">
        <v>441</v>
      </c>
      <c r="C313" t="s">
        <v>65</v>
      </c>
      <c r="D313" t="s">
        <v>58</v>
      </c>
      <c r="E313">
        <v>6</v>
      </c>
      <c r="F313" t="s">
        <v>19</v>
      </c>
      <c r="G313" t="s">
        <v>362</v>
      </c>
      <c r="H313" t="s">
        <v>421</v>
      </c>
      <c r="I313" t="s">
        <v>22</v>
      </c>
      <c r="J313" t="s">
        <v>66</v>
      </c>
      <c r="K313" t="s">
        <v>24</v>
      </c>
      <c r="L313" t="s">
        <v>25</v>
      </c>
      <c r="M313" s="8">
        <v>1.921333333</v>
      </c>
      <c r="N313" t="s">
        <v>26</v>
      </c>
      <c r="O313" s="8">
        <v>1.921333333</v>
      </c>
      <c r="P313" s="8">
        <f>EXP(-1.363+3.366*LOG(O313,10))</f>
        <v>0.66471742502276976</v>
      </c>
      <c r="Q313" s="8">
        <f>(1788886*100)/6788946</f>
        <v>26.349981278389901</v>
      </c>
    </row>
    <row r="314" spans="1:17" x14ac:dyDescent="0.2">
      <c r="A314">
        <v>2011</v>
      </c>
      <c r="B314" t="s">
        <v>442</v>
      </c>
      <c r="C314" t="s">
        <v>65</v>
      </c>
      <c r="D314" t="s">
        <v>71</v>
      </c>
      <c r="E314">
        <v>7</v>
      </c>
      <c r="F314" t="s">
        <v>19</v>
      </c>
      <c r="G314" t="s">
        <v>362</v>
      </c>
      <c r="H314" t="s">
        <v>421</v>
      </c>
      <c r="I314" t="s">
        <v>22</v>
      </c>
      <c r="J314" t="s">
        <v>66</v>
      </c>
      <c r="K314" t="s">
        <v>24</v>
      </c>
      <c r="L314" t="s">
        <v>25</v>
      </c>
      <c r="M314" s="8">
        <v>1.921333333</v>
      </c>
      <c r="N314" t="s">
        <v>26</v>
      </c>
      <c r="O314" s="8">
        <v>1.921333333</v>
      </c>
      <c r="P314" s="8">
        <f>EXP(-1.363+3.366*LOG(O314,10))</f>
        <v>0.66471742502276976</v>
      </c>
      <c r="Q314" s="8">
        <f>(1788886*100)/6788946</f>
        <v>26.349981278389901</v>
      </c>
    </row>
    <row r="315" spans="1:17" x14ac:dyDescent="0.2">
      <c r="A315">
        <v>2011</v>
      </c>
      <c r="B315" t="s">
        <v>443</v>
      </c>
      <c r="C315" t="s">
        <v>65</v>
      </c>
      <c r="D315" t="s">
        <v>71</v>
      </c>
      <c r="E315">
        <v>7</v>
      </c>
      <c r="F315" t="s">
        <v>19</v>
      </c>
      <c r="G315" t="s">
        <v>362</v>
      </c>
      <c r="H315" t="s">
        <v>421</v>
      </c>
      <c r="I315" t="s">
        <v>22</v>
      </c>
      <c r="J315" t="s">
        <v>66</v>
      </c>
      <c r="K315" t="s">
        <v>24</v>
      </c>
      <c r="L315" t="s">
        <v>25</v>
      </c>
      <c r="M315" s="8">
        <v>1.921333333</v>
      </c>
      <c r="N315" t="s">
        <v>26</v>
      </c>
      <c r="O315" s="8">
        <v>1.921333333</v>
      </c>
      <c r="P315" s="8">
        <f>EXP(-1.363+3.366*LOG(O315,10))</f>
        <v>0.66471742502276976</v>
      </c>
      <c r="Q315" s="8">
        <f>(1788886*100)/6788946</f>
        <v>26.349981278389901</v>
      </c>
    </row>
    <row r="316" spans="1:17" x14ac:dyDescent="0.2">
      <c r="A316">
        <v>2011</v>
      </c>
      <c r="B316" t="s">
        <v>444</v>
      </c>
      <c r="C316" t="s">
        <v>65</v>
      </c>
      <c r="D316" t="s">
        <v>71</v>
      </c>
      <c r="E316">
        <v>7</v>
      </c>
      <c r="F316" t="s">
        <v>19</v>
      </c>
      <c r="G316" t="s">
        <v>362</v>
      </c>
      <c r="H316" t="s">
        <v>421</v>
      </c>
      <c r="I316" t="s">
        <v>22</v>
      </c>
      <c r="J316" t="s">
        <v>66</v>
      </c>
      <c r="K316" t="s">
        <v>24</v>
      </c>
      <c r="L316" t="s">
        <v>25</v>
      </c>
      <c r="M316" s="8">
        <v>1.921333333</v>
      </c>
      <c r="N316" t="s">
        <v>26</v>
      </c>
      <c r="O316" s="8">
        <v>1.921333333</v>
      </c>
      <c r="P316" s="8">
        <f>EXP(-1.363+3.366*LOG(O316,10))</f>
        <v>0.66471742502276976</v>
      </c>
      <c r="Q316" s="8">
        <f>(1788886*100)/6788946</f>
        <v>26.349981278389901</v>
      </c>
    </row>
    <row r="317" spans="1:17" x14ac:dyDescent="0.2">
      <c r="A317">
        <v>2011</v>
      </c>
      <c r="B317" t="s">
        <v>445</v>
      </c>
      <c r="C317" t="s">
        <v>52</v>
      </c>
      <c r="D317" t="s">
        <v>446</v>
      </c>
      <c r="E317">
        <v>4</v>
      </c>
      <c r="F317" t="s">
        <v>19</v>
      </c>
      <c r="G317" t="s">
        <v>362</v>
      </c>
      <c r="H317" t="s">
        <v>447</v>
      </c>
      <c r="I317" t="s">
        <v>22</v>
      </c>
      <c r="J317" t="s">
        <v>42</v>
      </c>
      <c r="K317" t="s">
        <v>24</v>
      </c>
      <c r="L317" t="s">
        <v>25</v>
      </c>
      <c r="M317" s="8">
        <v>1.421</v>
      </c>
      <c r="N317" t="s">
        <v>26</v>
      </c>
      <c r="O317" s="8">
        <v>1.421</v>
      </c>
      <c r="P317" s="8">
        <f>EXP(-1.363+3.366*LOG(O317,10))</f>
        <v>0.42768500084673816</v>
      </c>
      <c r="Q317" s="8">
        <f>(1626350*100)/1973941</f>
        <v>82.391013713175823</v>
      </c>
    </row>
    <row r="318" spans="1:17" x14ac:dyDescent="0.2">
      <c r="A318">
        <v>2011</v>
      </c>
      <c r="B318" t="s">
        <v>448</v>
      </c>
      <c r="C318" t="s">
        <v>52</v>
      </c>
      <c r="D318" t="s">
        <v>147</v>
      </c>
      <c r="E318">
        <v>4</v>
      </c>
      <c r="F318" t="s">
        <v>19</v>
      </c>
      <c r="G318" t="s">
        <v>362</v>
      </c>
      <c r="H318" t="s">
        <v>447</v>
      </c>
      <c r="I318" t="s">
        <v>22</v>
      </c>
      <c r="J318" t="s">
        <v>42</v>
      </c>
      <c r="K318" t="s">
        <v>24</v>
      </c>
      <c r="L318" t="s">
        <v>25</v>
      </c>
      <c r="M318" s="8">
        <v>1.421</v>
      </c>
      <c r="N318" t="s">
        <v>26</v>
      </c>
      <c r="O318" s="8">
        <v>1.421</v>
      </c>
      <c r="P318" s="8">
        <f>EXP(-1.363+3.366*LOG(O318,10))</f>
        <v>0.42768500084673816</v>
      </c>
      <c r="Q318" s="8">
        <f>(1626350*100)/1973941</f>
        <v>82.391013713175823</v>
      </c>
    </row>
    <row r="319" spans="1:17" x14ac:dyDescent="0.2">
      <c r="A319">
        <v>2011</v>
      </c>
      <c r="B319" t="s">
        <v>449</v>
      </c>
      <c r="C319" t="s">
        <v>52</v>
      </c>
      <c r="D319" t="s">
        <v>76</v>
      </c>
      <c r="E319">
        <v>5</v>
      </c>
      <c r="F319" t="s">
        <v>19</v>
      </c>
      <c r="G319" t="s">
        <v>362</v>
      </c>
      <c r="H319" t="s">
        <v>447</v>
      </c>
      <c r="I319" t="s">
        <v>22</v>
      </c>
      <c r="J319" t="s">
        <v>42</v>
      </c>
      <c r="K319" t="s">
        <v>24</v>
      </c>
      <c r="L319" t="s">
        <v>25</v>
      </c>
      <c r="M319" s="8">
        <v>1.421</v>
      </c>
      <c r="N319" t="s">
        <v>26</v>
      </c>
      <c r="O319" s="8">
        <v>1.421</v>
      </c>
      <c r="P319" s="8">
        <f>EXP(-1.363+3.366*LOG(O319,10))</f>
        <v>0.42768500084673816</v>
      </c>
      <c r="Q319" s="8">
        <f>(1626350*100)/1973941</f>
        <v>82.391013713175823</v>
      </c>
    </row>
    <row r="320" spans="1:17" x14ac:dyDescent="0.2">
      <c r="A320">
        <v>2011</v>
      </c>
      <c r="B320" t="s">
        <v>450</v>
      </c>
      <c r="C320" t="s">
        <v>65</v>
      </c>
      <c r="D320" t="s">
        <v>71</v>
      </c>
      <c r="E320">
        <v>7</v>
      </c>
      <c r="F320" t="s">
        <v>19</v>
      </c>
      <c r="G320" t="s">
        <v>362</v>
      </c>
      <c r="H320" t="s">
        <v>447</v>
      </c>
      <c r="I320" t="s">
        <v>22</v>
      </c>
      <c r="J320" t="s">
        <v>66</v>
      </c>
      <c r="K320" t="s">
        <v>24</v>
      </c>
      <c r="L320" t="s">
        <v>25</v>
      </c>
      <c r="M320" s="8">
        <v>1.421</v>
      </c>
      <c r="N320" t="s">
        <v>26</v>
      </c>
      <c r="O320" s="8">
        <v>1.421</v>
      </c>
      <c r="P320" s="8">
        <f>EXP(-1.363+3.366*LOG(O320,10))</f>
        <v>0.42768500084673816</v>
      </c>
      <c r="Q320" s="8">
        <f>(1788886*100)/6788946</f>
        <v>26.349981278389901</v>
      </c>
    </row>
    <row r="321" spans="1:17" x14ac:dyDescent="0.2">
      <c r="A321">
        <v>2011</v>
      </c>
      <c r="B321" t="s">
        <v>451</v>
      </c>
      <c r="C321" t="s">
        <v>89</v>
      </c>
      <c r="D321" t="s">
        <v>53</v>
      </c>
      <c r="E321">
        <v>6</v>
      </c>
      <c r="F321" t="s">
        <v>19</v>
      </c>
      <c r="G321" t="s">
        <v>362</v>
      </c>
      <c r="H321" t="s">
        <v>447</v>
      </c>
      <c r="I321" t="s">
        <v>22</v>
      </c>
      <c r="J321" t="s">
        <v>66</v>
      </c>
      <c r="K321" t="s">
        <v>24</v>
      </c>
      <c r="L321" t="s">
        <v>25</v>
      </c>
      <c r="M321" s="8">
        <v>1.421</v>
      </c>
      <c r="N321" t="s">
        <v>26</v>
      </c>
      <c r="O321" s="8">
        <v>1.421</v>
      </c>
      <c r="P321" s="8">
        <f>EXP(-1.363+3.366*LOG(O321,10))</f>
        <v>0.42768500084673816</v>
      </c>
      <c r="Q321" s="8">
        <f>(61997.93*100)/7298102</f>
        <v>0.84950758430068529</v>
      </c>
    </row>
    <row r="322" spans="1:17" x14ac:dyDescent="0.2">
      <c r="A322">
        <v>2011</v>
      </c>
      <c r="B322" t="s">
        <v>452</v>
      </c>
      <c r="C322" t="s">
        <v>65</v>
      </c>
      <c r="D322" t="s">
        <v>71</v>
      </c>
      <c r="E322">
        <v>7</v>
      </c>
      <c r="F322" t="s">
        <v>19</v>
      </c>
      <c r="G322" t="s">
        <v>362</v>
      </c>
      <c r="H322" t="s">
        <v>447</v>
      </c>
      <c r="I322" t="s">
        <v>22</v>
      </c>
      <c r="J322" t="s">
        <v>66</v>
      </c>
      <c r="K322" t="s">
        <v>24</v>
      </c>
      <c r="L322" t="s">
        <v>25</v>
      </c>
      <c r="M322" s="8">
        <v>1.421</v>
      </c>
      <c r="N322" t="s">
        <v>26</v>
      </c>
      <c r="O322" s="8">
        <v>1.421</v>
      </c>
      <c r="P322" s="8">
        <f>EXP(-1.363+3.366*LOG(O322,10))</f>
        <v>0.42768500084673816</v>
      </c>
      <c r="Q322" s="8">
        <f>(1788886*100)/6788946</f>
        <v>26.349981278389901</v>
      </c>
    </row>
    <row r="323" spans="1:17" x14ac:dyDescent="0.2">
      <c r="A323">
        <v>2011</v>
      </c>
      <c r="B323" t="s">
        <v>453</v>
      </c>
      <c r="C323" t="s">
        <v>57</v>
      </c>
      <c r="D323" t="s">
        <v>71</v>
      </c>
      <c r="E323">
        <v>7</v>
      </c>
      <c r="F323" t="s">
        <v>19</v>
      </c>
      <c r="G323" t="s">
        <v>362</v>
      </c>
      <c r="H323" t="s">
        <v>447</v>
      </c>
      <c r="I323" t="s">
        <v>22</v>
      </c>
      <c r="J323" t="s">
        <v>31</v>
      </c>
      <c r="K323" t="s">
        <v>24</v>
      </c>
      <c r="L323" t="s">
        <v>25</v>
      </c>
      <c r="M323" s="8">
        <v>1.421</v>
      </c>
      <c r="N323" t="s">
        <v>26</v>
      </c>
      <c r="O323" s="8">
        <v>1.421</v>
      </c>
      <c r="P323" s="8">
        <f>EXP(-1.363+3.366*LOG(O323,10))</f>
        <v>0.42768500084673816</v>
      </c>
      <c r="Q323" s="8">
        <f>(321151.3*100)/5927002</f>
        <v>5.4184442657518925</v>
      </c>
    </row>
    <row r="324" spans="1:17" x14ac:dyDescent="0.2">
      <c r="A324">
        <v>2011</v>
      </c>
      <c r="B324" t="s">
        <v>454</v>
      </c>
      <c r="C324" t="s">
        <v>120</v>
      </c>
      <c r="D324" t="s">
        <v>58</v>
      </c>
      <c r="E324">
        <v>6</v>
      </c>
      <c r="F324" t="s">
        <v>19</v>
      </c>
      <c r="G324" t="s">
        <v>362</v>
      </c>
      <c r="H324" t="s">
        <v>447</v>
      </c>
      <c r="I324" t="s">
        <v>22</v>
      </c>
      <c r="J324" t="s">
        <v>23</v>
      </c>
      <c r="K324" t="s">
        <v>24</v>
      </c>
      <c r="L324" t="s">
        <v>25</v>
      </c>
      <c r="M324" s="8">
        <v>1.421</v>
      </c>
      <c r="N324" t="s">
        <v>26</v>
      </c>
      <c r="O324" s="8">
        <v>1.421</v>
      </c>
      <c r="P324" s="8">
        <f>EXP(-1.363+3.366*LOG(O324,10))</f>
        <v>0.42768500084673816</v>
      </c>
      <c r="Q324" s="8">
        <f>(2256192*100)/6055896</f>
        <v>37.256121967748456</v>
      </c>
    </row>
    <row r="325" spans="1:17" x14ac:dyDescent="0.2">
      <c r="A325">
        <v>2011</v>
      </c>
      <c r="B325" t="s">
        <v>455</v>
      </c>
      <c r="C325" t="s">
        <v>57</v>
      </c>
      <c r="D325" t="s">
        <v>58</v>
      </c>
      <c r="E325">
        <v>6</v>
      </c>
      <c r="F325" t="s">
        <v>19</v>
      </c>
      <c r="G325" t="s">
        <v>362</v>
      </c>
      <c r="H325" t="s">
        <v>447</v>
      </c>
      <c r="I325" t="s">
        <v>22</v>
      </c>
      <c r="J325" t="s">
        <v>31</v>
      </c>
      <c r="K325" t="s">
        <v>24</v>
      </c>
      <c r="L325" t="s">
        <v>25</v>
      </c>
      <c r="M325" s="8">
        <v>1.421</v>
      </c>
      <c r="N325" t="s">
        <v>26</v>
      </c>
      <c r="O325" s="8">
        <v>1.421</v>
      </c>
      <c r="P325" s="8">
        <f>EXP(-1.363+3.366*LOG(O325,10))</f>
        <v>0.42768500084673816</v>
      </c>
      <c r="Q325" s="8">
        <f>(321151.3*100)/5927002</f>
        <v>5.4184442657518925</v>
      </c>
    </row>
    <row r="326" spans="1:17" x14ac:dyDescent="0.2">
      <c r="A326">
        <v>2011</v>
      </c>
      <c r="B326" t="s">
        <v>456</v>
      </c>
      <c r="C326" t="s">
        <v>57</v>
      </c>
      <c r="D326" t="s">
        <v>58</v>
      </c>
      <c r="E326">
        <v>6</v>
      </c>
      <c r="F326" t="s">
        <v>19</v>
      </c>
      <c r="G326" t="s">
        <v>362</v>
      </c>
      <c r="H326" t="s">
        <v>447</v>
      </c>
      <c r="I326" t="s">
        <v>22</v>
      </c>
      <c r="J326" t="s">
        <v>31</v>
      </c>
      <c r="K326" t="s">
        <v>24</v>
      </c>
      <c r="L326" t="s">
        <v>25</v>
      </c>
      <c r="M326" s="8">
        <v>1.421</v>
      </c>
      <c r="N326" t="s">
        <v>26</v>
      </c>
      <c r="O326" s="8">
        <v>1.421</v>
      </c>
      <c r="P326" s="8">
        <f>EXP(-1.363+3.366*LOG(O326,10))</f>
        <v>0.42768500084673816</v>
      </c>
      <c r="Q326" s="8">
        <f>(321151.3*100)/5927002</f>
        <v>5.4184442657518925</v>
      </c>
    </row>
    <row r="327" spans="1:17" x14ac:dyDescent="0.2">
      <c r="A327">
        <v>2011</v>
      </c>
      <c r="B327" t="s">
        <v>457</v>
      </c>
      <c r="C327" t="s">
        <v>30</v>
      </c>
      <c r="D327" t="s">
        <v>63</v>
      </c>
      <c r="E327">
        <v>6</v>
      </c>
      <c r="F327" t="s">
        <v>19</v>
      </c>
      <c r="G327" t="s">
        <v>362</v>
      </c>
      <c r="H327" t="s">
        <v>447</v>
      </c>
      <c r="I327" t="s">
        <v>22</v>
      </c>
      <c r="J327" t="s">
        <v>31</v>
      </c>
      <c r="K327" t="s">
        <v>24</v>
      </c>
      <c r="L327" t="s">
        <v>25</v>
      </c>
      <c r="M327" s="8">
        <v>1.421</v>
      </c>
      <c r="N327" t="s">
        <v>26</v>
      </c>
      <c r="O327" s="8">
        <v>1.421</v>
      </c>
      <c r="P327" s="8">
        <f>EXP(-1.363+3.366*LOG(O327,10))</f>
        <v>0.42768500084673816</v>
      </c>
      <c r="Q327" s="8">
        <f>(34897.31*100)/4728180</f>
        <v>0.73807067412831151</v>
      </c>
    </row>
    <row r="328" spans="1:17" x14ac:dyDescent="0.2">
      <c r="A328">
        <v>2011</v>
      </c>
      <c r="B328" t="s">
        <v>458</v>
      </c>
      <c r="C328" t="s">
        <v>30</v>
      </c>
      <c r="D328" t="s">
        <v>63</v>
      </c>
      <c r="E328">
        <v>6</v>
      </c>
      <c r="F328" t="s">
        <v>19</v>
      </c>
      <c r="G328" t="s">
        <v>362</v>
      </c>
      <c r="H328" t="s">
        <v>447</v>
      </c>
      <c r="I328" t="s">
        <v>22</v>
      </c>
      <c r="J328" t="s">
        <v>31</v>
      </c>
      <c r="K328" t="s">
        <v>24</v>
      </c>
      <c r="L328" t="s">
        <v>25</v>
      </c>
      <c r="M328" s="8">
        <v>1.421</v>
      </c>
      <c r="N328" t="s">
        <v>26</v>
      </c>
      <c r="O328" s="8">
        <v>1.421</v>
      </c>
      <c r="P328" s="8">
        <f>EXP(-1.363+3.366*LOG(O328,10))</f>
        <v>0.42768500084673816</v>
      </c>
      <c r="Q328" s="8">
        <f>(34897.31*100)/4728180</f>
        <v>0.73807067412831151</v>
      </c>
    </row>
    <row r="329" spans="1:17" x14ac:dyDescent="0.2">
      <c r="A329">
        <v>2011</v>
      </c>
      <c r="B329" t="s">
        <v>459</v>
      </c>
      <c r="C329" t="s">
        <v>17</v>
      </c>
      <c r="D329" t="s">
        <v>63</v>
      </c>
      <c r="E329">
        <v>6</v>
      </c>
      <c r="F329" t="s">
        <v>19</v>
      </c>
      <c r="G329" t="s">
        <v>362</v>
      </c>
      <c r="H329" t="s">
        <v>447</v>
      </c>
      <c r="I329" t="s">
        <v>22</v>
      </c>
      <c r="J329" t="s">
        <v>23</v>
      </c>
      <c r="K329" t="s">
        <v>24</v>
      </c>
      <c r="L329" t="s">
        <v>25</v>
      </c>
      <c r="M329" s="8">
        <v>1.421</v>
      </c>
      <c r="N329" t="s">
        <v>26</v>
      </c>
      <c r="O329" s="8">
        <v>1.421</v>
      </c>
      <c r="P329" s="8">
        <f>EXP(-1.363+3.366*LOG(O329,10))</f>
        <v>0.42768500084673816</v>
      </c>
      <c r="Q329" s="8">
        <f>(605161.6*100)/5834449</f>
        <v>10.372215096918321</v>
      </c>
    </row>
    <row r="330" spans="1:17" x14ac:dyDescent="0.2">
      <c r="A330">
        <v>2011</v>
      </c>
      <c r="B330" t="s">
        <v>460</v>
      </c>
      <c r="C330" t="s">
        <v>94</v>
      </c>
      <c r="D330" t="s">
        <v>63</v>
      </c>
      <c r="E330">
        <v>6</v>
      </c>
      <c r="F330" t="s">
        <v>19</v>
      </c>
      <c r="G330" t="s">
        <v>362</v>
      </c>
      <c r="H330" t="s">
        <v>447</v>
      </c>
      <c r="I330" t="s">
        <v>22</v>
      </c>
      <c r="J330" t="s">
        <v>66</v>
      </c>
      <c r="K330" t="s">
        <v>24</v>
      </c>
      <c r="L330" t="s">
        <v>25</v>
      </c>
      <c r="M330" s="8">
        <v>1.421</v>
      </c>
      <c r="N330" t="s">
        <v>26</v>
      </c>
      <c r="O330" s="8">
        <v>1.421</v>
      </c>
      <c r="P330" s="8">
        <f>EXP(-1.363+3.366*LOG(O330,10))</f>
        <v>0.42768500084673816</v>
      </c>
      <c r="Q330" s="8">
        <f>(46623.23*100)/15165196</f>
        <v>0.30743572321782059</v>
      </c>
    </row>
    <row r="331" spans="1:17" x14ac:dyDescent="0.2">
      <c r="A331">
        <v>2011</v>
      </c>
      <c r="B331" t="s">
        <v>461</v>
      </c>
      <c r="C331" t="s">
        <v>94</v>
      </c>
      <c r="D331" t="s">
        <v>63</v>
      </c>
      <c r="E331">
        <v>6</v>
      </c>
      <c r="F331" t="s">
        <v>19</v>
      </c>
      <c r="G331" t="s">
        <v>362</v>
      </c>
      <c r="H331" t="s">
        <v>447</v>
      </c>
      <c r="I331" t="s">
        <v>22</v>
      </c>
      <c r="J331" t="s">
        <v>66</v>
      </c>
      <c r="K331" t="s">
        <v>24</v>
      </c>
      <c r="L331" t="s">
        <v>25</v>
      </c>
      <c r="M331" s="8">
        <v>1.421</v>
      </c>
      <c r="N331" t="s">
        <v>26</v>
      </c>
      <c r="O331" s="8">
        <v>1.421</v>
      </c>
      <c r="P331" s="8">
        <f>EXP(-1.363+3.366*LOG(O331,10))</f>
        <v>0.42768500084673816</v>
      </c>
      <c r="Q331" s="8">
        <f>(46623.23*100)/15165196</f>
        <v>0.30743572321782059</v>
      </c>
    </row>
    <row r="332" spans="1:17" x14ac:dyDescent="0.2">
      <c r="A332">
        <v>2011</v>
      </c>
      <c r="B332" t="s">
        <v>462</v>
      </c>
      <c r="C332" t="s">
        <v>94</v>
      </c>
      <c r="D332" t="s">
        <v>63</v>
      </c>
      <c r="E332">
        <v>6</v>
      </c>
      <c r="F332" t="s">
        <v>19</v>
      </c>
      <c r="G332" t="s">
        <v>362</v>
      </c>
      <c r="H332" t="s">
        <v>447</v>
      </c>
      <c r="I332" t="s">
        <v>22</v>
      </c>
      <c r="J332" t="s">
        <v>66</v>
      </c>
      <c r="K332" t="s">
        <v>24</v>
      </c>
      <c r="L332" t="s">
        <v>25</v>
      </c>
      <c r="M332" s="8">
        <v>1.421</v>
      </c>
      <c r="N332" t="s">
        <v>26</v>
      </c>
      <c r="O332" s="8">
        <v>1.421</v>
      </c>
      <c r="P332" s="8">
        <f>EXP(-1.363+3.366*LOG(O332,10))</f>
        <v>0.42768500084673816</v>
      </c>
      <c r="Q332" s="8">
        <f>(46623.23*100)/15165196</f>
        <v>0.30743572321782059</v>
      </c>
    </row>
    <row r="333" spans="1:17" x14ac:dyDescent="0.2">
      <c r="A333">
        <v>2011</v>
      </c>
      <c r="B333" t="s">
        <v>463</v>
      </c>
      <c r="C333" t="s">
        <v>94</v>
      </c>
      <c r="D333" t="s">
        <v>63</v>
      </c>
      <c r="E333">
        <v>6</v>
      </c>
      <c r="F333" t="s">
        <v>19</v>
      </c>
      <c r="G333" t="s">
        <v>362</v>
      </c>
      <c r="H333" t="s">
        <v>447</v>
      </c>
      <c r="I333" t="s">
        <v>22</v>
      </c>
      <c r="J333" t="s">
        <v>66</v>
      </c>
      <c r="K333" t="s">
        <v>24</v>
      </c>
      <c r="L333" t="s">
        <v>25</v>
      </c>
      <c r="M333" s="8">
        <v>1.421</v>
      </c>
      <c r="N333" t="s">
        <v>26</v>
      </c>
      <c r="O333" s="8">
        <v>1.421</v>
      </c>
      <c r="P333" s="8">
        <f>EXP(-1.363+3.366*LOG(O333,10))</f>
        <v>0.42768500084673816</v>
      </c>
      <c r="Q333" s="8">
        <f>(46623.23*100)/15165196</f>
        <v>0.30743572321782059</v>
      </c>
    </row>
    <row r="334" spans="1:17" x14ac:dyDescent="0.2">
      <c r="A334">
        <v>2011</v>
      </c>
      <c r="B334" t="s">
        <v>464</v>
      </c>
      <c r="C334" t="s">
        <v>94</v>
      </c>
      <c r="D334" t="s">
        <v>63</v>
      </c>
      <c r="E334">
        <v>6</v>
      </c>
      <c r="F334" t="s">
        <v>19</v>
      </c>
      <c r="G334" t="s">
        <v>362</v>
      </c>
      <c r="H334" t="s">
        <v>447</v>
      </c>
      <c r="I334" t="s">
        <v>22</v>
      </c>
      <c r="J334" t="s">
        <v>66</v>
      </c>
      <c r="K334" t="s">
        <v>24</v>
      </c>
      <c r="L334" t="s">
        <v>25</v>
      </c>
      <c r="M334" s="8">
        <v>1.421</v>
      </c>
      <c r="N334" t="s">
        <v>26</v>
      </c>
      <c r="O334" s="8">
        <v>1.421</v>
      </c>
      <c r="P334" s="8">
        <f>EXP(-1.363+3.366*LOG(O334,10))</f>
        <v>0.42768500084673816</v>
      </c>
      <c r="Q334" s="8">
        <f>(46623.23*100)/15165196</f>
        <v>0.30743572321782059</v>
      </c>
    </row>
    <row r="335" spans="1:17" x14ac:dyDescent="0.2">
      <c r="A335">
        <v>2011</v>
      </c>
      <c r="B335" t="s">
        <v>465</v>
      </c>
      <c r="C335" t="s">
        <v>94</v>
      </c>
      <c r="D335" t="s">
        <v>63</v>
      </c>
      <c r="E335">
        <v>6</v>
      </c>
      <c r="F335" t="s">
        <v>19</v>
      </c>
      <c r="G335" t="s">
        <v>362</v>
      </c>
      <c r="H335" t="s">
        <v>447</v>
      </c>
      <c r="I335" t="s">
        <v>22</v>
      </c>
      <c r="J335" t="s">
        <v>66</v>
      </c>
      <c r="K335" t="s">
        <v>24</v>
      </c>
      <c r="L335" t="s">
        <v>25</v>
      </c>
      <c r="M335" s="8">
        <v>1.421</v>
      </c>
      <c r="N335" t="s">
        <v>26</v>
      </c>
      <c r="O335" s="8">
        <v>1.421</v>
      </c>
      <c r="P335" s="8">
        <f>EXP(-1.363+3.366*LOG(O335,10))</f>
        <v>0.42768500084673816</v>
      </c>
      <c r="Q335" s="8">
        <f>(46623.23*100)/15165196</f>
        <v>0.30743572321782059</v>
      </c>
    </row>
    <row r="336" spans="1:17" x14ac:dyDescent="0.2">
      <c r="A336">
        <v>2011</v>
      </c>
      <c r="B336" t="s">
        <v>466</v>
      </c>
      <c r="C336" t="s">
        <v>94</v>
      </c>
      <c r="D336" t="s">
        <v>63</v>
      </c>
      <c r="E336">
        <v>6</v>
      </c>
      <c r="F336" t="s">
        <v>19</v>
      </c>
      <c r="G336" t="s">
        <v>362</v>
      </c>
      <c r="H336" t="s">
        <v>447</v>
      </c>
      <c r="I336" t="s">
        <v>22</v>
      </c>
      <c r="J336" t="s">
        <v>66</v>
      </c>
      <c r="K336" t="s">
        <v>24</v>
      </c>
      <c r="L336" t="s">
        <v>25</v>
      </c>
      <c r="M336" s="8">
        <v>1.421</v>
      </c>
      <c r="N336" t="s">
        <v>26</v>
      </c>
      <c r="O336" s="8">
        <v>1.421</v>
      </c>
      <c r="P336" s="8">
        <f>EXP(-1.363+3.366*LOG(O336,10))</f>
        <v>0.42768500084673816</v>
      </c>
      <c r="Q336" s="8">
        <f>(46623.23*100)/15165196</f>
        <v>0.30743572321782059</v>
      </c>
    </row>
    <row r="337" spans="1:17" x14ac:dyDescent="0.2">
      <c r="A337">
        <v>2011</v>
      </c>
      <c r="B337" t="s">
        <v>467</v>
      </c>
      <c r="C337" t="s">
        <v>65</v>
      </c>
      <c r="D337" t="s">
        <v>58</v>
      </c>
      <c r="E337">
        <v>6</v>
      </c>
      <c r="F337" t="s">
        <v>19</v>
      </c>
      <c r="G337" t="s">
        <v>362</v>
      </c>
      <c r="H337" t="s">
        <v>447</v>
      </c>
      <c r="I337" t="s">
        <v>22</v>
      </c>
      <c r="J337" t="s">
        <v>66</v>
      </c>
      <c r="K337" t="s">
        <v>24</v>
      </c>
      <c r="L337" t="s">
        <v>25</v>
      </c>
      <c r="M337" s="8">
        <v>1.421</v>
      </c>
      <c r="N337" t="s">
        <v>26</v>
      </c>
      <c r="O337" s="8">
        <v>1.421</v>
      </c>
      <c r="P337" s="8">
        <f>EXP(-1.363+3.366*LOG(O337,10))</f>
        <v>0.42768500084673816</v>
      </c>
      <c r="Q337" s="8">
        <f>(1788886*100)/6788946</f>
        <v>26.349981278389901</v>
      </c>
    </row>
    <row r="338" spans="1:17" x14ac:dyDescent="0.2">
      <c r="A338">
        <v>2011</v>
      </c>
      <c r="B338" t="s">
        <v>468</v>
      </c>
      <c r="C338" t="s">
        <v>30</v>
      </c>
      <c r="D338" t="s">
        <v>95</v>
      </c>
      <c r="E338">
        <v>7</v>
      </c>
      <c r="F338" t="s">
        <v>19</v>
      </c>
      <c r="G338" t="s">
        <v>362</v>
      </c>
      <c r="H338" t="s">
        <v>447</v>
      </c>
      <c r="I338" t="s">
        <v>22</v>
      </c>
      <c r="J338" t="s">
        <v>31</v>
      </c>
      <c r="K338" t="s">
        <v>24</v>
      </c>
      <c r="L338" t="s">
        <v>25</v>
      </c>
      <c r="M338" s="8">
        <v>1.421</v>
      </c>
      <c r="N338" t="s">
        <v>26</v>
      </c>
      <c r="O338" s="8">
        <v>1.421</v>
      </c>
      <c r="P338" s="8">
        <f>EXP(-1.363+3.366*LOG(O338,10))</f>
        <v>0.42768500084673816</v>
      </c>
      <c r="Q338" s="8">
        <f>(34897.31*100)/4728180</f>
        <v>0.73807067412831151</v>
      </c>
    </row>
    <row r="339" spans="1:17" x14ac:dyDescent="0.2">
      <c r="A339">
        <v>2011</v>
      </c>
      <c r="B339" t="s">
        <v>469</v>
      </c>
      <c r="C339" t="s">
        <v>30</v>
      </c>
      <c r="D339" t="s">
        <v>63</v>
      </c>
      <c r="E339">
        <v>6</v>
      </c>
      <c r="F339" t="s">
        <v>19</v>
      </c>
      <c r="G339" t="s">
        <v>362</v>
      </c>
      <c r="H339" t="s">
        <v>447</v>
      </c>
      <c r="I339" t="s">
        <v>22</v>
      </c>
      <c r="J339" t="s">
        <v>31</v>
      </c>
      <c r="K339" t="s">
        <v>24</v>
      </c>
      <c r="L339" t="s">
        <v>25</v>
      </c>
      <c r="M339" s="8">
        <v>1.421</v>
      </c>
      <c r="N339" t="s">
        <v>26</v>
      </c>
      <c r="O339" s="8">
        <v>1.421</v>
      </c>
      <c r="P339" s="8">
        <f>EXP(-1.363+3.366*LOG(O339,10))</f>
        <v>0.42768500084673816</v>
      </c>
      <c r="Q339" s="8">
        <f>(34897.31*100)/4728180</f>
        <v>0.73807067412831151</v>
      </c>
    </row>
    <row r="340" spans="1:17" x14ac:dyDescent="0.2">
      <c r="A340">
        <v>2011</v>
      </c>
      <c r="B340" t="s">
        <v>470</v>
      </c>
      <c r="C340" t="s">
        <v>94</v>
      </c>
      <c r="D340" t="s">
        <v>95</v>
      </c>
      <c r="E340">
        <v>7</v>
      </c>
      <c r="F340" t="s">
        <v>19</v>
      </c>
      <c r="G340" t="s">
        <v>362</v>
      </c>
      <c r="H340" t="s">
        <v>447</v>
      </c>
      <c r="I340" t="s">
        <v>22</v>
      </c>
      <c r="J340" t="s">
        <v>66</v>
      </c>
      <c r="K340" t="s">
        <v>24</v>
      </c>
      <c r="L340" t="s">
        <v>25</v>
      </c>
      <c r="M340" s="8">
        <v>1.421</v>
      </c>
      <c r="N340" t="s">
        <v>26</v>
      </c>
      <c r="O340" s="8">
        <v>1.421</v>
      </c>
      <c r="P340" s="8">
        <f>EXP(-1.363+3.366*LOG(O340,10))</f>
        <v>0.42768500084673816</v>
      </c>
      <c r="Q340" s="8">
        <f>(46623.23*100)/15165196</f>
        <v>0.30743572321782059</v>
      </c>
    </row>
    <row r="341" spans="1:17" x14ac:dyDescent="0.2">
      <c r="A341">
        <v>2011</v>
      </c>
      <c r="B341" t="s">
        <v>471</v>
      </c>
      <c r="C341" t="s">
        <v>94</v>
      </c>
      <c r="D341" t="s">
        <v>95</v>
      </c>
      <c r="E341">
        <v>7</v>
      </c>
      <c r="F341" t="s">
        <v>19</v>
      </c>
      <c r="G341" t="s">
        <v>362</v>
      </c>
      <c r="H341" t="s">
        <v>447</v>
      </c>
      <c r="I341" t="s">
        <v>22</v>
      </c>
      <c r="J341" t="s">
        <v>66</v>
      </c>
      <c r="K341" t="s">
        <v>24</v>
      </c>
      <c r="L341" t="s">
        <v>25</v>
      </c>
      <c r="M341" s="8">
        <v>1.421</v>
      </c>
      <c r="N341" t="s">
        <v>26</v>
      </c>
      <c r="O341" s="8">
        <v>1.421</v>
      </c>
      <c r="P341" s="8">
        <f>EXP(-1.363+3.366*LOG(O341,10))</f>
        <v>0.42768500084673816</v>
      </c>
      <c r="Q341" s="8">
        <f>(46623.23*100)/15165196</f>
        <v>0.30743572321782059</v>
      </c>
    </row>
    <row r="342" spans="1:17" x14ac:dyDescent="0.2">
      <c r="A342">
        <v>2011</v>
      </c>
      <c r="B342" t="s">
        <v>472</v>
      </c>
      <c r="C342" t="s">
        <v>94</v>
      </c>
      <c r="D342" t="s">
        <v>95</v>
      </c>
      <c r="E342">
        <v>7</v>
      </c>
      <c r="F342" t="s">
        <v>19</v>
      </c>
      <c r="G342" t="s">
        <v>362</v>
      </c>
      <c r="H342" t="s">
        <v>447</v>
      </c>
      <c r="I342" t="s">
        <v>22</v>
      </c>
      <c r="J342" t="s">
        <v>66</v>
      </c>
      <c r="K342" t="s">
        <v>24</v>
      </c>
      <c r="L342" t="s">
        <v>25</v>
      </c>
      <c r="M342" s="8">
        <v>1.421</v>
      </c>
      <c r="N342" t="s">
        <v>26</v>
      </c>
      <c r="O342" s="8">
        <v>1.421</v>
      </c>
      <c r="P342" s="8">
        <f>EXP(-1.363+3.366*LOG(O342,10))</f>
        <v>0.42768500084673816</v>
      </c>
      <c r="Q342" s="8">
        <f>(46623.23*100)/15165196</f>
        <v>0.30743572321782059</v>
      </c>
    </row>
    <row r="343" spans="1:17" x14ac:dyDescent="0.2">
      <c r="A343">
        <v>2011</v>
      </c>
      <c r="B343" t="s">
        <v>473</v>
      </c>
      <c r="C343" t="s">
        <v>94</v>
      </c>
      <c r="D343" t="s">
        <v>95</v>
      </c>
      <c r="E343">
        <v>7</v>
      </c>
      <c r="F343" t="s">
        <v>19</v>
      </c>
      <c r="G343" t="s">
        <v>362</v>
      </c>
      <c r="H343" t="s">
        <v>447</v>
      </c>
      <c r="I343" t="s">
        <v>22</v>
      </c>
      <c r="J343" t="s">
        <v>66</v>
      </c>
      <c r="K343" t="s">
        <v>24</v>
      </c>
      <c r="L343" t="s">
        <v>25</v>
      </c>
      <c r="M343" s="8">
        <v>1.421</v>
      </c>
      <c r="N343" t="s">
        <v>26</v>
      </c>
      <c r="O343" s="8">
        <v>1.421</v>
      </c>
      <c r="P343" s="8">
        <f>EXP(-1.363+3.366*LOG(O343,10))</f>
        <v>0.42768500084673816</v>
      </c>
      <c r="Q343" s="8">
        <f>(46623.23*100)/15165196</f>
        <v>0.30743572321782059</v>
      </c>
    </row>
    <row r="344" spans="1:17" x14ac:dyDescent="0.2">
      <c r="A344">
        <v>2011</v>
      </c>
      <c r="B344" t="s">
        <v>474</v>
      </c>
      <c r="C344" t="s">
        <v>94</v>
      </c>
      <c r="D344" t="s">
        <v>95</v>
      </c>
      <c r="E344">
        <v>7</v>
      </c>
      <c r="F344" t="s">
        <v>19</v>
      </c>
      <c r="G344" t="s">
        <v>362</v>
      </c>
      <c r="H344" t="s">
        <v>447</v>
      </c>
      <c r="I344" t="s">
        <v>22</v>
      </c>
      <c r="J344" t="s">
        <v>66</v>
      </c>
      <c r="K344" t="s">
        <v>24</v>
      </c>
      <c r="L344" t="s">
        <v>25</v>
      </c>
      <c r="M344" s="8">
        <v>1.421</v>
      </c>
      <c r="N344" t="s">
        <v>26</v>
      </c>
      <c r="O344" s="8">
        <v>1.421</v>
      </c>
      <c r="P344" s="8">
        <f>EXP(-1.363+3.366*LOG(O344,10))</f>
        <v>0.42768500084673816</v>
      </c>
      <c r="Q344" s="8">
        <f>(46623.23*100)/15165196</f>
        <v>0.30743572321782059</v>
      </c>
    </row>
    <row r="345" spans="1:17" x14ac:dyDescent="0.2">
      <c r="A345">
        <v>2011</v>
      </c>
      <c r="B345" t="s">
        <v>475</v>
      </c>
      <c r="C345" t="s">
        <v>65</v>
      </c>
      <c r="D345" t="s">
        <v>71</v>
      </c>
      <c r="E345">
        <v>7</v>
      </c>
      <c r="F345" t="s">
        <v>19</v>
      </c>
      <c r="G345" t="s">
        <v>362</v>
      </c>
      <c r="H345" t="s">
        <v>447</v>
      </c>
      <c r="I345" t="s">
        <v>22</v>
      </c>
      <c r="J345" t="s">
        <v>66</v>
      </c>
      <c r="K345" t="s">
        <v>24</v>
      </c>
      <c r="L345" t="s">
        <v>25</v>
      </c>
      <c r="M345" s="8">
        <v>1.421</v>
      </c>
      <c r="N345" t="s">
        <v>26</v>
      </c>
      <c r="O345" s="8">
        <v>1.421</v>
      </c>
      <c r="P345" s="8">
        <f>EXP(-1.363+3.366*LOG(O345,10))</f>
        <v>0.42768500084673816</v>
      </c>
      <c r="Q345" s="8">
        <f>(1788886*100)/6788946</f>
        <v>26.349981278389901</v>
      </c>
    </row>
    <row r="346" spans="1:17" x14ac:dyDescent="0.2">
      <c r="A346">
        <v>2011</v>
      </c>
      <c r="B346" t="s">
        <v>476</v>
      </c>
      <c r="C346" t="s">
        <v>65</v>
      </c>
      <c r="D346" t="s">
        <v>71</v>
      </c>
      <c r="E346">
        <v>7</v>
      </c>
      <c r="F346" t="s">
        <v>19</v>
      </c>
      <c r="G346" t="s">
        <v>362</v>
      </c>
      <c r="H346" t="s">
        <v>447</v>
      </c>
      <c r="I346" t="s">
        <v>22</v>
      </c>
      <c r="J346" t="s">
        <v>66</v>
      </c>
      <c r="K346" t="s">
        <v>24</v>
      </c>
      <c r="L346" t="s">
        <v>25</v>
      </c>
      <c r="M346" s="8">
        <v>1.421</v>
      </c>
      <c r="N346" t="s">
        <v>26</v>
      </c>
      <c r="O346" s="8">
        <v>1.421</v>
      </c>
      <c r="P346" s="8">
        <f>EXP(-1.363+3.366*LOG(O346,10))</f>
        <v>0.42768500084673816</v>
      </c>
      <c r="Q346" s="8">
        <f>(1788886*100)/6788946</f>
        <v>26.349981278389901</v>
      </c>
    </row>
    <row r="347" spans="1:17" x14ac:dyDescent="0.2">
      <c r="A347">
        <v>2011</v>
      </c>
      <c r="B347" t="s">
        <v>477</v>
      </c>
      <c r="C347" t="s">
        <v>17</v>
      </c>
      <c r="D347" t="s">
        <v>95</v>
      </c>
      <c r="E347">
        <v>7</v>
      </c>
      <c r="F347" t="s">
        <v>19</v>
      </c>
      <c r="G347" t="s">
        <v>362</v>
      </c>
      <c r="H347" t="s">
        <v>447</v>
      </c>
      <c r="I347" t="s">
        <v>22</v>
      </c>
      <c r="J347" t="s">
        <v>23</v>
      </c>
      <c r="K347" t="s">
        <v>24</v>
      </c>
      <c r="L347" t="s">
        <v>25</v>
      </c>
      <c r="M347" s="8">
        <v>1.421</v>
      </c>
      <c r="N347" t="s">
        <v>26</v>
      </c>
      <c r="O347" s="8">
        <v>1.421</v>
      </c>
      <c r="P347" s="8">
        <f>EXP(-1.363+3.366*LOG(O347,10))</f>
        <v>0.42768500084673816</v>
      </c>
      <c r="Q347" s="8">
        <f>(605161.6*100)/5834449</f>
        <v>10.372215096918321</v>
      </c>
    </row>
    <row r="348" spans="1:17" x14ac:dyDescent="0.2">
      <c r="A348">
        <v>2011</v>
      </c>
      <c r="B348" t="s">
        <v>478</v>
      </c>
      <c r="C348" t="s">
        <v>52</v>
      </c>
      <c r="D348" t="s">
        <v>58</v>
      </c>
      <c r="E348">
        <v>6</v>
      </c>
      <c r="F348" t="s">
        <v>19</v>
      </c>
      <c r="G348" t="s">
        <v>362</v>
      </c>
      <c r="H348" t="s">
        <v>447</v>
      </c>
      <c r="I348" t="s">
        <v>22</v>
      </c>
      <c r="J348" t="s">
        <v>42</v>
      </c>
      <c r="K348" t="s">
        <v>24</v>
      </c>
      <c r="L348" t="s">
        <v>25</v>
      </c>
      <c r="M348" s="8">
        <v>1.421</v>
      </c>
      <c r="N348" t="s">
        <v>26</v>
      </c>
      <c r="O348" s="8">
        <v>1.421</v>
      </c>
      <c r="P348" s="8">
        <f>EXP(-1.363+3.366*LOG(O348,10))</f>
        <v>0.42768500084673816</v>
      </c>
      <c r="Q348" s="8">
        <f>(1626350*100)/1973941</f>
        <v>82.391013713175823</v>
      </c>
    </row>
    <row r="349" spans="1:17" x14ac:dyDescent="0.2">
      <c r="A349">
        <v>2011</v>
      </c>
      <c r="B349" t="s">
        <v>479</v>
      </c>
      <c r="C349" t="s">
        <v>89</v>
      </c>
      <c r="D349" t="s">
        <v>53</v>
      </c>
      <c r="E349">
        <v>6</v>
      </c>
      <c r="F349" t="s">
        <v>19</v>
      </c>
      <c r="G349" t="s">
        <v>352</v>
      </c>
      <c r="H349" t="s">
        <v>480</v>
      </c>
      <c r="I349" t="s">
        <v>22</v>
      </c>
      <c r="J349" t="s">
        <v>66</v>
      </c>
      <c r="K349" t="s">
        <v>24</v>
      </c>
      <c r="L349" t="s">
        <v>25</v>
      </c>
      <c r="M349" s="8" t="s">
        <v>26</v>
      </c>
      <c r="N349" t="s">
        <v>26</v>
      </c>
      <c r="O349" s="8">
        <v>1.298</v>
      </c>
      <c r="P349" s="8">
        <f>EXP(-1.363+3.366*LOG(O349,10))</f>
        <v>0.37466709829475997</v>
      </c>
      <c r="Q349" s="8">
        <f>(61997.93*100)/7298102</f>
        <v>0.84950758430068529</v>
      </c>
    </row>
    <row r="350" spans="1:17" x14ac:dyDescent="0.2">
      <c r="A350">
        <v>2011</v>
      </c>
      <c r="B350" t="s">
        <v>481</v>
      </c>
      <c r="C350" t="s">
        <v>89</v>
      </c>
      <c r="D350" t="s">
        <v>53</v>
      </c>
      <c r="E350">
        <v>6</v>
      </c>
      <c r="F350" t="s">
        <v>19</v>
      </c>
      <c r="G350" t="s">
        <v>352</v>
      </c>
      <c r="H350" t="s">
        <v>480</v>
      </c>
      <c r="I350" t="s">
        <v>22</v>
      </c>
      <c r="J350" t="s">
        <v>66</v>
      </c>
      <c r="K350" t="s">
        <v>24</v>
      </c>
      <c r="L350" t="s">
        <v>25</v>
      </c>
      <c r="M350" s="8" t="s">
        <v>26</v>
      </c>
      <c r="N350" t="s">
        <v>26</v>
      </c>
      <c r="O350" s="8">
        <v>1.298</v>
      </c>
      <c r="P350" s="8">
        <f>EXP(-1.363+3.366*LOG(O350,10))</f>
        <v>0.37466709829475997</v>
      </c>
      <c r="Q350" s="8">
        <f>(61997.93*100)/7298102</f>
        <v>0.84950758430068529</v>
      </c>
    </row>
    <row r="351" spans="1:17" x14ac:dyDescent="0.2">
      <c r="A351">
        <v>2011</v>
      </c>
      <c r="B351" t="s">
        <v>482</v>
      </c>
      <c r="C351" t="s">
        <v>89</v>
      </c>
      <c r="D351" t="s">
        <v>53</v>
      </c>
      <c r="E351">
        <v>6</v>
      </c>
      <c r="F351" t="s">
        <v>19</v>
      </c>
      <c r="G351" t="s">
        <v>352</v>
      </c>
      <c r="H351" t="s">
        <v>480</v>
      </c>
      <c r="I351" t="s">
        <v>22</v>
      </c>
      <c r="J351" t="s">
        <v>66</v>
      </c>
      <c r="K351" t="s">
        <v>24</v>
      </c>
      <c r="L351" t="s">
        <v>25</v>
      </c>
      <c r="M351" s="8" t="s">
        <v>26</v>
      </c>
      <c r="N351" t="s">
        <v>26</v>
      </c>
      <c r="O351" s="8" t="s">
        <v>26</v>
      </c>
      <c r="P351" s="8" t="s">
        <v>26</v>
      </c>
      <c r="Q351" s="8">
        <f>(61997.93*100)/7298102</f>
        <v>0.84950758430068529</v>
      </c>
    </row>
    <row r="352" spans="1:17" x14ac:dyDescent="0.2">
      <c r="A352">
        <v>2011</v>
      </c>
      <c r="B352" t="s">
        <v>483</v>
      </c>
      <c r="C352" t="s">
        <v>89</v>
      </c>
      <c r="D352" t="s">
        <v>190</v>
      </c>
      <c r="E352">
        <v>7</v>
      </c>
      <c r="F352" t="s">
        <v>19</v>
      </c>
      <c r="G352" t="s">
        <v>352</v>
      </c>
      <c r="H352" t="s">
        <v>480</v>
      </c>
      <c r="I352" t="s">
        <v>22</v>
      </c>
      <c r="J352" t="s">
        <v>66</v>
      </c>
      <c r="K352" t="s">
        <v>24</v>
      </c>
      <c r="L352" t="s">
        <v>25</v>
      </c>
      <c r="M352" s="8" t="s">
        <v>26</v>
      </c>
      <c r="N352" t="s">
        <v>26</v>
      </c>
      <c r="O352" s="8" t="s">
        <v>26</v>
      </c>
      <c r="P352" s="8" t="s">
        <v>26</v>
      </c>
      <c r="Q352" s="8">
        <f>(61997.93*100)/7298102</f>
        <v>0.84950758430068529</v>
      </c>
    </row>
    <row r="353" spans="1:17" x14ac:dyDescent="0.2">
      <c r="A353">
        <v>2011</v>
      </c>
      <c r="B353" t="s">
        <v>484</v>
      </c>
      <c r="C353" t="s">
        <v>89</v>
      </c>
      <c r="D353" t="s">
        <v>40</v>
      </c>
      <c r="E353">
        <v>6</v>
      </c>
      <c r="F353" t="s">
        <v>19</v>
      </c>
      <c r="G353" t="s">
        <v>352</v>
      </c>
      <c r="H353" t="s">
        <v>485</v>
      </c>
      <c r="I353" t="s">
        <v>22</v>
      </c>
      <c r="J353" t="s">
        <v>66</v>
      </c>
      <c r="K353" t="s">
        <v>24</v>
      </c>
      <c r="L353" t="s">
        <v>25</v>
      </c>
      <c r="M353" s="8" t="s">
        <v>26</v>
      </c>
      <c r="N353" t="s">
        <v>26</v>
      </c>
      <c r="O353" s="8" t="s">
        <v>26</v>
      </c>
      <c r="P353" s="8" t="s">
        <v>26</v>
      </c>
      <c r="Q353" s="8">
        <f>(61997.93*100)/7298102</f>
        <v>0.84950758430068529</v>
      </c>
    </row>
    <row r="354" spans="1:17" x14ac:dyDescent="0.2">
      <c r="A354">
        <v>2011</v>
      </c>
      <c r="B354" t="s">
        <v>486</v>
      </c>
      <c r="C354" t="s">
        <v>89</v>
      </c>
      <c r="D354" t="s">
        <v>40</v>
      </c>
      <c r="E354">
        <v>6</v>
      </c>
      <c r="F354" t="s">
        <v>19</v>
      </c>
      <c r="G354" t="s">
        <v>352</v>
      </c>
      <c r="H354" t="s">
        <v>485</v>
      </c>
      <c r="I354" t="s">
        <v>22</v>
      </c>
      <c r="J354" t="s">
        <v>66</v>
      </c>
      <c r="K354" t="s">
        <v>24</v>
      </c>
      <c r="L354" t="s">
        <v>25</v>
      </c>
      <c r="M354" s="8" t="s">
        <v>26</v>
      </c>
      <c r="N354" t="s">
        <v>26</v>
      </c>
      <c r="O354" s="8" t="s">
        <v>26</v>
      </c>
      <c r="P354" s="8" t="s">
        <v>26</v>
      </c>
      <c r="Q354" s="8">
        <f>(61997.93*100)/7298102</f>
        <v>0.84950758430068529</v>
      </c>
    </row>
    <row r="355" spans="1:17" x14ac:dyDescent="0.2">
      <c r="A355">
        <v>2011</v>
      </c>
      <c r="B355" t="s">
        <v>487</v>
      </c>
      <c r="C355" t="s">
        <v>89</v>
      </c>
      <c r="D355" t="s">
        <v>40</v>
      </c>
      <c r="E355">
        <v>6</v>
      </c>
      <c r="F355" t="s">
        <v>19</v>
      </c>
      <c r="G355" t="s">
        <v>352</v>
      </c>
      <c r="H355" t="s">
        <v>485</v>
      </c>
      <c r="I355" t="s">
        <v>22</v>
      </c>
      <c r="J355" t="s">
        <v>66</v>
      </c>
      <c r="K355" t="s">
        <v>24</v>
      </c>
      <c r="L355" t="s">
        <v>25</v>
      </c>
      <c r="M355" s="8" t="s">
        <v>26</v>
      </c>
      <c r="N355" t="s">
        <v>26</v>
      </c>
      <c r="O355" s="8" t="s">
        <v>26</v>
      </c>
      <c r="P355" s="8" t="s">
        <v>26</v>
      </c>
      <c r="Q355" s="8">
        <f>(61997.93*100)/7298102</f>
        <v>0.84950758430068529</v>
      </c>
    </row>
    <row r="356" spans="1:17" x14ac:dyDescent="0.2">
      <c r="A356">
        <v>2011</v>
      </c>
      <c r="B356" t="s">
        <v>488</v>
      </c>
      <c r="C356" t="s">
        <v>89</v>
      </c>
      <c r="D356" t="s">
        <v>40</v>
      </c>
      <c r="E356">
        <v>6</v>
      </c>
      <c r="F356" t="s">
        <v>19</v>
      </c>
      <c r="G356" t="s">
        <v>352</v>
      </c>
      <c r="H356" t="s">
        <v>485</v>
      </c>
      <c r="I356" t="s">
        <v>22</v>
      </c>
      <c r="J356" t="s">
        <v>66</v>
      </c>
      <c r="K356" t="s">
        <v>24</v>
      </c>
      <c r="L356" t="s">
        <v>25</v>
      </c>
      <c r="M356" s="8" t="s">
        <v>26</v>
      </c>
      <c r="N356" t="s">
        <v>26</v>
      </c>
      <c r="O356" s="8" t="s">
        <v>26</v>
      </c>
      <c r="P356" s="8" t="s">
        <v>26</v>
      </c>
      <c r="Q356" s="8">
        <f>(61997.93*100)/7298102</f>
        <v>0.84950758430068529</v>
      </c>
    </row>
    <row r="357" spans="1:17" x14ac:dyDescent="0.2">
      <c r="A357">
        <v>2011</v>
      </c>
      <c r="B357" t="s">
        <v>489</v>
      </c>
      <c r="C357" t="s">
        <v>89</v>
      </c>
      <c r="D357" t="s">
        <v>40</v>
      </c>
      <c r="E357">
        <v>6</v>
      </c>
      <c r="F357" t="s">
        <v>19</v>
      </c>
      <c r="G357" t="s">
        <v>352</v>
      </c>
      <c r="H357" t="s">
        <v>485</v>
      </c>
      <c r="I357" t="s">
        <v>22</v>
      </c>
      <c r="J357" t="s">
        <v>66</v>
      </c>
      <c r="K357" t="s">
        <v>24</v>
      </c>
      <c r="L357" t="s">
        <v>25</v>
      </c>
      <c r="M357" s="8" t="s">
        <v>26</v>
      </c>
      <c r="N357" t="s">
        <v>26</v>
      </c>
      <c r="O357" s="8" t="s">
        <v>26</v>
      </c>
      <c r="P357" s="8" t="s">
        <v>26</v>
      </c>
      <c r="Q357" s="8">
        <f>(61997.93*100)/7298102</f>
        <v>0.84950758430068529</v>
      </c>
    </row>
    <row r="358" spans="1:17" x14ac:dyDescent="0.2">
      <c r="A358">
        <v>2011</v>
      </c>
      <c r="B358" t="s">
        <v>490</v>
      </c>
      <c r="C358" t="s">
        <v>52</v>
      </c>
      <c r="D358" t="s">
        <v>44</v>
      </c>
      <c r="E358">
        <v>5</v>
      </c>
      <c r="F358" t="s">
        <v>19</v>
      </c>
      <c r="G358" t="s">
        <v>352</v>
      </c>
      <c r="H358" t="s">
        <v>491</v>
      </c>
      <c r="I358" t="s">
        <v>22</v>
      </c>
      <c r="J358" t="s">
        <v>42</v>
      </c>
      <c r="K358" t="s">
        <v>24</v>
      </c>
      <c r="L358" t="s">
        <v>25</v>
      </c>
      <c r="M358" s="8">
        <v>1.298</v>
      </c>
      <c r="N358" t="s">
        <v>26</v>
      </c>
      <c r="O358" s="8">
        <v>1.298</v>
      </c>
      <c r="P358" s="8">
        <f>EXP(-1.363+3.366*LOG(O358,10))</f>
        <v>0.37466709829475997</v>
      </c>
      <c r="Q358" s="8">
        <f>(1626350*100)/1973941</f>
        <v>82.391013713175823</v>
      </c>
    </row>
    <row r="359" spans="1:17" x14ac:dyDescent="0.2">
      <c r="A359">
        <v>2011</v>
      </c>
      <c r="B359" t="s">
        <v>492</v>
      </c>
      <c r="C359" t="s">
        <v>34</v>
      </c>
      <c r="D359" t="s">
        <v>53</v>
      </c>
      <c r="E359">
        <v>6</v>
      </c>
      <c r="F359" t="s">
        <v>19</v>
      </c>
      <c r="G359" t="s">
        <v>352</v>
      </c>
      <c r="H359" t="s">
        <v>491</v>
      </c>
      <c r="I359" t="s">
        <v>22</v>
      </c>
      <c r="J359" t="s">
        <v>23</v>
      </c>
      <c r="K359" t="s">
        <v>24</v>
      </c>
      <c r="L359" t="s">
        <v>25</v>
      </c>
      <c r="M359" s="8">
        <v>1.298</v>
      </c>
      <c r="N359" t="s">
        <v>26</v>
      </c>
      <c r="O359" s="8">
        <v>1.298</v>
      </c>
      <c r="P359" s="8">
        <f>EXP(-1.363+3.366*LOG(O359,10))</f>
        <v>0.37466709829475997</v>
      </c>
      <c r="Q359" s="8">
        <f>(1478835*100)/2190162</f>
        <v>67.5217175715769</v>
      </c>
    </row>
    <row r="360" spans="1:17" x14ac:dyDescent="0.2">
      <c r="A360">
        <v>2011</v>
      </c>
      <c r="B360" t="s">
        <v>493</v>
      </c>
      <c r="C360" t="s">
        <v>52</v>
      </c>
      <c r="D360" t="s">
        <v>147</v>
      </c>
      <c r="E360">
        <v>4</v>
      </c>
      <c r="F360" t="s">
        <v>19</v>
      </c>
      <c r="G360" t="s">
        <v>352</v>
      </c>
      <c r="H360" t="s">
        <v>494</v>
      </c>
      <c r="I360" t="s">
        <v>22</v>
      </c>
      <c r="J360" t="s">
        <v>42</v>
      </c>
      <c r="K360" t="s">
        <v>24</v>
      </c>
      <c r="L360" t="s">
        <v>25</v>
      </c>
      <c r="M360" s="8">
        <v>1.7226666669999999</v>
      </c>
      <c r="N360" t="s">
        <v>26</v>
      </c>
      <c r="O360" s="8">
        <v>1.7226666669999999</v>
      </c>
      <c r="P360" s="8">
        <f>EXP(-1.363+3.366*LOG(O360,10))</f>
        <v>0.56668788662759551</v>
      </c>
      <c r="Q360" s="8">
        <f>(1626350*100)/1973941</f>
        <v>82.391013713175823</v>
      </c>
    </row>
    <row r="361" spans="1:17" x14ac:dyDescent="0.2">
      <c r="A361">
        <v>2011</v>
      </c>
      <c r="B361" t="s">
        <v>495</v>
      </c>
      <c r="C361" t="s">
        <v>52</v>
      </c>
      <c r="D361" t="s">
        <v>79</v>
      </c>
      <c r="E361">
        <v>6</v>
      </c>
      <c r="F361" t="s">
        <v>19</v>
      </c>
      <c r="G361" t="s">
        <v>352</v>
      </c>
      <c r="H361" t="s">
        <v>494</v>
      </c>
      <c r="I361" t="s">
        <v>22</v>
      </c>
      <c r="J361" t="s">
        <v>42</v>
      </c>
      <c r="K361" t="s">
        <v>24</v>
      </c>
      <c r="L361" t="s">
        <v>25</v>
      </c>
      <c r="M361" s="8">
        <v>1.7226666669999999</v>
      </c>
      <c r="N361" t="s">
        <v>26</v>
      </c>
      <c r="O361" s="8">
        <v>1.7226666669999999</v>
      </c>
      <c r="P361" s="8">
        <f>EXP(-1.363+3.366*LOG(O361,10))</f>
        <v>0.56668788662759551</v>
      </c>
      <c r="Q361" s="8">
        <f>(1626350*100)/1973941</f>
        <v>82.391013713175823</v>
      </c>
    </row>
    <row r="362" spans="1:17" x14ac:dyDescent="0.2">
      <c r="A362">
        <v>2011</v>
      </c>
      <c r="B362" t="s">
        <v>496</v>
      </c>
      <c r="C362" t="s">
        <v>120</v>
      </c>
      <c r="D362" t="s">
        <v>58</v>
      </c>
      <c r="E362">
        <v>6</v>
      </c>
      <c r="F362" t="s">
        <v>19</v>
      </c>
      <c r="G362" t="s">
        <v>352</v>
      </c>
      <c r="H362" t="s">
        <v>494</v>
      </c>
      <c r="I362" t="s">
        <v>22</v>
      </c>
      <c r="J362" t="s">
        <v>23</v>
      </c>
      <c r="K362" t="s">
        <v>24</v>
      </c>
      <c r="L362" t="s">
        <v>25</v>
      </c>
      <c r="M362" s="8">
        <v>1.7226666669999999</v>
      </c>
      <c r="N362" t="s">
        <v>26</v>
      </c>
      <c r="O362" s="8">
        <v>1.7226666669999999</v>
      </c>
      <c r="P362" s="8">
        <f>EXP(-1.363+3.366*LOG(O362,10))</f>
        <v>0.56668788662759551</v>
      </c>
      <c r="Q362" s="8">
        <f>(2256192*100)/6055896</f>
        <v>37.256121967748456</v>
      </c>
    </row>
    <row r="363" spans="1:17" x14ac:dyDescent="0.2">
      <c r="A363">
        <v>2011</v>
      </c>
      <c r="B363" t="s">
        <v>497</v>
      </c>
      <c r="C363" t="s">
        <v>30</v>
      </c>
      <c r="D363" t="s">
        <v>95</v>
      </c>
      <c r="E363">
        <v>7</v>
      </c>
      <c r="F363" t="s">
        <v>19</v>
      </c>
      <c r="G363" t="s">
        <v>352</v>
      </c>
      <c r="H363" t="s">
        <v>494</v>
      </c>
      <c r="I363" t="s">
        <v>22</v>
      </c>
      <c r="J363" t="s">
        <v>31</v>
      </c>
      <c r="K363" t="s">
        <v>24</v>
      </c>
      <c r="L363" t="s">
        <v>25</v>
      </c>
      <c r="M363" s="8">
        <v>1.7226666669999999</v>
      </c>
      <c r="N363" t="s">
        <v>26</v>
      </c>
      <c r="O363" s="8">
        <v>1.7226666669999999</v>
      </c>
      <c r="P363" s="8">
        <f>EXP(-1.363+3.366*LOG(O363,10))</f>
        <v>0.56668788662759551</v>
      </c>
      <c r="Q363" s="8">
        <f>(34897.31*100)/4728180</f>
        <v>0.73807067412831151</v>
      </c>
    </row>
    <row r="364" spans="1:17" x14ac:dyDescent="0.2">
      <c r="A364">
        <v>2011</v>
      </c>
      <c r="B364" t="s">
        <v>498</v>
      </c>
      <c r="C364" t="s">
        <v>30</v>
      </c>
      <c r="D364" t="s">
        <v>95</v>
      </c>
      <c r="E364">
        <v>7</v>
      </c>
      <c r="F364" t="s">
        <v>19</v>
      </c>
      <c r="G364" t="s">
        <v>352</v>
      </c>
      <c r="H364" t="s">
        <v>494</v>
      </c>
      <c r="I364" t="s">
        <v>22</v>
      </c>
      <c r="J364" t="s">
        <v>31</v>
      </c>
      <c r="K364" t="s">
        <v>24</v>
      </c>
      <c r="L364" t="s">
        <v>25</v>
      </c>
      <c r="M364" s="8">
        <v>1.7226666669999999</v>
      </c>
      <c r="N364" t="s">
        <v>26</v>
      </c>
      <c r="O364" s="8">
        <v>1.7226666669999999</v>
      </c>
      <c r="P364" s="8">
        <f>EXP(-1.363+3.366*LOG(O364,10))</f>
        <v>0.56668788662759551</v>
      </c>
      <c r="Q364" s="8">
        <f>(34897.31*100)/4728180</f>
        <v>0.73807067412831151</v>
      </c>
    </row>
    <row r="365" spans="1:17" x14ac:dyDescent="0.2">
      <c r="A365">
        <v>2011</v>
      </c>
      <c r="B365" t="s">
        <v>499</v>
      </c>
      <c r="C365" t="s">
        <v>57</v>
      </c>
      <c r="D365" t="s">
        <v>58</v>
      </c>
      <c r="E365">
        <v>6</v>
      </c>
      <c r="F365" t="s">
        <v>19</v>
      </c>
      <c r="G365" t="s">
        <v>352</v>
      </c>
      <c r="H365" t="s">
        <v>494</v>
      </c>
      <c r="I365" t="s">
        <v>22</v>
      </c>
      <c r="J365" t="s">
        <v>31</v>
      </c>
      <c r="K365" t="s">
        <v>24</v>
      </c>
      <c r="L365" t="s">
        <v>25</v>
      </c>
      <c r="M365" s="8">
        <v>1.7226666669999999</v>
      </c>
      <c r="N365" t="s">
        <v>26</v>
      </c>
      <c r="O365" s="8">
        <v>1.7226666669999999</v>
      </c>
      <c r="P365" s="8">
        <f>EXP(-1.363+3.366*LOG(O365,10))</f>
        <v>0.56668788662759551</v>
      </c>
      <c r="Q365" s="8">
        <f>(321151.3*100)/5927002</f>
        <v>5.4184442657518925</v>
      </c>
    </row>
    <row r="366" spans="1:17" x14ac:dyDescent="0.2">
      <c r="A366">
        <v>2011</v>
      </c>
      <c r="B366" t="s">
        <v>500</v>
      </c>
      <c r="C366" t="s">
        <v>57</v>
      </c>
      <c r="D366" t="s">
        <v>58</v>
      </c>
      <c r="E366">
        <v>6</v>
      </c>
      <c r="F366" t="s">
        <v>19</v>
      </c>
      <c r="G366" t="s">
        <v>352</v>
      </c>
      <c r="H366" t="s">
        <v>494</v>
      </c>
      <c r="I366" t="s">
        <v>22</v>
      </c>
      <c r="J366" t="s">
        <v>31</v>
      </c>
      <c r="K366" t="s">
        <v>24</v>
      </c>
      <c r="L366" t="s">
        <v>25</v>
      </c>
      <c r="M366" s="8">
        <v>1.7226666669999999</v>
      </c>
      <c r="N366" t="s">
        <v>26</v>
      </c>
      <c r="O366" s="8">
        <v>1.7226666669999999</v>
      </c>
      <c r="P366" s="8">
        <f>EXP(-1.363+3.366*LOG(O366,10))</f>
        <v>0.56668788662759551</v>
      </c>
      <c r="Q366" s="8">
        <f>(321151.3*100)/5927002</f>
        <v>5.4184442657518925</v>
      </c>
    </row>
    <row r="367" spans="1:17" x14ac:dyDescent="0.2">
      <c r="A367">
        <v>2011</v>
      </c>
      <c r="B367" t="s">
        <v>501</v>
      </c>
      <c r="C367" t="s">
        <v>57</v>
      </c>
      <c r="D367" t="s">
        <v>58</v>
      </c>
      <c r="E367">
        <v>6</v>
      </c>
      <c r="F367" t="s">
        <v>19</v>
      </c>
      <c r="G367" t="s">
        <v>352</v>
      </c>
      <c r="H367" t="s">
        <v>494</v>
      </c>
      <c r="I367" t="s">
        <v>22</v>
      </c>
      <c r="J367" t="s">
        <v>31</v>
      </c>
      <c r="K367" t="s">
        <v>24</v>
      </c>
      <c r="L367" t="s">
        <v>25</v>
      </c>
      <c r="M367" s="8">
        <v>1.7226666669999999</v>
      </c>
      <c r="N367" t="s">
        <v>26</v>
      </c>
      <c r="O367" s="8">
        <v>1.7226666669999999</v>
      </c>
      <c r="P367" s="8">
        <f>EXP(-1.363+3.366*LOG(O367,10))</f>
        <v>0.56668788662759551</v>
      </c>
      <c r="Q367" s="8">
        <f>(321151.3*100)/5927002</f>
        <v>5.4184442657518925</v>
      </c>
    </row>
    <row r="368" spans="1:17" x14ac:dyDescent="0.2">
      <c r="A368">
        <v>2011</v>
      </c>
      <c r="B368" t="s">
        <v>502</v>
      </c>
      <c r="C368" t="s">
        <v>57</v>
      </c>
      <c r="D368" t="s">
        <v>58</v>
      </c>
      <c r="E368">
        <v>6</v>
      </c>
      <c r="F368" t="s">
        <v>19</v>
      </c>
      <c r="G368" t="s">
        <v>352</v>
      </c>
      <c r="H368" t="s">
        <v>494</v>
      </c>
      <c r="I368" t="s">
        <v>22</v>
      </c>
      <c r="J368" t="s">
        <v>31</v>
      </c>
      <c r="K368" t="s">
        <v>24</v>
      </c>
      <c r="L368" t="s">
        <v>25</v>
      </c>
      <c r="M368" s="8">
        <v>1.7226666669999999</v>
      </c>
      <c r="N368" t="s">
        <v>26</v>
      </c>
      <c r="O368" s="8">
        <v>1.7226666669999999</v>
      </c>
      <c r="P368" s="8">
        <f>EXP(-1.363+3.366*LOG(O368,10))</f>
        <v>0.56668788662759551</v>
      </c>
      <c r="Q368" s="8">
        <f>(321151.3*100)/5927002</f>
        <v>5.4184442657518925</v>
      </c>
    </row>
    <row r="369" spans="1:17" x14ac:dyDescent="0.2">
      <c r="A369">
        <v>2011</v>
      </c>
      <c r="B369" t="s">
        <v>503</v>
      </c>
      <c r="C369" t="s">
        <v>94</v>
      </c>
      <c r="D369" t="s">
        <v>63</v>
      </c>
      <c r="E369">
        <v>6</v>
      </c>
      <c r="F369" t="s">
        <v>19</v>
      </c>
      <c r="G369" t="s">
        <v>352</v>
      </c>
      <c r="H369" t="s">
        <v>494</v>
      </c>
      <c r="I369" t="s">
        <v>22</v>
      </c>
      <c r="J369" t="s">
        <v>66</v>
      </c>
      <c r="K369" t="s">
        <v>24</v>
      </c>
      <c r="L369" t="s">
        <v>25</v>
      </c>
      <c r="M369" s="8">
        <v>1.7226666669999999</v>
      </c>
      <c r="N369" t="s">
        <v>26</v>
      </c>
      <c r="O369" s="8">
        <v>1.7226666669999999</v>
      </c>
      <c r="P369" s="8">
        <f>EXP(-1.363+3.366*LOG(O369,10))</f>
        <v>0.56668788662759551</v>
      </c>
      <c r="Q369" s="8">
        <f>(46623.23*100)/15165196</f>
        <v>0.30743572321782059</v>
      </c>
    </row>
    <row r="370" spans="1:17" x14ac:dyDescent="0.2">
      <c r="A370">
        <v>2011</v>
      </c>
      <c r="B370" t="s">
        <v>504</v>
      </c>
      <c r="C370" t="s">
        <v>94</v>
      </c>
      <c r="D370" t="s">
        <v>63</v>
      </c>
      <c r="E370">
        <v>6</v>
      </c>
      <c r="F370" t="s">
        <v>19</v>
      </c>
      <c r="G370" t="s">
        <v>352</v>
      </c>
      <c r="H370" t="s">
        <v>494</v>
      </c>
      <c r="I370" t="s">
        <v>22</v>
      </c>
      <c r="J370" t="s">
        <v>66</v>
      </c>
      <c r="K370" t="s">
        <v>24</v>
      </c>
      <c r="L370" t="s">
        <v>25</v>
      </c>
      <c r="M370" s="8">
        <v>1.7226666669999999</v>
      </c>
      <c r="N370" t="s">
        <v>26</v>
      </c>
      <c r="O370" s="8">
        <v>1.7226666669999999</v>
      </c>
      <c r="P370" s="8">
        <f>EXP(-1.363+3.366*LOG(O370,10))</f>
        <v>0.56668788662759551</v>
      </c>
      <c r="Q370" s="8">
        <f>(46623.23*100)/15165196</f>
        <v>0.30743572321782059</v>
      </c>
    </row>
    <row r="371" spans="1:17" x14ac:dyDescent="0.2">
      <c r="A371">
        <v>2011</v>
      </c>
      <c r="B371" t="s">
        <v>505</v>
      </c>
      <c r="C371" t="s">
        <v>94</v>
      </c>
      <c r="D371" t="s">
        <v>95</v>
      </c>
      <c r="E371">
        <v>7</v>
      </c>
      <c r="F371" t="s">
        <v>19</v>
      </c>
      <c r="G371" t="s">
        <v>352</v>
      </c>
      <c r="H371" t="s">
        <v>494</v>
      </c>
      <c r="I371" t="s">
        <v>22</v>
      </c>
      <c r="J371" t="s">
        <v>66</v>
      </c>
      <c r="K371" t="s">
        <v>24</v>
      </c>
      <c r="L371" t="s">
        <v>25</v>
      </c>
      <c r="M371" s="8">
        <v>1.7226666669999999</v>
      </c>
      <c r="N371" t="s">
        <v>26</v>
      </c>
      <c r="O371" s="8">
        <v>1.7226666669999999</v>
      </c>
      <c r="P371" s="8">
        <f>EXP(-1.363+3.366*LOG(O371,10))</f>
        <v>0.56668788662759551</v>
      </c>
      <c r="Q371" s="8">
        <f>(46623.23*100)/15165196</f>
        <v>0.30743572321782059</v>
      </c>
    </row>
    <row r="372" spans="1:17" x14ac:dyDescent="0.2">
      <c r="A372">
        <v>2011</v>
      </c>
      <c r="B372" t="s">
        <v>506</v>
      </c>
      <c r="C372" t="s">
        <v>94</v>
      </c>
      <c r="D372" t="s">
        <v>95</v>
      </c>
      <c r="E372">
        <v>7</v>
      </c>
      <c r="F372" t="s">
        <v>19</v>
      </c>
      <c r="G372" t="s">
        <v>352</v>
      </c>
      <c r="H372" t="s">
        <v>494</v>
      </c>
      <c r="I372" t="s">
        <v>22</v>
      </c>
      <c r="J372" t="s">
        <v>66</v>
      </c>
      <c r="K372" t="s">
        <v>24</v>
      </c>
      <c r="L372" t="s">
        <v>25</v>
      </c>
      <c r="M372" s="8">
        <v>1.7226666669999999</v>
      </c>
      <c r="N372" t="s">
        <v>26</v>
      </c>
      <c r="O372" s="8">
        <v>1.7226666669999999</v>
      </c>
      <c r="P372" s="8">
        <f>EXP(-1.363+3.366*LOG(O372,10))</f>
        <v>0.56668788662759551</v>
      </c>
      <c r="Q372" s="8">
        <f>(46623.23*100)/15165196</f>
        <v>0.30743572321782059</v>
      </c>
    </row>
    <row r="373" spans="1:17" x14ac:dyDescent="0.2">
      <c r="A373">
        <v>2011</v>
      </c>
      <c r="B373" t="s">
        <v>507</v>
      </c>
      <c r="C373" t="s">
        <v>17</v>
      </c>
      <c r="D373" t="s">
        <v>100</v>
      </c>
      <c r="E373">
        <v>7</v>
      </c>
      <c r="F373" t="s">
        <v>19</v>
      </c>
      <c r="G373" t="s">
        <v>352</v>
      </c>
      <c r="H373" t="s">
        <v>494</v>
      </c>
      <c r="I373" t="s">
        <v>22</v>
      </c>
      <c r="J373" t="s">
        <v>23</v>
      </c>
      <c r="K373" t="s">
        <v>24</v>
      </c>
      <c r="L373" t="s">
        <v>25</v>
      </c>
      <c r="M373" s="8">
        <v>1.7226666669999999</v>
      </c>
      <c r="N373" t="s">
        <v>26</v>
      </c>
      <c r="O373" s="8">
        <v>1.7226666669999999</v>
      </c>
      <c r="P373" s="8">
        <f>EXP(-1.363+3.366*LOG(O373,10))</f>
        <v>0.56668788662759551</v>
      </c>
      <c r="Q373" s="8">
        <f>(605161.6*100)/5834449</f>
        <v>10.372215096918321</v>
      </c>
    </row>
    <row r="374" spans="1:17" x14ac:dyDescent="0.2">
      <c r="A374">
        <v>2011</v>
      </c>
      <c r="B374" t="s">
        <v>508</v>
      </c>
      <c r="C374" t="s">
        <v>94</v>
      </c>
      <c r="D374" t="s">
        <v>100</v>
      </c>
      <c r="E374">
        <v>7</v>
      </c>
      <c r="F374" t="s">
        <v>19</v>
      </c>
      <c r="G374" t="s">
        <v>352</v>
      </c>
      <c r="H374" t="s">
        <v>494</v>
      </c>
      <c r="I374" t="s">
        <v>22</v>
      </c>
      <c r="J374" t="s">
        <v>66</v>
      </c>
      <c r="K374" t="s">
        <v>24</v>
      </c>
      <c r="L374" t="s">
        <v>25</v>
      </c>
      <c r="M374" s="8">
        <v>1.7226666669999999</v>
      </c>
      <c r="N374" t="s">
        <v>26</v>
      </c>
      <c r="O374" s="8">
        <v>1.7226666669999999</v>
      </c>
      <c r="P374" s="8">
        <f>EXP(-1.363+3.366*LOG(O374,10))</f>
        <v>0.56668788662759551</v>
      </c>
      <c r="Q374" s="8">
        <f>(46623.23*100)/15165196</f>
        <v>0.30743572321782059</v>
      </c>
    </row>
    <row r="375" spans="1:17" x14ac:dyDescent="0.2">
      <c r="A375">
        <v>2011</v>
      </c>
      <c r="B375" t="s">
        <v>509</v>
      </c>
      <c r="C375" t="s">
        <v>60</v>
      </c>
      <c r="D375" t="s">
        <v>53</v>
      </c>
      <c r="E375">
        <v>6</v>
      </c>
      <c r="F375" t="s">
        <v>19</v>
      </c>
      <c r="G375" t="s">
        <v>352</v>
      </c>
      <c r="H375" t="s">
        <v>494</v>
      </c>
      <c r="I375" t="s">
        <v>22</v>
      </c>
      <c r="J375" t="s">
        <v>31</v>
      </c>
      <c r="K375" t="s">
        <v>24</v>
      </c>
      <c r="L375" t="s">
        <v>25</v>
      </c>
      <c r="M375" s="8">
        <v>1.7226666669999999</v>
      </c>
      <c r="N375" t="s">
        <v>26</v>
      </c>
      <c r="O375" s="8">
        <v>1.7226666669999999</v>
      </c>
      <c r="P375" s="8">
        <f>EXP(-1.363+3.366*LOG(O375,10))</f>
        <v>0.56668788662759551</v>
      </c>
      <c r="Q375" s="8">
        <f>(27433.05*100)/7611378</f>
        <v>0.36042159514348127</v>
      </c>
    </row>
    <row r="376" spans="1:17" x14ac:dyDescent="0.2">
      <c r="A376">
        <v>2011</v>
      </c>
      <c r="B376" t="s">
        <v>510</v>
      </c>
      <c r="C376" t="s">
        <v>34</v>
      </c>
      <c r="D376" t="s">
        <v>53</v>
      </c>
      <c r="E376">
        <v>6</v>
      </c>
      <c r="F376" t="s">
        <v>19</v>
      </c>
      <c r="G376" t="s">
        <v>352</v>
      </c>
      <c r="H376" t="s">
        <v>494</v>
      </c>
      <c r="I376" t="s">
        <v>22</v>
      </c>
      <c r="J376" t="s">
        <v>23</v>
      </c>
      <c r="K376" t="s">
        <v>24</v>
      </c>
      <c r="L376" t="s">
        <v>25</v>
      </c>
      <c r="M376" s="8">
        <v>1.7226666669999999</v>
      </c>
      <c r="N376" t="s">
        <v>26</v>
      </c>
      <c r="O376" s="8">
        <v>1.7226666669999999</v>
      </c>
      <c r="P376" s="8">
        <f>EXP(-1.363+3.366*LOG(O376,10))</f>
        <v>0.56668788662759551</v>
      </c>
      <c r="Q376" s="8">
        <f>(1478835*100)/2190162</f>
        <v>67.5217175715769</v>
      </c>
    </row>
    <row r="377" spans="1:17" x14ac:dyDescent="0.2">
      <c r="A377">
        <v>2011</v>
      </c>
      <c r="B377" t="s">
        <v>511</v>
      </c>
      <c r="C377" t="s">
        <v>89</v>
      </c>
      <c r="D377" t="s">
        <v>53</v>
      </c>
      <c r="E377">
        <v>6</v>
      </c>
      <c r="F377" t="s">
        <v>19</v>
      </c>
      <c r="G377" t="s">
        <v>352</v>
      </c>
      <c r="H377" t="s">
        <v>494</v>
      </c>
      <c r="I377" t="s">
        <v>22</v>
      </c>
      <c r="J377" t="s">
        <v>66</v>
      </c>
      <c r="K377" t="s">
        <v>24</v>
      </c>
      <c r="L377" t="s">
        <v>25</v>
      </c>
      <c r="M377" s="8">
        <v>1.7226666669999999</v>
      </c>
      <c r="N377" t="s">
        <v>26</v>
      </c>
      <c r="O377" s="8">
        <v>1.7226666669999999</v>
      </c>
      <c r="P377" s="8">
        <f>EXP(-1.363+3.366*LOG(O377,10))</f>
        <v>0.56668788662759551</v>
      </c>
      <c r="Q377" s="8">
        <f>(61997.93*100)/7298102</f>
        <v>0.84950758430068529</v>
      </c>
    </row>
    <row r="378" spans="1:17" x14ac:dyDescent="0.2">
      <c r="A378">
        <v>2011</v>
      </c>
      <c r="B378" t="s">
        <v>512</v>
      </c>
      <c r="C378" t="s">
        <v>34</v>
      </c>
      <c r="D378" t="s">
        <v>40</v>
      </c>
      <c r="E378">
        <v>6</v>
      </c>
      <c r="F378" t="s">
        <v>19</v>
      </c>
      <c r="G378" t="s">
        <v>352</v>
      </c>
      <c r="H378" t="s">
        <v>494</v>
      </c>
      <c r="I378" t="s">
        <v>22</v>
      </c>
      <c r="J378" t="s">
        <v>23</v>
      </c>
      <c r="K378" t="s">
        <v>24</v>
      </c>
      <c r="L378" t="s">
        <v>25</v>
      </c>
      <c r="M378" s="8">
        <v>1.7226666669999999</v>
      </c>
      <c r="N378" t="s">
        <v>26</v>
      </c>
      <c r="O378" s="8">
        <v>1.7226666669999999</v>
      </c>
      <c r="P378" s="8">
        <f>EXP(-1.363+3.366*LOG(O378,10))</f>
        <v>0.56668788662759551</v>
      </c>
      <c r="Q378" s="8">
        <f>(1478835*100)/2190162</f>
        <v>67.5217175715769</v>
      </c>
    </row>
    <row r="379" spans="1:17" x14ac:dyDescent="0.2">
      <c r="A379">
        <v>2011</v>
      </c>
      <c r="B379" t="s">
        <v>513</v>
      </c>
      <c r="C379" t="s">
        <v>57</v>
      </c>
      <c r="D379" t="s">
        <v>71</v>
      </c>
      <c r="E379">
        <v>7</v>
      </c>
      <c r="F379" t="s">
        <v>19</v>
      </c>
      <c r="G379" t="s">
        <v>352</v>
      </c>
      <c r="H379" t="s">
        <v>494</v>
      </c>
      <c r="I379" t="s">
        <v>22</v>
      </c>
      <c r="J379" t="s">
        <v>31</v>
      </c>
      <c r="K379" t="s">
        <v>24</v>
      </c>
      <c r="L379" t="s">
        <v>25</v>
      </c>
      <c r="M379" s="8">
        <v>1.7226666669999999</v>
      </c>
      <c r="N379" t="s">
        <v>26</v>
      </c>
      <c r="O379" s="8">
        <v>1.7226666669999999</v>
      </c>
      <c r="P379" s="8">
        <f>EXP(-1.363+3.366*LOG(O379,10))</f>
        <v>0.56668788662759551</v>
      </c>
      <c r="Q379" s="8">
        <f>(321151.3*100)/5927002</f>
        <v>5.4184442657518925</v>
      </c>
    </row>
    <row r="380" spans="1:17" x14ac:dyDescent="0.2">
      <c r="A380">
        <v>2011</v>
      </c>
      <c r="B380" t="s">
        <v>514</v>
      </c>
      <c r="C380" t="s">
        <v>120</v>
      </c>
      <c r="D380" t="s">
        <v>71</v>
      </c>
      <c r="E380">
        <v>7</v>
      </c>
      <c r="F380" t="s">
        <v>19</v>
      </c>
      <c r="G380" t="s">
        <v>352</v>
      </c>
      <c r="H380" t="s">
        <v>494</v>
      </c>
      <c r="I380" t="s">
        <v>22</v>
      </c>
      <c r="J380" t="s">
        <v>23</v>
      </c>
      <c r="K380" t="s">
        <v>24</v>
      </c>
      <c r="L380" t="s">
        <v>25</v>
      </c>
      <c r="M380" s="8">
        <v>1.7226666669999999</v>
      </c>
      <c r="N380" t="s">
        <v>26</v>
      </c>
      <c r="O380" s="8">
        <v>1.7226666669999999</v>
      </c>
      <c r="P380" s="8">
        <f>EXP(-1.363+3.366*LOG(O380,10))</f>
        <v>0.56668788662759551</v>
      </c>
      <c r="Q380" s="8">
        <f>(2256192*100)/6055896</f>
        <v>37.256121967748456</v>
      </c>
    </row>
    <row r="381" spans="1:17" x14ac:dyDescent="0.2">
      <c r="A381">
        <v>2011</v>
      </c>
      <c r="B381" t="s">
        <v>515</v>
      </c>
      <c r="C381" t="s">
        <v>120</v>
      </c>
      <c r="D381" t="s">
        <v>71</v>
      </c>
      <c r="E381">
        <v>7</v>
      </c>
      <c r="F381" t="s">
        <v>19</v>
      </c>
      <c r="G381" t="s">
        <v>352</v>
      </c>
      <c r="H381" t="s">
        <v>494</v>
      </c>
      <c r="I381" t="s">
        <v>22</v>
      </c>
      <c r="J381" t="s">
        <v>23</v>
      </c>
      <c r="K381" t="s">
        <v>24</v>
      </c>
      <c r="L381" t="s">
        <v>25</v>
      </c>
      <c r="M381" s="8">
        <v>1.7226666669999999</v>
      </c>
      <c r="N381" t="s">
        <v>26</v>
      </c>
      <c r="O381" s="8">
        <v>1.7226666669999999</v>
      </c>
      <c r="P381" s="8">
        <f>EXP(-1.363+3.366*LOG(O381,10))</f>
        <v>0.56668788662759551</v>
      </c>
      <c r="Q381" s="8">
        <f>(2256192*100)/6055896</f>
        <v>37.256121967748456</v>
      </c>
    </row>
    <row r="382" spans="1:17" x14ac:dyDescent="0.2">
      <c r="A382">
        <v>2011</v>
      </c>
      <c r="B382" t="s">
        <v>516</v>
      </c>
      <c r="C382" t="s">
        <v>120</v>
      </c>
      <c r="D382" t="s">
        <v>71</v>
      </c>
      <c r="E382">
        <v>7</v>
      </c>
      <c r="F382" t="s">
        <v>19</v>
      </c>
      <c r="G382" t="s">
        <v>352</v>
      </c>
      <c r="H382" t="s">
        <v>494</v>
      </c>
      <c r="I382" t="s">
        <v>22</v>
      </c>
      <c r="J382" t="s">
        <v>23</v>
      </c>
      <c r="K382" t="s">
        <v>24</v>
      </c>
      <c r="L382" t="s">
        <v>25</v>
      </c>
      <c r="M382" s="8">
        <v>1.7226666669999999</v>
      </c>
      <c r="N382" t="s">
        <v>26</v>
      </c>
      <c r="O382" s="8">
        <v>1.7226666669999999</v>
      </c>
      <c r="P382" s="8">
        <f>EXP(-1.363+3.366*LOG(O382,10))</f>
        <v>0.56668788662759551</v>
      </c>
      <c r="Q382" s="8">
        <f>(2256192*100)/6055896</f>
        <v>37.256121967748456</v>
      </c>
    </row>
    <row r="383" spans="1:17" x14ac:dyDescent="0.2">
      <c r="A383">
        <v>2011</v>
      </c>
      <c r="B383" t="s">
        <v>517</v>
      </c>
      <c r="C383" t="s">
        <v>65</v>
      </c>
      <c r="D383" t="s">
        <v>71</v>
      </c>
      <c r="E383">
        <v>7</v>
      </c>
      <c r="F383" t="s">
        <v>19</v>
      </c>
      <c r="G383" t="s">
        <v>352</v>
      </c>
      <c r="H383" t="s">
        <v>494</v>
      </c>
      <c r="I383" t="s">
        <v>22</v>
      </c>
      <c r="J383" t="s">
        <v>66</v>
      </c>
      <c r="K383" t="s">
        <v>24</v>
      </c>
      <c r="L383" t="s">
        <v>25</v>
      </c>
      <c r="M383" s="8">
        <v>1.7226666669999999</v>
      </c>
      <c r="N383" t="s">
        <v>26</v>
      </c>
      <c r="O383" s="8">
        <v>1.7226666669999999</v>
      </c>
      <c r="P383" s="8">
        <f>EXP(-1.363+3.366*LOG(O383,10))</f>
        <v>0.56668788662759551</v>
      </c>
      <c r="Q383" s="8">
        <f>(1788886*100)/6788946</f>
        <v>26.349981278389901</v>
      </c>
    </row>
    <row r="384" spans="1:17" x14ac:dyDescent="0.2">
      <c r="A384">
        <v>2011</v>
      </c>
      <c r="B384" t="s">
        <v>518</v>
      </c>
      <c r="C384" t="s">
        <v>89</v>
      </c>
      <c r="D384" t="s">
        <v>53</v>
      </c>
      <c r="E384">
        <v>6</v>
      </c>
      <c r="F384" t="s">
        <v>19</v>
      </c>
      <c r="G384" t="s">
        <v>352</v>
      </c>
      <c r="H384" t="s">
        <v>494</v>
      </c>
      <c r="I384" t="s">
        <v>22</v>
      </c>
      <c r="J384" t="s">
        <v>66</v>
      </c>
      <c r="K384" t="s">
        <v>24</v>
      </c>
      <c r="L384" t="s">
        <v>25</v>
      </c>
      <c r="M384" s="8">
        <v>1.7226666669999999</v>
      </c>
      <c r="N384" t="s">
        <v>26</v>
      </c>
      <c r="O384" s="8">
        <v>1.7226666669999999</v>
      </c>
      <c r="P384" s="8">
        <f>EXP(-1.363+3.366*LOG(O384,10))</f>
        <v>0.56668788662759551</v>
      </c>
      <c r="Q384" s="8">
        <f>(61997.93*100)/7298102</f>
        <v>0.84950758430068529</v>
      </c>
    </row>
    <row r="385" spans="1:17" x14ac:dyDescent="0.2">
      <c r="A385">
        <v>2011</v>
      </c>
      <c r="B385" t="s">
        <v>519</v>
      </c>
      <c r="C385" t="s">
        <v>120</v>
      </c>
      <c r="D385" t="s">
        <v>58</v>
      </c>
      <c r="E385">
        <v>6</v>
      </c>
      <c r="F385" t="s">
        <v>19</v>
      </c>
      <c r="G385" t="s">
        <v>352</v>
      </c>
      <c r="H385" t="s">
        <v>494</v>
      </c>
      <c r="I385" t="s">
        <v>22</v>
      </c>
      <c r="J385" t="s">
        <v>23</v>
      </c>
      <c r="K385" t="s">
        <v>24</v>
      </c>
      <c r="L385" t="s">
        <v>25</v>
      </c>
      <c r="M385" s="8">
        <v>1.7226666669999999</v>
      </c>
      <c r="N385" t="s">
        <v>26</v>
      </c>
      <c r="O385" s="8">
        <v>1.7226666669999999</v>
      </c>
      <c r="P385" s="8">
        <f>EXP(-1.363+3.366*LOG(O385,10))</f>
        <v>0.56668788662759551</v>
      </c>
      <c r="Q385" s="8">
        <f>(2256192*100)/6055896</f>
        <v>37.256121967748456</v>
      </c>
    </row>
    <row r="386" spans="1:17" x14ac:dyDescent="0.2">
      <c r="A386">
        <v>2011</v>
      </c>
      <c r="B386" t="s">
        <v>520</v>
      </c>
      <c r="C386" t="s">
        <v>57</v>
      </c>
      <c r="D386" t="s">
        <v>71</v>
      </c>
      <c r="E386">
        <v>7</v>
      </c>
      <c r="F386" t="s">
        <v>19</v>
      </c>
      <c r="G386" t="s">
        <v>352</v>
      </c>
      <c r="H386" t="s">
        <v>494</v>
      </c>
      <c r="I386" t="s">
        <v>22</v>
      </c>
      <c r="J386" t="s">
        <v>31</v>
      </c>
      <c r="K386" t="s">
        <v>24</v>
      </c>
      <c r="L386" t="s">
        <v>25</v>
      </c>
      <c r="M386" s="8">
        <v>1.7226666669999999</v>
      </c>
      <c r="N386" t="s">
        <v>26</v>
      </c>
      <c r="O386" s="8">
        <v>1.7226666669999999</v>
      </c>
      <c r="P386" s="8">
        <f>EXP(-1.363+3.366*LOG(O386,10))</f>
        <v>0.56668788662759551</v>
      </c>
      <c r="Q386" s="8">
        <f>(321151.3*100)/5927002</f>
        <v>5.4184442657518925</v>
      </c>
    </row>
    <row r="387" spans="1:17" x14ac:dyDescent="0.2">
      <c r="A387">
        <v>2011</v>
      </c>
      <c r="B387" t="s">
        <v>521</v>
      </c>
      <c r="C387" t="s">
        <v>57</v>
      </c>
      <c r="D387" t="s">
        <v>71</v>
      </c>
      <c r="E387">
        <v>7</v>
      </c>
      <c r="F387" t="s">
        <v>19</v>
      </c>
      <c r="G387" t="s">
        <v>352</v>
      </c>
      <c r="H387" t="s">
        <v>494</v>
      </c>
      <c r="I387" t="s">
        <v>22</v>
      </c>
      <c r="J387" t="s">
        <v>31</v>
      </c>
      <c r="K387" t="s">
        <v>24</v>
      </c>
      <c r="L387" t="s">
        <v>25</v>
      </c>
      <c r="M387" s="8">
        <v>1.7226666669999999</v>
      </c>
      <c r="N387" t="s">
        <v>26</v>
      </c>
      <c r="O387" s="8">
        <v>1.7226666669999999</v>
      </c>
      <c r="P387" s="8">
        <f>EXP(-1.363+3.366*LOG(O387,10))</f>
        <v>0.56668788662759551</v>
      </c>
      <c r="Q387" s="8">
        <f>(321151.3*100)/5927002</f>
        <v>5.4184442657518925</v>
      </c>
    </row>
    <row r="388" spans="1:17" x14ac:dyDescent="0.2">
      <c r="A388">
        <v>2011</v>
      </c>
      <c r="B388" t="s">
        <v>522</v>
      </c>
      <c r="C388" t="s">
        <v>60</v>
      </c>
      <c r="D388" t="s">
        <v>61</v>
      </c>
      <c r="E388">
        <v>6</v>
      </c>
      <c r="F388" t="s">
        <v>19</v>
      </c>
      <c r="G388" t="s">
        <v>352</v>
      </c>
      <c r="H388" t="s">
        <v>494</v>
      </c>
      <c r="I388" t="s">
        <v>22</v>
      </c>
      <c r="J388" t="s">
        <v>31</v>
      </c>
      <c r="K388" t="s">
        <v>24</v>
      </c>
      <c r="L388" t="s">
        <v>25</v>
      </c>
      <c r="M388" s="8">
        <v>1.7226666669999999</v>
      </c>
      <c r="N388" t="s">
        <v>26</v>
      </c>
      <c r="O388" s="8">
        <v>1.7226666669999999</v>
      </c>
      <c r="P388" s="8">
        <f>EXP(-1.363+3.366*LOG(O388,10))</f>
        <v>0.56668788662759551</v>
      </c>
      <c r="Q388" s="8">
        <f>(27433.05*100)/7611378</f>
        <v>0.36042159514348127</v>
      </c>
    </row>
    <row r="389" spans="1:17" x14ac:dyDescent="0.2">
      <c r="A389">
        <v>2011</v>
      </c>
      <c r="B389" t="s">
        <v>523</v>
      </c>
      <c r="C389" t="s">
        <v>60</v>
      </c>
      <c r="D389" t="s">
        <v>61</v>
      </c>
      <c r="E389">
        <v>6</v>
      </c>
      <c r="F389" t="s">
        <v>19</v>
      </c>
      <c r="G389" t="s">
        <v>352</v>
      </c>
      <c r="H389" t="s">
        <v>494</v>
      </c>
      <c r="I389" t="s">
        <v>22</v>
      </c>
      <c r="J389" t="s">
        <v>31</v>
      </c>
      <c r="K389" t="s">
        <v>24</v>
      </c>
      <c r="L389" t="s">
        <v>25</v>
      </c>
      <c r="M389" s="8">
        <v>1.7226666669999999</v>
      </c>
      <c r="N389" t="s">
        <v>26</v>
      </c>
      <c r="O389" s="8">
        <v>1.7226666669999999</v>
      </c>
      <c r="P389" s="8">
        <f>EXP(-1.363+3.366*LOG(O389,10))</f>
        <v>0.56668788662759551</v>
      </c>
      <c r="Q389" s="8">
        <f>(27433.05*100)/7611378</f>
        <v>0.36042159514348127</v>
      </c>
    </row>
    <row r="390" spans="1:17" x14ac:dyDescent="0.2">
      <c r="A390">
        <v>2011</v>
      </c>
      <c r="B390" t="s">
        <v>524</v>
      </c>
      <c r="C390" t="s">
        <v>60</v>
      </c>
      <c r="D390" t="s">
        <v>61</v>
      </c>
      <c r="E390">
        <v>6</v>
      </c>
      <c r="F390" t="s">
        <v>19</v>
      </c>
      <c r="G390" t="s">
        <v>352</v>
      </c>
      <c r="H390" t="s">
        <v>494</v>
      </c>
      <c r="I390" t="s">
        <v>22</v>
      </c>
      <c r="J390" t="s">
        <v>31</v>
      </c>
      <c r="K390" t="s">
        <v>24</v>
      </c>
      <c r="L390" t="s">
        <v>25</v>
      </c>
      <c r="M390" s="8">
        <v>1.7226666669999999</v>
      </c>
      <c r="N390" t="s">
        <v>26</v>
      </c>
      <c r="O390" s="8">
        <v>1.7226666669999999</v>
      </c>
      <c r="P390" s="8">
        <f>EXP(-1.363+3.366*LOG(O390,10))</f>
        <v>0.56668788662759551</v>
      </c>
      <c r="Q390" s="8">
        <f>(27433.05*100)/7611378</f>
        <v>0.36042159514348127</v>
      </c>
    </row>
    <row r="391" spans="1:17" x14ac:dyDescent="0.2">
      <c r="A391">
        <v>2011</v>
      </c>
      <c r="B391" t="s">
        <v>525</v>
      </c>
      <c r="C391" t="s">
        <v>60</v>
      </c>
      <c r="D391" t="s">
        <v>61</v>
      </c>
      <c r="E391">
        <v>6</v>
      </c>
      <c r="F391" t="s">
        <v>19</v>
      </c>
      <c r="G391" t="s">
        <v>352</v>
      </c>
      <c r="H391" t="s">
        <v>494</v>
      </c>
      <c r="I391" t="s">
        <v>22</v>
      </c>
      <c r="J391" t="s">
        <v>31</v>
      </c>
      <c r="K391" t="s">
        <v>24</v>
      </c>
      <c r="L391" t="s">
        <v>25</v>
      </c>
      <c r="M391" s="8">
        <v>1.7226666669999999</v>
      </c>
      <c r="N391" t="s">
        <v>26</v>
      </c>
      <c r="O391" s="8">
        <v>1.7226666669999999</v>
      </c>
      <c r="P391" s="8">
        <f>EXP(-1.363+3.366*LOG(O391,10))</f>
        <v>0.56668788662759551</v>
      </c>
      <c r="Q391" s="8">
        <f>(27433.05*100)/7611378</f>
        <v>0.36042159514348127</v>
      </c>
    </row>
    <row r="392" spans="1:17" x14ac:dyDescent="0.2">
      <c r="A392">
        <v>2011</v>
      </c>
      <c r="B392" t="s">
        <v>526</v>
      </c>
      <c r="C392" t="s">
        <v>120</v>
      </c>
      <c r="D392" t="s">
        <v>58</v>
      </c>
      <c r="E392">
        <v>6</v>
      </c>
      <c r="F392" t="s">
        <v>19</v>
      </c>
      <c r="G392" t="s">
        <v>352</v>
      </c>
      <c r="H392" t="s">
        <v>494</v>
      </c>
      <c r="I392" t="s">
        <v>22</v>
      </c>
      <c r="J392" t="s">
        <v>23</v>
      </c>
      <c r="K392" t="s">
        <v>24</v>
      </c>
      <c r="L392" t="s">
        <v>25</v>
      </c>
      <c r="M392" s="8">
        <v>1.7226666669999999</v>
      </c>
      <c r="N392" t="s">
        <v>26</v>
      </c>
      <c r="O392" s="8">
        <v>1.7226666669999999</v>
      </c>
      <c r="P392" s="8">
        <f>EXP(-1.363+3.366*LOG(O392,10))</f>
        <v>0.56668788662759551</v>
      </c>
      <c r="Q392" s="8">
        <f>(2256192*100)/6055896</f>
        <v>37.256121967748456</v>
      </c>
    </row>
    <row r="393" spans="1:17" x14ac:dyDescent="0.2">
      <c r="A393">
        <v>2011</v>
      </c>
      <c r="B393" t="s">
        <v>527</v>
      </c>
      <c r="C393" t="s">
        <v>120</v>
      </c>
      <c r="D393" t="s">
        <v>58</v>
      </c>
      <c r="E393">
        <v>6</v>
      </c>
      <c r="F393" t="s">
        <v>19</v>
      </c>
      <c r="G393" t="s">
        <v>352</v>
      </c>
      <c r="H393" t="s">
        <v>494</v>
      </c>
      <c r="I393" t="s">
        <v>22</v>
      </c>
      <c r="J393" t="s">
        <v>23</v>
      </c>
      <c r="K393" t="s">
        <v>24</v>
      </c>
      <c r="L393" t="s">
        <v>25</v>
      </c>
      <c r="M393" s="8">
        <v>1.7226666669999999</v>
      </c>
      <c r="N393" t="s">
        <v>26</v>
      </c>
      <c r="O393" s="8">
        <v>1.7226666669999999</v>
      </c>
      <c r="P393" s="8">
        <f>EXP(-1.363+3.366*LOG(O393,10))</f>
        <v>0.56668788662759551</v>
      </c>
      <c r="Q393" s="8">
        <f>(2256192*100)/6055896</f>
        <v>37.256121967748456</v>
      </c>
    </row>
    <row r="394" spans="1:17" x14ac:dyDescent="0.2">
      <c r="A394">
        <v>2011</v>
      </c>
      <c r="B394" t="s">
        <v>528</v>
      </c>
      <c r="C394" t="s">
        <v>57</v>
      </c>
      <c r="D394" t="s">
        <v>58</v>
      </c>
      <c r="E394">
        <v>6</v>
      </c>
      <c r="F394" t="s">
        <v>19</v>
      </c>
      <c r="G394" t="s">
        <v>352</v>
      </c>
      <c r="H394" t="s">
        <v>494</v>
      </c>
      <c r="I394" t="s">
        <v>22</v>
      </c>
      <c r="J394" t="s">
        <v>31</v>
      </c>
      <c r="K394" t="s">
        <v>24</v>
      </c>
      <c r="L394" t="s">
        <v>25</v>
      </c>
      <c r="M394" s="8">
        <v>1.7226666669999999</v>
      </c>
      <c r="N394" t="s">
        <v>26</v>
      </c>
      <c r="O394" s="8">
        <v>1.7226666669999999</v>
      </c>
      <c r="P394" s="8">
        <f>EXP(-1.363+3.366*LOG(O394,10))</f>
        <v>0.56668788662759551</v>
      </c>
      <c r="Q394" s="8">
        <f>(321151.3*100)/5927002</f>
        <v>5.4184442657518925</v>
      </c>
    </row>
    <row r="395" spans="1:17" x14ac:dyDescent="0.2">
      <c r="A395">
        <v>2011</v>
      </c>
      <c r="B395" t="s">
        <v>529</v>
      </c>
      <c r="C395" t="s">
        <v>57</v>
      </c>
      <c r="D395" t="s">
        <v>58</v>
      </c>
      <c r="E395">
        <v>6</v>
      </c>
      <c r="F395" t="s">
        <v>19</v>
      </c>
      <c r="G395" t="s">
        <v>352</v>
      </c>
      <c r="H395" t="s">
        <v>494</v>
      </c>
      <c r="I395" t="s">
        <v>22</v>
      </c>
      <c r="J395" t="s">
        <v>31</v>
      </c>
      <c r="K395" t="s">
        <v>24</v>
      </c>
      <c r="L395" t="s">
        <v>25</v>
      </c>
      <c r="M395" s="8">
        <v>1.7226666669999999</v>
      </c>
      <c r="N395" t="s">
        <v>26</v>
      </c>
      <c r="O395" s="8">
        <v>1.7226666669999999</v>
      </c>
      <c r="P395" s="8">
        <f>EXP(-1.363+3.366*LOG(O395,10))</f>
        <v>0.56668788662759551</v>
      </c>
      <c r="Q395" s="8">
        <f>(321151.3*100)/5927002</f>
        <v>5.4184442657518925</v>
      </c>
    </row>
    <row r="396" spans="1:17" x14ac:dyDescent="0.2">
      <c r="A396">
        <v>2011</v>
      </c>
      <c r="B396" t="s">
        <v>530</v>
      </c>
      <c r="C396" t="s">
        <v>89</v>
      </c>
      <c r="D396" t="s">
        <v>53</v>
      </c>
      <c r="E396">
        <v>6</v>
      </c>
      <c r="F396" t="s">
        <v>19</v>
      </c>
      <c r="G396" t="s">
        <v>352</v>
      </c>
      <c r="H396" t="s">
        <v>494</v>
      </c>
      <c r="I396" t="s">
        <v>22</v>
      </c>
      <c r="J396" t="s">
        <v>66</v>
      </c>
      <c r="K396" t="s">
        <v>24</v>
      </c>
      <c r="L396" t="s">
        <v>25</v>
      </c>
      <c r="M396" s="8">
        <v>1.7226666669999999</v>
      </c>
      <c r="N396" t="s">
        <v>26</v>
      </c>
      <c r="O396" s="8">
        <v>1.7226666669999999</v>
      </c>
      <c r="P396" s="8">
        <f>EXP(-1.363+3.366*LOG(O396,10))</f>
        <v>0.56668788662759551</v>
      </c>
      <c r="Q396" s="8">
        <f>(61997.93*100)/7298102</f>
        <v>0.84950758430068529</v>
      </c>
    </row>
    <row r="397" spans="1:17" x14ac:dyDescent="0.2">
      <c r="A397">
        <v>2011</v>
      </c>
      <c r="B397" t="s">
        <v>531</v>
      </c>
      <c r="C397" t="s">
        <v>89</v>
      </c>
      <c r="D397" t="s">
        <v>53</v>
      </c>
      <c r="E397">
        <v>6</v>
      </c>
      <c r="F397" t="s">
        <v>19</v>
      </c>
      <c r="G397" t="s">
        <v>352</v>
      </c>
      <c r="H397" t="s">
        <v>494</v>
      </c>
      <c r="I397" t="s">
        <v>22</v>
      </c>
      <c r="J397" t="s">
        <v>66</v>
      </c>
      <c r="K397" t="s">
        <v>24</v>
      </c>
      <c r="L397" t="s">
        <v>25</v>
      </c>
      <c r="M397" s="8">
        <v>1.7226666669999999</v>
      </c>
      <c r="N397" t="s">
        <v>26</v>
      </c>
      <c r="O397" s="8">
        <v>1.7226666669999999</v>
      </c>
      <c r="P397" s="8">
        <f>EXP(-1.363+3.366*LOG(O397,10))</f>
        <v>0.56668788662759551</v>
      </c>
      <c r="Q397" s="8">
        <f>(61997.93*100)/7298102</f>
        <v>0.84950758430068529</v>
      </c>
    </row>
    <row r="398" spans="1:17" x14ac:dyDescent="0.2">
      <c r="A398">
        <v>2011</v>
      </c>
      <c r="B398" t="s">
        <v>532</v>
      </c>
      <c r="C398" t="s">
        <v>89</v>
      </c>
      <c r="D398" t="s">
        <v>53</v>
      </c>
      <c r="E398">
        <v>6</v>
      </c>
      <c r="F398" t="s">
        <v>19</v>
      </c>
      <c r="G398" t="s">
        <v>352</v>
      </c>
      <c r="H398" t="s">
        <v>494</v>
      </c>
      <c r="I398" t="s">
        <v>22</v>
      </c>
      <c r="J398" t="s">
        <v>66</v>
      </c>
      <c r="K398" t="s">
        <v>24</v>
      </c>
      <c r="L398" t="s">
        <v>25</v>
      </c>
      <c r="M398" s="8">
        <v>1.7226666669999999</v>
      </c>
      <c r="N398" t="s">
        <v>26</v>
      </c>
      <c r="O398" s="8">
        <v>1.7226666669999999</v>
      </c>
      <c r="P398" s="8">
        <f>EXP(-1.363+3.366*LOG(O398,10))</f>
        <v>0.56668788662759551</v>
      </c>
      <c r="Q398" s="8">
        <f>(61997.93*100)/7298102</f>
        <v>0.84950758430068529</v>
      </c>
    </row>
    <row r="399" spans="1:17" x14ac:dyDescent="0.2">
      <c r="A399">
        <v>2011</v>
      </c>
      <c r="B399" t="s">
        <v>533</v>
      </c>
      <c r="C399" t="s">
        <v>89</v>
      </c>
      <c r="D399" t="s">
        <v>53</v>
      </c>
      <c r="E399">
        <v>6</v>
      </c>
      <c r="F399" t="s">
        <v>19</v>
      </c>
      <c r="G399" t="s">
        <v>352</v>
      </c>
      <c r="H399" t="s">
        <v>494</v>
      </c>
      <c r="I399" t="s">
        <v>22</v>
      </c>
      <c r="J399" t="s">
        <v>66</v>
      </c>
      <c r="K399" t="s">
        <v>24</v>
      </c>
      <c r="L399" t="s">
        <v>25</v>
      </c>
      <c r="M399" s="8">
        <v>1.7226666669999999</v>
      </c>
      <c r="N399" t="s">
        <v>26</v>
      </c>
      <c r="O399" s="8">
        <v>1.7226666669999999</v>
      </c>
      <c r="P399" s="8">
        <f>EXP(-1.363+3.366*LOG(O399,10))</f>
        <v>0.56668788662759551</v>
      </c>
      <c r="Q399" s="8">
        <f>(61997.93*100)/7298102</f>
        <v>0.84950758430068529</v>
      </c>
    </row>
    <row r="400" spans="1:17" x14ac:dyDescent="0.2">
      <c r="A400">
        <v>2011</v>
      </c>
      <c r="B400" t="s">
        <v>534</v>
      </c>
      <c r="C400" t="s">
        <v>89</v>
      </c>
      <c r="D400" t="s">
        <v>53</v>
      </c>
      <c r="E400">
        <v>6</v>
      </c>
      <c r="F400" t="s">
        <v>19</v>
      </c>
      <c r="G400" t="s">
        <v>352</v>
      </c>
      <c r="H400" t="s">
        <v>494</v>
      </c>
      <c r="I400" t="s">
        <v>22</v>
      </c>
      <c r="J400" t="s">
        <v>66</v>
      </c>
      <c r="K400" t="s">
        <v>24</v>
      </c>
      <c r="L400" t="s">
        <v>25</v>
      </c>
      <c r="M400" s="8">
        <v>1.7226666669999999</v>
      </c>
      <c r="N400" t="s">
        <v>26</v>
      </c>
      <c r="O400" s="8">
        <v>1.7226666669999999</v>
      </c>
      <c r="P400" s="8">
        <f>EXP(-1.363+3.366*LOG(O400,10))</f>
        <v>0.56668788662759551</v>
      </c>
      <c r="Q400" s="8">
        <f>(61997.93*100)/7298102</f>
        <v>0.84950758430068529</v>
      </c>
    </row>
    <row r="401" spans="1:17" x14ac:dyDescent="0.2">
      <c r="A401">
        <v>2011</v>
      </c>
      <c r="B401" t="s">
        <v>535</v>
      </c>
      <c r="C401" t="s">
        <v>89</v>
      </c>
      <c r="D401" t="s">
        <v>53</v>
      </c>
      <c r="E401">
        <v>6</v>
      </c>
      <c r="F401" t="s">
        <v>19</v>
      </c>
      <c r="G401" t="s">
        <v>352</v>
      </c>
      <c r="H401" t="s">
        <v>494</v>
      </c>
      <c r="I401" t="s">
        <v>22</v>
      </c>
      <c r="J401" t="s">
        <v>66</v>
      </c>
      <c r="K401" t="s">
        <v>24</v>
      </c>
      <c r="L401" t="s">
        <v>25</v>
      </c>
      <c r="M401" s="8">
        <v>1.7226666669999999</v>
      </c>
      <c r="N401" t="s">
        <v>26</v>
      </c>
      <c r="O401" s="8">
        <v>1.7226666669999999</v>
      </c>
      <c r="P401" s="8">
        <f>EXP(-1.363+3.366*LOG(O401,10))</f>
        <v>0.56668788662759551</v>
      </c>
      <c r="Q401" s="8">
        <f>(61997.93*100)/7298102</f>
        <v>0.84950758430068529</v>
      </c>
    </row>
    <row r="402" spans="1:17" x14ac:dyDescent="0.2">
      <c r="A402">
        <v>2011</v>
      </c>
      <c r="B402" t="s">
        <v>536</v>
      </c>
      <c r="C402" t="s">
        <v>89</v>
      </c>
      <c r="D402" t="s">
        <v>53</v>
      </c>
      <c r="E402">
        <v>6</v>
      </c>
      <c r="F402" t="s">
        <v>19</v>
      </c>
      <c r="G402" t="s">
        <v>352</v>
      </c>
      <c r="H402" t="s">
        <v>494</v>
      </c>
      <c r="I402" t="s">
        <v>22</v>
      </c>
      <c r="J402" t="s">
        <v>66</v>
      </c>
      <c r="K402" t="s">
        <v>24</v>
      </c>
      <c r="L402" t="s">
        <v>25</v>
      </c>
      <c r="M402" s="8">
        <v>1.7226666669999999</v>
      </c>
      <c r="N402" t="s">
        <v>26</v>
      </c>
      <c r="O402" s="8">
        <v>1.7226666669999999</v>
      </c>
      <c r="P402" s="8">
        <f>EXP(-1.363+3.366*LOG(O402,10))</f>
        <v>0.56668788662759551</v>
      </c>
      <c r="Q402" s="8">
        <f>(61997.93*100)/7298102</f>
        <v>0.84950758430068529</v>
      </c>
    </row>
    <row r="403" spans="1:17" x14ac:dyDescent="0.2">
      <c r="A403">
        <v>2011</v>
      </c>
      <c r="B403" t="s">
        <v>537</v>
      </c>
      <c r="C403" t="s">
        <v>89</v>
      </c>
      <c r="D403" t="s">
        <v>190</v>
      </c>
      <c r="E403">
        <v>7</v>
      </c>
      <c r="F403" t="s">
        <v>19</v>
      </c>
      <c r="G403" t="s">
        <v>352</v>
      </c>
      <c r="H403" t="s">
        <v>494</v>
      </c>
      <c r="I403" t="s">
        <v>22</v>
      </c>
      <c r="J403" t="s">
        <v>66</v>
      </c>
      <c r="K403" t="s">
        <v>24</v>
      </c>
      <c r="L403" t="s">
        <v>25</v>
      </c>
      <c r="M403" s="8">
        <v>1.7226666669999999</v>
      </c>
      <c r="N403" t="s">
        <v>26</v>
      </c>
      <c r="O403" s="8">
        <v>1.7226666669999999</v>
      </c>
      <c r="P403" s="8">
        <f>EXP(-1.363+3.366*LOG(O403,10))</f>
        <v>0.56668788662759551</v>
      </c>
      <c r="Q403" s="8">
        <f>(61997.93*100)/7298102</f>
        <v>0.84950758430068529</v>
      </c>
    </row>
    <row r="404" spans="1:17" x14ac:dyDescent="0.2">
      <c r="A404">
        <v>2011</v>
      </c>
      <c r="B404" t="s">
        <v>538</v>
      </c>
      <c r="C404" t="s">
        <v>89</v>
      </c>
      <c r="D404" t="s">
        <v>190</v>
      </c>
      <c r="E404">
        <v>7</v>
      </c>
      <c r="F404" t="s">
        <v>19</v>
      </c>
      <c r="G404" t="s">
        <v>352</v>
      </c>
      <c r="H404" t="s">
        <v>494</v>
      </c>
      <c r="I404" t="s">
        <v>22</v>
      </c>
      <c r="J404" t="s">
        <v>66</v>
      </c>
      <c r="K404" t="s">
        <v>24</v>
      </c>
      <c r="L404" t="s">
        <v>25</v>
      </c>
      <c r="M404" s="8">
        <v>1.7226666669999999</v>
      </c>
      <c r="N404" t="s">
        <v>26</v>
      </c>
      <c r="O404" s="8">
        <v>1.7226666669999999</v>
      </c>
      <c r="P404" s="8">
        <f>EXP(-1.363+3.366*LOG(O404,10))</f>
        <v>0.56668788662759551</v>
      </c>
      <c r="Q404" s="8">
        <f>(61997.93*100)/7298102</f>
        <v>0.84950758430068529</v>
      </c>
    </row>
    <row r="405" spans="1:17" x14ac:dyDescent="0.2">
      <c r="A405">
        <v>2011</v>
      </c>
      <c r="B405" t="s">
        <v>539</v>
      </c>
      <c r="C405" t="s">
        <v>30</v>
      </c>
      <c r="D405" t="s">
        <v>95</v>
      </c>
      <c r="E405">
        <v>7</v>
      </c>
      <c r="F405" t="s">
        <v>19</v>
      </c>
      <c r="G405" t="s">
        <v>352</v>
      </c>
      <c r="H405" t="s">
        <v>494</v>
      </c>
      <c r="I405" t="s">
        <v>22</v>
      </c>
      <c r="J405" t="s">
        <v>31</v>
      </c>
      <c r="K405" t="s">
        <v>24</v>
      </c>
      <c r="L405" t="s">
        <v>25</v>
      </c>
      <c r="M405" s="8">
        <v>1.7226666669999999</v>
      </c>
      <c r="N405" t="s">
        <v>26</v>
      </c>
      <c r="O405" s="8">
        <v>1.7226666669999999</v>
      </c>
      <c r="P405" s="8">
        <f>EXP(-1.363+3.366*LOG(O405,10))</f>
        <v>0.56668788662759551</v>
      </c>
      <c r="Q405" s="8">
        <f>(34897.31*100)/4728180</f>
        <v>0.73807067412831151</v>
      </c>
    </row>
    <row r="406" spans="1:17" x14ac:dyDescent="0.2">
      <c r="A406">
        <v>2011</v>
      </c>
      <c r="B406" t="s">
        <v>540</v>
      </c>
      <c r="C406" t="s">
        <v>30</v>
      </c>
      <c r="D406" t="s">
        <v>95</v>
      </c>
      <c r="E406">
        <v>7</v>
      </c>
      <c r="F406" t="s">
        <v>19</v>
      </c>
      <c r="G406" t="s">
        <v>352</v>
      </c>
      <c r="H406" t="s">
        <v>494</v>
      </c>
      <c r="I406" t="s">
        <v>22</v>
      </c>
      <c r="J406" t="s">
        <v>31</v>
      </c>
      <c r="K406" t="s">
        <v>24</v>
      </c>
      <c r="L406" t="s">
        <v>25</v>
      </c>
      <c r="M406" s="8">
        <v>1.7226666669999999</v>
      </c>
      <c r="N406" t="s">
        <v>26</v>
      </c>
      <c r="O406" s="8">
        <v>1.7226666669999999</v>
      </c>
      <c r="P406" s="8">
        <f>EXP(-1.363+3.366*LOG(O406,10))</f>
        <v>0.56668788662759551</v>
      </c>
      <c r="Q406" s="8">
        <f>(34897.31*100)/4728180</f>
        <v>0.73807067412831151</v>
      </c>
    </row>
    <row r="407" spans="1:17" x14ac:dyDescent="0.2">
      <c r="A407">
        <v>2011</v>
      </c>
      <c r="B407" t="s">
        <v>541</v>
      </c>
      <c r="C407" t="s">
        <v>120</v>
      </c>
      <c r="D407" t="s">
        <v>58</v>
      </c>
      <c r="E407">
        <v>6</v>
      </c>
      <c r="F407" t="s">
        <v>19</v>
      </c>
      <c r="G407" t="s">
        <v>352</v>
      </c>
      <c r="H407" t="s">
        <v>494</v>
      </c>
      <c r="I407" t="s">
        <v>22</v>
      </c>
      <c r="J407" t="s">
        <v>23</v>
      </c>
      <c r="K407" t="s">
        <v>24</v>
      </c>
      <c r="L407" t="s">
        <v>25</v>
      </c>
      <c r="M407" s="8">
        <v>1.7226666669999999</v>
      </c>
      <c r="N407" t="s">
        <v>26</v>
      </c>
      <c r="O407" s="8">
        <v>1.7226666669999999</v>
      </c>
      <c r="P407" s="8">
        <f>EXP(-1.363+3.366*LOG(O407,10))</f>
        <v>0.56668788662759551</v>
      </c>
      <c r="Q407" s="8">
        <f>(2256192*100)/6055896</f>
        <v>37.256121967748456</v>
      </c>
    </row>
    <row r="408" spans="1:17" x14ac:dyDescent="0.2">
      <c r="A408">
        <v>2011</v>
      </c>
      <c r="B408" t="s">
        <v>542</v>
      </c>
      <c r="C408" t="s">
        <v>120</v>
      </c>
      <c r="D408" t="s">
        <v>58</v>
      </c>
      <c r="E408">
        <v>6</v>
      </c>
      <c r="F408" t="s">
        <v>19</v>
      </c>
      <c r="G408" t="s">
        <v>352</v>
      </c>
      <c r="H408" t="s">
        <v>494</v>
      </c>
      <c r="I408" t="s">
        <v>22</v>
      </c>
      <c r="J408" t="s">
        <v>23</v>
      </c>
      <c r="K408" t="s">
        <v>24</v>
      </c>
      <c r="L408" t="s">
        <v>25</v>
      </c>
      <c r="M408" s="8">
        <v>1.7226666669999999</v>
      </c>
      <c r="N408" t="s">
        <v>26</v>
      </c>
      <c r="O408" s="8">
        <v>1.7226666669999999</v>
      </c>
      <c r="P408" s="8">
        <f>EXP(-1.363+3.366*LOG(O408,10))</f>
        <v>0.56668788662759551</v>
      </c>
      <c r="Q408" s="8">
        <f>(2256192*100)/6055896</f>
        <v>37.256121967748456</v>
      </c>
    </row>
    <row r="409" spans="1:17" x14ac:dyDescent="0.2">
      <c r="A409">
        <v>2011</v>
      </c>
      <c r="B409" t="s">
        <v>543</v>
      </c>
      <c r="C409" t="s">
        <v>120</v>
      </c>
      <c r="D409" t="s">
        <v>58</v>
      </c>
      <c r="E409">
        <v>6</v>
      </c>
      <c r="F409" t="s">
        <v>19</v>
      </c>
      <c r="G409" t="s">
        <v>352</v>
      </c>
      <c r="H409" t="s">
        <v>494</v>
      </c>
      <c r="I409" t="s">
        <v>22</v>
      </c>
      <c r="J409" t="s">
        <v>23</v>
      </c>
      <c r="K409" t="s">
        <v>24</v>
      </c>
      <c r="L409" t="s">
        <v>25</v>
      </c>
      <c r="M409" s="8">
        <v>1.7226666669999999</v>
      </c>
      <c r="N409" t="s">
        <v>26</v>
      </c>
      <c r="O409" s="8">
        <v>1.7226666669999999</v>
      </c>
      <c r="P409" s="8">
        <f>EXP(-1.363+3.366*LOG(O409,10))</f>
        <v>0.56668788662759551</v>
      </c>
      <c r="Q409" s="8">
        <f>(2256192*100)/6055896</f>
        <v>37.256121967748456</v>
      </c>
    </row>
    <row r="410" spans="1:17" x14ac:dyDescent="0.2">
      <c r="A410">
        <v>2011</v>
      </c>
      <c r="B410" t="s">
        <v>544</v>
      </c>
      <c r="C410" t="s">
        <v>120</v>
      </c>
      <c r="D410" t="s">
        <v>58</v>
      </c>
      <c r="E410">
        <v>6</v>
      </c>
      <c r="F410" t="s">
        <v>19</v>
      </c>
      <c r="G410" t="s">
        <v>352</v>
      </c>
      <c r="H410" t="s">
        <v>494</v>
      </c>
      <c r="I410" t="s">
        <v>22</v>
      </c>
      <c r="J410" t="s">
        <v>23</v>
      </c>
      <c r="K410" t="s">
        <v>24</v>
      </c>
      <c r="L410" t="s">
        <v>25</v>
      </c>
      <c r="M410" s="8">
        <v>1.7226666669999999</v>
      </c>
      <c r="N410" t="s">
        <v>26</v>
      </c>
      <c r="O410" s="8">
        <v>1.7226666669999999</v>
      </c>
      <c r="P410" s="8">
        <f>EXP(-1.363+3.366*LOG(O410,10))</f>
        <v>0.56668788662759551</v>
      </c>
      <c r="Q410" s="8">
        <f>(2256192*100)/6055896</f>
        <v>37.256121967748456</v>
      </c>
    </row>
    <row r="411" spans="1:17" x14ac:dyDescent="0.2">
      <c r="A411">
        <v>2011</v>
      </c>
      <c r="B411" t="s">
        <v>545</v>
      </c>
      <c r="C411" t="s">
        <v>120</v>
      </c>
      <c r="D411" t="s">
        <v>58</v>
      </c>
      <c r="E411">
        <v>6</v>
      </c>
      <c r="F411" t="s">
        <v>19</v>
      </c>
      <c r="G411" t="s">
        <v>352</v>
      </c>
      <c r="H411" t="s">
        <v>494</v>
      </c>
      <c r="I411" t="s">
        <v>22</v>
      </c>
      <c r="J411" t="s">
        <v>23</v>
      </c>
      <c r="K411" t="s">
        <v>24</v>
      </c>
      <c r="L411" t="s">
        <v>25</v>
      </c>
      <c r="M411" s="8">
        <v>1.7226666669999999</v>
      </c>
      <c r="N411" t="s">
        <v>26</v>
      </c>
      <c r="O411" s="8">
        <v>1.7226666669999999</v>
      </c>
      <c r="P411" s="8">
        <f>EXP(-1.363+3.366*LOG(O411,10))</f>
        <v>0.56668788662759551</v>
      </c>
      <c r="Q411" s="8">
        <f>(2256192*100)/6055896</f>
        <v>37.256121967748456</v>
      </c>
    </row>
    <row r="412" spans="1:17" x14ac:dyDescent="0.2">
      <c r="A412">
        <v>2011</v>
      </c>
      <c r="B412" t="s">
        <v>546</v>
      </c>
      <c r="C412" t="s">
        <v>120</v>
      </c>
      <c r="D412" t="s">
        <v>58</v>
      </c>
      <c r="E412">
        <v>6</v>
      </c>
      <c r="F412" t="s">
        <v>19</v>
      </c>
      <c r="G412" t="s">
        <v>352</v>
      </c>
      <c r="H412" t="s">
        <v>494</v>
      </c>
      <c r="I412" t="s">
        <v>22</v>
      </c>
      <c r="J412" t="s">
        <v>23</v>
      </c>
      <c r="K412" t="s">
        <v>24</v>
      </c>
      <c r="L412" t="s">
        <v>25</v>
      </c>
      <c r="M412" s="8">
        <v>1.7226666669999999</v>
      </c>
      <c r="N412" t="s">
        <v>26</v>
      </c>
      <c r="O412" s="8">
        <v>1.7226666669999999</v>
      </c>
      <c r="P412" s="8">
        <f>EXP(-1.363+3.366*LOG(O412,10))</f>
        <v>0.56668788662759551</v>
      </c>
      <c r="Q412" s="8">
        <f>(2256192*100)/6055896</f>
        <v>37.256121967748456</v>
      </c>
    </row>
    <row r="413" spans="1:17" x14ac:dyDescent="0.2">
      <c r="A413">
        <v>2011</v>
      </c>
      <c r="B413" t="s">
        <v>547</v>
      </c>
      <c r="C413" t="s">
        <v>120</v>
      </c>
      <c r="D413" t="s">
        <v>58</v>
      </c>
      <c r="E413">
        <v>6</v>
      </c>
      <c r="F413" t="s">
        <v>19</v>
      </c>
      <c r="G413" t="s">
        <v>352</v>
      </c>
      <c r="H413" t="s">
        <v>494</v>
      </c>
      <c r="I413" t="s">
        <v>22</v>
      </c>
      <c r="J413" t="s">
        <v>23</v>
      </c>
      <c r="K413" t="s">
        <v>24</v>
      </c>
      <c r="L413" t="s">
        <v>25</v>
      </c>
      <c r="M413" s="8">
        <v>1.7226666669999999</v>
      </c>
      <c r="N413" t="s">
        <v>26</v>
      </c>
      <c r="O413" s="8">
        <v>1.7226666669999999</v>
      </c>
      <c r="P413" s="8">
        <f>EXP(-1.363+3.366*LOG(O413,10))</f>
        <v>0.56668788662759551</v>
      </c>
      <c r="Q413" s="8">
        <f>(2256192*100)/6055896</f>
        <v>37.256121967748456</v>
      </c>
    </row>
    <row r="414" spans="1:17" x14ac:dyDescent="0.2">
      <c r="A414">
        <v>2011</v>
      </c>
      <c r="B414" t="s">
        <v>548</v>
      </c>
      <c r="C414" t="s">
        <v>60</v>
      </c>
      <c r="D414" t="s">
        <v>61</v>
      </c>
      <c r="E414">
        <v>6</v>
      </c>
      <c r="F414" t="s">
        <v>19</v>
      </c>
      <c r="G414" t="s">
        <v>352</v>
      </c>
      <c r="H414" t="s">
        <v>494</v>
      </c>
      <c r="I414" t="s">
        <v>22</v>
      </c>
      <c r="J414" t="s">
        <v>31</v>
      </c>
      <c r="K414" t="s">
        <v>24</v>
      </c>
      <c r="L414" t="s">
        <v>25</v>
      </c>
      <c r="M414" s="8">
        <v>1.7226666669999999</v>
      </c>
      <c r="N414" t="s">
        <v>26</v>
      </c>
      <c r="O414" s="8">
        <v>1.7226666669999999</v>
      </c>
      <c r="P414" s="8">
        <f>EXP(-1.363+3.366*LOG(O414,10))</f>
        <v>0.56668788662759551</v>
      </c>
      <c r="Q414" s="8">
        <f>(27433.05*100)/7611378</f>
        <v>0.36042159514348127</v>
      </c>
    </row>
    <row r="415" spans="1:17" x14ac:dyDescent="0.2">
      <c r="A415">
        <v>2011</v>
      </c>
      <c r="B415" t="s">
        <v>549</v>
      </c>
      <c r="C415" t="s">
        <v>30</v>
      </c>
      <c r="D415" t="s">
        <v>63</v>
      </c>
      <c r="E415">
        <v>6</v>
      </c>
      <c r="F415" t="s">
        <v>19</v>
      </c>
      <c r="G415" t="s">
        <v>352</v>
      </c>
      <c r="H415" t="s">
        <v>494</v>
      </c>
      <c r="I415" t="s">
        <v>22</v>
      </c>
      <c r="J415" t="s">
        <v>31</v>
      </c>
      <c r="K415" t="s">
        <v>24</v>
      </c>
      <c r="L415" t="s">
        <v>25</v>
      </c>
      <c r="M415" s="8">
        <v>1.7226666669999999</v>
      </c>
      <c r="N415" t="s">
        <v>26</v>
      </c>
      <c r="O415" s="8">
        <v>1.7226666669999999</v>
      </c>
      <c r="P415" s="8">
        <f>EXP(-1.363+3.366*LOG(O415,10))</f>
        <v>0.56668788662759551</v>
      </c>
      <c r="Q415" s="8">
        <f>(34897.31*100)/4728180</f>
        <v>0.73807067412831151</v>
      </c>
    </row>
    <row r="416" spans="1:17" x14ac:dyDescent="0.2">
      <c r="A416">
        <v>2011</v>
      </c>
      <c r="B416" t="s">
        <v>550</v>
      </c>
      <c r="C416" t="s">
        <v>30</v>
      </c>
      <c r="D416" t="s">
        <v>63</v>
      </c>
      <c r="E416">
        <v>6</v>
      </c>
      <c r="F416" t="s">
        <v>19</v>
      </c>
      <c r="G416" t="s">
        <v>352</v>
      </c>
      <c r="H416" t="s">
        <v>494</v>
      </c>
      <c r="I416" t="s">
        <v>22</v>
      </c>
      <c r="J416" t="s">
        <v>31</v>
      </c>
      <c r="K416" t="s">
        <v>24</v>
      </c>
      <c r="L416" t="s">
        <v>25</v>
      </c>
      <c r="M416" s="8">
        <v>1.7226666669999999</v>
      </c>
      <c r="N416" t="s">
        <v>26</v>
      </c>
      <c r="O416" s="8">
        <v>1.7226666669999999</v>
      </c>
      <c r="P416" s="8">
        <f>EXP(-1.363+3.366*LOG(O416,10))</f>
        <v>0.56668788662759551</v>
      </c>
      <c r="Q416" s="8">
        <f>(34897.31*100)/4728180</f>
        <v>0.73807067412831151</v>
      </c>
    </row>
    <row r="417" spans="1:17" x14ac:dyDescent="0.2">
      <c r="A417">
        <v>2011</v>
      </c>
      <c r="B417" t="s">
        <v>551</v>
      </c>
      <c r="C417" t="s">
        <v>30</v>
      </c>
      <c r="D417" t="s">
        <v>63</v>
      </c>
      <c r="E417">
        <v>6</v>
      </c>
      <c r="F417" t="s">
        <v>19</v>
      </c>
      <c r="G417" t="s">
        <v>352</v>
      </c>
      <c r="H417" t="s">
        <v>494</v>
      </c>
      <c r="I417" t="s">
        <v>22</v>
      </c>
      <c r="J417" t="s">
        <v>31</v>
      </c>
      <c r="K417" t="s">
        <v>24</v>
      </c>
      <c r="L417" t="s">
        <v>25</v>
      </c>
      <c r="M417" s="8">
        <v>1.7226666669999999</v>
      </c>
      <c r="N417" t="s">
        <v>26</v>
      </c>
      <c r="O417" s="8">
        <v>1.7226666669999999</v>
      </c>
      <c r="P417" s="8">
        <f>EXP(-1.363+3.366*LOG(O417,10))</f>
        <v>0.56668788662759551</v>
      </c>
      <c r="Q417" s="8">
        <f>(34897.31*100)/4728180</f>
        <v>0.73807067412831151</v>
      </c>
    </row>
    <row r="418" spans="1:17" x14ac:dyDescent="0.2">
      <c r="A418">
        <v>2011</v>
      </c>
      <c r="B418" t="s">
        <v>552</v>
      </c>
      <c r="C418" t="s">
        <v>17</v>
      </c>
      <c r="D418" t="s">
        <v>63</v>
      </c>
      <c r="E418">
        <v>6</v>
      </c>
      <c r="F418" t="s">
        <v>19</v>
      </c>
      <c r="G418" t="s">
        <v>352</v>
      </c>
      <c r="H418" t="s">
        <v>494</v>
      </c>
      <c r="I418" t="s">
        <v>22</v>
      </c>
      <c r="J418" t="s">
        <v>23</v>
      </c>
      <c r="K418" t="s">
        <v>24</v>
      </c>
      <c r="L418" t="s">
        <v>25</v>
      </c>
      <c r="M418" s="8">
        <v>1.7226666669999999</v>
      </c>
      <c r="N418" t="s">
        <v>26</v>
      </c>
      <c r="O418" s="8">
        <v>1.7226666669999999</v>
      </c>
      <c r="P418" s="8">
        <f>EXP(-1.363+3.366*LOG(O418,10))</f>
        <v>0.56668788662759551</v>
      </c>
      <c r="Q418" s="8">
        <f>(605161.6*100)/5834449</f>
        <v>10.372215096918321</v>
      </c>
    </row>
    <row r="419" spans="1:17" x14ac:dyDescent="0.2">
      <c r="A419">
        <v>2011</v>
      </c>
      <c r="B419" t="s">
        <v>553</v>
      </c>
      <c r="C419" t="s">
        <v>17</v>
      </c>
      <c r="D419" t="s">
        <v>63</v>
      </c>
      <c r="E419">
        <v>6</v>
      </c>
      <c r="F419" t="s">
        <v>19</v>
      </c>
      <c r="G419" t="s">
        <v>352</v>
      </c>
      <c r="H419" t="s">
        <v>494</v>
      </c>
      <c r="I419" t="s">
        <v>22</v>
      </c>
      <c r="J419" t="s">
        <v>23</v>
      </c>
      <c r="K419" t="s">
        <v>24</v>
      </c>
      <c r="L419" t="s">
        <v>25</v>
      </c>
      <c r="M419" s="8">
        <v>1.7226666669999999</v>
      </c>
      <c r="N419" t="s">
        <v>26</v>
      </c>
      <c r="O419" s="8">
        <v>1.7226666669999999</v>
      </c>
      <c r="P419" s="8">
        <f>EXP(-1.363+3.366*LOG(O419,10))</f>
        <v>0.56668788662759551</v>
      </c>
      <c r="Q419" s="8">
        <f>(605161.6*100)/5834449</f>
        <v>10.372215096918321</v>
      </c>
    </row>
    <row r="420" spans="1:17" x14ac:dyDescent="0.2">
      <c r="A420">
        <v>2011</v>
      </c>
      <c r="B420" t="s">
        <v>554</v>
      </c>
      <c r="C420" t="s">
        <v>17</v>
      </c>
      <c r="D420" t="s">
        <v>63</v>
      </c>
      <c r="E420">
        <v>6</v>
      </c>
      <c r="F420" t="s">
        <v>19</v>
      </c>
      <c r="G420" t="s">
        <v>352</v>
      </c>
      <c r="H420" t="s">
        <v>494</v>
      </c>
      <c r="I420" t="s">
        <v>22</v>
      </c>
      <c r="J420" t="s">
        <v>23</v>
      </c>
      <c r="K420" t="s">
        <v>24</v>
      </c>
      <c r="L420" t="s">
        <v>25</v>
      </c>
      <c r="M420" s="8">
        <v>1.7226666669999999</v>
      </c>
      <c r="N420" t="s">
        <v>26</v>
      </c>
      <c r="O420" s="8">
        <v>1.7226666669999999</v>
      </c>
      <c r="P420" s="8">
        <f>EXP(-1.363+3.366*LOG(O420,10))</f>
        <v>0.56668788662759551</v>
      </c>
      <c r="Q420" s="8">
        <f>(605161.6*100)/5834449</f>
        <v>10.372215096918321</v>
      </c>
    </row>
    <row r="421" spans="1:17" x14ac:dyDescent="0.2">
      <c r="A421">
        <v>2011</v>
      </c>
      <c r="B421" t="s">
        <v>558</v>
      </c>
      <c r="C421" t="s">
        <v>30</v>
      </c>
      <c r="D421" t="s">
        <v>95</v>
      </c>
      <c r="E421">
        <v>7</v>
      </c>
      <c r="F421" t="s">
        <v>19</v>
      </c>
      <c r="G421" t="s">
        <v>352</v>
      </c>
      <c r="H421" t="s">
        <v>494</v>
      </c>
      <c r="I421" t="s">
        <v>22</v>
      </c>
      <c r="J421" t="s">
        <v>31</v>
      </c>
      <c r="K421" t="s">
        <v>24</v>
      </c>
      <c r="L421" t="s">
        <v>25</v>
      </c>
      <c r="M421" s="8">
        <v>1.7226666669999999</v>
      </c>
      <c r="N421" t="s">
        <v>26</v>
      </c>
      <c r="O421" s="8">
        <v>1.7226666669999999</v>
      </c>
      <c r="P421" s="8">
        <f>EXP(-1.363+3.366*LOG(O421,10))</f>
        <v>0.56668788662759551</v>
      </c>
      <c r="Q421" s="8">
        <f>(34897.31*100)/4728180</f>
        <v>0.73807067412831151</v>
      </c>
    </row>
    <row r="422" spans="1:17" x14ac:dyDescent="0.2">
      <c r="A422">
        <v>2011</v>
      </c>
      <c r="B422" t="s">
        <v>559</v>
      </c>
      <c r="C422" t="s">
        <v>30</v>
      </c>
      <c r="D422" t="s">
        <v>95</v>
      </c>
      <c r="E422">
        <v>7</v>
      </c>
      <c r="F422" t="s">
        <v>19</v>
      </c>
      <c r="G422" t="s">
        <v>352</v>
      </c>
      <c r="H422" t="s">
        <v>494</v>
      </c>
      <c r="I422" t="s">
        <v>22</v>
      </c>
      <c r="J422" t="s">
        <v>31</v>
      </c>
      <c r="K422" t="s">
        <v>24</v>
      </c>
      <c r="L422" t="s">
        <v>25</v>
      </c>
      <c r="M422" s="8">
        <v>1.7226666669999999</v>
      </c>
      <c r="N422" t="s">
        <v>26</v>
      </c>
      <c r="O422" s="8">
        <v>1.7226666669999999</v>
      </c>
      <c r="P422" s="8">
        <f>EXP(-1.363+3.366*LOG(O422,10))</f>
        <v>0.56668788662759551</v>
      </c>
      <c r="Q422" s="8">
        <f>(34897.31*100)/4728180</f>
        <v>0.73807067412831151</v>
      </c>
    </row>
    <row r="423" spans="1:17" x14ac:dyDescent="0.2">
      <c r="A423">
        <v>2011</v>
      </c>
      <c r="B423" t="s">
        <v>560</v>
      </c>
      <c r="C423" t="s">
        <v>94</v>
      </c>
      <c r="D423" t="s">
        <v>95</v>
      </c>
      <c r="E423">
        <v>7</v>
      </c>
      <c r="F423" t="s">
        <v>19</v>
      </c>
      <c r="G423" t="s">
        <v>352</v>
      </c>
      <c r="H423" t="s">
        <v>494</v>
      </c>
      <c r="I423" t="s">
        <v>22</v>
      </c>
      <c r="J423" t="s">
        <v>66</v>
      </c>
      <c r="K423" t="s">
        <v>24</v>
      </c>
      <c r="L423" t="s">
        <v>25</v>
      </c>
      <c r="M423" s="8">
        <v>1.7226666669999999</v>
      </c>
      <c r="N423" t="s">
        <v>26</v>
      </c>
      <c r="O423" s="8">
        <v>1.7226666669999999</v>
      </c>
      <c r="P423" s="8">
        <f>EXP(-1.363+3.366*LOG(O423,10))</f>
        <v>0.56668788662759551</v>
      </c>
      <c r="Q423" s="8">
        <f>(46623.23*100)/15165196</f>
        <v>0.30743572321782059</v>
      </c>
    </row>
    <row r="424" spans="1:17" x14ac:dyDescent="0.2">
      <c r="A424">
        <v>2011</v>
      </c>
      <c r="B424" t="s">
        <v>562</v>
      </c>
      <c r="C424" t="s">
        <v>94</v>
      </c>
      <c r="D424" t="s">
        <v>95</v>
      </c>
      <c r="E424">
        <v>7</v>
      </c>
      <c r="F424" t="s">
        <v>19</v>
      </c>
      <c r="G424" t="s">
        <v>352</v>
      </c>
      <c r="H424" t="s">
        <v>494</v>
      </c>
      <c r="I424" t="s">
        <v>22</v>
      </c>
      <c r="J424" t="s">
        <v>66</v>
      </c>
      <c r="K424" t="s">
        <v>24</v>
      </c>
      <c r="L424" t="s">
        <v>25</v>
      </c>
      <c r="M424" s="8">
        <v>1.7226666669999999</v>
      </c>
      <c r="N424" t="s">
        <v>26</v>
      </c>
      <c r="O424" s="8">
        <v>1.7226666669999999</v>
      </c>
      <c r="P424" s="8">
        <f>EXP(-1.363+3.366*LOG(O424,10))</f>
        <v>0.56668788662759551</v>
      </c>
      <c r="Q424" s="8">
        <f>(46623.23*100)/15165196</f>
        <v>0.30743572321782059</v>
      </c>
    </row>
    <row r="425" spans="1:17" x14ac:dyDescent="0.2">
      <c r="A425">
        <v>2011</v>
      </c>
      <c r="B425" t="s">
        <v>563</v>
      </c>
      <c r="C425" t="s">
        <v>94</v>
      </c>
      <c r="D425" t="s">
        <v>95</v>
      </c>
      <c r="E425">
        <v>7</v>
      </c>
      <c r="F425" t="s">
        <v>19</v>
      </c>
      <c r="G425" t="s">
        <v>352</v>
      </c>
      <c r="H425" t="s">
        <v>494</v>
      </c>
      <c r="I425" t="s">
        <v>22</v>
      </c>
      <c r="J425" t="s">
        <v>66</v>
      </c>
      <c r="K425" t="s">
        <v>24</v>
      </c>
      <c r="L425" t="s">
        <v>25</v>
      </c>
      <c r="M425" s="8">
        <v>1.7226666669999999</v>
      </c>
      <c r="N425" t="s">
        <v>26</v>
      </c>
      <c r="O425" s="8">
        <v>1.7226666669999999</v>
      </c>
      <c r="P425" s="8">
        <f>EXP(-1.363+3.366*LOG(O425,10))</f>
        <v>0.56668788662759551</v>
      </c>
      <c r="Q425" s="8">
        <f>(46623.23*100)/15165196</f>
        <v>0.30743572321782059</v>
      </c>
    </row>
    <row r="426" spans="1:17" x14ac:dyDescent="0.2">
      <c r="A426">
        <v>2011</v>
      </c>
      <c r="B426" t="s">
        <v>564</v>
      </c>
      <c r="C426" t="s">
        <v>94</v>
      </c>
      <c r="D426" t="s">
        <v>95</v>
      </c>
      <c r="E426">
        <v>7</v>
      </c>
      <c r="F426" t="s">
        <v>19</v>
      </c>
      <c r="G426" t="s">
        <v>352</v>
      </c>
      <c r="H426" t="s">
        <v>494</v>
      </c>
      <c r="I426" t="s">
        <v>22</v>
      </c>
      <c r="J426" t="s">
        <v>66</v>
      </c>
      <c r="K426" t="s">
        <v>24</v>
      </c>
      <c r="L426" t="s">
        <v>25</v>
      </c>
      <c r="M426" s="8">
        <v>1.7226666669999999</v>
      </c>
      <c r="N426" t="s">
        <v>26</v>
      </c>
      <c r="O426" s="8">
        <v>1.7226666669999999</v>
      </c>
      <c r="P426" s="8">
        <f>EXP(-1.363+3.366*LOG(O426,10))</f>
        <v>0.56668788662759551</v>
      </c>
      <c r="Q426" s="8">
        <f>(46623.23*100)/15165196</f>
        <v>0.30743572321782059</v>
      </c>
    </row>
    <row r="427" spans="1:17" x14ac:dyDescent="0.2">
      <c r="A427">
        <v>2011</v>
      </c>
      <c r="B427" t="s">
        <v>566</v>
      </c>
      <c r="C427" t="s">
        <v>94</v>
      </c>
      <c r="D427" t="s">
        <v>95</v>
      </c>
      <c r="E427">
        <v>7</v>
      </c>
      <c r="F427" t="s">
        <v>19</v>
      </c>
      <c r="G427" t="s">
        <v>352</v>
      </c>
      <c r="H427" t="s">
        <v>494</v>
      </c>
      <c r="I427" t="s">
        <v>22</v>
      </c>
      <c r="J427" t="s">
        <v>66</v>
      </c>
      <c r="K427" t="s">
        <v>24</v>
      </c>
      <c r="L427" t="s">
        <v>25</v>
      </c>
      <c r="M427" s="8">
        <v>1.7226666669999999</v>
      </c>
      <c r="N427" t="s">
        <v>26</v>
      </c>
      <c r="O427" s="8">
        <v>1.7226666669999999</v>
      </c>
      <c r="P427" s="8">
        <f>EXP(-1.363+3.366*LOG(O427,10))</f>
        <v>0.56668788662759551</v>
      </c>
      <c r="Q427" s="8">
        <f>(46623.23*100)/15165196</f>
        <v>0.30743572321782059</v>
      </c>
    </row>
    <row r="428" spans="1:17" x14ac:dyDescent="0.2">
      <c r="A428">
        <v>2011</v>
      </c>
      <c r="B428" t="s">
        <v>567</v>
      </c>
      <c r="C428" t="s">
        <v>94</v>
      </c>
      <c r="D428" t="s">
        <v>95</v>
      </c>
      <c r="E428">
        <v>7</v>
      </c>
      <c r="F428" t="s">
        <v>19</v>
      </c>
      <c r="G428" t="s">
        <v>352</v>
      </c>
      <c r="H428" t="s">
        <v>494</v>
      </c>
      <c r="I428" t="s">
        <v>22</v>
      </c>
      <c r="J428" t="s">
        <v>66</v>
      </c>
      <c r="K428" t="s">
        <v>24</v>
      </c>
      <c r="L428" t="s">
        <v>25</v>
      </c>
      <c r="M428" s="8">
        <v>1.7226666669999999</v>
      </c>
      <c r="N428" t="s">
        <v>26</v>
      </c>
      <c r="O428" s="8">
        <v>1.7226666669999999</v>
      </c>
      <c r="P428" s="8">
        <f>EXP(-1.363+3.366*LOG(O428,10))</f>
        <v>0.56668788662759551</v>
      </c>
      <c r="Q428" s="8">
        <f>(46623.23*100)/15165196</f>
        <v>0.30743572321782059</v>
      </c>
    </row>
    <row r="429" spans="1:17" x14ac:dyDescent="0.2">
      <c r="A429">
        <v>2011</v>
      </c>
      <c r="B429" t="s">
        <v>569</v>
      </c>
      <c r="C429" t="s">
        <v>94</v>
      </c>
      <c r="D429" t="s">
        <v>95</v>
      </c>
      <c r="E429">
        <v>7</v>
      </c>
      <c r="F429" t="s">
        <v>19</v>
      </c>
      <c r="G429" t="s">
        <v>352</v>
      </c>
      <c r="H429" t="s">
        <v>494</v>
      </c>
      <c r="I429" t="s">
        <v>22</v>
      </c>
      <c r="J429" t="s">
        <v>66</v>
      </c>
      <c r="K429" t="s">
        <v>24</v>
      </c>
      <c r="L429" t="s">
        <v>25</v>
      </c>
      <c r="M429" s="8">
        <v>1.7226666669999999</v>
      </c>
      <c r="N429" t="s">
        <v>26</v>
      </c>
      <c r="O429" s="8">
        <v>1.7226666669999999</v>
      </c>
      <c r="P429" s="8">
        <f>EXP(-1.363+3.366*LOG(O429,10))</f>
        <v>0.56668788662759551</v>
      </c>
      <c r="Q429" s="8">
        <f>(46623.23*100)/15165196</f>
        <v>0.30743572321782059</v>
      </c>
    </row>
    <row r="430" spans="1:17" x14ac:dyDescent="0.2">
      <c r="A430">
        <v>2011</v>
      </c>
      <c r="B430" t="s">
        <v>570</v>
      </c>
      <c r="C430" t="s">
        <v>94</v>
      </c>
      <c r="D430" t="s">
        <v>95</v>
      </c>
      <c r="E430">
        <v>7</v>
      </c>
      <c r="F430" t="s">
        <v>19</v>
      </c>
      <c r="G430" t="s">
        <v>352</v>
      </c>
      <c r="H430" t="s">
        <v>494</v>
      </c>
      <c r="I430" t="s">
        <v>22</v>
      </c>
      <c r="J430" t="s">
        <v>66</v>
      </c>
      <c r="K430" t="s">
        <v>24</v>
      </c>
      <c r="L430" t="s">
        <v>25</v>
      </c>
      <c r="M430" s="8">
        <v>1.7226666669999999</v>
      </c>
      <c r="N430" t="s">
        <v>26</v>
      </c>
      <c r="O430" s="8">
        <v>1.7226666669999999</v>
      </c>
      <c r="P430" s="8">
        <f>EXP(-1.363+3.366*LOG(O430,10))</f>
        <v>0.56668788662759551</v>
      </c>
      <c r="Q430" s="8">
        <f>(46623.23*100)/15165196</f>
        <v>0.30743572321782059</v>
      </c>
    </row>
    <row r="431" spans="1:17" x14ac:dyDescent="0.2">
      <c r="A431">
        <v>2011</v>
      </c>
      <c r="B431" t="s">
        <v>571</v>
      </c>
      <c r="C431" t="s">
        <v>65</v>
      </c>
      <c r="D431" t="s">
        <v>71</v>
      </c>
      <c r="E431">
        <v>7</v>
      </c>
      <c r="F431" t="s">
        <v>19</v>
      </c>
      <c r="G431" t="s">
        <v>352</v>
      </c>
      <c r="H431" t="s">
        <v>494</v>
      </c>
      <c r="I431" t="s">
        <v>22</v>
      </c>
      <c r="J431" t="s">
        <v>66</v>
      </c>
      <c r="K431" t="s">
        <v>24</v>
      </c>
      <c r="L431" t="s">
        <v>25</v>
      </c>
      <c r="M431" s="8">
        <v>1.7226666669999999</v>
      </c>
      <c r="N431" t="s">
        <v>26</v>
      </c>
      <c r="O431" s="8">
        <v>1.7226666669999999</v>
      </c>
      <c r="P431" s="8">
        <f>EXP(-1.363+3.366*LOG(O431,10))</f>
        <v>0.56668788662759551</v>
      </c>
      <c r="Q431" s="8">
        <f>(1788886*100)/6788946</f>
        <v>26.349981278389901</v>
      </c>
    </row>
    <row r="432" spans="1:17" x14ac:dyDescent="0.2">
      <c r="A432">
        <v>2011</v>
      </c>
      <c r="B432" t="s">
        <v>572</v>
      </c>
      <c r="C432" t="s">
        <v>65</v>
      </c>
      <c r="D432" t="s">
        <v>71</v>
      </c>
      <c r="E432">
        <v>7</v>
      </c>
      <c r="F432" t="s">
        <v>19</v>
      </c>
      <c r="G432" t="s">
        <v>352</v>
      </c>
      <c r="H432" t="s">
        <v>494</v>
      </c>
      <c r="I432" t="s">
        <v>22</v>
      </c>
      <c r="J432" t="s">
        <v>66</v>
      </c>
      <c r="K432" t="s">
        <v>24</v>
      </c>
      <c r="L432" t="s">
        <v>25</v>
      </c>
      <c r="M432" s="8">
        <v>1.7226666669999999</v>
      </c>
      <c r="N432" t="s">
        <v>26</v>
      </c>
      <c r="O432" s="8">
        <v>1.7226666669999999</v>
      </c>
      <c r="P432" s="8">
        <f>EXP(-1.363+3.366*LOG(O432,10))</f>
        <v>0.56668788662759551</v>
      </c>
      <c r="Q432" s="8">
        <f>(1788886*100)/6788946</f>
        <v>26.349981278389901</v>
      </c>
    </row>
    <row r="433" spans="1:17" x14ac:dyDescent="0.2">
      <c r="A433">
        <v>2011</v>
      </c>
      <c r="B433" t="s">
        <v>573</v>
      </c>
      <c r="C433" t="s">
        <v>89</v>
      </c>
      <c r="D433" t="s">
        <v>40</v>
      </c>
      <c r="E433">
        <v>6</v>
      </c>
      <c r="F433" t="s">
        <v>19</v>
      </c>
      <c r="G433" t="s">
        <v>352</v>
      </c>
      <c r="H433" t="s">
        <v>494</v>
      </c>
      <c r="I433" t="s">
        <v>22</v>
      </c>
      <c r="J433" t="s">
        <v>66</v>
      </c>
      <c r="K433" t="s">
        <v>24</v>
      </c>
      <c r="L433" t="s">
        <v>25</v>
      </c>
      <c r="M433" s="8">
        <v>1.7226666669999999</v>
      </c>
      <c r="N433" t="s">
        <v>26</v>
      </c>
      <c r="O433" s="8">
        <v>1.7226666669999999</v>
      </c>
      <c r="P433" s="8">
        <f>EXP(-1.363+3.366*LOG(O433,10))</f>
        <v>0.56668788662759551</v>
      </c>
      <c r="Q433" s="8">
        <f>(61997.93*100)/7298102</f>
        <v>0.84950758430068529</v>
      </c>
    </row>
    <row r="434" spans="1:17" x14ac:dyDescent="0.2">
      <c r="A434">
        <v>2011</v>
      </c>
      <c r="B434" t="s">
        <v>574</v>
      </c>
      <c r="C434" t="s">
        <v>89</v>
      </c>
      <c r="D434" t="s">
        <v>40</v>
      </c>
      <c r="E434">
        <v>6</v>
      </c>
      <c r="F434" t="s">
        <v>19</v>
      </c>
      <c r="G434" t="s">
        <v>352</v>
      </c>
      <c r="H434" t="s">
        <v>494</v>
      </c>
      <c r="I434" t="s">
        <v>22</v>
      </c>
      <c r="J434" t="s">
        <v>66</v>
      </c>
      <c r="K434" t="s">
        <v>24</v>
      </c>
      <c r="L434" t="s">
        <v>25</v>
      </c>
      <c r="M434" s="8">
        <v>1.7226666669999999</v>
      </c>
      <c r="N434" t="s">
        <v>26</v>
      </c>
      <c r="O434" s="8">
        <v>1.7226666669999999</v>
      </c>
      <c r="P434" s="8">
        <f>EXP(-1.363+3.366*LOG(O434,10))</f>
        <v>0.56668788662759551</v>
      </c>
      <c r="Q434" s="8">
        <f>(61997.93*100)/7298102</f>
        <v>0.84950758430068529</v>
      </c>
    </row>
    <row r="435" spans="1:17" x14ac:dyDescent="0.2">
      <c r="A435">
        <v>2011</v>
      </c>
      <c r="B435" t="s">
        <v>575</v>
      </c>
      <c r="C435" t="s">
        <v>89</v>
      </c>
      <c r="D435" t="s">
        <v>40</v>
      </c>
      <c r="E435">
        <v>6</v>
      </c>
      <c r="F435" t="s">
        <v>19</v>
      </c>
      <c r="G435" t="s">
        <v>352</v>
      </c>
      <c r="H435" t="s">
        <v>494</v>
      </c>
      <c r="I435" t="s">
        <v>22</v>
      </c>
      <c r="J435" t="s">
        <v>66</v>
      </c>
      <c r="K435" t="s">
        <v>24</v>
      </c>
      <c r="L435" t="s">
        <v>25</v>
      </c>
      <c r="M435" s="8">
        <v>1.7226666669999999</v>
      </c>
      <c r="N435" t="s">
        <v>26</v>
      </c>
      <c r="O435" s="8">
        <v>1.7226666669999999</v>
      </c>
      <c r="P435" s="8">
        <f>EXP(-1.363+3.366*LOG(O435,10))</f>
        <v>0.56668788662759551</v>
      </c>
      <c r="Q435" s="8">
        <f>(61997.93*100)/7298102</f>
        <v>0.84950758430068529</v>
      </c>
    </row>
    <row r="436" spans="1:17" x14ac:dyDescent="0.2">
      <c r="A436">
        <v>2011</v>
      </c>
      <c r="B436" t="s">
        <v>576</v>
      </c>
      <c r="C436" t="s">
        <v>89</v>
      </c>
      <c r="D436" t="s">
        <v>40</v>
      </c>
      <c r="E436">
        <v>6</v>
      </c>
      <c r="F436" t="s">
        <v>19</v>
      </c>
      <c r="G436" t="s">
        <v>352</v>
      </c>
      <c r="H436" t="s">
        <v>494</v>
      </c>
      <c r="I436" t="s">
        <v>22</v>
      </c>
      <c r="J436" t="s">
        <v>66</v>
      </c>
      <c r="K436" t="s">
        <v>24</v>
      </c>
      <c r="L436" t="s">
        <v>25</v>
      </c>
      <c r="M436" s="8">
        <v>1.7226666669999999</v>
      </c>
      <c r="N436" t="s">
        <v>26</v>
      </c>
      <c r="O436" s="8">
        <v>1.7226666669999999</v>
      </c>
      <c r="P436" s="8">
        <f>EXP(-1.363+3.366*LOG(O436,10))</f>
        <v>0.56668788662759551</v>
      </c>
      <c r="Q436" s="8">
        <f>(61997.93*100)/7298102</f>
        <v>0.84950758430068529</v>
      </c>
    </row>
    <row r="437" spans="1:17" x14ac:dyDescent="0.2">
      <c r="A437">
        <v>2011</v>
      </c>
      <c r="B437" t="s">
        <v>577</v>
      </c>
      <c r="C437" t="s">
        <v>89</v>
      </c>
      <c r="D437" t="s">
        <v>40</v>
      </c>
      <c r="E437">
        <v>6</v>
      </c>
      <c r="F437" t="s">
        <v>19</v>
      </c>
      <c r="G437" t="s">
        <v>352</v>
      </c>
      <c r="H437" t="s">
        <v>494</v>
      </c>
      <c r="I437" t="s">
        <v>22</v>
      </c>
      <c r="J437" t="s">
        <v>66</v>
      </c>
      <c r="K437" t="s">
        <v>24</v>
      </c>
      <c r="L437" t="s">
        <v>25</v>
      </c>
      <c r="M437" s="8">
        <v>1.7226666669999999</v>
      </c>
      <c r="N437" t="s">
        <v>26</v>
      </c>
      <c r="O437" s="8">
        <v>1.7226666669999999</v>
      </c>
      <c r="P437" s="8">
        <f>EXP(-1.363+3.366*LOG(O437,10))</f>
        <v>0.56668788662759551</v>
      </c>
      <c r="Q437" s="8">
        <f>(61997.93*100)/7298102</f>
        <v>0.84950758430068529</v>
      </c>
    </row>
    <row r="438" spans="1:17" x14ac:dyDescent="0.2">
      <c r="A438">
        <v>2011</v>
      </c>
      <c r="B438" t="s">
        <v>578</v>
      </c>
      <c r="C438" t="s">
        <v>89</v>
      </c>
      <c r="D438" t="s">
        <v>40</v>
      </c>
      <c r="E438">
        <v>6</v>
      </c>
      <c r="F438" t="s">
        <v>19</v>
      </c>
      <c r="G438" t="s">
        <v>352</v>
      </c>
      <c r="H438" t="s">
        <v>494</v>
      </c>
      <c r="I438" t="s">
        <v>22</v>
      </c>
      <c r="J438" t="s">
        <v>66</v>
      </c>
      <c r="K438" t="s">
        <v>24</v>
      </c>
      <c r="L438" t="s">
        <v>25</v>
      </c>
      <c r="M438" s="8">
        <v>1.7226666669999999</v>
      </c>
      <c r="N438" t="s">
        <v>26</v>
      </c>
      <c r="O438" s="8">
        <v>1.7226666669999999</v>
      </c>
      <c r="P438" s="8">
        <f>EXP(-1.363+3.366*LOG(O438,10))</f>
        <v>0.56668788662759551</v>
      </c>
      <c r="Q438" s="8">
        <f>(61997.93*100)/7298102</f>
        <v>0.84950758430068529</v>
      </c>
    </row>
    <row r="439" spans="1:17" x14ac:dyDescent="0.2">
      <c r="A439">
        <v>2011</v>
      </c>
      <c r="B439" t="s">
        <v>579</v>
      </c>
      <c r="C439" t="s">
        <v>89</v>
      </c>
      <c r="D439" t="s">
        <v>40</v>
      </c>
      <c r="E439">
        <v>6</v>
      </c>
      <c r="F439" t="s">
        <v>19</v>
      </c>
      <c r="G439" t="s">
        <v>352</v>
      </c>
      <c r="H439" t="s">
        <v>494</v>
      </c>
      <c r="I439" t="s">
        <v>22</v>
      </c>
      <c r="J439" t="s">
        <v>66</v>
      </c>
      <c r="K439" t="s">
        <v>24</v>
      </c>
      <c r="L439" t="s">
        <v>25</v>
      </c>
      <c r="M439" s="8">
        <v>1.7226666669999999</v>
      </c>
      <c r="N439" t="s">
        <v>26</v>
      </c>
      <c r="O439" s="8">
        <v>1.7226666669999999</v>
      </c>
      <c r="P439" s="8">
        <f>EXP(-1.363+3.366*LOG(O439,10))</f>
        <v>0.56668788662759551</v>
      </c>
      <c r="Q439" s="8">
        <f>(61997.93*100)/7298102</f>
        <v>0.84950758430068529</v>
      </c>
    </row>
    <row r="440" spans="1:17" x14ac:dyDescent="0.2">
      <c r="A440">
        <v>2011</v>
      </c>
      <c r="B440" t="s">
        <v>580</v>
      </c>
      <c r="C440" t="s">
        <v>89</v>
      </c>
      <c r="D440" t="s">
        <v>40</v>
      </c>
      <c r="E440">
        <v>6</v>
      </c>
      <c r="F440" t="s">
        <v>19</v>
      </c>
      <c r="G440" t="s">
        <v>352</v>
      </c>
      <c r="H440" t="s">
        <v>494</v>
      </c>
      <c r="I440" t="s">
        <v>22</v>
      </c>
      <c r="J440" t="s">
        <v>66</v>
      </c>
      <c r="K440" t="s">
        <v>24</v>
      </c>
      <c r="L440" t="s">
        <v>25</v>
      </c>
      <c r="M440" s="8">
        <v>1.7226666669999999</v>
      </c>
      <c r="N440" t="s">
        <v>26</v>
      </c>
      <c r="O440" s="8">
        <v>1.7226666669999999</v>
      </c>
      <c r="P440" s="8">
        <f>EXP(-1.363+3.366*LOG(O440,10))</f>
        <v>0.56668788662759551</v>
      </c>
      <c r="Q440" s="8">
        <f>(61997.93*100)/7298102</f>
        <v>0.84950758430068529</v>
      </c>
    </row>
    <row r="441" spans="1:17" x14ac:dyDescent="0.2">
      <c r="A441">
        <v>2011</v>
      </c>
      <c r="B441" t="s">
        <v>581</v>
      </c>
      <c r="C441" t="s">
        <v>89</v>
      </c>
      <c r="D441" t="s">
        <v>40</v>
      </c>
      <c r="E441">
        <v>6</v>
      </c>
      <c r="F441" t="s">
        <v>19</v>
      </c>
      <c r="G441" t="s">
        <v>352</v>
      </c>
      <c r="H441" t="s">
        <v>494</v>
      </c>
      <c r="I441" t="s">
        <v>22</v>
      </c>
      <c r="J441" t="s">
        <v>66</v>
      </c>
      <c r="K441" t="s">
        <v>24</v>
      </c>
      <c r="L441" t="s">
        <v>25</v>
      </c>
      <c r="M441" s="8">
        <v>1.7226666669999999</v>
      </c>
      <c r="N441" t="s">
        <v>26</v>
      </c>
      <c r="O441" s="8">
        <v>1.7226666669999999</v>
      </c>
      <c r="P441" s="8">
        <f>EXP(-1.363+3.366*LOG(O441,10))</f>
        <v>0.56668788662759551</v>
      </c>
      <c r="Q441" s="8">
        <f>(61997.93*100)/7298102</f>
        <v>0.84950758430068529</v>
      </c>
    </row>
    <row r="442" spans="1:17" x14ac:dyDescent="0.2">
      <c r="A442">
        <v>2011</v>
      </c>
      <c r="B442" t="s">
        <v>582</v>
      </c>
      <c r="C442" t="s">
        <v>89</v>
      </c>
      <c r="D442" t="s">
        <v>40</v>
      </c>
      <c r="E442">
        <v>6</v>
      </c>
      <c r="F442" t="s">
        <v>19</v>
      </c>
      <c r="G442" t="s">
        <v>352</v>
      </c>
      <c r="H442" t="s">
        <v>494</v>
      </c>
      <c r="I442" t="s">
        <v>22</v>
      </c>
      <c r="J442" t="s">
        <v>66</v>
      </c>
      <c r="K442" t="s">
        <v>24</v>
      </c>
      <c r="L442" t="s">
        <v>25</v>
      </c>
      <c r="M442" s="8">
        <v>1.7226666669999999</v>
      </c>
      <c r="N442" t="s">
        <v>26</v>
      </c>
      <c r="O442" s="8">
        <v>1.7226666669999999</v>
      </c>
      <c r="P442" s="8">
        <f>EXP(-1.363+3.366*LOG(O442,10))</f>
        <v>0.56668788662759551</v>
      </c>
      <c r="Q442" s="8">
        <f>(61997.93*100)/7298102</f>
        <v>0.84950758430068529</v>
      </c>
    </row>
    <row r="443" spans="1:17" x14ac:dyDescent="0.2">
      <c r="A443">
        <v>2011</v>
      </c>
      <c r="B443" t="s">
        <v>583</v>
      </c>
      <c r="C443" t="s">
        <v>89</v>
      </c>
      <c r="D443" t="s">
        <v>40</v>
      </c>
      <c r="E443">
        <v>6</v>
      </c>
      <c r="F443" t="s">
        <v>19</v>
      </c>
      <c r="G443" t="s">
        <v>352</v>
      </c>
      <c r="H443" t="s">
        <v>494</v>
      </c>
      <c r="I443" t="s">
        <v>22</v>
      </c>
      <c r="J443" t="s">
        <v>66</v>
      </c>
      <c r="K443" t="s">
        <v>24</v>
      </c>
      <c r="L443" t="s">
        <v>25</v>
      </c>
      <c r="M443" s="8">
        <v>1.7226666669999999</v>
      </c>
      <c r="N443" t="s">
        <v>26</v>
      </c>
      <c r="O443" s="8">
        <v>1.7226666669999999</v>
      </c>
      <c r="P443" s="8">
        <f>EXP(-1.363+3.366*LOG(O443,10))</f>
        <v>0.56668788662759551</v>
      </c>
      <c r="Q443" s="8">
        <f>(61997.93*100)/7298102</f>
        <v>0.84950758430068529</v>
      </c>
    </row>
    <row r="444" spans="1:17" x14ac:dyDescent="0.2">
      <c r="A444">
        <v>2011</v>
      </c>
      <c r="B444" t="s">
        <v>584</v>
      </c>
      <c r="C444" t="s">
        <v>89</v>
      </c>
      <c r="D444" t="s">
        <v>40</v>
      </c>
      <c r="E444">
        <v>6</v>
      </c>
      <c r="F444" t="s">
        <v>19</v>
      </c>
      <c r="G444" t="s">
        <v>352</v>
      </c>
      <c r="H444" t="s">
        <v>494</v>
      </c>
      <c r="I444" t="s">
        <v>22</v>
      </c>
      <c r="J444" t="s">
        <v>66</v>
      </c>
      <c r="K444" t="s">
        <v>24</v>
      </c>
      <c r="L444" t="s">
        <v>25</v>
      </c>
      <c r="M444" s="8">
        <v>1.7226666669999999</v>
      </c>
      <c r="N444" t="s">
        <v>26</v>
      </c>
      <c r="O444" s="8">
        <v>1.7226666669999999</v>
      </c>
      <c r="P444" s="8">
        <f>EXP(-1.363+3.366*LOG(O444,10))</f>
        <v>0.56668788662759551</v>
      </c>
      <c r="Q444" s="8">
        <f>(61997.93*100)/7298102</f>
        <v>0.84950758430068529</v>
      </c>
    </row>
    <row r="445" spans="1:17" x14ac:dyDescent="0.2">
      <c r="A445">
        <v>2011</v>
      </c>
      <c r="B445" t="s">
        <v>588</v>
      </c>
      <c r="C445" t="s">
        <v>60</v>
      </c>
      <c r="D445" t="s">
        <v>190</v>
      </c>
      <c r="E445">
        <v>7</v>
      </c>
      <c r="F445" t="s">
        <v>19</v>
      </c>
      <c r="G445" t="s">
        <v>352</v>
      </c>
      <c r="H445" t="s">
        <v>494</v>
      </c>
      <c r="I445" t="s">
        <v>22</v>
      </c>
      <c r="J445" t="s">
        <v>31</v>
      </c>
      <c r="K445" t="s">
        <v>24</v>
      </c>
      <c r="L445" t="s">
        <v>25</v>
      </c>
      <c r="M445" s="8">
        <v>1.7226666669999999</v>
      </c>
      <c r="N445" t="s">
        <v>26</v>
      </c>
      <c r="O445" s="8">
        <v>1.7226666669999999</v>
      </c>
      <c r="P445" s="8">
        <f>EXP(-1.363+3.366*LOG(O445,10))</f>
        <v>0.56668788662759551</v>
      </c>
      <c r="Q445" s="8">
        <f>(27433.05*100)/7611378</f>
        <v>0.36042159514348127</v>
      </c>
    </row>
    <row r="446" spans="1:17" x14ac:dyDescent="0.2">
      <c r="A446">
        <v>2011</v>
      </c>
      <c r="B446" t="s">
        <v>589</v>
      </c>
      <c r="C446" t="s">
        <v>60</v>
      </c>
      <c r="D446" t="s">
        <v>190</v>
      </c>
      <c r="E446">
        <v>7</v>
      </c>
      <c r="F446" t="s">
        <v>19</v>
      </c>
      <c r="G446" t="s">
        <v>352</v>
      </c>
      <c r="H446" t="s">
        <v>494</v>
      </c>
      <c r="I446" t="s">
        <v>22</v>
      </c>
      <c r="J446" t="s">
        <v>31</v>
      </c>
      <c r="K446" t="s">
        <v>24</v>
      </c>
      <c r="L446" t="s">
        <v>25</v>
      </c>
      <c r="M446" s="8">
        <v>1.7226666669999999</v>
      </c>
      <c r="N446" t="s">
        <v>26</v>
      </c>
      <c r="O446" s="8">
        <v>1.7226666669999999</v>
      </c>
      <c r="P446" s="8">
        <f>EXP(-1.363+3.366*LOG(O446,10))</f>
        <v>0.56668788662759551</v>
      </c>
      <c r="Q446" s="8">
        <f>(27433.05*100)/7611378</f>
        <v>0.36042159514348127</v>
      </c>
    </row>
    <row r="447" spans="1:17" x14ac:dyDescent="0.2">
      <c r="A447">
        <v>2011</v>
      </c>
      <c r="B447" t="s">
        <v>590</v>
      </c>
      <c r="C447" t="s">
        <v>60</v>
      </c>
      <c r="D447" t="s">
        <v>190</v>
      </c>
      <c r="E447">
        <v>7</v>
      </c>
      <c r="F447" t="s">
        <v>19</v>
      </c>
      <c r="G447" t="s">
        <v>352</v>
      </c>
      <c r="H447" t="s">
        <v>494</v>
      </c>
      <c r="I447" t="s">
        <v>22</v>
      </c>
      <c r="J447" t="s">
        <v>31</v>
      </c>
      <c r="K447" t="s">
        <v>24</v>
      </c>
      <c r="L447" t="s">
        <v>25</v>
      </c>
      <c r="M447" s="8">
        <v>1.7226666669999999</v>
      </c>
      <c r="N447" t="s">
        <v>26</v>
      </c>
      <c r="O447" s="8">
        <v>1.7226666669999999</v>
      </c>
      <c r="P447" s="8">
        <f>EXP(-1.363+3.366*LOG(O447,10))</f>
        <v>0.56668788662759551</v>
      </c>
      <c r="Q447" s="8">
        <f>(27433.05*100)/7611378</f>
        <v>0.36042159514348127</v>
      </c>
    </row>
    <row r="448" spans="1:17" x14ac:dyDescent="0.2">
      <c r="A448">
        <v>2011</v>
      </c>
      <c r="B448" t="s">
        <v>593</v>
      </c>
      <c r="C448" t="s">
        <v>60</v>
      </c>
      <c r="D448" t="s">
        <v>190</v>
      </c>
      <c r="E448">
        <v>7</v>
      </c>
      <c r="F448" t="s">
        <v>19</v>
      </c>
      <c r="G448" t="s">
        <v>352</v>
      </c>
      <c r="H448" t="s">
        <v>494</v>
      </c>
      <c r="I448" t="s">
        <v>22</v>
      </c>
      <c r="J448" t="s">
        <v>31</v>
      </c>
      <c r="K448" t="s">
        <v>24</v>
      </c>
      <c r="L448" t="s">
        <v>25</v>
      </c>
      <c r="M448" s="8">
        <v>1.7226666669999999</v>
      </c>
      <c r="N448" t="s">
        <v>26</v>
      </c>
      <c r="O448" s="8">
        <v>1.7226666669999999</v>
      </c>
      <c r="P448" s="8">
        <f>EXP(-1.363+3.366*LOG(O448,10))</f>
        <v>0.56668788662759551</v>
      </c>
      <c r="Q448" s="8">
        <f>(27433.05*100)/7611378</f>
        <v>0.36042159514348127</v>
      </c>
    </row>
    <row r="449" spans="1:17" x14ac:dyDescent="0.2">
      <c r="A449">
        <v>2011</v>
      </c>
      <c r="B449" t="s">
        <v>594</v>
      </c>
      <c r="C449" t="s">
        <v>60</v>
      </c>
      <c r="D449" t="s">
        <v>190</v>
      </c>
      <c r="E449">
        <v>7</v>
      </c>
      <c r="F449" t="s">
        <v>19</v>
      </c>
      <c r="G449" t="s">
        <v>352</v>
      </c>
      <c r="H449" t="s">
        <v>494</v>
      </c>
      <c r="I449" t="s">
        <v>22</v>
      </c>
      <c r="J449" t="s">
        <v>31</v>
      </c>
      <c r="K449" t="s">
        <v>24</v>
      </c>
      <c r="L449" t="s">
        <v>25</v>
      </c>
      <c r="M449" s="8">
        <v>1.7226666669999999</v>
      </c>
      <c r="N449" t="s">
        <v>26</v>
      </c>
      <c r="O449" s="8">
        <v>1.7226666669999999</v>
      </c>
      <c r="P449" s="8">
        <f>EXP(-1.363+3.366*LOG(O449,10))</f>
        <v>0.56668788662759551</v>
      </c>
      <c r="Q449" s="8">
        <f>(27433.05*100)/7611378</f>
        <v>0.36042159514348127</v>
      </c>
    </row>
    <row r="450" spans="1:17" x14ac:dyDescent="0.2">
      <c r="A450">
        <v>2011</v>
      </c>
      <c r="B450" t="s">
        <v>595</v>
      </c>
      <c r="C450" t="s">
        <v>52</v>
      </c>
      <c r="D450" t="s">
        <v>58</v>
      </c>
      <c r="E450">
        <v>6</v>
      </c>
      <c r="F450" t="s">
        <v>19</v>
      </c>
      <c r="G450" t="s">
        <v>352</v>
      </c>
      <c r="H450" t="s">
        <v>494</v>
      </c>
      <c r="I450" t="s">
        <v>22</v>
      </c>
      <c r="J450" t="s">
        <v>42</v>
      </c>
      <c r="K450" t="s">
        <v>24</v>
      </c>
      <c r="L450" t="s">
        <v>25</v>
      </c>
      <c r="M450" s="8">
        <v>1.7226666669999999</v>
      </c>
      <c r="N450" t="s">
        <v>26</v>
      </c>
      <c r="O450" s="8">
        <v>1.7226666669999999</v>
      </c>
      <c r="P450" s="8">
        <f>EXP(-1.363+3.366*LOG(O450,10))</f>
        <v>0.56668788662759551</v>
      </c>
      <c r="Q450" s="8">
        <f>(1626350*100)/1973941</f>
        <v>82.391013713175823</v>
      </c>
    </row>
    <row r="451" spans="1:17" x14ac:dyDescent="0.2">
      <c r="A451">
        <v>2011</v>
      </c>
      <c r="B451" t="s">
        <v>596</v>
      </c>
      <c r="C451" t="s">
        <v>60</v>
      </c>
      <c r="D451" t="s">
        <v>61</v>
      </c>
      <c r="E451">
        <v>6</v>
      </c>
      <c r="F451" t="s">
        <v>19</v>
      </c>
      <c r="G451" t="s">
        <v>352</v>
      </c>
      <c r="H451" t="s">
        <v>597</v>
      </c>
      <c r="I451" t="s">
        <v>22</v>
      </c>
      <c r="J451" t="s">
        <v>31</v>
      </c>
      <c r="K451" t="s">
        <v>24</v>
      </c>
      <c r="L451" t="s">
        <v>25</v>
      </c>
      <c r="M451" s="8" t="s">
        <v>26</v>
      </c>
      <c r="N451" t="s">
        <v>26</v>
      </c>
      <c r="O451" s="8" t="s">
        <v>26</v>
      </c>
      <c r="P451" s="8" t="s">
        <v>26</v>
      </c>
      <c r="Q451" s="8">
        <f>(27433.05*100)/7611378</f>
        <v>0.36042159514348127</v>
      </c>
    </row>
    <row r="452" spans="1:17" x14ac:dyDescent="0.2">
      <c r="A452">
        <v>2011</v>
      </c>
      <c r="B452" t="s">
        <v>598</v>
      </c>
      <c r="C452" t="s">
        <v>120</v>
      </c>
      <c r="D452" t="s">
        <v>71</v>
      </c>
      <c r="E452">
        <v>7</v>
      </c>
      <c r="F452" t="s">
        <v>19</v>
      </c>
      <c r="G452" t="s">
        <v>352</v>
      </c>
      <c r="H452" t="s">
        <v>599</v>
      </c>
      <c r="I452" t="s">
        <v>22</v>
      </c>
      <c r="J452" t="s">
        <v>23</v>
      </c>
      <c r="K452" t="s">
        <v>24</v>
      </c>
      <c r="L452" t="s">
        <v>25</v>
      </c>
      <c r="M452" s="8">
        <v>1.2589999999999999</v>
      </c>
      <c r="N452" t="s">
        <v>26</v>
      </c>
      <c r="O452" s="8">
        <v>1.2589999999999999</v>
      </c>
      <c r="P452" s="8">
        <f>EXP(-1.363+3.366*LOG(O452,10))</f>
        <v>0.35832553416118129</v>
      </c>
      <c r="Q452" s="8">
        <f>(2256192*100)/6055896</f>
        <v>37.256121967748456</v>
      </c>
    </row>
    <row r="453" spans="1:17" x14ac:dyDescent="0.2">
      <c r="A453">
        <v>2011</v>
      </c>
      <c r="B453" t="s">
        <v>600</v>
      </c>
      <c r="C453" t="s">
        <v>60</v>
      </c>
      <c r="D453" t="s">
        <v>61</v>
      </c>
      <c r="E453">
        <v>6</v>
      </c>
      <c r="F453" t="s">
        <v>19</v>
      </c>
      <c r="G453" t="s">
        <v>352</v>
      </c>
      <c r="H453" t="s">
        <v>599</v>
      </c>
      <c r="I453" t="s">
        <v>22</v>
      </c>
      <c r="J453" t="s">
        <v>31</v>
      </c>
      <c r="K453" t="s">
        <v>24</v>
      </c>
      <c r="L453" t="s">
        <v>25</v>
      </c>
      <c r="M453" s="8">
        <v>1.2589999999999999</v>
      </c>
      <c r="N453" t="s">
        <v>26</v>
      </c>
      <c r="O453" s="8">
        <v>1.2589999999999999</v>
      </c>
      <c r="P453" s="8">
        <f>EXP(-1.363+3.366*LOG(O453,10))</f>
        <v>0.35832553416118129</v>
      </c>
      <c r="Q453" s="8">
        <f>(27433.05*100)/7611378</f>
        <v>0.36042159514348127</v>
      </c>
    </row>
    <row r="454" spans="1:17" x14ac:dyDescent="0.2">
      <c r="A454">
        <v>2011</v>
      </c>
      <c r="B454" t="s">
        <v>601</v>
      </c>
      <c r="C454" t="s">
        <v>60</v>
      </c>
      <c r="D454" t="s">
        <v>61</v>
      </c>
      <c r="E454">
        <v>6</v>
      </c>
      <c r="F454" t="s">
        <v>19</v>
      </c>
      <c r="G454" t="s">
        <v>352</v>
      </c>
      <c r="H454" t="s">
        <v>599</v>
      </c>
      <c r="I454" t="s">
        <v>22</v>
      </c>
      <c r="J454" t="s">
        <v>31</v>
      </c>
      <c r="K454" t="s">
        <v>24</v>
      </c>
      <c r="L454" t="s">
        <v>25</v>
      </c>
      <c r="M454" s="8">
        <v>1.2589999999999999</v>
      </c>
      <c r="N454" t="s">
        <v>26</v>
      </c>
      <c r="O454" s="8">
        <v>1.2589999999999999</v>
      </c>
      <c r="P454" s="8">
        <f>EXP(-1.363+3.366*LOG(O454,10))</f>
        <v>0.35832553416118129</v>
      </c>
      <c r="Q454" s="8">
        <f>(27433.05*100)/7611378</f>
        <v>0.36042159514348127</v>
      </c>
    </row>
    <row r="455" spans="1:17" x14ac:dyDescent="0.2">
      <c r="A455">
        <v>2011</v>
      </c>
      <c r="B455" t="s">
        <v>602</v>
      </c>
      <c r="C455" t="s">
        <v>65</v>
      </c>
      <c r="D455" t="s">
        <v>71</v>
      </c>
      <c r="E455">
        <v>7</v>
      </c>
      <c r="F455" t="s">
        <v>19</v>
      </c>
      <c r="G455" t="s">
        <v>352</v>
      </c>
      <c r="H455" t="s">
        <v>599</v>
      </c>
      <c r="I455" t="s">
        <v>22</v>
      </c>
      <c r="J455" t="s">
        <v>66</v>
      </c>
      <c r="K455" t="s">
        <v>24</v>
      </c>
      <c r="L455" t="s">
        <v>25</v>
      </c>
      <c r="M455" s="8">
        <v>1.2589999999999999</v>
      </c>
      <c r="N455" t="s">
        <v>26</v>
      </c>
      <c r="O455" s="8">
        <v>1.2589999999999999</v>
      </c>
      <c r="P455" s="8">
        <f>EXP(-1.363+3.366*LOG(O455,10))</f>
        <v>0.35832553416118129</v>
      </c>
      <c r="Q455" s="8">
        <f>(1788886*100)/6788946</f>
        <v>26.349981278389901</v>
      </c>
    </row>
    <row r="456" spans="1:17" x14ac:dyDescent="0.2">
      <c r="A456">
        <v>2011</v>
      </c>
      <c r="B456" t="s">
        <v>603</v>
      </c>
      <c r="C456" t="s">
        <v>120</v>
      </c>
      <c r="D456" t="s">
        <v>58</v>
      </c>
      <c r="E456">
        <v>6</v>
      </c>
      <c r="F456" t="s">
        <v>19</v>
      </c>
      <c r="G456" t="s">
        <v>352</v>
      </c>
      <c r="H456" t="s">
        <v>599</v>
      </c>
      <c r="I456" t="s">
        <v>22</v>
      </c>
      <c r="J456" t="s">
        <v>23</v>
      </c>
      <c r="K456" t="s">
        <v>24</v>
      </c>
      <c r="L456" t="s">
        <v>25</v>
      </c>
      <c r="M456" s="8">
        <v>1.2589999999999999</v>
      </c>
      <c r="N456" t="s">
        <v>26</v>
      </c>
      <c r="O456" s="8">
        <v>1.2589999999999999</v>
      </c>
      <c r="P456" s="8">
        <f>EXP(-1.363+3.366*LOG(O456,10))</f>
        <v>0.35832553416118129</v>
      </c>
      <c r="Q456" s="8">
        <f>(2256192*100)/6055896</f>
        <v>37.256121967748456</v>
      </c>
    </row>
    <row r="457" spans="1:17" x14ac:dyDescent="0.2">
      <c r="A457">
        <v>2011</v>
      </c>
      <c r="B457" t="s">
        <v>604</v>
      </c>
      <c r="C457" t="s">
        <v>120</v>
      </c>
      <c r="D457" t="s">
        <v>58</v>
      </c>
      <c r="E457">
        <v>6</v>
      </c>
      <c r="F457" t="s">
        <v>19</v>
      </c>
      <c r="G457" t="s">
        <v>352</v>
      </c>
      <c r="H457" t="s">
        <v>599</v>
      </c>
      <c r="I457" t="s">
        <v>22</v>
      </c>
      <c r="J457" t="s">
        <v>23</v>
      </c>
      <c r="K457" t="s">
        <v>24</v>
      </c>
      <c r="L457" t="s">
        <v>25</v>
      </c>
      <c r="M457" s="8">
        <v>1.2589999999999999</v>
      </c>
      <c r="N457" t="s">
        <v>26</v>
      </c>
      <c r="O457" s="8">
        <v>1.2589999999999999</v>
      </c>
      <c r="P457" s="8">
        <f>EXP(-1.363+3.366*LOG(O457,10))</f>
        <v>0.35832553416118129</v>
      </c>
      <c r="Q457" s="8">
        <f>(2256192*100)/6055896</f>
        <v>37.256121967748456</v>
      </c>
    </row>
    <row r="458" spans="1:17" x14ac:dyDescent="0.2">
      <c r="A458">
        <v>2011</v>
      </c>
      <c r="B458" t="s">
        <v>605</v>
      </c>
      <c r="C458" t="s">
        <v>57</v>
      </c>
      <c r="D458" t="s">
        <v>58</v>
      </c>
      <c r="E458">
        <v>6</v>
      </c>
      <c r="F458" t="s">
        <v>19</v>
      </c>
      <c r="G458" t="s">
        <v>352</v>
      </c>
      <c r="H458" t="s">
        <v>599</v>
      </c>
      <c r="I458" t="s">
        <v>22</v>
      </c>
      <c r="J458" t="s">
        <v>31</v>
      </c>
      <c r="K458" t="s">
        <v>24</v>
      </c>
      <c r="L458" t="s">
        <v>25</v>
      </c>
      <c r="M458" s="8">
        <v>1.2589999999999999</v>
      </c>
      <c r="N458" t="s">
        <v>26</v>
      </c>
      <c r="O458" s="8">
        <v>1.2589999999999999</v>
      </c>
      <c r="P458" s="8">
        <f>EXP(-1.363+3.366*LOG(O458,10))</f>
        <v>0.35832553416118129</v>
      </c>
      <c r="Q458" s="8">
        <f>(321151.3*100)/5927002</f>
        <v>5.4184442657518925</v>
      </c>
    </row>
    <row r="459" spans="1:17" x14ac:dyDescent="0.2">
      <c r="A459">
        <v>2011</v>
      </c>
      <c r="B459" t="s">
        <v>606</v>
      </c>
      <c r="C459" t="s">
        <v>30</v>
      </c>
      <c r="D459" t="s">
        <v>63</v>
      </c>
      <c r="E459">
        <v>6</v>
      </c>
      <c r="F459" t="s">
        <v>19</v>
      </c>
      <c r="G459" t="s">
        <v>352</v>
      </c>
      <c r="H459" t="s">
        <v>599</v>
      </c>
      <c r="I459" t="s">
        <v>22</v>
      </c>
      <c r="J459" t="s">
        <v>31</v>
      </c>
      <c r="K459" t="s">
        <v>24</v>
      </c>
      <c r="L459" t="s">
        <v>25</v>
      </c>
      <c r="M459" s="8">
        <v>1.2589999999999999</v>
      </c>
      <c r="N459" t="s">
        <v>26</v>
      </c>
      <c r="O459" s="8">
        <v>1.2589999999999999</v>
      </c>
      <c r="P459" s="8">
        <f>EXP(-1.363+3.366*LOG(O459,10))</f>
        <v>0.35832553416118129</v>
      </c>
      <c r="Q459" s="8">
        <f>(34897.31*100)/4728180</f>
        <v>0.73807067412831151</v>
      </c>
    </row>
    <row r="460" spans="1:17" x14ac:dyDescent="0.2">
      <c r="A460">
        <v>2011</v>
      </c>
      <c r="B460" t="s">
        <v>607</v>
      </c>
      <c r="C460" t="s">
        <v>94</v>
      </c>
      <c r="D460" t="s">
        <v>63</v>
      </c>
      <c r="E460">
        <v>6</v>
      </c>
      <c r="F460" t="s">
        <v>19</v>
      </c>
      <c r="G460" t="s">
        <v>352</v>
      </c>
      <c r="H460" t="s">
        <v>599</v>
      </c>
      <c r="I460" t="s">
        <v>22</v>
      </c>
      <c r="J460" t="s">
        <v>66</v>
      </c>
      <c r="K460" t="s">
        <v>24</v>
      </c>
      <c r="L460" t="s">
        <v>25</v>
      </c>
      <c r="M460" s="8">
        <v>1.2589999999999999</v>
      </c>
      <c r="N460" t="s">
        <v>26</v>
      </c>
      <c r="O460" s="8">
        <v>1.2589999999999999</v>
      </c>
      <c r="P460" s="8">
        <f>EXP(-1.363+3.366*LOG(O460,10))</f>
        <v>0.35832553416118129</v>
      </c>
      <c r="Q460" s="8">
        <f>(46623.23*100)/15165196</f>
        <v>0.30743572321782059</v>
      </c>
    </row>
    <row r="461" spans="1:17" x14ac:dyDescent="0.2">
      <c r="A461">
        <v>2011</v>
      </c>
      <c r="B461" t="s">
        <v>608</v>
      </c>
      <c r="C461" t="s">
        <v>65</v>
      </c>
      <c r="D461" t="s">
        <v>71</v>
      </c>
      <c r="E461">
        <v>7</v>
      </c>
      <c r="F461" t="s">
        <v>19</v>
      </c>
      <c r="G461" t="s">
        <v>352</v>
      </c>
      <c r="H461" t="s">
        <v>599</v>
      </c>
      <c r="I461" t="s">
        <v>22</v>
      </c>
      <c r="J461" t="s">
        <v>66</v>
      </c>
      <c r="K461" t="s">
        <v>24</v>
      </c>
      <c r="L461" t="s">
        <v>25</v>
      </c>
      <c r="M461" s="8">
        <v>1.2589999999999999</v>
      </c>
      <c r="N461" t="s">
        <v>26</v>
      </c>
      <c r="O461" s="8">
        <v>1.2589999999999999</v>
      </c>
      <c r="P461" s="8">
        <f>EXP(-1.363+3.366*LOG(O461,10))</f>
        <v>0.35832553416118129</v>
      </c>
      <c r="Q461" s="8">
        <f>(1788886*100)/6788946</f>
        <v>26.349981278389901</v>
      </c>
    </row>
    <row r="462" spans="1:17" x14ac:dyDescent="0.2">
      <c r="A462">
        <v>2011</v>
      </c>
      <c r="B462" t="s">
        <v>609</v>
      </c>
      <c r="C462" t="s">
        <v>60</v>
      </c>
      <c r="D462" t="s">
        <v>53</v>
      </c>
      <c r="E462">
        <v>6</v>
      </c>
      <c r="F462" t="s">
        <v>19</v>
      </c>
      <c r="G462" t="s">
        <v>352</v>
      </c>
      <c r="H462" t="s">
        <v>610</v>
      </c>
      <c r="I462" t="s">
        <v>22</v>
      </c>
      <c r="J462" t="s">
        <v>31</v>
      </c>
      <c r="K462" t="s">
        <v>24</v>
      </c>
      <c r="L462" t="s">
        <v>25</v>
      </c>
      <c r="M462" s="8">
        <v>0.86499999999999999</v>
      </c>
      <c r="N462" t="s">
        <v>26</v>
      </c>
      <c r="O462" s="8">
        <v>0.86499999999999999</v>
      </c>
      <c r="P462" s="8">
        <f>EXP(-1.363+3.366*LOG(O462,10))</f>
        <v>0.20700676972346591</v>
      </c>
      <c r="Q462" s="8">
        <f>(27433.05*100)/7611378</f>
        <v>0.36042159514348127</v>
      </c>
    </row>
    <row r="463" spans="1:17" x14ac:dyDescent="0.2">
      <c r="A463">
        <v>2011</v>
      </c>
      <c r="B463" t="s">
        <v>611</v>
      </c>
      <c r="C463" t="s">
        <v>57</v>
      </c>
      <c r="D463" t="s">
        <v>71</v>
      </c>
      <c r="E463">
        <v>7</v>
      </c>
      <c r="F463" t="s">
        <v>19</v>
      </c>
      <c r="G463" t="s">
        <v>352</v>
      </c>
      <c r="H463" t="s">
        <v>610</v>
      </c>
      <c r="I463" t="s">
        <v>22</v>
      </c>
      <c r="J463" t="s">
        <v>104</v>
      </c>
      <c r="K463" t="s">
        <v>24</v>
      </c>
      <c r="L463" t="s">
        <v>25</v>
      </c>
      <c r="M463" s="8">
        <v>0.86499999999999999</v>
      </c>
      <c r="N463" t="s">
        <v>26</v>
      </c>
      <c r="O463" s="8">
        <v>0.86499999999999999</v>
      </c>
      <c r="P463" s="8">
        <f>EXP(-1.363+3.366*LOG(O463,10))</f>
        <v>0.20700676972346591</v>
      </c>
      <c r="Q463" s="8">
        <f>(321151.3*100)/5927002</f>
        <v>5.4184442657518925</v>
      </c>
    </row>
    <row r="464" spans="1:17" x14ac:dyDescent="0.2">
      <c r="A464">
        <v>2011</v>
      </c>
      <c r="B464" t="s">
        <v>612</v>
      </c>
      <c r="C464" t="s">
        <v>30</v>
      </c>
      <c r="D464" t="s">
        <v>63</v>
      </c>
      <c r="E464">
        <v>6</v>
      </c>
      <c r="F464" t="s">
        <v>19</v>
      </c>
      <c r="G464" t="s">
        <v>352</v>
      </c>
      <c r="H464" t="s">
        <v>610</v>
      </c>
      <c r="I464" t="s">
        <v>22</v>
      </c>
      <c r="J464" t="s">
        <v>31</v>
      </c>
      <c r="K464" t="s">
        <v>24</v>
      </c>
      <c r="L464" t="s">
        <v>25</v>
      </c>
      <c r="M464" s="8">
        <v>0.86499999999999999</v>
      </c>
      <c r="N464" t="s">
        <v>26</v>
      </c>
      <c r="O464" s="8">
        <v>0.86499999999999999</v>
      </c>
      <c r="P464" s="8">
        <f>EXP(-1.363+3.366*LOG(O464,10))</f>
        <v>0.20700676972346591</v>
      </c>
      <c r="Q464" s="8">
        <f>(34897.31*100)/4728180</f>
        <v>0.73807067412831151</v>
      </c>
    </row>
    <row r="465" spans="1:17" x14ac:dyDescent="0.2">
      <c r="A465">
        <v>2011</v>
      </c>
      <c r="B465" t="s">
        <v>613</v>
      </c>
      <c r="C465" t="s">
        <v>30</v>
      </c>
      <c r="D465" t="s">
        <v>63</v>
      </c>
      <c r="E465">
        <v>6</v>
      </c>
      <c r="F465" t="s">
        <v>19</v>
      </c>
      <c r="G465" t="s">
        <v>352</v>
      </c>
      <c r="H465" t="s">
        <v>610</v>
      </c>
      <c r="I465" t="s">
        <v>22</v>
      </c>
      <c r="J465" t="s">
        <v>31</v>
      </c>
      <c r="K465" t="s">
        <v>24</v>
      </c>
      <c r="L465" t="s">
        <v>25</v>
      </c>
      <c r="M465" s="8">
        <v>0.86499999999999999</v>
      </c>
      <c r="N465" t="s">
        <v>26</v>
      </c>
      <c r="O465" s="8">
        <v>0.86499999999999999</v>
      </c>
      <c r="P465" s="8">
        <f>EXP(-1.363+3.366*LOG(O465,10))</f>
        <v>0.20700676972346591</v>
      </c>
      <c r="Q465" s="8">
        <f>(34897.31*100)/4728180</f>
        <v>0.73807067412831151</v>
      </c>
    </row>
    <row r="466" spans="1:17" x14ac:dyDescent="0.2">
      <c r="A466">
        <v>2011</v>
      </c>
      <c r="B466" t="s">
        <v>614</v>
      </c>
      <c r="C466" t="s">
        <v>30</v>
      </c>
      <c r="D466" t="s">
        <v>63</v>
      </c>
      <c r="E466">
        <v>6</v>
      </c>
      <c r="F466" t="s">
        <v>19</v>
      </c>
      <c r="G466" t="s">
        <v>352</v>
      </c>
      <c r="H466" t="s">
        <v>610</v>
      </c>
      <c r="I466" t="s">
        <v>22</v>
      </c>
      <c r="J466" t="s">
        <v>31</v>
      </c>
      <c r="K466" t="s">
        <v>24</v>
      </c>
      <c r="L466" t="s">
        <v>25</v>
      </c>
      <c r="M466" s="8">
        <v>0.86499999999999999</v>
      </c>
      <c r="N466" t="s">
        <v>26</v>
      </c>
      <c r="O466" s="8">
        <v>0.86499999999999999</v>
      </c>
      <c r="P466" s="8">
        <f>EXP(-1.363+3.366*LOG(O466,10))</f>
        <v>0.20700676972346591</v>
      </c>
      <c r="Q466" s="8">
        <f>(34897.31*100)/4728180</f>
        <v>0.73807067412831151</v>
      </c>
    </row>
    <row r="467" spans="1:17" x14ac:dyDescent="0.2">
      <c r="A467">
        <v>2011</v>
      </c>
      <c r="B467" t="s">
        <v>615</v>
      </c>
      <c r="C467" t="s">
        <v>30</v>
      </c>
      <c r="D467" t="s">
        <v>63</v>
      </c>
      <c r="E467">
        <v>6</v>
      </c>
      <c r="F467" t="s">
        <v>19</v>
      </c>
      <c r="G467" t="s">
        <v>352</v>
      </c>
      <c r="H467" t="s">
        <v>610</v>
      </c>
      <c r="I467" t="s">
        <v>22</v>
      </c>
      <c r="J467" t="s">
        <v>31</v>
      </c>
      <c r="K467" t="s">
        <v>24</v>
      </c>
      <c r="L467" t="s">
        <v>25</v>
      </c>
      <c r="M467" s="8">
        <v>0.86499999999999999</v>
      </c>
      <c r="N467" t="s">
        <v>26</v>
      </c>
      <c r="O467" s="8">
        <v>0.86499999999999999</v>
      </c>
      <c r="P467" s="8">
        <f>EXP(-1.363+3.366*LOG(O467,10))</f>
        <v>0.20700676972346591</v>
      </c>
      <c r="Q467" s="8">
        <f>(34897.31*100)/4728180</f>
        <v>0.73807067412831151</v>
      </c>
    </row>
    <row r="468" spans="1:17" x14ac:dyDescent="0.2">
      <c r="A468">
        <v>2011</v>
      </c>
      <c r="B468" t="s">
        <v>616</v>
      </c>
      <c r="C468" t="s">
        <v>30</v>
      </c>
      <c r="D468" t="s">
        <v>63</v>
      </c>
      <c r="E468">
        <v>6</v>
      </c>
      <c r="F468" t="s">
        <v>19</v>
      </c>
      <c r="G468" t="s">
        <v>352</v>
      </c>
      <c r="H468" t="s">
        <v>610</v>
      </c>
      <c r="I468" t="s">
        <v>22</v>
      </c>
      <c r="J468" t="s">
        <v>31</v>
      </c>
      <c r="K468" t="s">
        <v>24</v>
      </c>
      <c r="L468" t="s">
        <v>25</v>
      </c>
      <c r="M468" s="8">
        <v>0.86499999999999999</v>
      </c>
      <c r="N468" t="s">
        <v>26</v>
      </c>
      <c r="O468" s="8">
        <v>0.86499999999999999</v>
      </c>
      <c r="P468" s="8">
        <f>EXP(-1.363+3.366*LOG(O468,10))</f>
        <v>0.20700676972346591</v>
      </c>
      <c r="Q468" s="8">
        <f>(34897.31*100)/4728180</f>
        <v>0.73807067412831151</v>
      </c>
    </row>
    <row r="469" spans="1:17" x14ac:dyDescent="0.2">
      <c r="A469">
        <v>2011</v>
      </c>
      <c r="B469" t="s">
        <v>617</v>
      </c>
      <c r="C469" t="s">
        <v>30</v>
      </c>
      <c r="D469" t="s">
        <v>63</v>
      </c>
      <c r="E469">
        <v>6</v>
      </c>
      <c r="F469" t="s">
        <v>19</v>
      </c>
      <c r="G469" t="s">
        <v>352</v>
      </c>
      <c r="H469" t="s">
        <v>610</v>
      </c>
      <c r="I469" t="s">
        <v>22</v>
      </c>
      <c r="J469" t="s">
        <v>31</v>
      </c>
      <c r="K469" t="s">
        <v>24</v>
      </c>
      <c r="L469" t="s">
        <v>25</v>
      </c>
      <c r="M469" s="8">
        <v>0.86499999999999999</v>
      </c>
      <c r="N469" t="s">
        <v>26</v>
      </c>
      <c r="O469" s="8">
        <v>0.86499999999999999</v>
      </c>
      <c r="P469" s="8">
        <f>EXP(-1.363+3.366*LOG(O469,10))</f>
        <v>0.20700676972346591</v>
      </c>
      <c r="Q469" s="8">
        <f>(34897.31*100)/4728180</f>
        <v>0.73807067412831151</v>
      </c>
    </row>
    <row r="470" spans="1:17" x14ac:dyDescent="0.2">
      <c r="A470">
        <v>2011</v>
      </c>
      <c r="B470" t="s">
        <v>618</v>
      </c>
      <c r="C470" t="s">
        <v>30</v>
      </c>
      <c r="D470" t="s">
        <v>63</v>
      </c>
      <c r="E470">
        <v>6</v>
      </c>
      <c r="F470" t="s">
        <v>19</v>
      </c>
      <c r="G470" t="s">
        <v>352</v>
      </c>
      <c r="H470" t="s">
        <v>610</v>
      </c>
      <c r="I470" t="s">
        <v>22</v>
      </c>
      <c r="J470" t="s">
        <v>31</v>
      </c>
      <c r="K470" t="s">
        <v>24</v>
      </c>
      <c r="L470" t="s">
        <v>25</v>
      </c>
      <c r="M470" s="8">
        <v>0.86499999999999999</v>
      </c>
      <c r="N470" t="s">
        <v>26</v>
      </c>
      <c r="O470" s="8">
        <v>0.86499999999999999</v>
      </c>
      <c r="P470" s="8">
        <f>EXP(-1.363+3.366*LOG(O470,10))</f>
        <v>0.20700676972346591</v>
      </c>
      <c r="Q470" s="8">
        <f>(34897.31*100)/4728180</f>
        <v>0.73807067412831151</v>
      </c>
    </row>
    <row r="471" spans="1:17" x14ac:dyDescent="0.2">
      <c r="A471">
        <v>2011</v>
      </c>
      <c r="B471" t="s">
        <v>619</v>
      </c>
      <c r="C471" t="s">
        <v>30</v>
      </c>
      <c r="D471" t="s">
        <v>63</v>
      </c>
      <c r="E471">
        <v>6</v>
      </c>
      <c r="F471" t="s">
        <v>19</v>
      </c>
      <c r="G471" t="s">
        <v>352</v>
      </c>
      <c r="H471" t="s">
        <v>610</v>
      </c>
      <c r="I471" t="s">
        <v>22</v>
      </c>
      <c r="J471" t="s">
        <v>31</v>
      </c>
      <c r="K471" t="s">
        <v>24</v>
      </c>
      <c r="L471" t="s">
        <v>25</v>
      </c>
      <c r="M471" s="8">
        <v>0.86499999999999999</v>
      </c>
      <c r="N471" t="s">
        <v>26</v>
      </c>
      <c r="O471" s="8">
        <v>0.86499999999999999</v>
      </c>
      <c r="P471" s="8">
        <f>EXP(-1.363+3.366*LOG(O471,10))</f>
        <v>0.20700676972346591</v>
      </c>
      <c r="Q471" s="8">
        <f>(34897.31*100)/4728180</f>
        <v>0.73807067412831151</v>
      </c>
    </row>
    <row r="472" spans="1:17" x14ac:dyDescent="0.2">
      <c r="A472">
        <v>2011</v>
      </c>
      <c r="B472" t="s">
        <v>620</v>
      </c>
      <c r="C472" t="s">
        <v>57</v>
      </c>
      <c r="D472" t="s">
        <v>58</v>
      </c>
      <c r="E472">
        <v>6</v>
      </c>
      <c r="F472" t="s">
        <v>19</v>
      </c>
      <c r="G472" t="s">
        <v>352</v>
      </c>
      <c r="H472" t="s">
        <v>621</v>
      </c>
      <c r="I472" t="s">
        <v>22</v>
      </c>
      <c r="J472" t="s">
        <v>31</v>
      </c>
      <c r="K472" t="s">
        <v>24</v>
      </c>
      <c r="L472" t="s">
        <v>25</v>
      </c>
      <c r="M472" s="8" t="s">
        <v>26</v>
      </c>
      <c r="N472" t="s">
        <v>26</v>
      </c>
      <c r="O472" s="8" t="s">
        <v>26</v>
      </c>
      <c r="P472" s="8" t="s">
        <v>26</v>
      </c>
      <c r="Q472" s="8">
        <f>(321151.3*100)/5927002</f>
        <v>5.4184442657518925</v>
      </c>
    </row>
    <row r="473" spans="1:17" x14ac:dyDescent="0.2">
      <c r="A473">
        <v>2011</v>
      </c>
      <c r="B473" t="s">
        <v>622</v>
      </c>
      <c r="C473" t="s">
        <v>94</v>
      </c>
      <c r="D473" t="s">
        <v>95</v>
      </c>
      <c r="E473">
        <v>7</v>
      </c>
      <c r="F473" t="s">
        <v>19</v>
      </c>
      <c r="G473" t="s">
        <v>352</v>
      </c>
      <c r="H473" t="s">
        <v>623</v>
      </c>
      <c r="I473" t="s">
        <v>22</v>
      </c>
      <c r="J473" t="s">
        <v>66</v>
      </c>
      <c r="K473" t="s">
        <v>24</v>
      </c>
      <c r="L473" t="s">
        <v>25</v>
      </c>
      <c r="M473" s="8">
        <v>1.387</v>
      </c>
      <c r="N473" t="s">
        <v>26</v>
      </c>
      <c r="O473" s="8">
        <v>1.387</v>
      </c>
      <c r="P473" s="8">
        <f>EXP(-1.363+3.366*LOG(O473,10))</f>
        <v>0.41280884754947733</v>
      </c>
      <c r="Q473" s="8">
        <f>(46623.23*100)/15165196</f>
        <v>0.30743572321782059</v>
      </c>
    </row>
    <row r="474" spans="1:17" x14ac:dyDescent="0.2">
      <c r="A474">
        <v>2011</v>
      </c>
      <c r="B474" t="s">
        <v>624</v>
      </c>
      <c r="C474" t="s">
        <v>39</v>
      </c>
      <c r="D474" t="s">
        <v>95</v>
      </c>
      <c r="E474">
        <v>7</v>
      </c>
      <c r="F474" t="s">
        <v>19</v>
      </c>
      <c r="G474" t="s">
        <v>352</v>
      </c>
      <c r="H474" t="s">
        <v>623</v>
      </c>
      <c r="I474" t="s">
        <v>22</v>
      </c>
      <c r="J474" t="s">
        <v>42</v>
      </c>
      <c r="K474" t="s">
        <v>24</v>
      </c>
      <c r="L474" t="s">
        <v>25</v>
      </c>
      <c r="M474" s="8">
        <v>1.387</v>
      </c>
      <c r="N474" t="s">
        <v>26</v>
      </c>
      <c r="O474" s="8">
        <v>1.387</v>
      </c>
      <c r="P474" s="8">
        <f>EXP(-1.363+3.366*LOG(O474,10))</f>
        <v>0.41280884754947733</v>
      </c>
      <c r="Q474" s="8">
        <f>(2375365*100)/2680339</f>
        <v>88.621812390149159</v>
      </c>
    </row>
    <row r="475" spans="1:17" x14ac:dyDescent="0.2">
      <c r="A475">
        <v>2011</v>
      </c>
      <c r="B475" t="s">
        <v>625</v>
      </c>
      <c r="C475" t="s">
        <v>52</v>
      </c>
      <c r="D475" t="s">
        <v>79</v>
      </c>
      <c r="E475">
        <v>6</v>
      </c>
      <c r="F475" t="s">
        <v>19</v>
      </c>
      <c r="G475" t="s">
        <v>352</v>
      </c>
      <c r="H475" t="s">
        <v>623</v>
      </c>
      <c r="I475" t="s">
        <v>36</v>
      </c>
      <c r="J475" t="s">
        <v>42</v>
      </c>
      <c r="K475" t="s">
        <v>24</v>
      </c>
      <c r="L475" t="s">
        <v>25</v>
      </c>
      <c r="M475" s="8">
        <v>1.1339999999999999</v>
      </c>
      <c r="N475" t="s">
        <v>26</v>
      </c>
      <c r="O475" s="8">
        <v>1.1339999999999999</v>
      </c>
      <c r="P475" s="8">
        <f>EXP(-1.363+3.366*LOG(O475,10))</f>
        <v>0.30753312979708036</v>
      </c>
      <c r="Q475" s="8">
        <f>(1626350*100)/1973941</f>
        <v>82.391013713175823</v>
      </c>
    </row>
    <row r="476" spans="1:17" x14ac:dyDescent="0.2">
      <c r="A476">
        <v>2011</v>
      </c>
      <c r="B476" t="s">
        <v>626</v>
      </c>
      <c r="C476" t="s">
        <v>65</v>
      </c>
      <c r="D476" t="s">
        <v>100</v>
      </c>
      <c r="E476">
        <v>7</v>
      </c>
      <c r="F476" t="s">
        <v>19</v>
      </c>
      <c r="G476" t="s">
        <v>352</v>
      </c>
      <c r="H476" t="s">
        <v>623</v>
      </c>
      <c r="I476" t="s">
        <v>36</v>
      </c>
      <c r="J476" t="s">
        <v>66</v>
      </c>
      <c r="K476" t="s">
        <v>24</v>
      </c>
      <c r="L476" t="s">
        <v>25</v>
      </c>
      <c r="M476" s="8">
        <v>1.1339999999999999</v>
      </c>
      <c r="N476" t="s">
        <v>26</v>
      </c>
      <c r="O476" s="8">
        <v>1.1339999999999999</v>
      </c>
      <c r="P476" s="8">
        <f>EXP(-1.363+3.366*LOG(O476,10))</f>
        <v>0.30753312979708036</v>
      </c>
      <c r="Q476" s="8">
        <f>(1788886*100)/6788946</f>
        <v>26.349981278389901</v>
      </c>
    </row>
    <row r="477" spans="1:17" x14ac:dyDescent="0.2">
      <c r="A477">
        <v>2011</v>
      </c>
      <c r="B477" t="s">
        <v>627</v>
      </c>
      <c r="C477" t="s">
        <v>65</v>
      </c>
      <c r="D477" t="s">
        <v>100</v>
      </c>
      <c r="E477">
        <v>7</v>
      </c>
      <c r="F477" t="s">
        <v>19</v>
      </c>
      <c r="G477" t="s">
        <v>352</v>
      </c>
      <c r="H477" t="s">
        <v>623</v>
      </c>
      <c r="I477" t="s">
        <v>36</v>
      </c>
      <c r="J477" t="s">
        <v>66</v>
      </c>
      <c r="K477" t="s">
        <v>24</v>
      </c>
      <c r="L477" t="s">
        <v>25</v>
      </c>
      <c r="M477" s="8">
        <v>1.1339999999999999</v>
      </c>
      <c r="N477" t="s">
        <v>26</v>
      </c>
      <c r="O477" s="8">
        <v>1.1339999999999999</v>
      </c>
      <c r="P477" s="8">
        <f>EXP(-1.363+3.366*LOG(O477,10))</f>
        <v>0.30753312979708036</v>
      </c>
      <c r="Q477" s="8">
        <f>(1788886*100)/6788946</f>
        <v>26.349981278389901</v>
      </c>
    </row>
    <row r="478" spans="1:17" x14ac:dyDescent="0.2">
      <c r="A478">
        <v>2011</v>
      </c>
      <c r="B478" t="s">
        <v>628</v>
      </c>
      <c r="C478" t="s">
        <v>39</v>
      </c>
      <c r="D478" t="s">
        <v>58</v>
      </c>
      <c r="E478">
        <v>6</v>
      </c>
      <c r="F478" t="s">
        <v>19</v>
      </c>
      <c r="G478" t="s">
        <v>352</v>
      </c>
      <c r="H478" t="s">
        <v>623</v>
      </c>
      <c r="I478" t="s">
        <v>36</v>
      </c>
      <c r="J478" t="s">
        <v>42</v>
      </c>
      <c r="K478" t="s">
        <v>24</v>
      </c>
      <c r="L478" t="s">
        <v>25</v>
      </c>
      <c r="M478" s="8">
        <v>1.1339999999999999</v>
      </c>
      <c r="N478" t="s">
        <v>26</v>
      </c>
      <c r="O478" s="8">
        <v>1.1339999999999999</v>
      </c>
      <c r="P478" s="8">
        <f>EXP(-1.363+3.366*LOG(O478,10))</f>
        <v>0.30753312979708036</v>
      </c>
      <c r="Q478" s="8">
        <f>(2375365*100)/2680339</f>
        <v>88.621812390149159</v>
      </c>
    </row>
    <row r="479" spans="1:17" x14ac:dyDescent="0.2">
      <c r="A479">
        <v>2011</v>
      </c>
      <c r="B479" t="s">
        <v>629</v>
      </c>
      <c r="C479" t="s">
        <v>52</v>
      </c>
      <c r="D479" t="s">
        <v>157</v>
      </c>
      <c r="E479">
        <v>5</v>
      </c>
      <c r="F479" t="s">
        <v>19</v>
      </c>
      <c r="G479" t="s">
        <v>352</v>
      </c>
      <c r="H479" t="s">
        <v>623</v>
      </c>
      <c r="I479" t="s">
        <v>22</v>
      </c>
      <c r="J479" t="s">
        <v>42</v>
      </c>
      <c r="K479" t="s">
        <v>24</v>
      </c>
      <c r="L479" t="s">
        <v>25</v>
      </c>
      <c r="M479" s="8">
        <v>1.387</v>
      </c>
      <c r="N479" t="s">
        <v>26</v>
      </c>
      <c r="O479" s="8">
        <v>1.387</v>
      </c>
      <c r="P479" s="8">
        <f>EXP(-1.363+3.366*LOG(O479,10))</f>
        <v>0.41280884754947733</v>
      </c>
      <c r="Q479" s="8">
        <f>(1626350*100)/1973941</f>
        <v>82.391013713175823</v>
      </c>
    </row>
    <row r="480" spans="1:17" x14ac:dyDescent="0.2">
      <c r="A480">
        <v>2011</v>
      </c>
      <c r="B480" t="s">
        <v>630</v>
      </c>
      <c r="C480" t="s">
        <v>120</v>
      </c>
      <c r="D480" t="s">
        <v>111</v>
      </c>
      <c r="E480">
        <v>5</v>
      </c>
      <c r="F480" t="s">
        <v>19</v>
      </c>
      <c r="G480" t="s">
        <v>352</v>
      </c>
      <c r="H480" t="s">
        <v>623</v>
      </c>
      <c r="I480" t="s">
        <v>22</v>
      </c>
      <c r="J480" t="s">
        <v>23</v>
      </c>
      <c r="K480" t="s">
        <v>24</v>
      </c>
      <c r="L480" t="s">
        <v>25</v>
      </c>
      <c r="M480" s="8">
        <v>1.387</v>
      </c>
      <c r="N480" t="s">
        <v>26</v>
      </c>
      <c r="O480" s="8">
        <v>1.387</v>
      </c>
      <c r="P480" s="8">
        <f>EXP(-1.363+3.366*LOG(O480,10))</f>
        <v>0.41280884754947733</v>
      </c>
      <c r="Q480" s="8">
        <f>(2256192*100)/6055896</f>
        <v>37.256121967748456</v>
      </c>
    </row>
    <row r="481" spans="1:17" x14ac:dyDescent="0.2">
      <c r="A481">
        <v>2011</v>
      </c>
      <c r="B481" t="s">
        <v>631</v>
      </c>
      <c r="C481" t="s">
        <v>39</v>
      </c>
      <c r="D481" t="s">
        <v>73</v>
      </c>
      <c r="E481">
        <v>5</v>
      </c>
      <c r="F481" t="s">
        <v>19</v>
      </c>
      <c r="G481" t="s">
        <v>352</v>
      </c>
      <c r="H481" t="s">
        <v>623</v>
      </c>
      <c r="I481" t="s">
        <v>22</v>
      </c>
      <c r="J481" t="s">
        <v>42</v>
      </c>
      <c r="K481" t="s">
        <v>24</v>
      </c>
      <c r="L481" t="s">
        <v>25</v>
      </c>
      <c r="M481" s="8">
        <v>1.387</v>
      </c>
      <c r="N481" t="s">
        <v>26</v>
      </c>
      <c r="O481" s="8">
        <v>1.387</v>
      </c>
      <c r="P481" s="8">
        <f>EXP(-1.363+3.366*LOG(O481,10))</f>
        <v>0.41280884754947733</v>
      </c>
      <c r="Q481" s="8">
        <f>(2375365*100)/2680339</f>
        <v>88.621812390149159</v>
      </c>
    </row>
    <row r="482" spans="1:17" x14ac:dyDescent="0.2">
      <c r="A482">
        <v>2011</v>
      </c>
      <c r="B482" t="s">
        <v>632</v>
      </c>
      <c r="C482" t="s">
        <v>50</v>
      </c>
      <c r="D482" t="s">
        <v>73</v>
      </c>
      <c r="E482">
        <v>5</v>
      </c>
      <c r="F482" t="s">
        <v>19</v>
      </c>
      <c r="G482" t="s">
        <v>352</v>
      </c>
      <c r="H482" t="s">
        <v>623</v>
      </c>
      <c r="I482" t="s">
        <v>22</v>
      </c>
      <c r="J482" t="s">
        <v>42</v>
      </c>
      <c r="K482" t="s">
        <v>24</v>
      </c>
      <c r="L482" t="s">
        <v>25</v>
      </c>
      <c r="M482" s="8">
        <v>1.387</v>
      </c>
      <c r="N482" t="s">
        <v>26</v>
      </c>
      <c r="O482" s="8">
        <v>1.387</v>
      </c>
      <c r="P482" s="8">
        <f>EXP(-1.363+3.366*LOG(O482,10))</f>
        <v>0.41280884754947733</v>
      </c>
      <c r="Q482" s="8">
        <f>(4488342*100)/4914798</f>
        <v>91.323020803703429</v>
      </c>
    </row>
    <row r="483" spans="1:17" x14ac:dyDescent="0.2">
      <c r="A483">
        <v>2011</v>
      </c>
      <c r="B483" t="s">
        <v>633</v>
      </c>
      <c r="C483" t="s">
        <v>39</v>
      </c>
      <c r="D483" t="s">
        <v>73</v>
      </c>
      <c r="E483">
        <v>5</v>
      </c>
      <c r="F483" t="s">
        <v>19</v>
      </c>
      <c r="G483" t="s">
        <v>352</v>
      </c>
      <c r="H483" t="s">
        <v>623</v>
      </c>
      <c r="I483" t="s">
        <v>22</v>
      </c>
      <c r="J483" t="s">
        <v>42</v>
      </c>
      <c r="K483" t="s">
        <v>24</v>
      </c>
      <c r="L483" t="s">
        <v>25</v>
      </c>
      <c r="M483" s="8">
        <v>1.387</v>
      </c>
      <c r="N483" t="s">
        <v>26</v>
      </c>
      <c r="O483" s="8">
        <v>1.387</v>
      </c>
      <c r="P483" s="8">
        <f>EXP(-1.363+3.366*LOG(O483,10))</f>
        <v>0.41280884754947733</v>
      </c>
      <c r="Q483" s="8">
        <f>(2375365*100)/2680339</f>
        <v>88.621812390149159</v>
      </c>
    </row>
    <row r="484" spans="1:17" x14ac:dyDescent="0.2">
      <c r="A484">
        <v>2011</v>
      </c>
      <c r="B484" t="s">
        <v>634</v>
      </c>
      <c r="C484" t="s">
        <v>39</v>
      </c>
      <c r="D484" t="s">
        <v>73</v>
      </c>
      <c r="E484">
        <v>5</v>
      </c>
      <c r="F484" t="s">
        <v>19</v>
      </c>
      <c r="G484" t="s">
        <v>352</v>
      </c>
      <c r="H484" t="s">
        <v>623</v>
      </c>
      <c r="I484" t="s">
        <v>22</v>
      </c>
      <c r="J484" t="s">
        <v>42</v>
      </c>
      <c r="K484" t="s">
        <v>24</v>
      </c>
      <c r="L484" t="s">
        <v>25</v>
      </c>
      <c r="M484" s="8">
        <v>1.387</v>
      </c>
      <c r="N484" t="s">
        <v>26</v>
      </c>
      <c r="O484" s="8">
        <v>1.387</v>
      </c>
      <c r="P484" s="8">
        <f>EXP(-1.363+3.366*LOG(O484,10))</f>
        <v>0.41280884754947733</v>
      </c>
      <c r="Q484" s="8">
        <f>(2375365*100)/2680339</f>
        <v>88.621812390149159</v>
      </c>
    </row>
    <row r="485" spans="1:17" x14ac:dyDescent="0.2">
      <c r="A485">
        <v>2011</v>
      </c>
      <c r="B485" t="s">
        <v>635</v>
      </c>
      <c r="C485" t="s">
        <v>39</v>
      </c>
      <c r="D485" t="s">
        <v>73</v>
      </c>
      <c r="E485">
        <v>5</v>
      </c>
      <c r="F485" t="s">
        <v>19</v>
      </c>
      <c r="G485" t="s">
        <v>352</v>
      </c>
      <c r="H485" t="s">
        <v>623</v>
      </c>
      <c r="I485" t="s">
        <v>22</v>
      </c>
      <c r="J485" t="s">
        <v>42</v>
      </c>
      <c r="K485" t="s">
        <v>24</v>
      </c>
      <c r="L485" t="s">
        <v>25</v>
      </c>
      <c r="M485" s="8">
        <v>1.387</v>
      </c>
      <c r="N485" t="s">
        <v>26</v>
      </c>
      <c r="O485" s="8">
        <v>1.387</v>
      </c>
      <c r="P485" s="8">
        <f>EXP(-1.363+3.366*LOG(O485,10))</f>
        <v>0.41280884754947733</v>
      </c>
      <c r="Q485" s="8">
        <f>(2375365*100)/2680339</f>
        <v>88.621812390149159</v>
      </c>
    </row>
    <row r="486" spans="1:17" x14ac:dyDescent="0.2">
      <c r="A486">
        <v>2011</v>
      </c>
      <c r="B486" t="s">
        <v>636</v>
      </c>
      <c r="C486" t="s">
        <v>39</v>
      </c>
      <c r="D486" t="s">
        <v>73</v>
      </c>
      <c r="E486">
        <v>5</v>
      </c>
      <c r="F486" t="s">
        <v>19</v>
      </c>
      <c r="G486" t="s">
        <v>352</v>
      </c>
      <c r="H486" t="s">
        <v>623</v>
      </c>
      <c r="I486" t="s">
        <v>22</v>
      </c>
      <c r="J486" t="s">
        <v>42</v>
      </c>
      <c r="K486" t="s">
        <v>24</v>
      </c>
      <c r="L486" t="s">
        <v>25</v>
      </c>
      <c r="M486" s="8">
        <v>1.387</v>
      </c>
      <c r="N486" t="s">
        <v>26</v>
      </c>
      <c r="O486" s="8">
        <v>1.387</v>
      </c>
      <c r="P486" s="8">
        <f>EXP(-1.363+3.366*LOG(O486,10))</f>
        <v>0.41280884754947733</v>
      </c>
      <c r="Q486" s="8">
        <f>(2375365*100)/2680339</f>
        <v>88.621812390149159</v>
      </c>
    </row>
    <row r="487" spans="1:17" x14ac:dyDescent="0.2">
      <c r="A487">
        <v>2011</v>
      </c>
      <c r="B487" t="s">
        <v>637</v>
      </c>
      <c r="C487" t="s">
        <v>39</v>
      </c>
      <c r="D487" t="s">
        <v>73</v>
      </c>
      <c r="E487">
        <v>5</v>
      </c>
      <c r="F487" t="s">
        <v>19</v>
      </c>
      <c r="G487" t="s">
        <v>352</v>
      </c>
      <c r="H487" t="s">
        <v>623</v>
      </c>
      <c r="I487" t="s">
        <v>22</v>
      </c>
      <c r="J487" t="s">
        <v>42</v>
      </c>
      <c r="K487" t="s">
        <v>24</v>
      </c>
      <c r="L487" t="s">
        <v>25</v>
      </c>
      <c r="M487" s="8">
        <v>1.387</v>
      </c>
      <c r="N487" t="s">
        <v>26</v>
      </c>
      <c r="O487" s="8">
        <v>1.387</v>
      </c>
      <c r="P487" s="8">
        <f>EXP(-1.363+3.366*LOG(O487,10))</f>
        <v>0.41280884754947733</v>
      </c>
      <c r="Q487" s="8">
        <f>(2375365*100)/2680339</f>
        <v>88.621812390149159</v>
      </c>
    </row>
    <row r="488" spans="1:17" x14ac:dyDescent="0.2">
      <c r="A488">
        <v>2011</v>
      </c>
      <c r="B488" t="s">
        <v>638</v>
      </c>
      <c r="C488" t="s">
        <v>39</v>
      </c>
      <c r="D488" t="s">
        <v>73</v>
      </c>
      <c r="E488">
        <v>5</v>
      </c>
      <c r="F488" t="s">
        <v>19</v>
      </c>
      <c r="G488" t="s">
        <v>352</v>
      </c>
      <c r="H488" t="s">
        <v>623</v>
      </c>
      <c r="I488" t="s">
        <v>22</v>
      </c>
      <c r="J488" t="s">
        <v>42</v>
      </c>
      <c r="K488" t="s">
        <v>24</v>
      </c>
      <c r="L488" t="s">
        <v>25</v>
      </c>
      <c r="M488" s="8">
        <v>1.387</v>
      </c>
      <c r="N488" t="s">
        <v>26</v>
      </c>
      <c r="O488" s="8">
        <v>1.387</v>
      </c>
      <c r="P488" s="8">
        <f>EXP(-1.363+3.366*LOG(O488,10))</f>
        <v>0.41280884754947733</v>
      </c>
      <c r="Q488" s="8">
        <f>(2375365*100)/2680339</f>
        <v>88.621812390149159</v>
      </c>
    </row>
    <row r="489" spans="1:17" x14ac:dyDescent="0.2">
      <c r="A489">
        <v>2011</v>
      </c>
      <c r="B489" t="s">
        <v>639</v>
      </c>
      <c r="C489" t="s">
        <v>50</v>
      </c>
      <c r="D489" t="s">
        <v>76</v>
      </c>
      <c r="E489">
        <v>5</v>
      </c>
      <c r="F489" t="s">
        <v>19</v>
      </c>
      <c r="G489" t="s">
        <v>352</v>
      </c>
      <c r="H489" t="s">
        <v>623</v>
      </c>
      <c r="I489" t="s">
        <v>22</v>
      </c>
      <c r="J489" t="s">
        <v>42</v>
      </c>
      <c r="K489" t="s">
        <v>24</v>
      </c>
      <c r="L489" t="s">
        <v>25</v>
      </c>
      <c r="M489" s="8">
        <v>1.387</v>
      </c>
      <c r="N489" t="s">
        <v>26</v>
      </c>
      <c r="O489" s="8">
        <v>1.387</v>
      </c>
      <c r="P489" s="8">
        <f>EXP(-1.363+3.366*LOG(O489,10))</f>
        <v>0.41280884754947733</v>
      </c>
      <c r="Q489" s="8">
        <f>(4488342*100)/4914798</f>
        <v>91.323020803703429</v>
      </c>
    </row>
    <row r="490" spans="1:17" x14ac:dyDescent="0.2">
      <c r="A490">
        <v>2011</v>
      </c>
      <c r="B490" t="s">
        <v>640</v>
      </c>
      <c r="C490" t="s">
        <v>50</v>
      </c>
      <c r="D490" t="s">
        <v>76</v>
      </c>
      <c r="E490">
        <v>5</v>
      </c>
      <c r="F490" t="s">
        <v>19</v>
      </c>
      <c r="G490" t="s">
        <v>352</v>
      </c>
      <c r="H490" t="s">
        <v>623</v>
      </c>
      <c r="I490" t="s">
        <v>22</v>
      </c>
      <c r="J490" t="s">
        <v>42</v>
      </c>
      <c r="K490" t="s">
        <v>24</v>
      </c>
      <c r="L490" t="s">
        <v>25</v>
      </c>
      <c r="M490" s="8">
        <v>1.387</v>
      </c>
      <c r="N490" t="s">
        <v>26</v>
      </c>
      <c r="O490" s="8">
        <v>1.387</v>
      </c>
      <c r="P490" s="8">
        <f>EXP(-1.363+3.366*LOG(O490,10))</f>
        <v>0.41280884754947733</v>
      </c>
      <c r="Q490" s="8">
        <f>(4488342*100)/4914798</f>
        <v>91.323020803703429</v>
      </c>
    </row>
    <row r="491" spans="1:17" x14ac:dyDescent="0.2">
      <c r="A491">
        <v>2011</v>
      </c>
      <c r="B491" t="s">
        <v>641</v>
      </c>
      <c r="C491" t="s">
        <v>50</v>
      </c>
      <c r="D491" t="s">
        <v>76</v>
      </c>
      <c r="E491">
        <v>5</v>
      </c>
      <c r="F491" t="s">
        <v>19</v>
      </c>
      <c r="G491" t="s">
        <v>352</v>
      </c>
      <c r="H491" t="s">
        <v>623</v>
      </c>
      <c r="I491" t="s">
        <v>22</v>
      </c>
      <c r="J491" t="s">
        <v>42</v>
      </c>
      <c r="K491" t="s">
        <v>24</v>
      </c>
      <c r="L491" t="s">
        <v>25</v>
      </c>
      <c r="M491" s="8">
        <v>1.387</v>
      </c>
      <c r="N491" t="s">
        <v>26</v>
      </c>
      <c r="O491" s="8">
        <v>1.387</v>
      </c>
      <c r="P491" s="8">
        <f>EXP(-1.363+3.366*LOG(O491,10))</f>
        <v>0.41280884754947733</v>
      </c>
      <c r="Q491" s="8">
        <f>(4488342*100)/4914798</f>
        <v>91.323020803703429</v>
      </c>
    </row>
    <row r="492" spans="1:17" x14ac:dyDescent="0.2">
      <c r="A492">
        <v>2011</v>
      </c>
      <c r="B492" t="s">
        <v>642</v>
      </c>
      <c r="C492" t="s">
        <v>50</v>
      </c>
      <c r="D492" t="s">
        <v>76</v>
      </c>
      <c r="E492">
        <v>5</v>
      </c>
      <c r="F492" t="s">
        <v>19</v>
      </c>
      <c r="G492" t="s">
        <v>352</v>
      </c>
      <c r="H492" t="s">
        <v>623</v>
      </c>
      <c r="I492" t="s">
        <v>22</v>
      </c>
      <c r="J492" t="s">
        <v>42</v>
      </c>
      <c r="K492" t="s">
        <v>24</v>
      </c>
      <c r="L492" t="s">
        <v>25</v>
      </c>
      <c r="M492" s="8">
        <v>1.387</v>
      </c>
      <c r="N492" t="s">
        <v>26</v>
      </c>
      <c r="O492" s="8">
        <v>1.387</v>
      </c>
      <c r="P492" s="8">
        <f>EXP(-1.363+3.366*LOG(O492,10))</f>
        <v>0.41280884754947733</v>
      </c>
      <c r="Q492" s="8">
        <f>(4488342*100)/4914798</f>
        <v>91.323020803703429</v>
      </c>
    </row>
    <row r="493" spans="1:17" x14ac:dyDescent="0.2">
      <c r="A493">
        <v>2011</v>
      </c>
      <c r="B493" t="s">
        <v>643</v>
      </c>
      <c r="C493" t="s">
        <v>50</v>
      </c>
      <c r="D493" t="s">
        <v>76</v>
      </c>
      <c r="E493">
        <v>5</v>
      </c>
      <c r="F493" t="s">
        <v>19</v>
      </c>
      <c r="G493" t="s">
        <v>352</v>
      </c>
      <c r="H493" t="s">
        <v>623</v>
      </c>
      <c r="I493" t="s">
        <v>22</v>
      </c>
      <c r="J493" t="s">
        <v>42</v>
      </c>
      <c r="K493" t="s">
        <v>24</v>
      </c>
      <c r="L493" t="s">
        <v>25</v>
      </c>
      <c r="M493" s="8">
        <v>1.387</v>
      </c>
      <c r="N493" t="s">
        <v>26</v>
      </c>
      <c r="O493" s="8">
        <v>1.387</v>
      </c>
      <c r="P493" s="8">
        <f>EXP(-1.363+3.366*LOG(O493,10))</f>
        <v>0.41280884754947733</v>
      </c>
      <c r="Q493" s="8">
        <f>(4488342*100)/4914798</f>
        <v>91.323020803703429</v>
      </c>
    </row>
    <row r="494" spans="1:17" x14ac:dyDescent="0.2">
      <c r="A494">
        <v>2011</v>
      </c>
      <c r="B494" t="s">
        <v>644</v>
      </c>
      <c r="C494" t="s">
        <v>50</v>
      </c>
      <c r="D494" t="s">
        <v>76</v>
      </c>
      <c r="E494">
        <v>5</v>
      </c>
      <c r="F494" t="s">
        <v>19</v>
      </c>
      <c r="G494" t="s">
        <v>352</v>
      </c>
      <c r="H494" t="s">
        <v>623</v>
      </c>
      <c r="I494" t="s">
        <v>22</v>
      </c>
      <c r="J494" t="s">
        <v>42</v>
      </c>
      <c r="K494" t="s">
        <v>24</v>
      </c>
      <c r="L494" t="s">
        <v>25</v>
      </c>
      <c r="M494" s="8">
        <v>1.387</v>
      </c>
      <c r="N494" t="s">
        <v>26</v>
      </c>
      <c r="O494" s="8">
        <v>1.387</v>
      </c>
      <c r="P494" s="8">
        <f>EXP(-1.363+3.366*LOG(O494,10))</f>
        <v>0.41280884754947733</v>
      </c>
      <c r="Q494" s="8">
        <f>(4488342*100)/4914798</f>
        <v>91.323020803703429</v>
      </c>
    </row>
    <row r="495" spans="1:17" x14ac:dyDescent="0.2">
      <c r="A495">
        <v>2011</v>
      </c>
      <c r="B495" t="s">
        <v>645</v>
      </c>
      <c r="C495" t="s">
        <v>50</v>
      </c>
      <c r="D495" t="s">
        <v>76</v>
      </c>
      <c r="E495">
        <v>5</v>
      </c>
      <c r="F495" t="s">
        <v>19</v>
      </c>
      <c r="G495" t="s">
        <v>352</v>
      </c>
      <c r="H495" t="s">
        <v>623</v>
      </c>
      <c r="I495" t="s">
        <v>22</v>
      </c>
      <c r="J495" t="s">
        <v>42</v>
      </c>
      <c r="K495" t="s">
        <v>24</v>
      </c>
      <c r="L495" t="s">
        <v>25</v>
      </c>
      <c r="M495" s="8">
        <v>1.387</v>
      </c>
      <c r="N495" t="s">
        <v>26</v>
      </c>
      <c r="O495" s="8">
        <v>1.387</v>
      </c>
      <c r="P495" s="8">
        <f>EXP(-1.363+3.366*LOG(O495,10))</f>
        <v>0.41280884754947733</v>
      </c>
      <c r="Q495" s="8">
        <f>(4488342*100)/4914798</f>
        <v>91.323020803703429</v>
      </c>
    </row>
    <row r="496" spans="1:17" x14ac:dyDescent="0.2">
      <c r="A496">
        <v>2011</v>
      </c>
      <c r="B496" t="s">
        <v>646</v>
      </c>
      <c r="C496" t="s">
        <v>50</v>
      </c>
      <c r="D496" t="s">
        <v>76</v>
      </c>
      <c r="E496">
        <v>5</v>
      </c>
      <c r="F496" t="s">
        <v>19</v>
      </c>
      <c r="G496" t="s">
        <v>352</v>
      </c>
      <c r="H496" t="s">
        <v>623</v>
      </c>
      <c r="I496" t="s">
        <v>22</v>
      </c>
      <c r="J496" t="s">
        <v>42</v>
      </c>
      <c r="K496" t="s">
        <v>24</v>
      </c>
      <c r="L496" t="s">
        <v>25</v>
      </c>
      <c r="M496" s="8">
        <v>1.387</v>
      </c>
      <c r="N496" t="s">
        <v>26</v>
      </c>
      <c r="O496" s="8">
        <v>1.387</v>
      </c>
      <c r="P496" s="8">
        <f>EXP(-1.363+3.366*LOG(O496,10))</f>
        <v>0.41280884754947733</v>
      </c>
      <c r="Q496" s="8">
        <f>(4488342*100)/4914798</f>
        <v>91.323020803703429</v>
      </c>
    </row>
    <row r="497" spans="1:17" x14ac:dyDescent="0.2">
      <c r="A497">
        <v>2011</v>
      </c>
      <c r="B497" t="s">
        <v>647</v>
      </c>
      <c r="C497" t="s">
        <v>50</v>
      </c>
      <c r="D497" t="s">
        <v>76</v>
      </c>
      <c r="E497">
        <v>5</v>
      </c>
      <c r="F497" t="s">
        <v>19</v>
      </c>
      <c r="G497" t="s">
        <v>352</v>
      </c>
      <c r="H497" t="s">
        <v>623</v>
      </c>
      <c r="I497" t="s">
        <v>22</v>
      </c>
      <c r="J497" t="s">
        <v>42</v>
      </c>
      <c r="K497" t="s">
        <v>24</v>
      </c>
      <c r="L497" t="s">
        <v>25</v>
      </c>
      <c r="M497" s="8">
        <v>1.387</v>
      </c>
      <c r="N497" t="s">
        <v>26</v>
      </c>
      <c r="O497" s="8">
        <v>1.387</v>
      </c>
      <c r="P497" s="8">
        <f>EXP(-1.363+3.366*LOG(O497,10))</f>
        <v>0.41280884754947733</v>
      </c>
      <c r="Q497" s="8">
        <f>(4488342*100)/4914798</f>
        <v>91.323020803703429</v>
      </c>
    </row>
    <row r="498" spans="1:17" x14ac:dyDescent="0.2">
      <c r="A498">
        <v>2011</v>
      </c>
      <c r="B498" t="s">
        <v>648</v>
      </c>
      <c r="C498" t="s">
        <v>50</v>
      </c>
      <c r="D498" t="s">
        <v>76</v>
      </c>
      <c r="E498">
        <v>5</v>
      </c>
      <c r="F498" t="s">
        <v>19</v>
      </c>
      <c r="G498" t="s">
        <v>352</v>
      </c>
      <c r="H498" t="s">
        <v>623</v>
      </c>
      <c r="I498" t="s">
        <v>22</v>
      </c>
      <c r="J498" t="s">
        <v>42</v>
      </c>
      <c r="K498" t="s">
        <v>24</v>
      </c>
      <c r="L498" t="s">
        <v>25</v>
      </c>
      <c r="M498" s="8">
        <v>1.387</v>
      </c>
      <c r="N498" t="s">
        <v>26</v>
      </c>
      <c r="O498" s="8">
        <v>1.387</v>
      </c>
      <c r="P498" s="8">
        <f>EXP(-1.363+3.366*LOG(O498,10))</f>
        <v>0.41280884754947733</v>
      </c>
      <c r="Q498" s="8">
        <f>(4488342*100)/4914798</f>
        <v>91.323020803703429</v>
      </c>
    </row>
    <row r="499" spans="1:17" x14ac:dyDescent="0.2">
      <c r="A499">
        <v>2011</v>
      </c>
      <c r="B499" t="s">
        <v>649</v>
      </c>
      <c r="C499" t="s">
        <v>50</v>
      </c>
      <c r="D499" t="s">
        <v>76</v>
      </c>
      <c r="E499">
        <v>5</v>
      </c>
      <c r="F499" t="s">
        <v>19</v>
      </c>
      <c r="G499" t="s">
        <v>352</v>
      </c>
      <c r="H499" t="s">
        <v>623</v>
      </c>
      <c r="I499" t="s">
        <v>22</v>
      </c>
      <c r="J499" t="s">
        <v>42</v>
      </c>
      <c r="K499" t="s">
        <v>24</v>
      </c>
      <c r="L499" t="s">
        <v>25</v>
      </c>
      <c r="M499" s="8">
        <v>1.387</v>
      </c>
      <c r="N499" t="s">
        <v>26</v>
      </c>
      <c r="O499" s="8">
        <v>1.387</v>
      </c>
      <c r="P499" s="8">
        <f>EXP(-1.363+3.366*LOG(O499,10))</f>
        <v>0.41280884754947733</v>
      </c>
      <c r="Q499" s="8">
        <f>(4488342*100)/4914798</f>
        <v>91.323020803703429</v>
      </c>
    </row>
    <row r="500" spans="1:17" x14ac:dyDescent="0.2">
      <c r="A500">
        <v>2011</v>
      </c>
      <c r="B500" t="s">
        <v>650</v>
      </c>
      <c r="C500" t="s">
        <v>50</v>
      </c>
      <c r="D500" t="s">
        <v>76</v>
      </c>
      <c r="E500">
        <v>5</v>
      </c>
      <c r="F500" t="s">
        <v>19</v>
      </c>
      <c r="G500" t="s">
        <v>352</v>
      </c>
      <c r="H500" t="s">
        <v>623</v>
      </c>
      <c r="I500" t="s">
        <v>22</v>
      </c>
      <c r="J500" t="s">
        <v>42</v>
      </c>
      <c r="K500" t="s">
        <v>24</v>
      </c>
      <c r="L500" t="s">
        <v>25</v>
      </c>
      <c r="M500" s="8">
        <v>1.387</v>
      </c>
      <c r="N500" t="s">
        <v>26</v>
      </c>
      <c r="O500" s="8">
        <v>1.387</v>
      </c>
      <c r="P500" s="8">
        <f>EXP(-1.363+3.366*LOG(O500,10))</f>
        <v>0.41280884754947733</v>
      </c>
      <c r="Q500" s="8">
        <f>(4488342*100)/4914798</f>
        <v>91.323020803703429</v>
      </c>
    </row>
    <row r="501" spans="1:17" x14ac:dyDescent="0.2">
      <c r="A501">
        <v>2011</v>
      </c>
      <c r="B501" t="s">
        <v>651</v>
      </c>
      <c r="C501" t="s">
        <v>50</v>
      </c>
      <c r="D501" t="s">
        <v>76</v>
      </c>
      <c r="E501">
        <v>5</v>
      </c>
      <c r="F501" t="s">
        <v>19</v>
      </c>
      <c r="G501" t="s">
        <v>352</v>
      </c>
      <c r="H501" t="s">
        <v>623</v>
      </c>
      <c r="I501" t="s">
        <v>22</v>
      </c>
      <c r="J501" t="s">
        <v>42</v>
      </c>
      <c r="K501" t="s">
        <v>24</v>
      </c>
      <c r="L501" t="s">
        <v>25</v>
      </c>
      <c r="M501" s="8">
        <v>1.387</v>
      </c>
      <c r="N501" t="s">
        <v>26</v>
      </c>
      <c r="O501" s="8">
        <v>1.387</v>
      </c>
      <c r="P501" s="8">
        <f>EXP(-1.363+3.366*LOG(O501,10))</f>
        <v>0.41280884754947733</v>
      </c>
      <c r="Q501" s="8">
        <f>(4488342*100)/4914798</f>
        <v>91.323020803703429</v>
      </c>
    </row>
    <row r="502" spans="1:17" x14ac:dyDescent="0.2">
      <c r="A502">
        <v>2011</v>
      </c>
      <c r="B502" t="s">
        <v>652</v>
      </c>
      <c r="C502" t="s">
        <v>50</v>
      </c>
      <c r="D502" t="s">
        <v>76</v>
      </c>
      <c r="E502">
        <v>5</v>
      </c>
      <c r="F502" t="s">
        <v>19</v>
      </c>
      <c r="G502" t="s">
        <v>352</v>
      </c>
      <c r="H502" t="s">
        <v>623</v>
      </c>
      <c r="I502" t="s">
        <v>22</v>
      </c>
      <c r="J502" t="s">
        <v>42</v>
      </c>
      <c r="K502" t="s">
        <v>24</v>
      </c>
      <c r="L502" t="s">
        <v>25</v>
      </c>
      <c r="M502" s="8">
        <v>1.387</v>
      </c>
      <c r="N502" t="s">
        <v>26</v>
      </c>
      <c r="O502" s="8">
        <v>1.387</v>
      </c>
      <c r="P502" s="8">
        <f>EXP(-1.363+3.366*LOG(O502,10))</f>
        <v>0.41280884754947733</v>
      </c>
      <c r="Q502" s="8">
        <f>(4488342*100)/4914798</f>
        <v>91.323020803703429</v>
      </c>
    </row>
    <row r="503" spans="1:17" x14ac:dyDescent="0.2">
      <c r="A503">
        <v>2011</v>
      </c>
      <c r="B503" t="s">
        <v>653</v>
      </c>
      <c r="C503" t="s">
        <v>50</v>
      </c>
      <c r="D503" t="s">
        <v>76</v>
      </c>
      <c r="E503">
        <v>5</v>
      </c>
      <c r="F503" t="s">
        <v>19</v>
      </c>
      <c r="G503" t="s">
        <v>352</v>
      </c>
      <c r="H503" t="s">
        <v>623</v>
      </c>
      <c r="I503" t="s">
        <v>22</v>
      </c>
      <c r="J503" t="s">
        <v>42</v>
      </c>
      <c r="K503" t="s">
        <v>24</v>
      </c>
      <c r="L503" t="s">
        <v>25</v>
      </c>
      <c r="M503" s="8">
        <v>1.387</v>
      </c>
      <c r="N503" t="s">
        <v>26</v>
      </c>
      <c r="O503" s="8">
        <v>1.387</v>
      </c>
      <c r="P503" s="8">
        <f>EXP(-1.363+3.366*LOG(O503,10))</f>
        <v>0.41280884754947733</v>
      </c>
      <c r="Q503" s="8">
        <f>(4488342*100)/4914798</f>
        <v>91.323020803703429</v>
      </c>
    </row>
    <row r="504" spans="1:17" x14ac:dyDescent="0.2">
      <c r="A504">
        <v>2011</v>
      </c>
      <c r="B504" t="s">
        <v>654</v>
      </c>
      <c r="C504" t="s">
        <v>50</v>
      </c>
      <c r="D504" t="s">
        <v>76</v>
      </c>
      <c r="E504">
        <v>5</v>
      </c>
      <c r="F504" t="s">
        <v>19</v>
      </c>
      <c r="G504" t="s">
        <v>352</v>
      </c>
      <c r="H504" t="s">
        <v>623</v>
      </c>
      <c r="I504" t="s">
        <v>22</v>
      </c>
      <c r="J504" t="s">
        <v>42</v>
      </c>
      <c r="K504" t="s">
        <v>24</v>
      </c>
      <c r="L504" t="s">
        <v>25</v>
      </c>
      <c r="M504" s="8">
        <v>1.387</v>
      </c>
      <c r="N504" t="s">
        <v>26</v>
      </c>
      <c r="O504" s="8">
        <v>1.387</v>
      </c>
      <c r="P504" s="8">
        <f>EXP(-1.363+3.366*LOG(O504,10))</f>
        <v>0.41280884754947733</v>
      </c>
      <c r="Q504" s="8">
        <f>(4488342*100)/4914798</f>
        <v>91.323020803703429</v>
      </c>
    </row>
    <row r="505" spans="1:17" x14ac:dyDescent="0.2">
      <c r="A505">
        <v>2011</v>
      </c>
      <c r="B505" t="s">
        <v>655</v>
      </c>
      <c r="C505" t="s">
        <v>50</v>
      </c>
      <c r="D505" t="s">
        <v>76</v>
      </c>
      <c r="E505">
        <v>5</v>
      </c>
      <c r="F505" t="s">
        <v>19</v>
      </c>
      <c r="G505" t="s">
        <v>352</v>
      </c>
      <c r="H505" t="s">
        <v>623</v>
      </c>
      <c r="I505" t="s">
        <v>22</v>
      </c>
      <c r="J505" t="s">
        <v>42</v>
      </c>
      <c r="K505" t="s">
        <v>24</v>
      </c>
      <c r="L505" t="s">
        <v>25</v>
      </c>
      <c r="M505" s="8">
        <v>1.387</v>
      </c>
      <c r="N505" t="s">
        <v>26</v>
      </c>
      <c r="O505" s="8">
        <v>1.387</v>
      </c>
      <c r="P505" s="8">
        <f>EXP(-1.363+3.366*LOG(O505,10))</f>
        <v>0.41280884754947733</v>
      </c>
      <c r="Q505" s="8">
        <f>(4488342*100)/4914798</f>
        <v>91.323020803703429</v>
      </c>
    </row>
    <row r="506" spans="1:17" x14ac:dyDescent="0.2">
      <c r="A506">
        <v>2011</v>
      </c>
      <c r="B506" t="s">
        <v>656</v>
      </c>
      <c r="C506" t="s">
        <v>50</v>
      </c>
      <c r="D506" t="s">
        <v>76</v>
      </c>
      <c r="E506">
        <v>5</v>
      </c>
      <c r="F506" t="s">
        <v>19</v>
      </c>
      <c r="G506" t="s">
        <v>352</v>
      </c>
      <c r="H506" t="s">
        <v>623</v>
      </c>
      <c r="I506" t="s">
        <v>22</v>
      </c>
      <c r="J506" t="s">
        <v>42</v>
      </c>
      <c r="K506" t="s">
        <v>24</v>
      </c>
      <c r="L506" t="s">
        <v>25</v>
      </c>
      <c r="M506" s="8">
        <v>1.387</v>
      </c>
      <c r="N506" t="s">
        <v>26</v>
      </c>
      <c r="O506" s="8">
        <v>1.387</v>
      </c>
      <c r="P506" s="8">
        <f>EXP(-1.363+3.366*LOG(O506,10))</f>
        <v>0.41280884754947733</v>
      </c>
      <c r="Q506" s="8">
        <f>(4488342*100)/4914798</f>
        <v>91.323020803703429</v>
      </c>
    </row>
    <row r="507" spans="1:17" x14ac:dyDescent="0.2">
      <c r="A507">
        <v>2011</v>
      </c>
      <c r="B507" t="s">
        <v>657</v>
      </c>
      <c r="C507" t="s">
        <v>50</v>
      </c>
      <c r="D507" t="s">
        <v>76</v>
      </c>
      <c r="E507">
        <v>5</v>
      </c>
      <c r="F507" t="s">
        <v>19</v>
      </c>
      <c r="G507" t="s">
        <v>352</v>
      </c>
      <c r="H507" t="s">
        <v>623</v>
      </c>
      <c r="I507" t="s">
        <v>22</v>
      </c>
      <c r="J507" t="s">
        <v>42</v>
      </c>
      <c r="K507" t="s">
        <v>24</v>
      </c>
      <c r="L507" t="s">
        <v>25</v>
      </c>
      <c r="M507" s="8">
        <v>1.387</v>
      </c>
      <c r="N507" t="s">
        <v>26</v>
      </c>
      <c r="O507" s="8">
        <v>1.387</v>
      </c>
      <c r="P507" s="8">
        <f>EXP(-1.363+3.366*LOG(O507,10))</f>
        <v>0.41280884754947733</v>
      </c>
      <c r="Q507" s="8">
        <f>(4488342*100)/4914798</f>
        <v>91.323020803703429</v>
      </c>
    </row>
    <row r="508" spans="1:17" x14ac:dyDescent="0.2">
      <c r="A508">
        <v>2011</v>
      </c>
      <c r="B508" t="s">
        <v>658</v>
      </c>
      <c r="C508" t="s">
        <v>50</v>
      </c>
      <c r="D508" t="s">
        <v>76</v>
      </c>
      <c r="E508">
        <v>5</v>
      </c>
      <c r="F508" t="s">
        <v>19</v>
      </c>
      <c r="G508" t="s">
        <v>352</v>
      </c>
      <c r="H508" t="s">
        <v>623</v>
      </c>
      <c r="I508" t="s">
        <v>22</v>
      </c>
      <c r="J508" t="s">
        <v>42</v>
      </c>
      <c r="K508" t="s">
        <v>24</v>
      </c>
      <c r="L508" t="s">
        <v>25</v>
      </c>
      <c r="M508" s="8">
        <v>1.387</v>
      </c>
      <c r="N508" t="s">
        <v>26</v>
      </c>
      <c r="O508" s="8">
        <v>1.387</v>
      </c>
      <c r="P508" s="8">
        <f>EXP(-1.363+3.366*LOG(O508,10))</f>
        <v>0.41280884754947733</v>
      </c>
      <c r="Q508" s="8">
        <f>(4488342*100)/4914798</f>
        <v>91.323020803703429</v>
      </c>
    </row>
    <row r="509" spans="1:17" x14ac:dyDescent="0.2">
      <c r="A509">
        <v>2011</v>
      </c>
      <c r="B509" t="s">
        <v>659</v>
      </c>
      <c r="C509" t="s">
        <v>50</v>
      </c>
      <c r="D509" t="s">
        <v>76</v>
      </c>
      <c r="E509">
        <v>5</v>
      </c>
      <c r="F509" t="s">
        <v>19</v>
      </c>
      <c r="G509" t="s">
        <v>352</v>
      </c>
      <c r="H509" t="s">
        <v>623</v>
      </c>
      <c r="I509" t="s">
        <v>22</v>
      </c>
      <c r="J509" t="s">
        <v>42</v>
      </c>
      <c r="K509" t="s">
        <v>24</v>
      </c>
      <c r="L509" t="s">
        <v>25</v>
      </c>
      <c r="M509" s="8">
        <v>1.387</v>
      </c>
      <c r="N509" t="s">
        <v>26</v>
      </c>
      <c r="O509" s="8">
        <v>1.387</v>
      </c>
      <c r="P509" s="8">
        <f>EXP(-1.363+3.366*LOG(O509,10))</f>
        <v>0.41280884754947733</v>
      </c>
      <c r="Q509" s="8">
        <f>(4488342*100)/4914798</f>
        <v>91.323020803703429</v>
      </c>
    </row>
    <row r="510" spans="1:17" x14ac:dyDescent="0.2">
      <c r="A510">
        <v>2011</v>
      </c>
      <c r="B510" t="s">
        <v>660</v>
      </c>
      <c r="C510" t="s">
        <v>39</v>
      </c>
      <c r="D510" t="s">
        <v>76</v>
      </c>
      <c r="E510">
        <v>5</v>
      </c>
      <c r="F510" t="s">
        <v>19</v>
      </c>
      <c r="G510" t="s">
        <v>352</v>
      </c>
      <c r="H510" t="s">
        <v>623</v>
      </c>
      <c r="I510" t="s">
        <v>22</v>
      </c>
      <c r="J510" t="s">
        <v>42</v>
      </c>
      <c r="K510" t="s">
        <v>24</v>
      </c>
      <c r="L510" t="s">
        <v>25</v>
      </c>
      <c r="M510" s="8">
        <v>1.387</v>
      </c>
      <c r="N510" t="s">
        <v>26</v>
      </c>
      <c r="O510" s="8">
        <v>1.387</v>
      </c>
      <c r="P510" s="8">
        <f>EXP(-1.363+3.366*LOG(O510,10))</f>
        <v>0.41280884754947733</v>
      </c>
      <c r="Q510" s="8">
        <f>(2375365*100)/2680339</f>
        <v>88.621812390149159</v>
      </c>
    </row>
    <row r="511" spans="1:17" x14ac:dyDescent="0.2">
      <c r="A511">
        <v>2011</v>
      </c>
      <c r="B511" t="s">
        <v>661</v>
      </c>
      <c r="C511" t="s">
        <v>50</v>
      </c>
      <c r="D511" t="s">
        <v>79</v>
      </c>
      <c r="E511">
        <v>6</v>
      </c>
      <c r="F511" t="s">
        <v>19</v>
      </c>
      <c r="G511" t="s">
        <v>352</v>
      </c>
      <c r="H511" t="s">
        <v>623</v>
      </c>
      <c r="I511" t="s">
        <v>22</v>
      </c>
      <c r="J511" t="s">
        <v>42</v>
      </c>
      <c r="K511" t="s">
        <v>24</v>
      </c>
      <c r="L511" t="s">
        <v>25</v>
      </c>
      <c r="M511" s="8">
        <v>1.387</v>
      </c>
      <c r="N511" t="s">
        <v>26</v>
      </c>
      <c r="O511" s="8">
        <v>1.387</v>
      </c>
      <c r="P511" s="8">
        <f>EXP(-1.363+3.366*LOG(O511,10))</f>
        <v>0.41280884754947733</v>
      </c>
      <c r="Q511" s="8">
        <f>(4488342*100)/4914798</f>
        <v>91.323020803703429</v>
      </c>
    </row>
    <row r="512" spans="1:17" x14ac:dyDescent="0.2">
      <c r="A512">
        <v>2011</v>
      </c>
      <c r="B512" t="s">
        <v>662</v>
      </c>
      <c r="C512" t="s">
        <v>52</v>
      </c>
      <c r="D512" t="s">
        <v>81</v>
      </c>
      <c r="E512">
        <v>6</v>
      </c>
      <c r="F512" t="s">
        <v>19</v>
      </c>
      <c r="G512" t="s">
        <v>352</v>
      </c>
      <c r="H512" t="s">
        <v>623</v>
      </c>
      <c r="I512" t="s">
        <v>22</v>
      </c>
      <c r="J512" t="s">
        <v>42</v>
      </c>
      <c r="K512" t="s">
        <v>24</v>
      </c>
      <c r="L512" t="s">
        <v>25</v>
      </c>
      <c r="M512" s="8">
        <v>1.387</v>
      </c>
      <c r="N512" t="s">
        <v>26</v>
      </c>
      <c r="O512" s="8">
        <v>1.387</v>
      </c>
      <c r="P512" s="8">
        <f>EXP(-1.363+3.366*LOG(O512,10))</f>
        <v>0.41280884754947733</v>
      </c>
      <c r="Q512" s="8">
        <f>(1626350*100)/1973941</f>
        <v>82.391013713175823</v>
      </c>
    </row>
    <row r="513" spans="1:17" x14ac:dyDescent="0.2">
      <c r="A513">
        <v>2011</v>
      </c>
      <c r="B513" t="s">
        <v>663</v>
      </c>
      <c r="C513" t="s">
        <v>39</v>
      </c>
      <c r="D513" t="s">
        <v>81</v>
      </c>
      <c r="E513">
        <v>6</v>
      </c>
      <c r="F513" t="s">
        <v>19</v>
      </c>
      <c r="G513" t="s">
        <v>352</v>
      </c>
      <c r="H513" t="s">
        <v>623</v>
      </c>
      <c r="I513" t="s">
        <v>22</v>
      </c>
      <c r="J513" t="s">
        <v>42</v>
      </c>
      <c r="K513" t="s">
        <v>24</v>
      </c>
      <c r="L513" t="s">
        <v>25</v>
      </c>
      <c r="M513" s="8">
        <v>1.387</v>
      </c>
      <c r="N513" t="s">
        <v>26</v>
      </c>
      <c r="O513" s="8">
        <v>1.387</v>
      </c>
      <c r="P513" s="8">
        <f>EXP(-1.363+3.366*LOG(O513,10))</f>
        <v>0.41280884754947733</v>
      </c>
      <c r="Q513" s="8">
        <f>(2375365*100)/2680339</f>
        <v>88.621812390149159</v>
      </c>
    </row>
    <row r="514" spans="1:17" x14ac:dyDescent="0.2">
      <c r="A514">
        <v>2011</v>
      </c>
      <c r="B514" t="s">
        <v>664</v>
      </c>
      <c r="C514" t="s">
        <v>60</v>
      </c>
      <c r="D514" t="s">
        <v>53</v>
      </c>
      <c r="E514">
        <v>6</v>
      </c>
      <c r="F514" t="s">
        <v>19</v>
      </c>
      <c r="G514" t="s">
        <v>352</v>
      </c>
      <c r="H514" t="s">
        <v>623</v>
      </c>
      <c r="I514" t="s">
        <v>22</v>
      </c>
      <c r="J514" t="s">
        <v>31</v>
      </c>
      <c r="K514" t="s">
        <v>24</v>
      </c>
      <c r="L514" t="s">
        <v>25</v>
      </c>
      <c r="M514" s="8">
        <v>1.387</v>
      </c>
      <c r="N514" t="s">
        <v>26</v>
      </c>
      <c r="O514" s="8">
        <v>1.387</v>
      </c>
      <c r="P514" s="8">
        <f>EXP(-1.363+3.366*LOG(O514,10))</f>
        <v>0.41280884754947733</v>
      </c>
      <c r="Q514" s="8">
        <f>(27433.05*100)/7611378</f>
        <v>0.36042159514348127</v>
      </c>
    </row>
    <row r="515" spans="1:17" x14ac:dyDescent="0.2">
      <c r="A515">
        <v>2011</v>
      </c>
      <c r="B515" t="s">
        <v>665</v>
      </c>
      <c r="C515" t="s">
        <v>60</v>
      </c>
      <c r="D515" t="s">
        <v>53</v>
      </c>
      <c r="E515">
        <v>6</v>
      </c>
      <c r="F515" t="s">
        <v>19</v>
      </c>
      <c r="G515" t="s">
        <v>352</v>
      </c>
      <c r="H515" t="s">
        <v>623</v>
      </c>
      <c r="I515" t="s">
        <v>22</v>
      </c>
      <c r="J515" t="s">
        <v>31</v>
      </c>
      <c r="K515" t="s">
        <v>24</v>
      </c>
      <c r="L515" t="s">
        <v>25</v>
      </c>
      <c r="M515" s="8">
        <v>1.387</v>
      </c>
      <c r="N515" t="s">
        <v>26</v>
      </c>
      <c r="O515" s="8">
        <v>1.387</v>
      </c>
      <c r="P515" s="8">
        <f>EXP(-1.363+3.366*LOG(O515,10))</f>
        <v>0.41280884754947733</v>
      </c>
      <c r="Q515" s="8">
        <f>(27433.05*100)/7611378</f>
        <v>0.36042159514348127</v>
      </c>
    </row>
    <row r="516" spans="1:17" x14ac:dyDescent="0.2">
      <c r="A516">
        <v>2011</v>
      </c>
      <c r="B516" t="s">
        <v>666</v>
      </c>
      <c r="C516" t="s">
        <v>60</v>
      </c>
      <c r="D516" t="s">
        <v>53</v>
      </c>
      <c r="E516">
        <v>6</v>
      </c>
      <c r="F516" t="s">
        <v>19</v>
      </c>
      <c r="G516" t="s">
        <v>352</v>
      </c>
      <c r="H516" t="s">
        <v>623</v>
      </c>
      <c r="I516" t="s">
        <v>22</v>
      </c>
      <c r="J516" t="s">
        <v>31</v>
      </c>
      <c r="K516" t="s">
        <v>24</v>
      </c>
      <c r="L516" t="s">
        <v>25</v>
      </c>
      <c r="M516" s="8">
        <v>1.387</v>
      </c>
      <c r="N516" t="s">
        <v>26</v>
      </c>
      <c r="O516" s="8">
        <v>1.387</v>
      </c>
      <c r="P516" s="8">
        <f>EXP(-1.363+3.366*LOG(O516,10))</f>
        <v>0.41280884754947733</v>
      </c>
      <c r="Q516" s="8">
        <f>(27433.05*100)/7611378</f>
        <v>0.36042159514348127</v>
      </c>
    </row>
    <row r="517" spans="1:17" x14ac:dyDescent="0.2">
      <c r="A517">
        <v>2011</v>
      </c>
      <c r="B517" t="s">
        <v>667</v>
      </c>
      <c r="C517" t="s">
        <v>60</v>
      </c>
      <c r="D517" t="s">
        <v>53</v>
      </c>
      <c r="E517">
        <v>6</v>
      </c>
      <c r="F517" t="s">
        <v>19</v>
      </c>
      <c r="G517" t="s">
        <v>352</v>
      </c>
      <c r="H517" t="s">
        <v>623</v>
      </c>
      <c r="I517" t="s">
        <v>22</v>
      </c>
      <c r="J517" t="s">
        <v>31</v>
      </c>
      <c r="K517" t="s">
        <v>24</v>
      </c>
      <c r="L517" t="s">
        <v>25</v>
      </c>
      <c r="M517" s="8">
        <v>1.387</v>
      </c>
      <c r="N517" t="s">
        <v>26</v>
      </c>
      <c r="O517" s="8">
        <v>1.387</v>
      </c>
      <c r="P517" s="8">
        <f>EXP(-1.363+3.366*LOG(O517,10))</f>
        <v>0.41280884754947733</v>
      </c>
      <c r="Q517" s="8">
        <f>(27433.05*100)/7611378</f>
        <v>0.36042159514348127</v>
      </c>
    </row>
    <row r="518" spans="1:17" x14ac:dyDescent="0.2">
      <c r="A518">
        <v>2011</v>
      </c>
      <c r="B518" t="s">
        <v>668</v>
      </c>
      <c r="C518" t="s">
        <v>60</v>
      </c>
      <c r="D518" t="s">
        <v>53</v>
      </c>
      <c r="E518">
        <v>6</v>
      </c>
      <c r="F518" t="s">
        <v>19</v>
      </c>
      <c r="G518" t="s">
        <v>352</v>
      </c>
      <c r="H518" t="s">
        <v>623</v>
      </c>
      <c r="I518" t="s">
        <v>22</v>
      </c>
      <c r="J518" t="s">
        <v>31</v>
      </c>
      <c r="K518" t="s">
        <v>24</v>
      </c>
      <c r="L518" t="s">
        <v>25</v>
      </c>
      <c r="M518" s="8">
        <v>1.387</v>
      </c>
      <c r="N518" t="s">
        <v>26</v>
      </c>
      <c r="O518" s="8">
        <v>1.387</v>
      </c>
      <c r="P518" s="8">
        <f>EXP(-1.363+3.366*LOG(O518,10))</f>
        <v>0.41280884754947733</v>
      </c>
      <c r="Q518" s="8">
        <f>(27433.05*100)/7611378</f>
        <v>0.36042159514348127</v>
      </c>
    </row>
    <row r="519" spans="1:17" x14ac:dyDescent="0.2">
      <c r="A519">
        <v>2011</v>
      </c>
      <c r="B519" t="s">
        <v>669</v>
      </c>
      <c r="C519" t="s">
        <v>50</v>
      </c>
      <c r="D519" t="s">
        <v>81</v>
      </c>
      <c r="E519">
        <v>6</v>
      </c>
      <c r="F519" t="s">
        <v>19</v>
      </c>
      <c r="G519" t="s">
        <v>352</v>
      </c>
      <c r="H519" t="s">
        <v>623</v>
      </c>
      <c r="I519" t="s">
        <v>22</v>
      </c>
      <c r="J519" t="s">
        <v>42</v>
      </c>
      <c r="K519" t="s">
        <v>24</v>
      </c>
      <c r="L519" t="s">
        <v>25</v>
      </c>
      <c r="M519" s="8">
        <v>1.387</v>
      </c>
      <c r="N519" t="s">
        <v>26</v>
      </c>
      <c r="O519" s="8">
        <v>1.387</v>
      </c>
      <c r="P519" s="8">
        <f>EXP(-1.363+3.366*LOG(O519,10))</f>
        <v>0.41280884754947733</v>
      </c>
      <c r="Q519" s="8">
        <f>(4488342*100)/4914798</f>
        <v>91.323020803703429</v>
      </c>
    </row>
    <row r="520" spans="1:17" x14ac:dyDescent="0.2">
      <c r="A520">
        <v>2011</v>
      </c>
      <c r="B520" t="s">
        <v>670</v>
      </c>
      <c r="C520" t="s">
        <v>50</v>
      </c>
      <c r="D520" t="s">
        <v>81</v>
      </c>
      <c r="E520">
        <v>6</v>
      </c>
      <c r="F520" t="s">
        <v>19</v>
      </c>
      <c r="G520" t="s">
        <v>352</v>
      </c>
      <c r="H520" t="s">
        <v>623</v>
      </c>
      <c r="I520" t="s">
        <v>22</v>
      </c>
      <c r="J520" t="s">
        <v>42</v>
      </c>
      <c r="K520" t="s">
        <v>24</v>
      </c>
      <c r="L520" t="s">
        <v>25</v>
      </c>
      <c r="M520" s="8">
        <v>1.387</v>
      </c>
      <c r="N520" t="s">
        <v>26</v>
      </c>
      <c r="O520" s="8">
        <v>1.387</v>
      </c>
      <c r="P520" s="8">
        <f>EXP(-1.363+3.366*LOG(O520,10))</f>
        <v>0.41280884754947733</v>
      </c>
      <c r="Q520" s="8">
        <f>(4488342*100)/4914798</f>
        <v>91.323020803703429</v>
      </c>
    </row>
    <row r="521" spans="1:17" x14ac:dyDescent="0.2">
      <c r="A521">
        <v>2011</v>
      </c>
      <c r="B521" t="s">
        <v>671</v>
      </c>
      <c r="C521" t="s">
        <v>50</v>
      </c>
      <c r="D521" t="s">
        <v>81</v>
      </c>
      <c r="E521">
        <v>6</v>
      </c>
      <c r="F521" t="s">
        <v>19</v>
      </c>
      <c r="G521" t="s">
        <v>352</v>
      </c>
      <c r="H521" t="s">
        <v>623</v>
      </c>
      <c r="I521" t="s">
        <v>22</v>
      </c>
      <c r="J521" t="s">
        <v>42</v>
      </c>
      <c r="K521" t="s">
        <v>24</v>
      </c>
      <c r="L521" t="s">
        <v>25</v>
      </c>
      <c r="M521" s="8">
        <v>1.387</v>
      </c>
      <c r="N521" t="s">
        <v>26</v>
      </c>
      <c r="O521" s="8">
        <v>1.387</v>
      </c>
      <c r="P521" s="8">
        <f>EXP(-1.363+3.366*LOG(O521,10))</f>
        <v>0.41280884754947733</v>
      </c>
      <c r="Q521" s="8">
        <f>(4488342*100)/4914798</f>
        <v>91.323020803703429</v>
      </c>
    </row>
    <row r="522" spans="1:17" x14ac:dyDescent="0.2">
      <c r="A522">
        <v>2011</v>
      </c>
      <c r="B522" t="s">
        <v>672</v>
      </c>
      <c r="C522" t="s">
        <v>50</v>
      </c>
      <c r="D522" t="s">
        <v>81</v>
      </c>
      <c r="E522">
        <v>6</v>
      </c>
      <c r="F522" t="s">
        <v>19</v>
      </c>
      <c r="G522" t="s">
        <v>352</v>
      </c>
      <c r="H522" t="s">
        <v>623</v>
      </c>
      <c r="I522" t="s">
        <v>22</v>
      </c>
      <c r="J522" t="s">
        <v>42</v>
      </c>
      <c r="K522" t="s">
        <v>24</v>
      </c>
      <c r="L522" t="s">
        <v>25</v>
      </c>
      <c r="M522" s="8">
        <v>1.387</v>
      </c>
      <c r="N522" t="s">
        <v>26</v>
      </c>
      <c r="O522" s="8">
        <v>1.387</v>
      </c>
      <c r="P522" s="8">
        <f>EXP(-1.363+3.366*LOG(O522,10))</f>
        <v>0.41280884754947733</v>
      </c>
      <c r="Q522" s="8">
        <f>(4488342*100)/4914798</f>
        <v>91.323020803703429</v>
      </c>
    </row>
    <row r="523" spans="1:17" x14ac:dyDescent="0.2">
      <c r="A523">
        <v>2011</v>
      </c>
      <c r="B523" t="s">
        <v>673</v>
      </c>
      <c r="C523" t="s">
        <v>50</v>
      </c>
      <c r="D523" t="s">
        <v>81</v>
      </c>
      <c r="E523">
        <v>6</v>
      </c>
      <c r="F523" t="s">
        <v>19</v>
      </c>
      <c r="G523" t="s">
        <v>352</v>
      </c>
      <c r="H523" t="s">
        <v>623</v>
      </c>
      <c r="I523" t="s">
        <v>22</v>
      </c>
      <c r="J523" t="s">
        <v>42</v>
      </c>
      <c r="K523" t="s">
        <v>24</v>
      </c>
      <c r="L523" t="s">
        <v>25</v>
      </c>
      <c r="M523" s="8">
        <v>1.387</v>
      </c>
      <c r="N523" t="s">
        <v>26</v>
      </c>
      <c r="O523" s="8">
        <v>1.387</v>
      </c>
      <c r="P523" s="8">
        <f>EXP(-1.363+3.366*LOG(O523,10))</f>
        <v>0.41280884754947733</v>
      </c>
      <c r="Q523" s="8">
        <f>(4488342*100)/4914798</f>
        <v>91.323020803703429</v>
      </c>
    </row>
    <row r="524" spans="1:17" x14ac:dyDescent="0.2">
      <c r="A524">
        <v>2011</v>
      </c>
      <c r="B524" t="s">
        <v>674</v>
      </c>
      <c r="C524" t="s">
        <v>50</v>
      </c>
      <c r="D524" t="s">
        <v>81</v>
      </c>
      <c r="E524">
        <v>6</v>
      </c>
      <c r="F524" t="s">
        <v>19</v>
      </c>
      <c r="G524" t="s">
        <v>352</v>
      </c>
      <c r="H524" t="s">
        <v>623</v>
      </c>
      <c r="I524" t="s">
        <v>22</v>
      </c>
      <c r="J524" t="s">
        <v>42</v>
      </c>
      <c r="K524" t="s">
        <v>24</v>
      </c>
      <c r="L524" t="s">
        <v>25</v>
      </c>
      <c r="M524" s="8">
        <v>1.387</v>
      </c>
      <c r="N524" t="s">
        <v>26</v>
      </c>
      <c r="O524" s="8">
        <v>1.387</v>
      </c>
      <c r="P524" s="8">
        <f>EXP(-1.363+3.366*LOG(O524,10))</f>
        <v>0.41280884754947733</v>
      </c>
      <c r="Q524" s="8">
        <f>(4488342*100)/4914798</f>
        <v>91.323020803703429</v>
      </c>
    </row>
    <row r="525" spans="1:17" x14ac:dyDescent="0.2">
      <c r="A525">
        <v>2011</v>
      </c>
      <c r="B525" t="s">
        <v>675</v>
      </c>
      <c r="C525" t="s">
        <v>50</v>
      </c>
      <c r="D525" t="s">
        <v>81</v>
      </c>
      <c r="E525">
        <v>6</v>
      </c>
      <c r="F525" t="s">
        <v>19</v>
      </c>
      <c r="G525" t="s">
        <v>352</v>
      </c>
      <c r="H525" t="s">
        <v>623</v>
      </c>
      <c r="I525" t="s">
        <v>22</v>
      </c>
      <c r="J525" t="s">
        <v>42</v>
      </c>
      <c r="K525" t="s">
        <v>24</v>
      </c>
      <c r="L525" t="s">
        <v>25</v>
      </c>
      <c r="M525" s="8">
        <v>1.387</v>
      </c>
      <c r="N525" t="s">
        <v>26</v>
      </c>
      <c r="O525" s="8">
        <v>1.387</v>
      </c>
      <c r="P525" s="8">
        <f>EXP(-1.363+3.366*LOG(O525,10))</f>
        <v>0.41280884754947733</v>
      </c>
      <c r="Q525" s="8">
        <f>(4488342*100)/4914798</f>
        <v>91.323020803703429</v>
      </c>
    </row>
    <row r="526" spans="1:17" x14ac:dyDescent="0.2">
      <c r="A526">
        <v>2011</v>
      </c>
      <c r="B526" t="s">
        <v>676</v>
      </c>
      <c r="C526" t="s">
        <v>50</v>
      </c>
      <c r="D526" t="s">
        <v>81</v>
      </c>
      <c r="E526">
        <v>6</v>
      </c>
      <c r="F526" t="s">
        <v>19</v>
      </c>
      <c r="G526" t="s">
        <v>352</v>
      </c>
      <c r="H526" t="s">
        <v>623</v>
      </c>
      <c r="I526" t="s">
        <v>22</v>
      </c>
      <c r="J526" t="s">
        <v>42</v>
      </c>
      <c r="K526" t="s">
        <v>24</v>
      </c>
      <c r="L526" t="s">
        <v>25</v>
      </c>
      <c r="M526" s="8">
        <v>1.387</v>
      </c>
      <c r="N526" t="s">
        <v>26</v>
      </c>
      <c r="O526" s="8">
        <v>1.387</v>
      </c>
      <c r="P526" s="8">
        <f>EXP(-1.363+3.366*LOG(O526,10))</f>
        <v>0.41280884754947733</v>
      </c>
      <c r="Q526" s="8">
        <f>(4488342*100)/4914798</f>
        <v>91.323020803703429</v>
      </c>
    </row>
    <row r="527" spans="1:17" x14ac:dyDescent="0.2">
      <c r="A527">
        <v>2011</v>
      </c>
      <c r="B527" t="s">
        <v>677</v>
      </c>
      <c r="C527" t="s">
        <v>50</v>
      </c>
      <c r="D527" t="s">
        <v>81</v>
      </c>
      <c r="E527">
        <v>6</v>
      </c>
      <c r="F527" t="s">
        <v>19</v>
      </c>
      <c r="G527" t="s">
        <v>352</v>
      </c>
      <c r="H527" t="s">
        <v>623</v>
      </c>
      <c r="I527" t="s">
        <v>22</v>
      </c>
      <c r="J527" t="s">
        <v>42</v>
      </c>
      <c r="K527" t="s">
        <v>24</v>
      </c>
      <c r="L527" t="s">
        <v>25</v>
      </c>
      <c r="M527" s="8">
        <v>1.387</v>
      </c>
      <c r="N527" t="s">
        <v>26</v>
      </c>
      <c r="O527" s="8">
        <v>1.387</v>
      </c>
      <c r="P527" s="8">
        <f>EXP(-1.363+3.366*LOG(O527,10))</f>
        <v>0.41280884754947733</v>
      </c>
      <c r="Q527" s="8">
        <f>(4488342*100)/4914798</f>
        <v>91.323020803703429</v>
      </c>
    </row>
    <row r="528" spans="1:17" x14ac:dyDescent="0.2">
      <c r="A528">
        <v>2011</v>
      </c>
      <c r="B528" t="s">
        <v>678</v>
      </c>
      <c r="C528" t="s">
        <v>50</v>
      </c>
      <c r="D528" t="s">
        <v>81</v>
      </c>
      <c r="E528">
        <v>6</v>
      </c>
      <c r="F528" t="s">
        <v>19</v>
      </c>
      <c r="G528" t="s">
        <v>352</v>
      </c>
      <c r="H528" t="s">
        <v>623</v>
      </c>
      <c r="I528" t="s">
        <v>22</v>
      </c>
      <c r="J528" t="s">
        <v>42</v>
      </c>
      <c r="K528" t="s">
        <v>24</v>
      </c>
      <c r="L528" t="s">
        <v>25</v>
      </c>
      <c r="M528" s="8">
        <v>1.387</v>
      </c>
      <c r="N528" t="s">
        <v>26</v>
      </c>
      <c r="O528" s="8">
        <v>1.387</v>
      </c>
      <c r="P528" s="8">
        <f>EXP(-1.363+3.366*LOG(O528,10))</f>
        <v>0.41280884754947733</v>
      </c>
      <c r="Q528" s="8">
        <f>(4488342*100)/4914798</f>
        <v>91.323020803703429</v>
      </c>
    </row>
    <row r="529" spans="1:17" x14ac:dyDescent="0.2">
      <c r="A529">
        <v>2011</v>
      </c>
      <c r="B529" t="s">
        <v>679</v>
      </c>
      <c r="C529" t="s">
        <v>50</v>
      </c>
      <c r="D529" t="s">
        <v>81</v>
      </c>
      <c r="E529">
        <v>6</v>
      </c>
      <c r="F529" t="s">
        <v>19</v>
      </c>
      <c r="G529" t="s">
        <v>352</v>
      </c>
      <c r="H529" t="s">
        <v>623</v>
      </c>
      <c r="I529" t="s">
        <v>22</v>
      </c>
      <c r="J529" t="s">
        <v>42</v>
      </c>
      <c r="K529" t="s">
        <v>24</v>
      </c>
      <c r="L529" t="s">
        <v>25</v>
      </c>
      <c r="M529" s="8">
        <v>1.387</v>
      </c>
      <c r="N529" t="s">
        <v>26</v>
      </c>
      <c r="O529" s="8">
        <v>1.387</v>
      </c>
      <c r="P529" s="8">
        <f>EXP(-1.363+3.366*LOG(O529,10))</f>
        <v>0.41280884754947733</v>
      </c>
      <c r="Q529" s="8">
        <f>(4488342*100)/4914798</f>
        <v>91.323020803703429</v>
      </c>
    </row>
    <row r="530" spans="1:17" x14ac:dyDescent="0.2">
      <c r="A530">
        <v>2011</v>
      </c>
      <c r="B530" t="s">
        <v>680</v>
      </c>
      <c r="C530" t="s">
        <v>50</v>
      </c>
      <c r="D530" t="s">
        <v>81</v>
      </c>
      <c r="E530">
        <v>6</v>
      </c>
      <c r="F530" t="s">
        <v>19</v>
      </c>
      <c r="G530" t="s">
        <v>352</v>
      </c>
      <c r="H530" t="s">
        <v>623</v>
      </c>
      <c r="I530" t="s">
        <v>22</v>
      </c>
      <c r="J530" t="s">
        <v>42</v>
      </c>
      <c r="K530" t="s">
        <v>24</v>
      </c>
      <c r="L530" t="s">
        <v>25</v>
      </c>
      <c r="M530" s="8">
        <v>1.387</v>
      </c>
      <c r="N530" t="s">
        <v>26</v>
      </c>
      <c r="O530" s="8">
        <v>1.387</v>
      </c>
      <c r="P530" s="8">
        <f>EXP(-1.363+3.366*LOG(O530,10))</f>
        <v>0.41280884754947733</v>
      </c>
      <c r="Q530" s="8">
        <f>(4488342*100)/4914798</f>
        <v>91.323020803703429</v>
      </c>
    </row>
    <row r="531" spans="1:17" x14ac:dyDescent="0.2">
      <c r="A531">
        <v>2011</v>
      </c>
      <c r="B531" t="s">
        <v>681</v>
      </c>
      <c r="C531" t="s">
        <v>50</v>
      </c>
      <c r="D531" t="s">
        <v>81</v>
      </c>
      <c r="E531">
        <v>6</v>
      </c>
      <c r="F531" t="s">
        <v>19</v>
      </c>
      <c r="G531" t="s">
        <v>352</v>
      </c>
      <c r="H531" t="s">
        <v>623</v>
      </c>
      <c r="I531" t="s">
        <v>22</v>
      </c>
      <c r="J531" t="s">
        <v>42</v>
      </c>
      <c r="K531" t="s">
        <v>24</v>
      </c>
      <c r="L531" t="s">
        <v>25</v>
      </c>
      <c r="M531" s="8">
        <v>1.387</v>
      </c>
      <c r="N531" t="s">
        <v>26</v>
      </c>
      <c r="O531" s="8">
        <v>1.387</v>
      </c>
      <c r="P531" s="8">
        <f>EXP(-1.363+3.366*LOG(O531,10))</f>
        <v>0.41280884754947733</v>
      </c>
      <c r="Q531" s="8">
        <f>(4488342*100)/4914798</f>
        <v>91.323020803703429</v>
      </c>
    </row>
    <row r="532" spans="1:17" x14ac:dyDescent="0.2">
      <c r="A532">
        <v>2011</v>
      </c>
      <c r="B532" t="s">
        <v>682</v>
      </c>
      <c r="C532" t="s">
        <v>50</v>
      </c>
      <c r="D532" t="s">
        <v>81</v>
      </c>
      <c r="E532">
        <v>6</v>
      </c>
      <c r="F532" t="s">
        <v>19</v>
      </c>
      <c r="G532" t="s">
        <v>352</v>
      </c>
      <c r="H532" t="s">
        <v>623</v>
      </c>
      <c r="I532" t="s">
        <v>22</v>
      </c>
      <c r="J532" t="s">
        <v>42</v>
      </c>
      <c r="K532" t="s">
        <v>24</v>
      </c>
      <c r="L532" t="s">
        <v>25</v>
      </c>
      <c r="M532" s="8">
        <v>1.387</v>
      </c>
      <c r="N532" t="s">
        <v>26</v>
      </c>
      <c r="O532" s="8">
        <v>1.387</v>
      </c>
      <c r="P532" s="8">
        <f>EXP(-1.363+3.366*LOG(O532,10))</f>
        <v>0.41280884754947733</v>
      </c>
      <c r="Q532" s="8">
        <f>(4488342*100)/4914798</f>
        <v>91.323020803703429</v>
      </c>
    </row>
    <row r="533" spans="1:17" x14ac:dyDescent="0.2">
      <c r="A533">
        <v>2011</v>
      </c>
      <c r="B533" t="s">
        <v>683</v>
      </c>
      <c r="C533" t="s">
        <v>50</v>
      </c>
      <c r="D533" t="s">
        <v>81</v>
      </c>
      <c r="E533">
        <v>6</v>
      </c>
      <c r="F533" t="s">
        <v>19</v>
      </c>
      <c r="G533" t="s">
        <v>352</v>
      </c>
      <c r="H533" t="s">
        <v>623</v>
      </c>
      <c r="I533" t="s">
        <v>22</v>
      </c>
      <c r="J533" t="s">
        <v>42</v>
      </c>
      <c r="K533" t="s">
        <v>24</v>
      </c>
      <c r="L533" t="s">
        <v>25</v>
      </c>
      <c r="M533" s="8">
        <v>1.387</v>
      </c>
      <c r="N533" t="s">
        <v>26</v>
      </c>
      <c r="O533" s="8">
        <v>1.387</v>
      </c>
      <c r="P533" s="8">
        <f>EXP(-1.363+3.366*LOG(O533,10))</f>
        <v>0.41280884754947733</v>
      </c>
      <c r="Q533" s="8">
        <f>(4488342*100)/4914798</f>
        <v>91.323020803703429</v>
      </c>
    </row>
    <row r="534" spans="1:17" x14ac:dyDescent="0.2">
      <c r="A534">
        <v>2011</v>
      </c>
      <c r="B534" t="s">
        <v>684</v>
      </c>
      <c r="C534" t="s">
        <v>57</v>
      </c>
      <c r="D534" t="s">
        <v>71</v>
      </c>
      <c r="E534">
        <v>7</v>
      </c>
      <c r="F534" t="s">
        <v>19</v>
      </c>
      <c r="G534" t="s">
        <v>352</v>
      </c>
      <c r="H534" t="s">
        <v>623</v>
      </c>
      <c r="I534" t="s">
        <v>22</v>
      </c>
      <c r="J534" t="s">
        <v>104</v>
      </c>
      <c r="K534" t="s">
        <v>24</v>
      </c>
      <c r="L534" t="s">
        <v>25</v>
      </c>
      <c r="M534" s="8">
        <v>1.387</v>
      </c>
      <c r="N534" t="s">
        <v>26</v>
      </c>
      <c r="O534" s="8">
        <v>1.387</v>
      </c>
      <c r="P534" s="8">
        <f>EXP(-1.363+3.366*LOG(O534,10))</f>
        <v>0.41280884754947733</v>
      </c>
      <c r="Q534" s="8">
        <f>(321151.3*100)/5927002</f>
        <v>5.4184442657518925</v>
      </c>
    </row>
    <row r="535" spans="1:17" x14ac:dyDescent="0.2">
      <c r="A535">
        <v>2011</v>
      </c>
      <c r="B535" t="s">
        <v>685</v>
      </c>
      <c r="C535" t="s">
        <v>57</v>
      </c>
      <c r="D535" t="s">
        <v>71</v>
      </c>
      <c r="E535">
        <v>7</v>
      </c>
      <c r="F535" t="s">
        <v>19</v>
      </c>
      <c r="G535" t="s">
        <v>352</v>
      </c>
      <c r="H535" t="s">
        <v>623</v>
      </c>
      <c r="I535" t="s">
        <v>22</v>
      </c>
      <c r="J535" t="s">
        <v>104</v>
      </c>
      <c r="K535" t="s">
        <v>24</v>
      </c>
      <c r="L535" t="s">
        <v>25</v>
      </c>
      <c r="M535" s="8">
        <v>1.387</v>
      </c>
      <c r="N535" t="s">
        <v>26</v>
      </c>
      <c r="O535" s="8">
        <v>1.387</v>
      </c>
      <c r="P535" s="8">
        <f>EXP(-1.363+3.366*LOG(O535,10))</f>
        <v>0.41280884754947733</v>
      </c>
      <c r="Q535" s="8">
        <f>(321151.3*100)/5927002</f>
        <v>5.4184442657518925</v>
      </c>
    </row>
    <row r="536" spans="1:17" x14ac:dyDescent="0.2">
      <c r="A536">
        <v>2011</v>
      </c>
      <c r="B536" t="s">
        <v>686</v>
      </c>
      <c r="C536" t="s">
        <v>39</v>
      </c>
      <c r="D536" t="s">
        <v>40</v>
      </c>
      <c r="E536">
        <v>6</v>
      </c>
      <c r="F536" t="s">
        <v>19</v>
      </c>
      <c r="G536" t="s">
        <v>352</v>
      </c>
      <c r="H536" t="s">
        <v>623</v>
      </c>
      <c r="I536" t="s">
        <v>22</v>
      </c>
      <c r="J536" t="s">
        <v>42</v>
      </c>
      <c r="K536" t="s">
        <v>24</v>
      </c>
      <c r="L536" t="s">
        <v>25</v>
      </c>
      <c r="M536" s="8">
        <v>1.387</v>
      </c>
      <c r="N536" t="s">
        <v>26</v>
      </c>
      <c r="O536" s="8">
        <v>1.387</v>
      </c>
      <c r="P536" s="8">
        <f>EXP(-1.363+3.366*LOG(O536,10))</f>
        <v>0.41280884754947733</v>
      </c>
      <c r="Q536" s="8">
        <f>(2375365*100)/2680339</f>
        <v>88.621812390149159</v>
      </c>
    </row>
    <row r="537" spans="1:17" x14ac:dyDescent="0.2">
      <c r="A537">
        <v>2011</v>
      </c>
      <c r="B537" t="s">
        <v>687</v>
      </c>
      <c r="C537" t="s">
        <v>39</v>
      </c>
      <c r="D537" t="s">
        <v>40</v>
      </c>
      <c r="E537">
        <v>6</v>
      </c>
      <c r="F537" t="s">
        <v>19</v>
      </c>
      <c r="G537" t="s">
        <v>352</v>
      </c>
      <c r="H537" t="s">
        <v>623</v>
      </c>
      <c r="I537" t="s">
        <v>22</v>
      </c>
      <c r="J537" t="s">
        <v>42</v>
      </c>
      <c r="K537" t="s">
        <v>24</v>
      </c>
      <c r="L537" t="s">
        <v>25</v>
      </c>
      <c r="M537" s="8">
        <v>1.387</v>
      </c>
      <c r="N537" t="s">
        <v>26</v>
      </c>
      <c r="O537" s="8">
        <v>1.387</v>
      </c>
      <c r="P537" s="8">
        <f>EXP(-1.363+3.366*LOG(O537,10))</f>
        <v>0.41280884754947733</v>
      </c>
      <c r="Q537" s="8">
        <f>(2375365*100)/2680339</f>
        <v>88.621812390149159</v>
      </c>
    </row>
    <row r="538" spans="1:17" x14ac:dyDescent="0.2">
      <c r="A538">
        <v>2011</v>
      </c>
      <c r="B538" t="s">
        <v>688</v>
      </c>
      <c r="C538" t="s">
        <v>39</v>
      </c>
      <c r="D538" t="s">
        <v>40</v>
      </c>
      <c r="E538">
        <v>6</v>
      </c>
      <c r="F538" t="s">
        <v>19</v>
      </c>
      <c r="G538" t="s">
        <v>352</v>
      </c>
      <c r="H538" t="s">
        <v>623</v>
      </c>
      <c r="I538" t="s">
        <v>22</v>
      </c>
      <c r="J538" t="s">
        <v>42</v>
      </c>
      <c r="K538" t="s">
        <v>24</v>
      </c>
      <c r="L538" t="s">
        <v>25</v>
      </c>
      <c r="M538" s="8">
        <v>1.387</v>
      </c>
      <c r="N538" t="s">
        <v>26</v>
      </c>
      <c r="O538" s="8">
        <v>1.387</v>
      </c>
      <c r="P538" s="8">
        <f>EXP(-1.363+3.366*LOG(O538,10))</f>
        <v>0.41280884754947733</v>
      </c>
      <c r="Q538" s="8">
        <f>(2375365*100)/2680339</f>
        <v>88.621812390149159</v>
      </c>
    </row>
    <row r="539" spans="1:17" x14ac:dyDescent="0.2">
      <c r="A539">
        <v>2011</v>
      </c>
      <c r="B539" t="s">
        <v>689</v>
      </c>
      <c r="C539" t="s">
        <v>57</v>
      </c>
      <c r="D539" t="s">
        <v>71</v>
      </c>
      <c r="E539">
        <v>7</v>
      </c>
      <c r="F539" t="s">
        <v>19</v>
      </c>
      <c r="G539" t="s">
        <v>352</v>
      </c>
      <c r="H539" t="s">
        <v>623</v>
      </c>
      <c r="I539" t="s">
        <v>22</v>
      </c>
      <c r="J539" t="s">
        <v>31</v>
      </c>
      <c r="K539" t="s">
        <v>24</v>
      </c>
      <c r="L539" t="s">
        <v>25</v>
      </c>
      <c r="M539" s="8">
        <v>1.387</v>
      </c>
      <c r="N539" t="s">
        <v>26</v>
      </c>
      <c r="O539" s="8">
        <v>1.387</v>
      </c>
      <c r="P539" s="8">
        <f>EXP(-1.363+3.366*LOG(O539,10))</f>
        <v>0.41280884754947733</v>
      </c>
      <c r="Q539" s="8">
        <f>(321151.3*100)/5927002</f>
        <v>5.4184442657518925</v>
      </c>
    </row>
    <row r="540" spans="1:17" x14ac:dyDescent="0.2">
      <c r="A540">
        <v>2011</v>
      </c>
      <c r="B540" t="s">
        <v>690</v>
      </c>
      <c r="C540" t="s">
        <v>120</v>
      </c>
      <c r="D540" t="s">
        <v>71</v>
      </c>
      <c r="E540">
        <v>7</v>
      </c>
      <c r="F540" t="s">
        <v>19</v>
      </c>
      <c r="G540" t="s">
        <v>352</v>
      </c>
      <c r="H540" t="s">
        <v>623</v>
      </c>
      <c r="I540" t="s">
        <v>22</v>
      </c>
      <c r="J540" t="s">
        <v>23</v>
      </c>
      <c r="K540" t="s">
        <v>24</v>
      </c>
      <c r="L540" t="s">
        <v>25</v>
      </c>
      <c r="M540" s="8">
        <v>1.387</v>
      </c>
      <c r="N540" t="s">
        <v>26</v>
      </c>
      <c r="O540" s="8">
        <v>1.387</v>
      </c>
      <c r="P540" s="8">
        <f>EXP(-1.363+3.366*LOG(O540,10))</f>
        <v>0.41280884754947733</v>
      </c>
      <c r="Q540" s="8">
        <f>(2256192*100)/6055896</f>
        <v>37.256121967748456</v>
      </c>
    </row>
    <row r="541" spans="1:17" x14ac:dyDescent="0.2">
      <c r="A541">
        <v>2011</v>
      </c>
      <c r="B541" t="s">
        <v>691</v>
      </c>
      <c r="C541" t="s">
        <v>39</v>
      </c>
      <c r="D541" t="s">
        <v>55</v>
      </c>
      <c r="E541">
        <v>6</v>
      </c>
      <c r="F541" t="s">
        <v>19</v>
      </c>
      <c r="G541" t="s">
        <v>352</v>
      </c>
      <c r="H541" t="s">
        <v>623</v>
      </c>
      <c r="I541" t="s">
        <v>22</v>
      </c>
      <c r="J541" t="s">
        <v>42</v>
      </c>
      <c r="K541" t="s">
        <v>24</v>
      </c>
      <c r="L541" t="s">
        <v>25</v>
      </c>
      <c r="M541" s="8">
        <v>1.387</v>
      </c>
      <c r="N541" t="s">
        <v>26</v>
      </c>
      <c r="O541" s="8">
        <v>1.387</v>
      </c>
      <c r="P541" s="8">
        <f>EXP(-1.363+3.366*LOG(O541,10))</f>
        <v>0.41280884754947733</v>
      </c>
      <c r="Q541" s="8">
        <f>(2375365*100)/2680339</f>
        <v>88.621812390149159</v>
      </c>
    </row>
    <row r="542" spans="1:17" x14ac:dyDescent="0.2">
      <c r="A542">
        <v>2011</v>
      </c>
      <c r="B542" t="s">
        <v>692</v>
      </c>
      <c r="C542" t="s">
        <v>50</v>
      </c>
      <c r="D542" t="s">
        <v>55</v>
      </c>
      <c r="E542">
        <v>6</v>
      </c>
      <c r="F542" t="s">
        <v>19</v>
      </c>
      <c r="G542" t="s">
        <v>352</v>
      </c>
      <c r="H542" t="s">
        <v>623</v>
      </c>
      <c r="I542" t="s">
        <v>22</v>
      </c>
      <c r="J542" t="s">
        <v>42</v>
      </c>
      <c r="K542" t="s">
        <v>24</v>
      </c>
      <c r="L542" t="s">
        <v>25</v>
      </c>
      <c r="M542" s="8">
        <v>1.387</v>
      </c>
      <c r="N542" t="s">
        <v>26</v>
      </c>
      <c r="O542" s="8">
        <v>1.387</v>
      </c>
      <c r="P542" s="8">
        <f>EXP(-1.363+3.366*LOG(O542,10))</f>
        <v>0.41280884754947733</v>
      </c>
      <c r="Q542" s="8">
        <f>(4488342*100)/4914798</f>
        <v>91.323020803703429</v>
      </c>
    </row>
    <row r="543" spans="1:17" x14ac:dyDescent="0.2">
      <c r="A543">
        <v>2011</v>
      </c>
      <c r="B543" t="s">
        <v>693</v>
      </c>
      <c r="C543" t="s">
        <v>60</v>
      </c>
      <c r="D543" t="s">
        <v>61</v>
      </c>
      <c r="E543">
        <v>6</v>
      </c>
      <c r="F543" t="s">
        <v>19</v>
      </c>
      <c r="G543" t="s">
        <v>352</v>
      </c>
      <c r="H543" t="s">
        <v>623</v>
      </c>
      <c r="I543" t="s">
        <v>22</v>
      </c>
      <c r="J543" t="s">
        <v>31</v>
      </c>
      <c r="K543" t="s">
        <v>24</v>
      </c>
      <c r="L543" t="s">
        <v>25</v>
      </c>
      <c r="M543" s="8">
        <v>1.387</v>
      </c>
      <c r="N543" t="s">
        <v>26</v>
      </c>
      <c r="O543" s="8">
        <v>1.387</v>
      </c>
      <c r="P543" s="8">
        <f>EXP(-1.363+3.366*LOG(O543,10))</f>
        <v>0.41280884754947733</v>
      </c>
      <c r="Q543" s="8">
        <f>(27433.05*100)/7611378</f>
        <v>0.36042159514348127</v>
      </c>
    </row>
    <row r="544" spans="1:17" x14ac:dyDescent="0.2">
      <c r="A544">
        <v>2011</v>
      </c>
      <c r="B544" t="s">
        <v>694</v>
      </c>
      <c r="C544" t="s">
        <v>60</v>
      </c>
      <c r="D544" t="s">
        <v>61</v>
      </c>
      <c r="E544">
        <v>6</v>
      </c>
      <c r="F544" t="s">
        <v>19</v>
      </c>
      <c r="G544" t="s">
        <v>352</v>
      </c>
      <c r="H544" t="s">
        <v>623</v>
      </c>
      <c r="I544" t="s">
        <v>22</v>
      </c>
      <c r="J544" t="s">
        <v>31</v>
      </c>
      <c r="K544" t="s">
        <v>24</v>
      </c>
      <c r="L544" t="s">
        <v>25</v>
      </c>
      <c r="M544" s="8">
        <v>1.387</v>
      </c>
      <c r="N544" t="s">
        <v>26</v>
      </c>
      <c r="O544" s="8">
        <v>1.387</v>
      </c>
      <c r="P544" s="8">
        <f>EXP(-1.363+3.366*LOG(O544,10))</f>
        <v>0.41280884754947733</v>
      </c>
      <c r="Q544" s="8">
        <f>(27433.05*100)/7611378</f>
        <v>0.36042159514348127</v>
      </c>
    </row>
    <row r="545" spans="1:17" x14ac:dyDescent="0.2">
      <c r="A545">
        <v>2011</v>
      </c>
      <c r="B545" t="s">
        <v>695</v>
      </c>
      <c r="C545" t="s">
        <v>65</v>
      </c>
      <c r="D545" t="s">
        <v>71</v>
      </c>
      <c r="E545">
        <v>7</v>
      </c>
      <c r="F545" t="s">
        <v>19</v>
      </c>
      <c r="G545" t="s">
        <v>352</v>
      </c>
      <c r="H545" t="s">
        <v>623</v>
      </c>
      <c r="I545" t="s">
        <v>22</v>
      </c>
      <c r="J545" t="s">
        <v>66</v>
      </c>
      <c r="K545" t="s">
        <v>24</v>
      </c>
      <c r="L545" t="s">
        <v>25</v>
      </c>
      <c r="M545" s="8">
        <v>1.387</v>
      </c>
      <c r="N545" t="s">
        <v>26</v>
      </c>
      <c r="O545" s="8">
        <v>1.387</v>
      </c>
      <c r="P545" s="8">
        <f>EXP(-1.363+3.366*LOG(O545,10))</f>
        <v>0.41280884754947733</v>
      </c>
      <c r="Q545" s="8">
        <f>(1788886*100)/6788946</f>
        <v>26.349981278389901</v>
      </c>
    </row>
    <row r="546" spans="1:17" x14ac:dyDescent="0.2">
      <c r="A546">
        <v>2011</v>
      </c>
      <c r="B546" t="s">
        <v>696</v>
      </c>
      <c r="C546" t="s">
        <v>65</v>
      </c>
      <c r="D546" t="s">
        <v>71</v>
      </c>
      <c r="E546">
        <v>7</v>
      </c>
      <c r="F546" t="s">
        <v>19</v>
      </c>
      <c r="G546" t="s">
        <v>352</v>
      </c>
      <c r="H546" t="s">
        <v>623</v>
      </c>
      <c r="I546" t="s">
        <v>22</v>
      </c>
      <c r="J546" t="s">
        <v>66</v>
      </c>
      <c r="K546" t="s">
        <v>24</v>
      </c>
      <c r="L546" t="s">
        <v>25</v>
      </c>
      <c r="M546" s="8">
        <v>1.387</v>
      </c>
      <c r="N546" t="s">
        <v>26</v>
      </c>
      <c r="O546" s="8">
        <v>1.387</v>
      </c>
      <c r="P546" s="8">
        <f>EXP(-1.363+3.366*LOG(O546,10))</f>
        <v>0.41280884754947733</v>
      </c>
      <c r="Q546" s="8">
        <f>(1788886*100)/6788946</f>
        <v>26.349981278389901</v>
      </c>
    </row>
    <row r="547" spans="1:17" x14ac:dyDescent="0.2">
      <c r="A547">
        <v>2011</v>
      </c>
      <c r="B547" t="s">
        <v>697</v>
      </c>
      <c r="C547" t="s">
        <v>65</v>
      </c>
      <c r="D547" t="s">
        <v>71</v>
      </c>
      <c r="E547">
        <v>7</v>
      </c>
      <c r="F547" t="s">
        <v>19</v>
      </c>
      <c r="G547" t="s">
        <v>352</v>
      </c>
      <c r="H547" t="s">
        <v>623</v>
      </c>
      <c r="I547" t="s">
        <v>22</v>
      </c>
      <c r="J547" t="s">
        <v>66</v>
      </c>
      <c r="K547" t="s">
        <v>24</v>
      </c>
      <c r="L547" t="s">
        <v>25</v>
      </c>
      <c r="M547" s="8">
        <v>1.387</v>
      </c>
      <c r="N547" t="s">
        <v>26</v>
      </c>
      <c r="O547" s="8">
        <v>1.387</v>
      </c>
      <c r="P547" s="8">
        <f>EXP(-1.363+3.366*LOG(O547,10))</f>
        <v>0.41280884754947733</v>
      </c>
      <c r="Q547" s="8">
        <f>(1788886*100)/6788946</f>
        <v>26.349981278389901</v>
      </c>
    </row>
    <row r="548" spans="1:17" x14ac:dyDescent="0.2">
      <c r="A548">
        <v>2011</v>
      </c>
      <c r="B548" t="s">
        <v>698</v>
      </c>
      <c r="C548" t="s">
        <v>65</v>
      </c>
      <c r="D548" t="s">
        <v>71</v>
      </c>
      <c r="E548">
        <v>7</v>
      </c>
      <c r="F548" t="s">
        <v>19</v>
      </c>
      <c r="G548" t="s">
        <v>352</v>
      </c>
      <c r="H548" t="s">
        <v>623</v>
      </c>
      <c r="I548" t="s">
        <v>22</v>
      </c>
      <c r="J548" t="s">
        <v>66</v>
      </c>
      <c r="K548" t="s">
        <v>24</v>
      </c>
      <c r="L548" t="s">
        <v>25</v>
      </c>
      <c r="M548" s="8">
        <v>1.387</v>
      </c>
      <c r="N548" t="s">
        <v>26</v>
      </c>
      <c r="O548" s="8">
        <v>1.387</v>
      </c>
      <c r="P548" s="8">
        <f>EXP(-1.363+3.366*LOG(O548,10))</f>
        <v>0.41280884754947733</v>
      </c>
      <c r="Q548" s="8">
        <f>(1788886*100)/6788946</f>
        <v>26.349981278389901</v>
      </c>
    </row>
    <row r="549" spans="1:17" x14ac:dyDescent="0.2">
      <c r="A549">
        <v>2011</v>
      </c>
      <c r="B549" t="s">
        <v>699</v>
      </c>
      <c r="C549" t="s">
        <v>50</v>
      </c>
      <c r="D549" t="s">
        <v>53</v>
      </c>
      <c r="E549">
        <v>6</v>
      </c>
      <c r="F549" t="s">
        <v>19</v>
      </c>
      <c r="G549" t="s">
        <v>352</v>
      </c>
      <c r="H549" t="s">
        <v>623</v>
      </c>
      <c r="I549" t="s">
        <v>22</v>
      </c>
      <c r="J549" t="s">
        <v>42</v>
      </c>
      <c r="K549" t="s">
        <v>24</v>
      </c>
      <c r="L549" t="s">
        <v>25</v>
      </c>
      <c r="M549" s="8">
        <v>1.387</v>
      </c>
      <c r="N549" t="s">
        <v>26</v>
      </c>
      <c r="O549" s="8">
        <v>1.387</v>
      </c>
      <c r="P549" s="8">
        <f>EXP(-1.363+3.366*LOG(O549,10))</f>
        <v>0.41280884754947733</v>
      </c>
      <c r="Q549" s="8">
        <f>(4488342*100)/4914798</f>
        <v>91.323020803703429</v>
      </c>
    </row>
    <row r="550" spans="1:17" x14ac:dyDescent="0.2">
      <c r="A550">
        <v>2011</v>
      </c>
      <c r="B550" t="s">
        <v>700</v>
      </c>
      <c r="C550" t="s">
        <v>50</v>
      </c>
      <c r="D550" t="s">
        <v>53</v>
      </c>
      <c r="E550">
        <v>6</v>
      </c>
      <c r="F550" t="s">
        <v>19</v>
      </c>
      <c r="G550" t="s">
        <v>352</v>
      </c>
      <c r="H550" t="s">
        <v>623</v>
      </c>
      <c r="I550" t="s">
        <v>22</v>
      </c>
      <c r="J550" t="s">
        <v>42</v>
      </c>
      <c r="K550" t="s">
        <v>24</v>
      </c>
      <c r="L550" t="s">
        <v>25</v>
      </c>
      <c r="M550" s="8">
        <v>1.387</v>
      </c>
      <c r="N550" t="s">
        <v>26</v>
      </c>
      <c r="O550" s="8">
        <v>1.387</v>
      </c>
      <c r="P550" s="8">
        <f>EXP(-1.363+3.366*LOG(O550,10))</f>
        <v>0.41280884754947733</v>
      </c>
      <c r="Q550" s="8">
        <f>(4488342*100)/4914798</f>
        <v>91.323020803703429</v>
      </c>
    </row>
    <row r="551" spans="1:17" x14ac:dyDescent="0.2">
      <c r="A551">
        <v>2011</v>
      </c>
      <c r="B551" t="s">
        <v>701</v>
      </c>
      <c r="C551" t="s">
        <v>50</v>
      </c>
      <c r="D551" t="s">
        <v>53</v>
      </c>
      <c r="E551">
        <v>6</v>
      </c>
      <c r="F551" t="s">
        <v>19</v>
      </c>
      <c r="G551" t="s">
        <v>352</v>
      </c>
      <c r="H551" t="s">
        <v>623</v>
      </c>
      <c r="I551" t="s">
        <v>22</v>
      </c>
      <c r="J551" t="s">
        <v>42</v>
      </c>
      <c r="K551" t="s">
        <v>24</v>
      </c>
      <c r="L551" t="s">
        <v>25</v>
      </c>
      <c r="M551" s="8">
        <v>1.387</v>
      </c>
      <c r="N551" t="s">
        <v>26</v>
      </c>
      <c r="O551" s="8">
        <v>1.387</v>
      </c>
      <c r="P551" s="8">
        <f>EXP(-1.363+3.366*LOG(O551,10))</f>
        <v>0.41280884754947733</v>
      </c>
      <c r="Q551" s="8">
        <f>(4488342*100)/4914798</f>
        <v>91.323020803703429</v>
      </c>
    </row>
    <row r="552" spans="1:17" x14ac:dyDescent="0.2">
      <c r="A552">
        <v>2011</v>
      </c>
      <c r="B552" t="s">
        <v>702</v>
      </c>
      <c r="C552" t="s">
        <v>50</v>
      </c>
      <c r="D552" t="s">
        <v>53</v>
      </c>
      <c r="E552">
        <v>6</v>
      </c>
      <c r="F552" t="s">
        <v>19</v>
      </c>
      <c r="G552" t="s">
        <v>352</v>
      </c>
      <c r="H552" t="s">
        <v>623</v>
      </c>
      <c r="I552" t="s">
        <v>22</v>
      </c>
      <c r="J552" t="s">
        <v>42</v>
      </c>
      <c r="K552" t="s">
        <v>24</v>
      </c>
      <c r="L552" t="s">
        <v>25</v>
      </c>
      <c r="M552" s="8">
        <v>1.387</v>
      </c>
      <c r="N552" t="s">
        <v>26</v>
      </c>
      <c r="O552" s="8">
        <v>1.387</v>
      </c>
      <c r="P552" s="8">
        <f>EXP(-1.363+3.366*LOG(O552,10))</f>
        <v>0.41280884754947733</v>
      </c>
      <c r="Q552" s="8">
        <f>(4488342*100)/4914798</f>
        <v>91.323020803703429</v>
      </c>
    </row>
    <row r="553" spans="1:17" x14ac:dyDescent="0.2">
      <c r="A553">
        <v>2011</v>
      </c>
      <c r="B553" t="s">
        <v>703</v>
      </c>
      <c r="C553" t="s">
        <v>120</v>
      </c>
      <c r="D553" t="s">
        <v>58</v>
      </c>
      <c r="E553">
        <v>6</v>
      </c>
      <c r="F553" t="s">
        <v>19</v>
      </c>
      <c r="G553" t="s">
        <v>352</v>
      </c>
      <c r="H553" t="s">
        <v>623</v>
      </c>
      <c r="I553" t="s">
        <v>22</v>
      </c>
      <c r="J553" t="s">
        <v>23</v>
      </c>
      <c r="K553" t="s">
        <v>24</v>
      </c>
      <c r="L553" t="s">
        <v>25</v>
      </c>
      <c r="M553" s="8">
        <v>1.387</v>
      </c>
      <c r="N553" t="s">
        <v>26</v>
      </c>
      <c r="O553" s="8">
        <v>1.387</v>
      </c>
      <c r="P553" s="8">
        <f>EXP(-1.363+3.366*LOG(O553,10))</f>
        <v>0.41280884754947733</v>
      </c>
      <c r="Q553" s="8">
        <f>(2256192*100)/6055896</f>
        <v>37.256121967748456</v>
      </c>
    </row>
    <row r="554" spans="1:17" x14ac:dyDescent="0.2">
      <c r="A554">
        <v>2011</v>
      </c>
      <c r="B554" t="s">
        <v>704</v>
      </c>
      <c r="C554" t="s">
        <v>120</v>
      </c>
      <c r="D554" t="s">
        <v>58</v>
      </c>
      <c r="E554">
        <v>6</v>
      </c>
      <c r="F554" t="s">
        <v>19</v>
      </c>
      <c r="G554" t="s">
        <v>352</v>
      </c>
      <c r="H554" t="s">
        <v>623</v>
      </c>
      <c r="I554" t="s">
        <v>22</v>
      </c>
      <c r="J554" t="s">
        <v>23</v>
      </c>
      <c r="K554" t="s">
        <v>24</v>
      </c>
      <c r="L554" t="s">
        <v>25</v>
      </c>
      <c r="M554" s="8">
        <v>1.387</v>
      </c>
      <c r="N554" t="s">
        <v>26</v>
      </c>
      <c r="O554" s="8">
        <v>1.387</v>
      </c>
      <c r="P554" s="8">
        <f>EXP(-1.363+3.366*LOG(O554,10))</f>
        <v>0.41280884754947733</v>
      </c>
      <c r="Q554" s="8">
        <f>(2256192*100)/6055896</f>
        <v>37.256121967748456</v>
      </c>
    </row>
    <row r="555" spans="1:17" x14ac:dyDescent="0.2">
      <c r="A555">
        <v>2011</v>
      </c>
      <c r="B555" t="s">
        <v>705</v>
      </c>
      <c r="C555" t="s">
        <v>120</v>
      </c>
      <c r="D555" t="s">
        <v>58</v>
      </c>
      <c r="E555">
        <v>6</v>
      </c>
      <c r="F555" t="s">
        <v>19</v>
      </c>
      <c r="G555" t="s">
        <v>352</v>
      </c>
      <c r="H555" t="s">
        <v>623</v>
      </c>
      <c r="I555" t="s">
        <v>22</v>
      </c>
      <c r="J555" t="s">
        <v>23</v>
      </c>
      <c r="K555" t="s">
        <v>24</v>
      </c>
      <c r="L555" t="s">
        <v>25</v>
      </c>
      <c r="M555" s="8">
        <v>1.387</v>
      </c>
      <c r="N555" t="s">
        <v>26</v>
      </c>
      <c r="O555" s="8">
        <v>1.387</v>
      </c>
      <c r="P555" s="8">
        <f>EXP(-1.363+3.366*LOG(O555,10))</f>
        <v>0.41280884754947733</v>
      </c>
      <c r="Q555" s="8">
        <f>(2256192*100)/6055896</f>
        <v>37.256121967748456</v>
      </c>
    </row>
    <row r="556" spans="1:17" x14ac:dyDescent="0.2">
      <c r="A556">
        <v>2011</v>
      </c>
      <c r="B556" t="s">
        <v>706</v>
      </c>
      <c r="C556" t="s">
        <v>120</v>
      </c>
      <c r="D556" t="s">
        <v>100</v>
      </c>
      <c r="E556">
        <v>7</v>
      </c>
      <c r="F556" t="s">
        <v>19</v>
      </c>
      <c r="G556" t="s">
        <v>352</v>
      </c>
      <c r="H556" t="s">
        <v>623</v>
      </c>
      <c r="I556" t="s">
        <v>22</v>
      </c>
      <c r="J556" t="s">
        <v>23</v>
      </c>
      <c r="K556" t="s">
        <v>24</v>
      </c>
      <c r="L556" t="s">
        <v>25</v>
      </c>
      <c r="M556" s="8">
        <v>1.387</v>
      </c>
      <c r="N556" t="s">
        <v>26</v>
      </c>
      <c r="O556" s="8">
        <v>1.387</v>
      </c>
      <c r="P556" s="8">
        <f>EXP(-1.363+3.366*LOG(O556,10))</f>
        <v>0.41280884754947733</v>
      </c>
      <c r="Q556" s="8">
        <f>(2256192*100)/6055896</f>
        <v>37.256121967748456</v>
      </c>
    </row>
    <row r="557" spans="1:17" x14ac:dyDescent="0.2">
      <c r="A557">
        <v>2011</v>
      </c>
      <c r="B557" t="s">
        <v>707</v>
      </c>
      <c r="C557" t="s">
        <v>60</v>
      </c>
      <c r="D557" t="s">
        <v>53</v>
      </c>
      <c r="E557">
        <v>6</v>
      </c>
      <c r="F557" t="s">
        <v>19</v>
      </c>
      <c r="G557" t="s">
        <v>352</v>
      </c>
      <c r="H557" t="s">
        <v>623</v>
      </c>
      <c r="I557" t="s">
        <v>22</v>
      </c>
      <c r="J557" t="s">
        <v>31</v>
      </c>
      <c r="K557" t="s">
        <v>24</v>
      </c>
      <c r="L557" t="s">
        <v>25</v>
      </c>
      <c r="M557" s="8">
        <v>1.387</v>
      </c>
      <c r="N557" t="s">
        <v>26</v>
      </c>
      <c r="O557" s="8">
        <v>1.387</v>
      </c>
      <c r="P557" s="8">
        <f>EXP(-1.363+3.366*LOG(O557,10))</f>
        <v>0.41280884754947733</v>
      </c>
      <c r="Q557" s="8">
        <f>(27433.05*100)/7611378</f>
        <v>0.36042159514348127</v>
      </c>
    </row>
    <row r="558" spans="1:17" x14ac:dyDescent="0.2">
      <c r="A558">
        <v>2011</v>
      </c>
      <c r="B558" t="s">
        <v>708</v>
      </c>
      <c r="C558" t="s">
        <v>50</v>
      </c>
      <c r="D558" t="s">
        <v>55</v>
      </c>
      <c r="E558">
        <v>6</v>
      </c>
      <c r="F558" t="s">
        <v>19</v>
      </c>
      <c r="G558" t="s">
        <v>352</v>
      </c>
      <c r="H558" t="s">
        <v>623</v>
      </c>
      <c r="I558" t="s">
        <v>22</v>
      </c>
      <c r="J558" t="s">
        <v>42</v>
      </c>
      <c r="K558" t="s">
        <v>24</v>
      </c>
      <c r="L558" t="s">
        <v>25</v>
      </c>
      <c r="M558" s="8">
        <v>1.387</v>
      </c>
      <c r="N558" t="s">
        <v>26</v>
      </c>
      <c r="O558" s="8">
        <v>1.387</v>
      </c>
      <c r="P558" s="8">
        <f>EXP(-1.363+3.366*LOG(O558,10))</f>
        <v>0.41280884754947733</v>
      </c>
      <c r="Q558" s="8">
        <f>(4488342*100)/4914798</f>
        <v>91.323020803703429</v>
      </c>
    </row>
    <row r="559" spans="1:17" x14ac:dyDescent="0.2">
      <c r="A559">
        <v>2011</v>
      </c>
      <c r="B559" t="s">
        <v>709</v>
      </c>
      <c r="C559" t="s">
        <v>60</v>
      </c>
      <c r="D559" t="s">
        <v>61</v>
      </c>
      <c r="E559">
        <v>6</v>
      </c>
      <c r="F559" t="s">
        <v>19</v>
      </c>
      <c r="G559" t="s">
        <v>352</v>
      </c>
      <c r="H559" t="s">
        <v>623</v>
      </c>
      <c r="I559" t="s">
        <v>22</v>
      </c>
      <c r="J559" t="s">
        <v>31</v>
      </c>
      <c r="K559" t="s">
        <v>24</v>
      </c>
      <c r="L559" t="s">
        <v>25</v>
      </c>
      <c r="M559" s="8">
        <v>1.387</v>
      </c>
      <c r="N559" t="s">
        <v>26</v>
      </c>
      <c r="O559" s="8">
        <v>1.387</v>
      </c>
      <c r="P559" s="8">
        <f>EXP(-1.363+3.366*LOG(O559,10))</f>
        <v>0.41280884754947733</v>
      </c>
      <c r="Q559" s="8">
        <f>(27433.05*100)/7611378</f>
        <v>0.36042159514348127</v>
      </c>
    </row>
    <row r="560" spans="1:17" x14ac:dyDescent="0.2">
      <c r="A560">
        <v>2011</v>
      </c>
      <c r="B560" t="s">
        <v>710</v>
      </c>
      <c r="C560" t="s">
        <v>65</v>
      </c>
      <c r="D560" t="s">
        <v>58</v>
      </c>
      <c r="E560">
        <v>6</v>
      </c>
      <c r="F560" t="s">
        <v>19</v>
      </c>
      <c r="G560" t="s">
        <v>352</v>
      </c>
      <c r="H560" t="s">
        <v>623</v>
      </c>
      <c r="I560" t="s">
        <v>22</v>
      </c>
      <c r="J560" t="s">
        <v>66</v>
      </c>
      <c r="K560" t="s">
        <v>24</v>
      </c>
      <c r="L560" t="s">
        <v>25</v>
      </c>
      <c r="M560" s="8">
        <v>1.387</v>
      </c>
      <c r="N560" t="s">
        <v>26</v>
      </c>
      <c r="O560" s="8">
        <v>1.387</v>
      </c>
      <c r="P560" s="8">
        <f>EXP(-1.363+3.366*LOG(O560,10))</f>
        <v>0.41280884754947733</v>
      </c>
      <c r="Q560" s="8">
        <f>(1788886*100)/6788946</f>
        <v>26.349981278389901</v>
      </c>
    </row>
    <row r="561" spans="1:17" x14ac:dyDescent="0.2">
      <c r="A561">
        <v>2011</v>
      </c>
      <c r="B561" t="s">
        <v>711</v>
      </c>
      <c r="C561" t="s">
        <v>17</v>
      </c>
      <c r="D561" t="s">
        <v>95</v>
      </c>
      <c r="E561">
        <v>7</v>
      </c>
      <c r="F561" t="s">
        <v>19</v>
      </c>
      <c r="G561" t="s">
        <v>352</v>
      </c>
      <c r="H561" t="s">
        <v>623</v>
      </c>
      <c r="I561" t="s">
        <v>22</v>
      </c>
      <c r="J561" t="s">
        <v>23</v>
      </c>
      <c r="K561" t="s">
        <v>24</v>
      </c>
      <c r="L561" t="s">
        <v>25</v>
      </c>
      <c r="M561" s="8">
        <v>1.387</v>
      </c>
      <c r="N561" t="s">
        <v>26</v>
      </c>
      <c r="O561" s="8">
        <v>1.387</v>
      </c>
      <c r="P561" s="8">
        <f>EXP(-1.363+3.366*LOG(O561,10))</f>
        <v>0.41280884754947733</v>
      </c>
      <c r="Q561" s="8">
        <f>(605161.6*100)/5834449</f>
        <v>10.372215096918321</v>
      </c>
    </row>
    <row r="562" spans="1:17" x14ac:dyDescent="0.2">
      <c r="A562">
        <v>2011</v>
      </c>
      <c r="B562" t="s">
        <v>712</v>
      </c>
      <c r="C562" t="s">
        <v>65</v>
      </c>
      <c r="D562" t="s">
        <v>100</v>
      </c>
      <c r="E562">
        <v>7</v>
      </c>
      <c r="F562" t="s">
        <v>19</v>
      </c>
      <c r="G562" t="s">
        <v>352</v>
      </c>
      <c r="H562" t="s">
        <v>623</v>
      </c>
      <c r="I562" t="s">
        <v>22</v>
      </c>
      <c r="J562" t="s">
        <v>66</v>
      </c>
      <c r="K562" t="s">
        <v>24</v>
      </c>
      <c r="L562" t="s">
        <v>25</v>
      </c>
      <c r="M562" s="8">
        <v>1.387</v>
      </c>
      <c r="N562" t="s">
        <v>26</v>
      </c>
      <c r="O562" s="8">
        <v>1.387</v>
      </c>
      <c r="P562" s="8">
        <f>EXP(-1.363+3.366*LOG(O562,10))</f>
        <v>0.41280884754947733</v>
      </c>
      <c r="Q562" s="8">
        <f>(1788886*100)/6788946</f>
        <v>26.349981278389901</v>
      </c>
    </row>
    <row r="563" spans="1:17" x14ac:dyDescent="0.2">
      <c r="A563">
        <v>2011</v>
      </c>
      <c r="B563" t="s">
        <v>713</v>
      </c>
      <c r="C563" t="s">
        <v>65</v>
      </c>
      <c r="D563" t="s">
        <v>100</v>
      </c>
      <c r="E563">
        <v>7</v>
      </c>
      <c r="F563" t="s">
        <v>19</v>
      </c>
      <c r="G563" t="s">
        <v>352</v>
      </c>
      <c r="H563" t="s">
        <v>623</v>
      </c>
      <c r="I563" t="s">
        <v>22</v>
      </c>
      <c r="J563" t="s">
        <v>66</v>
      </c>
      <c r="K563" t="s">
        <v>24</v>
      </c>
      <c r="L563" t="s">
        <v>25</v>
      </c>
      <c r="M563" s="8">
        <v>1.387</v>
      </c>
      <c r="N563" t="s">
        <v>26</v>
      </c>
      <c r="O563" s="8">
        <v>1.387</v>
      </c>
      <c r="P563" s="8">
        <f>EXP(-1.363+3.366*LOG(O563,10))</f>
        <v>0.41280884754947733</v>
      </c>
      <c r="Q563" s="8">
        <f>(1788886*100)/6788946</f>
        <v>26.349981278389901</v>
      </c>
    </row>
    <row r="564" spans="1:17" x14ac:dyDescent="0.2">
      <c r="A564">
        <v>2011</v>
      </c>
      <c r="B564" t="s">
        <v>714</v>
      </c>
      <c r="C564" t="s">
        <v>65</v>
      </c>
      <c r="D564" t="s">
        <v>100</v>
      </c>
      <c r="E564">
        <v>7</v>
      </c>
      <c r="F564" t="s">
        <v>19</v>
      </c>
      <c r="G564" t="s">
        <v>352</v>
      </c>
      <c r="H564" t="s">
        <v>623</v>
      </c>
      <c r="I564" t="s">
        <v>22</v>
      </c>
      <c r="J564" t="s">
        <v>66</v>
      </c>
      <c r="K564" t="s">
        <v>24</v>
      </c>
      <c r="L564" t="s">
        <v>25</v>
      </c>
      <c r="M564" s="8">
        <v>1.387</v>
      </c>
      <c r="N564" t="s">
        <v>26</v>
      </c>
      <c r="O564" s="8">
        <v>1.387</v>
      </c>
      <c r="P564" s="8">
        <f>EXP(-1.363+3.366*LOG(O564,10))</f>
        <v>0.41280884754947733</v>
      </c>
      <c r="Q564" s="8">
        <f>(1788886*100)/6788946</f>
        <v>26.349981278389901</v>
      </c>
    </row>
    <row r="565" spans="1:17" x14ac:dyDescent="0.2">
      <c r="A565">
        <v>2011</v>
      </c>
      <c r="B565" t="s">
        <v>715</v>
      </c>
      <c r="C565" t="s">
        <v>65</v>
      </c>
      <c r="D565" t="s">
        <v>100</v>
      </c>
      <c r="E565">
        <v>7</v>
      </c>
      <c r="F565" t="s">
        <v>19</v>
      </c>
      <c r="G565" t="s">
        <v>352</v>
      </c>
      <c r="H565" t="s">
        <v>623</v>
      </c>
      <c r="I565" t="s">
        <v>22</v>
      </c>
      <c r="J565" t="s">
        <v>66</v>
      </c>
      <c r="K565" t="s">
        <v>24</v>
      </c>
      <c r="L565" t="s">
        <v>25</v>
      </c>
      <c r="M565" s="8">
        <v>1.387</v>
      </c>
      <c r="N565" t="s">
        <v>26</v>
      </c>
      <c r="O565" s="8">
        <v>1.387</v>
      </c>
      <c r="P565" s="8">
        <f>EXP(-1.363+3.366*LOG(O565,10))</f>
        <v>0.41280884754947733</v>
      </c>
      <c r="Q565" s="8">
        <f>(1788886*100)/6788946</f>
        <v>26.349981278389901</v>
      </c>
    </row>
    <row r="566" spans="1:17" x14ac:dyDescent="0.2">
      <c r="A566">
        <v>2011</v>
      </c>
      <c r="B566" t="s">
        <v>716</v>
      </c>
      <c r="C566" t="s">
        <v>65</v>
      </c>
      <c r="D566" t="s">
        <v>100</v>
      </c>
      <c r="E566">
        <v>7</v>
      </c>
      <c r="F566" t="s">
        <v>19</v>
      </c>
      <c r="G566" t="s">
        <v>352</v>
      </c>
      <c r="H566" t="s">
        <v>623</v>
      </c>
      <c r="I566" t="s">
        <v>22</v>
      </c>
      <c r="J566" t="s">
        <v>66</v>
      </c>
      <c r="K566" t="s">
        <v>24</v>
      </c>
      <c r="L566" t="s">
        <v>25</v>
      </c>
      <c r="M566" s="8">
        <v>1.387</v>
      </c>
      <c r="N566" t="s">
        <v>26</v>
      </c>
      <c r="O566" s="8">
        <v>1.387</v>
      </c>
      <c r="P566" s="8">
        <f>EXP(-1.363+3.366*LOG(O566,10))</f>
        <v>0.41280884754947733</v>
      </c>
      <c r="Q566" s="8">
        <f>(1788886*100)/6788946</f>
        <v>26.349981278389901</v>
      </c>
    </row>
    <row r="567" spans="1:17" x14ac:dyDescent="0.2">
      <c r="A567">
        <v>2011</v>
      </c>
      <c r="B567" t="s">
        <v>717</v>
      </c>
      <c r="C567" t="s">
        <v>50</v>
      </c>
      <c r="D567" t="s">
        <v>58</v>
      </c>
      <c r="E567">
        <v>6</v>
      </c>
      <c r="F567" t="s">
        <v>19</v>
      </c>
      <c r="G567" t="s">
        <v>352</v>
      </c>
      <c r="H567" t="s">
        <v>623</v>
      </c>
      <c r="I567" t="s">
        <v>22</v>
      </c>
      <c r="J567" t="s">
        <v>42</v>
      </c>
      <c r="K567" t="s">
        <v>24</v>
      </c>
      <c r="L567" t="s">
        <v>25</v>
      </c>
      <c r="M567" s="8">
        <v>1.387</v>
      </c>
      <c r="N567" t="s">
        <v>26</v>
      </c>
      <c r="O567" s="8">
        <v>1.387</v>
      </c>
      <c r="P567" s="8">
        <f>EXP(-1.363+3.366*LOG(O567,10))</f>
        <v>0.41280884754947733</v>
      </c>
      <c r="Q567" s="8">
        <f>(4488342*100)/4914798</f>
        <v>91.323020803703429</v>
      </c>
    </row>
    <row r="568" spans="1:17" x14ac:dyDescent="0.2">
      <c r="A568">
        <v>2011</v>
      </c>
      <c r="B568" t="s">
        <v>718</v>
      </c>
      <c r="C568" t="s">
        <v>50</v>
      </c>
      <c r="D568" t="s">
        <v>53</v>
      </c>
      <c r="E568">
        <v>6</v>
      </c>
      <c r="F568" t="s">
        <v>19</v>
      </c>
      <c r="G568" t="s">
        <v>352</v>
      </c>
      <c r="H568" t="s">
        <v>623</v>
      </c>
      <c r="I568" t="s">
        <v>22</v>
      </c>
      <c r="J568" t="s">
        <v>42</v>
      </c>
      <c r="K568" t="s">
        <v>24</v>
      </c>
      <c r="L568" t="s">
        <v>25</v>
      </c>
      <c r="M568" s="8">
        <v>1.387</v>
      </c>
      <c r="N568" t="s">
        <v>26</v>
      </c>
      <c r="O568" s="8">
        <v>1.387</v>
      </c>
      <c r="P568" s="8">
        <f>EXP(-1.363+3.366*LOG(O568,10))</f>
        <v>0.41280884754947733</v>
      </c>
      <c r="Q568" s="8">
        <f>(4488342*100)/4914798</f>
        <v>91.323020803703429</v>
      </c>
    </row>
    <row r="569" spans="1:17" x14ac:dyDescent="0.2">
      <c r="A569">
        <v>2011</v>
      </c>
      <c r="B569" t="s">
        <v>719</v>
      </c>
      <c r="C569" t="s">
        <v>50</v>
      </c>
      <c r="D569" t="s">
        <v>53</v>
      </c>
      <c r="E569">
        <v>6</v>
      </c>
      <c r="F569" t="s">
        <v>19</v>
      </c>
      <c r="G569" t="s">
        <v>352</v>
      </c>
      <c r="H569" t="s">
        <v>623</v>
      </c>
      <c r="I569" t="s">
        <v>22</v>
      </c>
      <c r="J569" t="s">
        <v>42</v>
      </c>
      <c r="K569" t="s">
        <v>24</v>
      </c>
      <c r="L569" t="s">
        <v>25</v>
      </c>
      <c r="M569" s="8">
        <v>1.387</v>
      </c>
      <c r="N569" t="s">
        <v>26</v>
      </c>
      <c r="O569" s="8">
        <v>1.387</v>
      </c>
      <c r="P569" s="8">
        <f>EXP(-1.363+3.366*LOG(O569,10))</f>
        <v>0.41280884754947733</v>
      </c>
      <c r="Q569" s="8">
        <f>(4488342*100)/4914798</f>
        <v>91.323020803703429</v>
      </c>
    </row>
    <row r="570" spans="1:17" x14ac:dyDescent="0.2">
      <c r="A570">
        <v>2011</v>
      </c>
      <c r="B570" t="s">
        <v>720</v>
      </c>
      <c r="C570" t="s">
        <v>50</v>
      </c>
      <c r="D570" t="s">
        <v>53</v>
      </c>
      <c r="E570">
        <v>6</v>
      </c>
      <c r="F570" t="s">
        <v>19</v>
      </c>
      <c r="G570" t="s">
        <v>352</v>
      </c>
      <c r="H570" t="s">
        <v>623</v>
      </c>
      <c r="I570" t="s">
        <v>22</v>
      </c>
      <c r="J570" t="s">
        <v>42</v>
      </c>
      <c r="K570" t="s">
        <v>24</v>
      </c>
      <c r="L570" t="s">
        <v>25</v>
      </c>
      <c r="M570" s="8">
        <v>1.387</v>
      </c>
      <c r="N570" t="s">
        <v>26</v>
      </c>
      <c r="O570" s="8">
        <v>1.387</v>
      </c>
      <c r="P570" s="8">
        <f>EXP(-1.363+3.366*LOG(O570,10))</f>
        <v>0.41280884754947733</v>
      </c>
      <c r="Q570" s="8">
        <f>(4488342*100)/4914798</f>
        <v>91.323020803703429</v>
      </c>
    </row>
    <row r="571" spans="1:17" x14ac:dyDescent="0.2">
      <c r="A571">
        <v>2011</v>
      </c>
      <c r="B571" t="s">
        <v>721</v>
      </c>
      <c r="C571" t="s">
        <v>34</v>
      </c>
      <c r="D571" t="s">
        <v>190</v>
      </c>
      <c r="E571">
        <v>7</v>
      </c>
      <c r="F571" t="s">
        <v>19</v>
      </c>
      <c r="G571" t="s">
        <v>352</v>
      </c>
      <c r="H571" t="s">
        <v>623</v>
      </c>
      <c r="I571" t="s">
        <v>36</v>
      </c>
      <c r="J571" t="s">
        <v>23</v>
      </c>
      <c r="K571" t="s">
        <v>24</v>
      </c>
      <c r="L571" t="s">
        <v>25</v>
      </c>
      <c r="M571" s="8">
        <v>1.1339999999999999</v>
      </c>
      <c r="N571" t="s">
        <v>26</v>
      </c>
      <c r="O571" s="8">
        <v>1.1339999999999999</v>
      </c>
      <c r="P571" s="8">
        <f>EXP(-1.363+3.366*LOG(O571,10))</f>
        <v>0.30753312979708036</v>
      </c>
      <c r="Q571" s="8">
        <f>(1478835*100)/2190162</f>
        <v>67.5217175715769</v>
      </c>
    </row>
    <row r="572" spans="1:17" x14ac:dyDescent="0.2">
      <c r="A572">
        <v>2011</v>
      </c>
      <c r="B572" t="s">
        <v>722</v>
      </c>
      <c r="C572" t="s">
        <v>17</v>
      </c>
      <c r="D572" t="s">
        <v>63</v>
      </c>
      <c r="E572">
        <v>6</v>
      </c>
      <c r="F572" t="s">
        <v>19</v>
      </c>
      <c r="G572" t="s">
        <v>352</v>
      </c>
      <c r="H572" t="s">
        <v>623</v>
      </c>
      <c r="I572" t="s">
        <v>36</v>
      </c>
      <c r="J572" t="s">
        <v>23</v>
      </c>
      <c r="K572" t="s">
        <v>24</v>
      </c>
      <c r="L572" t="s">
        <v>25</v>
      </c>
      <c r="M572" s="8">
        <v>1.1339999999999999</v>
      </c>
      <c r="N572" t="s">
        <v>26</v>
      </c>
      <c r="O572" s="8">
        <v>1.1339999999999999</v>
      </c>
      <c r="P572" s="8">
        <f>EXP(-1.363+3.366*LOG(O572,10))</f>
        <v>0.30753312979708036</v>
      </c>
      <c r="Q572" s="8">
        <f>(605161.6*100)/5834449</f>
        <v>10.372215096918321</v>
      </c>
    </row>
    <row r="573" spans="1:17" x14ac:dyDescent="0.2">
      <c r="A573">
        <v>2011</v>
      </c>
      <c r="B573" t="s">
        <v>723</v>
      </c>
      <c r="C573" t="s">
        <v>65</v>
      </c>
      <c r="D573" t="s">
        <v>100</v>
      </c>
      <c r="E573">
        <v>7</v>
      </c>
      <c r="F573" t="s">
        <v>19</v>
      </c>
      <c r="G573" t="s">
        <v>352</v>
      </c>
      <c r="H573" t="s">
        <v>623</v>
      </c>
      <c r="I573" t="s">
        <v>36</v>
      </c>
      <c r="J573" t="s">
        <v>66</v>
      </c>
      <c r="K573" t="s">
        <v>24</v>
      </c>
      <c r="L573" t="s">
        <v>25</v>
      </c>
      <c r="M573" s="8">
        <v>1.1339999999999999</v>
      </c>
      <c r="N573" t="s">
        <v>26</v>
      </c>
      <c r="O573" s="8">
        <v>1.1339999999999999</v>
      </c>
      <c r="P573" s="8">
        <f>EXP(-1.363+3.366*LOG(O573,10))</f>
        <v>0.30753312979708036</v>
      </c>
      <c r="Q573" s="8">
        <f>(1788886*100)/6788946</f>
        <v>26.349981278389901</v>
      </c>
    </row>
    <row r="574" spans="1:17" x14ac:dyDescent="0.2">
      <c r="A574">
        <v>2011</v>
      </c>
      <c r="B574" t="s">
        <v>724</v>
      </c>
      <c r="C574" t="s">
        <v>50</v>
      </c>
      <c r="D574" t="s">
        <v>95</v>
      </c>
      <c r="E574">
        <v>7</v>
      </c>
      <c r="F574" t="s">
        <v>19</v>
      </c>
      <c r="G574" t="s">
        <v>352</v>
      </c>
      <c r="H574" t="s">
        <v>623</v>
      </c>
      <c r="I574" t="s">
        <v>36</v>
      </c>
      <c r="J574" t="s">
        <v>42</v>
      </c>
      <c r="K574" t="s">
        <v>24</v>
      </c>
      <c r="L574" t="s">
        <v>25</v>
      </c>
      <c r="M574" s="8">
        <v>1.1339999999999999</v>
      </c>
      <c r="N574" t="s">
        <v>26</v>
      </c>
      <c r="O574" s="8">
        <v>1.1339999999999999</v>
      </c>
      <c r="P574" s="8">
        <f>EXP(-1.363+3.366*LOG(O574,10))</f>
        <v>0.30753312979708036</v>
      </c>
      <c r="Q574" s="8">
        <f>(4488342*100)/4914798</f>
        <v>91.323020803703429</v>
      </c>
    </row>
    <row r="575" spans="1:17" x14ac:dyDescent="0.2">
      <c r="A575">
        <v>2011</v>
      </c>
      <c r="B575" t="s">
        <v>725</v>
      </c>
      <c r="C575" t="s">
        <v>94</v>
      </c>
      <c r="D575" t="s">
        <v>63</v>
      </c>
      <c r="E575">
        <v>6</v>
      </c>
      <c r="F575" t="s">
        <v>19</v>
      </c>
      <c r="G575" t="s">
        <v>352</v>
      </c>
      <c r="H575" t="s">
        <v>726</v>
      </c>
      <c r="I575" t="s">
        <v>22</v>
      </c>
      <c r="J575" t="s">
        <v>66</v>
      </c>
      <c r="K575" t="s">
        <v>24</v>
      </c>
      <c r="L575" t="s">
        <v>25</v>
      </c>
      <c r="M575" s="8" t="s">
        <v>26</v>
      </c>
      <c r="N575" t="s">
        <v>26</v>
      </c>
      <c r="O575" s="8" t="s">
        <v>26</v>
      </c>
      <c r="P575" s="8" t="s">
        <v>26</v>
      </c>
      <c r="Q575" s="8">
        <f>(46623.23*100)/15165196</f>
        <v>0.30743572321782059</v>
      </c>
    </row>
    <row r="576" spans="1:17" x14ac:dyDescent="0.2">
      <c r="A576">
        <v>2011</v>
      </c>
      <c r="B576" t="s">
        <v>727</v>
      </c>
      <c r="C576" t="s">
        <v>60</v>
      </c>
      <c r="D576" t="s">
        <v>61</v>
      </c>
      <c r="E576">
        <v>6</v>
      </c>
      <c r="F576" t="s">
        <v>19</v>
      </c>
      <c r="G576" t="s">
        <v>352</v>
      </c>
      <c r="H576" t="s">
        <v>728</v>
      </c>
      <c r="I576" t="s">
        <v>22</v>
      </c>
      <c r="J576" t="s">
        <v>31</v>
      </c>
      <c r="K576" t="s">
        <v>24</v>
      </c>
      <c r="L576" t="s">
        <v>187</v>
      </c>
      <c r="M576" s="8">
        <v>1.8093333330000001</v>
      </c>
      <c r="N576" t="s">
        <v>26</v>
      </c>
      <c r="O576" s="8">
        <v>1.8093333330000001</v>
      </c>
      <c r="P576" s="8">
        <f>EXP(-1.363+3.366*LOG(O576,10))</f>
        <v>0.6088444603462565</v>
      </c>
      <c r="Q576" s="8">
        <f>(27433.05*100)/7611378</f>
        <v>0.36042159514348127</v>
      </c>
    </row>
    <row r="577" spans="1:17" x14ac:dyDescent="0.2">
      <c r="A577">
        <v>2011</v>
      </c>
      <c r="B577" t="s">
        <v>729</v>
      </c>
      <c r="C577" t="s">
        <v>89</v>
      </c>
      <c r="D577" t="s">
        <v>40</v>
      </c>
      <c r="E577">
        <v>6</v>
      </c>
      <c r="F577" t="s">
        <v>19</v>
      </c>
      <c r="G577" t="s">
        <v>352</v>
      </c>
      <c r="H577" t="s">
        <v>728</v>
      </c>
      <c r="I577" t="s">
        <v>22</v>
      </c>
      <c r="J577" t="s">
        <v>66</v>
      </c>
      <c r="K577" t="s">
        <v>24</v>
      </c>
      <c r="L577" t="s">
        <v>187</v>
      </c>
      <c r="M577" s="8">
        <v>1.8093333330000001</v>
      </c>
      <c r="N577" t="s">
        <v>26</v>
      </c>
      <c r="O577" s="8">
        <v>1.8093333330000001</v>
      </c>
      <c r="P577" s="8">
        <f>EXP(-1.363+3.366*LOG(O577,10))</f>
        <v>0.6088444603462565</v>
      </c>
      <c r="Q577" s="8">
        <f>(61997.93*100)/7298102</f>
        <v>0.84950758430068529</v>
      </c>
    </row>
    <row r="578" spans="1:17" x14ac:dyDescent="0.2">
      <c r="A578">
        <v>2011</v>
      </c>
      <c r="B578" t="s">
        <v>730</v>
      </c>
      <c r="C578" t="s">
        <v>94</v>
      </c>
      <c r="D578" t="s">
        <v>18</v>
      </c>
      <c r="E578">
        <v>5</v>
      </c>
      <c r="F578" t="s">
        <v>19</v>
      </c>
      <c r="G578" t="s">
        <v>352</v>
      </c>
      <c r="H578" t="s">
        <v>728</v>
      </c>
      <c r="I578" t="s">
        <v>22</v>
      </c>
      <c r="J578" t="s">
        <v>66</v>
      </c>
      <c r="K578" t="s">
        <v>24</v>
      </c>
      <c r="L578" t="s">
        <v>187</v>
      </c>
      <c r="M578" s="8">
        <v>1.8093333330000001</v>
      </c>
      <c r="N578" t="s">
        <v>26</v>
      </c>
      <c r="O578" s="8">
        <v>1.8093333330000001</v>
      </c>
      <c r="P578" s="8">
        <f>EXP(-1.363+3.366*LOG(O578,10))</f>
        <v>0.6088444603462565</v>
      </c>
      <c r="Q578" s="8">
        <f>(46623.23*100)/15165196</f>
        <v>0.30743572321782059</v>
      </c>
    </row>
    <row r="579" spans="1:17" x14ac:dyDescent="0.2">
      <c r="A579">
        <v>2011</v>
      </c>
      <c r="B579" t="s">
        <v>731</v>
      </c>
      <c r="C579" t="s">
        <v>65</v>
      </c>
      <c r="D579" t="s">
        <v>71</v>
      </c>
      <c r="E579">
        <v>7</v>
      </c>
      <c r="F579" t="s">
        <v>19</v>
      </c>
      <c r="G579" t="s">
        <v>352</v>
      </c>
      <c r="H579" t="s">
        <v>728</v>
      </c>
      <c r="I579" t="s">
        <v>22</v>
      </c>
      <c r="J579" t="s">
        <v>66</v>
      </c>
      <c r="K579" t="s">
        <v>24</v>
      </c>
      <c r="L579" t="s">
        <v>187</v>
      </c>
      <c r="M579" s="8">
        <v>1.8093333330000001</v>
      </c>
      <c r="N579" t="s">
        <v>26</v>
      </c>
      <c r="O579" s="8">
        <v>1.8093333330000001</v>
      </c>
      <c r="P579" s="8">
        <f>EXP(-1.363+3.366*LOG(O579,10))</f>
        <v>0.6088444603462565</v>
      </c>
      <c r="Q579" s="8">
        <f>(1788886*100)/6788946</f>
        <v>26.349981278389901</v>
      </c>
    </row>
    <row r="580" spans="1:17" x14ac:dyDescent="0.2">
      <c r="A580">
        <v>2011</v>
      </c>
      <c r="B580" t="s">
        <v>732</v>
      </c>
      <c r="C580" t="s">
        <v>60</v>
      </c>
      <c r="D580" t="s">
        <v>61</v>
      </c>
      <c r="E580">
        <v>6</v>
      </c>
      <c r="F580" t="s">
        <v>19</v>
      </c>
      <c r="G580" t="s">
        <v>352</v>
      </c>
      <c r="H580" t="s">
        <v>728</v>
      </c>
      <c r="I580" t="s">
        <v>22</v>
      </c>
      <c r="J580" t="s">
        <v>31</v>
      </c>
      <c r="K580" t="s">
        <v>24</v>
      </c>
      <c r="L580" t="s">
        <v>187</v>
      </c>
      <c r="M580" s="8">
        <v>1.8093333330000001</v>
      </c>
      <c r="N580" t="s">
        <v>26</v>
      </c>
      <c r="O580" s="8">
        <v>1.8093333330000001</v>
      </c>
      <c r="P580" s="8">
        <f>EXP(-1.363+3.366*LOG(O580,10))</f>
        <v>0.6088444603462565</v>
      </c>
      <c r="Q580" s="8">
        <f>(27433.05*100)/7611378</f>
        <v>0.36042159514348127</v>
      </c>
    </row>
    <row r="581" spans="1:17" x14ac:dyDescent="0.2">
      <c r="A581">
        <v>2011</v>
      </c>
      <c r="B581" t="s">
        <v>733</v>
      </c>
      <c r="C581" t="s">
        <v>60</v>
      </c>
      <c r="D581" t="s">
        <v>61</v>
      </c>
      <c r="E581">
        <v>6</v>
      </c>
      <c r="F581" t="s">
        <v>19</v>
      </c>
      <c r="G581" t="s">
        <v>352</v>
      </c>
      <c r="H581" t="s">
        <v>728</v>
      </c>
      <c r="I581" t="s">
        <v>22</v>
      </c>
      <c r="J581" t="s">
        <v>31</v>
      </c>
      <c r="K581" t="s">
        <v>24</v>
      </c>
      <c r="L581" t="s">
        <v>187</v>
      </c>
      <c r="M581" s="8">
        <v>1.8093333330000001</v>
      </c>
      <c r="N581" t="s">
        <v>26</v>
      </c>
      <c r="O581" s="8">
        <v>1.8093333330000001</v>
      </c>
      <c r="P581" s="8">
        <f>EXP(-1.363+3.366*LOG(O581,10))</f>
        <v>0.6088444603462565</v>
      </c>
      <c r="Q581" s="8">
        <f>(27433.05*100)/7611378</f>
        <v>0.36042159514348127</v>
      </c>
    </row>
    <row r="582" spans="1:17" x14ac:dyDescent="0.2">
      <c r="A582">
        <v>2011</v>
      </c>
      <c r="B582" t="s">
        <v>734</v>
      </c>
      <c r="C582" t="s">
        <v>60</v>
      </c>
      <c r="D582" t="s">
        <v>61</v>
      </c>
      <c r="E582">
        <v>6</v>
      </c>
      <c r="F582" t="s">
        <v>19</v>
      </c>
      <c r="G582" t="s">
        <v>352</v>
      </c>
      <c r="H582" t="s">
        <v>728</v>
      </c>
      <c r="I582" t="s">
        <v>22</v>
      </c>
      <c r="J582" t="s">
        <v>31</v>
      </c>
      <c r="K582" t="s">
        <v>24</v>
      </c>
      <c r="L582" t="s">
        <v>187</v>
      </c>
      <c r="M582" s="8">
        <v>1.8093333330000001</v>
      </c>
      <c r="N582" t="s">
        <v>26</v>
      </c>
      <c r="O582" s="8">
        <v>1.8093333330000001</v>
      </c>
      <c r="P582" s="8">
        <f>EXP(-1.363+3.366*LOG(O582,10))</f>
        <v>0.6088444603462565</v>
      </c>
      <c r="Q582" s="8">
        <f>(27433.05*100)/7611378</f>
        <v>0.36042159514348127</v>
      </c>
    </row>
    <row r="583" spans="1:17" x14ac:dyDescent="0.2">
      <c r="A583">
        <v>2011</v>
      </c>
      <c r="B583" t="s">
        <v>735</v>
      </c>
      <c r="C583" t="s">
        <v>65</v>
      </c>
      <c r="D583" t="s">
        <v>58</v>
      </c>
      <c r="E583">
        <v>6</v>
      </c>
      <c r="F583" t="s">
        <v>19</v>
      </c>
      <c r="G583" t="s">
        <v>352</v>
      </c>
      <c r="H583" t="s">
        <v>728</v>
      </c>
      <c r="I583" t="s">
        <v>22</v>
      </c>
      <c r="J583" t="s">
        <v>66</v>
      </c>
      <c r="K583" t="s">
        <v>24</v>
      </c>
      <c r="L583" t="s">
        <v>187</v>
      </c>
      <c r="M583" s="8">
        <v>1.8093333330000001</v>
      </c>
      <c r="N583" t="s">
        <v>26</v>
      </c>
      <c r="O583" s="8">
        <v>1.8093333330000001</v>
      </c>
      <c r="P583" s="8">
        <f>EXP(-1.363+3.366*LOG(O583,10))</f>
        <v>0.6088444603462565</v>
      </c>
      <c r="Q583" s="8">
        <f>(1788886*100)/6788946</f>
        <v>26.349981278389901</v>
      </c>
    </row>
    <row r="584" spans="1:17" x14ac:dyDescent="0.2">
      <c r="A584">
        <v>2011</v>
      </c>
      <c r="B584" t="s">
        <v>736</v>
      </c>
      <c r="C584" t="s">
        <v>89</v>
      </c>
      <c r="D584" t="s">
        <v>40</v>
      </c>
      <c r="E584">
        <v>6</v>
      </c>
      <c r="F584" t="s">
        <v>19</v>
      </c>
      <c r="G584" t="s">
        <v>352</v>
      </c>
      <c r="H584" t="s">
        <v>728</v>
      </c>
      <c r="I584" t="s">
        <v>22</v>
      </c>
      <c r="J584" t="s">
        <v>66</v>
      </c>
      <c r="K584" t="s">
        <v>24</v>
      </c>
      <c r="L584" t="s">
        <v>187</v>
      </c>
      <c r="M584" s="8">
        <v>1.8093333330000001</v>
      </c>
      <c r="N584" t="s">
        <v>26</v>
      </c>
      <c r="O584" s="8">
        <v>1.8093333330000001</v>
      </c>
      <c r="P584" s="8">
        <f>EXP(-1.363+3.366*LOG(O584,10))</f>
        <v>0.6088444603462565</v>
      </c>
      <c r="Q584" s="8">
        <f>(61997.93*100)/7298102</f>
        <v>0.84950758430068529</v>
      </c>
    </row>
    <row r="585" spans="1:17" x14ac:dyDescent="0.2">
      <c r="A585">
        <v>2011</v>
      </c>
      <c r="B585" t="s">
        <v>737</v>
      </c>
      <c r="C585" t="s">
        <v>60</v>
      </c>
      <c r="D585" t="s">
        <v>190</v>
      </c>
      <c r="E585">
        <v>7</v>
      </c>
      <c r="F585" t="s">
        <v>19</v>
      </c>
      <c r="G585" t="s">
        <v>352</v>
      </c>
      <c r="H585" t="s">
        <v>728</v>
      </c>
      <c r="I585" t="s">
        <v>22</v>
      </c>
      <c r="J585" t="s">
        <v>31</v>
      </c>
      <c r="K585" t="s">
        <v>24</v>
      </c>
      <c r="L585" t="s">
        <v>187</v>
      </c>
      <c r="M585" s="8">
        <v>1.8093333330000001</v>
      </c>
      <c r="N585" t="s">
        <v>26</v>
      </c>
      <c r="O585" s="8">
        <v>1.8093333330000001</v>
      </c>
      <c r="P585" s="8">
        <f>EXP(-1.363+3.366*LOG(O585,10))</f>
        <v>0.6088444603462565</v>
      </c>
      <c r="Q585" s="8">
        <f>(27433.05*100)/7611378</f>
        <v>0.36042159514348127</v>
      </c>
    </row>
    <row r="586" spans="1:17" x14ac:dyDescent="0.2">
      <c r="A586">
        <v>2011</v>
      </c>
      <c r="B586" t="s">
        <v>738</v>
      </c>
      <c r="C586" t="s">
        <v>60</v>
      </c>
      <c r="D586" t="s">
        <v>190</v>
      </c>
      <c r="E586">
        <v>7</v>
      </c>
      <c r="F586" t="s">
        <v>19</v>
      </c>
      <c r="G586" t="s">
        <v>352</v>
      </c>
      <c r="H586" t="s">
        <v>728</v>
      </c>
      <c r="I586" t="s">
        <v>22</v>
      </c>
      <c r="J586" t="s">
        <v>31</v>
      </c>
      <c r="K586" t="s">
        <v>24</v>
      </c>
      <c r="L586" t="s">
        <v>187</v>
      </c>
      <c r="M586" s="8">
        <v>1.8093333330000001</v>
      </c>
      <c r="N586" t="s">
        <v>26</v>
      </c>
      <c r="O586" s="8">
        <v>1.8093333330000001</v>
      </c>
      <c r="P586" s="8">
        <f>EXP(-1.363+3.366*LOG(O586,10))</f>
        <v>0.6088444603462565</v>
      </c>
      <c r="Q586" s="8">
        <f>(27433.05*100)/7611378</f>
        <v>0.36042159514348127</v>
      </c>
    </row>
    <row r="587" spans="1:17" x14ac:dyDescent="0.2">
      <c r="A587">
        <v>2011</v>
      </c>
      <c r="B587" t="s">
        <v>739</v>
      </c>
      <c r="C587" t="s">
        <v>60</v>
      </c>
      <c r="D587" t="s">
        <v>190</v>
      </c>
      <c r="E587">
        <v>7</v>
      </c>
      <c r="F587" t="s">
        <v>19</v>
      </c>
      <c r="G587" t="s">
        <v>352</v>
      </c>
      <c r="H587" t="s">
        <v>728</v>
      </c>
      <c r="I587" t="s">
        <v>22</v>
      </c>
      <c r="J587" t="s">
        <v>31</v>
      </c>
      <c r="K587" t="s">
        <v>24</v>
      </c>
      <c r="L587" t="s">
        <v>187</v>
      </c>
      <c r="M587" s="8">
        <v>1.8093333330000001</v>
      </c>
      <c r="N587" t="s">
        <v>26</v>
      </c>
      <c r="O587" s="8">
        <v>1.8093333330000001</v>
      </c>
      <c r="P587" s="8">
        <f>EXP(-1.363+3.366*LOG(O587,10))</f>
        <v>0.6088444603462565</v>
      </c>
      <c r="Q587" s="8">
        <f>(27433.05*100)/7611378</f>
        <v>0.36042159514348127</v>
      </c>
    </row>
    <row r="588" spans="1:17" x14ac:dyDescent="0.2">
      <c r="A588">
        <v>2011</v>
      </c>
      <c r="B588" t="s">
        <v>740</v>
      </c>
      <c r="C588" t="s">
        <v>60</v>
      </c>
      <c r="D588" t="s">
        <v>53</v>
      </c>
      <c r="E588">
        <v>6</v>
      </c>
      <c r="F588" t="s">
        <v>19</v>
      </c>
      <c r="G588" t="s">
        <v>352</v>
      </c>
      <c r="H588" t="s">
        <v>741</v>
      </c>
      <c r="I588" t="s">
        <v>22</v>
      </c>
      <c r="J588" t="s">
        <v>31</v>
      </c>
      <c r="K588" t="s">
        <v>24</v>
      </c>
      <c r="L588" t="s">
        <v>25</v>
      </c>
      <c r="M588" s="8" t="s">
        <v>26</v>
      </c>
      <c r="N588" t="s">
        <v>26</v>
      </c>
      <c r="O588" s="8" t="s">
        <v>26</v>
      </c>
      <c r="P588" s="8" t="s">
        <v>26</v>
      </c>
      <c r="Q588" s="8">
        <f>(27433.05*100)/7611378</f>
        <v>0.36042159514348127</v>
      </c>
    </row>
    <row r="589" spans="1:17" x14ac:dyDescent="0.2">
      <c r="A589">
        <v>2011</v>
      </c>
      <c r="B589" t="s">
        <v>742</v>
      </c>
      <c r="C589" t="s">
        <v>60</v>
      </c>
      <c r="D589" t="s">
        <v>61</v>
      </c>
      <c r="E589">
        <v>6</v>
      </c>
      <c r="F589" t="s">
        <v>19</v>
      </c>
      <c r="G589" t="s">
        <v>352</v>
      </c>
      <c r="H589" t="s">
        <v>741</v>
      </c>
      <c r="I589" t="s">
        <v>22</v>
      </c>
      <c r="J589" t="s">
        <v>31</v>
      </c>
      <c r="K589" t="s">
        <v>24</v>
      </c>
      <c r="L589" t="s">
        <v>25</v>
      </c>
      <c r="M589" s="8" t="s">
        <v>26</v>
      </c>
      <c r="N589" t="s">
        <v>26</v>
      </c>
      <c r="O589" s="8" t="s">
        <v>26</v>
      </c>
      <c r="P589" s="8" t="s">
        <v>26</v>
      </c>
      <c r="Q589" s="8">
        <f>(27433.05*100)/7611378</f>
        <v>0.36042159514348127</v>
      </c>
    </row>
    <row r="590" spans="1:17" x14ac:dyDescent="0.2">
      <c r="A590">
        <v>2011</v>
      </c>
      <c r="B590" t="s">
        <v>743</v>
      </c>
      <c r="C590" t="s">
        <v>89</v>
      </c>
      <c r="D590" t="s">
        <v>53</v>
      </c>
      <c r="E590">
        <v>6</v>
      </c>
      <c r="F590" t="s">
        <v>19</v>
      </c>
      <c r="G590" t="s">
        <v>352</v>
      </c>
      <c r="H590" t="s">
        <v>744</v>
      </c>
      <c r="I590" t="s">
        <v>22</v>
      </c>
      <c r="J590" t="s">
        <v>66</v>
      </c>
      <c r="K590" t="s">
        <v>24</v>
      </c>
      <c r="L590" t="s">
        <v>25</v>
      </c>
      <c r="M590" s="8" t="s">
        <v>26</v>
      </c>
      <c r="N590" t="s">
        <v>26</v>
      </c>
      <c r="O590" s="8" t="s">
        <v>26</v>
      </c>
      <c r="P590" s="8" t="s">
        <v>26</v>
      </c>
      <c r="Q590" s="8">
        <f>(61997.93*100)/7298102</f>
        <v>0.84950758430068529</v>
      </c>
    </row>
    <row r="591" spans="1:17" x14ac:dyDescent="0.2">
      <c r="A591">
        <v>2011</v>
      </c>
      <c r="B591" t="s">
        <v>745</v>
      </c>
      <c r="C591" t="s">
        <v>30</v>
      </c>
      <c r="D591" t="s">
        <v>63</v>
      </c>
      <c r="E591">
        <v>6</v>
      </c>
      <c r="F591" t="s">
        <v>19</v>
      </c>
      <c r="G591" t="s">
        <v>352</v>
      </c>
      <c r="H591" t="s">
        <v>744</v>
      </c>
      <c r="I591" t="s">
        <v>22</v>
      </c>
      <c r="J591" t="s">
        <v>31</v>
      </c>
      <c r="K591" t="s">
        <v>24</v>
      </c>
      <c r="L591" t="s">
        <v>25</v>
      </c>
      <c r="M591" s="8" t="s">
        <v>26</v>
      </c>
      <c r="N591" t="s">
        <v>26</v>
      </c>
      <c r="O591" s="8" t="s">
        <v>26</v>
      </c>
      <c r="P591" s="8" t="s">
        <v>26</v>
      </c>
      <c r="Q591" s="8">
        <f>(34897.31*100)/4728180</f>
        <v>0.73807067412831151</v>
      </c>
    </row>
    <row r="592" spans="1:17" x14ac:dyDescent="0.2">
      <c r="A592">
        <v>2011</v>
      </c>
      <c r="B592" t="s">
        <v>746</v>
      </c>
      <c r="C592" t="s">
        <v>65</v>
      </c>
      <c r="D592" t="s">
        <v>106</v>
      </c>
      <c r="E592">
        <v>4</v>
      </c>
      <c r="F592" t="s">
        <v>19</v>
      </c>
      <c r="G592" t="s">
        <v>352</v>
      </c>
      <c r="H592" t="s">
        <v>747</v>
      </c>
      <c r="I592" t="s">
        <v>22</v>
      </c>
      <c r="J592" t="s">
        <v>66</v>
      </c>
      <c r="K592" t="s">
        <v>24</v>
      </c>
      <c r="L592" t="s">
        <v>25</v>
      </c>
      <c r="M592" s="8">
        <v>1.3726666670000001</v>
      </c>
      <c r="N592" t="s">
        <v>26</v>
      </c>
      <c r="O592" s="8">
        <v>1.3726666670000001</v>
      </c>
      <c r="P592" s="8">
        <f>EXP(-1.363+3.366*LOG(O592,10))</f>
        <v>0.40658758379567089</v>
      </c>
      <c r="Q592" s="8">
        <f>(1788886*100)/6788946</f>
        <v>26.349981278389901</v>
      </c>
    </row>
    <row r="593" spans="1:17" x14ac:dyDescent="0.2">
      <c r="A593">
        <v>2011</v>
      </c>
      <c r="B593" t="s">
        <v>748</v>
      </c>
      <c r="C593" t="s">
        <v>52</v>
      </c>
      <c r="D593" t="s">
        <v>86</v>
      </c>
      <c r="E593">
        <v>4</v>
      </c>
      <c r="F593" t="s">
        <v>19</v>
      </c>
      <c r="G593" t="s">
        <v>352</v>
      </c>
      <c r="H593" t="s">
        <v>747</v>
      </c>
      <c r="I593" t="s">
        <v>22</v>
      </c>
      <c r="J593" t="s">
        <v>42</v>
      </c>
      <c r="K593" t="s">
        <v>24</v>
      </c>
      <c r="L593" t="s">
        <v>25</v>
      </c>
      <c r="M593" s="8">
        <v>1.3726666670000001</v>
      </c>
      <c r="N593" t="s">
        <v>26</v>
      </c>
      <c r="O593" s="8">
        <v>1.3726666670000001</v>
      </c>
      <c r="P593" s="8">
        <f>EXP(-1.363+3.366*LOG(O593,10))</f>
        <v>0.40658758379567089</v>
      </c>
      <c r="Q593" s="8">
        <f>(1626350*100)/1973941</f>
        <v>82.391013713175823</v>
      </c>
    </row>
    <row r="594" spans="1:17" x14ac:dyDescent="0.2">
      <c r="A594">
        <v>2011</v>
      </c>
      <c r="B594" t="s">
        <v>750</v>
      </c>
      <c r="C594" t="s">
        <v>65</v>
      </c>
      <c r="D594" t="s">
        <v>106</v>
      </c>
      <c r="E594">
        <v>4</v>
      </c>
      <c r="F594" t="s">
        <v>19</v>
      </c>
      <c r="G594" t="s">
        <v>352</v>
      </c>
      <c r="H594" t="s">
        <v>747</v>
      </c>
      <c r="I594" t="s">
        <v>22</v>
      </c>
      <c r="J594" t="s">
        <v>66</v>
      </c>
      <c r="K594" t="s">
        <v>24</v>
      </c>
      <c r="L594" t="s">
        <v>25</v>
      </c>
      <c r="M594" s="8">
        <v>1.3726666670000001</v>
      </c>
      <c r="N594" t="s">
        <v>26</v>
      </c>
      <c r="O594" s="8">
        <v>1.3726666670000001</v>
      </c>
      <c r="P594" s="8">
        <f>EXP(-1.363+3.366*LOG(O594,10))</f>
        <v>0.40658758379567089</v>
      </c>
      <c r="Q594" s="8">
        <f>(1788886*100)/6788946</f>
        <v>26.349981278389901</v>
      </c>
    </row>
    <row r="595" spans="1:17" x14ac:dyDescent="0.2">
      <c r="A595">
        <v>2011</v>
      </c>
      <c r="B595" t="s">
        <v>751</v>
      </c>
      <c r="C595" t="s">
        <v>65</v>
      </c>
      <c r="D595" t="s">
        <v>106</v>
      </c>
      <c r="E595">
        <v>4</v>
      </c>
      <c r="F595" t="s">
        <v>19</v>
      </c>
      <c r="G595" t="s">
        <v>352</v>
      </c>
      <c r="H595" t="s">
        <v>747</v>
      </c>
      <c r="I595" t="s">
        <v>22</v>
      </c>
      <c r="J595" t="s">
        <v>66</v>
      </c>
      <c r="K595" t="s">
        <v>24</v>
      </c>
      <c r="L595" t="s">
        <v>25</v>
      </c>
      <c r="M595" s="8">
        <v>1.3726666670000001</v>
      </c>
      <c r="N595" t="s">
        <v>26</v>
      </c>
      <c r="O595" s="8">
        <v>1.3726666670000001</v>
      </c>
      <c r="P595" s="8">
        <f>EXP(-1.363+3.366*LOG(O595,10))</f>
        <v>0.40658758379567089</v>
      </c>
      <c r="Q595" s="8">
        <f>(1788886*100)/6788946</f>
        <v>26.349981278389901</v>
      </c>
    </row>
    <row r="596" spans="1:17" x14ac:dyDescent="0.2">
      <c r="A596">
        <v>2011</v>
      </c>
      <c r="B596" t="s">
        <v>752</v>
      </c>
      <c r="C596" t="s">
        <v>65</v>
      </c>
      <c r="D596" t="s">
        <v>106</v>
      </c>
      <c r="E596">
        <v>4</v>
      </c>
      <c r="F596" t="s">
        <v>19</v>
      </c>
      <c r="G596" t="s">
        <v>352</v>
      </c>
      <c r="H596" t="s">
        <v>747</v>
      </c>
      <c r="I596" t="s">
        <v>22</v>
      </c>
      <c r="J596" t="s">
        <v>66</v>
      </c>
      <c r="K596" t="s">
        <v>24</v>
      </c>
      <c r="L596" t="s">
        <v>25</v>
      </c>
      <c r="M596" s="8">
        <v>1.3726666670000001</v>
      </c>
      <c r="N596" t="s">
        <v>26</v>
      </c>
      <c r="O596" s="8">
        <v>1.3726666670000001</v>
      </c>
      <c r="P596" s="8">
        <f>EXP(-1.363+3.366*LOG(O596,10))</f>
        <v>0.40658758379567089</v>
      </c>
      <c r="Q596" s="8">
        <f>(1788886*100)/6788946</f>
        <v>26.349981278389901</v>
      </c>
    </row>
    <row r="597" spans="1:17" x14ac:dyDescent="0.2">
      <c r="A597">
        <v>2011</v>
      </c>
      <c r="B597" t="s">
        <v>753</v>
      </c>
      <c r="C597" t="s">
        <v>120</v>
      </c>
      <c r="D597" t="s">
        <v>106</v>
      </c>
      <c r="E597">
        <v>4</v>
      </c>
      <c r="F597" t="s">
        <v>19</v>
      </c>
      <c r="G597" t="s">
        <v>352</v>
      </c>
      <c r="H597" t="s">
        <v>747</v>
      </c>
      <c r="I597" t="s">
        <v>22</v>
      </c>
      <c r="J597" t="s">
        <v>23</v>
      </c>
      <c r="K597" t="s">
        <v>24</v>
      </c>
      <c r="L597" t="s">
        <v>25</v>
      </c>
      <c r="M597" s="8">
        <v>1.3726666670000001</v>
      </c>
      <c r="N597" t="s">
        <v>26</v>
      </c>
      <c r="O597" s="8">
        <v>1.3726666670000001</v>
      </c>
      <c r="P597" s="8">
        <f>EXP(-1.363+3.366*LOG(O597,10))</f>
        <v>0.40658758379567089</v>
      </c>
      <c r="Q597" s="8">
        <f>(2256192*100)/6055896</f>
        <v>37.256121967748456</v>
      </c>
    </row>
    <row r="598" spans="1:17" x14ac:dyDescent="0.2">
      <c r="A598">
        <v>2011</v>
      </c>
      <c r="B598" t="s">
        <v>754</v>
      </c>
      <c r="C598" t="s">
        <v>60</v>
      </c>
      <c r="D598" t="s">
        <v>90</v>
      </c>
      <c r="E598">
        <v>4</v>
      </c>
      <c r="F598" t="s">
        <v>19</v>
      </c>
      <c r="G598" t="s">
        <v>352</v>
      </c>
      <c r="H598" t="s">
        <v>747</v>
      </c>
      <c r="I598" t="s">
        <v>22</v>
      </c>
      <c r="J598" t="s">
        <v>31</v>
      </c>
      <c r="K598" t="s">
        <v>24</v>
      </c>
      <c r="L598" t="s">
        <v>25</v>
      </c>
      <c r="M598" s="8">
        <v>1.3726666670000001</v>
      </c>
      <c r="N598" t="s">
        <v>26</v>
      </c>
      <c r="O598" s="8">
        <v>1.3726666670000001</v>
      </c>
      <c r="P598" s="8">
        <f>EXP(-1.363+3.366*LOG(O598,10))</f>
        <v>0.40658758379567089</v>
      </c>
      <c r="Q598" s="8">
        <f>(27433.05*100)/7611378</f>
        <v>0.36042159514348127</v>
      </c>
    </row>
    <row r="599" spans="1:17" x14ac:dyDescent="0.2">
      <c r="A599">
        <v>2011</v>
      </c>
      <c r="B599" t="s">
        <v>755</v>
      </c>
      <c r="C599" t="s">
        <v>57</v>
      </c>
      <c r="D599" t="s">
        <v>111</v>
      </c>
      <c r="E599">
        <v>5</v>
      </c>
      <c r="F599" t="s">
        <v>19</v>
      </c>
      <c r="G599" t="s">
        <v>352</v>
      </c>
      <c r="H599" t="s">
        <v>747</v>
      </c>
      <c r="I599" t="s">
        <v>22</v>
      </c>
      <c r="J599" t="s">
        <v>31</v>
      </c>
      <c r="K599" t="s">
        <v>24</v>
      </c>
      <c r="L599" t="s">
        <v>25</v>
      </c>
      <c r="M599" s="8">
        <v>1.3726666670000001</v>
      </c>
      <c r="N599" t="s">
        <v>26</v>
      </c>
      <c r="O599" s="8">
        <v>1.3726666670000001</v>
      </c>
      <c r="P599" s="8">
        <f>EXP(-1.363+3.366*LOG(O599,10))</f>
        <v>0.40658758379567089</v>
      </c>
      <c r="Q599" s="8">
        <f>(321151.3*100)/5927002</f>
        <v>5.4184442657518925</v>
      </c>
    </row>
    <row r="600" spans="1:17" x14ac:dyDescent="0.2">
      <c r="A600">
        <v>2011</v>
      </c>
      <c r="B600" t="s">
        <v>756</v>
      </c>
      <c r="C600" t="s">
        <v>65</v>
      </c>
      <c r="D600" t="s">
        <v>111</v>
      </c>
      <c r="E600">
        <v>5</v>
      </c>
      <c r="F600" t="s">
        <v>19</v>
      </c>
      <c r="G600" t="s">
        <v>352</v>
      </c>
      <c r="H600" t="s">
        <v>747</v>
      </c>
      <c r="I600" t="s">
        <v>22</v>
      </c>
      <c r="J600" t="s">
        <v>66</v>
      </c>
      <c r="K600" t="s">
        <v>24</v>
      </c>
      <c r="L600" t="s">
        <v>25</v>
      </c>
      <c r="M600" s="8">
        <v>1.3726666670000001</v>
      </c>
      <c r="N600" t="s">
        <v>26</v>
      </c>
      <c r="O600" s="8">
        <v>1.3726666670000001</v>
      </c>
      <c r="P600" s="8">
        <f>EXP(-1.363+3.366*LOG(O600,10))</f>
        <v>0.40658758379567089</v>
      </c>
      <c r="Q600" s="8">
        <f>(1788886*100)/6788946</f>
        <v>26.349981278389901</v>
      </c>
    </row>
    <row r="601" spans="1:17" x14ac:dyDescent="0.2">
      <c r="A601">
        <v>2011</v>
      </c>
      <c r="B601" t="s">
        <v>757</v>
      </c>
      <c r="C601" t="s">
        <v>65</v>
      </c>
      <c r="D601" t="s">
        <v>111</v>
      </c>
      <c r="E601">
        <v>5</v>
      </c>
      <c r="F601" t="s">
        <v>19</v>
      </c>
      <c r="G601" t="s">
        <v>352</v>
      </c>
      <c r="H601" t="s">
        <v>747</v>
      </c>
      <c r="I601" t="s">
        <v>22</v>
      </c>
      <c r="J601" t="s">
        <v>66</v>
      </c>
      <c r="K601" t="s">
        <v>24</v>
      </c>
      <c r="L601" t="s">
        <v>25</v>
      </c>
      <c r="M601" s="8">
        <v>1.3726666670000001</v>
      </c>
      <c r="N601" t="s">
        <v>26</v>
      </c>
      <c r="O601" s="8">
        <v>1.3726666670000001</v>
      </c>
      <c r="P601" s="8">
        <f>EXP(-1.363+3.366*LOG(O601,10))</f>
        <v>0.40658758379567089</v>
      </c>
      <c r="Q601" s="8">
        <f>(1788886*100)/6788946</f>
        <v>26.349981278389901</v>
      </c>
    </row>
    <row r="602" spans="1:17" x14ac:dyDescent="0.2">
      <c r="A602">
        <v>2011</v>
      </c>
      <c r="B602" t="s">
        <v>758</v>
      </c>
      <c r="C602" t="s">
        <v>65</v>
      </c>
      <c r="D602" t="s">
        <v>111</v>
      </c>
      <c r="E602">
        <v>5</v>
      </c>
      <c r="F602" t="s">
        <v>19</v>
      </c>
      <c r="G602" t="s">
        <v>352</v>
      </c>
      <c r="H602" t="s">
        <v>747</v>
      </c>
      <c r="I602" t="s">
        <v>22</v>
      </c>
      <c r="J602" t="s">
        <v>66</v>
      </c>
      <c r="K602" t="s">
        <v>24</v>
      </c>
      <c r="L602" t="s">
        <v>25</v>
      </c>
      <c r="M602" s="8">
        <v>1.3726666670000001</v>
      </c>
      <c r="N602" t="s">
        <v>26</v>
      </c>
      <c r="O602" s="8">
        <v>1.3726666670000001</v>
      </c>
      <c r="P602" s="8">
        <f>EXP(-1.363+3.366*LOG(O602,10))</f>
        <v>0.40658758379567089</v>
      </c>
      <c r="Q602" s="8">
        <f>(1788886*100)/6788946</f>
        <v>26.349981278389901</v>
      </c>
    </row>
    <row r="603" spans="1:17" x14ac:dyDescent="0.2">
      <c r="A603">
        <v>2011</v>
      </c>
      <c r="B603" t="s">
        <v>759</v>
      </c>
      <c r="C603" t="s">
        <v>65</v>
      </c>
      <c r="D603" t="s">
        <v>111</v>
      </c>
      <c r="E603">
        <v>5</v>
      </c>
      <c r="F603" t="s">
        <v>19</v>
      </c>
      <c r="G603" t="s">
        <v>352</v>
      </c>
      <c r="H603" t="s">
        <v>747</v>
      </c>
      <c r="I603" t="s">
        <v>22</v>
      </c>
      <c r="J603" t="s">
        <v>66</v>
      </c>
      <c r="K603" t="s">
        <v>24</v>
      </c>
      <c r="L603" t="s">
        <v>25</v>
      </c>
      <c r="M603" s="8">
        <v>1.3726666670000001</v>
      </c>
      <c r="N603" t="s">
        <v>26</v>
      </c>
      <c r="O603" s="8">
        <v>1.3726666670000001</v>
      </c>
      <c r="P603" s="8">
        <f>EXP(-1.363+3.366*LOG(O603,10))</f>
        <v>0.40658758379567089</v>
      </c>
      <c r="Q603" s="8">
        <f>(1788886*100)/6788946</f>
        <v>26.349981278389901</v>
      </c>
    </row>
    <row r="604" spans="1:17" x14ac:dyDescent="0.2">
      <c r="A604">
        <v>2011</v>
      </c>
      <c r="B604" t="s">
        <v>760</v>
      </c>
      <c r="C604" t="s">
        <v>65</v>
      </c>
      <c r="D604" t="s">
        <v>111</v>
      </c>
      <c r="E604">
        <v>5</v>
      </c>
      <c r="F604" t="s">
        <v>19</v>
      </c>
      <c r="G604" t="s">
        <v>352</v>
      </c>
      <c r="H604" t="s">
        <v>747</v>
      </c>
      <c r="I604" t="s">
        <v>22</v>
      </c>
      <c r="J604" t="s">
        <v>66</v>
      </c>
      <c r="K604" t="s">
        <v>24</v>
      </c>
      <c r="L604" t="s">
        <v>25</v>
      </c>
      <c r="M604" s="8">
        <v>1.3726666670000001</v>
      </c>
      <c r="N604" t="s">
        <v>26</v>
      </c>
      <c r="O604" s="8">
        <v>1.3726666670000001</v>
      </c>
      <c r="P604" s="8">
        <f>EXP(-1.363+3.366*LOG(O604,10))</f>
        <v>0.40658758379567089</v>
      </c>
      <c r="Q604" s="8">
        <f>(1788886*100)/6788946</f>
        <v>26.349981278389901</v>
      </c>
    </row>
    <row r="605" spans="1:17" x14ac:dyDescent="0.2">
      <c r="A605">
        <v>2011</v>
      </c>
      <c r="B605" t="s">
        <v>761</v>
      </c>
      <c r="C605" t="s">
        <v>50</v>
      </c>
      <c r="D605" t="s">
        <v>73</v>
      </c>
      <c r="E605">
        <v>5</v>
      </c>
      <c r="F605" t="s">
        <v>19</v>
      </c>
      <c r="G605" t="s">
        <v>352</v>
      </c>
      <c r="H605" t="s">
        <v>747</v>
      </c>
      <c r="I605" t="s">
        <v>22</v>
      </c>
      <c r="J605" t="s">
        <v>42</v>
      </c>
      <c r="K605" t="s">
        <v>24</v>
      </c>
      <c r="L605" t="s">
        <v>25</v>
      </c>
      <c r="M605" s="8">
        <v>1.3726666670000001</v>
      </c>
      <c r="N605" t="s">
        <v>26</v>
      </c>
      <c r="O605" s="8">
        <v>1.3726666670000001</v>
      </c>
      <c r="P605" s="8">
        <f>EXP(-1.363+3.366*LOG(O605,10))</f>
        <v>0.40658758379567089</v>
      </c>
      <c r="Q605" s="8">
        <f>(4488342*100)/4914798</f>
        <v>91.323020803703429</v>
      </c>
    </row>
    <row r="606" spans="1:17" x14ac:dyDescent="0.2">
      <c r="A606">
        <v>2011</v>
      </c>
      <c r="B606" t="s">
        <v>762</v>
      </c>
      <c r="C606" t="s">
        <v>52</v>
      </c>
      <c r="D606" t="s">
        <v>73</v>
      </c>
      <c r="E606">
        <v>5</v>
      </c>
      <c r="F606" t="s">
        <v>19</v>
      </c>
      <c r="G606" t="s">
        <v>352</v>
      </c>
      <c r="H606" t="s">
        <v>747</v>
      </c>
      <c r="I606" t="s">
        <v>22</v>
      </c>
      <c r="J606" t="s">
        <v>42</v>
      </c>
      <c r="K606" t="s">
        <v>24</v>
      </c>
      <c r="L606" t="s">
        <v>25</v>
      </c>
      <c r="M606" s="8">
        <v>1.3726666670000001</v>
      </c>
      <c r="N606" t="s">
        <v>26</v>
      </c>
      <c r="O606" s="8">
        <v>1.3726666670000001</v>
      </c>
      <c r="P606" s="8">
        <f>EXP(-1.363+3.366*LOG(O606,10))</f>
        <v>0.40658758379567089</v>
      </c>
      <c r="Q606" s="8">
        <f>(1626350*100)/1973941</f>
        <v>82.391013713175823</v>
      </c>
    </row>
    <row r="607" spans="1:17" x14ac:dyDescent="0.2">
      <c r="A607">
        <v>2011</v>
      </c>
      <c r="B607" t="s">
        <v>763</v>
      </c>
      <c r="C607" t="s">
        <v>52</v>
      </c>
      <c r="D607" t="s">
        <v>53</v>
      </c>
      <c r="E607">
        <v>6</v>
      </c>
      <c r="F607" t="s">
        <v>19</v>
      </c>
      <c r="G607" t="s">
        <v>352</v>
      </c>
      <c r="H607" t="s">
        <v>747</v>
      </c>
      <c r="I607" t="s">
        <v>22</v>
      </c>
      <c r="J607" t="s">
        <v>42</v>
      </c>
      <c r="K607" t="s">
        <v>24</v>
      </c>
      <c r="L607" t="s">
        <v>25</v>
      </c>
      <c r="M607" s="8">
        <v>1.3726666670000001</v>
      </c>
      <c r="N607" t="s">
        <v>26</v>
      </c>
      <c r="O607" s="8">
        <v>1.3726666670000001</v>
      </c>
      <c r="P607" s="8">
        <f>EXP(-1.363+3.366*LOG(O607,10))</f>
        <v>0.40658758379567089</v>
      </c>
      <c r="Q607" s="8">
        <f>(1626350*100)/1973941</f>
        <v>82.391013713175823</v>
      </c>
    </row>
    <row r="608" spans="1:17" x14ac:dyDescent="0.2">
      <c r="A608">
        <v>2011</v>
      </c>
      <c r="B608" t="s">
        <v>764</v>
      </c>
      <c r="C608" t="s">
        <v>60</v>
      </c>
      <c r="D608" t="s">
        <v>53</v>
      </c>
      <c r="E608">
        <v>6</v>
      </c>
      <c r="F608" t="s">
        <v>19</v>
      </c>
      <c r="G608" t="s">
        <v>352</v>
      </c>
      <c r="H608" t="s">
        <v>747</v>
      </c>
      <c r="I608" t="s">
        <v>22</v>
      </c>
      <c r="J608" t="s">
        <v>31</v>
      </c>
      <c r="K608" t="s">
        <v>24</v>
      </c>
      <c r="L608" t="s">
        <v>25</v>
      </c>
      <c r="M608" s="8">
        <v>1.3726666670000001</v>
      </c>
      <c r="N608" t="s">
        <v>26</v>
      </c>
      <c r="O608" s="8">
        <v>1.3726666670000001</v>
      </c>
      <c r="P608" s="8">
        <f>EXP(-1.363+3.366*LOG(O608,10))</f>
        <v>0.40658758379567089</v>
      </c>
      <c r="Q608" s="8">
        <f>(27433.05*100)/7611378</f>
        <v>0.36042159514348127</v>
      </c>
    </row>
    <row r="609" spans="1:17" x14ac:dyDescent="0.2">
      <c r="A609">
        <v>2011</v>
      </c>
      <c r="B609" t="s">
        <v>765</v>
      </c>
      <c r="C609" t="s">
        <v>52</v>
      </c>
      <c r="D609" t="s">
        <v>76</v>
      </c>
      <c r="E609">
        <v>5</v>
      </c>
      <c r="F609" t="s">
        <v>19</v>
      </c>
      <c r="G609" t="s">
        <v>352</v>
      </c>
      <c r="H609" t="s">
        <v>747</v>
      </c>
      <c r="I609" t="s">
        <v>22</v>
      </c>
      <c r="J609" t="s">
        <v>42</v>
      </c>
      <c r="K609" t="s">
        <v>24</v>
      </c>
      <c r="L609" t="s">
        <v>25</v>
      </c>
      <c r="M609" s="8">
        <v>1.3726666670000001</v>
      </c>
      <c r="N609" t="s">
        <v>26</v>
      </c>
      <c r="O609" s="8">
        <v>1.3726666670000001</v>
      </c>
      <c r="P609" s="8">
        <f>EXP(-1.363+3.366*LOG(O609,10))</f>
        <v>0.40658758379567089</v>
      </c>
      <c r="Q609" s="8">
        <f>(1626350*100)/1973941</f>
        <v>82.391013713175823</v>
      </c>
    </row>
    <row r="610" spans="1:17" x14ac:dyDescent="0.2">
      <c r="A610">
        <v>2011</v>
      </c>
      <c r="B610" t="s">
        <v>766</v>
      </c>
      <c r="C610" t="s">
        <v>57</v>
      </c>
      <c r="D610" t="s">
        <v>71</v>
      </c>
      <c r="E610">
        <v>7</v>
      </c>
      <c r="F610" t="s">
        <v>19</v>
      </c>
      <c r="G610" t="s">
        <v>352</v>
      </c>
      <c r="H610" t="s">
        <v>747</v>
      </c>
      <c r="I610" t="s">
        <v>22</v>
      </c>
      <c r="J610" t="s">
        <v>104</v>
      </c>
      <c r="K610" t="s">
        <v>24</v>
      </c>
      <c r="L610" t="s">
        <v>25</v>
      </c>
      <c r="M610" s="8">
        <v>1.3726666670000001</v>
      </c>
      <c r="N610" t="s">
        <v>26</v>
      </c>
      <c r="O610" s="8">
        <v>1.3726666670000001</v>
      </c>
      <c r="P610" s="8">
        <f>EXP(-1.363+3.366*LOG(O610,10))</f>
        <v>0.40658758379567089</v>
      </c>
      <c r="Q610" s="8">
        <f>(321151.3*100)/5927002</f>
        <v>5.4184442657518925</v>
      </c>
    </row>
    <row r="611" spans="1:17" x14ac:dyDescent="0.2">
      <c r="A611">
        <v>2011</v>
      </c>
      <c r="B611" t="s">
        <v>767</v>
      </c>
      <c r="C611" t="s">
        <v>57</v>
      </c>
      <c r="D611" t="s">
        <v>71</v>
      </c>
      <c r="E611">
        <v>7</v>
      </c>
      <c r="F611" t="s">
        <v>19</v>
      </c>
      <c r="G611" t="s">
        <v>352</v>
      </c>
      <c r="H611" t="s">
        <v>747</v>
      </c>
      <c r="I611" t="s">
        <v>22</v>
      </c>
      <c r="J611" t="s">
        <v>104</v>
      </c>
      <c r="K611" t="s">
        <v>24</v>
      </c>
      <c r="L611" t="s">
        <v>25</v>
      </c>
      <c r="M611" s="8">
        <v>1.3726666670000001</v>
      </c>
      <c r="N611" t="s">
        <v>26</v>
      </c>
      <c r="O611" s="8">
        <v>1.3726666670000001</v>
      </c>
      <c r="P611" s="8">
        <f>EXP(-1.363+3.366*LOG(O611,10))</f>
        <v>0.40658758379567089</v>
      </c>
      <c r="Q611" s="8">
        <f>(321151.3*100)/5927002</f>
        <v>5.4184442657518925</v>
      </c>
    </row>
    <row r="612" spans="1:17" x14ac:dyDescent="0.2">
      <c r="A612">
        <v>2011</v>
      </c>
      <c r="B612" t="s">
        <v>768</v>
      </c>
      <c r="C612" t="s">
        <v>57</v>
      </c>
      <c r="D612" t="s">
        <v>71</v>
      </c>
      <c r="E612">
        <v>7</v>
      </c>
      <c r="F612" t="s">
        <v>19</v>
      </c>
      <c r="G612" t="s">
        <v>352</v>
      </c>
      <c r="H612" t="s">
        <v>747</v>
      </c>
      <c r="I612" t="s">
        <v>22</v>
      </c>
      <c r="J612" t="s">
        <v>104</v>
      </c>
      <c r="K612" t="s">
        <v>24</v>
      </c>
      <c r="L612" t="s">
        <v>25</v>
      </c>
      <c r="M612" s="8">
        <v>1.3726666670000001</v>
      </c>
      <c r="N612" t="s">
        <v>26</v>
      </c>
      <c r="O612" s="8">
        <v>1.3726666670000001</v>
      </c>
      <c r="P612" s="8">
        <f>EXP(-1.363+3.366*LOG(O612,10))</f>
        <v>0.40658758379567089</v>
      </c>
      <c r="Q612" s="8">
        <f>(321151.3*100)/5927002</f>
        <v>5.4184442657518925</v>
      </c>
    </row>
    <row r="613" spans="1:17" x14ac:dyDescent="0.2">
      <c r="A613">
        <v>2011</v>
      </c>
      <c r="B613" t="s">
        <v>769</v>
      </c>
      <c r="C613" t="s">
        <v>57</v>
      </c>
      <c r="D613" t="s">
        <v>71</v>
      </c>
      <c r="E613">
        <v>7</v>
      </c>
      <c r="F613" t="s">
        <v>19</v>
      </c>
      <c r="G613" t="s">
        <v>352</v>
      </c>
      <c r="H613" t="s">
        <v>747</v>
      </c>
      <c r="I613" t="s">
        <v>22</v>
      </c>
      <c r="J613" t="s">
        <v>104</v>
      </c>
      <c r="K613" t="s">
        <v>24</v>
      </c>
      <c r="L613" t="s">
        <v>25</v>
      </c>
      <c r="M613" s="8">
        <v>1.3726666670000001</v>
      </c>
      <c r="N613" t="s">
        <v>26</v>
      </c>
      <c r="O613" s="8">
        <v>1.3726666670000001</v>
      </c>
      <c r="P613" s="8">
        <f>EXP(-1.363+3.366*LOG(O613,10))</f>
        <v>0.40658758379567089</v>
      </c>
      <c r="Q613" s="8">
        <f>(321151.3*100)/5927002</f>
        <v>5.4184442657518925</v>
      </c>
    </row>
    <row r="614" spans="1:17" x14ac:dyDescent="0.2">
      <c r="A614">
        <v>2011</v>
      </c>
      <c r="B614" t="s">
        <v>770</v>
      </c>
      <c r="C614" t="s">
        <v>65</v>
      </c>
      <c r="D614" t="s">
        <v>58</v>
      </c>
      <c r="E614">
        <v>6</v>
      </c>
      <c r="F614" t="s">
        <v>19</v>
      </c>
      <c r="G614" t="s">
        <v>352</v>
      </c>
      <c r="H614" t="s">
        <v>747</v>
      </c>
      <c r="I614" t="s">
        <v>22</v>
      </c>
      <c r="J614" t="s">
        <v>66</v>
      </c>
      <c r="K614" t="s">
        <v>24</v>
      </c>
      <c r="L614" t="s">
        <v>25</v>
      </c>
      <c r="M614" s="8">
        <v>1.3726666670000001</v>
      </c>
      <c r="N614" t="s">
        <v>26</v>
      </c>
      <c r="O614" s="8">
        <v>1.3726666670000001</v>
      </c>
      <c r="P614" s="8">
        <f>EXP(-1.363+3.366*LOG(O614,10))</f>
        <v>0.40658758379567089</v>
      </c>
      <c r="Q614" s="8">
        <f>(1788886*100)/6788946</f>
        <v>26.349981278389901</v>
      </c>
    </row>
    <row r="615" spans="1:17" x14ac:dyDescent="0.2">
      <c r="A615">
        <v>2011</v>
      </c>
      <c r="B615" t="s">
        <v>771</v>
      </c>
      <c r="C615" t="s">
        <v>65</v>
      </c>
      <c r="D615" t="s">
        <v>58</v>
      </c>
      <c r="E615">
        <v>6</v>
      </c>
      <c r="F615" t="s">
        <v>19</v>
      </c>
      <c r="G615" t="s">
        <v>352</v>
      </c>
      <c r="H615" t="s">
        <v>747</v>
      </c>
      <c r="I615" t="s">
        <v>22</v>
      </c>
      <c r="J615" t="s">
        <v>66</v>
      </c>
      <c r="K615" t="s">
        <v>24</v>
      </c>
      <c r="L615" t="s">
        <v>25</v>
      </c>
      <c r="M615" s="8">
        <v>1.3726666670000001</v>
      </c>
      <c r="N615" t="s">
        <v>26</v>
      </c>
      <c r="O615" s="8">
        <v>1.3726666670000001</v>
      </c>
      <c r="P615" s="8">
        <f>EXP(-1.363+3.366*LOG(O615,10))</f>
        <v>0.40658758379567089</v>
      </c>
      <c r="Q615" s="8">
        <f>(1788886*100)/6788946</f>
        <v>26.349981278389901</v>
      </c>
    </row>
    <row r="616" spans="1:17" x14ac:dyDescent="0.2">
      <c r="A616">
        <v>2011</v>
      </c>
      <c r="B616" t="s">
        <v>772</v>
      </c>
      <c r="C616" t="s">
        <v>65</v>
      </c>
      <c r="D616" t="s">
        <v>58</v>
      </c>
      <c r="E616">
        <v>6</v>
      </c>
      <c r="F616" t="s">
        <v>19</v>
      </c>
      <c r="G616" t="s">
        <v>352</v>
      </c>
      <c r="H616" t="s">
        <v>747</v>
      </c>
      <c r="I616" t="s">
        <v>22</v>
      </c>
      <c r="J616" t="s">
        <v>66</v>
      </c>
      <c r="K616" t="s">
        <v>24</v>
      </c>
      <c r="L616" t="s">
        <v>25</v>
      </c>
      <c r="M616" s="8">
        <v>1.3726666670000001</v>
      </c>
      <c r="N616" t="s">
        <v>26</v>
      </c>
      <c r="O616" s="8">
        <v>1.3726666670000001</v>
      </c>
      <c r="P616" s="8">
        <f>EXP(-1.363+3.366*LOG(O616,10))</f>
        <v>0.40658758379567089</v>
      </c>
      <c r="Q616" s="8">
        <f>(1788886*100)/6788946</f>
        <v>26.349981278389901</v>
      </c>
    </row>
    <row r="617" spans="1:17" x14ac:dyDescent="0.2">
      <c r="A617">
        <v>2011</v>
      </c>
      <c r="B617" t="s">
        <v>773</v>
      </c>
      <c r="C617" t="s">
        <v>65</v>
      </c>
      <c r="D617" t="s">
        <v>58</v>
      </c>
      <c r="E617">
        <v>6</v>
      </c>
      <c r="F617" t="s">
        <v>19</v>
      </c>
      <c r="G617" t="s">
        <v>352</v>
      </c>
      <c r="H617" t="s">
        <v>747</v>
      </c>
      <c r="I617" t="s">
        <v>22</v>
      </c>
      <c r="J617" t="s">
        <v>66</v>
      </c>
      <c r="K617" t="s">
        <v>24</v>
      </c>
      <c r="L617" t="s">
        <v>25</v>
      </c>
      <c r="M617" s="8">
        <v>1.3726666670000001</v>
      </c>
      <c r="N617" t="s">
        <v>26</v>
      </c>
      <c r="O617" s="8">
        <v>1.3726666670000001</v>
      </c>
      <c r="P617" s="8">
        <f>EXP(-1.363+3.366*LOG(O617,10))</f>
        <v>0.40658758379567089</v>
      </c>
      <c r="Q617" s="8">
        <f>(1788886*100)/6788946</f>
        <v>26.349981278389901</v>
      </c>
    </row>
    <row r="618" spans="1:17" x14ac:dyDescent="0.2">
      <c r="A618">
        <v>2011</v>
      </c>
      <c r="B618" t="s">
        <v>774</v>
      </c>
      <c r="C618" t="s">
        <v>65</v>
      </c>
      <c r="D618" t="s">
        <v>58</v>
      </c>
      <c r="E618">
        <v>6</v>
      </c>
      <c r="F618" t="s">
        <v>19</v>
      </c>
      <c r="G618" t="s">
        <v>352</v>
      </c>
      <c r="H618" t="s">
        <v>747</v>
      </c>
      <c r="I618" t="s">
        <v>22</v>
      </c>
      <c r="J618" t="s">
        <v>66</v>
      </c>
      <c r="K618" t="s">
        <v>24</v>
      </c>
      <c r="L618" t="s">
        <v>25</v>
      </c>
      <c r="M618" s="8">
        <v>1.3726666670000001</v>
      </c>
      <c r="N618" t="s">
        <v>26</v>
      </c>
      <c r="O618" s="8">
        <v>1.3726666670000001</v>
      </c>
      <c r="P618" s="8">
        <f>EXP(-1.363+3.366*LOG(O618,10))</f>
        <v>0.40658758379567089</v>
      </c>
      <c r="Q618" s="8">
        <f>(1788886*100)/6788946</f>
        <v>26.349981278389901</v>
      </c>
    </row>
    <row r="619" spans="1:17" x14ac:dyDescent="0.2">
      <c r="A619">
        <v>2011</v>
      </c>
      <c r="B619" t="s">
        <v>775</v>
      </c>
      <c r="C619" t="s">
        <v>65</v>
      </c>
      <c r="D619" t="s">
        <v>58</v>
      </c>
      <c r="E619">
        <v>6</v>
      </c>
      <c r="F619" t="s">
        <v>19</v>
      </c>
      <c r="G619" t="s">
        <v>352</v>
      </c>
      <c r="H619" t="s">
        <v>747</v>
      </c>
      <c r="I619" t="s">
        <v>22</v>
      </c>
      <c r="J619" t="s">
        <v>66</v>
      </c>
      <c r="K619" t="s">
        <v>24</v>
      </c>
      <c r="L619" t="s">
        <v>25</v>
      </c>
      <c r="M619" s="8">
        <v>1.3726666670000001</v>
      </c>
      <c r="N619" t="s">
        <v>26</v>
      </c>
      <c r="O619" s="8">
        <v>1.3726666670000001</v>
      </c>
      <c r="P619" s="8">
        <f>EXP(-1.363+3.366*LOG(O619,10))</f>
        <v>0.40658758379567089</v>
      </c>
      <c r="Q619" s="8">
        <f>(1788886*100)/6788946</f>
        <v>26.349981278389901</v>
      </c>
    </row>
    <row r="620" spans="1:17" x14ac:dyDescent="0.2">
      <c r="A620">
        <v>2011</v>
      </c>
      <c r="B620" t="s">
        <v>776</v>
      </c>
      <c r="C620" t="s">
        <v>65</v>
      </c>
      <c r="D620" t="s">
        <v>58</v>
      </c>
      <c r="E620">
        <v>6</v>
      </c>
      <c r="F620" t="s">
        <v>19</v>
      </c>
      <c r="G620" t="s">
        <v>352</v>
      </c>
      <c r="H620" t="s">
        <v>747</v>
      </c>
      <c r="I620" t="s">
        <v>22</v>
      </c>
      <c r="J620" t="s">
        <v>66</v>
      </c>
      <c r="K620" t="s">
        <v>24</v>
      </c>
      <c r="L620" t="s">
        <v>25</v>
      </c>
      <c r="M620" s="8">
        <v>1.3726666670000001</v>
      </c>
      <c r="N620" t="s">
        <v>26</v>
      </c>
      <c r="O620" s="8">
        <v>1.3726666670000001</v>
      </c>
      <c r="P620" s="8">
        <f>EXP(-1.363+3.366*LOG(O620,10))</f>
        <v>0.40658758379567089</v>
      </c>
      <c r="Q620" s="8">
        <f>(1788886*100)/6788946</f>
        <v>26.349981278389901</v>
      </c>
    </row>
    <row r="621" spans="1:17" x14ac:dyDescent="0.2">
      <c r="A621">
        <v>2011</v>
      </c>
      <c r="B621" t="s">
        <v>777</v>
      </c>
      <c r="C621" t="s">
        <v>65</v>
      </c>
      <c r="D621" t="s">
        <v>58</v>
      </c>
      <c r="E621">
        <v>6</v>
      </c>
      <c r="F621" t="s">
        <v>19</v>
      </c>
      <c r="G621" t="s">
        <v>352</v>
      </c>
      <c r="H621" t="s">
        <v>747</v>
      </c>
      <c r="I621" t="s">
        <v>22</v>
      </c>
      <c r="J621" t="s">
        <v>66</v>
      </c>
      <c r="K621" t="s">
        <v>24</v>
      </c>
      <c r="L621" t="s">
        <v>25</v>
      </c>
      <c r="M621" s="8">
        <v>1.3726666670000001</v>
      </c>
      <c r="N621" t="s">
        <v>26</v>
      </c>
      <c r="O621" s="8">
        <v>1.3726666670000001</v>
      </c>
      <c r="P621" s="8">
        <f>EXP(-1.363+3.366*LOG(O621,10))</f>
        <v>0.40658758379567089</v>
      </c>
      <c r="Q621" s="8">
        <f>(1788886*100)/6788946</f>
        <v>26.349981278389901</v>
      </c>
    </row>
    <row r="622" spans="1:17" x14ac:dyDescent="0.2">
      <c r="A622">
        <v>2011</v>
      </c>
      <c r="B622" t="s">
        <v>778</v>
      </c>
      <c r="C622" t="s">
        <v>65</v>
      </c>
      <c r="D622" t="s">
        <v>58</v>
      </c>
      <c r="E622">
        <v>6</v>
      </c>
      <c r="F622" t="s">
        <v>19</v>
      </c>
      <c r="G622" t="s">
        <v>352</v>
      </c>
      <c r="H622" t="s">
        <v>747</v>
      </c>
      <c r="I622" t="s">
        <v>22</v>
      </c>
      <c r="J622" t="s">
        <v>66</v>
      </c>
      <c r="K622" t="s">
        <v>24</v>
      </c>
      <c r="L622" t="s">
        <v>25</v>
      </c>
      <c r="M622" s="8">
        <v>1.3726666670000001</v>
      </c>
      <c r="N622" t="s">
        <v>26</v>
      </c>
      <c r="O622" s="8">
        <v>1.3726666670000001</v>
      </c>
      <c r="P622" s="8">
        <f>EXP(-1.363+3.366*LOG(O622,10))</f>
        <v>0.40658758379567089</v>
      </c>
      <c r="Q622" s="8">
        <f>(1788886*100)/6788946</f>
        <v>26.349981278389901</v>
      </c>
    </row>
    <row r="623" spans="1:17" x14ac:dyDescent="0.2">
      <c r="A623">
        <v>2011</v>
      </c>
      <c r="B623" t="s">
        <v>779</v>
      </c>
      <c r="C623" t="s">
        <v>65</v>
      </c>
      <c r="D623" t="s">
        <v>58</v>
      </c>
      <c r="E623">
        <v>6</v>
      </c>
      <c r="F623" t="s">
        <v>19</v>
      </c>
      <c r="G623" t="s">
        <v>352</v>
      </c>
      <c r="H623" t="s">
        <v>747</v>
      </c>
      <c r="I623" t="s">
        <v>22</v>
      </c>
      <c r="J623" t="s">
        <v>66</v>
      </c>
      <c r="K623" t="s">
        <v>24</v>
      </c>
      <c r="L623" t="s">
        <v>25</v>
      </c>
      <c r="M623" s="8">
        <v>1.3726666670000001</v>
      </c>
      <c r="N623" t="s">
        <v>26</v>
      </c>
      <c r="O623" s="8">
        <v>1.3726666670000001</v>
      </c>
      <c r="P623" s="8">
        <f>EXP(-1.363+3.366*LOG(O623,10))</f>
        <v>0.40658758379567089</v>
      </c>
      <c r="Q623" s="8">
        <f>(1788886*100)/6788946</f>
        <v>26.349981278389901</v>
      </c>
    </row>
    <row r="624" spans="1:17" x14ac:dyDescent="0.2">
      <c r="A624">
        <v>2011</v>
      </c>
      <c r="B624" t="s">
        <v>780</v>
      </c>
      <c r="C624" t="s">
        <v>57</v>
      </c>
      <c r="D624" t="s">
        <v>71</v>
      </c>
      <c r="E624">
        <v>7</v>
      </c>
      <c r="F624" t="s">
        <v>19</v>
      </c>
      <c r="G624" t="s">
        <v>352</v>
      </c>
      <c r="H624" t="s">
        <v>747</v>
      </c>
      <c r="I624" t="s">
        <v>22</v>
      </c>
      <c r="J624" t="s">
        <v>31</v>
      </c>
      <c r="K624" t="s">
        <v>24</v>
      </c>
      <c r="L624" t="s">
        <v>25</v>
      </c>
      <c r="M624" s="8">
        <v>1.3726666670000001</v>
      </c>
      <c r="N624" t="s">
        <v>26</v>
      </c>
      <c r="O624" s="8">
        <v>1.3726666670000001</v>
      </c>
      <c r="P624" s="8">
        <f>EXP(-1.363+3.366*LOG(O624,10))</f>
        <v>0.40658758379567089</v>
      </c>
      <c r="Q624" s="8">
        <f>(321151.3*100)/5927002</f>
        <v>5.4184442657518925</v>
      </c>
    </row>
    <row r="625" spans="1:17" x14ac:dyDescent="0.2">
      <c r="A625">
        <v>2011</v>
      </c>
      <c r="B625" t="s">
        <v>781</v>
      </c>
      <c r="C625" t="s">
        <v>57</v>
      </c>
      <c r="D625" t="s">
        <v>71</v>
      </c>
      <c r="E625">
        <v>7</v>
      </c>
      <c r="F625" t="s">
        <v>19</v>
      </c>
      <c r="G625" t="s">
        <v>352</v>
      </c>
      <c r="H625" t="s">
        <v>747</v>
      </c>
      <c r="I625" t="s">
        <v>22</v>
      </c>
      <c r="J625" t="s">
        <v>31</v>
      </c>
      <c r="K625" t="s">
        <v>24</v>
      </c>
      <c r="L625" t="s">
        <v>25</v>
      </c>
      <c r="M625" s="8">
        <v>1.3726666670000001</v>
      </c>
      <c r="N625" t="s">
        <v>26</v>
      </c>
      <c r="O625" s="8">
        <v>1.3726666670000001</v>
      </c>
      <c r="P625" s="8">
        <f>EXP(-1.363+3.366*LOG(O625,10))</f>
        <v>0.40658758379567089</v>
      </c>
      <c r="Q625" s="8">
        <f>(321151.3*100)/5927002</f>
        <v>5.4184442657518925</v>
      </c>
    </row>
    <row r="626" spans="1:17" x14ac:dyDescent="0.2">
      <c r="A626">
        <v>2011</v>
      </c>
      <c r="B626" t="s">
        <v>782</v>
      </c>
      <c r="C626" t="s">
        <v>57</v>
      </c>
      <c r="D626" t="s">
        <v>71</v>
      </c>
      <c r="E626">
        <v>7</v>
      </c>
      <c r="F626" t="s">
        <v>19</v>
      </c>
      <c r="G626" t="s">
        <v>352</v>
      </c>
      <c r="H626" t="s">
        <v>747</v>
      </c>
      <c r="I626" t="s">
        <v>22</v>
      </c>
      <c r="J626" t="s">
        <v>31</v>
      </c>
      <c r="K626" t="s">
        <v>24</v>
      </c>
      <c r="L626" t="s">
        <v>25</v>
      </c>
      <c r="M626" s="8">
        <v>1.3726666670000001</v>
      </c>
      <c r="N626" t="s">
        <v>26</v>
      </c>
      <c r="O626" s="8">
        <v>1.3726666670000001</v>
      </c>
      <c r="P626" s="8">
        <f>EXP(-1.363+3.366*LOG(O626,10))</f>
        <v>0.40658758379567089</v>
      </c>
      <c r="Q626" s="8">
        <f>(321151.3*100)/5927002</f>
        <v>5.4184442657518925</v>
      </c>
    </row>
    <row r="627" spans="1:17" x14ac:dyDescent="0.2">
      <c r="A627">
        <v>2011</v>
      </c>
      <c r="B627" t="s">
        <v>783</v>
      </c>
      <c r="C627" t="s">
        <v>60</v>
      </c>
      <c r="D627" t="s">
        <v>61</v>
      </c>
      <c r="E627">
        <v>6</v>
      </c>
      <c r="F627" t="s">
        <v>19</v>
      </c>
      <c r="G627" t="s">
        <v>352</v>
      </c>
      <c r="H627" t="s">
        <v>747</v>
      </c>
      <c r="I627" t="s">
        <v>22</v>
      </c>
      <c r="J627" t="s">
        <v>31</v>
      </c>
      <c r="K627" t="s">
        <v>24</v>
      </c>
      <c r="L627" t="s">
        <v>25</v>
      </c>
      <c r="M627" s="8">
        <v>1.3726666670000001</v>
      </c>
      <c r="N627" t="s">
        <v>26</v>
      </c>
      <c r="O627" s="8">
        <v>1.3726666670000001</v>
      </c>
      <c r="P627" s="8">
        <f>EXP(-1.363+3.366*LOG(O627,10))</f>
        <v>0.40658758379567089</v>
      </c>
      <c r="Q627" s="8">
        <f>(27433.05*100)/7611378</f>
        <v>0.36042159514348127</v>
      </c>
    </row>
    <row r="628" spans="1:17" x14ac:dyDescent="0.2">
      <c r="A628">
        <v>2011</v>
      </c>
      <c r="B628" t="s">
        <v>784</v>
      </c>
      <c r="C628" t="s">
        <v>120</v>
      </c>
      <c r="D628" t="s">
        <v>71</v>
      </c>
      <c r="E628">
        <v>7</v>
      </c>
      <c r="F628" t="s">
        <v>19</v>
      </c>
      <c r="G628" t="s">
        <v>352</v>
      </c>
      <c r="H628" t="s">
        <v>747</v>
      </c>
      <c r="I628" t="s">
        <v>22</v>
      </c>
      <c r="J628" t="s">
        <v>23</v>
      </c>
      <c r="K628" t="s">
        <v>24</v>
      </c>
      <c r="L628" t="s">
        <v>25</v>
      </c>
      <c r="M628" s="8">
        <v>1.3726666670000001</v>
      </c>
      <c r="N628" t="s">
        <v>26</v>
      </c>
      <c r="O628" s="8">
        <v>1.3726666670000001</v>
      </c>
      <c r="P628" s="8">
        <f>EXP(-1.363+3.366*LOG(O628,10))</f>
        <v>0.40658758379567089</v>
      </c>
      <c r="Q628" s="8">
        <f>(2256192*100)/6055896</f>
        <v>37.256121967748456</v>
      </c>
    </row>
    <row r="629" spans="1:17" x14ac:dyDescent="0.2">
      <c r="A629">
        <v>2011</v>
      </c>
      <c r="B629" t="s">
        <v>785</v>
      </c>
      <c r="C629" t="s">
        <v>65</v>
      </c>
      <c r="D629" t="s">
        <v>71</v>
      </c>
      <c r="E629">
        <v>7</v>
      </c>
      <c r="F629" t="s">
        <v>19</v>
      </c>
      <c r="G629" t="s">
        <v>352</v>
      </c>
      <c r="H629" t="s">
        <v>747</v>
      </c>
      <c r="I629" t="s">
        <v>22</v>
      </c>
      <c r="J629" t="s">
        <v>66</v>
      </c>
      <c r="K629" t="s">
        <v>24</v>
      </c>
      <c r="L629" t="s">
        <v>25</v>
      </c>
      <c r="M629" s="8">
        <v>1.3726666670000001</v>
      </c>
      <c r="N629" t="s">
        <v>26</v>
      </c>
      <c r="O629" s="8">
        <v>1.3726666670000001</v>
      </c>
      <c r="P629" s="8">
        <f>EXP(-1.363+3.366*LOG(O629,10))</f>
        <v>0.40658758379567089</v>
      </c>
      <c r="Q629" s="8">
        <f>(1788886*100)/6788946</f>
        <v>26.349981278389901</v>
      </c>
    </row>
    <row r="630" spans="1:17" x14ac:dyDescent="0.2">
      <c r="A630">
        <v>2011</v>
      </c>
      <c r="B630" t="s">
        <v>786</v>
      </c>
      <c r="C630" t="s">
        <v>65</v>
      </c>
      <c r="D630" t="s">
        <v>71</v>
      </c>
      <c r="E630">
        <v>7</v>
      </c>
      <c r="F630" t="s">
        <v>19</v>
      </c>
      <c r="G630" t="s">
        <v>352</v>
      </c>
      <c r="H630" t="s">
        <v>747</v>
      </c>
      <c r="I630" t="s">
        <v>22</v>
      </c>
      <c r="J630" t="s">
        <v>66</v>
      </c>
      <c r="K630" t="s">
        <v>24</v>
      </c>
      <c r="L630" t="s">
        <v>25</v>
      </c>
      <c r="M630" s="8">
        <v>1.3726666670000001</v>
      </c>
      <c r="N630" t="s">
        <v>26</v>
      </c>
      <c r="O630" s="8">
        <v>1.3726666670000001</v>
      </c>
      <c r="P630" s="8">
        <f>EXP(-1.363+3.366*LOG(O630,10))</f>
        <v>0.40658758379567089</v>
      </c>
      <c r="Q630" s="8">
        <f>(1788886*100)/6788946</f>
        <v>26.349981278389901</v>
      </c>
    </row>
    <row r="631" spans="1:17" x14ac:dyDescent="0.2">
      <c r="A631">
        <v>2011</v>
      </c>
      <c r="B631" t="s">
        <v>787</v>
      </c>
      <c r="C631" t="s">
        <v>65</v>
      </c>
      <c r="D631" t="s">
        <v>71</v>
      </c>
      <c r="E631">
        <v>7</v>
      </c>
      <c r="F631" t="s">
        <v>19</v>
      </c>
      <c r="G631" t="s">
        <v>352</v>
      </c>
      <c r="H631" t="s">
        <v>747</v>
      </c>
      <c r="I631" t="s">
        <v>22</v>
      </c>
      <c r="J631" t="s">
        <v>66</v>
      </c>
      <c r="K631" t="s">
        <v>24</v>
      </c>
      <c r="L631" t="s">
        <v>25</v>
      </c>
      <c r="M631" s="8">
        <v>1.3726666670000001</v>
      </c>
      <c r="N631" t="s">
        <v>26</v>
      </c>
      <c r="O631" s="8">
        <v>1.3726666670000001</v>
      </c>
      <c r="P631" s="8">
        <f>EXP(-1.363+3.366*LOG(O631,10))</f>
        <v>0.40658758379567089</v>
      </c>
      <c r="Q631" s="8">
        <f>(1788886*100)/6788946</f>
        <v>26.349981278389901</v>
      </c>
    </row>
    <row r="632" spans="1:17" x14ac:dyDescent="0.2">
      <c r="A632">
        <v>2011</v>
      </c>
      <c r="B632" t="s">
        <v>788</v>
      </c>
      <c r="C632" t="s">
        <v>65</v>
      </c>
      <c r="D632" t="s">
        <v>71</v>
      </c>
      <c r="E632">
        <v>7</v>
      </c>
      <c r="F632" t="s">
        <v>19</v>
      </c>
      <c r="G632" t="s">
        <v>352</v>
      </c>
      <c r="H632" t="s">
        <v>747</v>
      </c>
      <c r="I632" t="s">
        <v>22</v>
      </c>
      <c r="J632" t="s">
        <v>66</v>
      </c>
      <c r="K632" t="s">
        <v>24</v>
      </c>
      <c r="L632" t="s">
        <v>25</v>
      </c>
      <c r="M632" s="8">
        <v>1.3726666670000001</v>
      </c>
      <c r="N632" t="s">
        <v>26</v>
      </c>
      <c r="O632" s="8">
        <v>1.3726666670000001</v>
      </c>
      <c r="P632" s="8">
        <f>EXP(-1.363+3.366*LOG(O632,10))</f>
        <v>0.40658758379567089</v>
      </c>
      <c r="Q632" s="8">
        <f>(1788886*100)/6788946</f>
        <v>26.349981278389901</v>
      </c>
    </row>
    <row r="633" spans="1:17" x14ac:dyDescent="0.2">
      <c r="A633">
        <v>2011</v>
      </c>
      <c r="B633" t="s">
        <v>789</v>
      </c>
      <c r="C633" t="s">
        <v>65</v>
      </c>
      <c r="D633" t="s">
        <v>71</v>
      </c>
      <c r="E633">
        <v>7</v>
      </c>
      <c r="F633" t="s">
        <v>19</v>
      </c>
      <c r="G633" t="s">
        <v>352</v>
      </c>
      <c r="H633" t="s">
        <v>747</v>
      </c>
      <c r="I633" t="s">
        <v>22</v>
      </c>
      <c r="J633" t="s">
        <v>66</v>
      </c>
      <c r="K633" t="s">
        <v>24</v>
      </c>
      <c r="L633" t="s">
        <v>25</v>
      </c>
      <c r="M633" s="8">
        <v>1.3726666670000001</v>
      </c>
      <c r="N633" t="s">
        <v>26</v>
      </c>
      <c r="O633" s="8">
        <v>1.3726666670000001</v>
      </c>
      <c r="P633" s="8">
        <f>EXP(-1.363+3.366*LOG(O633,10))</f>
        <v>0.40658758379567089</v>
      </c>
      <c r="Q633" s="8">
        <f>(1788886*100)/6788946</f>
        <v>26.349981278389901</v>
      </c>
    </row>
    <row r="634" spans="1:17" x14ac:dyDescent="0.2">
      <c r="A634">
        <v>2011</v>
      </c>
      <c r="B634" t="s">
        <v>790</v>
      </c>
      <c r="C634" t="s">
        <v>65</v>
      </c>
      <c r="D634" t="s">
        <v>71</v>
      </c>
      <c r="E634">
        <v>7</v>
      </c>
      <c r="F634" t="s">
        <v>19</v>
      </c>
      <c r="G634" t="s">
        <v>352</v>
      </c>
      <c r="H634" t="s">
        <v>747</v>
      </c>
      <c r="I634" t="s">
        <v>22</v>
      </c>
      <c r="J634" t="s">
        <v>66</v>
      </c>
      <c r="K634" t="s">
        <v>24</v>
      </c>
      <c r="L634" t="s">
        <v>25</v>
      </c>
      <c r="M634" s="8">
        <v>1.3726666670000001</v>
      </c>
      <c r="N634" t="s">
        <v>26</v>
      </c>
      <c r="O634" s="8">
        <v>1.3726666670000001</v>
      </c>
      <c r="P634" s="8">
        <f>EXP(-1.363+3.366*LOG(O634,10))</f>
        <v>0.40658758379567089</v>
      </c>
      <c r="Q634" s="8">
        <f>(1788886*100)/6788946</f>
        <v>26.349981278389901</v>
      </c>
    </row>
    <row r="635" spans="1:17" x14ac:dyDescent="0.2">
      <c r="A635">
        <v>2011</v>
      </c>
      <c r="B635" t="s">
        <v>791</v>
      </c>
      <c r="C635" t="s">
        <v>65</v>
      </c>
      <c r="D635" t="s">
        <v>71</v>
      </c>
      <c r="E635">
        <v>7</v>
      </c>
      <c r="F635" t="s">
        <v>19</v>
      </c>
      <c r="G635" t="s">
        <v>352</v>
      </c>
      <c r="H635" t="s">
        <v>747</v>
      </c>
      <c r="I635" t="s">
        <v>22</v>
      </c>
      <c r="J635" t="s">
        <v>66</v>
      </c>
      <c r="K635" t="s">
        <v>24</v>
      </c>
      <c r="L635" t="s">
        <v>25</v>
      </c>
      <c r="M635" s="8">
        <v>1.3726666670000001</v>
      </c>
      <c r="N635" t="s">
        <v>26</v>
      </c>
      <c r="O635" s="8">
        <v>1.3726666670000001</v>
      </c>
      <c r="P635" s="8">
        <f>EXP(-1.363+3.366*LOG(O635,10))</f>
        <v>0.40658758379567089</v>
      </c>
      <c r="Q635" s="8">
        <f>(1788886*100)/6788946</f>
        <v>26.349981278389901</v>
      </c>
    </row>
    <row r="636" spans="1:17" x14ac:dyDescent="0.2">
      <c r="A636">
        <v>2011</v>
      </c>
      <c r="B636" t="s">
        <v>792</v>
      </c>
      <c r="C636" t="s">
        <v>65</v>
      </c>
      <c r="D636" t="s">
        <v>71</v>
      </c>
      <c r="E636">
        <v>7</v>
      </c>
      <c r="F636" t="s">
        <v>19</v>
      </c>
      <c r="G636" t="s">
        <v>352</v>
      </c>
      <c r="H636" t="s">
        <v>747</v>
      </c>
      <c r="I636" t="s">
        <v>22</v>
      </c>
      <c r="J636" t="s">
        <v>66</v>
      </c>
      <c r="K636" t="s">
        <v>24</v>
      </c>
      <c r="L636" t="s">
        <v>25</v>
      </c>
      <c r="M636" s="8">
        <v>1.3726666670000001</v>
      </c>
      <c r="N636" t="s">
        <v>26</v>
      </c>
      <c r="O636" s="8">
        <v>1.3726666670000001</v>
      </c>
      <c r="P636" s="8">
        <f>EXP(-1.363+3.366*LOG(O636,10))</f>
        <v>0.40658758379567089</v>
      </c>
      <c r="Q636" s="8">
        <f>(1788886*100)/6788946</f>
        <v>26.349981278389901</v>
      </c>
    </row>
    <row r="637" spans="1:17" x14ac:dyDescent="0.2">
      <c r="A637">
        <v>2011</v>
      </c>
      <c r="B637" t="s">
        <v>793</v>
      </c>
      <c r="C637" t="s">
        <v>65</v>
      </c>
      <c r="D637" t="s">
        <v>71</v>
      </c>
      <c r="E637">
        <v>7</v>
      </c>
      <c r="F637" t="s">
        <v>19</v>
      </c>
      <c r="G637" t="s">
        <v>352</v>
      </c>
      <c r="H637" t="s">
        <v>747</v>
      </c>
      <c r="I637" t="s">
        <v>22</v>
      </c>
      <c r="J637" t="s">
        <v>66</v>
      </c>
      <c r="K637" t="s">
        <v>24</v>
      </c>
      <c r="L637" t="s">
        <v>25</v>
      </c>
      <c r="M637" s="8">
        <v>1.3726666670000001</v>
      </c>
      <c r="N637" t="s">
        <v>26</v>
      </c>
      <c r="O637" s="8">
        <v>1.3726666670000001</v>
      </c>
      <c r="P637" s="8">
        <f>EXP(-1.363+3.366*LOG(O637,10))</f>
        <v>0.40658758379567089</v>
      </c>
      <c r="Q637" s="8">
        <f>(1788886*100)/6788946</f>
        <v>26.349981278389901</v>
      </c>
    </row>
    <row r="638" spans="1:17" x14ac:dyDescent="0.2">
      <c r="A638">
        <v>2011</v>
      </c>
      <c r="B638" t="s">
        <v>794</v>
      </c>
      <c r="C638" t="s">
        <v>65</v>
      </c>
      <c r="D638" t="s">
        <v>71</v>
      </c>
      <c r="E638">
        <v>7</v>
      </c>
      <c r="F638" t="s">
        <v>19</v>
      </c>
      <c r="G638" t="s">
        <v>352</v>
      </c>
      <c r="H638" t="s">
        <v>747</v>
      </c>
      <c r="I638" t="s">
        <v>22</v>
      </c>
      <c r="J638" t="s">
        <v>66</v>
      </c>
      <c r="K638" t="s">
        <v>24</v>
      </c>
      <c r="L638" t="s">
        <v>25</v>
      </c>
      <c r="M638" s="8">
        <v>1.3726666670000001</v>
      </c>
      <c r="N638" t="s">
        <v>26</v>
      </c>
      <c r="O638" s="8">
        <v>1.3726666670000001</v>
      </c>
      <c r="P638" s="8">
        <f>EXP(-1.363+3.366*LOG(O638,10))</f>
        <v>0.40658758379567089</v>
      </c>
      <c r="Q638" s="8">
        <f>(1788886*100)/6788946</f>
        <v>26.349981278389901</v>
      </c>
    </row>
    <row r="639" spans="1:17" x14ac:dyDescent="0.2">
      <c r="A639">
        <v>2011</v>
      </c>
      <c r="B639" t="s">
        <v>795</v>
      </c>
      <c r="C639" t="s">
        <v>65</v>
      </c>
      <c r="D639" t="s">
        <v>71</v>
      </c>
      <c r="E639">
        <v>7</v>
      </c>
      <c r="F639" t="s">
        <v>19</v>
      </c>
      <c r="G639" t="s">
        <v>352</v>
      </c>
      <c r="H639" t="s">
        <v>747</v>
      </c>
      <c r="I639" t="s">
        <v>22</v>
      </c>
      <c r="J639" t="s">
        <v>66</v>
      </c>
      <c r="K639" t="s">
        <v>24</v>
      </c>
      <c r="L639" t="s">
        <v>25</v>
      </c>
      <c r="M639" s="8">
        <v>1.3726666670000001</v>
      </c>
      <c r="N639" t="s">
        <v>26</v>
      </c>
      <c r="O639" s="8">
        <v>1.3726666670000001</v>
      </c>
      <c r="P639" s="8">
        <f>EXP(-1.363+3.366*LOG(O639,10))</f>
        <v>0.40658758379567089</v>
      </c>
      <c r="Q639" s="8">
        <f>(1788886*100)/6788946</f>
        <v>26.349981278389901</v>
      </c>
    </row>
    <row r="640" spans="1:17" x14ac:dyDescent="0.2">
      <c r="A640">
        <v>2011</v>
      </c>
      <c r="B640" t="s">
        <v>796</v>
      </c>
      <c r="C640" t="s">
        <v>65</v>
      </c>
      <c r="D640" t="s">
        <v>71</v>
      </c>
      <c r="E640">
        <v>7</v>
      </c>
      <c r="F640" t="s">
        <v>19</v>
      </c>
      <c r="G640" t="s">
        <v>352</v>
      </c>
      <c r="H640" t="s">
        <v>747</v>
      </c>
      <c r="I640" t="s">
        <v>22</v>
      </c>
      <c r="J640" t="s">
        <v>66</v>
      </c>
      <c r="K640" t="s">
        <v>24</v>
      </c>
      <c r="L640" t="s">
        <v>25</v>
      </c>
      <c r="M640" s="8">
        <v>1.3726666670000001</v>
      </c>
      <c r="N640" t="s">
        <v>26</v>
      </c>
      <c r="O640" s="8">
        <v>1.3726666670000001</v>
      </c>
      <c r="P640" s="8">
        <f>EXP(-1.363+3.366*LOG(O640,10))</f>
        <v>0.40658758379567089</v>
      </c>
      <c r="Q640" s="8">
        <f>(1788886*100)/6788946</f>
        <v>26.349981278389901</v>
      </c>
    </row>
    <row r="641" spans="1:17" x14ac:dyDescent="0.2">
      <c r="A641">
        <v>2011</v>
      </c>
      <c r="B641" t="s">
        <v>797</v>
      </c>
      <c r="C641" t="s">
        <v>65</v>
      </c>
      <c r="D641" t="s">
        <v>71</v>
      </c>
      <c r="E641">
        <v>7</v>
      </c>
      <c r="F641" t="s">
        <v>19</v>
      </c>
      <c r="G641" t="s">
        <v>352</v>
      </c>
      <c r="H641" t="s">
        <v>747</v>
      </c>
      <c r="I641" t="s">
        <v>22</v>
      </c>
      <c r="J641" t="s">
        <v>66</v>
      </c>
      <c r="K641" t="s">
        <v>24</v>
      </c>
      <c r="L641" t="s">
        <v>25</v>
      </c>
      <c r="M641" s="8">
        <v>1.3726666670000001</v>
      </c>
      <c r="N641" t="s">
        <v>26</v>
      </c>
      <c r="O641" s="8">
        <v>1.3726666670000001</v>
      </c>
      <c r="P641" s="8">
        <f>EXP(-1.363+3.366*LOG(O641,10))</f>
        <v>0.40658758379567089</v>
      </c>
      <c r="Q641" s="8">
        <f>(1788886*100)/6788946</f>
        <v>26.349981278389901</v>
      </c>
    </row>
    <row r="642" spans="1:17" x14ac:dyDescent="0.2">
      <c r="A642">
        <v>2011</v>
      </c>
      <c r="B642" t="s">
        <v>798</v>
      </c>
      <c r="C642" t="s">
        <v>65</v>
      </c>
      <c r="D642" t="s">
        <v>71</v>
      </c>
      <c r="E642">
        <v>7</v>
      </c>
      <c r="F642" t="s">
        <v>19</v>
      </c>
      <c r="G642" t="s">
        <v>352</v>
      </c>
      <c r="H642" t="s">
        <v>747</v>
      </c>
      <c r="I642" t="s">
        <v>22</v>
      </c>
      <c r="J642" t="s">
        <v>66</v>
      </c>
      <c r="K642" t="s">
        <v>24</v>
      </c>
      <c r="L642" t="s">
        <v>25</v>
      </c>
      <c r="M642" s="8">
        <v>1.3726666670000001</v>
      </c>
      <c r="N642" t="s">
        <v>26</v>
      </c>
      <c r="O642" s="8">
        <v>1.3726666670000001</v>
      </c>
      <c r="P642" s="8">
        <f>EXP(-1.363+3.366*LOG(O642,10))</f>
        <v>0.40658758379567089</v>
      </c>
      <c r="Q642" s="8">
        <f>(1788886*100)/6788946</f>
        <v>26.349981278389901</v>
      </c>
    </row>
    <row r="643" spans="1:17" x14ac:dyDescent="0.2">
      <c r="A643">
        <v>2011</v>
      </c>
      <c r="B643" t="s">
        <v>799</v>
      </c>
      <c r="C643" t="s">
        <v>65</v>
      </c>
      <c r="D643" t="s">
        <v>71</v>
      </c>
      <c r="E643">
        <v>7</v>
      </c>
      <c r="F643" t="s">
        <v>19</v>
      </c>
      <c r="G643" t="s">
        <v>352</v>
      </c>
      <c r="H643" t="s">
        <v>747</v>
      </c>
      <c r="I643" t="s">
        <v>22</v>
      </c>
      <c r="J643" t="s">
        <v>66</v>
      </c>
      <c r="K643" t="s">
        <v>24</v>
      </c>
      <c r="L643" t="s">
        <v>25</v>
      </c>
      <c r="M643" s="8">
        <v>1.3726666670000001</v>
      </c>
      <c r="N643" t="s">
        <v>26</v>
      </c>
      <c r="O643" s="8">
        <v>1.3726666670000001</v>
      </c>
      <c r="P643" s="8">
        <f>EXP(-1.363+3.366*LOG(O643,10))</f>
        <v>0.40658758379567089</v>
      </c>
      <c r="Q643" s="8">
        <f>(1788886*100)/6788946</f>
        <v>26.349981278389901</v>
      </c>
    </row>
    <row r="644" spans="1:17" x14ac:dyDescent="0.2">
      <c r="A644">
        <v>2011</v>
      </c>
      <c r="B644" t="s">
        <v>800</v>
      </c>
      <c r="C644" t="s">
        <v>65</v>
      </c>
      <c r="D644" t="s">
        <v>71</v>
      </c>
      <c r="E644">
        <v>7</v>
      </c>
      <c r="F644" t="s">
        <v>19</v>
      </c>
      <c r="G644" t="s">
        <v>352</v>
      </c>
      <c r="H644" t="s">
        <v>747</v>
      </c>
      <c r="I644" t="s">
        <v>22</v>
      </c>
      <c r="J644" t="s">
        <v>66</v>
      </c>
      <c r="K644" t="s">
        <v>24</v>
      </c>
      <c r="L644" t="s">
        <v>25</v>
      </c>
      <c r="M644" s="8">
        <v>1.3726666670000001</v>
      </c>
      <c r="N644" t="s">
        <v>26</v>
      </c>
      <c r="O644" s="8">
        <v>1.3726666670000001</v>
      </c>
      <c r="P644" s="8">
        <f>EXP(-1.363+3.366*LOG(O644,10))</f>
        <v>0.40658758379567089</v>
      </c>
      <c r="Q644" s="8">
        <f>(1788886*100)/6788946</f>
        <v>26.349981278389901</v>
      </c>
    </row>
    <row r="645" spans="1:17" x14ac:dyDescent="0.2">
      <c r="A645">
        <v>2011</v>
      </c>
      <c r="B645" t="s">
        <v>801</v>
      </c>
      <c r="C645" t="s">
        <v>65</v>
      </c>
      <c r="D645" t="s">
        <v>71</v>
      </c>
      <c r="E645">
        <v>7</v>
      </c>
      <c r="F645" t="s">
        <v>19</v>
      </c>
      <c r="G645" t="s">
        <v>352</v>
      </c>
      <c r="H645" t="s">
        <v>747</v>
      </c>
      <c r="I645" t="s">
        <v>22</v>
      </c>
      <c r="J645" t="s">
        <v>66</v>
      </c>
      <c r="K645" t="s">
        <v>24</v>
      </c>
      <c r="L645" t="s">
        <v>25</v>
      </c>
      <c r="M645" s="8">
        <v>1.3726666670000001</v>
      </c>
      <c r="N645" t="s">
        <v>26</v>
      </c>
      <c r="O645" s="8">
        <v>1.3726666670000001</v>
      </c>
      <c r="P645" s="8">
        <f>EXP(-1.363+3.366*LOG(O645,10))</f>
        <v>0.40658758379567089</v>
      </c>
      <c r="Q645" s="8">
        <f>(1788886*100)/6788946</f>
        <v>26.349981278389901</v>
      </c>
    </row>
    <row r="646" spans="1:17" x14ac:dyDescent="0.2">
      <c r="A646">
        <v>2011</v>
      </c>
      <c r="B646" t="s">
        <v>802</v>
      </c>
      <c r="C646" t="s">
        <v>65</v>
      </c>
      <c r="D646" t="s">
        <v>71</v>
      </c>
      <c r="E646">
        <v>7</v>
      </c>
      <c r="F646" t="s">
        <v>19</v>
      </c>
      <c r="G646" t="s">
        <v>352</v>
      </c>
      <c r="H646" t="s">
        <v>747</v>
      </c>
      <c r="I646" t="s">
        <v>22</v>
      </c>
      <c r="J646" t="s">
        <v>66</v>
      </c>
      <c r="K646" t="s">
        <v>24</v>
      </c>
      <c r="L646" t="s">
        <v>25</v>
      </c>
      <c r="M646" s="8">
        <v>1.3726666670000001</v>
      </c>
      <c r="N646" t="s">
        <v>26</v>
      </c>
      <c r="O646" s="8">
        <v>1.3726666670000001</v>
      </c>
      <c r="P646" s="8">
        <f>EXP(-1.363+3.366*LOG(O646,10))</f>
        <v>0.40658758379567089</v>
      </c>
      <c r="Q646" s="8">
        <f>(1788886*100)/6788946</f>
        <v>26.349981278389901</v>
      </c>
    </row>
    <row r="647" spans="1:17" x14ac:dyDescent="0.2">
      <c r="A647">
        <v>2011</v>
      </c>
      <c r="B647" t="s">
        <v>803</v>
      </c>
      <c r="C647" t="s">
        <v>65</v>
      </c>
      <c r="D647" t="s">
        <v>71</v>
      </c>
      <c r="E647">
        <v>7</v>
      </c>
      <c r="F647" t="s">
        <v>19</v>
      </c>
      <c r="G647" t="s">
        <v>352</v>
      </c>
      <c r="H647" t="s">
        <v>747</v>
      </c>
      <c r="I647" t="s">
        <v>22</v>
      </c>
      <c r="J647" t="s">
        <v>66</v>
      </c>
      <c r="K647" t="s">
        <v>24</v>
      </c>
      <c r="L647" t="s">
        <v>25</v>
      </c>
      <c r="M647" s="8">
        <v>1.3726666670000001</v>
      </c>
      <c r="N647" t="s">
        <v>26</v>
      </c>
      <c r="O647" s="8">
        <v>1.3726666670000001</v>
      </c>
      <c r="P647" s="8">
        <f>EXP(-1.363+3.366*LOG(O647,10))</f>
        <v>0.40658758379567089</v>
      </c>
      <c r="Q647" s="8">
        <f>(1788886*100)/6788946</f>
        <v>26.349981278389901</v>
      </c>
    </row>
    <row r="648" spans="1:17" x14ac:dyDescent="0.2">
      <c r="A648">
        <v>2011</v>
      </c>
      <c r="B648" t="s">
        <v>804</v>
      </c>
      <c r="C648" t="s">
        <v>65</v>
      </c>
      <c r="D648" t="s">
        <v>71</v>
      </c>
      <c r="E648">
        <v>7</v>
      </c>
      <c r="F648" t="s">
        <v>19</v>
      </c>
      <c r="G648" t="s">
        <v>352</v>
      </c>
      <c r="H648" t="s">
        <v>747</v>
      </c>
      <c r="I648" t="s">
        <v>22</v>
      </c>
      <c r="J648" t="s">
        <v>66</v>
      </c>
      <c r="K648" t="s">
        <v>24</v>
      </c>
      <c r="L648" t="s">
        <v>25</v>
      </c>
      <c r="M648" s="8">
        <v>1.3726666670000001</v>
      </c>
      <c r="N648" t="s">
        <v>26</v>
      </c>
      <c r="O648" s="8">
        <v>1.3726666670000001</v>
      </c>
      <c r="P648" s="8">
        <f>EXP(-1.363+3.366*LOG(O648,10))</f>
        <v>0.40658758379567089</v>
      </c>
      <c r="Q648" s="8">
        <f>(1788886*100)/6788946</f>
        <v>26.349981278389901</v>
      </c>
    </row>
    <row r="649" spans="1:17" x14ac:dyDescent="0.2">
      <c r="A649">
        <v>2011</v>
      </c>
      <c r="B649" t="s">
        <v>805</v>
      </c>
      <c r="C649" t="s">
        <v>65</v>
      </c>
      <c r="D649" t="s">
        <v>71</v>
      </c>
      <c r="E649">
        <v>7</v>
      </c>
      <c r="F649" t="s">
        <v>19</v>
      </c>
      <c r="G649" t="s">
        <v>352</v>
      </c>
      <c r="H649" t="s">
        <v>747</v>
      </c>
      <c r="I649" t="s">
        <v>22</v>
      </c>
      <c r="J649" t="s">
        <v>66</v>
      </c>
      <c r="K649" t="s">
        <v>24</v>
      </c>
      <c r="L649" t="s">
        <v>25</v>
      </c>
      <c r="M649" s="8">
        <v>1.3726666670000001</v>
      </c>
      <c r="N649" t="s">
        <v>26</v>
      </c>
      <c r="O649" s="8">
        <v>1.3726666670000001</v>
      </c>
      <c r="P649" s="8">
        <f>EXP(-1.363+3.366*LOG(O649,10))</f>
        <v>0.40658758379567089</v>
      </c>
      <c r="Q649" s="8">
        <f>(1788886*100)/6788946</f>
        <v>26.349981278389901</v>
      </c>
    </row>
    <row r="650" spans="1:17" x14ac:dyDescent="0.2">
      <c r="A650">
        <v>2011</v>
      </c>
      <c r="B650" t="s">
        <v>806</v>
      </c>
      <c r="C650" t="s">
        <v>65</v>
      </c>
      <c r="D650" t="s">
        <v>71</v>
      </c>
      <c r="E650">
        <v>7</v>
      </c>
      <c r="F650" t="s">
        <v>19</v>
      </c>
      <c r="G650" t="s">
        <v>352</v>
      </c>
      <c r="H650" t="s">
        <v>747</v>
      </c>
      <c r="I650" t="s">
        <v>22</v>
      </c>
      <c r="J650" t="s">
        <v>66</v>
      </c>
      <c r="K650" t="s">
        <v>24</v>
      </c>
      <c r="L650" t="s">
        <v>25</v>
      </c>
      <c r="M650" s="8">
        <v>1.3726666670000001</v>
      </c>
      <c r="N650" t="s">
        <v>26</v>
      </c>
      <c r="O650" s="8">
        <v>1.3726666670000001</v>
      </c>
      <c r="P650" s="8">
        <f>EXP(-1.363+3.366*LOG(O650,10))</f>
        <v>0.40658758379567089</v>
      </c>
      <c r="Q650" s="8">
        <f>(1788886*100)/6788946</f>
        <v>26.349981278389901</v>
      </c>
    </row>
    <row r="651" spans="1:17" x14ac:dyDescent="0.2">
      <c r="A651">
        <v>2011</v>
      </c>
      <c r="B651" t="s">
        <v>807</v>
      </c>
      <c r="C651" t="s">
        <v>65</v>
      </c>
      <c r="D651" t="s">
        <v>71</v>
      </c>
      <c r="E651">
        <v>7</v>
      </c>
      <c r="F651" t="s">
        <v>19</v>
      </c>
      <c r="G651" t="s">
        <v>352</v>
      </c>
      <c r="H651" t="s">
        <v>747</v>
      </c>
      <c r="I651" t="s">
        <v>22</v>
      </c>
      <c r="J651" t="s">
        <v>66</v>
      </c>
      <c r="K651" t="s">
        <v>24</v>
      </c>
      <c r="L651" t="s">
        <v>25</v>
      </c>
      <c r="M651" s="8">
        <v>1.3726666670000001</v>
      </c>
      <c r="N651" t="s">
        <v>26</v>
      </c>
      <c r="O651" s="8">
        <v>1.3726666670000001</v>
      </c>
      <c r="P651" s="8">
        <f>EXP(-1.363+3.366*LOG(O651,10))</f>
        <v>0.40658758379567089</v>
      </c>
      <c r="Q651" s="8">
        <f>(1788886*100)/6788946</f>
        <v>26.349981278389901</v>
      </c>
    </row>
    <row r="652" spans="1:17" x14ac:dyDescent="0.2">
      <c r="A652">
        <v>2011</v>
      </c>
      <c r="B652" t="s">
        <v>808</v>
      </c>
      <c r="C652" t="s">
        <v>65</v>
      </c>
      <c r="D652" t="s">
        <v>71</v>
      </c>
      <c r="E652">
        <v>7</v>
      </c>
      <c r="F652" t="s">
        <v>19</v>
      </c>
      <c r="G652" t="s">
        <v>352</v>
      </c>
      <c r="H652" t="s">
        <v>747</v>
      </c>
      <c r="I652" t="s">
        <v>22</v>
      </c>
      <c r="J652" t="s">
        <v>66</v>
      </c>
      <c r="K652" t="s">
        <v>24</v>
      </c>
      <c r="L652" t="s">
        <v>25</v>
      </c>
      <c r="M652" s="8">
        <v>1.3726666670000001</v>
      </c>
      <c r="N652" t="s">
        <v>26</v>
      </c>
      <c r="O652" s="8">
        <v>1.3726666670000001</v>
      </c>
      <c r="P652" s="8">
        <f>EXP(-1.363+3.366*LOG(O652,10))</f>
        <v>0.40658758379567089</v>
      </c>
      <c r="Q652" s="8">
        <f>(1788886*100)/6788946</f>
        <v>26.349981278389901</v>
      </c>
    </row>
    <row r="653" spans="1:17" x14ac:dyDescent="0.2">
      <c r="A653">
        <v>2011</v>
      </c>
      <c r="B653" t="s">
        <v>809</v>
      </c>
      <c r="C653" t="s">
        <v>65</v>
      </c>
      <c r="D653" t="s">
        <v>71</v>
      </c>
      <c r="E653">
        <v>7</v>
      </c>
      <c r="F653" t="s">
        <v>19</v>
      </c>
      <c r="G653" t="s">
        <v>352</v>
      </c>
      <c r="H653" t="s">
        <v>747</v>
      </c>
      <c r="I653" t="s">
        <v>22</v>
      </c>
      <c r="J653" t="s">
        <v>66</v>
      </c>
      <c r="K653" t="s">
        <v>24</v>
      </c>
      <c r="L653" t="s">
        <v>25</v>
      </c>
      <c r="M653" s="8">
        <v>1.3726666670000001</v>
      </c>
      <c r="N653" t="s">
        <v>26</v>
      </c>
      <c r="O653" s="8">
        <v>1.3726666670000001</v>
      </c>
      <c r="P653" s="8">
        <f>EXP(-1.363+3.366*LOG(O653,10))</f>
        <v>0.40658758379567089</v>
      </c>
      <c r="Q653" s="8">
        <f>(1788886*100)/6788946</f>
        <v>26.349981278389901</v>
      </c>
    </row>
    <row r="654" spans="1:17" x14ac:dyDescent="0.2">
      <c r="A654">
        <v>2011</v>
      </c>
      <c r="B654" t="s">
        <v>810</v>
      </c>
      <c r="C654" t="s">
        <v>65</v>
      </c>
      <c r="D654" t="s">
        <v>71</v>
      </c>
      <c r="E654">
        <v>7</v>
      </c>
      <c r="F654" t="s">
        <v>19</v>
      </c>
      <c r="G654" t="s">
        <v>352</v>
      </c>
      <c r="H654" t="s">
        <v>747</v>
      </c>
      <c r="I654" t="s">
        <v>22</v>
      </c>
      <c r="J654" t="s">
        <v>66</v>
      </c>
      <c r="K654" t="s">
        <v>24</v>
      </c>
      <c r="L654" t="s">
        <v>25</v>
      </c>
      <c r="M654" s="8">
        <v>1.3726666670000001</v>
      </c>
      <c r="N654" t="s">
        <v>26</v>
      </c>
      <c r="O654" s="8">
        <v>1.3726666670000001</v>
      </c>
      <c r="P654" s="8">
        <f>EXP(-1.363+3.366*LOG(O654,10))</f>
        <v>0.40658758379567089</v>
      </c>
      <c r="Q654" s="8">
        <f>(1788886*100)/6788946</f>
        <v>26.349981278389901</v>
      </c>
    </row>
    <row r="655" spans="1:17" x14ac:dyDescent="0.2">
      <c r="A655">
        <v>2011</v>
      </c>
      <c r="B655" t="s">
        <v>811</v>
      </c>
      <c r="C655" t="s">
        <v>65</v>
      </c>
      <c r="D655" t="s">
        <v>71</v>
      </c>
      <c r="E655">
        <v>7</v>
      </c>
      <c r="F655" t="s">
        <v>19</v>
      </c>
      <c r="G655" t="s">
        <v>352</v>
      </c>
      <c r="H655" t="s">
        <v>747</v>
      </c>
      <c r="I655" t="s">
        <v>22</v>
      </c>
      <c r="J655" t="s">
        <v>66</v>
      </c>
      <c r="K655" t="s">
        <v>24</v>
      </c>
      <c r="L655" t="s">
        <v>25</v>
      </c>
      <c r="M655" s="8">
        <v>1.3726666670000001</v>
      </c>
      <c r="N655" t="s">
        <v>26</v>
      </c>
      <c r="O655" s="8">
        <v>1.3726666670000001</v>
      </c>
      <c r="P655" s="8">
        <f>EXP(-1.363+3.366*LOG(O655,10))</f>
        <v>0.40658758379567089</v>
      </c>
      <c r="Q655" s="8">
        <f>(1788886*100)/6788946</f>
        <v>26.349981278389901</v>
      </c>
    </row>
    <row r="656" spans="1:17" x14ac:dyDescent="0.2">
      <c r="A656">
        <v>2011</v>
      </c>
      <c r="B656" t="s">
        <v>812</v>
      </c>
      <c r="C656" t="s">
        <v>65</v>
      </c>
      <c r="D656" t="s">
        <v>71</v>
      </c>
      <c r="E656">
        <v>7</v>
      </c>
      <c r="F656" t="s">
        <v>19</v>
      </c>
      <c r="G656" t="s">
        <v>352</v>
      </c>
      <c r="H656" t="s">
        <v>747</v>
      </c>
      <c r="I656" t="s">
        <v>22</v>
      </c>
      <c r="J656" t="s">
        <v>66</v>
      </c>
      <c r="K656" t="s">
        <v>24</v>
      </c>
      <c r="L656" t="s">
        <v>25</v>
      </c>
      <c r="M656" s="8">
        <v>1.3726666670000001</v>
      </c>
      <c r="N656" t="s">
        <v>26</v>
      </c>
      <c r="O656" s="8">
        <v>1.3726666670000001</v>
      </c>
      <c r="P656" s="8">
        <f>EXP(-1.363+3.366*LOG(O656,10))</f>
        <v>0.40658758379567089</v>
      </c>
      <c r="Q656" s="8">
        <f>(1788886*100)/6788946</f>
        <v>26.349981278389901</v>
      </c>
    </row>
    <row r="657" spans="1:17" x14ac:dyDescent="0.2">
      <c r="A657">
        <v>2011</v>
      </c>
      <c r="B657" t="s">
        <v>813</v>
      </c>
      <c r="C657" t="s">
        <v>65</v>
      </c>
      <c r="D657" t="s">
        <v>71</v>
      </c>
      <c r="E657">
        <v>7</v>
      </c>
      <c r="F657" t="s">
        <v>19</v>
      </c>
      <c r="G657" t="s">
        <v>352</v>
      </c>
      <c r="H657" t="s">
        <v>747</v>
      </c>
      <c r="I657" t="s">
        <v>22</v>
      </c>
      <c r="J657" t="s">
        <v>66</v>
      </c>
      <c r="K657" t="s">
        <v>24</v>
      </c>
      <c r="L657" t="s">
        <v>25</v>
      </c>
      <c r="M657" s="8">
        <v>1.3726666670000001</v>
      </c>
      <c r="N657" t="s">
        <v>26</v>
      </c>
      <c r="O657" s="8">
        <v>1.3726666670000001</v>
      </c>
      <c r="P657" s="8">
        <f>EXP(-1.363+3.366*LOG(O657,10))</f>
        <v>0.40658758379567089</v>
      </c>
      <c r="Q657" s="8">
        <f>(1788886*100)/6788946</f>
        <v>26.349981278389901</v>
      </c>
    </row>
    <row r="658" spans="1:17" x14ac:dyDescent="0.2">
      <c r="A658">
        <v>2011</v>
      </c>
      <c r="B658" t="s">
        <v>814</v>
      </c>
      <c r="C658" t="s">
        <v>65</v>
      </c>
      <c r="D658" t="s">
        <v>71</v>
      </c>
      <c r="E658">
        <v>7</v>
      </c>
      <c r="F658" t="s">
        <v>19</v>
      </c>
      <c r="G658" t="s">
        <v>352</v>
      </c>
      <c r="H658" t="s">
        <v>747</v>
      </c>
      <c r="I658" t="s">
        <v>22</v>
      </c>
      <c r="J658" t="s">
        <v>66</v>
      </c>
      <c r="K658" t="s">
        <v>24</v>
      </c>
      <c r="L658" t="s">
        <v>25</v>
      </c>
      <c r="M658" s="8">
        <v>1.3726666670000001</v>
      </c>
      <c r="N658" t="s">
        <v>26</v>
      </c>
      <c r="O658" s="8">
        <v>1.3726666670000001</v>
      </c>
      <c r="P658" s="8">
        <f>EXP(-1.363+3.366*LOG(O658,10))</f>
        <v>0.40658758379567089</v>
      </c>
      <c r="Q658" s="8">
        <f>(1788886*100)/6788946</f>
        <v>26.349981278389901</v>
      </c>
    </row>
    <row r="659" spans="1:17" x14ac:dyDescent="0.2">
      <c r="A659">
        <v>2011</v>
      </c>
      <c r="B659" t="s">
        <v>815</v>
      </c>
      <c r="C659" t="s">
        <v>65</v>
      </c>
      <c r="D659" t="s">
        <v>71</v>
      </c>
      <c r="E659">
        <v>7</v>
      </c>
      <c r="F659" t="s">
        <v>19</v>
      </c>
      <c r="G659" t="s">
        <v>352</v>
      </c>
      <c r="H659" t="s">
        <v>747</v>
      </c>
      <c r="I659" t="s">
        <v>22</v>
      </c>
      <c r="J659" t="s">
        <v>66</v>
      </c>
      <c r="K659" t="s">
        <v>24</v>
      </c>
      <c r="L659" t="s">
        <v>25</v>
      </c>
      <c r="M659" s="8">
        <v>1.3726666670000001</v>
      </c>
      <c r="N659" t="s">
        <v>26</v>
      </c>
      <c r="O659" s="8">
        <v>1.3726666670000001</v>
      </c>
      <c r="P659" s="8">
        <f>EXP(-1.363+3.366*LOG(O659,10))</f>
        <v>0.40658758379567089</v>
      </c>
      <c r="Q659" s="8">
        <f>(1788886*100)/6788946</f>
        <v>26.349981278389901</v>
      </c>
    </row>
    <row r="660" spans="1:17" x14ac:dyDescent="0.2">
      <c r="A660">
        <v>2011</v>
      </c>
      <c r="B660" t="s">
        <v>816</v>
      </c>
      <c r="C660" t="s">
        <v>65</v>
      </c>
      <c r="D660" t="s">
        <v>71</v>
      </c>
      <c r="E660">
        <v>7</v>
      </c>
      <c r="F660" t="s">
        <v>19</v>
      </c>
      <c r="G660" t="s">
        <v>352</v>
      </c>
      <c r="H660" t="s">
        <v>747</v>
      </c>
      <c r="I660" t="s">
        <v>22</v>
      </c>
      <c r="J660" t="s">
        <v>66</v>
      </c>
      <c r="K660" t="s">
        <v>24</v>
      </c>
      <c r="L660" t="s">
        <v>25</v>
      </c>
      <c r="M660" s="8">
        <v>1.3726666670000001</v>
      </c>
      <c r="N660" t="s">
        <v>26</v>
      </c>
      <c r="O660" s="8">
        <v>1.3726666670000001</v>
      </c>
      <c r="P660" s="8">
        <f>EXP(-1.363+3.366*LOG(O660,10))</f>
        <v>0.40658758379567089</v>
      </c>
      <c r="Q660" s="8">
        <f>(1788886*100)/6788946</f>
        <v>26.349981278389901</v>
      </c>
    </row>
    <row r="661" spans="1:17" x14ac:dyDescent="0.2">
      <c r="A661">
        <v>2011</v>
      </c>
      <c r="B661" t="s">
        <v>817</v>
      </c>
      <c r="C661" t="s">
        <v>65</v>
      </c>
      <c r="D661" t="s">
        <v>71</v>
      </c>
      <c r="E661">
        <v>7</v>
      </c>
      <c r="F661" t="s">
        <v>19</v>
      </c>
      <c r="G661" t="s">
        <v>352</v>
      </c>
      <c r="H661" t="s">
        <v>747</v>
      </c>
      <c r="I661" t="s">
        <v>22</v>
      </c>
      <c r="J661" t="s">
        <v>66</v>
      </c>
      <c r="K661" t="s">
        <v>24</v>
      </c>
      <c r="L661" t="s">
        <v>25</v>
      </c>
      <c r="M661" s="8">
        <v>1.3726666670000001</v>
      </c>
      <c r="N661" t="s">
        <v>26</v>
      </c>
      <c r="O661" s="8">
        <v>1.3726666670000001</v>
      </c>
      <c r="P661" s="8">
        <f>EXP(-1.363+3.366*LOG(O661,10))</f>
        <v>0.40658758379567089</v>
      </c>
      <c r="Q661" s="8">
        <f>(1788886*100)/6788946</f>
        <v>26.349981278389901</v>
      </c>
    </row>
    <row r="662" spans="1:17" x14ac:dyDescent="0.2">
      <c r="A662">
        <v>2011</v>
      </c>
      <c r="B662" t="s">
        <v>818</v>
      </c>
      <c r="C662" t="s">
        <v>65</v>
      </c>
      <c r="D662" t="s">
        <v>71</v>
      </c>
      <c r="E662">
        <v>7</v>
      </c>
      <c r="F662" t="s">
        <v>19</v>
      </c>
      <c r="G662" t="s">
        <v>352</v>
      </c>
      <c r="H662" t="s">
        <v>747</v>
      </c>
      <c r="I662" t="s">
        <v>22</v>
      </c>
      <c r="J662" t="s">
        <v>66</v>
      </c>
      <c r="K662" t="s">
        <v>24</v>
      </c>
      <c r="L662" t="s">
        <v>25</v>
      </c>
      <c r="M662" s="8">
        <v>1.3726666670000001</v>
      </c>
      <c r="N662" t="s">
        <v>26</v>
      </c>
      <c r="O662" s="8">
        <v>1.3726666670000001</v>
      </c>
      <c r="P662" s="8">
        <f>EXP(-1.363+3.366*LOG(O662,10))</f>
        <v>0.40658758379567089</v>
      </c>
      <c r="Q662" s="8">
        <f>(1788886*100)/6788946</f>
        <v>26.349981278389901</v>
      </c>
    </row>
    <row r="663" spans="1:17" x14ac:dyDescent="0.2">
      <c r="A663">
        <v>2011</v>
      </c>
      <c r="B663" t="s">
        <v>819</v>
      </c>
      <c r="C663" t="s">
        <v>65</v>
      </c>
      <c r="D663" t="s">
        <v>71</v>
      </c>
      <c r="E663">
        <v>7</v>
      </c>
      <c r="F663" t="s">
        <v>19</v>
      </c>
      <c r="G663" t="s">
        <v>352</v>
      </c>
      <c r="H663" t="s">
        <v>747</v>
      </c>
      <c r="I663" t="s">
        <v>22</v>
      </c>
      <c r="J663" t="s">
        <v>66</v>
      </c>
      <c r="K663" t="s">
        <v>24</v>
      </c>
      <c r="L663" t="s">
        <v>25</v>
      </c>
      <c r="M663" s="8">
        <v>1.3726666670000001</v>
      </c>
      <c r="N663" t="s">
        <v>26</v>
      </c>
      <c r="O663" s="8">
        <v>1.3726666670000001</v>
      </c>
      <c r="P663" s="8">
        <f>EXP(-1.363+3.366*LOG(O663,10))</f>
        <v>0.40658758379567089</v>
      </c>
      <c r="Q663" s="8">
        <f>(1788886*100)/6788946</f>
        <v>26.349981278389901</v>
      </c>
    </row>
    <row r="664" spans="1:17" x14ac:dyDescent="0.2">
      <c r="A664">
        <v>2011</v>
      </c>
      <c r="B664" t="s">
        <v>820</v>
      </c>
      <c r="C664" t="s">
        <v>65</v>
      </c>
      <c r="D664" t="s">
        <v>71</v>
      </c>
      <c r="E664">
        <v>7</v>
      </c>
      <c r="F664" t="s">
        <v>19</v>
      </c>
      <c r="G664" t="s">
        <v>352</v>
      </c>
      <c r="H664" t="s">
        <v>747</v>
      </c>
      <c r="I664" t="s">
        <v>22</v>
      </c>
      <c r="J664" t="s">
        <v>66</v>
      </c>
      <c r="K664" t="s">
        <v>24</v>
      </c>
      <c r="L664" t="s">
        <v>25</v>
      </c>
      <c r="M664" s="8">
        <v>1.3726666670000001</v>
      </c>
      <c r="N664" t="s">
        <v>26</v>
      </c>
      <c r="O664" s="8">
        <v>1.3726666670000001</v>
      </c>
      <c r="P664" s="8">
        <f>EXP(-1.363+3.366*LOG(O664,10))</f>
        <v>0.40658758379567089</v>
      </c>
      <c r="Q664" s="8">
        <f>(1788886*100)/6788946</f>
        <v>26.349981278389901</v>
      </c>
    </row>
    <row r="665" spans="1:17" x14ac:dyDescent="0.2">
      <c r="A665">
        <v>2011</v>
      </c>
      <c r="B665" t="s">
        <v>821</v>
      </c>
      <c r="C665" t="s">
        <v>65</v>
      </c>
      <c r="D665" t="s">
        <v>71</v>
      </c>
      <c r="E665">
        <v>7</v>
      </c>
      <c r="F665" t="s">
        <v>19</v>
      </c>
      <c r="G665" t="s">
        <v>352</v>
      </c>
      <c r="H665" t="s">
        <v>747</v>
      </c>
      <c r="I665" t="s">
        <v>22</v>
      </c>
      <c r="J665" t="s">
        <v>66</v>
      </c>
      <c r="K665" t="s">
        <v>24</v>
      </c>
      <c r="L665" t="s">
        <v>25</v>
      </c>
      <c r="M665" s="8">
        <v>1.3726666670000001</v>
      </c>
      <c r="N665" t="s">
        <v>26</v>
      </c>
      <c r="O665" s="8">
        <v>1.3726666670000001</v>
      </c>
      <c r="P665" s="8">
        <f>EXP(-1.363+3.366*LOG(O665,10))</f>
        <v>0.40658758379567089</v>
      </c>
      <c r="Q665" s="8">
        <f>(1788886*100)/6788946</f>
        <v>26.349981278389901</v>
      </c>
    </row>
    <row r="666" spans="1:17" x14ac:dyDescent="0.2">
      <c r="A666">
        <v>2011</v>
      </c>
      <c r="B666" t="s">
        <v>822</v>
      </c>
      <c r="C666" t="s">
        <v>65</v>
      </c>
      <c r="D666" t="s">
        <v>71</v>
      </c>
      <c r="E666">
        <v>7</v>
      </c>
      <c r="F666" t="s">
        <v>19</v>
      </c>
      <c r="G666" t="s">
        <v>352</v>
      </c>
      <c r="H666" t="s">
        <v>747</v>
      </c>
      <c r="I666" t="s">
        <v>22</v>
      </c>
      <c r="J666" t="s">
        <v>66</v>
      </c>
      <c r="K666" t="s">
        <v>24</v>
      </c>
      <c r="L666" t="s">
        <v>25</v>
      </c>
      <c r="M666" s="8">
        <v>1.3726666670000001</v>
      </c>
      <c r="N666" t="s">
        <v>26</v>
      </c>
      <c r="O666" s="8">
        <v>1.3726666670000001</v>
      </c>
      <c r="P666" s="8">
        <f>EXP(-1.363+3.366*LOG(O666,10))</f>
        <v>0.40658758379567089</v>
      </c>
      <c r="Q666" s="8">
        <f>(1788886*100)/6788946</f>
        <v>26.349981278389901</v>
      </c>
    </row>
    <row r="667" spans="1:17" x14ac:dyDescent="0.2">
      <c r="A667">
        <v>2011</v>
      </c>
      <c r="B667" t="s">
        <v>823</v>
      </c>
      <c r="C667" t="s">
        <v>65</v>
      </c>
      <c r="D667" t="s">
        <v>71</v>
      </c>
      <c r="E667">
        <v>7</v>
      </c>
      <c r="F667" t="s">
        <v>19</v>
      </c>
      <c r="G667" t="s">
        <v>352</v>
      </c>
      <c r="H667" t="s">
        <v>747</v>
      </c>
      <c r="I667" t="s">
        <v>22</v>
      </c>
      <c r="J667" t="s">
        <v>66</v>
      </c>
      <c r="K667" t="s">
        <v>24</v>
      </c>
      <c r="L667" t="s">
        <v>25</v>
      </c>
      <c r="M667" s="8">
        <v>1.3726666670000001</v>
      </c>
      <c r="N667" t="s">
        <v>26</v>
      </c>
      <c r="O667" s="8">
        <v>1.3726666670000001</v>
      </c>
      <c r="P667" s="8">
        <f>EXP(-1.363+3.366*LOG(O667,10))</f>
        <v>0.40658758379567089</v>
      </c>
      <c r="Q667" s="8">
        <f>(1788886*100)/6788946</f>
        <v>26.349981278389901</v>
      </c>
    </row>
    <row r="668" spans="1:17" x14ac:dyDescent="0.2">
      <c r="A668">
        <v>2011</v>
      </c>
      <c r="B668" t="s">
        <v>824</v>
      </c>
      <c r="C668" t="s">
        <v>65</v>
      </c>
      <c r="D668" t="s">
        <v>71</v>
      </c>
      <c r="E668">
        <v>7</v>
      </c>
      <c r="F668" t="s">
        <v>19</v>
      </c>
      <c r="G668" t="s">
        <v>352</v>
      </c>
      <c r="H668" t="s">
        <v>747</v>
      </c>
      <c r="I668" t="s">
        <v>22</v>
      </c>
      <c r="J668" t="s">
        <v>66</v>
      </c>
      <c r="K668" t="s">
        <v>24</v>
      </c>
      <c r="L668" t="s">
        <v>25</v>
      </c>
      <c r="M668" s="8">
        <v>1.3726666670000001</v>
      </c>
      <c r="N668" t="s">
        <v>26</v>
      </c>
      <c r="O668" s="8">
        <v>1.3726666670000001</v>
      </c>
      <c r="P668" s="8">
        <f>EXP(-1.363+3.366*LOG(O668,10))</f>
        <v>0.40658758379567089</v>
      </c>
      <c r="Q668" s="8">
        <f>(1788886*100)/6788946</f>
        <v>26.349981278389901</v>
      </c>
    </row>
    <row r="669" spans="1:17" x14ac:dyDescent="0.2">
      <c r="A669">
        <v>2011</v>
      </c>
      <c r="B669" t="s">
        <v>825</v>
      </c>
      <c r="C669" t="s">
        <v>65</v>
      </c>
      <c r="D669" t="s">
        <v>71</v>
      </c>
      <c r="E669">
        <v>7</v>
      </c>
      <c r="F669" t="s">
        <v>19</v>
      </c>
      <c r="G669" t="s">
        <v>352</v>
      </c>
      <c r="H669" t="s">
        <v>747</v>
      </c>
      <c r="I669" t="s">
        <v>22</v>
      </c>
      <c r="J669" t="s">
        <v>66</v>
      </c>
      <c r="K669" t="s">
        <v>24</v>
      </c>
      <c r="L669" t="s">
        <v>25</v>
      </c>
      <c r="M669" s="8">
        <v>1.3726666670000001</v>
      </c>
      <c r="N669" t="s">
        <v>26</v>
      </c>
      <c r="O669" s="8">
        <v>1.3726666670000001</v>
      </c>
      <c r="P669" s="8">
        <f>EXP(-1.363+3.366*LOG(O669,10))</f>
        <v>0.40658758379567089</v>
      </c>
      <c r="Q669" s="8">
        <f>(1788886*100)/6788946</f>
        <v>26.349981278389901</v>
      </c>
    </row>
    <row r="670" spans="1:17" x14ac:dyDescent="0.2">
      <c r="A670">
        <v>2011</v>
      </c>
      <c r="B670" t="s">
        <v>826</v>
      </c>
      <c r="C670" t="s">
        <v>65</v>
      </c>
      <c r="D670" t="s">
        <v>71</v>
      </c>
      <c r="E670">
        <v>7</v>
      </c>
      <c r="F670" t="s">
        <v>19</v>
      </c>
      <c r="G670" t="s">
        <v>352</v>
      </c>
      <c r="H670" t="s">
        <v>747</v>
      </c>
      <c r="I670" t="s">
        <v>22</v>
      </c>
      <c r="J670" t="s">
        <v>66</v>
      </c>
      <c r="K670" t="s">
        <v>24</v>
      </c>
      <c r="L670" t="s">
        <v>25</v>
      </c>
      <c r="M670" s="8">
        <v>1.3726666670000001</v>
      </c>
      <c r="N670" t="s">
        <v>26</v>
      </c>
      <c r="O670" s="8">
        <v>1.3726666670000001</v>
      </c>
      <c r="P670" s="8">
        <f>EXP(-1.363+3.366*LOG(O670,10))</f>
        <v>0.40658758379567089</v>
      </c>
      <c r="Q670" s="8">
        <f>(1788886*100)/6788946</f>
        <v>26.349981278389901</v>
      </c>
    </row>
    <row r="671" spans="1:17" x14ac:dyDescent="0.2">
      <c r="A671">
        <v>2011</v>
      </c>
      <c r="B671" t="s">
        <v>827</v>
      </c>
      <c r="C671" t="s">
        <v>65</v>
      </c>
      <c r="D671" t="s">
        <v>71</v>
      </c>
      <c r="E671">
        <v>7</v>
      </c>
      <c r="F671" t="s">
        <v>19</v>
      </c>
      <c r="G671" t="s">
        <v>352</v>
      </c>
      <c r="H671" t="s">
        <v>747</v>
      </c>
      <c r="I671" t="s">
        <v>22</v>
      </c>
      <c r="J671" t="s">
        <v>66</v>
      </c>
      <c r="K671" t="s">
        <v>24</v>
      </c>
      <c r="L671" t="s">
        <v>25</v>
      </c>
      <c r="M671" s="8">
        <v>1.3726666670000001</v>
      </c>
      <c r="N671" t="s">
        <v>26</v>
      </c>
      <c r="O671" s="8">
        <v>1.3726666670000001</v>
      </c>
      <c r="P671" s="8">
        <f>EXP(-1.363+3.366*LOG(O671,10))</f>
        <v>0.40658758379567089</v>
      </c>
      <c r="Q671" s="8">
        <f>(1788886*100)/6788946</f>
        <v>26.349981278389901</v>
      </c>
    </row>
    <row r="672" spans="1:17" x14ac:dyDescent="0.2">
      <c r="A672">
        <v>2011</v>
      </c>
      <c r="B672" t="s">
        <v>828</v>
      </c>
      <c r="C672" t="s">
        <v>65</v>
      </c>
      <c r="D672" t="s">
        <v>71</v>
      </c>
      <c r="E672">
        <v>7</v>
      </c>
      <c r="F672" t="s">
        <v>19</v>
      </c>
      <c r="G672" t="s">
        <v>352</v>
      </c>
      <c r="H672" t="s">
        <v>747</v>
      </c>
      <c r="I672" t="s">
        <v>22</v>
      </c>
      <c r="J672" t="s">
        <v>66</v>
      </c>
      <c r="K672" t="s">
        <v>24</v>
      </c>
      <c r="L672" t="s">
        <v>25</v>
      </c>
      <c r="M672" s="8">
        <v>1.3726666670000001</v>
      </c>
      <c r="N672" t="s">
        <v>26</v>
      </c>
      <c r="O672" s="8">
        <v>1.3726666670000001</v>
      </c>
      <c r="P672" s="8">
        <f>EXP(-1.363+3.366*LOG(O672,10))</f>
        <v>0.40658758379567089</v>
      </c>
      <c r="Q672" s="8">
        <f>(1788886*100)/6788946</f>
        <v>26.349981278389901</v>
      </c>
    </row>
    <row r="673" spans="1:17" x14ac:dyDescent="0.2">
      <c r="A673">
        <v>2011</v>
      </c>
      <c r="B673" t="s">
        <v>829</v>
      </c>
      <c r="C673" t="s">
        <v>65</v>
      </c>
      <c r="D673" t="s">
        <v>71</v>
      </c>
      <c r="E673">
        <v>7</v>
      </c>
      <c r="F673" t="s">
        <v>19</v>
      </c>
      <c r="G673" t="s">
        <v>352</v>
      </c>
      <c r="H673" t="s">
        <v>747</v>
      </c>
      <c r="I673" t="s">
        <v>22</v>
      </c>
      <c r="J673" t="s">
        <v>66</v>
      </c>
      <c r="K673" t="s">
        <v>24</v>
      </c>
      <c r="L673" t="s">
        <v>25</v>
      </c>
      <c r="M673" s="8">
        <v>1.3726666670000001</v>
      </c>
      <c r="N673" t="s">
        <v>26</v>
      </c>
      <c r="O673" s="8">
        <v>1.3726666670000001</v>
      </c>
      <c r="P673" s="8">
        <f>EXP(-1.363+3.366*LOG(O673,10))</f>
        <v>0.40658758379567089</v>
      </c>
      <c r="Q673" s="8">
        <f>(1788886*100)/6788946</f>
        <v>26.349981278389901</v>
      </c>
    </row>
    <row r="674" spans="1:17" x14ac:dyDescent="0.2">
      <c r="A674">
        <v>2011</v>
      </c>
      <c r="B674" t="s">
        <v>830</v>
      </c>
      <c r="C674" t="s">
        <v>65</v>
      </c>
      <c r="D674" t="s">
        <v>71</v>
      </c>
      <c r="E674">
        <v>7</v>
      </c>
      <c r="F674" t="s">
        <v>19</v>
      </c>
      <c r="G674" t="s">
        <v>352</v>
      </c>
      <c r="H674" t="s">
        <v>747</v>
      </c>
      <c r="I674" t="s">
        <v>22</v>
      </c>
      <c r="J674" t="s">
        <v>66</v>
      </c>
      <c r="K674" t="s">
        <v>24</v>
      </c>
      <c r="L674" t="s">
        <v>25</v>
      </c>
      <c r="M674" s="8">
        <v>1.3726666670000001</v>
      </c>
      <c r="N674" t="s">
        <v>26</v>
      </c>
      <c r="O674" s="8">
        <v>1.3726666670000001</v>
      </c>
      <c r="P674" s="8">
        <f>EXP(-1.363+3.366*LOG(O674,10))</f>
        <v>0.40658758379567089</v>
      </c>
      <c r="Q674" s="8">
        <f>(1788886*100)/6788946</f>
        <v>26.349981278389901</v>
      </c>
    </row>
    <row r="675" spans="1:17" x14ac:dyDescent="0.2">
      <c r="A675">
        <v>2011</v>
      </c>
      <c r="B675" t="s">
        <v>831</v>
      </c>
      <c r="C675" t="s">
        <v>65</v>
      </c>
      <c r="D675" t="s">
        <v>71</v>
      </c>
      <c r="E675">
        <v>7</v>
      </c>
      <c r="F675" t="s">
        <v>19</v>
      </c>
      <c r="G675" t="s">
        <v>352</v>
      </c>
      <c r="H675" t="s">
        <v>747</v>
      </c>
      <c r="I675" t="s">
        <v>22</v>
      </c>
      <c r="J675" t="s">
        <v>66</v>
      </c>
      <c r="K675" t="s">
        <v>24</v>
      </c>
      <c r="L675" t="s">
        <v>25</v>
      </c>
      <c r="M675" s="8">
        <v>1.3726666670000001</v>
      </c>
      <c r="N675" t="s">
        <v>26</v>
      </c>
      <c r="O675" s="8">
        <v>1.3726666670000001</v>
      </c>
      <c r="P675" s="8">
        <f>EXP(-1.363+3.366*LOG(O675,10))</f>
        <v>0.40658758379567089</v>
      </c>
      <c r="Q675" s="8">
        <f>(1788886*100)/6788946</f>
        <v>26.349981278389901</v>
      </c>
    </row>
    <row r="676" spans="1:17" x14ac:dyDescent="0.2">
      <c r="A676">
        <v>2011</v>
      </c>
      <c r="B676" t="s">
        <v>832</v>
      </c>
      <c r="C676" t="s">
        <v>65</v>
      </c>
      <c r="D676" t="s">
        <v>71</v>
      </c>
      <c r="E676">
        <v>7</v>
      </c>
      <c r="F676" t="s">
        <v>19</v>
      </c>
      <c r="G676" t="s">
        <v>352</v>
      </c>
      <c r="H676" t="s">
        <v>747</v>
      </c>
      <c r="I676" t="s">
        <v>22</v>
      </c>
      <c r="J676" t="s">
        <v>66</v>
      </c>
      <c r="K676" t="s">
        <v>24</v>
      </c>
      <c r="L676" t="s">
        <v>25</v>
      </c>
      <c r="M676" s="8">
        <v>1.3726666670000001</v>
      </c>
      <c r="N676" t="s">
        <v>26</v>
      </c>
      <c r="O676" s="8">
        <v>1.3726666670000001</v>
      </c>
      <c r="P676" s="8">
        <f>EXP(-1.363+3.366*LOG(O676,10))</f>
        <v>0.40658758379567089</v>
      </c>
      <c r="Q676" s="8">
        <f>(1788886*100)/6788946</f>
        <v>26.349981278389901</v>
      </c>
    </row>
    <row r="677" spans="1:17" x14ac:dyDescent="0.2">
      <c r="A677">
        <v>2011</v>
      </c>
      <c r="B677" t="s">
        <v>833</v>
      </c>
      <c r="C677" t="s">
        <v>65</v>
      </c>
      <c r="D677" t="s">
        <v>71</v>
      </c>
      <c r="E677">
        <v>7</v>
      </c>
      <c r="F677" t="s">
        <v>19</v>
      </c>
      <c r="G677" t="s">
        <v>352</v>
      </c>
      <c r="H677" t="s">
        <v>747</v>
      </c>
      <c r="I677" t="s">
        <v>22</v>
      </c>
      <c r="J677" t="s">
        <v>66</v>
      </c>
      <c r="K677" t="s">
        <v>24</v>
      </c>
      <c r="L677" t="s">
        <v>25</v>
      </c>
      <c r="M677" s="8">
        <v>1.3726666670000001</v>
      </c>
      <c r="N677" t="s">
        <v>26</v>
      </c>
      <c r="O677" s="8">
        <v>1.3726666670000001</v>
      </c>
      <c r="P677" s="8">
        <f>EXP(-1.363+3.366*LOG(O677,10))</f>
        <v>0.40658758379567089</v>
      </c>
      <c r="Q677" s="8">
        <f>(1788886*100)/6788946</f>
        <v>26.349981278389901</v>
      </c>
    </row>
    <row r="678" spans="1:17" x14ac:dyDescent="0.2">
      <c r="A678">
        <v>2011</v>
      </c>
      <c r="B678" t="s">
        <v>834</v>
      </c>
      <c r="C678" t="s">
        <v>65</v>
      </c>
      <c r="D678" t="s">
        <v>71</v>
      </c>
      <c r="E678">
        <v>7</v>
      </c>
      <c r="F678" t="s">
        <v>19</v>
      </c>
      <c r="G678" t="s">
        <v>352</v>
      </c>
      <c r="H678" t="s">
        <v>747</v>
      </c>
      <c r="I678" t="s">
        <v>22</v>
      </c>
      <c r="J678" t="s">
        <v>66</v>
      </c>
      <c r="K678" t="s">
        <v>24</v>
      </c>
      <c r="L678" t="s">
        <v>25</v>
      </c>
      <c r="M678" s="8">
        <v>1.3726666670000001</v>
      </c>
      <c r="N678" t="s">
        <v>26</v>
      </c>
      <c r="O678" s="8">
        <v>1.3726666670000001</v>
      </c>
      <c r="P678" s="8">
        <f>EXP(-1.363+3.366*LOG(O678,10))</f>
        <v>0.40658758379567089</v>
      </c>
      <c r="Q678" s="8">
        <f>(1788886*100)/6788946</f>
        <v>26.349981278389901</v>
      </c>
    </row>
    <row r="679" spans="1:17" x14ac:dyDescent="0.2">
      <c r="A679">
        <v>2011</v>
      </c>
      <c r="B679" t="s">
        <v>835</v>
      </c>
      <c r="C679" t="s">
        <v>65</v>
      </c>
      <c r="D679" t="s">
        <v>71</v>
      </c>
      <c r="E679">
        <v>7</v>
      </c>
      <c r="F679" t="s">
        <v>19</v>
      </c>
      <c r="G679" t="s">
        <v>352</v>
      </c>
      <c r="H679" t="s">
        <v>747</v>
      </c>
      <c r="I679" t="s">
        <v>22</v>
      </c>
      <c r="J679" t="s">
        <v>66</v>
      </c>
      <c r="K679" t="s">
        <v>24</v>
      </c>
      <c r="L679" t="s">
        <v>25</v>
      </c>
      <c r="M679" s="8">
        <v>1.3726666670000001</v>
      </c>
      <c r="N679" t="s">
        <v>26</v>
      </c>
      <c r="O679" s="8">
        <v>1.3726666670000001</v>
      </c>
      <c r="P679" s="8">
        <f>EXP(-1.363+3.366*LOG(O679,10))</f>
        <v>0.40658758379567089</v>
      </c>
      <c r="Q679" s="8">
        <f>(1788886*100)/6788946</f>
        <v>26.349981278389901</v>
      </c>
    </row>
    <row r="680" spans="1:17" x14ac:dyDescent="0.2">
      <c r="A680">
        <v>2011</v>
      </c>
      <c r="B680" t="s">
        <v>836</v>
      </c>
      <c r="C680" t="s">
        <v>65</v>
      </c>
      <c r="D680" t="s">
        <v>71</v>
      </c>
      <c r="E680">
        <v>7</v>
      </c>
      <c r="F680" t="s">
        <v>19</v>
      </c>
      <c r="G680" t="s">
        <v>352</v>
      </c>
      <c r="H680" t="s">
        <v>747</v>
      </c>
      <c r="I680" t="s">
        <v>22</v>
      </c>
      <c r="J680" t="s">
        <v>66</v>
      </c>
      <c r="K680" t="s">
        <v>24</v>
      </c>
      <c r="L680" t="s">
        <v>25</v>
      </c>
      <c r="M680" s="8">
        <v>1.3726666670000001</v>
      </c>
      <c r="N680" t="s">
        <v>26</v>
      </c>
      <c r="O680" s="8">
        <v>1.3726666670000001</v>
      </c>
      <c r="P680" s="8">
        <f>EXP(-1.363+3.366*LOG(O680,10))</f>
        <v>0.40658758379567089</v>
      </c>
      <c r="Q680" s="8">
        <f>(1788886*100)/6788946</f>
        <v>26.349981278389901</v>
      </c>
    </row>
    <row r="681" spans="1:17" x14ac:dyDescent="0.2">
      <c r="A681">
        <v>2011</v>
      </c>
      <c r="B681" t="s">
        <v>837</v>
      </c>
      <c r="C681" t="s">
        <v>65</v>
      </c>
      <c r="D681" t="s">
        <v>71</v>
      </c>
      <c r="E681">
        <v>7</v>
      </c>
      <c r="F681" t="s">
        <v>19</v>
      </c>
      <c r="G681" t="s">
        <v>352</v>
      </c>
      <c r="H681" t="s">
        <v>747</v>
      </c>
      <c r="I681" t="s">
        <v>22</v>
      </c>
      <c r="J681" t="s">
        <v>66</v>
      </c>
      <c r="K681" t="s">
        <v>24</v>
      </c>
      <c r="L681" t="s">
        <v>25</v>
      </c>
      <c r="M681" s="8">
        <v>1.3726666670000001</v>
      </c>
      <c r="N681" t="s">
        <v>26</v>
      </c>
      <c r="O681" s="8">
        <v>1.3726666670000001</v>
      </c>
      <c r="P681" s="8">
        <f>EXP(-1.363+3.366*LOG(O681,10))</f>
        <v>0.40658758379567089</v>
      </c>
      <c r="Q681" s="8">
        <f>(1788886*100)/6788946</f>
        <v>26.349981278389901</v>
      </c>
    </row>
    <row r="682" spans="1:17" x14ac:dyDescent="0.2">
      <c r="A682">
        <v>2011</v>
      </c>
      <c r="B682" t="s">
        <v>838</v>
      </c>
      <c r="C682" t="s">
        <v>65</v>
      </c>
      <c r="D682" t="s">
        <v>71</v>
      </c>
      <c r="E682">
        <v>7</v>
      </c>
      <c r="F682" t="s">
        <v>19</v>
      </c>
      <c r="G682" t="s">
        <v>352</v>
      </c>
      <c r="H682" t="s">
        <v>747</v>
      </c>
      <c r="I682" t="s">
        <v>22</v>
      </c>
      <c r="J682" t="s">
        <v>66</v>
      </c>
      <c r="K682" t="s">
        <v>24</v>
      </c>
      <c r="L682" t="s">
        <v>25</v>
      </c>
      <c r="M682" s="8">
        <v>1.3726666670000001</v>
      </c>
      <c r="N682" t="s">
        <v>26</v>
      </c>
      <c r="O682" s="8">
        <v>1.3726666670000001</v>
      </c>
      <c r="P682" s="8">
        <f>EXP(-1.363+3.366*LOG(O682,10))</f>
        <v>0.40658758379567089</v>
      </c>
      <c r="Q682" s="8">
        <f>(1788886*100)/6788946</f>
        <v>26.349981278389901</v>
      </c>
    </row>
    <row r="683" spans="1:17" x14ac:dyDescent="0.2">
      <c r="A683">
        <v>2011</v>
      </c>
      <c r="B683" t="s">
        <v>839</v>
      </c>
      <c r="C683" t="s">
        <v>57</v>
      </c>
      <c r="D683" t="s">
        <v>71</v>
      </c>
      <c r="E683">
        <v>7</v>
      </c>
      <c r="F683" t="s">
        <v>19</v>
      </c>
      <c r="G683" t="s">
        <v>352</v>
      </c>
      <c r="H683" t="s">
        <v>747</v>
      </c>
      <c r="I683" t="s">
        <v>22</v>
      </c>
      <c r="J683" t="s">
        <v>31</v>
      </c>
      <c r="K683" t="s">
        <v>24</v>
      </c>
      <c r="L683" t="s">
        <v>25</v>
      </c>
      <c r="M683" s="8">
        <v>1.3726666670000001</v>
      </c>
      <c r="N683" t="s">
        <v>26</v>
      </c>
      <c r="O683" s="8">
        <v>1.3726666670000001</v>
      </c>
      <c r="P683" s="8">
        <f>EXP(-1.363+3.366*LOG(O683,10))</f>
        <v>0.40658758379567089</v>
      </c>
      <c r="Q683" s="8">
        <f>(321151.3*100)/5927002</f>
        <v>5.4184442657518925</v>
      </c>
    </row>
    <row r="684" spans="1:17" x14ac:dyDescent="0.2">
      <c r="A684">
        <v>2011</v>
      </c>
      <c r="B684" t="s">
        <v>840</v>
      </c>
      <c r="C684" t="s">
        <v>57</v>
      </c>
      <c r="D684" t="s">
        <v>71</v>
      </c>
      <c r="E684">
        <v>7</v>
      </c>
      <c r="F684" t="s">
        <v>19</v>
      </c>
      <c r="G684" t="s">
        <v>352</v>
      </c>
      <c r="H684" t="s">
        <v>747</v>
      </c>
      <c r="I684" t="s">
        <v>22</v>
      </c>
      <c r="J684" t="s">
        <v>31</v>
      </c>
      <c r="K684" t="s">
        <v>24</v>
      </c>
      <c r="L684" t="s">
        <v>25</v>
      </c>
      <c r="M684" s="8">
        <v>1.3726666670000001</v>
      </c>
      <c r="N684" t="s">
        <v>26</v>
      </c>
      <c r="O684" s="8">
        <v>1.3726666670000001</v>
      </c>
      <c r="P684" s="8">
        <f>EXP(-1.363+3.366*LOG(O684,10))</f>
        <v>0.40658758379567089</v>
      </c>
      <c r="Q684" s="8">
        <f>(321151.3*100)/5927002</f>
        <v>5.4184442657518925</v>
      </c>
    </row>
    <row r="685" spans="1:17" x14ac:dyDescent="0.2">
      <c r="A685">
        <v>2011</v>
      </c>
      <c r="B685" t="s">
        <v>841</v>
      </c>
      <c r="C685" t="s">
        <v>57</v>
      </c>
      <c r="D685" t="s">
        <v>71</v>
      </c>
      <c r="E685">
        <v>7</v>
      </c>
      <c r="F685" t="s">
        <v>19</v>
      </c>
      <c r="G685" t="s">
        <v>352</v>
      </c>
      <c r="H685" t="s">
        <v>747</v>
      </c>
      <c r="I685" t="s">
        <v>22</v>
      </c>
      <c r="J685" t="s">
        <v>31</v>
      </c>
      <c r="K685" t="s">
        <v>24</v>
      </c>
      <c r="L685" t="s">
        <v>25</v>
      </c>
      <c r="M685" s="8">
        <v>1.3726666670000001</v>
      </c>
      <c r="N685" t="s">
        <v>26</v>
      </c>
      <c r="O685" s="8">
        <v>1.3726666670000001</v>
      </c>
      <c r="P685" s="8">
        <f>EXP(-1.363+3.366*LOG(O685,10))</f>
        <v>0.40658758379567089</v>
      </c>
      <c r="Q685" s="8">
        <f>(321151.3*100)/5927002</f>
        <v>5.4184442657518925</v>
      </c>
    </row>
    <row r="686" spans="1:17" x14ac:dyDescent="0.2">
      <c r="A686">
        <v>2011</v>
      </c>
      <c r="B686" t="s">
        <v>842</v>
      </c>
      <c r="C686" t="s">
        <v>57</v>
      </c>
      <c r="D686" t="s">
        <v>71</v>
      </c>
      <c r="E686">
        <v>7</v>
      </c>
      <c r="F686" t="s">
        <v>19</v>
      </c>
      <c r="G686" t="s">
        <v>352</v>
      </c>
      <c r="H686" t="s">
        <v>747</v>
      </c>
      <c r="I686" t="s">
        <v>22</v>
      </c>
      <c r="J686" t="s">
        <v>31</v>
      </c>
      <c r="K686" t="s">
        <v>24</v>
      </c>
      <c r="L686" t="s">
        <v>25</v>
      </c>
      <c r="M686" s="8">
        <v>1.3726666670000001</v>
      </c>
      <c r="N686" t="s">
        <v>26</v>
      </c>
      <c r="O686" s="8">
        <v>1.3726666670000001</v>
      </c>
      <c r="P686" s="8">
        <f>EXP(-1.363+3.366*LOG(O686,10))</f>
        <v>0.40658758379567089</v>
      </c>
      <c r="Q686" s="8">
        <f>(321151.3*100)/5927002</f>
        <v>5.4184442657518925</v>
      </c>
    </row>
    <row r="687" spans="1:17" x14ac:dyDescent="0.2">
      <c r="A687">
        <v>2011</v>
      </c>
      <c r="B687" t="s">
        <v>843</v>
      </c>
      <c r="C687" t="s">
        <v>57</v>
      </c>
      <c r="D687" t="s">
        <v>71</v>
      </c>
      <c r="E687">
        <v>7</v>
      </c>
      <c r="F687" t="s">
        <v>19</v>
      </c>
      <c r="G687" t="s">
        <v>352</v>
      </c>
      <c r="H687" t="s">
        <v>747</v>
      </c>
      <c r="I687" t="s">
        <v>22</v>
      </c>
      <c r="J687" t="s">
        <v>31</v>
      </c>
      <c r="K687" t="s">
        <v>24</v>
      </c>
      <c r="L687" t="s">
        <v>25</v>
      </c>
      <c r="M687" s="8">
        <v>1.3726666670000001</v>
      </c>
      <c r="N687" t="s">
        <v>26</v>
      </c>
      <c r="O687" s="8">
        <v>1.3726666670000001</v>
      </c>
      <c r="P687" s="8">
        <f>EXP(-1.363+3.366*LOG(O687,10))</f>
        <v>0.40658758379567089</v>
      </c>
      <c r="Q687" s="8">
        <f>(321151.3*100)/5927002</f>
        <v>5.4184442657518925</v>
      </c>
    </row>
    <row r="688" spans="1:17" x14ac:dyDescent="0.2">
      <c r="A688">
        <v>2011</v>
      </c>
      <c r="B688" t="s">
        <v>844</v>
      </c>
      <c r="C688" t="s">
        <v>60</v>
      </c>
      <c r="D688" t="s">
        <v>61</v>
      </c>
      <c r="E688">
        <v>6</v>
      </c>
      <c r="F688" t="s">
        <v>19</v>
      </c>
      <c r="G688" t="s">
        <v>352</v>
      </c>
      <c r="H688" t="s">
        <v>747</v>
      </c>
      <c r="I688" t="s">
        <v>22</v>
      </c>
      <c r="J688" t="s">
        <v>31</v>
      </c>
      <c r="K688" t="s">
        <v>24</v>
      </c>
      <c r="L688" t="s">
        <v>25</v>
      </c>
      <c r="M688" s="8">
        <v>1.3726666670000001</v>
      </c>
      <c r="N688" t="s">
        <v>26</v>
      </c>
      <c r="O688" s="8">
        <v>1.3726666670000001</v>
      </c>
      <c r="P688" s="8">
        <f>EXP(-1.363+3.366*LOG(O688,10))</f>
        <v>0.40658758379567089</v>
      </c>
      <c r="Q688" s="8">
        <f>(27433.05*100)/7611378</f>
        <v>0.36042159514348127</v>
      </c>
    </row>
    <row r="689" spans="1:17" x14ac:dyDescent="0.2">
      <c r="A689">
        <v>2011</v>
      </c>
      <c r="B689" t="s">
        <v>845</v>
      </c>
      <c r="C689" t="s">
        <v>60</v>
      </c>
      <c r="D689" t="s">
        <v>61</v>
      </c>
      <c r="E689">
        <v>6</v>
      </c>
      <c r="F689" t="s">
        <v>19</v>
      </c>
      <c r="G689" t="s">
        <v>352</v>
      </c>
      <c r="H689" t="s">
        <v>747</v>
      </c>
      <c r="I689" t="s">
        <v>22</v>
      </c>
      <c r="J689" t="s">
        <v>31</v>
      </c>
      <c r="K689" t="s">
        <v>24</v>
      </c>
      <c r="L689" t="s">
        <v>25</v>
      </c>
      <c r="M689" s="8">
        <v>1.3726666670000001</v>
      </c>
      <c r="N689" t="s">
        <v>26</v>
      </c>
      <c r="O689" s="8">
        <v>1.3726666670000001</v>
      </c>
      <c r="P689" s="8">
        <f>EXP(-1.363+3.366*LOG(O689,10))</f>
        <v>0.40658758379567089</v>
      </c>
      <c r="Q689" s="8">
        <f>(27433.05*100)/7611378</f>
        <v>0.36042159514348127</v>
      </c>
    </row>
    <row r="690" spans="1:17" x14ac:dyDescent="0.2">
      <c r="A690">
        <v>2011</v>
      </c>
      <c r="B690" t="s">
        <v>846</v>
      </c>
      <c r="C690" t="s">
        <v>60</v>
      </c>
      <c r="D690" t="s">
        <v>61</v>
      </c>
      <c r="E690">
        <v>6</v>
      </c>
      <c r="F690" t="s">
        <v>19</v>
      </c>
      <c r="G690" t="s">
        <v>352</v>
      </c>
      <c r="H690" t="s">
        <v>747</v>
      </c>
      <c r="I690" t="s">
        <v>22</v>
      </c>
      <c r="J690" t="s">
        <v>31</v>
      </c>
      <c r="K690" t="s">
        <v>24</v>
      </c>
      <c r="L690" t="s">
        <v>25</v>
      </c>
      <c r="M690" s="8">
        <v>1.3726666670000001</v>
      </c>
      <c r="N690" t="s">
        <v>26</v>
      </c>
      <c r="O690" s="8">
        <v>1.3726666670000001</v>
      </c>
      <c r="P690" s="8">
        <f>EXP(-1.363+3.366*LOG(O690,10))</f>
        <v>0.40658758379567089</v>
      </c>
      <c r="Q690" s="8">
        <f>(27433.05*100)/7611378</f>
        <v>0.36042159514348127</v>
      </c>
    </row>
    <row r="691" spans="1:17" x14ac:dyDescent="0.2">
      <c r="A691">
        <v>2011</v>
      </c>
      <c r="B691" t="s">
        <v>847</v>
      </c>
      <c r="C691" t="s">
        <v>60</v>
      </c>
      <c r="D691" t="s">
        <v>61</v>
      </c>
      <c r="E691">
        <v>6</v>
      </c>
      <c r="F691" t="s">
        <v>19</v>
      </c>
      <c r="G691" t="s">
        <v>352</v>
      </c>
      <c r="H691" t="s">
        <v>747</v>
      </c>
      <c r="I691" t="s">
        <v>22</v>
      </c>
      <c r="J691" t="s">
        <v>31</v>
      </c>
      <c r="K691" t="s">
        <v>24</v>
      </c>
      <c r="L691" t="s">
        <v>25</v>
      </c>
      <c r="M691" s="8">
        <v>1.3726666670000001</v>
      </c>
      <c r="N691" t="s">
        <v>26</v>
      </c>
      <c r="O691" s="8">
        <v>1.3726666670000001</v>
      </c>
      <c r="P691" s="8">
        <f>EXP(-1.363+3.366*LOG(O691,10))</f>
        <v>0.40658758379567089</v>
      </c>
      <c r="Q691" s="8">
        <f>(27433.05*100)/7611378</f>
        <v>0.36042159514348127</v>
      </c>
    </row>
    <row r="692" spans="1:17" x14ac:dyDescent="0.2">
      <c r="A692">
        <v>2011</v>
      </c>
      <c r="B692" t="s">
        <v>848</v>
      </c>
      <c r="C692" t="s">
        <v>57</v>
      </c>
      <c r="D692" t="s">
        <v>58</v>
      </c>
      <c r="E692">
        <v>6</v>
      </c>
      <c r="F692" t="s">
        <v>19</v>
      </c>
      <c r="G692" t="s">
        <v>352</v>
      </c>
      <c r="H692" t="s">
        <v>747</v>
      </c>
      <c r="I692" t="s">
        <v>22</v>
      </c>
      <c r="J692" t="s">
        <v>31</v>
      </c>
      <c r="K692" t="s">
        <v>24</v>
      </c>
      <c r="L692" t="s">
        <v>25</v>
      </c>
      <c r="M692" s="8">
        <v>1.3726666670000001</v>
      </c>
      <c r="N692" t="s">
        <v>26</v>
      </c>
      <c r="O692" s="8">
        <v>1.3726666670000001</v>
      </c>
      <c r="P692" s="8">
        <f>EXP(-1.363+3.366*LOG(O692,10))</f>
        <v>0.40658758379567089</v>
      </c>
      <c r="Q692" s="8">
        <f>(321151.3*100)/5927002</f>
        <v>5.4184442657518925</v>
      </c>
    </row>
    <row r="693" spans="1:17" x14ac:dyDescent="0.2">
      <c r="A693">
        <v>2011</v>
      </c>
      <c r="B693" t="s">
        <v>849</v>
      </c>
      <c r="C693" t="s">
        <v>30</v>
      </c>
      <c r="D693" t="s">
        <v>95</v>
      </c>
      <c r="E693">
        <v>7</v>
      </c>
      <c r="F693" t="s">
        <v>19</v>
      </c>
      <c r="G693" t="s">
        <v>352</v>
      </c>
      <c r="H693" t="s">
        <v>747</v>
      </c>
      <c r="I693" t="s">
        <v>22</v>
      </c>
      <c r="J693" t="s">
        <v>31</v>
      </c>
      <c r="K693" t="s">
        <v>24</v>
      </c>
      <c r="L693" t="s">
        <v>25</v>
      </c>
      <c r="M693" s="8">
        <v>1.3726666670000001</v>
      </c>
      <c r="N693" t="s">
        <v>26</v>
      </c>
      <c r="O693" s="8">
        <v>1.3726666670000001</v>
      </c>
      <c r="P693" s="8">
        <f>EXP(-1.363+3.366*LOG(O693,10))</f>
        <v>0.40658758379567089</v>
      </c>
      <c r="Q693" s="8">
        <f>(34897.31*100)/4728180</f>
        <v>0.73807067412831151</v>
      </c>
    </row>
    <row r="694" spans="1:17" x14ac:dyDescent="0.2">
      <c r="A694">
        <v>2011</v>
      </c>
      <c r="B694" t="s">
        <v>850</v>
      </c>
      <c r="C694" t="s">
        <v>30</v>
      </c>
      <c r="D694" t="s">
        <v>95</v>
      </c>
      <c r="E694">
        <v>7</v>
      </c>
      <c r="F694" t="s">
        <v>19</v>
      </c>
      <c r="G694" t="s">
        <v>352</v>
      </c>
      <c r="H694" t="s">
        <v>747</v>
      </c>
      <c r="I694" t="s">
        <v>22</v>
      </c>
      <c r="J694" t="s">
        <v>31</v>
      </c>
      <c r="K694" t="s">
        <v>24</v>
      </c>
      <c r="L694" t="s">
        <v>25</v>
      </c>
      <c r="M694" s="8">
        <v>1.3726666670000001</v>
      </c>
      <c r="N694" t="s">
        <v>26</v>
      </c>
      <c r="O694" s="8">
        <v>1.3726666670000001</v>
      </c>
      <c r="P694" s="8">
        <f>EXP(-1.363+3.366*LOG(O694,10))</f>
        <v>0.40658758379567089</v>
      </c>
      <c r="Q694" s="8">
        <f>(34897.31*100)/4728180</f>
        <v>0.73807067412831151</v>
      </c>
    </row>
    <row r="695" spans="1:17" x14ac:dyDescent="0.2">
      <c r="A695">
        <v>2011</v>
      </c>
      <c r="B695" t="s">
        <v>851</v>
      </c>
      <c r="C695" t="s">
        <v>30</v>
      </c>
      <c r="D695" t="s">
        <v>95</v>
      </c>
      <c r="E695">
        <v>7</v>
      </c>
      <c r="F695" t="s">
        <v>19</v>
      </c>
      <c r="G695" t="s">
        <v>352</v>
      </c>
      <c r="H695" t="s">
        <v>747</v>
      </c>
      <c r="I695" t="s">
        <v>22</v>
      </c>
      <c r="J695" t="s">
        <v>31</v>
      </c>
      <c r="K695" t="s">
        <v>24</v>
      </c>
      <c r="L695" t="s">
        <v>25</v>
      </c>
      <c r="M695" s="8">
        <v>1.3726666670000001</v>
      </c>
      <c r="N695" t="s">
        <v>26</v>
      </c>
      <c r="O695" s="8">
        <v>1.3726666670000001</v>
      </c>
      <c r="P695" s="8">
        <f>EXP(-1.363+3.366*LOG(O695,10))</f>
        <v>0.40658758379567089</v>
      </c>
      <c r="Q695" s="8">
        <f>(34897.31*100)/4728180</f>
        <v>0.73807067412831151</v>
      </c>
    </row>
    <row r="696" spans="1:17" x14ac:dyDescent="0.2">
      <c r="A696">
        <v>2011</v>
      </c>
      <c r="B696" t="s">
        <v>852</v>
      </c>
      <c r="C696" t="s">
        <v>30</v>
      </c>
      <c r="D696" t="s">
        <v>95</v>
      </c>
      <c r="E696">
        <v>7</v>
      </c>
      <c r="F696" t="s">
        <v>19</v>
      </c>
      <c r="G696" t="s">
        <v>352</v>
      </c>
      <c r="H696" t="s">
        <v>747</v>
      </c>
      <c r="I696" t="s">
        <v>22</v>
      </c>
      <c r="J696" t="s">
        <v>31</v>
      </c>
      <c r="K696" t="s">
        <v>24</v>
      </c>
      <c r="L696" t="s">
        <v>25</v>
      </c>
      <c r="M696" s="8">
        <v>1.3726666670000001</v>
      </c>
      <c r="N696" t="s">
        <v>26</v>
      </c>
      <c r="O696" s="8">
        <v>1.3726666670000001</v>
      </c>
      <c r="P696" s="8">
        <f>EXP(-1.363+3.366*LOG(O696,10))</f>
        <v>0.40658758379567089</v>
      </c>
      <c r="Q696" s="8">
        <f>(34897.31*100)/4728180</f>
        <v>0.73807067412831151</v>
      </c>
    </row>
    <row r="697" spans="1:17" x14ac:dyDescent="0.2">
      <c r="A697">
        <v>2011</v>
      </c>
      <c r="B697" t="s">
        <v>853</v>
      </c>
      <c r="C697" t="s">
        <v>30</v>
      </c>
      <c r="D697" t="s">
        <v>95</v>
      </c>
      <c r="E697">
        <v>7</v>
      </c>
      <c r="F697" t="s">
        <v>19</v>
      </c>
      <c r="G697" t="s">
        <v>352</v>
      </c>
      <c r="H697" t="s">
        <v>747</v>
      </c>
      <c r="I697" t="s">
        <v>22</v>
      </c>
      <c r="J697" t="s">
        <v>31</v>
      </c>
      <c r="K697" t="s">
        <v>24</v>
      </c>
      <c r="L697" t="s">
        <v>25</v>
      </c>
      <c r="M697" s="8">
        <v>1.3726666670000001</v>
      </c>
      <c r="N697" t="s">
        <v>26</v>
      </c>
      <c r="O697" s="8">
        <v>1.3726666670000001</v>
      </c>
      <c r="P697" s="8">
        <f>EXP(-1.363+3.366*LOG(O697,10))</f>
        <v>0.40658758379567089</v>
      </c>
      <c r="Q697" s="8">
        <f>(34897.31*100)/4728180</f>
        <v>0.73807067412831151</v>
      </c>
    </row>
    <row r="698" spans="1:17" x14ac:dyDescent="0.2">
      <c r="A698">
        <v>2011</v>
      </c>
      <c r="B698" t="s">
        <v>854</v>
      </c>
      <c r="C698" t="s">
        <v>30</v>
      </c>
      <c r="D698" t="s">
        <v>95</v>
      </c>
      <c r="E698">
        <v>7</v>
      </c>
      <c r="F698" t="s">
        <v>19</v>
      </c>
      <c r="G698" t="s">
        <v>352</v>
      </c>
      <c r="H698" t="s">
        <v>747</v>
      </c>
      <c r="I698" t="s">
        <v>22</v>
      </c>
      <c r="J698" t="s">
        <v>31</v>
      </c>
      <c r="K698" t="s">
        <v>24</v>
      </c>
      <c r="L698" t="s">
        <v>25</v>
      </c>
      <c r="M698" s="8">
        <v>1.3726666670000001</v>
      </c>
      <c r="N698" t="s">
        <v>26</v>
      </c>
      <c r="O698" s="8">
        <v>1.3726666670000001</v>
      </c>
      <c r="P698" s="8">
        <f>EXP(-1.363+3.366*LOG(O698,10))</f>
        <v>0.40658758379567089</v>
      </c>
      <c r="Q698" s="8">
        <f>(34897.31*100)/4728180</f>
        <v>0.73807067412831151</v>
      </c>
    </row>
    <row r="699" spans="1:17" x14ac:dyDescent="0.2">
      <c r="A699">
        <v>2011</v>
      </c>
      <c r="B699" t="s">
        <v>855</v>
      </c>
      <c r="C699" t="s">
        <v>30</v>
      </c>
      <c r="D699" t="s">
        <v>95</v>
      </c>
      <c r="E699">
        <v>7</v>
      </c>
      <c r="F699" t="s">
        <v>19</v>
      </c>
      <c r="G699" t="s">
        <v>352</v>
      </c>
      <c r="H699" t="s">
        <v>747</v>
      </c>
      <c r="I699" t="s">
        <v>22</v>
      </c>
      <c r="J699" t="s">
        <v>31</v>
      </c>
      <c r="K699" t="s">
        <v>24</v>
      </c>
      <c r="L699" t="s">
        <v>25</v>
      </c>
      <c r="M699" s="8">
        <v>1.3726666670000001</v>
      </c>
      <c r="N699" t="s">
        <v>26</v>
      </c>
      <c r="O699" s="8">
        <v>1.3726666670000001</v>
      </c>
      <c r="P699" s="8">
        <f>EXP(-1.363+3.366*LOG(O699,10))</f>
        <v>0.40658758379567089</v>
      </c>
      <c r="Q699" s="8">
        <f>(34897.31*100)/4728180</f>
        <v>0.73807067412831151</v>
      </c>
    </row>
    <row r="700" spans="1:17" x14ac:dyDescent="0.2">
      <c r="A700">
        <v>2011</v>
      </c>
      <c r="B700" t="s">
        <v>856</v>
      </c>
      <c r="C700" t="s">
        <v>30</v>
      </c>
      <c r="D700" t="s">
        <v>95</v>
      </c>
      <c r="E700">
        <v>7</v>
      </c>
      <c r="F700" t="s">
        <v>19</v>
      </c>
      <c r="G700" t="s">
        <v>352</v>
      </c>
      <c r="H700" t="s">
        <v>747</v>
      </c>
      <c r="I700" t="s">
        <v>22</v>
      </c>
      <c r="J700" t="s">
        <v>31</v>
      </c>
      <c r="K700" t="s">
        <v>24</v>
      </c>
      <c r="L700" t="s">
        <v>25</v>
      </c>
      <c r="M700" s="8">
        <v>1.3726666670000001</v>
      </c>
      <c r="N700" t="s">
        <v>26</v>
      </c>
      <c r="O700" s="8">
        <v>1.3726666670000001</v>
      </c>
      <c r="P700" s="8">
        <f>EXP(-1.363+3.366*LOG(O700,10))</f>
        <v>0.40658758379567089</v>
      </c>
      <c r="Q700" s="8">
        <f>(34897.31*100)/4728180</f>
        <v>0.73807067412831151</v>
      </c>
    </row>
    <row r="701" spans="1:17" x14ac:dyDescent="0.2">
      <c r="A701">
        <v>2011</v>
      </c>
      <c r="B701" t="s">
        <v>857</v>
      </c>
      <c r="C701" t="s">
        <v>30</v>
      </c>
      <c r="D701" t="s">
        <v>95</v>
      </c>
      <c r="E701">
        <v>7</v>
      </c>
      <c r="F701" t="s">
        <v>19</v>
      </c>
      <c r="G701" t="s">
        <v>352</v>
      </c>
      <c r="H701" t="s">
        <v>747</v>
      </c>
      <c r="I701" t="s">
        <v>22</v>
      </c>
      <c r="J701" t="s">
        <v>31</v>
      </c>
      <c r="K701" t="s">
        <v>24</v>
      </c>
      <c r="L701" t="s">
        <v>25</v>
      </c>
      <c r="M701" s="8">
        <v>1.3726666670000001</v>
      </c>
      <c r="N701" t="s">
        <v>26</v>
      </c>
      <c r="O701" s="8">
        <v>1.3726666670000001</v>
      </c>
      <c r="P701" s="8">
        <f>EXP(-1.363+3.366*LOG(O701,10))</f>
        <v>0.40658758379567089</v>
      </c>
      <c r="Q701" s="8">
        <f>(34897.31*100)/4728180</f>
        <v>0.73807067412831151</v>
      </c>
    </row>
    <row r="702" spans="1:17" x14ac:dyDescent="0.2">
      <c r="A702">
        <v>2011</v>
      </c>
      <c r="B702" t="s">
        <v>858</v>
      </c>
      <c r="C702" t="s">
        <v>30</v>
      </c>
      <c r="D702" t="s">
        <v>95</v>
      </c>
      <c r="E702">
        <v>7</v>
      </c>
      <c r="F702" t="s">
        <v>19</v>
      </c>
      <c r="G702" t="s">
        <v>352</v>
      </c>
      <c r="H702" t="s">
        <v>747</v>
      </c>
      <c r="I702" t="s">
        <v>22</v>
      </c>
      <c r="J702" t="s">
        <v>31</v>
      </c>
      <c r="K702" t="s">
        <v>24</v>
      </c>
      <c r="L702" t="s">
        <v>25</v>
      </c>
      <c r="M702" s="8">
        <v>1.3726666670000001</v>
      </c>
      <c r="N702" t="s">
        <v>26</v>
      </c>
      <c r="O702" s="8">
        <v>1.3726666670000001</v>
      </c>
      <c r="P702" s="8">
        <f>EXP(-1.363+3.366*LOG(O702,10))</f>
        <v>0.40658758379567089</v>
      </c>
      <c r="Q702" s="8">
        <f>(34897.31*100)/4728180</f>
        <v>0.73807067412831151</v>
      </c>
    </row>
    <row r="703" spans="1:17" x14ac:dyDescent="0.2">
      <c r="A703">
        <v>2011</v>
      </c>
      <c r="B703" t="s">
        <v>859</v>
      </c>
      <c r="C703" t="s">
        <v>30</v>
      </c>
      <c r="D703" t="s">
        <v>95</v>
      </c>
      <c r="E703">
        <v>7</v>
      </c>
      <c r="F703" t="s">
        <v>19</v>
      </c>
      <c r="G703" t="s">
        <v>352</v>
      </c>
      <c r="H703" t="s">
        <v>747</v>
      </c>
      <c r="I703" t="s">
        <v>22</v>
      </c>
      <c r="J703" t="s">
        <v>31</v>
      </c>
      <c r="K703" t="s">
        <v>24</v>
      </c>
      <c r="L703" t="s">
        <v>25</v>
      </c>
      <c r="M703" s="8">
        <v>1.3726666670000001</v>
      </c>
      <c r="N703" t="s">
        <v>26</v>
      </c>
      <c r="O703" s="8">
        <v>1.3726666670000001</v>
      </c>
      <c r="P703" s="8">
        <f>EXP(-1.363+3.366*LOG(O703,10))</f>
        <v>0.40658758379567089</v>
      </c>
      <c r="Q703" s="8">
        <f>(34897.31*100)/4728180</f>
        <v>0.73807067412831151</v>
      </c>
    </row>
    <row r="704" spans="1:17" x14ac:dyDescent="0.2">
      <c r="A704">
        <v>2011</v>
      </c>
      <c r="B704" t="s">
        <v>860</v>
      </c>
      <c r="C704" t="s">
        <v>30</v>
      </c>
      <c r="D704" t="s">
        <v>95</v>
      </c>
      <c r="E704">
        <v>7</v>
      </c>
      <c r="F704" t="s">
        <v>19</v>
      </c>
      <c r="G704" t="s">
        <v>352</v>
      </c>
      <c r="H704" t="s">
        <v>747</v>
      </c>
      <c r="I704" t="s">
        <v>22</v>
      </c>
      <c r="J704" t="s">
        <v>31</v>
      </c>
      <c r="K704" t="s">
        <v>24</v>
      </c>
      <c r="L704" t="s">
        <v>25</v>
      </c>
      <c r="M704" s="8">
        <v>1.3726666670000001</v>
      </c>
      <c r="N704" t="s">
        <v>26</v>
      </c>
      <c r="O704" s="8">
        <v>1.3726666670000001</v>
      </c>
      <c r="P704" s="8">
        <f>EXP(-1.363+3.366*LOG(O704,10))</f>
        <v>0.40658758379567089</v>
      </c>
      <c r="Q704" s="8">
        <f>(34897.31*100)/4728180</f>
        <v>0.73807067412831151</v>
      </c>
    </row>
    <row r="705" spans="1:17" x14ac:dyDescent="0.2">
      <c r="A705">
        <v>2011</v>
      </c>
      <c r="B705" t="s">
        <v>861</v>
      </c>
      <c r="C705" t="s">
        <v>30</v>
      </c>
      <c r="D705" t="s">
        <v>95</v>
      </c>
      <c r="E705">
        <v>7</v>
      </c>
      <c r="F705" t="s">
        <v>19</v>
      </c>
      <c r="G705" t="s">
        <v>352</v>
      </c>
      <c r="H705" t="s">
        <v>747</v>
      </c>
      <c r="I705" t="s">
        <v>22</v>
      </c>
      <c r="J705" t="s">
        <v>31</v>
      </c>
      <c r="K705" t="s">
        <v>24</v>
      </c>
      <c r="L705" t="s">
        <v>25</v>
      </c>
      <c r="M705" s="8">
        <v>1.3726666670000001</v>
      </c>
      <c r="N705" t="s">
        <v>26</v>
      </c>
      <c r="O705" s="8">
        <v>1.3726666670000001</v>
      </c>
      <c r="P705" s="8">
        <f>EXP(-1.363+3.366*LOG(O705,10))</f>
        <v>0.40658758379567089</v>
      </c>
      <c r="Q705" s="8">
        <f>(34897.31*100)/4728180</f>
        <v>0.73807067412831151</v>
      </c>
    </row>
    <row r="706" spans="1:17" x14ac:dyDescent="0.2">
      <c r="A706">
        <v>2011</v>
      </c>
      <c r="B706" t="s">
        <v>862</v>
      </c>
      <c r="C706" t="s">
        <v>30</v>
      </c>
      <c r="D706" t="s">
        <v>95</v>
      </c>
      <c r="E706">
        <v>7</v>
      </c>
      <c r="F706" t="s">
        <v>19</v>
      </c>
      <c r="G706" t="s">
        <v>352</v>
      </c>
      <c r="H706" t="s">
        <v>747</v>
      </c>
      <c r="I706" t="s">
        <v>22</v>
      </c>
      <c r="J706" t="s">
        <v>31</v>
      </c>
      <c r="K706" t="s">
        <v>24</v>
      </c>
      <c r="L706" t="s">
        <v>25</v>
      </c>
      <c r="M706" s="8">
        <v>1.3726666670000001</v>
      </c>
      <c r="N706" t="s">
        <v>26</v>
      </c>
      <c r="O706" s="8">
        <v>1.3726666670000001</v>
      </c>
      <c r="P706" s="8">
        <f>EXP(-1.363+3.366*LOG(O706,10))</f>
        <v>0.40658758379567089</v>
      </c>
      <c r="Q706" s="8">
        <f>(34897.31*100)/4728180</f>
        <v>0.73807067412831151</v>
      </c>
    </row>
    <row r="707" spans="1:17" x14ac:dyDescent="0.2">
      <c r="A707">
        <v>2011</v>
      </c>
      <c r="B707" t="s">
        <v>863</v>
      </c>
      <c r="C707" t="s">
        <v>30</v>
      </c>
      <c r="D707" t="s">
        <v>95</v>
      </c>
      <c r="E707">
        <v>7</v>
      </c>
      <c r="F707" t="s">
        <v>19</v>
      </c>
      <c r="G707" t="s">
        <v>352</v>
      </c>
      <c r="H707" t="s">
        <v>747</v>
      </c>
      <c r="I707" t="s">
        <v>22</v>
      </c>
      <c r="J707" t="s">
        <v>31</v>
      </c>
      <c r="K707" t="s">
        <v>24</v>
      </c>
      <c r="L707" t="s">
        <v>25</v>
      </c>
      <c r="M707" s="8">
        <v>1.3726666670000001</v>
      </c>
      <c r="N707" t="s">
        <v>26</v>
      </c>
      <c r="O707" s="8">
        <v>1.3726666670000001</v>
      </c>
      <c r="P707" s="8">
        <f>EXP(-1.363+3.366*LOG(O707,10))</f>
        <v>0.40658758379567089</v>
      </c>
      <c r="Q707" s="8">
        <f>(34897.31*100)/4728180</f>
        <v>0.73807067412831151</v>
      </c>
    </row>
    <row r="708" spans="1:17" x14ac:dyDescent="0.2">
      <c r="A708">
        <v>2011</v>
      </c>
      <c r="B708" t="s">
        <v>864</v>
      </c>
      <c r="C708" t="s">
        <v>30</v>
      </c>
      <c r="D708" t="s">
        <v>95</v>
      </c>
      <c r="E708">
        <v>7</v>
      </c>
      <c r="F708" t="s">
        <v>19</v>
      </c>
      <c r="G708" t="s">
        <v>352</v>
      </c>
      <c r="H708" t="s">
        <v>747</v>
      </c>
      <c r="I708" t="s">
        <v>22</v>
      </c>
      <c r="J708" t="s">
        <v>31</v>
      </c>
      <c r="K708" t="s">
        <v>24</v>
      </c>
      <c r="L708" t="s">
        <v>25</v>
      </c>
      <c r="M708" s="8">
        <v>1.3726666670000001</v>
      </c>
      <c r="N708" t="s">
        <v>26</v>
      </c>
      <c r="O708" s="8">
        <v>1.3726666670000001</v>
      </c>
      <c r="P708" s="8">
        <f>EXP(-1.363+3.366*LOG(O708,10))</f>
        <v>0.40658758379567089</v>
      </c>
      <c r="Q708" s="8">
        <f>(34897.31*100)/4728180</f>
        <v>0.73807067412831151</v>
      </c>
    </row>
    <row r="709" spans="1:17" x14ac:dyDescent="0.2">
      <c r="A709">
        <v>2011</v>
      </c>
      <c r="B709" t="s">
        <v>865</v>
      </c>
      <c r="C709" t="s">
        <v>30</v>
      </c>
      <c r="D709" t="s">
        <v>95</v>
      </c>
      <c r="E709">
        <v>7</v>
      </c>
      <c r="F709" t="s">
        <v>19</v>
      </c>
      <c r="G709" t="s">
        <v>352</v>
      </c>
      <c r="H709" t="s">
        <v>747</v>
      </c>
      <c r="I709" t="s">
        <v>22</v>
      </c>
      <c r="J709" t="s">
        <v>31</v>
      </c>
      <c r="K709" t="s">
        <v>24</v>
      </c>
      <c r="L709" t="s">
        <v>25</v>
      </c>
      <c r="M709" s="8">
        <v>1.3726666670000001</v>
      </c>
      <c r="N709" t="s">
        <v>26</v>
      </c>
      <c r="O709" s="8">
        <v>1.3726666670000001</v>
      </c>
      <c r="P709" s="8">
        <f>EXP(-1.363+3.366*LOG(O709,10))</f>
        <v>0.40658758379567089</v>
      </c>
      <c r="Q709" s="8">
        <f>(34897.31*100)/4728180</f>
        <v>0.73807067412831151</v>
      </c>
    </row>
    <row r="710" spans="1:17" x14ac:dyDescent="0.2">
      <c r="A710">
        <v>2011</v>
      </c>
      <c r="B710" t="s">
        <v>866</v>
      </c>
      <c r="C710" t="s">
        <v>30</v>
      </c>
      <c r="D710" t="s">
        <v>95</v>
      </c>
      <c r="E710">
        <v>7</v>
      </c>
      <c r="F710" t="s">
        <v>19</v>
      </c>
      <c r="G710" t="s">
        <v>352</v>
      </c>
      <c r="H710" t="s">
        <v>747</v>
      </c>
      <c r="I710" t="s">
        <v>22</v>
      </c>
      <c r="J710" t="s">
        <v>31</v>
      </c>
      <c r="K710" t="s">
        <v>24</v>
      </c>
      <c r="L710" t="s">
        <v>25</v>
      </c>
      <c r="M710" s="8">
        <v>1.3726666670000001</v>
      </c>
      <c r="N710" t="s">
        <v>26</v>
      </c>
      <c r="O710" s="8">
        <v>1.3726666670000001</v>
      </c>
      <c r="P710" s="8">
        <f>EXP(-1.363+3.366*LOG(O710,10))</f>
        <v>0.40658758379567089</v>
      </c>
      <c r="Q710" s="8">
        <f>(34897.31*100)/4728180</f>
        <v>0.73807067412831151</v>
      </c>
    </row>
    <row r="711" spans="1:17" x14ac:dyDescent="0.2">
      <c r="A711">
        <v>2011</v>
      </c>
      <c r="B711" t="s">
        <v>867</v>
      </c>
      <c r="C711" t="s">
        <v>30</v>
      </c>
      <c r="D711" t="s">
        <v>95</v>
      </c>
      <c r="E711">
        <v>7</v>
      </c>
      <c r="F711" t="s">
        <v>19</v>
      </c>
      <c r="G711" t="s">
        <v>352</v>
      </c>
      <c r="H711" t="s">
        <v>747</v>
      </c>
      <c r="I711" t="s">
        <v>22</v>
      </c>
      <c r="J711" t="s">
        <v>31</v>
      </c>
      <c r="K711" t="s">
        <v>24</v>
      </c>
      <c r="L711" t="s">
        <v>25</v>
      </c>
      <c r="M711" s="8">
        <v>1.3726666670000001</v>
      </c>
      <c r="N711" t="s">
        <v>26</v>
      </c>
      <c r="O711" s="8">
        <v>1.3726666670000001</v>
      </c>
      <c r="P711" s="8">
        <f>EXP(-1.363+3.366*LOG(O711,10))</f>
        <v>0.40658758379567089</v>
      </c>
      <c r="Q711" s="8">
        <f>(34897.31*100)/4728180</f>
        <v>0.73807067412831151</v>
      </c>
    </row>
    <row r="712" spans="1:17" x14ac:dyDescent="0.2">
      <c r="A712">
        <v>2011</v>
      </c>
      <c r="B712" t="s">
        <v>868</v>
      </c>
      <c r="C712" t="s">
        <v>30</v>
      </c>
      <c r="D712" t="s">
        <v>95</v>
      </c>
      <c r="E712">
        <v>7</v>
      </c>
      <c r="F712" t="s">
        <v>19</v>
      </c>
      <c r="G712" t="s">
        <v>352</v>
      </c>
      <c r="H712" t="s">
        <v>747</v>
      </c>
      <c r="I712" t="s">
        <v>22</v>
      </c>
      <c r="J712" t="s">
        <v>31</v>
      </c>
      <c r="K712" t="s">
        <v>24</v>
      </c>
      <c r="L712" t="s">
        <v>25</v>
      </c>
      <c r="M712" s="8">
        <v>1.3726666670000001</v>
      </c>
      <c r="N712" t="s">
        <v>26</v>
      </c>
      <c r="O712" s="8">
        <v>1.3726666670000001</v>
      </c>
      <c r="P712" s="8">
        <f>EXP(-1.363+3.366*LOG(O712,10))</f>
        <v>0.40658758379567089</v>
      </c>
      <c r="Q712" s="8">
        <f>(34897.31*100)/4728180</f>
        <v>0.73807067412831151</v>
      </c>
    </row>
    <row r="713" spans="1:17" x14ac:dyDescent="0.2">
      <c r="A713">
        <v>2011</v>
      </c>
      <c r="B713" t="s">
        <v>869</v>
      </c>
      <c r="C713" t="s">
        <v>30</v>
      </c>
      <c r="D713" t="s">
        <v>95</v>
      </c>
      <c r="E713">
        <v>7</v>
      </c>
      <c r="F713" t="s">
        <v>19</v>
      </c>
      <c r="G713" t="s">
        <v>352</v>
      </c>
      <c r="H713" t="s">
        <v>747</v>
      </c>
      <c r="I713" t="s">
        <v>22</v>
      </c>
      <c r="J713" t="s">
        <v>31</v>
      </c>
      <c r="K713" t="s">
        <v>24</v>
      </c>
      <c r="L713" t="s">
        <v>25</v>
      </c>
      <c r="M713" s="8">
        <v>1.3726666670000001</v>
      </c>
      <c r="N713" t="s">
        <v>26</v>
      </c>
      <c r="O713" s="8">
        <v>1.3726666670000001</v>
      </c>
      <c r="P713" s="8">
        <f>EXP(-1.363+3.366*LOG(O713,10))</f>
        <v>0.40658758379567089</v>
      </c>
      <c r="Q713" s="8">
        <f>(34897.31*100)/4728180</f>
        <v>0.73807067412831151</v>
      </c>
    </row>
    <row r="714" spans="1:17" x14ac:dyDescent="0.2">
      <c r="A714">
        <v>2011</v>
      </c>
      <c r="B714" t="s">
        <v>870</v>
      </c>
      <c r="C714" t="s">
        <v>30</v>
      </c>
      <c r="D714" t="s">
        <v>95</v>
      </c>
      <c r="E714">
        <v>7</v>
      </c>
      <c r="F714" t="s">
        <v>19</v>
      </c>
      <c r="G714" t="s">
        <v>352</v>
      </c>
      <c r="H714" t="s">
        <v>747</v>
      </c>
      <c r="I714" t="s">
        <v>22</v>
      </c>
      <c r="J714" t="s">
        <v>31</v>
      </c>
      <c r="K714" t="s">
        <v>24</v>
      </c>
      <c r="L714" t="s">
        <v>25</v>
      </c>
      <c r="M714" s="8">
        <v>1.3726666670000001</v>
      </c>
      <c r="N714" t="s">
        <v>26</v>
      </c>
      <c r="O714" s="8">
        <v>1.3726666670000001</v>
      </c>
      <c r="P714" s="8">
        <f>EXP(-1.363+3.366*LOG(O714,10))</f>
        <v>0.40658758379567089</v>
      </c>
      <c r="Q714" s="8">
        <f>(34897.31*100)/4728180</f>
        <v>0.73807067412831151</v>
      </c>
    </row>
    <row r="715" spans="1:17" x14ac:dyDescent="0.2">
      <c r="A715">
        <v>2011</v>
      </c>
      <c r="B715" t="s">
        <v>871</v>
      </c>
      <c r="C715" t="s">
        <v>30</v>
      </c>
      <c r="D715" t="s">
        <v>95</v>
      </c>
      <c r="E715">
        <v>7</v>
      </c>
      <c r="F715" t="s">
        <v>19</v>
      </c>
      <c r="G715" t="s">
        <v>352</v>
      </c>
      <c r="H715" t="s">
        <v>747</v>
      </c>
      <c r="I715" t="s">
        <v>22</v>
      </c>
      <c r="J715" t="s">
        <v>31</v>
      </c>
      <c r="K715" t="s">
        <v>24</v>
      </c>
      <c r="L715" t="s">
        <v>25</v>
      </c>
      <c r="M715" s="8">
        <v>1.3726666670000001</v>
      </c>
      <c r="N715" t="s">
        <v>26</v>
      </c>
      <c r="O715" s="8">
        <v>1.3726666670000001</v>
      </c>
      <c r="P715" s="8">
        <f>EXP(-1.363+3.366*LOG(O715,10))</f>
        <v>0.40658758379567089</v>
      </c>
      <c r="Q715" s="8">
        <f>(34897.31*100)/4728180</f>
        <v>0.73807067412831151</v>
      </c>
    </row>
    <row r="716" spans="1:17" x14ac:dyDescent="0.2">
      <c r="A716">
        <v>2011</v>
      </c>
      <c r="B716" t="s">
        <v>872</v>
      </c>
      <c r="C716" t="s">
        <v>57</v>
      </c>
      <c r="D716" t="s">
        <v>58</v>
      </c>
      <c r="E716">
        <v>6</v>
      </c>
      <c r="F716" t="s">
        <v>19</v>
      </c>
      <c r="G716" t="s">
        <v>352</v>
      </c>
      <c r="H716" t="s">
        <v>747</v>
      </c>
      <c r="I716" t="s">
        <v>22</v>
      </c>
      <c r="J716" t="s">
        <v>31</v>
      </c>
      <c r="K716" t="s">
        <v>24</v>
      </c>
      <c r="L716" t="s">
        <v>25</v>
      </c>
      <c r="M716" s="8">
        <v>1.3726666670000001</v>
      </c>
      <c r="N716" t="s">
        <v>26</v>
      </c>
      <c r="O716" s="8">
        <v>1.3726666670000001</v>
      </c>
      <c r="P716" s="8">
        <f>EXP(-1.363+3.366*LOG(O716,10))</f>
        <v>0.40658758379567089</v>
      </c>
      <c r="Q716" s="8">
        <f>(321151.3*100)/5927002</f>
        <v>5.4184442657518925</v>
      </c>
    </row>
    <row r="717" spans="1:17" x14ac:dyDescent="0.2">
      <c r="A717">
        <v>2011</v>
      </c>
      <c r="B717" t="s">
        <v>873</v>
      </c>
      <c r="C717" t="s">
        <v>57</v>
      </c>
      <c r="D717" t="s">
        <v>58</v>
      </c>
      <c r="E717">
        <v>6</v>
      </c>
      <c r="F717" t="s">
        <v>19</v>
      </c>
      <c r="G717" t="s">
        <v>352</v>
      </c>
      <c r="H717" t="s">
        <v>747</v>
      </c>
      <c r="I717" t="s">
        <v>22</v>
      </c>
      <c r="J717" t="s">
        <v>31</v>
      </c>
      <c r="K717" t="s">
        <v>24</v>
      </c>
      <c r="L717" t="s">
        <v>25</v>
      </c>
      <c r="M717" s="8">
        <v>1.3726666670000001</v>
      </c>
      <c r="N717" t="s">
        <v>26</v>
      </c>
      <c r="O717" s="8">
        <v>1.3726666670000001</v>
      </c>
      <c r="P717" s="8">
        <f>EXP(-1.363+3.366*LOG(O717,10))</f>
        <v>0.40658758379567089</v>
      </c>
      <c r="Q717" s="8">
        <f>(321151.3*100)/5927002</f>
        <v>5.4184442657518925</v>
      </c>
    </row>
    <row r="718" spans="1:17" x14ac:dyDescent="0.2">
      <c r="A718">
        <v>2011</v>
      </c>
      <c r="B718" t="s">
        <v>874</v>
      </c>
      <c r="C718" t="s">
        <v>57</v>
      </c>
      <c r="D718" t="s">
        <v>58</v>
      </c>
      <c r="E718">
        <v>6</v>
      </c>
      <c r="F718" t="s">
        <v>19</v>
      </c>
      <c r="G718" t="s">
        <v>352</v>
      </c>
      <c r="H718" t="s">
        <v>747</v>
      </c>
      <c r="I718" t="s">
        <v>22</v>
      </c>
      <c r="J718" t="s">
        <v>31</v>
      </c>
      <c r="K718" t="s">
        <v>24</v>
      </c>
      <c r="L718" t="s">
        <v>25</v>
      </c>
      <c r="M718" s="8">
        <v>1.3726666670000001</v>
      </c>
      <c r="N718" t="s">
        <v>26</v>
      </c>
      <c r="O718" s="8">
        <v>1.3726666670000001</v>
      </c>
      <c r="P718" s="8">
        <f>EXP(-1.363+3.366*LOG(O718,10))</f>
        <v>0.40658758379567089</v>
      </c>
      <c r="Q718" s="8">
        <f>(321151.3*100)/5927002</f>
        <v>5.4184442657518925</v>
      </c>
    </row>
    <row r="719" spans="1:17" x14ac:dyDescent="0.2">
      <c r="A719">
        <v>2011</v>
      </c>
      <c r="B719" t="s">
        <v>875</v>
      </c>
      <c r="C719" t="s">
        <v>57</v>
      </c>
      <c r="D719" t="s">
        <v>58</v>
      </c>
      <c r="E719">
        <v>6</v>
      </c>
      <c r="F719" t="s">
        <v>19</v>
      </c>
      <c r="G719" t="s">
        <v>352</v>
      </c>
      <c r="H719" t="s">
        <v>747</v>
      </c>
      <c r="I719" t="s">
        <v>22</v>
      </c>
      <c r="J719" t="s">
        <v>31</v>
      </c>
      <c r="K719" t="s">
        <v>24</v>
      </c>
      <c r="L719" t="s">
        <v>25</v>
      </c>
      <c r="M719" s="8">
        <v>1.3726666670000001</v>
      </c>
      <c r="N719" t="s">
        <v>26</v>
      </c>
      <c r="O719" s="8">
        <v>1.3726666670000001</v>
      </c>
      <c r="P719" s="8">
        <f>EXP(-1.363+3.366*LOG(O719,10))</f>
        <v>0.40658758379567089</v>
      </c>
      <c r="Q719" s="8">
        <f>(321151.3*100)/5927002</f>
        <v>5.4184442657518925</v>
      </c>
    </row>
    <row r="720" spans="1:17" x14ac:dyDescent="0.2">
      <c r="A720">
        <v>2011</v>
      </c>
      <c r="B720" t="s">
        <v>876</v>
      </c>
      <c r="C720" t="s">
        <v>57</v>
      </c>
      <c r="D720" t="s">
        <v>58</v>
      </c>
      <c r="E720">
        <v>6</v>
      </c>
      <c r="F720" t="s">
        <v>19</v>
      </c>
      <c r="G720" t="s">
        <v>352</v>
      </c>
      <c r="H720" t="s">
        <v>747</v>
      </c>
      <c r="I720" t="s">
        <v>22</v>
      </c>
      <c r="J720" t="s">
        <v>31</v>
      </c>
      <c r="K720" t="s">
        <v>24</v>
      </c>
      <c r="L720" t="s">
        <v>25</v>
      </c>
      <c r="M720" s="8">
        <v>1.3726666670000001</v>
      </c>
      <c r="N720" t="s">
        <v>26</v>
      </c>
      <c r="O720" s="8">
        <v>1.3726666670000001</v>
      </c>
      <c r="P720" s="8">
        <f>EXP(-1.363+3.366*LOG(O720,10))</f>
        <v>0.40658758379567089</v>
      </c>
      <c r="Q720" s="8">
        <f>(321151.3*100)/5927002</f>
        <v>5.4184442657518925</v>
      </c>
    </row>
    <row r="721" spans="1:17" x14ac:dyDescent="0.2">
      <c r="A721">
        <v>2011</v>
      </c>
      <c r="B721" t="s">
        <v>877</v>
      </c>
      <c r="C721" t="s">
        <v>30</v>
      </c>
      <c r="D721" t="s">
        <v>63</v>
      </c>
      <c r="E721">
        <v>6</v>
      </c>
      <c r="F721" t="s">
        <v>19</v>
      </c>
      <c r="G721" t="s">
        <v>352</v>
      </c>
      <c r="H721" t="s">
        <v>747</v>
      </c>
      <c r="I721" t="s">
        <v>22</v>
      </c>
      <c r="J721" t="s">
        <v>31</v>
      </c>
      <c r="K721" t="s">
        <v>24</v>
      </c>
      <c r="L721" t="s">
        <v>25</v>
      </c>
      <c r="M721" s="8">
        <v>1.3726666670000001</v>
      </c>
      <c r="N721" t="s">
        <v>26</v>
      </c>
      <c r="O721" s="8">
        <v>1.3726666670000001</v>
      </c>
      <c r="P721" s="8">
        <f>EXP(-1.363+3.366*LOG(O721,10))</f>
        <v>0.40658758379567089</v>
      </c>
      <c r="Q721" s="8">
        <f>(34897.31*100)/4728180</f>
        <v>0.73807067412831151</v>
      </c>
    </row>
    <row r="722" spans="1:17" x14ac:dyDescent="0.2">
      <c r="A722">
        <v>2011</v>
      </c>
      <c r="B722" t="s">
        <v>878</v>
      </c>
      <c r="C722" t="s">
        <v>30</v>
      </c>
      <c r="D722" t="s">
        <v>63</v>
      </c>
      <c r="E722">
        <v>6</v>
      </c>
      <c r="F722" t="s">
        <v>19</v>
      </c>
      <c r="G722" t="s">
        <v>352</v>
      </c>
      <c r="H722" t="s">
        <v>747</v>
      </c>
      <c r="I722" t="s">
        <v>22</v>
      </c>
      <c r="J722" t="s">
        <v>31</v>
      </c>
      <c r="K722" t="s">
        <v>24</v>
      </c>
      <c r="L722" t="s">
        <v>25</v>
      </c>
      <c r="M722" s="8">
        <v>1.3726666670000001</v>
      </c>
      <c r="N722" t="s">
        <v>26</v>
      </c>
      <c r="O722" s="8">
        <v>1.3726666670000001</v>
      </c>
      <c r="P722" s="8">
        <f>EXP(-1.363+3.366*LOG(O722,10))</f>
        <v>0.40658758379567089</v>
      </c>
      <c r="Q722" s="8">
        <f>(34897.31*100)/4728180</f>
        <v>0.73807067412831151</v>
      </c>
    </row>
    <row r="723" spans="1:17" x14ac:dyDescent="0.2">
      <c r="A723">
        <v>2011</v>
      </c>
      <c r="B723" t="s">
        <v>879</v>
      </c>
      <c r="C723" t="s">
        <v>30</v>
      </c>
      <c r="D723" t="s">
        <v>63</v>
      </c>
      <c r="E723">
        <v>6</v>
      </c>
      <c r="F723" t="s">
        <v>19</v>
      </c>
      <c r="G723" t="s">
        <v>352</v>
      </c>
      <c r="H723" t="s">
        <v>747</v>
      </c>
      <c r="I723" t="s">
        <v>22</v>
      </c>
      <c r="J723" t="s">
        <v>31</v>
      </c>
      <c r="K723" t="s">
        <v>24</v>
      </c>
      <c r="L723" t="s">
        <v>25</v>
      </c>
      <c r="M723" s="8">
        <v>1.3726666670000001</v>
      </c>
      <c r="N723" t="s">
        <v>26</v>
      </c>
      <c r="O723" s="8">
        <v>1.3726666670000001</v>
      </c>
      <c r="P723" s="8">
        <f>EXP(-1.363+3.366*LOG(O723,10))</f>
        <v>0.40658758379567089</v>
      </c>
      <c r="Q723" s="8">
        <f>(34897.31*100)/4728180</f>
        <v>0.73807067412831151</v>
      </c>
    </row>
    <row r="724" spans="1:17" x14ac:dyDescent="0.2">
      <c r="A724">
        <v>2011</v>
      </c>
      <c r="B724" t="s">
        <v>880</v>
      </c>
      <c r="C724" t="s">
        <v>30</v>
      </c>
      <c r="D724" t="s">
        <v>63</v>
      </c>
      <c r="E724">
        <v>6</v>
      </c>
      <c r="F724" t="s">
        <v>19</v>
      </c>
      <c r="G724" t="s">
        <v>352</v>
      </c>
      <c r="H724" t="s">
        <v>747</v>
      </c>
      <c r="I724" t="s">
        <v>22</v>
      </c>
      <c r="J724" t="s">
        <v>31</v>
      </c>
      <c r="K724" t="s">
        <v>24</v>
      </c>
      <c r="L724" t="s">
        <v>25</v>
      </c>
      <c r="M724" s="8">
        <v>1.3726666670000001</v>
      </c>
      <c r="N724" t="s">
        <v>26</v>
      </c>
      <c r="O724" s="8">
        <v>1.3726666670000001</v>
      </c>
      <c r="P724" s="8">
        <f>EXP(-1.363+3.366*LOG(O724,10))</f>
        <v>0.40658758379567089</v>
      </c>
      <c r="Q724" s="8">
        <f>(34897.31*100)/4728180</f>
        <v>0.73807067412831151</v>
      </c>
    </row>
    <row r="725" spans="1:17" x14ac:dyDescent="0.2">
      <c r="A725">
        <v>2011</v>
      </c>
      <c r="B725" t="s">
        <v>881</v>
      </c>
      <c r="C725" t="s">
        <v>30</v>
      </c>
      <c r="D725" t="s">
        <v>63</v>
      </c>
      <c r="E725">
        <v>6</v>
      </c>
      <c r="F725" t="s">
        <v>19</v>
      </c>
      <c r="G725" t="s">
        <v>352</v>
      </c>
      <c r="H725" t="s">
        <v>747</v>
      </c>
      <c r="I725" t="s">
        <v>22</v>
      </c>
      <c r="J725" t="s">
        <v>31</v>
      </c>
      <c r="K725" t="s">
        <v>24</v>
      </c>
      <c r="L725" t="s">
        <v>25</v>
      </c>
      <c r="M725" s="8">
        <v>1.3726666670000001</v>
      </c>
      <c r="N725" t="s">
        <v>26</v>
      </c>
      <c r="O725" s="8">
        <v>1.3726666670000001</v>
      </c>
      <c r="P725" s="8">
        <f>EXP(-1.363+3.366*LOG(O725,10))</f>
        <v>0.40658758379567089</v>
      </c>
      <c r="Q725" s="8">
        <f>(34897.31*100)/4728180</f>
        <v>0.73807067412831151</v>
      </c>
    </row>
    <row r="726" spans="1:17" x14ac:dyDescent="0.2">
      <c r="A726">
        <v>2011</v>
      </c>
      <c r="B726" t="s">
        <v>882</v>
      </c>
      <c r="C726" t="s">
        <v>30</v>
      </c>
      <c r="D726" t="s">
        <v>63</v>
      </c>
      <c r="E726">
        <v>6</v>
      </c>
      <c r="F726" t="s">
        <v>19</v>
      </c>
      <c r="G726" t="s">
        <v>352</v>
      </c>
      <c r="H726" t="s">
        <v>747</v>
      </c>
      <c r="I726" t="s">
        <v>22</v>
      </c>
      <c r="J726" t="s">
        <v>31</v>
      </c>
      <c r="K726" t="s">
        <v>24</v>
      </c>
      <c r="L726" t="s">
        <v>25</v>
      </c>
      <c r="M726" s="8">
        <v>1.3726666670000001</v>
      </c>
      <c r="N726" t="s">
        <v>26</v>
      </c>
      <c r="O726" s="8">
        <v>1.3726666670000001</v>
      </c>
      <c r="P726" s="8">
        <f>EXP(-1.363+3.366*LOG(O726,10))</f>
        <v>0.40658758379567089</v>
      </c>
      <c r="Q726" s="8">
        <f>(34897.31*100)/4728180</f>
        <v>0.73807067412831151</v>
      </c>
    </row>
    <row r="727" spans="1:17" x14ac:dyDescent="0.2">
      <c r="A727">
        <v>2011</v>
      </c>
      <c r="B727" t="s">
        <v>886</v>
      </c>
      <c r="C727" t="s">
        <v>65</v>
      </c>
      <c r="D727" t="s">
        <v>58</v>
      </c>
      <c r="E727">
        <v>6</v>
      </c>
      <c r="F727" t="s">
        <v>19</v>
      </c>
      <c r="G727" t="s">
        <v>352</v>
      </c>
      <c r="H727" t="s">
        <v>747</v>
      </c>
      <c r="I727" t="s">
        <v>22</v>
      </c>
      <c r="J727" t="s">
        <v>66</v>
      </c>
      <c r="K727" t="s">
        <v>24</v>
      </c>
      <c r="L727" t="s">
        <v>25</v>
      </c>
      <c r="M727" s="8">
        <v>1.3726666670000001</v>
      </c>
      <c r="N727" t="s">
        <v>26</v>
      </c>
      <c r="O727" s="8">
        <v>1.3726666670000001</v>
      </c>
      <c r="P727" s="8">
        <f>EXP(-1.363+3.366*LOG(O727,10))</f>
        <v>0.40658758379567089</v>
      </c>
      <c r="Q727" s="8">
        <f>(1788886*100)/6788946</f>
        <v>26.349981278389901</v>
      </c>
    </row>
    <row r="728" spans="1:17" x14ac:dyDescent="0.2">
      <c r="A728">
        <v>2011</v>
      </c>
      <c r="B728" t="s">
        <v>887</v>
      </c>
      <c r="C728" t="s">
        <v>65</v>
      </c>
      <c r="D728" t="s">
        <v>58</v>
      </c>
      <c r="E728">
        <v>6</v>
      </c>
      <c r="F728" t="s">
        <v>19</v>
      </c>
      <c r="G728" t="s">
        <v>352</v>
      </c>
      <c r="H728" t="s">
        <v>747</v>
      </c>
      <c r="I728" t="s">
        <v>22</v>
      </c>
      <c r="J728" t="s">
        <v>66</v>
      </c>
      <c r="K728" t="s">
        <v>24</v>
      </c>
      <c r="L728" t="s">
        <v>25</v>
      </c>
      <c r="M728" s="8">
        <v>1.3726666670000001</v>
      </c>
      <c r="N728" t="s">
        <v>26</v>
      </c>
      <c r="O728" s="8">
        <v>1.3726666670000001</v>
      </c>
      <c r="P728" s="8">
        <f>EXP(-1.363+3.366*LOG(O728,10))</f>
        <v>0.40658758379567089</v>
      </c>
      <c r="Q728" s="8">
        <f>(1788886*100)/6788946</f>
        <v>26.349981278389901</v>
      </c>
    </row>
    <row r="729" spans="1:17" x14ac:dyDescent="0.2">
      <c r="A729">
        <v>2011</v>
      </c>
      <c r="B729" t="s">
        <v>888</v>
      </c>
      <c r="C729" t="s">
        <v>65</v>
      </c>
      <c r="D729" t="s">
        <v>58</v>
      </c>
      <c r="E729">
        <v>6</v>
      </c>
      <c r="F729" t="s">
        <v>19</v>
      </c>
      <c r="G729" t="s">
        <v>352</v>
      </c>
      <c r="H729" t="s">
        <v>747</v>
      </c>
      <c r="I729" t="s">
        <v>22</v>
      </c>
      <c r="J729" t="s">
        <v>66</v>
      </c>
      <c r="K729" t="s">
        <v>24</v>
      </c>
      <c r="L729" t="s">
        <v>25</v>
      </c>
      <c r="M729" s="8">
        <v>1.3726666670000001</v>
      </c>
      <c r="N729" t="s">
        <v>26</v>
      </c>
      <c r="O729" s="8">
        <v>1.3726666670000001</v>
      </c>
      <c r="P729" s="8">
        <f>EXP(-1.363+3.366*LOG(O729,10))</f>
        <v>0.40658758379567089</v>
      </c>
      <c r="Q729" s="8">
        <f>(1788886*100)/6788946</f>
        <v>26.349981278389901</v>
      </c>
    </row>
    <row r="730" spans="1:17" x14ac:dyDescent="0.2">
      <c r="A730">
        <v>2011</v>
      </c>
      <c r="B730" t="s">
        <v>889</v>
      </c>
      <c r="C730" t="s">
        <v>65</v>
      </c>
      <c r="D730" t="s">
        <v>890</v>
      </c>
      <c r="E730">
        <v>6</v>
      </c>
      <c r="F730" t="s">
        <v>19</v>
      </c>
      <c r="G730" t="s">
        <v>352</v>
      </c>
      <c r="H730" t="s">
        <v>747</v>
      </c>
      <c r="I730" t="s">
        <v>22</v>
      </c>
      <c r="J730" t="s">
        <v>66</v>
      </c>
      <c r="K730" t="s">
        <v>24</v>
      </c>
      <c r="L730" t="s">
        <v>25</v>
      </c>
      <c r="M730" s="8">
        <v>1.3726666670000001</v>
      </c>
      <c r="N730" t="s">
        <v>26</v>
      </c>
      <c r="O730" s="8">
        <v>1.3726666670000001</v>
      </c>
      <c r="P730" s="8">
        <f>EXP(-1.363+3.366*LOG(O730,10))</f>
        <v>0.40658758379567089</v>
      </c>
      <c r="Q730" s="8">
        <f>(1788886*100)/6788946</f>
        <v>26.349981278389901</v>
      </c>
    </row>
    <row r="731" spans="1:17" x14ac:dyDescent="0.2">
      <c r="A731">
        <v>2011</v>
      </c>
      <c r="B731" t="s">
        <v>891</v>
      </c>
      <c r="C731" t="s">
        <v>65</v>
      </c>
      <c r="D731" t="s">
        <v>58</v>
      </c>
      <c r="E731">
        <v>6</v>
      </c>
      <c r="F731" t="s">
        <v>19</v>
      </c>
      <c r="G731" t="s">
        <v>352</v>
      </c>
      <c r="H731" t="s">
        <v>747</v>
      </c>
      <c r="I731" t="s">
        <v>22</v>
      </c>
      <c r="J731" t="s">
        <v>66</v>
      </c>
      <c r="K731" t="s">
        <v>24</v>
      </c>
      <c r="L731" t="s">
        <v>25</v>
      </c>
      <c r="M731" s="8">
        <v>1.3726666670000001</v>
      </c>
      <c r="N731" t="s">
        <v>26</v>
      </c>
      <c r="O731" s="8">
        <v>1.3726666670000001</v>
      </c>
      <c r="P731" s="8">
        <f>EXP(-1.363+3.366*LOG(O731,10))</f>
        <v>0.40658758379567089</v>
      </c>
      <c r="Q731" s="8">
        <f>(1788886*100)/6788946</f>
        <v>26.349981278389901</v>
      </c>
    </row>
    <row r="732" spans="1:17" x14ac:dyDescent="0.2">
      <c r="A732">
        <v>2011</v>
      </c>
      <c r="B732" t="s">
        <v>892</v>
      </c>
      <c r="C732" t="s">
        <v>65</v>
      </c>
      <c r="D732" t="s">
        <v>58</v>
      </c>
      <c r="E732">
        <v>6</v>
      </c>
      <c r="F732" t="s">
        <v>19</v>
      </c>
      <c r="G732" t="s">
        <v>352</v>
      </c>
      <c r="H732" t="s">
        <v>747</v>
      </c>
      <c r="I732" t="s">
        <v>22</v>
      </c>
      <c r="J732" t="s">
        <v>66</v>
      </c>
      <c r="K732" t="s">
        <v>24</v>
      </c>
      <c r="L732" t="s">
        <v>25</v>
      </c>
      <c r="M732" s="8">
        <v>1.3726666670000001</v>
      </c>
      <c r="N732" t="s">
        <v>26</v>
      </c>
      <c r="O732" s="8">
        <v>1.3726666670000001</v>
      </c>
      <c r="P732" s="8">
        <f>EXP(-1.363+3.366*LOG(O732,10))</f>
        <v>0.40658758379567089</v>
      </c>
      <c r="Q732" s="8">
        <f>(1788886*100)/6788946</f>
        <v>26.349981278389901</v>
      </c>
    </row>
    <row r="733" spans="1:17" x14ac:dyDescent="0.2">
      <c r="A733">
        <v>2011</v>
      </c>
      <c r="B733" t="s">
        <v>893</v>
      </c>
      <c r="C733" t="s">
        <v>65</v>
      </c>
      <c r="D733" t="s">
        <v>58</v>
      </c>
      <c r="E733">
        <v>6</v>
      </c>
      <c r="F733" t="s">
        <v>19</v>
      </c>
      <c r="G733" t="s">
        <v>352</v>
      </c>
      <c r="H733" t="s">
        <v>747</v>
      </c>
      <c r="I733" t="s">
        <v>22</v>
      </c>
      <c r="J733" t="s">
        <v>66</v>
      </c>
      <c r="K733" t="s">
        <v>24</v>
      </c>
      <c r="L733" t="s">
        <v>25</v>
      </c>
      <c r="M733" s="8">
        <v>1.3726666670000001</v>
      </c>
      <c r="N733" t="s">
        <v>26</v>
      </c>
      <c r="O733" s="8">
        <v>1.3726666670000001</v>
      </c>
      <c r="P733" s="8">
        <f>EXP(-1.363+3.366*LOG(O733,10))</f>
        <v>0.40658758379567089</v>
      </c>
      <c r="Q733" s="8">
        <f>(1788886*100)/6788946</f>
        <v>26.349981278389901</v>
      </c>
    </row>
    <row r="734" spans="1:17" x14ac:dyDescent="0.2">
      <c r="A734">
        <v>2011</v>
      </c>
      <c r="B734" t="s">
        <v>894</v>
      </c>
      <c r="C734" t="s">
        <v>65</v>
      </c>
      <c r="D734" t="s">
        <v>58</v>
      </c>
      <c r="E734">
        <v>6</v>
      </c>
      <c r="F734" t="s">
        <v>19</v>
      </c>
      <c r="G734" t="s">
        <v>352</v>
      </c>
      <c r="H734" t="s">
        <v>747</v>
      </c>
      <c r="I734" t="s">
        <v>22</v>
      </c>
      <c r="J734" t="s">
        <v>66</v>
      </c>
      <c r="K734" t="s">
        <v>24</v>
      </c>
      <c r="L734" t="s">
        <v>25</v>
      </c>
      <c r="M734" s="8">
        <v>1.3726666670000001</v>
      </c>
      <c r="N734" t="s">
        <v>26</v>
      </c>
      <c r="O734" s="8">
        <v>1.3726666670000001</v>
      </c>
      <c r="P734" s="8">
        <f>EXP(-1.363+3.366*LOG(O734,10))</f>
        <v>0.40658758379567089</v>
      </c>
      <c r="Q734" s="8">
        <f>(1788886*100)/6788946</f>
        <v>26.349981278389901</v>
      </c>
    </row>
    <row r="735" spans="1:17" x14ac:dyDescent="0.2">
      <c r="A735">
        <v>2011</v>
      </c>
      <c r="B735" t="s">
        <v>895</v>
      </c>
      <c r="C735" t="s">
        <v>65</v>
      </c>
      <c r="D735" t="s">
        <v>58</v>
      </c>
      <c r="E735">
        <v>6</v>
      </c>
      <c r="F735" t="s">
        <v>19</v>
      </c>
      <c r="G735" t="s">
        <v>352</v>
      </c>
      <c r="H735" t="s">
        <v>747</v>
      </c>
      <c r="I735" t="s">
        <v>22</v>
      </c>
      <c r="J735" t="s">
        <v>66</v>
      </c>
      <c r="K735" t="s">
        <v>24</v>
      </c>
      <c r="L735" t="s">
        <v>25</v>
      </c>
      <c r="M735" s="8">
        <v>1.3726666670000001</v>
      </c>
      <c r="N735" t="s">
        <v>26</v>
      </c>
      <c r="O735" s="8">
        <v>1.3726666670000001</v>
      </c>
      <c r="P735" s="8">
        <f>EXP(-1.363+3.366*LOG(O735,10))</f>
        <v>0.40658758379567089</v>
      </c>
      <c r="Q735" s="8">
        <f>(1788886*100)/6788946</f>
        <v>26.349981278389901</v>
      </c>
    </row>
    <row r="736" spans="1:17" x14ac:dyDescent="0.2">
      <c r="A736">
        <v>2011</v>
      </c>
      <c r="B736" t="s">
        <v>896</v>
      </c>
      <c r="C736" t="s">
        <v>65</v>
      </c>
      <c r="D736" t="s">
        <v>58</v>
      </c>
      <c r="E736">
        <v>6</v>
      </c>
      <c r="F736" t="s">
        <v>19</v>
      </c>
      <c r="G736" t="s">
        <v>352</v>
      </c>
      <c r="H736" t="s">
        <v>747</v>
      </c>
      <c r="I736" t="s">
        <v>22</v>
      </c>
      <c r="J736" t="s">
        <v>66</v>
      </c>
      <c r="K736" t="s">
        <v>24</v>
      </c>
      <c r="L736" t="s">
        <v>25</v>
      </c>
      <c r="M736" s="8">
        <v>1.3726666670000001</v>
      </c>
      <c r="N736" t="s">
        <v>26</v>
      </c>
      <c r="O736" s="8">
        <v>1.3726666670000001</v>
      </c>
      <c r="P736" s="8">
        <f>EXP(-1.363+3.366*LOG(O736,10))</f>
        <v>0.40658758379567089</v>
      </c>
      <c r="Q736" s="8">
        <f>(1788886*100)/6788946</f>
        <v>26.349981278389901</v>
      </c>
    </row>
    <row r="737" spans="1:17" x14ac:dyDescent="0.2">
      <c r="A737">
        <v>2011</v>
      </c>
      <c r="B737" t="s">
        <v>898</v>
      </c>
      <c r="C737" t="s">
        <v>65</v>
      </c>
      <c r="D737" t="s">
        <v>58</v>
      </c>
      <c r="E737">
        <v>6</v>
      </c>
      <c r="F737" t="s">
        <v>19</v>
      </c>
      <c r="G737" t="s">
        <v>352</v>
      </c>
      <c r="H737" t="s">
        <v>747</v>
      </c>
      <c r="I737" t="s">
        <v>22</v>
      </c>
      <c r="J737" t="s">
        <v>66</v>
      </c>
      <c r="K737" t="s">
        <v>24</v>
      </c>
      <c r="L737" t="s">
        <v>25</v>
      </c>
      <c r="M737" s="8">
        <v>1.3726666670000001</v>
      </c>
      <c r="N737" t="s">
        <v>26</v>
      </c>
      <c r="O737" s="8">
        <v>1.3726666670000001</v>
      </c>
      <c r="P737" s="8">
        <f>EXP(-1.363+3.366*LOG(O737,10))</f>
        <v>0.40658758379567089</v>
      </c>
      <c r="Q737" s="8">
        <f>(1788886*100)/6788946</f>
        <v>26.349981278389901</v>
      </c>
    </row>
    <row r="738" spans="1:17" x14ac:dyDescent="0.2">
      <c r="A738">
        <v>2011</v>
      </c>
      <c r="B738" t="s">
        <v>899</v>
      </c>
      <c r="C738" t="s">
        <v>65</v>
      </c>
      <c r="D738" t="s">
        <v>58</v>
      </c>
      <c r="E738">
        <v>6</v>
      </c>
      <c r="F738" t="s">
        <v>19</v>
      </c>
      <c r="G738" t="s">
        <v>352</v>
      </c>
      <c r="H738" t="s">
        <v>747</v>
      </c>
      <c r="I738" t="s">
        <v>22</v>
      </c>
      <c r="J738" t="s">
        <v>66</v>
      </c>
      <c r="K738" t="s">
        <v>24</v>
      </c>
      <c r="L738" t="s">
        <v>25</v>
      </c>
      <c r="M738" s="8">
        <v>1.3726666670000001</v>
      </c>
      <c r="N738" t="s">
        <v>26</v>
      </c>
      <c r="O738" s="8">
        <v>1.3726666670000001</v>
      </c>
      <c r="P738" s="8">
        <f>EXP(-1.363+3.366*LOG(O738,10))</f>
        <v>0.40658758379567089</v>
      </c>
      <c r="Q738" s="8">
        <f>(1788886*100)/6788946</f>
        <v>26.349981278389901</v>
      </c>
    </row>
    <row r="739" spans="1:17" x14ac:dyDescent="0.2">
      <c r="A739">
        <v>2011</v>
      </c>
      <c r="B739" t="s">
        <v>900</v>
      </c>
      <c r="C739" t="s">
        <v>65</v>
      </c>
      <c r="D739" t="s">
        <v>58</v>
      </c>
      <c r="E739">
        <v>6</v>
      </c>
      <c r="F739" t="s">
        <v>19</v>
      </c>
      <c r="G739" t="s">
        <v>352</v>
      </c>
      <c r="H739" t="s">
        <v>747</v>
      </c>
      <c r="I739" t="s">
        <v>22</v>
      </c>
      <c r="J739" t="s">
        <v>66</v>
      </c>
      <c r="K739" t="s">
        <v>24</v>
      </c>
      <c r="L739" t="s">
        <v>25</v>
      </c>
      <c r="M739" s="8">
        <v>1.3726666670000001</v>
      </c>
      <c r="N739" t="s">
        <v>26</v>
      </c>
      <c r="O739" s="8">
        <v>1.3726666670000001</v>
      </c>
      <c r="P739" s="8">
        <f>EXP(-1.363+3.366*LOG(O739,10))</f>
        <v>0.40658758379567089</v>
      </c>
      <c r="Q739" s="8">
        <f>(1788886*100)/6788946</f>
        <v>26.349981278389901</v>
      </c>
    </row>
    <row r="740" spans="1:17" x14ac:dyDescent="0.2">
      <c r="A740">
        <v>2011</v>
      </c>
      <c r="B740" t="s">
        <v>901</v>
      </c>
      <c r="C740" t="s">
        <v>65</v>
      </c>
      <c r="D740" t="s">
        <v>58</v>
      </c>
      <c r="E740">
        <v>6</v>
      </c>
      <c r="F740" t="s">
        <v>19</v>
      </c>
      <c r="G740" t="s">
        <v>352</v>
      </c>
      <c r="H740" t="s">
        <v>747</v>
      </c>
      <c r="I740" t="s">
        <v>22</v>
      </c>
      <c r="J740" t="s">
        <v>66</v>
      </c>
      <c r="K740" t="s">
        <v>24</v>
      </c>
      <c r="L740" t="s">
        <v>25</v>
      </c>
      <c r="M740" s="8">
        <v>1.3726666670000001</v>
      </c>
      <c r="N740" t="s">
        <v>26</v>
      </c>
      <c r="O740" s="8">
        <v>1.3726666670000001</v>
      </c>
      <c r="P740" s="8">
        <f>EXP(-1.363+3.366*LOG(O740,10))</f>
        <v>0.40658758379567089</v>
      </c>
      <c r="Q740" s="8">
        <f>(1788886*100)/6788946</f>
        <v>26.349981278389901</v>
      </c>
    </row>
    <row r="741" spans="1:17" x14ac:dyDescent="0.2">
      <c r="A741">
        <v>2011</v>
      </c>
      <c r="B741" t="s">
        <v>902</v>
      </c>
      <c r="C741" t="s">
        <v>65</v>
      </c>
      <c r="D741" t="s">
        <v>58</v>
      </c>
      <c r="E741">
        <v>6</v>
      </c>
      <c r="F741" t="s">
        <v>19</v>
      </c>
      <c r="G741" t="s">
        <v>352</v>
      </c>
      <c r="H741" t="s">
        <v>747</v>
      </c>
      <c r="I741" t="s">
        <v>22</v>
      </c>
      <c r="J741" t="s">
        <v>66</v>
      </c>
      <c r="K741" t="s">
        <v>24</v>
      </c>
      <c r="L741" t="s">
        <v>25</v>
      </c>
      <c r="M741" s="8">
        <v>1.3726666670000001</v>
      </c>
      <c r="N741" t="s">
        <v>26</v>
      </c>
      <c r="O741" s="8">
        <v>1.3726666670000001</v>
      </c>
      <c r="P741" s="8">
        <f>EXP(-1.363+3.366*LOG(O741,10))</f>
        <v>0.40658758379567089</v>
      </c>
      <c r="Q741" s="8">
        <f>(1788886*100)/6788946</f>
        <v>26.349981278389901</v>
      </c>
    </row>
    <row r="742" spans="1:17" x14ac:dyDescent="0.2">
      <c r="A742">
        <v>2011</v>
      </c>
      <c r="B742" t="s">
        <v>903</v>
      </c>
      <c r="C742" t="s">
        <v>65</v>
      </c>
      <c r="D742" t="s">
        <v>58</v>
      </c>
      <c r="E742">
        <v>6</v>
      </c>
      <c r="F742" t="s">
        <v>19</v>
      </c>
      <c r="G742" t="s">
        <v>352</v>
      </c>
      <c r="H742" t="s">
        <v>747</v>
      </c>
      <c r="I742" t="s">
        <v>22</v>
      </c>
      <c r="J742" t="s">
        <v>66</v>
      </c>
      <c r="K742" t="s">
        <v>24</v>
      </c>
      <c r="L742" t="s">
        <v>25</v>
      </c>
      <c r="M742" s="8">
        <v>1.3726666670000001</v>
      </c>
      <c r="N742" t="s">
        <v>26</v>
      </c>
      <c r="O742" s="8">
        <v>1.3726666670000001</v>
      </c>
      <c r="P742" s="8">
        <f>EXP(-1.363+3.366*LOG(O742,10))</f>
        <v>0.40658758379567089</v>
      </c>
      <c r="Q742" s="8">
        <f>(1788886*100)/6788946</f>
        <v>26.349981278389901</v>
      </c>
    </row>
    <row r="743" spans="1:17" x14ac:dyDescent="0.2">
      <c r="A743">
        <v>2011</v>
      </c>
      <c r="B743" t="s">
        <v>904</v>
      </c>
      <c r="C743" t="s">
        <v>65</v>
      </c>
      <c r="D743" t="s">
        <v>58</v>
      </c>
      <c r="E743">
        <v>6</v>
      </c>
      <c r="F743" t="s">
        <v>19</v>
      </c>
      <c r="G743" t="s">
        <v>352</v>
      </c>
      <c r="H743" t="s">
        <v>747</v>
      </c>
      <c r="I743" t="s">
        <v>22</v>
      </c>
      <c r="J743" t="s">
        <v>66</v>
      </c>
      <c r="K743" t="s">
        <v>24</v>
      </c>
      <c r="L743" t="s">
        <v>25</v>
      </c>
      <c r="M743" s="8">
        <v>1.3726666670000001</v>
      </c>
      <c r="N743" t="s">
        <v>26</v>
      </c>
      <c r="O743" s="8">
        <v>1.3726666670000001</v>
      </c>
      <c r="P743" s="8">
        <f>EXP(-1.363+3.366*LOG(O743,10))</f>
        <v>0.40658758379567089</v>
      </c>
      <c r="Q743" s="8">
        <f>(1788886*100)/6788946</f>
        <v>26.349981278389901</v>
      </c>
    </row>
    <row r="744" spans="1:17" x14ac:dyDescent="0.2">
      <c r="A744">
        <v>2011</v>
      </c>
      <c r="B744" t="s">
        <v>905</v>
      </c>
      <c r="C744" t="s">
        <v>65</v>
      </c>
      <c r="D744" t="s">
        <v>58</v>
      </c>
      <c r="E744">
        <v>6</v>
      </c>
      <c r="F744" t="s">
        <v>19</v>
      </c>
      <c r="G744" t="s">
        <v>352</v>
      </c>
      <c r="H744" t="s">
        <v>747</v>
      </c>
      <c r="I744" t="s">
        <v>22</v>
      </c>
      <c r="J744" t="s">
        <v>66</v>
      </c>
      <c r="K744" t="s">
        <v>24</v>
      </c>
      <c r="L744" t="s">
        <v>25</v>
      </c>
      <c r="M744" s="8">
        <v>1.3726666670000001</v>
      </c>
      <c r="N744" t="s">
        <v>26</v>
      </c>
      <c r="O744" s="8">
        <v>1.3726666670000001</v>
      </c>
      <c r="P744" s="8">
        <f>EXP(-1.363+3.366*LOG(O744,10))</f>
        <v>0.40658758379567089</v>
      </c>
      <c r="Q744" s="8">
        <f>(1788886*100)/6788946</f>
        <v>26.349981278389901</v>
      </c>
    </row>
    <row r="745" spans="1:17" x14ac:dyDescent="0.2">
      <c r="A745">
        <v>2011</v>
      </c>
      <c r="B745" t="s">
        <v>906</v>
      </c>
      <c r="C745" t="s">
        <v>65</v>
      </c>
      <c r="D745" t="s">
        <v>58</v>
      </c>
      <c r="E745">
        <v>6</v>
      </c>
      <c r="F745" t="s">
        <v>19</v>
      </c>
      <c r="G745" t="s">
        <v>352</v>
      </c>
      <c r="H745" t="s">
        <v>747</v>
      </c>
      <c r="I745" t="s">
        <v>22</v>
      </c>
      <c r="J745" t="s">
        <v>66</v>
      </c>
      <c r="K745" t="s">
        <v>24</v>
      </c>
      <c r="L745" t="s">
        <v>25</v>
      </c>
      <c r="M745" s="8">
        <v>1.3726666670000001</v>
      </c>
      <c r="N745" t="s">
        <v>26</v>
      </c>
      <c r="O745" s="8">
        <v>1.3726666670000001</v>
      </c>
      <c r="P745" s="8">
        <f>EXP(-1.363+3.366*LOG(O745,10))</f>
        <v>0.40658758379567089</v>
      </c>
      <c r="Q745" s="8">
        <f>(1788886*100)/6788946</f>
        <v>26.349981278389901</v>
      </c>
    </row>
    <row r="746" spans="1:17" x14ac:dyDescent="0.2">
      <c r="A746">
        <v>2011</v>
      </c>
      <c r="B746" t="s">
        <v>907</v>
      </c>
      <c r="C746" t="s">
        <v>65</v>
      </c>
      <c r="D746" t="s">
        <v>58</v>
      </c>
      <c r="E746">
        <v>6</v>
      </c>
      <c r="F746" t="s">
        <v>19</v>
      </c>
      <c r="G746" t="s">
        <v>352</v>
      </c>
      <c r="H746" t="s">
        <v>747</v>
      </c>
      <c r="I746" t="s">
        <v>22</v>
      </c>
      <c r="J746" t="s">
        <v>66</v>
      </c>
      <c r="K746" t="s">
        <v>24</v>
      </c>
      <c r="L746" t="s">
        <v>25</v>
      </c>
      <c r="M746" s="8">
        <v>1.3726666670000001</v>
      </c>
      <c r="N746" t="s">
        <v>26</v>
      </c>
      <c r="O746" s="8">
        <v>1.3726666670000001</v>
      </c>
      <c r="P746" s="8">
        <f>EXP(-1.363+3.366*LOG(O746,10))</f>
        <v>0.40658758379567089</v>
      </c>
      <c r="Q746" s="8">
        <f>(1788886*100)/6788946</f>
        <v>26.349981278389901</v>
      </c>
    </row>
    <row r="747" spans="1:17" x14ac:dyDescent="0.2">
      <c r="A747">
        <v>2011</v>
      </c>
      <c r="B747" t="s">
        <v>908</v>
      </c>
      <c r="C747" t="s">
        <v>65</v>
      </c>
      <c r="D747" t="s">
        <v>58</v>
      </c>
      <c r="E747">
        <v>6</v>
      </c>
      <c r="F747" t="s">
        <v>19</v>
      </c>
      <c r="G747" t="s">
        <v>352</v>
      </c>
      <c r="H747" t="s">
        <v>747</v>
      </c>
      <c r="I747" t="s">
        <v>22</v>
      </c>
      <c r="J747" t="s">
        <v>66</v>
      </c>
      <c r="K747" t="s">
        <v>24</v>
      </c>
      <c r="L747" t="s">
        <v>25</v>
      </c>
      <c r="M747" s="8">
        <v>1.3726666670000001</v>
      </c>
      <c r="N747" t="s">
        <v>26</v>
      </c>
      <c r="O747" s="8">
        <v>1.3726666670000001</v>
      </c>
      <c r="P747" s="8">
        <f>EXP(-1.363+3.366*LOG(O747,10))</f>
        <v>0.40658758379567089</v>
      </c>
      <c r="Q747" s="8">
        <f>(1788886*100)/6788946</f>
        <v>26.349981278389901</v>
      </c>
    </row>
    <row r="748" spans="1:17" x14ac:dyDescent="0.2">
      <c r="A748">
        <v>2011</v>
      </c>
      <c r="B748" t="s">
        <v>909</v>
      </c>
      <c r="C748" t="s">
        <v>65</v>
      </c>
      <c r="D748" t="s">
        <v>58</v>
      </c>
      <c r="E748">
        <v>6</v>
      </c>
      <c r="F748" t="s">
        <v>19</v>
      </c>
      <c r="G748" t="s">
        <v>352</v>
      </c>
      <c r="H748" t="s">
        <v>747</v>
      </c>
      <c r="I748" t="s">
        <v>22</v>
      </c>
      <c r="J748" t="s">
        <v>66</v>
      </c>
      <c r="K748" t="s">
        <v>24</v>
      </c>
      <c r="L748" t="s">
        <v>25</v>
      </c>
      <c r="M748" s="8">
        <v>1.3726666670000001</v>
      </c>
      <c r="N748" t="s">
        <v>26</v>
      </c>
      <c r="O748" s="8">
        <v>1.3726666670000001</v>
      </c>
      <c r="P748" s="8">
        <f>EXP(-1.363+3.366*LOG(O748,10))</f>
        <v>0.40658758379567089</v>
      </c>
      <c r="Q748" s="8">
        <f>(1788886*100)/6788946</f>
        <v>26.349981278389901</v>
      </c>
    </row>
    <row r="749" spans="1:17" x14ac:dyDescent="0.2">
      <c r="A749">
        <v>2011</v>
      </c>
      <c r="B749" t="s">
        <v>910</v>
      </c>
      <c r="C749" t="s">
        <v>65</v>
      </c>
      <c r="D749" t="s">
        <v>58</v>
      </c>
      <c r="E749">
        <v>6</v>
      </c>
      <c r="F749" t="s">
        <v>19</v>
      </c>
      <c r="G749" t="s">
        <v>352</v>
      </c>
      <c r="H749" t="s">
        <v>747</v>
      </c>
      <c r="I749" t="s">
        <v>22</v>
      </c>
      <c r="J749" t="s">
        <v>66</v>
      </c>
      <c r="K749" t="s">
        <v>24</v>
      </c>
      <c r="L749" t="s">
        <v>25</v>
      </c>
      <c r="M749" s="8">
        <v>1.3726666670000001</v>
      </c>
      <c r="N749" t="s">
        <v>26</v>
      </c>
      <c r="O749" s="8">
        <v>1.3726666670000001</v>
      </c>
      <c r="P749" s="8">
        <f>EXP(-1.363+3.366*LOG(O749,10))</f>
        <v>0.40658758379567089</v>
      </c>
      <c r="Q749" s="8">
        <f>(1788886*100)/6788946</f>
        <v>26.349981278389901</v>
      </c>
    </row>
    <row r="750" spans="1:17" x14ac:dyDescent="0.2">
      <c r="A750">
        <v>2011</v>
      </c>
      <c r="B750" t="s">
        <v>911</v>
      </c>
      <c r="C750" t="s">
        <v>65</v>
      </c>
      <c r="D750" t="s">
        <v>58</v>
      </c>
      <c r="E750">
        <v>6</v>
      </c>
      <c r="F750" t="s">
        <v>19</v>
      </c>
      <c r="G750" t="s">
        <v>352</v>
      </c>
      <c r="H750" t="s">
        <v>747</v>
      </c>
      <c r="I750" t="s">
        <v>22</v>
      </c>
      <c r="J750" t="s">
        <v>66</v>
      </c>
      <c r="K750" t="s">
        <v>24</v>
      </c>
      <c r="L750" t="s">
        <v>25</v>
      </c>
      <c r="M750" s="8">
        <v>1.3726666670000001</v>
      </c>
      <c r="N750" t="s">
        <v>26</v>
      </c>
      <c r="O750" s="8">
        <v>1.3726666670000001</v>
      </c>
      <c r="P750" s="8">
        <f>EXP(-1.363+3.366*LOG(O750,10))</f>
        <v>0.40658758379567089</v>
      </c>
      <c r="Q750" s="8">
        <f>(1788886*100)/6788946</f>
        <v>26.349981278389901</v>
      </c>
    </row>
    <row r="751" spans="1:17" x14ac:dyDescent="0.2">
      <c r="A751">
        <v>2011</v>
      </c>
      <c r="B751" t="s">
        <v>912</v>
      </c>
      <c r="C751" t="s">
        <v>65</v>
      </c>
      <c r="D751" t="s">
        <v>58</v>
      </c>
      <c r="E751">
        <v>6</v>
      </c>
      <c r="F751" t="s">
        <v>19</v>
      </c>
      <c r="G751" t="s">
        <v>352</v>
      </c>
      <c r="H751" t="s">
        <v>747</v>
      </c>
      <c r="I751" t="s">
        <v>22</v>
      </c>
      <c r="J751" t="s">
        <v>66</v>
      </c>
      <c r="K751" t="s">
        <v>24</v>
      </c>
      <c r="L751" t="s">
        <v>25</v>
      </c>
      <c r="M751" s="8">
        <v>1.3726666670000001</v>
      </c>
      <c r="N751" t="s">
        <v>26</v>
      </c>
      <c r="O751" s="8">
        <v>1.3726666670000001</v>
      </c>
      <c r="P751" s="8">
        <f>EXP(-1.363+3.366*LOG(O751,10))</f>
        <v>0.40658758379567089</v>
      </c>
      <c r="Q751" s="8">
        <f>(1788886*100)/6788946</f>
        <v>26.349981278389901</v>
      </c>
    </row>
    <row r="752" spans="1:17" x14ac:dyDescent="0.2">
      <c r="A752">
        <v>2011</v>
      </c>
      <c r="B752" t="s">
        <v>913</v>
      </c>
      <c r="C752" t="s">
        <v>65</v>
      </c>
      <c r="D752" t="s">
        <v>58</v>
      </c>
      <c r="E752">
        <v>6</v>
      </c>
      <c r="F752" t="s">
        <v>19</v>
      </c>
      <c r="G752" t="s">
        <v>352</v>
      </c>
      <c r="H752" t="s">
        <v>747</v>
      </c>
      <c r="I752" t="s">
        <v>22</v>
      </c>
      <c r="J752" t="s">
        <v>66</v>
      </c>
      <c r="K752" t="s">
        <v>24</v>
      </c>
      <c r="L752" t="s">
        <v>25</v>
      </c>
      <c r="M752" s="8">
        <v>1.3726666670000001</v>
      </c>
      <c r="N752" t="s">
        <v>26</v>
      </c>
      <c r="O752" s="8">
        <v>1.3726666670000001</v>
      </c>
      <c r="P752" s="8">
        <f>EXP(-1.363+3.366*LOG(O752,10))</f>
        <v>0.40658758379567089</v>
      </c>
      <c r="Q752" s="8">
        <f>(1788886*100)/6788946</f>
        <v>26.349981278389901</v>
      </c>
    </row>
    <row r="753" spans="1:17" x14ac:dyDescent="0.2">
      <c r="A753">
        <v>2011</v>
      </c>
      <c r="B753" t="s">
        <v>914</v>
      </c>
      <c r="C753" t="s">
        <v>30</v>
      </c>
      <c r="D753" t="s">
        <v>95</v>
      </c>
      <c r="E753">
        <v>7</v>
      </c>
      <c r="F753" t="s">
        <v>19</v>
      </c>
      <c r="G753" t="s">
        <v>352</v>
      </c>
      <c r="H753" t="s">
        <v>747</v>
      </c>
      <c r="I753" t="s">
        <v>22</v>
      </c>
      <c r="J753" t="s">
        <v>31</v>
      </c>
      <c r="K753" t="s">
        <v>24</v>
      </c>
      <c r="L753" t="s">
        <v>25</v>
      </c>
      <c r="M753" s="8">
        <v>1.3726666670000001</v>
      </c>
      <c r="N753" t="s">
        <v>26</v>
      </c>
      <c r="O753" s="8">
        <v>1.3726666670000001</v>
      </c>
      <c r="P753" s="8">
        <f>EXP(-1.363+3.366*LOG(O753,10))</f>
        <v>0.40658758379567089</v>
      </c>
      <c r="Q753" s="8">
        <f>(34897.31*100)/4728180</f>
        <v>0.73807067412831151</v>
      </c>
    </row>
    <row r="754" spans="1:17" x14ac:dyDescent="0.2">
      <c r="A754">
        <v>2011</v>
      </c>
      <c r="B754" t="s">
        <v>915</v>
      </c>
      <c r="C754" t="s">
        <v>30</v>
      </c>
      <c r="D754" t="s">
        <v>95</v>
      </c>
      <c r="E754">
        <v>7</v>
      </c>
      <c r="F754" t="s">
        <v>19</v>
      </c>
      <c r="G754" t="s">
        <v>352</v>
      </c>
      <c r="H754" t="s">
        <v>747</v>
      </c>
      <c r="I754" t="s">
        <v>22</v>
      </c>
      <c r="J754" t="s">
        <v>31</v>
      </c>
      <c r="K754" t="s">
        <v>24</v>
      </c>
      <c r="L754" t="s">
        <v>25</v>
      </c>
      <c r="M754" s="8">
        <v>1.3726666670000001</v>
      </c>
      <c r="N754" t="s">
        <v>26</v>
      </c>
      <c r="O754" s="8">
        <v>1.3726666670000001</v>
      </c>
      <c r="P754" s="8">
        <f>EXP(-1.363+3.366*LOG(O754,10))</f>
        <v>0.40658758379567089</v>
      </c>
      <c r="Q754" s="8">
        <f>(34897.31*100)/4728180</f>
        <v>0.73807067412831151</v>
      </c>
    </row>
    <row r="755" spans="1:17" x14ac:dyDescent="0.2">
      <c r="A755">
        <v>2011</v>
      </c>
      <c r="B755" t="s">
        <v>916</v>
      </c>
      <c r="C755" t="s">
        <v>30</v>
      </c>
      <c r="D755" t="s">
        <v>95</v>
      </c>
      <c r="E755">
        <v>7</v>
      </c>
      <c r="F755" t="s">
        <v>19</v>
      </c>
      <c r="G755" t="s">
        <v>352</v>
      </c>
      <c r="H755" t="s">
        <v>747</v>
      </c>
      <c r="I755" t="s">
        <v>22</v>
      </c>
      <c r="J755" t="s">
        <v>31</v>
      </c>
      <c r="K755" t="s">
        <v>24</v>
      </c>
      <c r="L755" t="s">
        <v>25</v>
      </c>
      <c r="M755" s="8">
        <v>1.3726666670000001</v>
      </c>
      <c r="N755" t="s">
        <v>26</v>
      </c>
      <c r="O755" s="8">
        <v>1.3726666670000001</v>
      </c>
      <c r="P755" s="8">
        <f>EXP(-1.363+3.366*LOG(O755,10))</f>
        <v>0.40658758379567089</v>
      </c>
      <c r="Q755" s="8">
        <f>(34897.31*100)/4728180</f>
        <v>0.73807067412831151</v>
      </c>
    </row>
    <row r="756" spans="1:17" x14ac:dyDescent="0.2">
      <c r="A756">
        <v>2011</v>
      </c>
      <c r="B756" t="s">
        <v>917</v>
      </c>
      <c r="C756" t="s">
        <v>30</v>
      </c>
      <c r="D756" t="s">
        <v>95</v>
      </c>
      <c r="E756">
        <v>7</v>
      </c>
      <c r="F756" t="s">
        <v>19</v>
      </c>
      <c r="G756" t="s">
        <v>352</v>
      </c>
      <c r="H756" t="s">
        <v>747</v>
      </c>
      <c r="I756" t="s">
        <v>22</v>
      </c>
      <c r="J756" t="s">
        <v>31</v>
      </c>
      <c r="K756" t="s">
        <v>24</v>
      </c>
      <c r="L756" t="s">
        <v>25</v>
      </c>
      <c r="M756" s="8">
        <v>1.3726666670000001</v>
      </c>
      <c r="N756" t="s">
        <v>26</v>
      </c>
      <c r="O756" s="8">
        <v>1.3726666670000001</v>
      </c>
      <c r="P756" s="8">
        <f>EXP(-1.363+3.366*LOG(O756,10))</f>
        <v>0.40658758379567089</v>
      </c>
      <c r="Q756" s="8">
        <f>(34897.31*100)/4728180</f>
        <v>0.73807067412831151</v>
      </c>
    </row>
    <row r="757" spans="1:17" x14ac:dyDescent="0.2">
      <c r="A757">
        <v>2011</v>
      </c>
      <c r="B757" t="s">
        <v>918</v>
      </c>
      <c r="C757" t="s">
        <v>30</v>
      </c>
      <c r="D757" t="s">
        <v>95</v>
      </c>
      <c r="E757">
        <v>7</v>
      </c>
      <c r="F757" t="s">
        <v>19</v>
      </c>
      <c r="G757" t="s">
        <v>352</v>
      </c>
      <c r="H757" t="s">
        <v>747</v>
      </c>
      <c r="I757" t="s">
        <v>22</v>
      </c>
      <c r="J757" t="s">
        <v>31</v>
      </c>
      <c r="K757" t="s">
        <v>24</v>
      </c>
      <c r="L757" t="s">
        <v>25</v>
      </c>
      <c r="M757" s="8">
        <v>1.3726666670000001</v>
      </c>
      <c r="N757" t="s">
        <v>26</v>
      </c>
      <c r="O757" s="8">
        <v>1.3726666670000001</v>
      </c>
      <c r="P757" s="8">
        <f>EXP(-1.363+3.366*LOG(O757,10))</f>
        <v>0.40658758379567089</v>
      </c>
      <c r="Q757" s="8">
        <f>(34897.31*100)/4728180</f>
        <v>0.73807067412831151</v>
      </c>
    </row>
    <row r="758" spans="1:17" x14ac:dyDescent="0.2">
      <c r="A758">
        <v>2011</v>
      </c>
      <c r="B758" t="s">
        <v>919</v>
      </c>
      <c r="C758" t="s">
        <v>30</v>
      </c>
      <c r="D758" t="s">
        <v>95</v>
      </c>
      <c r="E758">
        <v>7</v>
      </c>
      <c r="F758" t="s">
        <v>19</v>
      </c>
      <c r="G758" t="s">
        <v>352</v>
      </c>
      <c r="H758" t="s">
        <v>747</v>
      </c>
      <c r="I758" t="s">
        <v>22</v>
      </c>
      <c r="J758" t="s">
        <v>31</v>
      </c>
      <c r="K758" t="s">
        <v>24</v>
      </c>
      <c r="L758" t="s">
        <v>25</v>
      </c>
      <c r="M758" s="8">
        <v>1.3726666670000001</v>
      </c>
      <c r="N758" t="s">
        <v>26</v>
      </c>
      <c r="O758" s="8">
        <v>1.3726666670000001</v>
      </c>
      <c r="P758" s="8">
        <f>EXP(-1.363+3.366*LOG(O758,10))</f>
        <v>0.40658758379567089</v>
      </c>
      <c r="Q758" s="8">
        <f>(34897.31*100)/4728180</f>
        <v>0.73807067412831151</v>
      </c>
    </row>
    <row r="759" spans="1:17" x14ac:dyDescent="0.2">
      <c r="A759">
        <v>2011</v>
      </c>
      <c r="B759" t="s">
        <v>920</v>
      </c>
      <c r="C759" t="s">
        <v>30</v>
      </c>
      <c r="D759" t="s">
        <v>95</v>
      </c>
      <c r="E759">
        <v>7</v>
      </c>
      <c r="F759" t="s">
        <v>19</v>
      </c>
      <c r="G759" t="s">
        <v>352</v>
      </c>
      <c r="H759" t="s">
        <v>747</v>
      </c>
      <c r="I759" t="s">
        <v>22</v>
      </c>
      <c r="J759" t="s">
        <v>31</v>
      </c>
      <c r="K759" t="s">
        <v>24</v>
      </c>
      <c r="L759" t="s">
        <v>25</v>
      </c>
      <c r="M759" s="8">
        <v>1.3726666670000001</v>
      </c>
      <c r="N759" t="s">
        <v>26</v>
      </c>
      <c r="O759" s="8">
        <v>1.3726666670000001</v>
      </c>
      <c r="P759" s="8">
        <f>EXP(-1.363+3.366*LOG(O759,10))</f>
        <v>0.40658758379567089</v>
      </c>
      <c r="Q759" s="8">
        <f>(34897.31*100)/4728180</f>
        <v>0.73807067412831151</v>
      </c>
    </row>
    <row r="760" spans="1:17" x14ac:dyDescent="0.2">
      <c r="A760">
        <v>2011</v>
      </c>
      <c r="B760" t="s">
        <v>921</v>
      </c>
      <c r="C760" t="s">
        <v>30</v>
      </c>
      <c r="D760" t="s">
        <v>95</v>
      </c>
      <c r="E760">
        <v>7</v>
      </c>
      <c r="F760" t="s">
        <v>19</v>
      </c>
      <c r="G760" t="s">
        <v>352</v>
      </c>
      <c r="H760" t="s">
        <v>747</v>
      </c>
      <c r="I760" t="s">
        <v>22</v>
      </c>
      <c r="J760" t="s">
        <v>31</v>
      </c>
      <c r="K760" t="s">
        <v>24</v>
      </c>
      <c r="L760" t="s">
        <v>25</v>
      </c>
      <c r="M760" s="8">
        <v>1.3726666670000001</v>
      </c>
      <c r="N760" t="s">
        <v>26</v>
      </c>
      <c r="O760" s="8">
        <v>1.3726666670000001</v>
      </c>
      <c r="P760" s="8">
        <f>EXP(-1.363+3.366*LOG(O760,10))</f>
        <v>0.40658758379567089</v>
      </c>
      <c r="Q760" s="8">
        <f>(34897.31*100)/4728180</f>
        <v>0.73807067412831151</v>
      </c>
    </row>
    <row r="761" spans="1:17" x14ac:dyDescent="0.2">
      <c r="A761">
        <v>2011</v>
      </c>
      <c r="B761" t="s">
        <v>922</v>
      </c>
      <c r="C761" t="s">
        <v>30</v>
      </c>
      <c r="D761" t="s">
        <v>63</v>
      </c>
      <c r="E761">
        <v>6</v>
      </c>
      <c r="F761" t="s">
        <v>19</v>
      </c>
      <c r="G761" t="s">
        <v>352</v>
      </c>
      <c r="H761" t="s">
        <v>747</v>
      </c>
      <c r="I761" t="s">
        <v>22</v>
      </c>
      <c r="J761" t="s">
        <v>31</v>
      </c>
      <c r="K761" t="s">
        <v>24</v>
      </c>
      <c r="L761" t="s">
        <v>25</v>
      </c>
      <c r="M761" s="8">
        <v>1.3726666670000001</v>
      </c>
      <c r="N761" t="s">
        <v>26</v>
      </c>
      <c r="O761" s="8">
        <v>1.3726666670000001</v>
      </c>
      <c r="P761" s="8">
        <f>EXP(-1.363+3.366*LOG(O761,10))</f>
        <v>0.40658758379567089</v>
      </c>
      <c r="Q761" s="8">
        <f>(34897.31*100)/4728180</f>
        <v>0.73807067412831151</v>
      </c>
    </row>
    <row r="762" spans="1:17" x14ac:dyDescent="0.2">
      <c r="A762">
        <v>2011</v>
      </c>
      <c r="B762" t="s">
        <v>923</v>
      </c>
      <c r="C762" t="s">
        <v>94</v>
      </c>
      <c r="D762" t="s">
        <v>95</v>
      </c>
      <c r="E762">
        <v>7</v>
      </c>
      <c r="F762" t="s">
        <v>19</v>
      </c>
      <c r="G762" t="s">
        <v>352</v>
      </c>
      <c r="H762" t="s">
        <v>747</v>
      </c>
      <c r="I762" t="s">
        <v>22</v>
      </c>
      <c r="J762" t="s">
        <v>66</v>
      </c>
      <c r="K762" t="s">
        <v>24</v>
      </c>
      <c r="L762" t="s">
        <v>25</v>
      </c>
      <c r="M762" s="8">
        <v>1.3726666670000001</v>
      </c>
      <c r="N762" t="s">
        <v>26</v>
      </c>
      <c r="O762" s="8">
        <v>1.3726666670000001</v>
      </c>
      <c r="P762" s="8">
        <f>EXP(-1.363+3.366*LOG(O762,10))</f>
        <v>0.40658758379567089</v>
      </c>
      <c r="Q762" s="8">
        <f>(46623.23*100)/15165196</f>
        <v>0.30743572321782059</v>
      </c>
    </row>
    <row r="763" spans="1:17" x14ac:dyDescent="0.2">
      <c r="A763">
        <v>2011</v>
      </c>
      <c r="B763" t="s">
        <v>924</v>
      </c>
      <c r="C763" t="s">
        <v>94</v>
      </c>
      <c r="D763" t="s">
        <v>95</v>
      </c>
      <c r="E763">
        <v>7</v>
      </c>
      <c r="F763" t="s">
        <v>19</v>
      </c>
      <c r="G763" t="s">
        <v>352</v>
      </c>
      <c r="H763" t="s">
        <v>747</v>
      </c>
      <c r="I763" t="s">
        <v>22</v>
      </c>
      <c r="J763" t="s">
        <v>66</v>
      </c>
      <c r="K763" t="s">
        <v>24</v>
      </c>
      <c r="L763" t="s">
        <v>25</v>
      </c>
      <c r="M763" s="8">
        <v>1.3726666670000001</v>
      </c>
      <c r="N763" t="s">
        <v>26</v>
      </c>
      <c r="O763" s="8">
        <v>1.3726666670000001</v>
      </c>
      <c r="P763" s="8">
        <f>EXP(-1.363+3.366*LOG(O763,10))</f>
        <v>0.40658758379567089</v>
      </c>
      <c r="Q763" s="8">
        <f>(46623.23*100)/15165196</f>
        <v>0.30743572321782059</v>
      </c>
    </row>
    <row r="764" spans="1:17" x14ac:dyDescent="0.2">
      <c r="A764">
        <v>2011</v>
      </c>
      <c r="B764" t="s">
        <v>925</v>
      </c>
      <c r="C764" t="s">
        <v>94</v>
      </c>
      <c r="D764" t="s">
        <v>95</v>
      </c>
      <c r="E764">
        <v>7</v>
      </c>
      <c r="F764" t="s">
        <v>19</v>
      </c>
      <c r="G764" t="s">
        <v>352</v>
      </c>
      <c r="H764" t="s">
        <v>747</v>
      </c>
      <c r="I764" t="s">
        <v>22</v>
      </c>
      <c r="J764" t="s">
        <v>66</v>
      </c>
      <c r="K764" t="s">
        <v>24</v>
      </c>
      <c r="L764" t="s">
        <v>25</v>
      </c>
      <c r="M764" s="8">
        <v>1.3726666670000001</v>
      </c>
      <c r="N764" t="s">
        <v>26</v>
      </c>
      <c r="O764" s="8">
        <v>1.3726666670000001</v>
      </c>
      <c r="P764" s="8">
        <f>EXP(-1.363+3.366*LOG(O764,10))</f>
        <v>0.40658758379567089</v>
      </c>
      <c r="Q764" s="8">
        <f>(46623.23*100)/15165196</f>
        <v>0.30743572321782059</v>
      </c>
    </row>
    <row r="765" spans="1:17" x14ac:dyDescent="0.2">
      <c r="A765">
        <v>2011</v>
      </c>
      <c r="B765" t="s">
        <v>926</v>
      </c>
      <c r="C765" t="s">
        <v>94</v>
      </c>
      <c r="D765" t="s">
        <v>95</v>
      </c>
      <c r="E765">
        <v>7</v>
      </c>
      <c r="F765" t="s">
        <v>19</v>
      </c>
      <c r="G765" t="s">
        <v>352</v>
      </c>
      <c r="H765" t="s">
        <v>747</v>
      </c>
      <c r="I765" t="s">
        <v>22</v>
      </c>
      <c r="J765" t="s">
        <v>66</v>
      </c>
      <c r="K765" t="s">
        <v>24</v>
      </c>
      <c r="L765" t="s">
        <v>25</v>
      </c>
      <c r="M765" s="8">
        <v>1.3726666670000001</v>
      </c>
      <c r="N765" t="s">
        <v>26</v>
      </c>
      <c r="O765" s="8">
        <v>1.3726666670000001</v>
      </c>
      <c r="P765" s="8">
        <f>EXP(-1.363+3.366*LOG(O765,10))</f>
        <v>0.40658758379567089</v>
      </c>
      <c r="Q765" s="8">
        <f>(46623.23*100)/15165196</f>
        <v>0.30743572321782059</v>
      </c>
    </row>
    <row r="766" spans="1:17" x14ac:dyDescent="0.2">
      <c r="A766">
        <v>2011</v>
      </c>
      <c r="B766" t="s">
        <v>927</v>
      </c>
      <c r="C766" t="s">
        <v>65</v>
      </c>
      <c r="D766" t="s">
        <v>100</v>
      </c>
      <c r="E766">
        <v>7</v>
      </c>
      <c r="F766" t="s">
        <v>19</v>
      </c>
      <c r="G766" t="s">
        <v>352</v>
      </c>
      <c r="H766" t="s">
        <v>747</v>
      </c>
      <c r="I766" t="s">
        <v>22</v>
      </c>
      <c r="J766" t="s">
        <v>66</v>
      </c>
      <c r="K766" t="s">
        <v>24</v>
      </c>
      <c r="L766" t="s">
        <v>25</v>
      </c>
      <c r="M766" s="8">
        <v>1.3726666670000001</v>
      </c>
      <c r="N766" t="s">
        <v>26</v>
      </c>
      <c r="O766" s="8">
        <v>1.3726666670000001</v>
      </c>
      <c r="P766" s="8">
        <f>EXP(-1.363+3.366*LOG(O766,10))</f>
        <v>0.40658758379567089</v>
      </c>
      <c r="Q766" s="8">
        <f>(1788886*100)/6788946</f>
        <v>26.349981278389901</v>
      </c>
    </row>
    <row r="767" spans="1:17" x14ac:dyDescent="0.2">
      <c r="A767">
        <v>2011</v>
      </c>
      <c r="B767" t="s">
        <v>928</v>
      </c>
      <c r="C767" t="s">
        <v>65</v>
      </c>
      <c r="D767" t="s">
        <v>100</v>
      </c>
      <c r="E767">
        <v>7</v>
      </c>
      <c r="F767" t="s">
        <v>19</v>
      </c>
      <c r="G767" t="s">
        <v>352</v>
      </c>
      <c r="H767" t="s">
        <v>747</v>
      </c>
      <c r="I767" t="s">
        <v>22</v>
      </c>
      <c r="J767" t="s">
        <v>66</v>
      </c>
      <c r="K767" t="s">
        <v>24</v>
      </c>
      <c r="L767" t="s">
        <v>25</v>
      </c>
      <c r="M767" s="8">
        <v>1.3726666670000001</v>
      </c>
      <c r="N767" t="s">
        <v>26</v>
      </c>
      <c r="O767" s="8">
        <v>1.3726666670000001</v>
      </c>
      <c r="P767" s="8">
        <f>EXP(-1.363+3.366*LOG(O767,10))</f>
        <v>0.40658758379567089</v>
      </c>
      <c r="Q767" s="8">
        <f>(1788886*100)/6788946</f>
        <v>26.349981278389901</v>
      </c>
    </row>
    <row r="768" spans="1:17" x14ac:dyDescent="0.2">
      <c r="A768">
        <v>2011</v>
      </c>
      <c r="B768" t="s">
        <v>929</v>
      </c>
      <c r="C768" t="s">
        <v>65</v>
      </c>
      <c r="D768" t="s">
        <v>100</v>
      </c>
      <c r="E768">
        <v>7</v>
      </c>
      <c r="F768" t="s">
        <v>19</v>
      </c>
      <c r="G768" t="s">
        <v>352</v>
      </c>
      <c r="H768" t="s">
        <v>747</v>
      </c>
      <c r="I768" t="s">
        <v>22</v>
      </c>
      <c r="J768" t="s">
        <v>66</v>
      </c>
      <c r="K768" t="s">
        <v>24</v>
      </c>
      <c r="L768" t="s">
        <v>25</v>
      </c>
      <c r="M768" s="8">
        <v>1.3726666670000001</v>
      </c>
      <c r="N768" t="s">
        <v>26</v>
      </c>
      <c r="O768" s="8">
        <v>1.3726666670000001</v>
      </c>
      <c r="P768" s="8">
        <f>EXP(-1.363+3.366*LOG(O768,10))</f>
        <v>0.40658758379567089</v>
      </c>
      <c r="Q768" s="8">
        <f>(1788886*100)/6788946</f>
        <v>26.349981278389901</v>
      </c>
    </row>
    <row r="769" spans="1:17" x14ac:dyDescent="0.2">
      <c r="A769">
        <v>2011</v>
      </c>
      <c r="B769" t="s">
        <v>930</v>
      </c>
      <c r="C769" t="s">
        <v>65</v>
      </c>
      <c r="D769" t="s">
        <v>71</v>
      </c>
      <c r="E769">
        <v>7</v>
      </c>
      <c r="F769" t="s">
        <v>19</v>
      </c>
      <c r="G769" t="s">
        <v>352</v>
      </c>
      <c r="H769" t="s">
        <v>747</v>
      </c>
      <c r="I769" t="s">
        <v>22</v>
      </c>
      <c r="J769" t="s">
        <v>66</v>
      </c>
      <c r="K769" t="s">
        <v>24</v>
      </c>
      <c r="L769" t="s">
        <v>25</v>
      </c>
      <c r="M769" s="8">
        <v>1.3726666670000001</v>
      </c>
      <c r="N769" t="s">
        <v>26</v>
      </c>
      <c r="O769" s="8">
        <v>1.3726666670000001</v>
      </c>
      <c r="P769" s="8">
        <f>EXP(-1.363+3.366*LOG(O769,10))</f>
        <v>0.40658758379567089</v>
      </c>
      <c r="Q769" s="8">
        <f>(1788886*100)/6788946</f>
        <v>26.349981278389901</v>
      </c>
    </row>
    <row r="770" spans="1:17" x14ac:dyDescent="0.2">
      <c r="A770">
        <v>2011</v>
      </c>
      <c r="B770" t="s">
        <v>931</v>
      </c>
      <c r="C770" t="s">
        <v>65</v>
      </c>
      <c r="D770" t="s">
        <v>71</v>
      </c>
      <c r="E770">
        <v>7</v>
      </c>
      <c r="F770" t="s">
        <v>19</v>
      </c>
      <c r="G770" t="s">
        <v>352</v>
      </c>
      <c r="H770" t="s">
        <v>747</v>
      </c>
      <c r="I770" t="s">
        <v>22</v>
      </c>
      <c r="J770" t="s">
        <v>66</v>
      </c>
      <c r="K770" t="s">
        <v>24</v>
      </c>
      <c r="L770" t="s">
        <v>25</v>
      </c>
      <c r="M770" s="8">
        <v>1.3726666670000001</v>
      </c>
      <c r="N770" t="s">
        <v>26</v>
      </c>
      <c r="O770" s="8">
        <v>1.3726666670000001</v>
      </c>
      <c r="P770" s="8">
        <f>EXP(-1.363+3.366*LOG(O770,10))</f>
        <v>0.40658758379567089</v>
      </c>
      <c r="Q770" s="8">
        <f>(1788886*100)/6788946</f>
        <v>26.349981278389901</v>
      </c>
    </row>
    <row r="771" spans="1:17" x14ac:dyDescent="0.2">
      <c r="A771">
        <v>2011</v>
      </c>
      <c r="B771" t="s">
        <v>932</v>
      </c>
      <c r="C771" t="s">
        <v>65</v>
      </c>
      <c r="D771" t="s">
        <v>71</v>
      </c>
      <c r="E771">
        <v>7</v>
      </c>
      <c r="F771" t="s">
        <v>19</v>
      </c>
      <c r="G771" t="s">
        <v>352</v>
      </c>
      <c r="H771" t="s">
        <v>747</v>
      </c>
      <c r="I771" t="s">
        <v>22</v>
      </c>
      <c r="J771" t="s">
        <v>66</v>
      </c>
      <c r="K771" t="s">
        <v>24</v>
      </c>
      <c r="L771" t="s">
        <v>25</v>
      </c>
      <c r="M771" s="8">
        <v>1.3726666670000001</v>
      </c>
      <c r="N771" t="s">
        <v>26</v>
      </c>
      <c r="O771" s="8">
        <v>1.3726666670000001</v>
      </c>
      <c r="P771" s="8">
        <f>EXP(-1.363+3.366*LOG(O771,10))</f>
        <v>0.40658758379567089</v>
      </c>
      <c r="Q771" s="8">
        <f>(1788886*100)/6788946</f>
        <v>26.349981278389901</v>
      </c>
    </row>
    <row r="772" spans="1:17" x14ac:dyDescent="0.2">
      <c r="A772">
        <v>2011</v>
      </c>
      <c r="B772" t="s">
        <v>933</v>
      </c>
      <c r="C772" t="s">
        <v>65</v>
      </c>
      <c r="D772" t="s">
        <v>71</v>
      </c>
      <c r="E772">
        <v>7</v>
      </c>
      <c r="F772" t="s">
        <v>19</v>
      </c>
      <c r="G772" t="s">
        <v>352</v>
      </c>
      <c r="H772" t="s">
        <v>747</v>
      </c>
      <c r="I772" t="s">
        <v>22</v>
      </c>
      <c r="J772" t="s">
        <v>66</v>
      </c>
      <c r="K772" t="s">
        <v>24</v>
      </c>
      <c r="L772" t="s">
        <v>25</v>
      </c>
      <c r="M772" s="8">
        <v>1.3726666670000001</v>
      </c>
      <c r="N772" t="s">
        <v>26</v>
      </c>
      <c r="O772" s="8">
        <v>1.3726666670000001</v>
      </c>
      <c r="P772" s="8">
        <f>EXP(-1.363+3.366*LOG(O772,10))</f>
        <v>0.40658758379567089</v>
      </c>
      <c r="Q772" s="8">
        <f>(1788886*100)/6788946</f>
        <v>26.349981278389901</v>
      </c>
    </row>
    <row r="773" spans="1:17" x14ac:dyDescent="0.2">
      <c r="A773">
        <v>2011</v>
      </c>
      <c r="B773" t="s">
        <v>934</v>
      </c>
      <c r="C773" t="s">
        <v>65</v>
      </c>
      <c r="D773" t="s">
        <v>71</v>
      </c>
      <c r="E773">
        <v>7</v>
      </c>
      <c r="F773" t="s">
        <v>19</v>
      </c>
      <c r="G773" t="s">
        <v>352</v>
      </c>
      <c r="H773" t="s">
        <v>747</v>
      </c>
      <c r="I773" t="s">
        <v>22</v>
      </c>
      <c r="J773" t="s">
        <v>66</v>
      </c>
      <c r="K773" t="s">
        <v>24</v>
      </c>
      <c r="L773" t="s">
        <v>25</v>
      </c>
      <c r="M773" s="8">
        <v>1.3726666670000001</v>
      </c>
      <c r="N773" t="s">
        <v>26</v>
      </c>
      <c r="O773" s="8">
        <v>1.3726666670000001</v>
      </c>
      <c r="P773" s="8">
        <f>EXP(-1.363+3.366*LOG(O773,10))</f>
        <v>0.40658758379567089</v>
      </c>
      <c r="Q773" s="8">
        <f>(1788886*100)/6788946</f>
        <v>26.349981278389901</v>
      </c>
    </row>
    <row r="774" spans="1:17" x14ac:dyDescent="0.2">
      <c r="A774">
        <v>2011</v>
      </c>
      <c r="B774" t="s">
        <v>935</v>
      </c>
      <c r="C774" t="s">
        <v>65</v>
      </c>
      <c r="D774" t="s">
        <v>71</v>
      </c>
      <c r="E774">
        <v>7</v>
      </c>
      <c r="F774" t="s">
        <v>19</v>
      </c>
      <c r="G774" t="s">
        <v>352</v>
      </c>
      <c r="H774" t="s">
        <v>747</v>
      </c>
      <c r="I774" t="s">
        <v>22</v>
      </c>
      <c r="J774" t="s">
        <v>66</v>
      </c>
      <c r="K774" t="s">
        <v>24</v>
      </c>
      <c r="L774" t="s">
        <v>25</v>
      </c>
      <c r="M774" s="8">
        <v>1.3726666670000001</v>
      </c>
      <c r="N774" t="s">
        <v>26</v>
      </c>
      <c r="O774" s="8">
        <v>1.3726666670000001</v>
      </c>
      <c r="P774" s="8">
        <f>EXP(-1.363+3.366*LOG(O774,10))</f>
        <v>0.40658758379567089</v>
      </c>
      <c r="Q774" s="8">
        <f>(1788886*100)/6788946</f>
        <v>26.349981278389901</v>
      </c>
    </row>
    <row r="775" spans="1:17" x14ac:dyDescent="0.2">
      <c r="A775">
        <v>2011</v>
      </c>
      <c r="B775" t="s">
        <v>936</v>
      </c>
      <c r="C775" t="s">
        <v>65</v>
      </c>
      <c r="D775" t="s">
        <v>71</v>
      </c>
      <c r="E775">
        <v>7</v>
      </c>
      <c r="F775" t="s">
        <v>19</v>
      </c>
      <c r="G775" t="s">
        <v>352</v>
      </c>
      <c r="H775" t="s">
        <v>747</v>
      </c>
      <c r="I775" t="s">
        <v>22</v>
      </c>
      <c r="J775" t="s">
        <v>66</v>
      </c>
      <c r="K775" t="s">
        <v>24</v>
      </c>
      <c r="L775" t="s">
        <v>25</v>
      </c>
      <c r="M775" s="8">
        <v>1.3726666670000001</v>
      </c>
      <c r="N775" t="s">
        <v>26</v>
      </c>
      <c r="O775" s="8">
        <v>1.3726666670000001</v>
      </c>
      <c r="P775" s="8">
        <f>EXP(-1.363+3.366*LOG(O775,10))</f>
        <v>0.40658758379567089</v>
      </c>
      <c r="Q775" s="8">
        <f>(1788886*100)/6788946</f>
        <v>26.349981278389901</v>
      </c>
    </row>
    <row r="776" spans="1:17" x14ac:dyDescent="0.2">
      <c r="A776">
        <v>2011</v>
      </c>
      <c r="B776" t="s">
        <v>937</v>
      </c>
      <c r="C776" t="s">
        <v>65</v>
      </c>
      <c r="D776" t="s">
        <v>71</v>
      </c>
      <c r="E776">
        <v>7</v>
      </c>
      <c r="F776" t="s">
        <v>19</v>
      </c>
      <c r="G776" t="s">
        <v>352</v>
      </c>
      <c r="H776" t="s">
        <v>747</v>
      </c>
      <c r="I776" t="s">
        <v>22</v>
      </c>
      <c r="J776" t="s">
        <v>66</v>
      </c>
      <c r="K776" t="s">
        <v>24</v>
      </c>
      <c r="L776" t="s">
        <v>25</v>
      </c>
      <c r="M776" s="8">
        <v>1.3726666670000001</v>
      </c>
      <c r="N776" t="s">
        <v>26</v>
      </c>
      <c r="O776" s="8">
        <v>1.3726666670000001</v>
      </c>
      <c r="P776" s="8">
        <f>EXP(-1.363+3.366*LOG(O776,10))</f>
        <v>0.40658758379567089</v>
      </c>
      <c r="Q776" s="8">
        <f>(1788886*100)/6788946</f>
        <v>26.349981278389901</v>
      </c>
    </row>
    <row r="777" spans="1:17" x14ac:dyDescent="0.2">
      <c r="A777">
        <v>2011</v>
      </c>
      <c r="B777" t="s">
        <v>938</v>
      </c>
      <c r="C777" t="s">
        <v>65</v>
      </c>
      <c r="D777" t="s">
        <v>71</v>
      </c>
      <c r="E777">
        <v>7</v>
      </c>
      <c r="F777" t="s">
        <v>19</v>
      </c>
      <c r="G777" t="s">
        <v>352</v>
      </c>
      <c r="H777" t="s">
        <v>747</v>
      </c>
      <c r="I777" t="s">
        <v>22</v>
      </c>
      <c r="J777" t="s">
        <v>66</v>
      </c>
      <c r="K777" t="s">
        <v>24</v>
      </c>
      <c r="L777" t="s">
        <v>25</v>
      </c>
      <c r="M777" s="8">
        <v>1.3726666670000001</v>
      </c>
      <c r="N777" t="s">
        <v>26</v>
      </c>
      <c r="O777" s="8">
        <v>1.3726666670000001</v>
      </c>
      <c r="P777" s="8">
        <f>EXP(-1.363+3.366*LOG(O777,10))</f>
        <v>0.40658758379567089</v>
      </c>
      <c r="Q777" s="8">
        <f>(1788886*100)/6788946</f>
        <v>26.349981278389901</v>
      </c>
    </row>
    <row r="778" spans="1:17" x14ac:dyDescent="0.2">
      <c r="A778">
        <v>2011</v>
      </c>
      <c r="B778" t="s">
        <v>939</v>
      </c>
      <c r="C778" t="s">
        <v>65</v>
      </c>
      <c r="D778" t="s">
        <v>71</v>
      </c>
      <c r="E778">
        <v>7</v>
      </c>
      <c r="F778" t="s">
        <v>19</v>
      </c>
      <c r="G778" t="s">
        <v>352</v>
      </c>
      <c r="H778" t="s">
        <v>747</v>
      </c>
      <c r="I778" t="s">
        <v>22</v>
      </c>
      <c r="J778" t="s">
        <v>66</v>
      </c>
      <c r="K778" t="s">
        <v>24</v>
      </c>
      <c r="L778" t="s">
        <v>25</v>
      </c>
      <c r="M778" s="8">
        <v>1.3726666670000001</v>
      </c>
      <c r="N778" t="s">
        <v>26</v>
      </c>
      <c r="O778" s="8">
        <v>1.3726666670000001</v>
      </c>
      <c r="P778" s="8">
        <f>EXP(-1.363+3.366*LOG(O778,10))</f>
        <v>0.40658758379567089</v>
      </c>
      <c r="Q778" s="8">
        <f>(1788886*100)/6788946</f>
        <v>26.349981278389901</v>
      </c>
    </row>
    <row r="779" spans="1:17" x14ac:dyDescent="0.2">
      <c r="A779">
        <v>2011</v>
      </c>
      <c r="B779" t="s">
        <v>940</v>
      </c>
      <c r="C779" t="s">
        <v>65</v>
      </c>
      <c r="D779" t="s">
        <v>71</v>
      </c>
      <c r="E779">
        <v>7</v>
      </c>
      <c r="F779" t="s">
        <v>19</v>
      </c>
      <c r="G779" t="s">
        <v>352</v>
      </c>
      <c r="H779" t="s">
        <v>747</v>
      </c>
      <c r="I779" t="s">
        <v>22</v>
      </c>
      <c r="J779" t="s">
        <v>66</v>
      </c>
      <c r="K779" t="s">
        <v>24</v>
      </c>
      <c r="L779" t="s">
        <v>25</v>
      </c>
      <c r="M779" s="8">
        <v>1.3726666670000001</v>
      </c>
      <c r="N779" t="s">
        <v>26</v>
      </c>
      <c r="O779" s="8">
        <v>1.3726666670000001</v>
      </c>
      <c r="P779" s="8">
        <f>EXP(-1.363+3.366*LOG(O779,10))</f>
        <v>0.40658758379567089</v>
      </c>
      <c r="Q779" s="8">
        <f>(1788886*100)/6788946</f>
        <v>26.349981278389901</v>
      </c>
    </row>
    <row r="780" spans="1:17" x14ac:dyDescent="0.2">
      <c r="A780">
        <v>2011</v>
      </c>
      <c r="B780" t="s">
        <v>941</v>
      </c>
      <c r="C780" t="s">
        <v>65</v>
      </c>
      <c r="D780" t="s">
        <v>71</v>
      </c>
      <c r="E780">
        <v>7</v>
      </c>
      <c r="F780" t="s">
        <v>19</v>
      </c>
      <c r="G780" t="s">
        <v>352</v>
      </c>
      <c r="H780" t="s">
        <v>747</v>
      </c>
      <c r="I780" t="s">
        <v>22</v>
      </c>
      <c r="J780" t="s">
        <v>66</v>
      </c>
      <c r="K780" t="s">
        <v>24</v>
      </c>
      <c r="L780" t="s">
        <v>25</v>
      </c>
      <c r="M780" s="8">
        <v>1.3726666670000001</v>
      </c>
      <c r="N780" t="s">
        <v>26</v>
      </c>
      <c r="O780" s="8">
        <v>1.3726666670000001</v>
      </c>
      <c r="P780" s="8">
        <f>EXP(-1.363+3.366*LOG(O780,10))</f>
        <v>0.40658758379567089</v>
      </c>
      <c r="Q780" s="8">
        <f>(1788886*100)/6788946</f>
        <v>26.349981278389901</v>
      </c>
    </row>
    <row r="781" spans="1:17" x14ac:dyDescent="0.2">
      <c r="A781">
        <v>2011</v>
      </c>
      <c r="B781" t="s">
        <v>942</v>
      </c>
      <c r="C781" t="s">
        <v>65</v>
      </c>
      <c r="D781" t="s">
        <v>71</v>
      </c>
      <c r="E781">
        <v>7</v>
      </c>
      <c r="F781" t="s">
        <v>19</v>
      </c>
      <c r="G781" t="s">
        <v>352</v>
      </c>
      <c r="H781" t="s">
        <v>747</v>
      </c>
      <c r="I781" t="s">
        <v>22</v>
      </c>
      <c r="J781" t="s">
        <v>66</v>
      </c>
      <c r="K781" t="s">
        <v>24</v>
      </c>
      <c r="L781" t="s">
        <v>25</v>
      </c>
      <c r="M781" s="8">
        <v>1.3726666670000001</v>
      </c>
      <c r="N781" t="s">
        <v>26</v>
      </c>
      <c r="O781" s="8">
        <v>1.3726666670000001</v>
      </c>
      <c r="P781" s="8">
        <f>EXP(-1.363+3.366*LOG(O781,10))</f>
        <v>0.40658758379567089</v>
      </c>
      <c r="Q781" s="8">
        <f>(1788886*100)/6788946</f>
        <v>26.349981278389901</v>
      </c>
    </row>
    <row r="782" spans="1:17" x14ac:dyDescent="0.2">
      <c r="A782">
        <v>2011</v>
      </c>
      <c r="B782" t="s">
        <v>943</v>
      </c>
      <c r="C782" t="s">
        <v>65</v>
      </c>
      <c r="D782" t="s">
        <v>71</v>
      </c>
      <c r="E782">
        <v>7</v>
      </c>
      <c r="F782" t="s">
        <v>19</v>
      </c>
      <c r="G782" t="s">
        <v>352</v>
      </c>
      <c r="H782" t="s">
        <v>747</v>
      </c>
      <c r="I782" t="s">
        <v>22</v>
      </c>
      <c r="J782" t="s">
        <v>66</v>
      </c>
      <c r="K782" t="s">
        <v>24</v>
      </c>
      <c r="L782" t="s">
        <v>25</v>
      </c>
      <c r="M782" s="8">
        <v>1.3726666670000001</v>
      </c>
      <c r="N782" t="s">
        <v>26</v>
      </c>
      <c r="O782" s="8">
        <v>1.3726666670000001</v>
      </c>
      <c r="P782" s="8">
        <f>EXP(-1.363+3.366*LOG(O782,10))</f>
        <v>0.40658758379567089</v>
      </c>
      <c r="Q782" s="8">
        <f>(1788886*100)/6788946</f>
        <v>26.349981278389901</v>
      </c>
    </row>
    <row r="783" spans="1:17" x14ac:dyDescent="0.2">
      <c r="A783">
        <v>2011</v>
      </c>
      <c r="B783" t="s">
        <v>944</v>
      </c>
      <c r="C783" t="s">
        <v>65</v>
      </c>
      <c r="D783" t="s">
        <v>71</v>
      </c>
      <c r="E783">
        <v>7</v>
      </c>
      <c r="F783" t="s">
        <v>19</v>
      </c>
      <c r="G783" t="s">
        <v>352</v>
      </c>
      <c r="H783" t="s">
        <v>747</v>
      </c>
      <c r="I783" t="s">
        <v>22</v>
      </c>
      <c r="J783" t="s">
        <v>66</v>
      </c>
      <c r="K783" t="s">
        <v>24</v>
      </c>
      <c r="L783" t="s">
        <v>25</v>
      </c>
      <c r="M783" s="8">
        <v>1.3726666670000001</v>
      </c>
      <c r="N783" t="s">
        <v>26</v>
      </c>
      <c r="O783" s="8">
        <v>1.3726666670000001</v>
      </c>
      <c r="P783" s="8">
        <f>EXP(-1.363+3.366*LOG(O783,10))</f>
        <v>0.40658758379567089</v>
      </c>
      <c r="Q783" s="8">
        <f>(1788886*100)/6788946</f>
        <v>26.349981278389901</v>
      </c>
    </row>
    <row r="784" spans="1:17" x14ac:dyDescent="0.2">
      <c r="A784">
        <v>2011</v>
      </c>
      <c r="B784" t="s">
        <v>945</v>
      </c>
      <c r="C784" t="s">
        <v>65</v>
      </c>
      <c r="D784" t="s">
        <v>71</v>
      </c>
      <c r="E784">
        <v>7</v>
      </c>
      <c r="F784" t="s">
        <v>19</v>
      </c>
      <c r="G784" t="s">
        <v>352</v>
      </c>
      <c r="H784" t="s">
        <v>747</v>
      </c>
      <c r="I784" t="s">
        <v>22</v>
      </c>
      <c r="J784" t="s">
        <v>66</v>
      </c>
      <c r="K784" t="s">
        <v>24</v>
      </c>
      <c r="L784" t="s">
        <v>25</v>
      </c>
      <c r="M784" s="8">
        <v>1.3726666670000001</v>
      </c>
      <c r="N784" t="s">
        <v>26</v>
      </c>
      <c r="O784" s="8">
        <v>1.3726666670000001</v>
      </c>
      <c r="P784" s="8">
        <f>EXP(-1.363+3.366*LOG(O784,10))</f>
        <v>0.40658758379567089</v>
      </c>
      <c r="Q784" s="8">
        <f>(1788886*100)/6788946</f>
        <v>26.349981278389901</v>
      </c>
    </row>
    <row r="785" spans="1:17" x14ac:dyDescent="0.2">
      <c r="A785">
        <v>2011</v>
      </c>
      <c r="B785" t="s">
        <v>946</v>
      </c>
      <c r="C785" t="s">
        <v>65</v>
      </c>
      <c r="D785" t="s">
        <v>71</v>
      </c>
      <c r="E785">
        <v>7</v>
      </c>
      <c r="F785" t="s">
        <v>19</v>
      </c>
      <c r="G785" t="s">
        <v>352</v>
      </c>
      <c r="H785" t="s">
        <v>747</v>
      </c>
      <c r="I785" t="s">
        <v>22</v>
      </c>
      <c r="J785" t="s">
        <v>66</v>
      </c>
      <c r="K785" t="s">
        <v>24</v>
      </c>
      <c r="L785" t="s">
        <v>25</v>
      </c>
      <c r="M785" s="8">
        <v>1.3726666670000001</v>
      </c>
      <c r="N785" t="s">
        <v>26</v>
      </c>
      <c r="O785" s="8">
        <v>1.3726666670000001</v>
      </c>
      <c r="P785" s="8">
        <f>EXP(-1.363+3.366*LOG(O785,10))</f>
        <v>0.40658758379567089</v>
      </c>
      <c r="Q785" s="8">
        <f>(1788886*100)/6788946</f>
        <v>26.349981278389901</v>
      </c>
    </row>
    <row r="786" spans="1:17" x14ac:dyDescent="0.2">
      <c r="A786">
        <v>2011</v>
      </c>
      <c r="B786" t="s">
        <v>947</v>
      </c>
      <c r="C786" t="s">
        <v>65</v>
      </c>
      <c r="D786" t="s">
        <v>71</v>
      </c>
      <c r="E786">
        <v>7</v>
      </c>
      <c r="F786" t="s">
        <v>19</v>
      </c>
      <c r="G786" t="s">
        <v>352</v>
      </c>
      <c r="H786" t="s">
        <v>747</v>
      </c>
      <c r="I786" t="s">
        <v>22</v>
      </c>
      <c r="J786" t="s">
        <v>66</v>
      </c>
      <c r="K786" t="s">
        <v>24</v>
      </c>
      <c r="L786" t="s">
        <v>25</v>
      </c>
      <c r="M786" s="8">
        <v>1.3726666670000001</v>
      </c>
      <c r="N786" t="s">
        <v>26</v>
      </c>
      <c r="O786" s="8">
        <v>1.3726666670000001</v>
      </c>
      <c r="P786" s="8">
        <f>EXP(-1.363+3.366*LOG(O786,10))</f>
        <v>0.40658758379567089</v>
      </c>
      <c r="Q786" s="8">
        <f>(1788886*100)/6788946</f>
        <v>26.349981278389901</v>
      </c>
    </row>
    <row r="787" spans="1:17" x14ac:dyDescent="0.2">
      <c r="A787">
        <v>2011</v>
      </c>
      <c r="B787" t="s">
        <v>948</v>
      </c>
      <c r="C787" t="s">
        <v>65</v>
      </c>
      <c r="D787" t="s">
        <v>71</v>
      </c>
      <c r="E787">
        <v>7</v>
      </c>
      <c r="F787" t="s">
        <v>19</v>
      </c>
      <c r="G787" t="s">
        <v>352</v>
      </c>
      <c r="H787" t="s">
        <v>747</v>
      </c>
      <c r="I787" t="s">
        <v>22</v>
      </c>
      <c r="J787" t="s">
        <v>66</v>
      </c>
      <c r="K787" t="s">
        <v>24</v>
      </c>
      <c r="L787" t="s">
        <v>25</v>
      </c>
      <c r="M787" s="8">
        <v>1.3726666670000001</v>
      </c>
      <c r="N787" t="s">
        <v>26</v>
      </c>
      <c r="O787" s="8">
        <v>1.3726666670000001</v>
      </c>
      <c r="P787" s="8">
        <f>EXP(-1.363+3.366*LOG(O787,10))</f>
        <v>0.40658758379567089</v>
      </c>
      <c r="Q787" s="8">
        <f>(1788886*100)/6788946</f>
        <v>26.349981278389901</v>
      </c>
    </row>
    <row r="788" spans="1:17" x14ac:dyDescent="0.2">
      <c r="A788">
        <v>2011</v>
      </c>
      <c r="B788" t="s">
        <v>949</v>
      </c>
      <c r="C788" t="s">
        <v>65</v>
      </c>
      <c r="D788" t="s">
        <v>71</v>
      </c>
      <c r="E788">
        <v>7</v>
      </c>
      <c r="F788" t="s">
        <v>19</v>
      </c>
      <c r="G788" t="s">
        <v>352</v>
      </c>
      <c r="H788" t="s">
        <v>747</v>
      </c>
      <c r="I788" t="s">
        <v>22</v>
      </c>
      <c r="J788" t="s">
        <v>66</v>
      </c>
      <c r="K788" t="s">
        <v>24</v>
      </c>
      <c r="L788" t="s">
        <v>25</v>
      </c>
      <c r="M788" s="8">
        <v>1.3726666670000001</v>
      </c>
      <c r="N788" t="s">
        <v>26</v>
      </c>
      <c r="O788" s="8">
        <v>1.3726666670000001</v>
      </c>
      <c r="P788" s="8">
        <f>EXP(-1.363+3.366*LOG(O788,10))</f>
        <v>0.40658758379567089</v>
      </c>
      <c r="Q788" s="8">
        <f>(1788886*100)/6788946</f>
        <v>26.349981278389901</v>
      </c>
    </row>
    <row r="789" spans="1:17" x14ac:dyDescent="0.2">
      <c r="A789">
        <v>2011</v>
      </c>
      <c r="B789" t="s">
        <v>950</v>
      </c>
      <c r="C789" t="s">
        <v>65</v>
      </c>
      <c r="D789" t="s">
        <v>71</v>
      </c>
      <c r="E789">
        <v>7</v>
      </c>
      <c r="F789" t="s">
        <v>19</v>
      </c>
      <c r="G789" t="s">
        <v>352</v>
      </c>
      <c r="H789" t="s">
        <v>747</v>
      </c>
      <c r="I789" t="s">
        <v>22</v>
      </c>
      <c r="J789" t="s">
        <v>66</v>
      </c>
      <c r="K789" t="s">
        <v>24</v>
      </c>
      <c r="L789" t="s">
        <v>25</v>
      </c>
      <c r="M789" s="8">
        <v>1.3726666670000001</v>
      </c>
      <c r="N789" t="s">
        <v>26</v>
      </c>
      <c r="O789" s="8">
        <v>1.3726666670000001</v>
      </c>
      <c r="P789" s="8">
        <f>EXP(-1.363+3.366*LOG(O789,10))</f>
        <v>0.40658758379567089</v>
      </c>
      <c r="Q789" s="8">
        <f>(1788886*100)/6788946</f>
        <v>26.349981278389901</v>
      </c>
    </row>
    <row r="790" spans="1:17" x14ac:dyDescent="0.2">
      <c r="A790">
        <v>2011</v>
      </c>
      <c r="B790" t="s">
        <v>951</v>
      </c>
      <c r="C790" t="s">
        <v>65</v>
      </c>
      <c r="D790" t="s">
        <v>71</v>
      </c>
      <c r="E790">
        <v>7</v>
      </c>
      <c r="F790" t="s">
        <v>19</v>
      </c>
      <c r="G790" t="s">
        <v>352</v>
      </c>
      <c r="H790" t="s">
        <v>747</v>
      </c>
      <c r="I790" t="s">
        <v>22</v>
      </c>
      <c r="J790" t="s">
        <v>66</v>
      </c>
      <c r="K790" t="s">
        <v>24</v>
      </c>
      <c r="L790" t="s">
        <v>25</v>
      </c>
      <c r="M790" s="8">
        <v>1.3726666670000001</v>
      </c>
      <c r="N790" t="s">
        <v>26</v>
      </c>
      <c r="O790" s="8">
        <v>1.3726666670000001</v>
      </c>
      <c r="P790" s="8">
        <f>EXP(-1.363+3.366*LOG(O790,10))</f>
        <v>0.40658758379567089</v>
      </c>
      <c r="Q790" s="8">
        <f>(1788886*100)/6788946</f>
        <v>26.349981278389901</v>
      </c>
    </row>
    <row r="791" spans="1:17" x14ac:dyDescent="0.2">
      <c r="A791">
        <v>2011</v>
      </c>
      <c r="B791" t="s">
        <v>952</v>
      </c>
      <c r="C791" t="s">
        <v>65</v>
      </c>
      <c r="D791" t="s">
        <v>100</v>
      </c>
      <c r="E791">
        <v>7</v>
      </c>
      <c r="F791" t="s">
        <v>19</v>
      </c>
      <c r="G791" t="s">
        <v>352</v>
      </c>
      <c r="H791" t="s">
        <v>747</v>
      </c>
      <c r="I791" t="s">
        <v>22</v>
      </c>
      <c r="J791" t="s">
        <v>66</v>
      </c>
      <c r="K791" t="s">
        <v>24</v>
      </c>
      <c r="L791" t="s">
        <v>25</v>
      </c>
      <c r="M791" s="8">
        <v>1.3726666670000001</v>
      </c>
      <c r="N791" t="s">
        <v>26</v>
      </c>
      <c r="O791" s="8">
        <v>1.3726666670000001</v>
      </c>
      <c r="P791" s="8">
        <f>EXP(-1.363+3.366*LOG(O791,10))</f>
        <v>0.40658758379567089</v>
      </c>
      <c r="Q791" s="8">
        <f>(1788886*100)/6788946</f>
        <v>26.349981278389901</v>
      </c>
    </row>
    <row r="792" spans="1:17" x14ac:dyDescent="0.2">
      <c r="A792">
        <v>2011</v>
      </c>
      <c r="B792" t="s">
        <v>953</v>
      </c>
      <c r="C792" t="s">
        <v>65</v>
      </c>
      <c r="D792" t="s">
        <v>100</v>
      </c>
      <c r="E792">
        <v>7</v>
      </c>
      <c r="F792" t="s">
        <v>19</v>
      </c>
      <c r="G792" t="s">
        <v>352</v>
      </c>
      <c r="H792" t="s">
        <v>747</v>
      </c>
      <c r="I792" t="s">
        <v>22</v>
      </c>
      <c r="J792" t="s">
        <v>66</v>
      </c>
      <c r="K792" t="s">
        <v>24</v>
      </c>
      <c r="L792" t="s">
        <v>25</v>
      </c>
      <c r="M792" s="8">
        <v>1.3726666670000001</v>
      </c>
      <c r="N792" t="s">
        <v>26</v>
      </c>
      <c r="O792" s="8">
        <v>1.3726666670000001</v>
      </c>
      <c r="P792" s="8">
        <f>EXP(-1.363+3.366*LOG(O792,10))</f>
        <v>0.40658758379567089</v>
      </c>
      <c r="Q792" s="8">
        <f>(1788886*100)/6788946</f>
        <v>26.349981278389901</v>
      </c>
    </row>
    <row r="793" spans="1:17" x14ac:dyDescent="0.2">
      <c r="A793">
        <v>2011</v>
      </c>
      <c r="B793" t="s">
        <v>954</v>
      </c>
      <c r="C793" t="s">
        <v>65</v>
      </c>
      <c r="D793" t="s">
        <v>100</v>
      </c>
      <c r="E793">
        <v>7</v>
      </c>
      <c r="F793" t="s">
        <v>19</v>
      </c>
      <c r="G793" t="s">
        <v>352</v>
      </c>
      <c r="H793" t="s">
        <v>747</v>
      </c>
      <c r="I793" t="s">
        <v>22</v>
      </c>
      <c r="J793" t="s">
        <v>66</v>
      </c>
      <c r="K793" t="s">
        <v>24</v>
      </c>
      <c r="L793" t="s">
        <v>25</v>
      </c>
      <c r="M793" s="8">
        <v>1.3726666670000001</v>
      </c>
      <c r="N793" t="s">
        <v>26</v>
      </c>
      <c r="O793" s="8">
        <v>1.3726666670000001</v>
      </c>
      <c r="P793" s="8">
        <f>EXP(-1.363+3.366*LOG(O793,10))</f>
        <v>0.40658758379567089</v>
      </c>
      <c r="Q793" s="8">
        <f>(1788886*100)/6788946</f>
        <v>26.349981278389901</v>
      </c>
    </row>
    <row r="794" spans="1:17" x14ac:dyDescent="0.2">
      <c r="A794">
        <v>2011</v>
      </c>
      <c r="B794" t="s">
        <v>955</v>
      </c>
      <c r="C794" t="s">
        <v>65</v>
      </c>
      <c r="D794" t="s">
        <v>100</v>
      </c>
      <c r="E794">
        <v>7</v>
      </c>
      <c r="F794" t="s">
        <v>19</v>
      </c>
      <c r="G794" t="s">
        <v>352</v>
      </c>
      <c r="H794" t="s">
        <v>747</v>
      </c>
      <c r="I794" t="s">
        <v>22</v>
      </c>
      <c r="J794" t="s">
        <v>66</v>
      </c>
      <c r="K794" t="s">
        <v>24</v>
      </c>
      <c r="L794" t="s">
        <v>25</v>
      </c>
      <c r="M794" s="8">
        <v>1.3726666670000001</v>
      </c>
      <c r="N794" t="s">
        <v>26</v>
      </c>
      <c r="O794" s="8">
        <v>1.3726666670000001</v>
      </c>
      <c r="P794" s="8">
        <f>EXP(-1.363+3.366*LOG(O794,10))</f>
        <v>0.40658758379567089</v>
      </c>
      <c r="Q794" s="8">
        <f>(1788886*100)/6788946</f>
        <v>26.349981278389901</v>
      </c>
    </row>
    <row r="795" spans="1:17" x14ac:dyDescent="0.2">
      <c r="A795">
        <v>2011</v>
      </c>
      <c r="B795" t="s">
        <v>956</v>
      </c>
      <c r="C795" t="s">
        <v>65</v>
      </c>
      <c r="D795" t="s">
        <v>100</v>
      </c>
      <c r="E795">
        <v>7</v>
      </c>
      <c r="F795" t="s">
        <v>19</v>
      </c>
      <c r="G795" t="s">
        <v>352</v>
      </c>
      <c r="H795" t="s">
        <v>747</v>
      </c>
      <c r="I795" t="s">
        <v>22</v>
      </c>
      <c r="J795" t="s">
        <v>66</v>
      </c>
      <c r="K795" t="s">
        <v>24</v>
      </c>
      <c r="L795" t="s">
        <v>25</v>
      </c>
      <c r="M795" s="8">
        <v>1.3726666670000001</v>
      </c>
      <c r="N795" t="s">
        <v>26</v>
      </c>
      <c r="O795" s="8">
        <v>1.3726666670000001</v>
      </c>
      <c r="P795" s="8">
        <f>EXP(-1.363+3.366*LOG(O795,10))</f>
        <v>0.40658758379567089</v>
      </c>
      <c r="Q795" s="8">
        <f>(1788886*100)/6788946</f>
        <v>26.349981278389901</v>
      </c>
    </row>
    <row r="796" spans="1:17" x14ac:dyDescent="0.2">
      <c r="A796">
        <v>2011</v>
      </c>
      <c r="B796" t="s">
        <v>957</v>
      </c>
      <c r="C796" t="s">
        <v>65</v>
      </c>
      <c r="D796" t="s">
        <v>100</v>
      </c>
      <c r="E796">
        <v>7</v>
      </c>
      <c r="F796" t="s">
        <v>19</v>
      </c>
      <c r="G796" t="s">
        <v>352</v>
      </c>
      <c r="H796" t="s">
        <v>747</v>
      </c>
      <c r="I796" t="s">
        <v>22</v>
      </c>
      <c r="J796" t="s">
        <v>66</v>
      </c>
      <c r="K796" t="s">
        <v>24</v>
      </c>
      <c r="L796" t="s">
        <v>25</v>
      </c>
      <c r="M796" s="8">
        <v>1.3726666670000001</v>
      </c>
      <c r="N796" t="s">
        <v>26</v>
      </c>
      <c r="O796" s="8">
        <v>1.3726666670000001</v>
      </c>
      <c r="P796" s="8">
        <f>EXP(-1.363+3.366*LOG(O796,10))</f>
        <v>0.40658758379567089</v>
      </c>
      <c r="Q796" s="8">
        <f>(1788886*100)/6788946</f>
        <v>26.349981278389901</v>
      </c>
    </row>
    <row r="797" spans="1:17" x14ac:dyDescent="0.2">
      <c r="A797">
        <v>2011</v>
      </c>
      <c r="B797" t="s">
        <v>958</v>
      </c>
      <c r="C797" t="s">
        <v>65</v>
      </c>
      <c r="D797" t="s">
        <v>100</v>
      </c>
      <c r="E797">
        <v>7</v>
      </c>
      <c r="F797" t="s">
        <v>19</v>
      </c>
      <c r="G797" t="s">
        <v>352</v>
      </c>
      <c r="H797" t="s">
        <v>747</v>
      </c>
      <c r="I797" t="s">
        <v>22</v>
      </c>
      <c r="J797" t="s">
        <v>66</v>
      </c>
      <c r="K797" t="s">
        <v>24</v>
      </c>
      <c r="L797" t="s">
        <v>25</v>
      </c>
      <c r="M797" s="8">
        <v>1.3726666670000001</v>
      </c>
      <c r="N797" t="s">
        <v>26</v>
      </c>
      <c r="O797" s="8">
        <v>1.3726666670000001</v>
      </c>
      <c r="P797" s="8">
        <f>EXP(-1.363+3.366*LOG(O797,10))</f>
        <v>0.40658758379567089</v>
      </c>
      <c r="Q797" s="8">
        <f>(1788886*100)/6788946</f>
        <v>26.349981278389901</v>
      </c>
    </row>
    <row r="798" spans="1:17" x14ac:dyDescent="0.2">
      <c r="A798">
        <v>2011</v>
      </c>
      <c r="B798" t="s">
        <v>959</v>
      </c>
      <c r="C798" t="s">
        <v>65</v>
      </c>
      <c r="D798" t="s">
        <v>100</v>
      </c>
      <c r="E798">
        <v>7</v>
      </c>
      <c r="F798" t="s">
        <v>19</v>
      </c>
      <c r="G798" t="s">
        <v>352</v>
      </c>
      <c r="H798" t="s">
        <v>747</v>
      </c>
      <c r="I798" t="s">
        <v>22</v>
      </c>
      <c r="J798" t="s">
        <v>66</v>
      </c>
      <c r="K798" t="s">
        <v>24</v>
      </c>
      <c r="L798" t="s">
        <v>25</v>
      </c>
      <c r="M798" s="8">
        <v>1.3726666670000001</v>
      </c>
      <c r="N798" t="s">
        <v>26</v>
      </c>
      <c r="O798" s="8">
        <v>1.3726666670000001</v>
      </c>
      <c r="P798" s="8">
        <f>EXP(-1.363+3.366*LOG(O798,10))</f>
        <v>0.40658758379567089</v>
      </c>
      <c r="Q798" s="8">
        <f>(1788886*100)/6788946</f>
        <v>26.349981278389901</v>
      </c>
    </row>
    <row r="799" spans="1:17" x14ac:dyDescent="0.2">
      <c r="A799">
        <v>2011</v>
      </c>
      <c r="B799" t="s">
        <v>960</v>
      </c>
      <c r="C799" t="s">
        <v>65</v>
      </c>
      <c r="D799" t="s">
        <v>100</v>
      </c>
      <c r="E799">
        <v>7</v>
      </c>
      <c r="F799" t="s">
        <v>19</v>
      </c>
      <c r="G799" t="s">
        <v>352</v>
      </c>
      <c r="H799" t="s">
        <v>747</v>
      </c>
      <c r="I799" t="s">
        <v>22</v>
      </c>
      <c r="J799" t="s">
        <v>66</v>
      </c>
      <c r="K799" t="s">
        <v>24</v>
      </c>
      <c r="L799" t="s">
        <v>25</v>
      </c>
      <c r="M799" s="8">
        <v>1.3726666670000001</v>
      </c>
      <c r="N799" t="s">
        <v>26</v>
      </c>
      <c r="O799" s="8">
        <v>1.3726666670000001</v>
      </c>
      <c r="P799" s="8">
        <f>EXP(-1.363+3.366*LOG(O799,10))</f>
        <v>0.40658758379567089</v>
      </c>
      <c r="Q799" s="8">
        <f>(1788886*100)/6788946</f>
        <v>26.349981278389901</v>
      </c>
    </row>
    <row r="800" spans="1:17" x14ac:dyDescent="0.2">
      <c r="A800">
        <v>2011</v>
      </c>
      <c r="B800" t="s">
        <v>961</v>
      </c>
      <c r="C800" t="s">
        <v>57</v>
      </c>
      <c r="D800" t="s">
        <v>100</v>
      </c>
      <c r="E800">
        <v>7</v>
      </c>
      <c r="F800" t="s">
        <v>19</v>
      </c>
      <c r="G800" t="s">
        <v>352</v>
      </c>
      <c r="H800" t="s">
        <v>747</v>
      </c>
      <c r="I800" t="s">
        <v>22</v>
      </c>
      <c r="J800" t="s">
        <v>31</v>
      </c>
      <c r="K800" t="s">
        <v>24</v>
      </c>
      <c r="L800" t="s">
        <v>25</v>
      </c>
      <c r="M800" s="8">
        <v>1.3726666670000001</v>
      </c>
      <c r="N800" t="s">
        <v>26</v>
      </c>
      <c r="O800" s="8">
        <v>1.3726666670000001</v>
      </c>
      <c r="P800" s="8">
        <f>EXP(-1.363+3.366*LOG(O800,10))</f>
        <v>0.40658758379567089</v>
      </c>
      <c r="Q800" s="8">
        <f>(321151.3*100)/5927002</f>
        <v>5.4184442657518925</v>
      </c>
    </row>
    <row r="801" spans="1:17" x14ac:dyDescent="0.2">
      <c r="A801">
        <v>2011</v>
      </c>
      <c r="B801" t="s">
        <v>962</v>
      </c>
      <c r="C801" t="s">
        <v>60</v>
      </c>
      <c r="D801" t="s">
        <v>190</v>
      </c>
      <c r="E801">
        <v>7</v>
      </c>
      <c r="F801" t="s">
        <v>19</v>
      </c>
      <c r="G801" t="s">
        <v>352</v>
      </c>
      <c r="H801" t="s">
        <v>747</v>
      </c>
      <c r="I801" t="s">
        <v>22</v>
      </c>
      <c r="J801" t="s">
        <v>31</v>
      </c>
      <c r="K801" t="s">
        <v>24</v>
      </c>
      <c r="L801" t="s">
        <v>25</v>
      </c>
      <c r="M801" s="8">
        <v>1.3726666670000001</v>
      </c>
      <c r="N801" t="s">
        <v>26</v>
      </c>
      <c r="O801" s="8">
        <v>1.3726666670000001</v>
      </c>
      <c r="P801" s="8">
        <f>EXP(-1.363+3.366*LOG(O801,10))</f>
        <v>0.40658758379567089</v>
      </c>
      <c r="Q801" s="8">
        <f>(27433.05*100)/7611378</f>
        <v>0.36042159514348127</v>
      </c>
    </row>
    <row r="802" spans="1:17" x14ac:dyDescent="0.2">
      <c r="A802">
        <v>2011</v>
      </c>
      <c r="B802" t="s">
        <v>963</v>
      </c>
      <c r="C802" t="s">
        <v>60</v>
      </c>
      <c r="D802" t="s">
        <v>190</v>
      </c>
      <c r="E802">
        <v>7</v>
      </c>
      <c r="F802" t="s">
        <v>19</v>
      </c>
      <c r="G802" t="s">
        <v>352</v>
      </c>
      <c r="H802" t="s">
        <v>747</v>
      </c>
      <c r="I802" t="s">
        <v>22</v>
      </c>
      <c r="J802" t="s">
        <v>31</v>
      </c>
      <c r="K802" t="s">
        <v>24</v>
      </c>
      <c r="L802" t="s">
        <v>25</v>
      </c>
      <c r="M802" s="8">
        <v>1.3726666670000001</v>
      </c>
      <c r="N802" t="s">
        <v>26</v>
      </c>
      <c r="O802" s="8">
        <v>1.3726666670000001</v>
      </c>
      <c r="P802" s="8">
        <f>EXP(-1.363+3.366*LOG(O802,10))</f>
        <v>0.40658758379567089</v>
      </c>
      <c r="Q802" s="8">
        <f>(27433.05*100)/7611378</f>
        <v>0.36042159514348127</v>
      </c>
    </row>
    <row r="803" spans="1:17" x14ac:dyDescent="0.2">
      <c r="A803">
        <v>2011</v>
      </c>
      <c r="B803" t="s">
        <v>967</v>
      </c>
      <c r="C803" t="s">
        <v>60</v>
      </c>
      <c r="D803" t="s">
        <v>190</v>
      </c>
      <c r="E803">
        <v>7</v>
      </c>
      <c r="F803" t="s">
        <v>19</v>
      </c>
      <c r="G803" t="s">
        <v>352</v>
      </c>
      <c r="H803" t="s">
        <v>747</v>
      </c>
      <c r="I803" t="s">
        <v>22</v>
      </c>
      <c r="J803" t="s">
        <v>31</v>
      </c>
      <c r="K803" t="s">
        <v>24</v>
      </c>
      <c r="L803" t="s">
        <v>25</v>
      </c>
      <c r="M803" s="8">
        <v>1.3726666670000001</v>
      </c>
      <c r="N803" t="s">
        <v>26</v>
      </c>
      <c r="O803" s="8">
        <v>1.3726666670000001</v>
      </c>
      <c r="P803" s="8">
        <f>EXP(-1.363+3.366*LOG(O803,10))</f>
        <v>0.40658758379567089</v>
      </c>
      <c r="Q803" s="8">
        <f>(27433.05*100)/7611378</f>
        <v>0.36042159514348127</v>
      </c>
    </row>
    <row r="804" spans="1:17" x14ac:dyDescent="0.2">
      <c r="A804">
        <v>2011</v>
      </c>
      <c r="B804" t="s">
        <v>968</v>
      </c>
      <c r="C804" t="s">
        <v>60</v>
      </c>
      <c r="D804" t="s">
        <v>190</v>
      </c>
      <c r="E804">
        <v>7</v>
      </c>
      <c r="F804" t="s">
        <v>19</v>
      </c>
      <c r="G804" t="s">
        <v>352</v>
      </c>
      <c r="H804" t="s">
        <v>747</v>
      </c>
      <c r="I804" t="s">
        <v>22</v>
      </c>
      <c r="J804" t="s">
        <v>31</v>
      </c>
      <c r="K804" t="s">
        <v>24</v>
      </c>
      <c r="L804" t="s">
        <v>25</v>
      </c>
      <c r="M804" s="8">
        <v>1.3726666670000001</v>
      </c>
      <c r="N804" t="s">
        <v>26</v>
      </c>
      <c r="O804" s="8">
        <v>1.3726666670000001</v>
      </c>
      <c r="P804" s="8">
        <f>EXP(-1.363+3.366*LOG(O804,10))</f>
        <v>0.40658758379567089</v>
      </c>
      <c r="Q804" s="8">
        <f>(27433.05*100)/7611378</f>
        <v>0.36042159514348127</v>
      </c>
    </row>
    <row r="805" spans="1:17" x14ac:dyDescent="0.2">
      <c r="A805">
        <v>2011</v>
      </c>
      <c r="B805" t="s">
        <v>969</v>
      </c>
      <c r="C805" t="s">
        <v>30</v>
      </c>
      <c r="D805" t="s">
        <v>100</v>
      </c>
      <c r="E805">
        <v>7</v>
      </c>
      <c r="F805" t="s">
        <v>19</v>
      </c>
      <c r="G805" t="s">
        <v>352</v>
      </c>
      <c r="H805" t="s">
        <v>747</v>
      </c>
      <c r="I805" t="s">
        <v>22</v>
      </c>
      <c r="J805" t="s">
        <v>31</v>
      </c>
      <c r="K805" t="s">
        <v>24</v>
      </c>
      <c r="L805" t="s">
        <v>25</v>
      </c>
      <c r="M805" s="8">
        <v>1.3726666670000001</v>
      </c>
      <c r="N805" t="s">
        <v>26</v>
      </c>
      <c r="O805" s="8">
        <v>1.3726666670000001</v>
      </c>
      <c r="P805" s="8">
        <f>EXP(-1.363+3.366*LOG(O805,10))</f>
        <v>0.40658758379567089</v>
      </c>
      <c r="Q805" s="8">
        <f>(34897.31*100)/4728180</f>
        <v>0.73807067412831151</v>
      </c>
    </row>
    <row r="806" spans="1:17" x14ac:dyDescent="0.2">
      <c r="A806">
        <v>2011</v>
      </c>
      <c r="B806" t="s">
        <v>970</v>
      </c>
      <c r="C806" t="s">
        <v>30</v>
      </c>
      <c r="D806" t="s">
        <v>100</v>
      </c>
      <c r="E806">
        <v>7</v>
      </c>
      <c r="F806" t="s">
        <v>19</v>
      </c>
      <c r="G806" t="s">
        <v>352</v>
      </c>
      <c r="H806" t="s">
        <v>747</v>
      </c>
      <c r="I806" t="s">
        <v>22</v>
      </c>
      <c r="J806" t="s">
        <v>31</v>
      </c>
      <c r="K806" t="s">
        <v>24</v>
      </c>
      <c r="L806" t="s">
        <v>25</v>
      </c>
      <c r="M806" s="8">
        <v>1.3726666670000001</v>
      </c>
      <c r="N806" t="s">
        <v>26</v>
      </c>
      <c r="O806" s="8">
        <v>1.3726666670000001</v>
      </c>
      <c r="P806" s="8">
        <f>EXP(-1.363+3.366*LOG(O806,10))</f>
        <v>0.40658758379567089</v>
      </c>
      <c r="Q806" s="8">
        <f>(34897.31*100)/4728180</f>
        <v>0.73807067412831151</v>
      </c>
    </row>
    <row r="807" spans="1:17" x14ac:dyDescent="0.2">
      <c r="A807">
        <v>2011</v>
      </c>
      <c r="B807" t="s">
        <v>971</v>
      </c>
      <c r="C807" t="s">
        <v>39</v>
      </c>
      <c r="D807" t="s">
        <v>95</v>
      </c>
      <c r="E807">
        <v>7</v>
      </c>
      <c r="F807" t="s">
        <v>19</v>
      </c>
      <c r="G807" t="s">
        <v>352</v>
      </c>
      <c r="H807" t="s">
        <v>747</v>
      </c>
      <c r="I807" t="s">
        <v>22</v>
      </c>
      <c r="J807" t="s">
        <v>42</v>
      </c>
      <c r="K807" t="s">
        <v>24</v>
      </c>
      <c r="L807" t="s">
        <v>25</v>
      </c>
      <c r="M807" s="8">
        <v>1.3726666670000001</v>
      </c>
      <c r="N807" t="s">
        <v>26</v>
      </c>
      <c r="O807" s="8">
        <v>1.3726666670000001</v>
      </c>
      <c r="P807" s="8">
        <f>EXP(-1.363+3.366*LOG(O807,10))</f>
        <v>0.40658758379567089</v>
      </c>
      <c r="Q807" s="8">
        <f>(2375365*100)/2680339</f>
        <v>88.621812390149159</v>
      </c>
    </row>
    <row r="808" spans="1:17" x14ac:dyDescent="0.2">
      <c r="A808">
        <v>2011</v>
      </c>
      <c r="B808" t="s">
        <v>972</v>
      </c>
      <c r="C808" t="s">
        <v>120</v>
      </c>
      <c r="D808" t="s">
        <v>58</v>
      </c>
      <c r="E808">
        <v>6</v>
      </c>
      <c r="F808" t="s">
        <v>19</v>
      </c>
      <c r="G808" t="s">
        <v>352</v>
      </c>
      <c r="H808" t="s">
        <v>973</v>
      </c>
      <c r="I808" t="s">
        <v>22</v>
      </c>
      <c r="J808" t="s">
        <v>23</v>
      </c>
      <c r="K808" t="s">
        <v>24</v>
      </c>
      <c r="L808" t="s">
        <v>25</v>
      </c>
      <c r="M808" s="8" t="s">
        <v>26</v>
      </c>
      <c r="N808" t="s">
        <v>26</v>
      </c>
      <c r="O808" s="8" t="s">
        <v>26</v>
      </c>
      <c r="P808" s="8" t="s">
        <v>26</v>
      </c>
      <c r="Q808" s="8">
        <f>(2256192*100)/6055896</f>
        <v>37.256121967748456</v>
      </c>
    </row>
    <row r="809" spans="1:17" x14ac:dyDescent="0.2">
      <c r="A809">
        <v>2011</v>
      </c>
      <c r="B809" t="s">
        <v>974</v>
      </c>
      <c r="C809" t="s">
        <v>50</v>
      </c>
      <c r="D809" t="s">
        <v>79</v>
      </c>
      <c r="E809">
        <v>6</v>
      </c>
      <c r="F809" t="s">
        <v>19</v>
      </c>
      <c r="G809" t="s">
        <v>352</v>
      </c>
      <c r="H809" t="s">
        <v>975</v>
      </c>
      <c r="I809" t="s">
        <v>22</v>
      </c>
      <c r="J809" t="s">
        <v>42</v>
      </c>
      <c r="K809" t="s">
        <v>24</v>
      </c>
      <c r="L809" t="s">
        <v>25</v>
      </c>
      <c r="M809" s="8">
        <v>1.0693333330000001</v>
      </c>
      <c r="N809" t="s">
        <v>26</v>
      </c>
      <c r="O809" s="8">
        <v>1.0693333330000001</v>
      </c>
      <c r="P809" s="8">
        <f>EXP(-1.363+3.366*LOG(O809,10))</f>
        <v>0.28223780327142356</v>
      </c>
      <c r="Q809" s="8">
        <f>(4488342*100)/4914798</f>
        <v>91.323020803703429</v>
      </c>
    </row>
    <row r="810" spans="1:17" x14ac:dyDescent="0.2">
      <c r="A810">
        <v>2011</v>
      </c>
      <c r="B810" t="s">
        <v>976</v>
      </c>
      <c r="C810" t="s">
        <v>50</v>
      </c>
      <c r="D810" t="s">
        <v>79</v>
      </c>
      <c r="E810">
        <v>6</v>
      </c>
      <c r="F810" t="s">
        <v>19</v>
      </c>
      <c r="G810" t="s">
        <v>352</v>
      </c>
      <c r="H810" t="s">
        <v>975</v>
      </c>
      <c r="I810" t="s">
        <v>22</v>
      </c>
      <c r="J810" t="s">
        <v>42</v>
      </c>
      <c r="K810" t="s">
        <v>24</v>
      </c>
      <c r="L810" t="s">
        <v>25</v>
      </c>
      <c r="M810" s="8">
        <v>1.0693333330000001</v>
      </c>
      <c r="N810" t="s">
        <v>26</v>
      </c>
      <c r="O810" s="8">
        <v>1.0693333330000001</v>
      </c>
      <c r="P810" s="8">
        <f>EXP(-1.363+3.366*LOG(O810,10))</f>
        <v>0.28223780327142356</v>
      </c>
      <c r="Q810" s="8">
        <f>(4488342*100)/4914798</f>
        <v>91.323020803703429</v>
      </c>
    </row>
    <row r="811" spans="1:17" x14ac:dyDescent="0.2">
      <c r="A811">
        <v>2011</v>
      </c>
      <c r="B811" t="s">
        <v>977</v>
      </c>
      <c r="C811" t="s">
        <v>50</v>
      </c>
      <c r="D811" t="s">
        <v>79</v>
      </c>
      <c r="E811">
        <v>6</v>
      </c>
      <c r="F811" t="s">
        <v>19</v>
      </c>
      <c r="G811" t="s">
        <v>352</v>
      </c>
      <c r="H811" t="s">
        <v>975</v>
      </c>
      <c r="I811" t="s">
        <v>22</v>
      </c>
      <c r="J811" t="s">
        <v>42</v>
      </c>
      <c r="K811" t="s">
        <v>24</v>
      </c>
      <c r="L811" t="s">
        <v>25</v>
      </c>
      <c r="M811" s="8">
        <v>1.0693333330000001</v>
      </c>
      <c r="N811" t="s">
        <v>26</v>
      </c>
      <c r="O811" s="8">
        <v>1.0693333330000001</v>
      </c>
      <c r="P811" s="8">
        <f>EXP(-1.363+3.366*LOG(O811,10))</f>
        <v>0.28223780327142356</v>
      </c>
      <c r="Q811" s="8">
        <f>(4488342*100)/4914798</f>
        <v>91.323020803703429</v>
      </c>
    </row>
    <row r="812" spans="1:17" x14ac:dyDescent="0.2">
      <c r="A812">
        <v>2011</v>
      </c>
      <c r="B812" t="s">
        <v>979</v>
      </c>
      <c r="C812" t="s">
        <v>50</v>
      </c>
      <c r="D812" t="s">
        <v>53</v>
      </c>
      <c r="E812">
        <v>6</v>
      </c>
      <c r="F812" t="s">
        <v>19</v>
      </c>
      <c r="G812" t="s">
        <v>352</v>
      </c>
      <c r="H812" t="s">
        <v>975</v>
      </c>
      <c r="I812" t="s">
        <v>36</v>
      </c>
      <c r="J812" t="s">
        <v>42</v>
      </c>
      <c r="K812" t="s">
        <v>24</v>
      </c>
      <c r="L812" t="s">
        <v>25</v>
      </c>
      <c r="M812" s="8">
        <v>0.95199999999999996</v>
      </c>
      <c r="N812" t="s">
        <v>26</v>
      </c>
      <c r="O812" s="8">
        <v>0.95199999999999996</v>
      </c>
      <c r="P812" s="8">
        <f>EXP(-1.363+3.366*LOG(O812,10))</f>
        <v>0.23813726407794436</v>
      </c>
      <c r="Q812" s="8">
        <f>(4488342*100)/4914798</f>
        <v>91.323020803703429</v>
      </c>
    </row>
    <row r="813" spans="1:17" x14ac:dyDescent="0.2">
      <c r="A813">
        <v>2011</v>
      </c>
      <c r="B813" t="s">
        <v>980</v>
      </c>
      <c r="C813" t="s">
        <v>39</v>
      </c>
      <c r="D813" t="s">
        <v>446</v>
      </c>
      <c r="E813">
        <v>4</v>
      </c>
      <c r="F813" t="s">
        <v>19</v>
      </c>
      <c r="G813" t="s">
        <v>352</v>
      </c>
      <c r="H813" t="s">
        <v>975</v>
      </c>
      <c r="I813" t="s">
        <v>22</v>
      </c>
      <c r="J813" t="s">
        <v>42</v>
      </c>
      <c r="K813" t="s">
        <v>24</v>
      </c>
      <c r="L813" t="s">
        <v>25</v>
      </c>
      <c r="M813" s="8">
        <v>1.0693333330000001</v>
      </c>
      <c r="N813" t="s">
        <v>26</v>
      </c>
      <c r="O813" s="8">
        <v>1.0693333330000001</v>
      </c>
      <c r="P813" s="8">
        <f>EXP(-1.363+3.366*LOG(O813,10))</f>
        <v>0.28223780327142356</v>
      </c>
      <c r="Q813" s="8">
        <f>(2375365*100)/2680339</f>
        <v>88.621812390149159</v>
      </c>
    </row>
    <row r="814" spans="1:17" x14ac:dyDescent="0.2">
      <c r="A814">
        <v>2011</v>
      </c>
      <c r="B814" t="s">
        <v>981</v>
      </c>
      <c r="C814" t="s">
        <v>50</v>
      </c>
      <c r="D814" t="s">
        <v>44</v>
      </c>
      <c r="E814">
        <v>5</v>
      </c>
      <c r="F814" t="s">
        <v>19</v>
      </c>
      <c r="G814" t="s">
        <v>352</v>
      </c>
      <c r="H814" t="s">
        <v>975</v>
      </c>
      <c r="I814" t="s">
        <v>22</v>
      </c>
      <c r="J814" t="s">
        <v>42</v>
      </c>
      <c r="K814" t="s">
        <v>24</v>
      </c>
      <c r="L814" t="s">
        <v>25</v>
      </c>
      <c r="M814" s="8">
        <v>1.0693333330000001</v>
      </c>
      <c r="N814" t="s">
        <v>26</v>
      </c>
      <c r="O814" s="8">
        <v>1.0693333330000001</v>
      </c>
      <c r="P814" s="8">
        <f>EXP(-1.363+3.366*LOG(O814,10))</f>
        <v>0.28223780327142356</v>
      </c>
      <c r="Q814" s="8">
        <f>(4488342*100)/4914798</f>
        <v>91.323020803703429</v>
      </c>
    </row>
    <row r="815" spans="1:17" x14ac:dyDescent="0.2">
      <c r="A815">
        <v>2011</v>
      </c>
      <c r="B815" t="s">
        <v>982</v>
      </c>
      <c r="C815" t="s">
        <v>39</v>
      </c>
      <c r="D815" t="s">
        <v>73</v>
      </c>
      <c r="E815">
        <v>5</v>
      </c>
      <c r="F815" t="s">
        <v>19</v>
      </c>
      <c r="G815" t="s">
        <v>352</v>
      </c>
      <c r="H815" t="s">
        <v>975</v>
      </c>
      <c r="I815" t="s">
        <v>22</v>
      </c>
      <c r="J815" t="s">
        <v>42</v>
      </c>
      <c r="K815" t="s">
        <v>24</v>
      </c>
      <c r="L815" t="s">
        <v>25</v>
      </c>
      <c r="M815" s="8">
        <v>1.0693333330000001</v>
      </c>
      <c r="N815" t="s">
        <v>26</v>
      </c>
      <c r="O815" s="8">
        <v>1.0693333330000001</v>
      </c>
      <c r="P815" s="8">
        <f>EXP(-1.363+3.366*LOG(O815,10))</f>
        <v>0.28223780327142356</v>
      </c>
      <c r="Q815" s="8">
        <f>(2375365*100)/2680339</f>
        <v>88.621812390149159</v>
      </c>
    </row>
    <row r="816" spans="1:17" x14ac:dyDescent="0.2">
      <c r="A816">
        <v>2011</v>
      </c>
      <c r="B816" t="s">
        <v>983</v>
      </c>
      <c r="C816" t="s">
        <v>39</v>
      </c>
      <c r="D816" t="s">
        <v>73</v>
      </c>
      <c r="E816">
        <v>5</v>
      </c>
      <c r="F816" t="s">
        <v>19</v>
      </c>
      <c r="G816" t="s">
        <v>352</v>
      </c>
      <c r="H816" t="s">
        <v>975</v>
      </c>
      <c r="I816" t="s">
        <v>22</v>
      </c>
      <c r="J816" t="s">
        <v>42</v>
      </c>
      <c r="K816" t="s">
        <v>24</v>
      </c>
      <c r="L816" t="s">
        <v>25</v>
      </c>
      <c r="M816" s="8">
        <v>1.0693333330000001</v>
      </c>
      <c r="N816" t="s">
        <v>26</v>
      </c>
      <c r="O816" s="8">
        <v>1.0693333330000001</v>
      </c>
      <c r="P816" s="8">
        <f>EXP(-1.363+3.366*LOG(O816,10))</f>
        <v>0.28223780327142356</v>
      </c>
      <c r="Q816" s="8">
        <f>(2375365*100)/2680339</f>
        <v>88.621812390149159</v>
      </c>
    </row>
    <row r="817" spans="1:17" x14ac:dyDescent="0.2">
      <c r="A817">
        <v>2011</v>
      </c>
      <c r="B817" t="s">
        <v>985</v>
      </c>
      <c r="C817" t="s">
        <v>50</v>
      </c>
      <c r="D817" t="s">
        <v>73</v>
      </c>
      <c r="E817">
        <v>5</v>
      </c>
      <c r="F817" t="s">
        <v>19</v>
      </c>
      <c r="G817" t="s">
        <v>352</v>
      </c>
      <c r="H817" t="s">
        <v>975</v>
      </c>
      <c r="I817" t="s">
        <v>22</v>
      </c>
      <c r="J817" t="s">
        <v>42</v>
      </c>
      <c r="K817" t="s">
        <v>24</v>
      </c>
      <c r="L817" t="s">
        <v>25</v>
      </c>
      <c r="M817" s="8">
        <v>1.0693333330000001</v>
      </c>
      <c r="N817" t="s">
        <v>26</v>
      </c>
      <c r="O817" s="8">
        <v>1.0693333330000001</v>
      </c>
      <c r="P817" s="8">
        <f>EXP(-1.363+3.366*LOG(O817,10))</f>
        <v>0.28223780327142356</v>
      </c>
      <c r="Q817" s="8">
        <f>(4488342*100)/4914798</f>
        <v>91.323020803703429</v>
      </c>
    </row>
    <row r="818" spans="1:17" x14ac:dyDescent="0.2">
      <c r="A818">
        <v>2011</v>
      </c>
      <c r="B818" t="s">
        <v>986</v>
      </c>
      <c r="C818" t="s">
        <v>50</v>
      </c>
      <c r="D818" t="s">
        <v>76</v>
      </c>
      <c r="E818">
        <v>5</v>
      </c>
      <c r="F818" t="s">
        <v>19</v>
      </c>
      <c r="G818" t="s">
        <v>352</v>
      </c>
      <c r="H818" t="s">
        <v>975</v>
      </c>
      <c r="I818" t="s">
        <v>22</v>
      </c>
      <c r="J818" t="s">
        <v>42</v>
      </c>
      <c r="K818" t="s">
        <v>24</v>
      </c>
      <c r="L818" t="s">
        <v>25</v>
      </c>
      <c r="M818" s="8">
        <v>1.0693333330000001</v>
      </c>
      <c r="N818" t="s">
        <v>26</v>
      </c>
      <c r="O818" s="8">
        <v>1.0693333330000001</v>
      </c>
      <c r="P818" s="8">
        <f>EXP(-1.363+3.366*LOG(O818,10))</f>
        <v>0.28223780327142356</v>
      </c>
      <c r="Q818" s="8">
        <f>(4488342*100)/4914798</f>
        <v>91.323020803703429</v>
      </c>
    </row>
    <row r="819" spans="1:17" x14ac:dyDescent="0.2">
      <c r="A819">
        <v>2011</v>
      </c>
      <c r="B819" t="s">
        <v>987</v>
      </c>
      <c r="C819" t="s">
        <v>50</v>
      </c>
      <c r="D819" t="s">
        <v>76</v>
      </c>
      <c r="E819">
        <v>5</v>
      </c>
      <c r="F819" t="s">
        <v>19</v>
      </c>
      <c r="G819" t="s">
        <v>352</v>
      </c>
      <c r="H819" t="s">
        <v>975</v>
      </c>
      <c r="I819" t="s">
        <v>22</v>
      </c>
      <c r="J819" t="s">
        <v>42</v>
      </c>
      <c r="K819" t="s">
        <v>24</v>
      </c>
      <c r="L819" t="s">
        <v>25</v>
      </c>
      <c r="M819" s="8">
        <v>1.0693333330000001</v>
      </c>
      <c r="N819" t="s">
        <v>26</v>
      </c>
      <c r="O819" s="8">
        <v>1.0693333330000001</v>
      </c>
      <c r="P819" s="8">
        <f>EXP(-1.363+3.366*LOG(O819,10))</f>
        <v>0.28223780327142356</v>
      </c>
      <c r="Q819" s="8">
        <f>(4488342*100)/4914798</f>
        <v>91.323020803703429</v>
      </c>
    </row>
    <row r="820" spans="1:17" x14ac:dyDescent="0.2">
      <c r="A820">
        <v>2011</v>
      </c>
      <c r="B820" t="s">
        <v>988</v>
      </c>
      <c r="C820" t="s">
        <v>50</v>
      </c>
      <c r="D820" t="s">
        <v>76</v>
      </c>
      <c r="E820">
        <v>5</v>
      </c>
      <c r="F820" t="s">
        <v>19</v>
      </c>
      <c r="G820" t="s">
        <v>352</v>
      </c>
      <c r="H820" t="s">
        <v>975</v>
      </c>
      <c r="I820" t="s">
        <v>22</v>
      </c>
      <c r="J820" t="s">
        <v>42</v>
      </c>
      <c r="K820" t="s">
        <v>24</v>
      </c>
      <c r="L820" t="s">
        <v>25</v>
      </c>
      <c r="M820" s="8">
        <v>1.0693333330000001</v>
      </c>
      <c r="N820" t="s">
        <v>26</v>
      </c>
      <c r="O820" s="8">
        <v>1.0693333330000001</v>
      </c>
      <c r="P820" s="8">
        <f>EXP(-1.363+3.366*LOG(O820,10))</f>
        <v>0.28223780327142356</v>
      </c>
      <c r="Q820" s="8">
        <f>(4488342*100)/4914798</f>
        <v>91.323020803703429</v>
      </c>
    </row>
    <row r="821" spans="1:17" x14ac:dyDescent="0.2">
      <c r="A821">
        <v>2011</v>
      </c>
      <c r="B821" t="s">
        <v>989</v>
      </c>
      <c r="C821" t="s">
        <v>50</v>
      </c>
      <c r="D821" t="s">
        <v>76</v>
      </c>
      <c r="E821">
        <v>5</v>
      </c>
      <c r="F821" t="s">
        <v>19</v>
      </c>
      <c r="G821" t="s">
        <v>352</v>
      </c>
      <c r="H821" t="s">
        <v>975</v>
      </c>
      <c r="I821" t="s">
        <v>22</v>
      </c>
      <c r="J821" t="s">
        <v>42</v>
      </c>
      <c r="K821" t="s">
        <v>24</v>
      </c>
      <c r="L821" t="s">
        <v>25</v>
      </c>
      <c r="M821" s="8">
        <v>1.0693333330000001</v>
      </c>
      <c r="N821" t="s">
        <v>26</v>
      </c>
      <c r="O821" s="8">
        <v>1.0693333330000001</v>
      </c>
      <c r="P821" s="8">
        <f>EXP(-1.363+3.366*LOG(O821,10))</f>
        <v>0.28223780327142356</v>
      </c>
      <c r="Q821" s="8">
        <f>(4488342*100)/4914798</f>
        <v>91.323020803703429</v>
      </c>
    </row>
    <row r="822" spans="1:17" x14ac:dyDescent="0.2">
      <c r="A822">
        <v>2011</v>
      </c>
      <c r="B822" t="s">
        <v>990</v>
      </c>
      <c r="C822" t="s">
        <v>50</v>
      </c>
      <c r="D822" t="s">
        <v>76</v>
      </c>
      <c r="E822">
        <v>5</v>
      </c>
      <c r="F822" t="s">
        <v>19</v>
      </c>
      <c r="G822" t="s">
        <v>352</v>
      </c>
      <c r="H822" t="s">
        <v>975</v>
      </c>
      <c r="I822" t="s">
        <v>22</v>
      </c>
      <c r="J822" t="s">
        <v>42</v>
      </c>
      <c r="K822" t="s">
        <v>24</v>
      </c>
      <c r="L822" t="s">
        <v>25</v>
      </c>
      <c r="M822" s="8">
        <v>1.0693333330000001</v>
      </c>
      <c r="N822" t="s">
        <v>26</v>
      </c>
      <c r="O822" s="8">
        <v>1.0693333330000001</v>
      </c>
      <c r="P822" s="8">
        <f>EXP(-1.363+3.366*LOG(O822,10))</f>
        <v>0.28223780327142356</v>
      </c>
      <c r="Q822" s="8">
        <f>(4488342*100)/4914798</f>
        <v>91.323020803703429</v>
      </c>
    </row>
    <row r="823" spans="1:17" x14ac:dyDescent="0.2">
      <c r="A823">
        <v>2011</v>
      </c>
      <c r="B823" t="s">
        <v>991</v>
      </c>
      <c r="C823" t="s">
        <v>50</v>
      </c>
      <c r="D823" t="s">
        <v>76</v>
      </c>
      <c r="E823">
        <v>5</v>
      </c>
      <c r="F823" t="s">
        <v>19</v>
      </c>
      <c r="G823" t="s">
        <v>352</v>
      </c>
      <c r="H823" t="s">
        <v>975</v>
      </c>
      <c r="I823" t="s">
        <v>22</v>
      </c>
      <c r="J823" t="s">
        <v>42</v>
      </c>
      <c r="K823" t="s">
        <v>24</v>
      </c>
      <c r="L823" t="s">
        <v>25</v>
      </c>
      <c r="M823" s="8">
        <v>1.0693333330000001</v>
      </c>
      <c r="N823" t="s">
        <v>26</v>
      </c>
      <c r="O823" s="8">
        <v>1.0693333330000001</v>
      </c>
      <c r="P823" s="8">
        <f>EXP(-1.363+3.366*LOG(O823,10))</f>
        <v>0.28223780327142356</v>
      </c>
      <c r="Q823" s="8">
        <f>(4488342*100)/4914798</f>
        <v>91.323020803703429</v>
      </c>
    </row>
    <row r="824" spans="1:17" x14ac:dyDescent="0.2">
      <c r="A824">
        <v>2011</v>
      </c>
      <c r="B824" t="s">
        <v>992</v>
      </c>
      <c r="C824" t="s">
        <v>50</v>
      </c>
      <c r="D824" t="s">
        <v>76</v>
      </c>
      <c r="E824">
        <v>5</v>
      </c>
      <c r="F824" t="s">
        <v>19</v>
      </c>
      <c r="G824" t="s">
        <v>352</v>
      </c>
      <c r="H824" t="s">
        <v>975</v>
      </c>
      <c r="I824" t="s">
        <v>22</v>
      </c>
      <c r="J824" t="s">
        <v>42</v>
      </c>
      <c r="K824" t="s">
        <v>24</v>
      </c>
      <c r="L824" t="s">
        <v>25</v>
      </c>
      <c r="M824" s="8">
        <v>1.0693333330000001</v>
      </c>
      <c r="N824" t="s">
        <v>26</v>
      </c>
      <c r="O824" s="8">
        <v>1.0693333330000001</v>
      </c>
      <c r="P824" s="8">
        <f>EXP(-1.363+3.366*LOG(O824,10))</f>
        <v>0.28223780327142356</v>
      </c>
      <c r="Q824" s="8">
        <f>(4488342*100)/4914798</f>
        <v>91.323020803703429</v>
      </c>
    </row>
    <row r="825" spans="1:17" x14ac:dyDescent="0.2">
      <c r="A825">
        <v>2011</v>
      </c>
      <c r="B825" t="s">
        <v>993</v>
      </c>
      <c r="C825" t="s">
        <v>50</v>
      </c>
      <c r="D825" t="s">
        <v>76</v>
      </c>
      <c r="E825">
        <v>5</v>
      </c>
      <c r="F825" t="s">
        <v>19</v>
      </c>
      <c r="G825" t="s">
        <v>352</v>
      </c>
      <c r="H825" t="s">
        <v>975</v>
      </c>
      <c r="I825" t="s">
        <v>22</v>
      </c>
      <c r="J825" t="s">
        <v>42</v>
      </c>
      <c r="K825" t="s">
        <v>24</v>
      </c>
      <c r="L825" t="s">
        <v>25</v>
      </c>
      <c r="M825" s="8">
        <v>1.0693333330000001</v>
      </c>
      <c r="N825" t="s">
        <v>26</v>
      </c>
      <c r="O825" s="8">
        <v>1.0693333330000001</v>
      </c>
      <c r="P825" s="8">
        <f>EXP(-1.363+3.366*LOG(O825,10))</f>
        <v>0.28223780327142356</v>
      </c>
      <c r="Q825" s="8">
        <f>(4488342*100)/4914798</f>
        <v>91.323020803703429</v>
      </c>
    </row>
    <row r="826" spans="1:17" x14ac:dyDescent="0.2">
      <c r="A826">
        <v>2011</v>
      </c>
      <c r="B826" t="s">
        <v>994</v>
      </c>
      <c r="C826" t="s">
        <v>50</v>
      </c>
      <c r="D826" t="s">
        <v>76</v>
      </c>
      <c r="E826">
        <v>5</v>
      </c>
      <c r="F826" t="s">
        <v>19</v>
      </c>
      <c r="G826" t="s">
        <v>352</v>
      </c>
      <c r="H826" t="s">
        <v>975</v>
      </c>
      <c r="I826" t="s">
        <v>22</v>
      </c>
      <c r="J826" t="s">
        <v>42</v>
      </c>
      <c r="K826" t="s">
        <v>24</v>
      </c>
      <c r="L826" t="s">
        <v>25</v>
      </c>
      <c r="M826" s="8">
        <v>1.0693333330000001</v>
      </c>
      <c r="N826" t="s">
        <v>26</v>
      </c>
      <c r="O826" s="8">
        <v>1.0693333330000001</v>
      </c>
      <c r="P826" s="8">
        <f>EXP(-1.363+3.366*LOG(O826,10))</f>
        <v>0.28223780327142356</v>
      </c>
      <c r="Q826" s="8">
        <f>(4488342*100)/4914798</f>
        <v>91.323020803703429</v>
      </c>
    </row>
    <row r="827" spans="1:17" x14ac:dyDescent="0.2">
      <c r="A827">
        <v>2011</v>
      </c>
      <c r="B827" t="s">
        <v>995</v>
      </c>
      <c r="C827" t="s">
        <v>50</v>
      </c>
      <c r="D827" t="s">
        <v>76</v>
      </c>
      <c r="E827">
        <v>5</v>
      </c>
      <c r="F827" t="s">
        <v>19</v>
      </c>
      <c r="G827" t="s">
        <v>352</v>
      </c>
      <c r="H827" t="s">
        <v>975</v>
      </c>
      <c r="I827" t="s">
        <v>22</v>
      </c>
      <c r="J827" t="s">
        <v>42</v>
      </c>
      <c r="K827" t="s">
        <v>24</v>
      </c>
      <c r="L827" t="s">
        <v>25</v>
      </c>
      <c r="M827" s="8">
        <v>1.0693333330000001</v>
      </c>
      <c r="N827" t="s">
        <v>26</v>
      </c>
      <c r="O827" s="8">
        <v>1.0693333330000001</v>
      </c>
      <c r="P827" s="8">
        <f>EXP(-1.363+3.366*LOG(O827,10))</f>
        <v>0.28223780327142356</v>
      </c>
      <c r="Q827" s="8">
        <f>(4488342*100)/4914798</f>
        <v>91.323020803703429</v>
      </c>
    </row>
    <row r="828" spans="1:17" x14ac:dyDescent="0.2">
      <c r="A828">
        <v>2011</v>
      </c>
      <c r="B828" t="s">
        <v>996</v>
      </c>
      <c r="C828" t="s">
        <v>50</v>
      </c>
      <c r="D828" t="s">
        <v>76</v>
      </c>
      <c r="E828">
        <v>5</v>
      </c>
      <c r="F828" t="s">
        <v>19</v>
      </c>
      <c r="G828" t="s">
        <v>352</v>
      </c>
      <c r="H828" t="s">
        <v>975</v>
      </c>
      <c r="I828" t="s">
        <v>22</v>
      </c>
      <c r="J828" t="s">
        <v>42</v>
      </c>
      <c r="K828" t="s">
        <v>24</v>
      </c>
      <c r="L828" t="s">
        <v>25</v>
      </c>
      <c r="M828" s="8">
        <v>1.0693333330000001</v>
      </c>
      <c r="N828" t="s">
        <v>26</v>
      </c>
      <c r="O828" s="8">
        <v>1.0693333330000001</v>
      </c>
      <c r="P828" s="8">
        <f>EXP(-1.363+3.366*LOG(O828,10))</f>
        <v>0.28223780327142356</v>
      </c>
      <c r="Q828" s="8">
        <f>(4488342*100)/4914798</f>
        <v>91.323020803703429</v>
      </c>
    </row>
    <row r="829" spans="1:17" x14ac:dyDescent="0.2">
      <c r="A829">
        <v>2011</v>
      </c>
      <c r="B829" t="s">
        <v>997</v>
      </c>
      <c r="C829" t="s">
        <v>50</v>
      </c>
      <c r="D829" t="s">
        <v>76</v>
      </c>
      <c r="E829">
        <v>5</v>
      </c>
      <c r="F829" t="s">
        <v>19</v>
      </c>
      <c r="G829" t="s">
        <v>352</v>
      </c>
      <c r="H829" t="s">
        <v>975</v>
      </c>
      <c r="I829" t="s">
        <v>22</v>
      </c>
      <c r="J829" t="s">
        <v>42</v>
      </c>
      <c r="K829" t="s">
        <v>24</v>
      </c>
      <c r="L829" t="s">
        <v>25</v>
      </c>
      <c r="M829" s="8">
        <v>1.0693333330000001</v>
      </c>
      <c r="N829" t="s">
        <v>26</v>
      </c>
      <c r="O829" s="8">
        <v>1.0693333330000001</v>
      </c>
      <c r="P829" s="8">
        <f>EXP(-1.363+3.366*LOG(O829,10))</f>
        <v>0.28223780327142356</v>
      </c>
      <c r="Q829" s="8">
        <f>(4488342*100)/4914798</f>
        <v>91.323020803703429</v>
      </c>
    </row>
    <row r="830" spans="1:17" x14ac:dyDescent="0.2">
      <c r="A830">
        <v>2011</v>
      </c>
      <c r="B830" t="s">
        <v>998</v>
      </c>
      <c r="C830" t="s">
        <v>50</v>
      </c>
      <c r="D830" t="s">
        <v>76</v>
      </c>
      <c r="E830">
        <v>5</v>
      </c>
      <c r="F830" t="s">
        <v>19</v>
      </c>
      <c r="G830" t="s">
        <v>352</v>
      </c>
      <c r="H830" t="s">
        <v>975</v>
      </c>
      <c r="I830" t="s">
        <v>22</v>
      </c>
      <c r="J830" t="s">
        <v>42</v>
      </c>
      <c r="K830" t="s">
        <v>24</v>
      </c>
      <c r="L830" t="s">
        <v>25</v>
      </c>
      <c r="M830" s="8">
        <v>1.0693333330000001</v>
      </c>
      <c r="N830" t="s">
        <v>26</v>
      </c>
      <c r="O830" s="8">
        <v>1.0693333330000001</v>
      </c>
      <c r="P830" s="8">
        <f>EXP(-1.363+3.366*LOG(O830,10))</f>
        <v>0.28223780327142356</v>
      </c>
      <c r="Q830" s="8">
        <f>(4488342*100)/4914798</f>
        <v>91.323020803703429</v>
      </c>
    </row>
    <row r="831" spans="1:17" x14ac:dyDescent="0.2">
      <c r="A831">
        <v>2011</v>
      </c>
      <c r="B831" t="s">
        <v>999</v>
      </c>
      <c r="C831" t="s">
        <v>50</v>
      </c>
      <c r="D831" t="s">
        <v>76</v>
      </c>
      <c r="E831">
        <v>5</v>
      </c>
      <c r="F831" t="s">
        <v>19</v>
      </c>
      <c r="G831" t="s">
        <v>352</v>
      </c>
      <c r="H831" t="s">
        <v>975</v>
      </c>
      <c r="I831" t="s">
        <v>22</v>
      </c>
      <c r="J831" t="s">
        <v>42</v>
      </c>
      <c r="K831" t="s">
        <v>24</v>
      </c>
      <c r="L831" t="s">
        <v>25</v>
      </c>
      <c r="M831" s="8">
        <v>1.0693333330000001</v>
      </c>
      <c r="N831" t="s">
        <v>26</v>
      </c>
      <c r="O831" s="8">
        <v>1.0693333330000001</v>
      </c>
      <c r="P831" s="8">
        <f>EXP(-1.363+3.366*LOG(O831,10))</f>
        <v>0.28223780327142356</v>
      </c>
      <c r="Q831" s="8">
        <f>(4488342*100)/4914798</f>
        <v>91.323020803703429</v>
      </c>
    </row>
    <row r="832" spans="1:17" x14ac:dyDescent="0.2">
      <c r="A832">
        <v>2011</v>
      </c>
      <c r="B832" t="s">
        <v>1000</v>
      </c>
      <c r="C832" t="s">
        <v>50</v>
      </c>
      <c r="D832" t="s">
        <v>76</v>
      </c>
      <c r="E832">
        <v>5</v>
      </c>
      <c r="F832" t="s">
        <v>19</v>
      </c>
      <c r="G832" t="s">
        <v>352</v>
      </c>
      <c r="H832" t="s">
        <v>975</v>
      </c>
      <c r="I832" t="s">
        <v>22</v>
      </c>
      <c r="J832" t="s">
        <v>42</v>
      </c>
      <c r="K832" t="s">
        <v>24</v>
      </c>
      <c r="L832" t="s">
        <v>25</v>
      </c>
      <c r="M832" s="8">
        <v>1.0693333330000001</v>
      </c>
      <c r="N832" t="s">
        <v>26</v>
      </c>
      <c r="O832" s="8">
        <v>1.0693333330000001</v>
      </c>
      <c r="P832" s="8">
        <f>EXP(-1.363+3.366*LOG(O832,10))</f>
        <v>0.28223780327142356</v>
      </c>
      <c r="Q832" s="8">
        <f>(4488342*100)/4914798</f>
        <v>91.323020803703429</v>
      </c>
    </row>
    <row r="833" spans="1:17" x14ac:dyDescent="0.2">
      <c r="A833">
        <v>2011</v>
      </c>
      <c r="B833" t="s">
        <v>1001</v>
      </c>
      <c r="C833" t="s">
        <v>50</v>
      </c>
      <c r="D833" t="s">
        <v>53</v>
      </c>
      <c r="E833">
        <v>6</v>
      </c>
      <c r="F833" t="s">
        <v>19</v>
      </c>
      <c r="G833" t="s">
        <v>352</v>
      </c>
      <c r="H833" t="s">
        <v>975</v>
      </c>
      <c r="I833" t="s">
        <v>22</v>
      </c>
      <c r="J833" t="s">
        <v>42</v>
      </c>
      <c r="K833" t="s">
        <v>24</v>
      </c>
      <c r="L833" t="s">
        <v>25</v>
      </c>
      <c r="M833" s="8">
        <v>1.0693333330000001</v>
      </c>
      <c r="N833" t="s">
        <v>26</v>
      </c>
      <c r="O833" s="8">
        <v>1.0693333330000001</v>
      </c>
      <c r="P833" s="8">
        <f>EXP(-1.363+3.366*LOG(O833,10))</f>
        <v>0.28223780327142356</v>
      </c>
      <c r="Q833" s="8">
        <f>(4488342*100)/4914798</f>
        <v>91.323020803703429</v>
      </c>
    </row>
    <row r="834" spans="1:17" x14ac:dyDescent="0.2">
      <c r="A834">
        <v>2011</v>
      </c>
      <c r="B834" t="s">
        <v>1002</v>
      </c>
      <c r="C834" t="s">
        <v>50</v>
      </c>
      <c r="D834" t="s">
        <v>53</v>
      </c>
      <c r="E834">
        <v>6</v>
      </c>
      <c r="F834" t="s">
        <v>19</v>
      </c>
      <c r="G834" t="s">
        <v>352</v>
      </c>
      <c r="H834" t="s">
        <v>975</v>
      </c>
      <c r="I834" t="s">
        <v>22</v>
      </c>
      <c r="J834" t="s">
        <v>42</v>
      </c>
      <c r="K834" t="s">
        <v>24</v>
      </c>
      <c r="L834" t="s">
        <v>25</v>
      </c>
      <c r="M834" s="8">
        <v>1.0693333330000001</v>
      </c>
      <c r="N834" t="s">
        <v>26</v>
      </c>
      <c r="O834" s="8">
        <v>1.0693333330000001</v>
      </c>
      <c r="P834" s="8">
        <f>EXP(-1.363+3.366*LOG(O834,10))</f>
        <v>0.28223780327142356</v>
      </c>
      <c r="Q834" s="8">
        <f>(4488342*100)/4914798</f>
        <v>91.323020803703429</v>
      </c>
    </row>
    <row r="835" spans="1:17" x14ac:dyDescent="0.2">
      <c r="A835">
        <v>2011</v>
      </c>
      <c r="B835" t="s">
        <v>1003</v>
      </c>
      <c r="C835" t="s">
        <v>50</v>
      </c>
      <c r="D835" t="s">
        <v>53</v>
      </c>
      <c r="E835">
        <v>6</v>
      </c>
      <c r="F835" t="s">
        <v>19</v>
      </c>
      <c r="G835" t="s">
        <v>352</v>
      </c>
      <c r="H835" t="s">
        <v>975</v>
      </c>
      <c r="I835" t="s">
        <v>22</v>
      </c>
      <c r="J835" t="s">
        <v>42</v>
      </c>
      <c r="K835" t="s">
        <v>24</v>
      </c>
      <c r="L835" t="s">
        <v>25</v>
      </c>
      <c r="M835" s="8">
        <v>1.0693333330000001</v>
      </c>
      <c r="N835" t="s">
        <v>26</v>
      </c>
      <c r="O835" s="8">
        <v>1.0693333330000001</v>
      </c>
      <c r="P835" s="8">
        <f>EXP(-1.363+3.366*LOG(O835,10))</f>
        <v>0.28223780327142356</v>
      </c>
      <c r="Q835" s="8">
        <f>(4488342*100)/4914798</f>
        <v>91.323020803703429</v>
      </c>
    </row>
    <row r="836" spans="1:17" x14ac:dyDescent="0.2">
      <c r="A836">
        <v>2011</v>
      </c>
      <c r="B836" t="s">
        <v>1004</v>
      </c>
      <c r="C836" t="s">
        <v>50</v>
      </c>
      <c r="D836" t="s">
        <v>53</v>
      </c>
      <c r="E836">
        <v>6</v>
      </c>
      <c r="F836" t="s">
        <v>19</v>
      </c>
      <c r="G836" t="s">
        <v>352</v>
      </c>
      <c r="H836" t="s">
        <v>975</v>
      </c>
      <c r="I836" t="s">
        <v>22</v>
      </c>
      <c r="J836" t="s">
        <v>42</v>
      </c>
      <c r="K836" t="s">
        <v>24</v>
      </c>
      <c r="L836" t="s">
        <v>25</v>
      </c>
      <c r="M836" s="8">
        <v>1.0693333330000001</v>
      </c>
      <c r="N836" t="s">
        <v>26</v>
      </c>
      <c r="O836" s="8">
        <v>1.0693333330000001</v>
      </c>
      <c r="P836" s="8">
        <f>EXP(-1.363+3.366*LOG(O836,10))</f>
        <v>0.28223780327142356</v>
      </c>
      <c r="Q836" s="8">
        <f>(4488342*100)/4914798</f>
        <v>91.323020803703429</v>
      </c>
    </row>
    <row r="837" spans="1:17" x14ac:dyDescent="0.2">
      <c r="A837">
        <v>2011</v>
      </c>
      <c r="B837" t="s">
        <v>1005</v>
      </c>
      <c r="C837" t="s">
        <v>50</v>
      </c>
      <c r="D837" t="s">
        <v>53</v>
      </c>
      <c r="E837">
        <v>6</v>
      </c>
      <c r="F837" t="s">
        <v>19</v>
      </c>
      <c r="G837" t="s">
        <v>352</v>
      </c>
      <c r="H837" t="s">
        <v>975</v>
      </c>
      <c r="I837" t="s">
        <v>22</v>
      </c>
      <c r="J837" t="s">
        <v>42</v>
      </c>
      <c r="K837" t="s">
        <v>24</v>
      </c>
      <c r="L837" t="s">
        <v>25</v>
      </c>
      <c r="M837" s="8">
        <v>1.0693333330000001</v>
      </c>
      <c r="N837" t="s">
        <v>26</v>
      </c>
      <c r="O837" s="8">
        <v>1.0693333330000001</v>
      </c>
      <c r="P837" s="8">
        <f>EXP(-1.363+3.366*LOG(O837,10))</f>
        <v>0.28223780327142356</v>
      </c>
      <c r="Q837" s="8">
        <f>(4488342*100)/4914798</f>
        <v>91.323020803703429</v>
      </c>
    </row>
    <row r="838" spans="1:17" x14ac:dyDescent="0.2">
      <c r="A838">
        <v>2011</v>
      </c>
      <c r="B838" t="s">
        <v>1006</v>
      </c>
      <c r="C838" t="s">
        <v>50</v>
      </c>
      <c r="D838" t="s">
        <v>53</v>
      </c>
      <c r="E838">
        <v>6</v>
      </c>
      <c r="F838" t="s">
        <v>19</v>
      </c>
      <c r="G838" t="s">
        <v>352</v>
      </c>
      <c r="H838" t="s">
        <v>975</v>
      </c>
      <c r="I838" t="s">
        <v>22</v>
      </c>
      <c r="J838" t="s">
        <v>42</v>
      </c>
      <c r="K838" t="s">
        <v>24</v>
      </c>
      <c r="L838" t="s">
        <v>25</v>
      </c>
      <c r="M838" s="8">
        <v>1.0693333330000001</v>
      </c>
      <c r="N838" t="s">
        <v>26</v>
      </c>
      <c r="O838" s="8">
        <v>1.0693333330000001</v>
      </c>
      <c r="P838" s="8">
        <f>EXP(-1.363+3.366*LOG(O838,10))</f>
        <v>0.28223780327142356</v>
      </c>
      <c r="Q838" s="8">
        <f>(4488342*100)/4914798</f>
        <v>91.323020803703429</v>
      </c>
    </row>
    <row r="839" spans="1:17" x14ac:dyDescent="0.2">
      <c r="A839">
        <v>2011</v>
      </c>
      <c r="B839" t="s">
        <v>1007</v>
      </c>
      <c r="C839" t="s">
        <v>50</v>
      </c>
      <c r="D839" t="s">
        <v>53</v>
      </c>
      <c r="E839">
        <v>6</v>
      </c>
      <c r="F839" t="s">
        <v>19</v>
      </c>
      <c r="G839" t="s">
        <v>352</v>
      </c>
      <c r="H839" t="s">
        <v>975</v>
      </c>
      <c r="I839" t="s">
        <v>22</v>
      </c>
      <c r="J839" t="s">
        <v>42</v>
      </c>
      <c r="K839" t="s">
        <v>24</v>
      </c>
      <c r="L839" t="s">
        <v>25</v>
      </c>
      <c r="M839" s="8">
        <v>1.0693333330000001</v>
      </c>
      <c r="N839" t="s">
        <v>26</v>
      </c>
      <c r="O839" s="8">
        <v>1.0693333330000001</v>
      </c>
      <c r="P839" s="8">
        <f>EXP(-1.363+3.366*LOG(O839,10))</f>
        <v>0.28223780327142356</v>
      </c>
      <c r="Q839" s="8">
        <f>(4488342*100)/4914798</f>
        <v>91.323020803703429</v>
      </c>
    </row>
    <row r="840" spans="1:17" x14ac:dyDescent="0.2">
      <c r="A840">
        <v>2011</v>
      </c>
      <c r="B840" t="s">
        <v>1008</v>
      </c>
      <c r="C840" t="s">
        <v>52</v>
      </c>
      <c r="D840" t="s">
        <v>79</v>
      </c>
      <c r="E840">
        <v>6</v>
      </c>
      <c r="F840" t="s">
        <v>19</v>
      </c>
      <c r="G840" t="s">
        <v>352</v>
      </c>
      <c r="H840" t="s">
        <v>975</v>
      </c>
      <c r="I840" t="s">
        <v>22</v>
      </c>
      <c r="J840" t="s">
        <v>42</v>
      </c>
      <c r="K840" t="s">
        <v>24</v>
      </c>
      <c r="L840" t="s">
        <v>25</v>
      </c>
      <c r="M840" s="8">
        <v>1.0693333330000001</v>
      </c>
      <c r="N840" t="s">
        <v>26</v>
      </c>
      <c r="O840" s="8">
        <v>1.0693333330000001</v>
      </c>
      <c r="P840" s="8">
        <f>EXP(-1.363+3.366*LOG(O840,10))</f>
        <v>0.28223780327142356</v>
      </c>
      <c r="Q840" s="8">
        <f>(1626350*100)/1973941</f>
        <v>82.391013713175823</v>
      </c>
    </row>
    <row r="841" spans="1:17" x14ac:dyDescent="0.2">
      <c r="A841">
        <v>2011</v>
      </c>
      <c r="B841" t="s">
        <v>1011</v>
      </c>
      <c r="C841" t="s">
        <v>34</v>
      </c>
      <c r="D841" t="s">
        <v>53</v>
      </c>
      <c r="E841">
        <v>6</v>
      </c>
      <c r="F841" t="s">
        <v>19</v>
      </c>
      <c r="G841" t="s">
        <v>352</v>
      </c>
      <c r="H841" t="s">
        <v>975</v>
      </c>
      <c r="I841" t="s">
        <v>22</v>
      </c>
      <c r="J841" t="s">
        <v>23</v>
      </c>
      <c r="K841" t="s">
        <v>24</v>
      </c>
      <c r="L841" t="s">
        <v>25</v>
      </c>
      <c r="M841" s="8">
        <v>1.0693333330000001</v>
      </c>
      <c r="N841" t="s">
        <v>26</v>
      </c>
      <c r="O841" s="8">
        <v>1.0693333330000001</v>
      </c>
      <c r="P841" s="8">
        <f>EXP(-1.363+3.366*LOG(O841,10))</f>
        <v>0.28223780327142356</v>
      </c>
      <c r="Q841" s="8">
        <f>(1478835*100)/2190162</f>
        <v>67.5217175715769</v>
      </c>
    </row>
    <row r="842" spans="1:17" x14ac:dyDescent="0.2">
      <c r="A842">
        <v>2011</v>
      </c>
      <c r="B842" t="s">
        <v>1012</v>
      </c>
      <c r="C842" t="s">
        <v>52</v>
      </c>
      <c r="D842" t="s">
        <v>53</v>
      </c>
      <c r="E842">
        <v>6</v>
      </c>
      <c r="F842" t="s">
        <v>19</v>
      </c>
      <c r="G842" t="s">
        <v>352</v>
      </c>
      <c r="H842" t="s">
        <v>975</v>
      </c>
      <c r="I842" t="s">
        <v>22</v>
      </c>
      <c r="J842" t="s">
        <v>42</v>
      </c>
      <c r="K842" t="s">
        <v>24</v>
      </c>
      <c r="L842" t="s">
        <v>25</v>
      </c>
      <c r="M842" s="8">
        <v>1.0693333330000001</v>
      </c>
      <c r="N842" t="s">
        <v>26</v>
      </c>
      <c r="O842" s="8">
        <v>1.0693333330000001</v>
      </c>
      <c r="P842" s="8">
        <f>EXP(-1.363+3.366*LOG(O842,10))</f>
        <v>0.28223780327142356</v>
      </c>
      <c r="Q842" s="8">
        <f>(1626350*100)/1973941</f>
        <v>82.391013713175823</v>
      </c>
    </row>
    <row r="843" spans="1:17" x14ac:dyDescent="0.2">
      <c r="A843">
        <v>2011</v>
      </c>
      <c r="B843" t="s">
        <v>1013</v>
      </c>
      <c r="C843" t="s">
        <v>52</v>
      </c>
      <c r="D843" t="s">
        <v>53</v>
      </c>
      <c r="E843">
        <v>6</v>
      </c>
      <c r="F843" t="s">
        <v>19</v>
      </c>
      <c r="G843" t="s">
        <v>352</v>
      </c>
      <c r="H843" t="s">
        <v>975</v>
      </c>
      <c r="I843" t="s">
        <v>22</v>
      </c>
      <c r="J843" t="s">
        <v>42</v>
      </c>
      <c r="K843" t="s">
        <v>24</v>
      </c>
      <c r="L843" t="s">
        <v>25</v>
      </c>
      <c r="M843" s="8">
        <v>1.0693333330000001</v>
      </c>
      <c r="N843" t="s">
        <v>26</v>
      </c>
      <c r="O843" s="8">
        <v>1.0693333330000001</v>
      </c>
      <c r="P843" s="8">
        <f>EXP(-1.363+3.366*LOG(O843,10))</f>
        <v>0.28223780327142356</v>
      </c>
      <c r="Q843" s="8">
        <f>(1626350*100)/1973941</f>
        <v>82.391013713175823</v>
      </c>
    </row>
    <row r="844" spans="1:17" x14ac:dyDescent="0.2">
      <c r="A844">
        <v>2011</v>
      </c>
      <c r="B844" t="s">
        <v>1014</v>
      </c>
      <c r="C844" t="s">
        <v>52</v>
      </c>
      <c r="D844" t="s">
        <v>53</v>
      </c>
      <c r="E844">
        <v>6</v>
      </c>
      <c r="F844" t="s">
        <v>19</v>
      </c>
      <c r="G844" t="s">
        <v>352</v>
      </c>
      <c r="H844" t="s">
        <v>975</v>
      </c>
      <c r="I844" t="s">
        <v>22</v>
      </c>
      <c r="J844" t="s">
        <v>42</v>
      </c>
      <c r="K844" t="s">
        <v>24</v>
      </c>
      <c r="L844" t="s">
        <v>25</v>
      </c>
      <c r="M844" s="8">
        <v>1.0693333330000001</v>
      </c>
      <c r="N844" t="s">
        <v>26</v>
      </c>
      <c r="O844" s="8">
        <v>1.0693333330000001</v>
      </c>
      <c r="P844" s="8">
        <f>EXP(-1.363+3.366*LOG(O844,10))</f>
        <v>0.28223780327142356</v>
      </c>
      <c r="Q844" s="8">
        <f>(1626350*100)/1973941</f>
        <v>82.391013713175823</v>
      </c>
    </row>
    <row r="845" spans="1:17" x14ac:dyDescent="0.2">
      <c r="A845">
        <v>2011</v>
      </c>
      <c r="B845" t="s">
        <v>1015</v>
      </c>
      <c r="C845" t="s">
        <v>39</v>
      </c>
      <c r="D845" t="s">
        <v>53</v>
      </c>
      <c r="E845">
        <v>6</v>
      </c>
      <c r="F845" t="s">
        <v>19</v>
      </c>
      <c r="G845" t="s">
        <v>352</v>
      </c>
      <c r="H845" t="s">
        <v>975</v>
      </c>
      <c r="I845" t="s">
        <v>22</v>
      </c>
      <c r="J845" t="s">
        <v>42</v>
      </c>
      <c r="K845" t="s">
        <v>24</v>
      </c>
      <c r="L845" t="s">
        <v>25</v>
      </c>
      <c r="M845" s="8">
        <v>1.0693333330000001</v>
      </c>
      <c r="N845" t="s">
        <v>26</v>
      </c>
      <c r="O845" s="8">
        <v>1.0693333330000001</v>
      </c>
      <c r="P845" s="8">
        <f>EXP(-1.363+3.366*LOG(O845,10))</f>
        <v>0.28223780327142356</v>
      </c>
      <c r="Q845" s="8">
        <f>(2375365*100)/2680339</f>
        <v>88.621812390149159</v>
      </c>
    </row>
    <row r="846" spans="1:17" x14ac:dyDescent="0.2">
      <c r="A846">
        <v>2011</v>
      </c>
      <c r="B846" t="s">
        <v>1016</v>
      </c>
      <c r="C846" t="s">
        <v>52</v>
      </c>
      <c r="D846" t="s">
        <v>55</v>
      </c>
      <c r="E846">
        <v>6</v>
      </c>
      <c r="F846" t="s">
        <v>19</v>
      </c>
      <c r="G846" t="s">
        <v>352</v>
      </c>
      <c r="H846" t="s">
        <v>975</v>
      </c>
      <c r="I846" t="s">
        <v>22</v>
      </c>
      <c r="J846" t="s">
        <v>42</v>
      </c>
      <c r="K846" t="s">
        <v>24</v>
      </c>
      <c r="L846" t="s">
        <v>25</v>
      </c>
      <c r="M846" s="8">
        <v>1.0693333330000001</v>
      </c>
      <c r="N846" t="s">
        <v>26</v>
      </c>
      <c r="O846" s="8">
        <v>1.0693333330000001</v>
      </c>
      <c r="P846" s="8">
        <f>EXP(-1.363+3.366*LOG(O846,10))</f>
        <v>0.28223780327142356</v>
      </c>
      <c r="Q846" s="8">
        <f>(1626350*100)/1973941</f>
        <v>82.391013713175823</v>
      </c>
    </row>
    <row r="847" spans="1:17" x14ac:dyDescent="0.2">
      <c r="A847">
        <v>2011</v>
      </c>
      <c r="B847" t="s">
        <v>1017</v>
      </c>
      <c r="C847" t="s">
        <v>52</v>
      </c>
      <c r="D847" t="s">
        <v>55</v>
      </c>
      <c r="E847">
        <v>6</v>
      </c>
      <c r="F847" t="s">
        <v>19</v>
      </c>
      <c r="G847" t="s">
        <v>352</v>
      </c>
      <c r="H847" t="s">
        <v>975</v>
      </c>
      <c r="I847" t="s">
        <v>22</v>
      </c>
      <c r="J847" t="s">
        <v>42</v>
      </c>
      <c r="K847" t="s">
        <v>24</v>
      </c>
      <c r="L847" t="s">
        <v>25</v>
      </c>
      <c r="M847" s="8">
        <v>1.0693333330000001</v>
      </c>
      <c r="N847" t="s">
        <v>26</v>
      </c>
      <c r="O847" s="8">
        <v>1.0693333330000001</v>
      </c>
      <c r="P847" s="8">
        <f>EXP(-1.363+3.366*LOG(O847,10))</f>
        <v>0.28223780327142356</v>
      </c>
      <c r="Q847" s="8">
        <f>(1626350*100)/1973941</f>
        <v>82.391013713175823</v>
      </c>
    </row>
    <row r="848" spans="1:17" x14ac:dyDescent="0.2">
      <c r="A848">
        <v>2011</v>
      </c>
      <c r="B848" t="s">
        <v>1018</v>
      </c>
      <c r="C848" t="s">
        <v>50</v>
      </c>
      <c r="D848" t="s">
        <v>81</v>
      </c>
      <c r="E848">
        <v>6</v>
      </c>
      <c r="F848" t="s">
        <v>19</v>
      </c>
      <c r="G848" t="s">
        <v>352</v>
      </c>
      <c r="H848" t="s">
        <v>975</v>
      </c>
      <c r="I848" t="s">
        <v>22</v>
      </c>
      <c r="J848" t="s">
        <v>42</v>
      </c>
      <c r="K848" t="s">
        <v>24</v>
      </c>
      <c r="L848" t="s">
        <v>25</v>
      </c>
      <c r="M848" s="8">
        <v>1.0693333330000001</v>
      </c>
      <c r="N848" t="s">
        <v>26</v>
      </c>
      <c r="O848" s="8">
        <v>1.0693333330000001</v>
      </c>
      <c r="P848" s="8">
        <f>EXP(-1.363+3.366*LOG(O848,10))</f>
        <v>0.28223780327142356</v>
      </c>
      <c r="Q848" s="8">
        <f>(4488342*100)/4914798</f>
        <v>91.323020803703429</v>
      </c>
    </row>
    <row r="849" spans="1:17" x14ac:dyDescent="0.2">
      <c r="A849">
        <v>2011</v>
      </c>
      <c r="B849" t="s">
        <v>1019</v>
      </c>
      <c r="C849" t="s">
        <v>50</v>
      </c>
      <c r="D849" t="s">
        <v>81</v>
      </c>
      <c r="E849">
        <v>6</v>
      </c>
      <c r="F849" t="s">
        <v>19</v>
      </c>
      <c r="G849" t="s">
        <v>352</v>
      </c>
      <c r="H849" t="s">
        <v>975</v>
      </c>
      <c r="I849" t="s">
        <v>22</v>
      </c>
      <c r="J849" t="s">
        <v>42</v>
      </c>
      <c r="K849" t="s">
        <v>24</v>
      </c>
      <c r="L849" t="s">
        <v>25</v>
      </c>
      <c r="M849" s="8">
        <v>1.0693333330000001</v>
      </c>
      <c r="N849" t="s">
        <v>26</v>
      </c>
      <c r="O849" s="8">
        <v>1.0693333330000001</v>
      </c>
      <c r="P849" s="8">
        <f>EXP(-1.363+3.366*LOG(O849,10))</f>
        <v>0.28223780327142356</v>
      </c>
      <c r="Q849" s="8">
        <f>(4488342*100)/4914798</f>
        <v>91.323020803703429</v>
      </c>
    </row>
    <row r="850" spans="1:17" x14ac:dyDescent="0.2">
      <c r="A850">
        <v>2011</v>
      </c>
      <c r="B850" t="s">
        <v>1020</v>
      </c>
      <c r="C850" t="s">
        <v>50</v>
      </c>
      <c r="D850" t="s">
        <v>81</v>
      </c>
      <c r="E850">
        <v>6</v>
      </c>
      <c r="F850" t="s">
        <v>19</v>
      </c>
      <c r="G850" t="s">
        <v>352</v>
      </c>
      <c r="H850" t="s">
        <v>975</v>
      </c>
      <c r="I850" t="s">
        <v>22</v>
      </c>
      <c r="J850" t="s">
        <v>42</v>
      </c>
      <c r="K850" t="s">
        <v>24</v>
      </c>
      <c r="L850" t="s">
        <v>25</v>
      </c>
      <c r="M850" s="8">
        <v>1.0693333330000001</v>
      </c>
      <c r="N850" t="s">
        <v>26</v>
      </c>
      <c r="O850" s="8">
        <v>1.0693333330000001</v>
      </c>
      <c r="P850" s="8">
        <f>EXP(-1.363+3.366*LOG(O850,10))</f>
        <v>0.28223780327142356</v>
      </c>
      <c r="Q850" s="8">
        <f>(4488342*100)/4914798</f>
        <v>91.323020803703429</v>
      </c>
    </row>
    <row r="851" spans="1:17" x14ac:dyDescent="0.2">
      <c r="A851">
        <v>2011</v>
      </c>
      <c r="B851" t="s">
        <v>1021</v>
      </c>
      <c r="C851" t="s">
        <v>50</v>
      </c>
      <c r="D851" t="s">
        <v>81</v>
      </c>
      <c r="E851">
        <v>6</v>
      </c>
      <c r="F851" t="s">
        <v>19</v>
      </c>
      <c r="G851" t="s">
        <v>352</v>
      </c>
      <c r="H851" t="s">
        <v>975</v>
      </c>
      <c r="I851" t="s">
        <v>22</v>
      </c>
      <c r="J851" t="s">
        <v>42</v>
      </c>
      <c r="K851" t="s">
        <v>24</v>
      </c>
      <c r="L851" t="s">
        <v>25</v>
      </c>
      <c r="M851" s="8">
        <v>1.0693333330000001</v>
      </c>
      <c r="N851" t="s">
        <v>26</v>
      </c>
      <c r="O851" s="8">
        <v>1.0693333330000001</v>
      </c>
      <c r="P851" s="8">
        <f>EXP(-1.363+3.366*LOG(O851,10))</f>
        <v>0.28223780327142356</v>
      </c>
      <c r="Q851" s="8">
        <f>(4488342*100)/4914798</f>
        <v>91.323020803703429</v>
      </c>
    </row>
    <row r="852" spans="1:17" x14ac:dyDescent="0.2">
      <c r="A852">
        <v>2011</v>
      </c>
      <c r="B852" t="s">
        <v>1022</v>
      </c>
      <c r="C852" t="s">
        <v>50</v>
      </c>
      <c r="D852" t="s">
        <v>81</v>
      </c>
      <c r="E852">
        <v>6</v>
      </c>
      <c r="F852" t="s">
        <v>19</v>
      </c>
      <c r="G852" t="s">
        <v>352</v>
      </c>
      <c r="H852" t="s">
        <v>975</v>
      </c>
      <c r="I852" t="s">
        <v>22</v>
      </c>
      <c r="J852" t="s">
        <v>42</v>
      </c>
      <c r="K852" t="s">
        <v>24</v>
      </c>
      <c r="L852" t="s">
        <v>25</v>
      </c>
      <c r="M852" s="8">
        <v>1.0693333330000001</v>
      </c>
      <c r="N852" t="s">
        <v>26</v>
      </c>
      <c r="O852" s="8">
        <v>1.0693333330000001</v>
      </c>
      <c r="P852" s="8">
        <f>EXP(-1.363+3.366*LOG(O852,10))</f>
        <v>0.28223780327142356</v>
      </c>
      <c r="Q852" s="8">
        <f>(4488342*100)/4914798</f>
        <v>91.323020803703429</v>
      </c>
    </row>
    <row r="853" spans="1:17" x14ac:dyDescent="0.2">
      <c r="A853">
        <v>2011</v>
      </c>
      <c r="B853" t="s">
        <v>1023</v>
      </c>
      <c r="C853" t="s">
        <v>50</v>
      </c>
      <c r="D853" t="s">
        <v>81</v>
      </c>
      <c r="E853">
        <v>6</v>
      </c>
      <c r="F853" t="s">
        <v>19</v>
      </c>
      <c r="G853" t="s">
        <v>352</v>
      </c>
      <c r="H853" t="s">
        <v>975</v>
      </c>
      <c r="I853" t="s">
        <v>22</v>
      </c>
      <c r="J853" t="s">
        <v>42</v>
      </c>
      <c r="K853" t="s">
        <v>24</v>
      </c>
      <c r="L853" t="s">
        <v>25</v>
      </c>
      <c r="M853" s="8">
        <v>1.0693333330000001</v>
      </c>
      <c r="N853" t="s">
        <v>26</v>
      </c>
      <c r="O853" s="8">
        <v>1.0693333330000001</v>
      </c>
      <c r="P853" s="8">
        <f>EXP(-1.363+3.366*LOG(O853,10))</f>
        <v>0.28223780327142356</v>
      </c>
      <c r="Q853" s="8">
        <f>(4488342*100)/4914798</f>
        <v>91.323020803703429</v>
      </c>
    </row>
    <row r="854" spans="1:17" x14ac:dyDescent="0.2">
      <c r="A854">
        <v>2011</v>
      </c>
      <c r="B854" t="s">
        <v>1024</v>
      </c>
      <c r="C854" t="s">
        <v>89</v>
      </c>
      <c r="D854" t="s">
        <v>53</v>
      </c>
      <c r="E854">
        <v>6</v>
      </c>
      <c r="F854" t="s">
        <v>19</v>
      </c>
      <c r="G854" t="s">
        <v>352</v>
      </c>
      <c r="H854" t="s">
        <v>975</v>
      </c>
      <c r="I854" t="s">
        <v>22</v>
      </c>
      <c r="J854" t="s">
        <v>66</v>
      </c>
      <c r="K854" t="s">
        <v>24</v>
      </c>
      <c r="L854" t="s">
        <v>25</v>
      </c>
      <c r="M854" s="8">
        <v>1.0693333330000001</v>
      </c>
      <c r="N854" t="s">
        <v>26</v>
      </c>
      <c r="O854" s="8">
        <v>1.0693333330000001</v>
      </c>
      <c r="P854" s="8">
        <f>EXP(-1.363+3.366*LOG(O854,10))</f>
        <v>0.28223780327142356</v>
      </c>
      <c r="Q854" s="8">
        <f>(61997.93*100)/7298102</f>
        <v>0.84950758430068529</v>
      </c>
    </row>
    <row r="855" spans="1:17" x14ac:dyDescent="0.2">
      <c r="A855">
        <v>2011</v>
      </c>
      <c r="B855" t="s">
        <v>1026</v>
      </c>
      <c r="C855" t="s">
        <v>57</v>
      </c>
      <c r="D855" t="s">
        <v>71</v>
      </c>
      <c r="E855">
        <v>7</v>
      </c>
      <c r="F855" t="s">
        <v>19</v>
      </c>
      <c r="G855" t="s">
        <v>352</v>
      </c>
      <c r="H855" t="s">
        <v>975</v>
      </c>
      <c r="I855" t="s">
        <v>22</v>
      </c>
      <c r="J855" t="s">
        <v>104</v>
      </c>
      <c r="K855" t="s">
        <v>24</v>
      </c>
      <c r="L855" t="s">
        <v>25</v>
      </c>
      <c r="M855" s="8">
        <v>1.0693333330000001</v>
      </c>
      <c r="N855" t="s">
        <v>26</v>
      </c>
      <c r="O855" s="8">
        <v>1.0693333330000001</v>
      </c>
      <c r="P855" s="8">
        <f>EXP(-1.363+3.366*LOG(O855,10))</f>
        <v>0.28223780327142356</v>
      </c>
      <c r="Q855" s="8">
        <f>(321151.3*100)/5927002</f>
        <v>5.4184442657518925</v>
      </c>
    </row>
    <row r="856" spans="1:17" x14ac:dyDescent="0.2">
      <c r="A856">
        <v>2011</v>
      </c>
      <c r="B856" t="s">
        <v>1027</v>
      </c>
      <c r="C856" t="s">
        <v>57</v>
      </c>
      <c r="D856" t="s">
        <v>71</v>
      </c>
      <c r="E856">
        <v>7</v>
      </c>
      <c r="F856" t="s">
        <v>19</v>
      </c>
      <c r="G856" t="s">
        <v>352</v>
      </c>
      <c r="H856" t="s">
        <v>975</v>
      </c>
      <c r="I856" t="s">
        <v>22</v>
      </c>
      <c r="J856" t="s">
        <v>104</v>
      </c>
      <c r="K856" t="s">
        <v>24</v>
      </c>
      <c r="L856" t="s">
        <v>25</v>
      </c>
      <c r="M856" s="8">
        <v>1.0693333330000001</v>
      </c>
      <c r="N856" t="s">
        <v>26</v>
      </c>
      <c r="O856" s="8">
        <v>1.0693333330000001</v>
      </c>
      <c r="P856" s="8">
        <f>EXP(-1.363+3.366*LOG(O856,10))</f>
        <v>0.28223780327142356</v>
      </c>
      <c r="Q856" s="8">
        <f>(321151.3*100)/5927002</f>
        <v>5.4184442657518925</v>
      </c>
    </row>
    <row r="857" spans="1:17" x14ac:dyDescent="0.2">
      <c r="A857">
        <v>2011</v>
      </c>
      <c r="B857" t="s">
        <v>1029</v>
      </c>
      <c r="C857" t="s">
        <v>60</v>
      </c>
      <c r="D857" t="s">
        <v>61</v>
      </c>
      <c r="E857">
        <v>6</v>
      </c>
      <c r="F857" t="s">
        <v>19</v>
      </c>
      <c r="G857" t="s">
        <v>352</v>
      </c>
      <c r="H857" t="s">
        <v>975</v>
      </c>
      <c r="I857" t="s">
        <v>22</v>
      </c>
      <c r="J857" t="s">
        <v>31</v>
      </c>
      <c r="K857" t="s">
        <v>24</v>
      </c>
      <c r="L857" t="s">
        <v>25</v>
      </c>
      <c r="M857" s="8">
        <v>1.0693333330000001</v>
      </c>
      <c r="N857" t="s">
        <v>26</v>
      </c>
      <c r="O857" s="8">
        <v>1.0693333330000001</v>
      </c>
      <c r="P857" s="8">
        <f>EXP(-1.363+3.366*LOG(O857,10))</f>
        <v>0.28223780327142356</v>
      </c>
      <c r="Q857" s="8">
        <f>(27433.05*100)/7611378</f>
        <v>0.36042159514348127</v>
      </c>
    </row>
    <row r="858" spans="1:17" x14ac:dyDescent="0.2">
      <c r="A858">
        <v>2011</v>
      </c>
      <c r="B858" t="s">
        <v>1030</v>
      </c>
      <c r="C858" t="s">
        <v>65</v>
      </c>
      <c r="D858" t="s">
        <v>58</v>
      </c>
      <c r="E858">
        <v>6</v>
      </c>
      <c r="F858" t="s">
        <v>19</v>
      </c>
      <c r="G858" t="s">
        <v>352</v>
      </c>
      <c r="H858" t="s">
        <v>975</v>
      </c>
      <c r="I858" t="s">
        <v>22</v>
      </c>
      <c r="J858" t="s">
        <v>66</v>
      </c>
      <c r="K858" t="s">
        <v>24</v>
      </c>
      <c r="L858" t="s">
        <v>25</v>
      </c>
      <c r="M858" s="8">
        <v>1.0693333330000001</v>
      </c>
      <c r="N858" t="s">
        <v>26</v>
      </c>
      <c r="O858" s="8">
        <v>1.0693333330000001</v>
      </c>
      <c r="P858" s="8">
        <f>EXP(-1.363+3.366*LOG(O858,10))</f>
        <v>0.28223780327142356</v>
      </c>
      <c r="Q858" s="8">
        <f>(1788886*100)/6788946</f>
        <v>26.349981278389901</v>
      </c>
    </row>
    <row r="859" spans="1:17" x14ac:dyDescent="0.2">
      <c r="A859">
        <v>2011</v>
      </c>
      <c r="B859" t="s">
        <v>1031</v>
      </c>
      <c r="C859" t="s">
        <v>65</v>
      </c>
      <c r="D859" t="s">
        <v>58</v>
      </c>
      <c r="E859">
        <v>6</v>
      </c>
      <c r="F859" t="s">
        <v>19</v>
      </c>
      <c r="G859" t="s">
        <v>352</v>
      </c>
      <c r="H859" t="s">
        <v>975</v>
      </c>
      <c r="I859" t="s">
        <v>22</v>
      </c>
      <c r="J859" t="s">
        <v>66</v>
      </c>
      <c r="K859" t="s">
        <v>24</v>
      </c>
      <c r="L859" t="s">
        <v>25</v>
      </c>
      <c r="M859" s="8">
        <v>1.0693333330000001</v>
      </c>
      <c r="N859" t="s">
        <v>26</v>
      </c>
      <c r="O859" s="8">
        <v>1.0693333330000001</v>
      </c>
      <c r="P859" s="8">
        <f>EXP(-1.363+3.366*LOG(O859,10))</f>
        <v>0.28223780327142356</v>
      </c>
      <c r="Q859" s="8">
        <f>(1788886*100)/6788946</f>
        <v>26.349981278389901</v>
      </c>
    </row>
    <row r="860" spans="1:17" x14ac:dyDescent="0.2">
      <c r="A860">
        <v>2011</v>
      </c>
      <c r="B860" t="s">
        <v>1034</v>
      </c>
      <c r="C860" t="s">
        <v>57</v>
      </c>
      <c r="D860" t="s">
        <v>71</v>
      </c>
      <c r="E860">
        <v>7</v>
      </c>
      <c r="F860" t="s">
        <v>19</v>
      </c>
      <c r="G860" t="s">
        <v>352</v>
      </c>
      <c r="H860" t="s">
        <v>975</v>
      </c>
      <c r="I860" t="s">
        <v>22</v>
      </c>
      <c r="J860" t="s">
        <v>31</v>
      </c>
      <c r="K860" t="s">
        <v>24</v>
      </c>
      <c r="L860" t="s">
        <v>25</v>
      </c>
      <c r="M860" s="8">
        <v>1.0693333330000001</v>
      </c>
      <c r="N860" t="s">
        <v>26</v>
      </c>
      <c r="O860" s="8">
        <v>1.0693333330000001</v>
      </c>
      <c r="P860" s="8">
        <f>EXP(-1.363+3.366*LOG(O860,10))</f>
        <v>0.28223780327142356</v>
      </c>
      <c r="Q860" s="8">
        <f>(321151.3*100)/5927002</f>
        <v>5.4184442657518925</v>
      </c>
    </row>
    <row r="861" spans="1:17" x14ac:dyDescent="0.2">
      <c r="A861">
        <v>2011</v>
      </c>
      <c r="B861" t="s">
        <v>1035</v>
      </c>
      <c r="C861" t="s">
        <v>57</v>
      </c>
      <c r="D861" t="s">
        <v>71</v>
      </c>
      <c r="E861">
        <v>7</v>
      </c>
      <c r="F861" t="s">
        <v>19</v>
      </c>
      <c r="G861" t="s">
        <v>352</v>
      </c>
      <c r="H861" t="s">
        <v>975</v>
      </c>
      <c r="I861" t="s">
        <v>22</v>
      </c>
      <c r="J861" t="s">
        <v>31</v>
      </c>
      <c r="K861" t="s">
        <v>24</v>
      </c>
      <c r="L861" t="s">
        <v>25</v>
      </c>
      <c r="M861" s="8">
        <v>1.0693333330000001</v>
      </c>
      <c r="N861" t="s">
        <v>26</v>
      </c>
      <c r="O861" s="8">
        <v>1.0693333330000001</v>
      </c>
      <c r="P861" s="8">
        <f>EXP(-1.363+3.366*LOG(O861,10))</f>
        <v>0.28223780327142356</v>
      </c>
      <c r="Q861" s="8">
        <f>(321151.3*100)/5927002</f>
        <v>5.4184442657518925</v>
      </c>
    </row>
    <row r="862" spans="1:17" x14ac:dyDescent="0.2">
      <c r="A862">
        <v>2011</v>
      </c>
      <c r="B862" t="s">
        <v>1036</v>
      </c>
      <c r="C862" t="s">
        <v>120</v>
      </c>
      <c r="D862" t="s">
        <v>71</v>
      </c>
      <c r="E862">
        <v>7</v>
      </c>
      <c r="F862" t="s">
        <v>19</v>
      </c>
      <c r="G862" t="s">
        <v>352</v>
      </c>
      <c r="H862" t="s">
        <v>975</v>
      </c>
      <c r="I862" t="s">
        <v>22</v>
      </c>
      <c r="J862" t="s">
        <v>23</v>
      </c>
      <c r="K862" t="s">
        <v>24</v>
      </c>
      <c r="L862" t="s">
        <v>25</v>
      </c>
      <c r="M862" s="8">
        <v>1.0693333330000001</v>
      </c>
      <c r="N862" t="s">
        <v>26</v>
      </c>
      <c r="O862" s="8">
        <v>1.0693333330000001</v>
      </c>
      <c r="P862" s="8">
        <f>EXP(-1.363+3.366*LOG(O862,10))</f>
        <v>0.28223780327142356</v>
      </c>
      <c r="Q862" s="8">
        <f>(2256192*100)/6055896</f>
        <v>37.256121967748456</v>
      </c>
    </row>
    <row r="863" spans="1:17" x14ac:dyDescent="0.2">
      <c r="A863">
        <v>2011</v>
      </c>
      <c r="B863" t="s">
        <v>1037</v>
      </c>
      <c r="C863" t="s">
        <v>120</v>
      </c>
      <c r="D863" t="s">
        <v>71</v>
      </c>
      <c r="E863">
        <v>7</v>
      </c>
      <c r="F863" t="s">
        <v>19</v>
      </c>
      <c r="G863" t="s">
        <v>352</v>
      </c>
      <c r="H863" t="s">
        <v>975</v>
      </c>
      <c r="I863" t="s">
        <v>22</v>
      </c>
      <c r="J863" t="s">
        <v>23</v>
      </c>
      <c r="K863" t="s">
        <v>24</v>
      </c>
      <c r="L863" t="s">
        <v>25</v>
      </c>
      <c r="M863" s="8">
        <v>1.0693333330000001</v>
      </c>
      <c r="N863" t="s">
        <v>26</v>
      </c>
      <c r="O863" s="8">
        <v>1.0693333330000001</v>
      </c>
      <c r="P863" s="8">
        <f>EXP(-1.363+3.366*LOG(O863,10))</f>
        <v>0.28223780327142356</v>
      </c>
      <c r="Q863" s="8">
        <f>(2256192*100)/6055896</f>
        <v>37.256121967748456</v>
      </c>
    </row>
    <row r="864" spans="1:17" x14ac:dyDescent="0.2">
      <c r="A864">
        <v>2011</v>
      </c>
      <c r="B864" t="s">
        <v>1038</v>
      </c>
      <c r="C864" t="s">
        <v>120</v>
      </c>
      <c r="D864" t="s">
        <v>71</v>
      </c>
      <c r="E864">
        <v>7</v>
      </c>
      <c r="F864" t="s">
        <v>19</v>
      </c>
      <c r="G864" t="s">
        <v>352</v>
      </c>
      <c r="H864" t="s">
        <v>975</v>
      </c>
      <c r="I864" t="s">
        <v>22</v>
      </c>
      <c r="J864" t="s">
        <v>23</v>
      </c>
      <c r="K864" t="s">
        <v>24</v>
      </c>
      <c r="L864" t="s">
        <v>25</v>
      </c>
      <c r="M864" s="8">
        <v>1.0693333330000001</v>
      </c>
      <c r="N864" t="s">
        <v>26</v>
      </c>
      <c r="O864" s="8">
        <v>1.0693333330000001</v>
      </c>
      <c r="P864" s="8">
        <f>EXP(-1.363+3.366*LOG(O864,10))</f>
        <v>0.28223780327142356</v>
      </c>
      <c r="Q864" s="8">
        <f>(2256192*100)/6055896</f>
        <v>37.256121967748456</v>
      </c>
    </row>
    <row r="865" spans="1:17" x14ac:dyDescent="0.2">
      <c r="A865">
        <v>2011</v>
      </c>
      <c r="B865" t="s">
        <v>1039</v>
      </c>
      <c r="C865" t="s">
        <v>52</v>
      </c>
      <c r="D865" t="s">
        <v>55</v>
      </c>
      <c r="E865">
        <v>6</v>
      </c>
      <c r="F865" t="s">
        <v>19</v>
      </c>
      <c r="G865" t="s">
        <v>352</v>
      </c>
      <c r="H865" t="s">
        <v>975</v>
      </c>
      <c r="I865" t="s">
        <v>22</v>
      </c>
      <c r="J865" t="s">
        <v>42</v>
      </c>
      <c r="K865" t="s">
        <v>24</v>
      </c>
      <c r="L865" t="s">
        <v>25</v>
      </c>
      <c r="M865" s="8">
        <v>1.0693333330000001</v>
      </c>
      <c r="N865" t="s">
        <v>26</v>
      </c>
      <c r="O865" s="8">
        <v>1.0693333330000001</v>
      </c>
      <c r="P865" s="8">
        <f>EXP(-1.363+3.366*LOG(O865,10))</f>
        <v>0.28223780327142356</v>
      </c>
      <c r="Q865" s="8">
        <f>(1626350*100)/1973941</f>
        <v>82.391013713175823</v>
      </c>
    </row>
    <row r="866" spans="1:17" x14ac:dyDescent="0.2">
      <c r="A866">
        <v>2011</v>
      </c>
      <c r="B866" t="s">
        <v>1040</v>
      </c>
      <c r="C866" t="s">
        <v>39</v>
      </c>
      <c r="D866" t="s">
        <v>55</v>
      </c>
      <c r="E866">
        <v>6</v>
      </c>
      <c r="F866" t="s">
        <v>19</v>
      </c>
      <c r="G866" t="s">
        <v>352</v>
      </c>
      <c r="H866" t="s">
        <v>975</v>
      </c>
      <c r="I866" t="s">
        <v>22</v>
      </c>
      <c r="J866" t="s">
        <v>42</v>
      </c>
      <c r="K866" t="s">
        <v>24</v>
      </c>
      <c r="L866" t="s">
        <v>25</v>
      </c>
      <c r="M866" s="8">
        <v>1.0693333330000001</v>
      </c>
      <c r="N866" t="s">
        <v>26</v>
      </c>
      <c r="O866" s="8">
        <v>1.0693333330000001</v>
      </c>
      <c r="P866" s="8">
        <f>EXP(-1.363+3.366*LOG(O866,10))</f>
        <v>0.28223780327142356</v>
      </c>
      <c r="Q866" s="8">
        <f>(2375365*100)/2680339</f>
        <v>88.621812390149159</v>
      </c>
    </row>
    <row r="867" spans="1:17" x14ac:dyDescent="0.2">
      <c r="A867">
        <v>2011</v>
      </c>
      <c r="B867" t="s">
        <v>1041</v>
      </c>
      <c r="C867" t="s">
        <v>50</v>
      </c>
      <c r="D867" t="s">
        <v>55</v>
      </c>
      <c r="E867">
        <v>6</v>
      </c>
      <c r="F867" t="s">
        <v>19</v>
      </c>
      <c r="G867" t="s">
        <v>352</v>
      </c>
      <c r="H867" t="s">
        <v>975</v>
      </c>
      <c r="I867" t="s">
        <v>22</v>
      </c>
      <c r="J867" t="s">
        <v>42</v>
      </c>
      <c r="K867" t="s">
        <v>24</v>
      </c>
      <c r="L867" t="s">
        <v>25</v>
      </c>
      <c r="M867" s="8">
        <v>1.0693333330000001</v>
      </c>
      <c r="N867" t="s">
        <v>26</v>
      </c>
      <c r="O867" s="8">
        <v>1.0693333330000001</v>
      </c>
      <c r="P867" s="8">
        <f>EXP(-1.363+3.366*LOG(O867,10))</f>
        <v>0.28223780327142356</v>
      </c>
      <c r="Q867" s="8">
        <f>(4488342*100)/4914798</f>
        <v>91.323020803703429</v>
      </c>
    </row>
    <row r="868" spans="1:17" x14ac:dyDescent="0.2">
      <c r="A868">
        <v>2011</v>
      </c>
      <c r="B868" t="s">
        <v>1042</v>
      </c>
      <c r="C868" t="s">
        <v>50</v>
      </c>
      <c r="D868" t="s">
        <v>55</v>
      </c>
      <c r="E868">
        <v>6</v>
      </c>
      <c r="F868" t="s">
        <v>19</v>
      </c>
      <c r="G868" t="s">
        <v>352</v>
      </c>
      <c r="H868" t="s">
        <v>975</v>
      </c>
      <c r="I868" t="s">
        <v>22</v>
      </c>
      <c r="J868" t="s">
        <v>42</v>
      </c>
      <c r="K868" t="s">
        <v>24</v>
      </c>
      <c r="L868" t="s">
        <v>25</v>
      </c>
      <c r="M868" s="8">
        <v>1.0693333330000001</v>
      </c>
      <c r="N868" t="s">
        <v>26</v>
      </c>
      <c r="O868" s="8">
        <v>1.0693333330000001</v>
      </c>
      <c r="P868" s="8">
        <f>EXP(-1.363+3.366*LOG(O868,10))</f>
        <v>0.28223780327142356</v>
      </c>
      <c r="Q868" s="8">
        <f>(4488342*100)/4914798</f>
        <v>91.323020803703429</v>
      </c>
    </row>
    <row r="869" spans="1:17" x14ac:dyDescent="0.2">
      <c r="A869">
        <v>2011</v>
      </c>
      <c r="B869" t="s">
        <v>1043</v>
      </c>
      <c r="C869" t="s">
        <v>50</v>
      </c>
      <c r="D869" t="s">
        <v>53</v>
      </c>
      <c r="E869">
        <v>6</v>
      </c>
      <c r="F869" t="s">
        <v>19</v>
      </c>
      <c r="G869" t="s">
        <v>352</v>
      </c>
      <c r="H869" t="s">
        <v>975</v>
      </c>
      <c r="I869" t="s">
        <v>22</v>
      </c>
      <c r="J869" t="s">
        <v>42</v>
      </c>
      <c r="K869" t="s">
        <v>24</v>
      </c>
      <c r="L869" t="s">
        <v>25</v>
      </c>
      <c r="M869" s="8">
        <v>1.0693333330000001</v>
      </c>
      <c r="N869" t="s">
        <v>26</v>
      </c>
      <c r="O869" s="8">
        <v>1.0693333330000001</v>
      </c>
      <c r="P869" s="8">
        <f>EXP(-1.363+3.366*LOG(O869,10))</f>
        <v>0.28223780327142356</v>
      </c>
      <c r="Q869" s="8">
        <f>(4488342*100)/4914798</f>
        <v>91.323020803703429</v>
      </c>
    </row>
    <row r="870" spans="1:17" x14ac:dyDescent="0.2">
      <c r="A870">
        <v>2011</v>
      </c>
      <c r="B870" t="s">
        <v>1044</v>
      </c>
      <c r="C870" t="s">
        <v>50</v>
      </c>
      <c r="D870" t="s">
        <v>53</v>
      </c>
      <c r="E870">
        <v>6</v>
      </c>
      <c r="F870" t="s">
        <v>19</v>
      </c>
      <c r="G870" t="s">
        <v>352</v>
      </c>
      <c r="H870" t="s">
        <v>975</v>
      </c>
      <c r="I870" t="s">
        <v>22</v>
      </c>
      <c r="J870" t="s">
        <v>42</v>
      </c>
      <c r="K870" t="s">
        <v>24</v>
      </c>
      <c r="L870" t="s">
        <v>25</v>
      </c>
      <c r="M870" s="8">
        <v>1.0693333330000001</v>
      </c>
      <c r="N870" t="s">
        <v>26</v>
      </c>
      <c r="O870" s="8">
        <v>1.0693333330000001</v>
      </c>
      <c r="P870" s="8">
        <f>EXP(-1.363+3.366*LOG(O870,10))</f>
        <v>0.28223780327142356</v>
      </c>
      <c r="Q870" s="8">
        <f>(4488342*100)/4914798</f>
        <v>91.323020803703429</v>
      </c>
    </row>
    <row r="871" spans="1:17" x14ac:dyDescent="0.2">
      <c r="A871">
        <v>2011</v>
      </c>
      <c r="B871" t="s">
        <v>1045</v>
      </c>
      <c r="C871" t="s">
        <v>50</v>
      </c>
      <c r="D871" t="s">
        <v>53</v>
      </c>
      <c r="E871">
        <v>6</v>
      </c>
      <c r="F871" t="s">
        <v>19</v>
      </c>
      <c r="G871" t="s">
        <v>352</v>
      </c>
      <c r="H871" t="s">
        <v>975</v>
      </c>
      <c r="I871" t="s">
        <v>22</v>
      </c>
      <c r="J871" t="s">
        <v>42</v>
      </c>
      <c r="K871" t="s">
        <v>24</v>
      </c>
      <c r="L871" t="s">
        <v>25</v>
      </c>
      <c r="M871" s="8">
        <v>1.0693333330000001</v>
      </c>
      <c r="N871" t="s">
        <v>26</v>
      </c>
      <c r="O871" s="8">
        <v>1.0693333330000001</v>
      </c>
      <c r="P871" s="8">
        <f>EXP(-1.363+3.366*LOG(O871,10))</f>
        <v>0.28223780327142356</v>
      </c>
      <c r="Q871" s="8">
        <f>(4488342*100)/4914798</f>
        <v>91.323020803703429</v>
      </c>
    </row>
    <row r="872" spans="1:17" x14ac:dyDescent="0.2">
      <c r="A872">
        <v>2011</v>
      </c>
      <c r="B872" t="s">
        <v>1046</v>
      </c>
      <c r="C872" t="s">
        <v>50</v>
      </c>
      <c r="D872" t="s">
        <v>53</v>
      </c>
      <c r="E872">
        <v>6</v>
      </c>
      <c r="F872" t="s">
        <v>19</v>
      </c>
      <c r="G872" t="s">
        <v>352</v>
      </c>
      <c r="H872" t="s">
        <v>975</v>
      </c>
      <c r="I872" t="s">
        <v>22</v>
      </c>
      <c r="J872" t="s">
        <v>42</v>
      </c>
      <c r="K872" t="s">
        <v>24</v>
      </c>
      <c r="L872" t="s">
        <v>25</v>
      </c>
      <c r="M872" s="8">
        <v>1.0693333330000001</v>
      </c>
      <c r="N872" t="s">
        <v>26</v>
      </c>
      <c r="O872" s="8">
        <v>1.0693333330000001</v>
      </c>
      <c r="P872" s="8">
        <f>EXP(-1.363+3.366*LOG(O872,10))</f>
        <v>0.28223780327142356</v>
      </c>
      <c r="Q872" s="8">
        <f>(4488342*100)/4914798</f>
        <v>91.323020803703429</v>
      </c>
    </row>
    <row r="873" spans="1:17" x14ac:dyDescent="0.2">
      <c r="A873">
        <v>2011</v>
      </c>
      <c r="B873" t="s">
        <v>1047</v>
      </c>
      <c r="C873" t="s">
        <v>50</v>
      </c>
      <c r="D873" t="s">
        <v>53</v>
      </c>
      <c r="E873">
        <v>6</v>
      </c>
      <c r="F873" t="s">
        <v>19</v>
      </c>
      <c r="G873" t="s">
        <v>352</v>
      </c>
      <c r="H873" t="s">
        <v>975</v>
      </c>
      <c r="I873" t="s">
        <v>22</v>
      </c>
      <c r="J873" t="s">
        <v>42</v>
      </c>
      <c r="K873" t="s">
        <v>24</v>
      </c>
      <c r="L873" t="s">
        <v>25</v>
      </c>
      <c r="M873" s="8">
        <v>1.0693333330000001</v>
      </c>
      <c r="N873" t="s">
        <v>26</v>
      </c>
      <c r="O873" s="8">
        <v>1.0693333330000001</v>
      </c>
      <c r="P873" s="8">
        <f>EXP(-1.363+3.366*LOG(O873,10))</f>
        <v>0.28223780327142356</v>
      </c>
      <c r="Q873" s="8">
        <f>(4488342*100)/4914798</f>
        <v>91.323020803703429</v>
      </c>
    </row>
    <row r="874" spans="1:17" x14ac:dyDescent="0.2">
      <c r="A874">
        <v>2011</v>
      </c>
      <c r="B874" t="s">
        <v>1048</v>
      </c>
      <c r="C874" t="s">
        <v>50</v>
      </c>
      <c r="D874" t="s">
        <v>53</v>
      </c>
      <c r="E874">
        <v>6</v>
      </c>
      <c r="F874" t="s">
        <v>19</v>
      </c>
      <c r="G874" t="s">
        <v>352</v>
      </c>
      <c r="H874" t="s">
        <v>975</v>
      </c>
      <c r="I874" t="s">
        <v>22</v>
      </c>
      <c r="J874" t="s">
        <v>42</v>
      </c>
      <c r="K874" t="s">
        <v>24</v>
      </c>
      <c r="L874" t="s">
        <v>25</v>
      </c>
      <c r="M874" s="8">
        <v>1.0693333330000001</v>
      </c>
      <c r="N874" t="s">
        <v>26</v>
      </c>
      <c r="O874" s="8">
        <v>1.0693333330000001</v>
      </c>
      <c r="P874" s="8">
        <f>EXP(-1.363+3.366*LOG(O874,10))</f>
        <v>0.28223780327142356</v>
      </c>
      <c r="Q874" s="8">
        <f>(4488342*100)/4914798</f>
        <v>91.323020803703429</v>
      </c>
    </row>
    <row r="875" spans="1:17" x14ac:dyDescent="0.2">
      <c r="A875">
        <v>2011</v>
      </c>
      <c r="B875" t="s">
        <v>1049</v>
      </c>
      <c r="C875" t="s">
        <v>50</v>
      </c>
      <c r="D875" t="s">
        <v>53</v>
      </c>
      <c r="E875">
        <v>6</v>
      </c>
      <c r="F875" t="s">
        <v>19</v>
      </c>
      <c r="G875" t="s">
        <v>352</v>
      </c>
      <c r="H875" t="s">
        <v>975</v>
      </c>
      <c r="I875" t="s">
        <v>22</v>
      </c>
      <c r="J875" t="s">
        <v>42</v>
      </c>
      <c r="K875" t="s">
        <v>24</v>
      </c>
      <c r="L875" t="s">
        <v>25</v>
      </c>
      <c r="M875" s="8">
        <v>1.0693333330000001</v>
      </c>
      <c r="N875" t="s">
        <v>26</v>
      </c>
      <c r="O875" s="8">
        <v>1.0693333330000001</v>
      </c>
      <c r="P875" s="8">
        <f>EXP(-1.363+3.366*LOG(O875,10))</f>
        <v>0.28223780327142356</v>
      </c>
      <c r="Q875" s="8">
        <f>(4488342*100)/4914798</f>
        <v>91.323020803703429</v>
      </c>
    </row>
    <row r="876" spans="1:17" x14ac:dyDescent="0.2">
      <c r="A876">
        <v>2011</v>
      </c>
      <c r="B876" t="s">
        <v>1050</v>
      </c>
      <c r="C876" t="s">
        <v>50</v>
      </c>
      <c r="D876" t="s">
        <v>53</v>
      </c>
      <c r="E876">
        <v>6</v>
      </c>
      <c r="F876" t="s">
        <v>19</v>
      </c>
      <c r="G876" t="s">
        <v>352</v>
      </c>
      <c r="H876" t="s">
        <v>975</v>
      </c>
      <c r="I876" t="s">
        <v>22</v>
      </c>
      <c r="J876" t="s">
        <v>42</v>
      </c>
      <c r="K876" t="s">
        <v>24</v>
      </c>
      <c r="L876" t="s">
        <v>25</v>
      </c>
      <c r="M876" s="8">
        <v>1.0693333330000001</v>
      </c>
      <c r="N876" t="s">
        <v>26</v>
      </c>
      <c r="O876" s="8">
        <v>1.0693333330000001</v>
      </c>
      <c r="P876" s="8">
        <f>EXP(-1.363+3.366*LOG(O876,10))</f>
        <v>0.28223780327142356</v>
      </c>
      <c r="Q876" s="8">
        <f>(4488342*100)/4914798</f>
        <v>91.323020803703429</v>
      </c>
    </row>
    <row r="877" spans="1:17" x14ac:dyDescent="0.2">
      <c r="A877">
        <v>2011</v>
      </c>
      <c r="B877" t="s">
        <v>1051</v>
      </c>
      <c r="C877" t="s">
        <v>50</v>
      </c>
      <c r="D877" t="s">
        <v>53</v>
      </c>
      <c r="E877">
        <v>6</v>
      </c>
      <c r="F877" t="s">
        <v>19</v>
      </c>
      <c r="G877" t="s">
        <v>352</v>
      </c>
      <c r="H877" t="s">
        <v>975</v>
      </c>
      <c r="I877" t="s">
        <v>22</v>
      </c>
      <c r="J877" t="s">
        <v>42</v>
      </c>
      <c r="K877" t="s">
        <v>24</v>
      </c>
      <c r="L877" t="s">
        <v>25</v>
      </c>
      <c r="M877" s="8">
        <v>1.0693333330000001</v>
      </c>
      <c r="N877" t="s">
        <v>26</v>
      </c>
      <c r="O877" s="8">
        <v>1.0693333330000001</v>
      </c>
      <c r="P877" s="8">
        <f>EXP(-1.363+3.366*LOG(O877,10))</f>
        <v>0.28223780327142356</v>
      </c>
      <c r="Q877" s="8">
        <f>(4488342*100)/4914798</f>
        <v>91.323020803703429</v>
      </c>
    </row>
    <row r="878" spans="1:17" x14ac:dyDescent="0.2">
      <c r="A878">
        <v>2011</v>
      </c>
      <c r="B878" t="s">
        <v>1052</v>
      </c>
      <c r="C878" t="s">
        <v>120</v>
      </c>
      <c r="D878" t="s">
        <v>58</v>
      </c>
      <c r="E878">
        <v>6</v>
      </c>
      <c r="F878" t="s">
        <v>19</v>
      </c>
      <c r="G878" t="s">
        <v>352</v>
      </c>
      <c r="H878" t="s">
        <v>975</v>
      </c>
      <c r="I878" t="s">
        <v>22</v>
      </c>
      <c r="J878" t="s">
        <v>23</v>
      </c>
      <c r="K878" t="s">
        <v>24</v>
      </c>
      <c r="L878" t="s">
        <v>25</v>
      </c>
      <c r="M878" s="8">
        <v>1.0693333330000001</v>
      </c>
      <c r="N878" t="s">
        <v>26</v>
      </c>
      <c r="O878" s="8">
        <v>1.0693333330000001</v>
      </c>
      <c r="P878" s="8">
        <f>EXP(-1.363+3.366*LOG(O878,10))</f>
        <v>0.28223780327142356</v>
      </c>
      <c r="Q878" s="8">
        <f>(2256192*100)/6055896</f>
        <v>37.256121967748456</v>
      </c>
    </row>
    <row r="879" spans="1:17" x14ac:dyDescent="0.2">
      <c r="A879">
        <v>2011</v>
      </c>
      <c r="B879" t="s">
        <v>1053</v>
      </c>
      <c r="C879" t="s">
        <v>120</v>
      </c>
      <c r="D879" t="s">
        <v>58</v>
      </c>
      <c r="E879">
        <v>6</v>
      </c>
      <c r="F879" t="s">
        <v>19</v>
      </c>
      <c r="G879" t="s">
        <v>352</v>
      </c>
      <c r="H879" t="s">
        <v>975</v>
      </c>
      <c r="I879" t="s">
        <v>22</v>
      </c>
      <c r="J879" t="s">
        <v>23</v>
      </c>
      <c r="K879" t="s">
        <v>24</v>
      </c>
      <c r="L879" t="s">
        <v>25</v>
      </c>
      <c r="M879" s="8">
        <v>1.0693333330000001</v>
      </c>
      <c r="N879" t="s">
        <v>26</v>
      </c>
      <c r="O879" s="8">
        <v>1.0693333330000001</v>
      </c>
      <c r="P879" s="8">
        <f>EXP(-1.363+3.366*LOG(O879,10))</f>
        <v>0.28223780327142356</v>
      </c>
      <c r="Q879" s="8">
        <f>(2256192*100)/6055896</f>
        <v>37.256121967748456</v>
      </c>
    </row>
    <row r="880" spans="1:17" x14ac:dyDescent="0.2">
      <c r="A880">
        <v>2011</v>
      </c>
      <c r="B880" t="s">
        <v>1054</v>
      </c>
      <c r="C880" t="s">
        <v>57</v>
      </c>
      <c r="D880" t="s">
        <v>58</v>
      </c>
      <c r="E880">
        <v>6</v>
      </c>
      <c r="F880" t="s">
        <v>19</v>
      </c>
      <c r="G880" t="s">
        <v>352</v>
      </c>
      <c r="H880" t="s">
        <v>975</v>
      </c>
      <c r="I880" t="s">
        <v>22</v>
      </c>
      <c r="J880" t="s">
        <v>31</v>
      </c>
      <c r="K880" t="s">
        <v>24</v>
      </c>
      <c r="L880" t="s">
        <v>25</v>
      </c>
      <c r="M880" s="8">
        <v>1.0693333330000001</v>
      </c>
      <c r="N880" t="s">
        <v>26</v>
      </c>
      <c r="O880" s="8">
        <v>1.0693333330000001</v>
      </c>
      <c r="P880" s="8">
        <f>EXP(-1.363+3.366*LOG(O880,10))</f>
        <v>0.28223780327142356</v>
      </c>
      <c r="Q880" s="8">
        <f>(321151.3*100)/5927002</f>
        <v>5.4184442657518925</v>
      </c>
    </row>
    <row r="881" spans="1:17" x14ac:dyDescent="0.2">
      <c r="A881">
        <v>2011</v>
      </c>
      <c r="B881" t="s">
        <v>1055</v>
      </c>
      <c r="C881" t="s">
        <v>34</v>
      </c>
      <c r="D881" t="s">
        <v>190</v>
      </c>
      <c r="E881">
        <v>7</v>
      </c>
      <c r="F881" t="s">
        <v>19</v>
      </c>
      <c r="G881" t="s">
        <v>352</v>
      </c>
      <c r="H881" t="s">
        <v>975</v>
      </c>
      <c r="I881" t="s">
        <v>22</v>
      </c>
      <c r="J881" t="s">
        <v>23</v>
      </c>
      <c r="K881" t="s">
        <v>24</v>
      </c>
      <c r="L881" t="s">
        <v>25</v>
      </c>
      <c r="M881" s="8">
        <v>1.0693333330000001</v>
      </c>
      <c r="N881" t="s">
        <v>26</v>
      </c>
      <c r="O881" s="8">
        <v>1.0693333330000001</v>
      </c>
      <c r="P881" s="8">
        <f>EXP(-1.363+3.366*LOG(O881,10))</f>
        <v>0.28223780327142356</v>
      </c>
      <c r="Q881" s="8">
        <f>(1478835*100)/2190162</f>
        <v>67.5217175715769</v>
      </c>
    </row>
    <row r="882" spans="1:17" x14ac:dyDescent="0.2">
      <c r="A882">
        <v>2011</v>
      </c>
      <c r="B882" t="s">
        <v>1056</v>
      </c>
      <c r="C882" t="s">
        <v>34</v>
      </c>
      <c r="D882" t="s">
        <v>190</v>
      </c>
      <c r="E882">
        <v>7</v>
      </c>
      <c r="F882" t="s">
        <v>19</v>
      </c>
      <c r="G882" t="s">
        <v>352</v>
      </c>
      <c r="H882" t="s">
        <v>975</v>
      </c>
      <c r="I882" t="s">
        <v>22</v>
      </c>
      <c r="J882" t="s">
        <v>23</v>
      </c>
      <c r="K882" t="s">
        <v>24</v>
      </c>
      <c r="L882" t="s">
        <v>25</v>
      </c>
      <c r="M882" s="8">
        <v>1.0693333330000001</v>
      </c>
      <c r="N882" t="s">
        <v>26</v>
      </c>
      <c r="O882" s="8">
        <v>1.0693333330000001</v>
      </c>
      <c r="P882" s="8">
        <f>EXP(-1.363+3.366*LOG(O882,10))</f>
        <v>0.28223780327142356</v>
      </c>
      <c r="Q882" s="8">
        <f>(1478835*100)/2190162</f>
        <v>67.5217175715769</v>
      </c>
    </row>
    <row r="883" spans="1:17" x14ac:dyDescent="0.2">
      <c r="A883">
        <v>2011</v>
      </c>
      <c r="B883" t="s">
        <v>1058</v>
      </c>
      <c r="C883" t="s">
        <v>89</v>
      </c>
      <c r="D883" t="s">
        <v>53</v>
      </c>
      <c r="E883">
        <v>6</v>
      </c>
      <c r="F883" t="s">
        <v>19</v>
      </c>
      <c r="G883" t="s">
        <v>352</v>
      </c>
      <c r="H883" t="s">
        <v>975</v>
      </c>
      <c r="I883" t="s">
        <v>22</v>
      </c>
      <c r="J883" t="s">
        <v>66</v>
      </c>
      <c r="K883" t="s">
        <v>24</v>
      </c>
      <c r="L883" t="s">
        <v>25</v>
      </c>
      <c r="M883" s="8">
        <v>1.0693333330000001</v>
      </c>
      <c r="N883" t="s">
        <v>26</v>
      </c>
      <c r="O883" s="8">
        <v>1.0693333330000001</v>
      </c>
      <c r="P883" s="8">
        <f>EXP(-1.363+3.366*LOG(O883,10))</f>
        <v>0.28223780327142356</v>
      </c>
      <c r="Q883" s="8">
        <f>(61997.93*100)/7298102</f>
        <v>0.84950758430068529</v>
      </c>
    </row>
    <row r="884" spans="1:17" x14ac:dyDescent="0.2">
      <c r="A884">
        <v>2011</v>
      </c>
      <c r="B884" t="s">
        <v>1059</v>
      </c>
      <c r="C884" t="s">
        <v>60</v>
      </c>
      <c r="D884" t="s">
        <v>53</v>
      </c>
      <c r="E884">
        <v>6</v>
      </c>
      <c r="F884" t="s">
        <v>19</v>
      </c>
      <c r="G884" t="s">
        <v>352</v>
      </c>
      <c r="H884" t="s">
        <v>975</v>
      </c>
      <c r="I884" t="s">
        <v>22</v>
      </c>
      <c r="J884" t="s">
        <v>31</v>
      </c>
      <c r="K884" t="s">
        <v>24</v>
      </c>
      <c r="L884" t="s">
        <v>25</v>
      </c>
      <c r="M884" s="8">
        <v>1.0693333330000001</v>
      </c>
      <c r="N884" t="s">
        <v>26</v>
      </c>
      <c r="O884" s="8">
        <v>1.0693333330000001</v>
      </c>
      <c r="P884" s="8">
        <f>EXP(-1.363+3.366*LOG(O884,10))</f>
        <v>0.28223780327142356</v>
      </c>
      <c r="Q884" s="8">
        <f>(27433.05*100)/7611378</f>
        <v>0.36042159514348127</v>
      </c>
    </row>
    <row r="885" spans="1:17" x14ac:dyDescent="0.2">
      <c r="A885">
        <v>2011</v>
      </c>
      <c r="B885" t="s">
        <v>1060</v>
      </c>
      <c r="C885" t="s">
        <v>89</v>
      </c>
      <c r="D885" t="s">
        <v>190</v>
      </c>
      <c r="E885">
        <v>7</v>
      </c>
      <c r="F885" t="s">
        <v>19</v>
      </c>
      <c r="G885" t="s">
        <v>352</v>
      </c>
      <c r="H885" t="s">
        <v>975</v>
      </c>
      <c r="I885" t="s">
        <v>22</v>
      </c>
      <c r="J885" t="s">
        <v>66</v>
      </c>
      <c r="K885" t="s">
        <v>24</v>
      </c>
      <c r="L885" t="s">
        <v>25</v>
      </c>
      <c r="M885" s="8">
        <v>1.0693333330000001</v>
      </c>
      <c r="N885" t="s">
        <v>26</v>
      </c>
      <c r="O885" s="8">
        <v>1.0693333330000001</v>
      </c>
      <c r="P885" s="8">
        <f>EXP(-1.363+3.366*LOG(O885,10))</f>
        <v>0.28223780327142356</v>
      </c>
      <c r="Q885" s="8">
        <f>(61997.93*100)/7298102</f>
        <v>0.84950758430068529</v>
      </c>
    </row>
    <row r="886" spans="1:17" x14ac:dyDescent="0.2">
      <c r="A886">
        <v>2011</v>
      </c>
      <c r="B886" t="s">
        <v>1061</v>
      </c>
      <c r="C886" t="s">
        <v>120</v>
      </c>
      <c r="D886" t="s">
        <v>58</v>
      </c>
      <c r="E886">
        <v>6</v>
      </c>
      <c r="F886" t="s">
        <v>19</v>
      </c>
      <c r="G886" t="s">
        <v>352</v>
      </c>
      <c r="H886" t="s">
        <v>975</v>
      </c>
      <c r="I886" t="s">
        <v>22</v>
      </c>
      <c r="J886" t="s">
        <v>23</v>
      </c>
      <c r="K886" t="s">
        <v>24</v>
      </c>
      <c r="L886" t="s">
        <v>25</v>
      </c>
      <c r="M886" s="8">
        <v>1.0693333330000001</v>
      </c>
      <c r="N886" t="s">
        <v>26</v>
      </c>
      <c r="O886" s="8">
        <v>1.0693333330000001</v>
      </c>
      <c r="P886" s="8">
        <f>EXP(-1.363+3.366*LOG(O886,10))</f>
        <v>0.28223780327142356</v>
      </c>
      <c r="Q886" s="8">
        <f>(2256192*100)/6055896</f>
        <v>37.256121967748456</v>
      </c>
    </row>
    <row r="887" spans="1:17" x14ac:dyDescent="0.2">
      <c r="A887">
        <v>2011</v>
      </c>
      <c r="B887" t="s">
        <v>1063</v>
      </c>
      <c r="C887" t="s">
        <v>30</v>
      </c>
      <c r="D887" t="s">
        <v>63</v>
      </c>
      <c r="E887">
        <v>6</v>
      </c>
      <c r="F887" t="s">
        <v>19</v>
      </c>
      <c r="G887" t="s">
        <v>352</v>
      </c>
      <c r="H887" t="s">
        <v>975</v>
      </c>
      <c r="I887" t="s">
        <v>22</v>
      </c>
      <c r="J887" t="s">
        <v>31</v>
      </c>
      <c r="K887" t="s">
        <v>24</v>
      </c>
      <c r="L887" t="s">
        <v>25</v>
      </c>
      <c r="M887" s="8">
        <v>1.0693333330000001</v>
      </c>
      <c r="N887" t="s">
        <v>26</v>
      </c>
      <c r="O887" s="8">
        <v>1.0693333330000001</v>
      </c>
      <c r="P887" s="8">
        <f>EXP(-1.363+3.366*LOG(O887,10))</f>
        <v>0.28223780327142356</v>
      </c>
      <c r="Q887" s="8">
        <f>(34897.31*100)/4728180</f>
        <v>0.73807067412831151</v>
      </c>
    </row>
    <row r="888" spans="1:17" x14ac:dyDescent="0.2">
      <c r="A888">
        <v>2011</v>
      </c>
      <c r="B888" t="s">
        <v>1064</v>
      </c>
      <c r="C888" t="s">
        <v>30</v>
      </c>
      <c r="D888" t="s">
        <v>63</v>
      </c>
      <c r="E888">
        <v>6</v>
      </c>
      <c r="F888" t="s">
        <v>19</v>
      </c>
      <c r="G888" t="s">
        <v>352</v>
      </c>
      <c r="H888" t="s">
        <v>975</v>
      </c>
      <c r="I888" t="s">
        <v>22</v>
      </c>
      <c r="J888" t="s">
        <v>31</v>
      </c>
      <c r="K888" t="s">
        <v>24</v>
      </c>
      <c r="L888" t="s">
        <v>25</v>
      </c>
      <c r="M888" s="8">
        <v>1.0693333330000001</v>
      </c>
      <c r="N888" t="s">
        <v>26</v>
      </c>
      <c r="O888" s="8">
        <v>1.0693333330000001</v>
      </c>
      <c r="P888" s="8">
        <f>EXP(-1.363+3.366*LOG(O888,10))</f>
        <v>0.28223780327142356</v>
      </c>
      <c r="Q888" s="8">
        <f>(34897.31*100)/4728180</f>
        <v>0.73807067412831151</v>
      </c>
    </row>
    <row r="889" spans="1:17" x14ac:dyDescent="0.2">
      <c r="A889">
        <v>2011</v>
      </c>
      <c r="B889" t="s">
        <v>1065</v>
      </c>
      <c r="C889" t="s">
        <v>17</v>
      </c>
      <c r="D889" t="s">
        <v>63</v>
      </c>
      <c r="E889">
        <v>6</v>
      </c>
      <c r="F889" t="s">
        <v>19</v>
      </c>
      <c r="G889" t="s">
        <v>352</v>
      </c>
      <c r="H889" t="s">
        <v>975</v>
      </c>
      <c r="I889" t="s">
        <v>22</v>
      </c>
      <c r="J889" t="s">
        <v>23</v>
      </c>
      <c r="K889" t="s">
        <v>24</v>
      </c>
      <c r="L889" t="s">
        <v>25</v>
      </c>
      <c r="M889" s="8">
        <v>1.0693333330000001</v>
      </c>
      <c r="N889" t="s">
        <v>26</v>
      </c>
      <c r="O889" s="8">
        <v>1.0693333330000001</v>
      </c>
      <c r="P889" s="8">
        <f>EXP(-1.363+3.366*LOG(O889,10))</f>
        <v>0.28223780327142356</v>
      </c>
      <c r="Q889" s="8">
        <f>(605161.6*100)/5834449</f>
        <v>10.372215096918321</v>
      </c>
    </row>
    <row r="890" spans="1:17" x14ac:dyDescent="0.2">
      <c r="A890">
        <v>2011</v>
      </c>
      <c r="B890" t="s">
        <v>1069</v>
      </c>
      <c r="C890" t="s">
        <v>17</v>
      </c>
      <c r="D890" t="s">
        <v>95</v>
      </c>
      <c r="E890">
        <v>7</v>
      </c>
      <c r="F890" t="s">
        <v>19</v>
      </c>
      <c r="G890" t="s">
        <v>352</v>
      </c>
      <c r="H890" t="s">
        <v>975</v>
      </c>
      <c r="I890" t="s">
        <v>22</v>
      </c>
      <c r="J890" t="s">
        <v>23</v>
      </c>
      <c r="K890" t="s">
        <v>24</v>
      </c>
      <c r="L890" t="s">
        <v>25</v>
      </c>
      <c r="M890" s="8">
        <v>1.0693333330000001</v>
      </c>
      <c r="N890" t="s">
        <v>26</v>
      </c>
      <c r="O890" s="8">
        <v>1.0693333330000001</v>
      </c>
      <c r="P890" s="8">
        <f>EXP(-1.363+3.366*LOG(O890,10))</f>
        <v>0.28223780327142356</v>
      </c>
      <c r="Q890" s="8">
        <f>(605161.6*100)/5834449</f>
        <v>10.372215096918321</v>
      </c>
    </row>
    <row r="891" spans="1:17" x14ac:dyDescent="0.2">
      <c r="A891">
        <v>2011</v>
      </c>
      <c r="B891" t="s">
        <v>1070</v>
      </c>
      <c r="C891" t="s">
        <v>17</v>
      </c>
      <c r="D891" t="s">
        <v>95</v>
      </c>
      <c r="E891">
        <v>7</v>
      </c>
      <c r="F891" t="s">
        <v>19</v>
      </c>
      <c r="G891" t="s">
        <v>352</v>
      </c>
      <c r="H891" t="s">
        <v>975</v>
      </c>
      <c r="I891" t="s">
        <v>22</v>
      </c>
      <c r="J891" t="s">
        <v>23</v>
      </c>
      <c r="K891" t="s">
        <v>24</v>
      </c>
      <c r="L891" t="s">
        <v>25</v>
      </c>
      <c r="M891" s="8">
        <v>1.0693333330000001</v>
      </c>
      <c r="N891" t="s">
        <v>26</v>
      </c>
      <c r="O891" s="8">
        <v>1.0693333330000001</v>
      </c>
      <c r="P891" s="8">
        <f>EXP(-1.363+3.366*LOG(O891,10))</f>
        <v>0.28223780327142356</v>
      </c>
      <c r="Q891" s="8">
        <f>(605161.6*100)/5834449</f>
        <v>10.372215096918321</v>
      </c>
    </row>
    <row r="892" spans="1:17" x14ac:dyDescent="0.2">
      <c r="A892">
        <v>2011</v>
      </c>
      <c r="B892" t="s">
        <v>1072</v>
      </c>
      <c r="C892" t="s">
        <v>65</v>
      </c>
      <c r="D892" t="s">
        <v>58</v>
      </c>
      <c r="E892">
        <v>6</v>
      </c>
      <c r="F892" t="s">
        <v>19</v>
      </c>
      <c r="G892" t="s">
        <v>352</v>
      </c>
      <c r="H892" t="s">
        <v>975</v>
      </c>
      <c r="I892" t="s">
        <v>22</v>
      </c>
      <c r="J892" t="s">
        <v>66</v>
      </c>
      <c r="K892" t="s">
        <v>24</v>
      </c>
      <c r="L892" t="s">
        <v>25</v>
      </c>
      <c r="M892" s="8">
        <v>1.0693333330000001</v>
      </c>
      <c r="N892" t="s">
        <v>26</v>
      </c>
      <c r="O892" s="8">
        <v>1.0693333330000001</v>
      </c>
      <c r="P892" s="8">
        <f>EXP(-1.363+3.366*LOG(O892,10))</f>
        <v>0.28223780327142356</v>
      </c>
      <c r="Q892" s="8">
        <f>(1788886*100)/6788946</f>
        <v>26.349981278389901</v>
      </c>
    </row>
    <row r="893" spans="1:17" x14ac:dyDescent="0.2">
      <c r="A893">
        <v>2011</v>
      </c>
      <c r="B893" t="s">
        <v>1074</v>
      </c>
      <c r="C893" t="s">
        <v>94</v>
      </c>
      <c r="D893" t="s">
        <v>95</v>
      </c>
      <c r="E893">
        <v>7</v>
      </c>
      <c r="F893" t="s">
        <v>19</v>
      </c>
      <c r="G893" t="s">
        <v>352</v>
      </c>
      <c r="H893" t="s">
        <v>975</v>
      </c>
      <c r="I893" t="s">
        <v>22</v>
      </c>
      <c r="J893" t="s">
        <v>66</v>
      </c>
      <c r="K893" t="s">
        <v>24</v>
      </c>
      <c r="L893" t="s">
        <v>25</v>
      </c>
      <c r="M893" s="8">
        <v>1.0693333330000001</v>
      </c>
      <c r="N893" t="s">
        <v>26</v>
      </c>
      <c r="O893" s="8">
        <v>1.0693333330000001</v>
      </c>
      <c r="P893" s="8">
        <f>EXP(-1.363+3.366*LOG(O893,10))</f>
        <v>0.28223780327142356</v>
      </c>
      <c r="Q893" s="8">
        <f>(46623.23*100)/15165196</f>
        <v>0.30743572321782059</v>
      </c>
    </row>
    <row r="894" spans="1:17" x14ac:dyDescent="0.2">
      <c r="A894">
        <v>2011</v>
      </c>
      <c r="B894" t="s">
        <v>1075</v>
      </c>
      <c r="C894" t="s">
        <v>17</v>
      </c>
      <c r="D894" t="s">
        <v>95</v>
      </c>
      <c r="E894">
        <v>7</v>
      </c>
      <c r="F894" t="s">
        <v>19</v>
      </c>
      <c r="G894" t="s">
        <v>352</v>
      </c>
      <c r="H894" t="s">
        <v>975</v>
      </c>
      <c r="I894" t="s">
        <v>22</v>
      </c>
      <c r="J894" t="s">
        <v>23</v>
      </c>
      <c r="K894" t="s">
        <v>24</v>
      </c>
      <c r="L894" t="s">
        <v>25</v>
      </c>
      <c r="M894" s="8">
        <v>1.0693333330000001</v>
      </c>
      <c r="N894" t="s">
        <v>26</v>
      </c>
      <c r="O894" s="8">
        <v>1.0693333330000001</v>
      </c>
      <c r="P894" s="8">
        <f>EXP(-1.363+3.366*LOG(O894,10))</f>
        <v>0.28223780327142356</v>
      </c>
      <c r="Q894" s="8">
        <f>(605161.6*100)/5834449</f>
        <v>10.372215096918321</v>
      </c>
    </row>
    <row r="895" spans="1:17" x14ac:dyDescent="0.2">
      <c r="A895">
        <v>2011</v>
      </c>
      <c r="B895" t="s">
        <v>1076</v>
      </c>
      <c r="C895" t="s">
        <v>65</v>
      </c>
      <c r="D895" t="s">
        <v>100</v>
      </c>
      <c r="E895">
        <v>7</v>
      </c>
      <c r="F895" t="s">
        <v>19</v>
      </c>
      <c r="G895" t="s">
        <v>352</v>
      </c>
      <c r="H895" t="s">
        <v>975</v>
      </c>
      <c r="I895" t="s">
        <v>22</v>
      </c>
      <c r="J895" t="s">
        <v>66</v>
      </c>
      <c r="K895" t="s">
        <v>24</v>
      </c>
      <c r="L895" t="s">
        <v>25</v>
      </c>
      <c r="M895" s="8">
        <v>1.0693333330000001</v>
      </c>
      <c r="N895" t="s">
        <v>26</v>
      </c>
      <c r="O895" s="8">
        <v>1.0693333330000001</v>
      </c>
      <c r="P895" s="8">
        <f>EXP(-1.363+3.366*LOG(O895,10))</f>
        <v>0.28223780327142356</v>
      </c>
      <c r="Q895" s="8">
        <f>(1788886*100)/6788946</f>
        <v>26.349981278389901</v>
      </c>
    </row>
    <row r="896" spans="1:17" x14ac:dyDescent="0.2">
      <c r="A896">
        <v>2011</v>
      </c>
      <c r="B896" t="s">
        <v>1083</v>
      </c>
      <c r="C896" t="s">
        <v>65</v>
      </c>
      <c r="D896" t="s">
        <v>71</v>
      </c>
      <c r="E896">
        <v>7</v>
      </c>
      <c r="F896" t="s">
        <v>19</v>
      </c>
      <c r="G896" t="s">
        <v>352</v>
      </c>
      <c r="H896" t="s">
        <v>975</v>
      </c>
      <c r="I896" t="s">
        <v>22</v>
      </c>
      <c r="J896" t="s">
        <v>66</v>
      </c>
      <c r="K896" t="s">
        <v>24</v>
      </c>
      <c r="L896" t="s">
        <v>25</v>
      </c>
      <c r="M896" s="8">
        <v>1.0693333330000001</v>
      </c>
      <c r="N896" t="s">
        <v>26</v>
      </c>
      <c r="O896" s="8">
        <v>1.0693333330000001</v>
      </c>
      <c r="P896" s="8">
        <f>EXP(-1.363+3.366*LOG(O896,10))</f>
        <v>0.28223780327142356</v>
      </c>
      <c r="Q896" s="8">
        <f>(1788886*100)/6788946</f>
        <v>26.349981278389901</v>
      </c>
    </row>
    <row r="897" spans="1:17" x14ac:dyDescent="0.2">
      <c r="A897">
        <v>2011</v>
      </c>
      <c r="B897" t="s">
        <v>1084</v>
      </c>
      <c r="C897" t="s">
        <v>65</v>
      </c>
      <c r="D897" t="s">
        <v>71</v>
      </c>
      <c r="E897">
        <v>7</v>
      </c>
      <c r="F897" t="s">
        <v>19</v>
      </c>
      <c r="G897" t="s">
        <v>352</v>
      </c>
      <c r="H897" t="s">
        <v>975</v>
      </c>
      <c r="I897" t="s">
        <v>22</v>
      </c>
      <c r="J897" t="s">
        <v>66</v>
      </c>
      <c r="K897" t="s">
        <v>24</v>
      </c>
      <c r="L897" t="s">
        <v>25</v>
      </c>
      <c r="M897" s="8">
        <v>1.0693333330000001</v>
      </c>
      <c r="N897" t="s">
        <v>26</v>
      </c>
      <c r="O897" s="8">
        <v>1.0693333330000001</v>
      </c>
      <c r="P897" s="8">
        <f>EXP(-1.363+3.366*LOG(O897,10))</f>
        <v>0.28223780327142356</v>
      </c>
      <c r="Q897" s="8">
        <f>(1788886*100)/6788946</f>
        <v>26.349981278389901</v>
      </c>
    </row>
    <row r="898" spans="1:17" x14ac:dyDescent="0.2">
      <c r="A898">
        <v>2011</v>
      </c>
      <c r="B898" t="s">
        <v>1085</v>
      </c>
      <c r="C898" t="s">
        <v>65</v>
      </c>
      <c r="D898" t="s">
        <v>71</v>
      </c>
      <c r="E898">
        <v>7</v>
      </c>
      <c r="F898" t="s">
        <v>19</v>
      </c>
      <c r="G898" t="s">
        <v>352</v>
      </c>
      <c r="H898" t="s">
        <v>975</v>
      </c>
      <c r="I898" t="s">
        <v>22</v>
      </c>
      <c r="J898" t="s">
        <v>66</v>
      </c>
      <c r="K898" t="s">
        <v>24</v>
      </c>
      <c r="L898" t="s">
        <v>25</v>
      </c>
      <c r="M898" s="8">
        <v>1.0693333330000001</v>
      </c>
      <c r="N898" t="s">
        <v>26</v>
      </c>
      <c r="O898" s="8">
        <v>1.0693333330000001</v>
      </c>
      <c r="P898" s="8">
        <f>EXP(-1.363+3.366*LOG(O898,10))</f>
        <v>0.28223780327142356</v>
      </c>
      <c r="Q898" s="8">
        <f>(1788886*100)/6788946</f>
        <v>26.349981278389901</v>
      </c>
    </row>
    <row r="899" spans="1:17" x14ac:dyDescent="0.2">
      <c r="A899">
        <v>2011</v>
      </c>
      <c r="B899" t="s">
        <v>1086</v>
      </c>
      <c r="C899" t="s">
        <v>65</v>
      </c>
      <c r="D899" t="s">
        <v>71</v>
      </c>
      <c r="E899">
        <v>7</v>
      </c>
      <c r="F899" t="s">
        <v>19</v>
      </c>
      <c r="G899" t="s">
        <v>352</v>
      </c>
      <c r="H899" t="s">
        <v>975</v>
      </c>
      <c r="I899" t="s">
        <v>22</v>
      </c>
      <c r="J899" t="s">
        <v>66</v>
      </c>
      <c r="K899" t="s">
        <v>24</v>
      </c>
      <c r="L899" t="s">
        <v>25</v>
      </c>
      <c r="M899" s="8">
        <v>1.0693333330000001</v>
      </c>
      <c r="N899" t="s">
        <v>26</v>
      </c>
      <c r="O899" s="8">
        <v>1.0693333330000001</v>
      </c>
      <c r="P899" s="8">
        <f>EXP(-1.363+3.366*LOG(O899,10))</f>
        <v>0.28223780327142356</v>
      </c>
      <c r="Q899" s="8">
        <f>(1788886*100)/6788946</f>
        <v>26.349981278389901</v>
      </c>
    </row>
    <row r="900" spans="1:17" x14ac:dyDescent="0.2">
      <c r="A900">
        <v>2011</v>
      </c>
      <c r="B900" t="s">
        <v>1087</v>
      </c>
      <c r="C900" t="s">
        <v>65</v>
      </c>
      <c r="D900" t="s">
        <v>71</v>
      </c>
      <c r="E900">
        <v>7</v>
      </c>
      <c r="F900" t="s">
        <v>19</v>
      </c>
      <c r="G900" t="s">
        <v>352</v>
      </c>
      <c r="H900" t="s">
        <v>975</v>
      </c>
      <c r="I900" t="s">
        <v>22</v>
      </c>
      <c r="J900" t="s">
        <v>66</v>
      </c>
      <c r="K900" t="s">
        <v>24</v>
      </c>
      <c r="L900" t="s">
        <v>25</v>
      </c>
      <c r="M900" s="8">
        <v>1.0693333330000001</v>
      </c>
      <c r="N900" t="s">
        <v>26</v>
      </c>
      <c r="O900" s="8">
        <v>1.0693333330000001</v>
      </c>
      <c r="P900" s="8">
        <f>EXP(-1.363+3.366*LOG(O900,10))</f>
        <v>0.28223780327142356</v>
      </c>
      <c r="Q900" s="8">
        <f>(1788886*100)/6788946</f>
        <v>26.349981278389901</v>
      </c>
    </row>
    <row r="901" spans="1:17" x14ac:dyDescent="0.2">
      <c r="A901">
        <v>2011</v>
      </c>
      <c r="B901" t="s">
        <v>1088</v>
      </c>
      <c r="C901" t="s">
        <v>89</v>
      </c>
      <c r="D901" t="s">
        <v>40</v>
      </c>
      <c r="E901">
        <v>6</v>
      </c>
      <c r="F901" t="s">
        <v>19</v>
      </c>
      <c r="G901" t="s">
        <v>352</v>
      </c>
      <c r="H901" t="s">
        <v>975</v>
      </c>
      <c r="I901" t="s">
        <v>22</v>
      </c>
      <c r="J901" t="s">
        <v>66</v>
      </c>
      <c r="K901" t="s">
        <v>24</v>
      </c>
      <c r="L901" t="s">
        <v>25</v>
      </c>
      <c r="M901" s="8">
        <v>1.0693333330000001</v>
      </c>
      <c r="N901" t="s">
        <v>26</v>
      </c>
      <c r="O901" s="8">
        <v>1.0693333330000001</v>
      </c>
      <c r="P901" s="8">
        <f>EXP(-1.363+3.366*LOG(O901,10))</f>
        <v>0.28223780327142356</v>
      </c>
      <c r="Q901" s="8">
        <f>(61997.93*100)/7298102</f>
        <v>0.84950758430068529</v>
      </c>
    </row>
    <row r="902" spans="1:17" x14ac:dyDescent="0.2">
      <c r="A902">
        <v>2011</v>
      </c>
      <c r="B902" t="s">
        <v>1089</v>
      </c>
      <c r="C902" t="s">
        <v>89</v>
      </c>
      <c r="D902" t="s">
        <v>40</v>
      </c>
      <c r="E902">
        <v>6</v>
      </c>
      <c r="F902" t="s">
        <v>19</v>
      </c>
      <c r="G902" t="s">
        <v>352</v>
      </c>
      <c r="H902" t="s">
        <v>975</v>
      </c>
      <c r="I902" t="s">
        <v>22</v>
      </c>
      <c r="J902" t="s">
        <v>66</v>
      </c>
      <c r="K902" t="s">
        <v>24</v>
      </c>
      <c r="L902" t="s">
        <v>25</v>
      </c>
      <c r="M902" s="8">
        <v>1.0693333330000001</v>
      </c>
      <c r="N902" t="s">
        <v>26</v>
      </c>
      <c r="O902" s="8">
        <v>1.0693333330000001</v>
      </c>
      <c r="P902" s="8">
        <f>EXP(-1.363+3.366*LOG(O902,10))</f>
        <v>0.28223780327142356</v>
      </c>
      <c r="Q902" s="8">
        <f>(61997.93*100)/7298102</f>
        <v>0.84950758430068529</v>
      </c>
    </row>
    <row r="903" spans="1:17" x14ac:dyDescent="0.2">
      <c r="A903">
        <v>2011</v>
      </c>
      <c r="B903" t="s">
        <v>1090</v>
      </c>
      <c r="C903" t="s">
        <v>60</v>
      </c>
      <c r="D903" t="s">
        <v>190</v>
      </c>
      <c r="E903">
        <v>7</v>
      </c>
      <c r="F903" t="s">
        <v>19</v>
      </c>
      <c r="G903" t="s">
        <v>352</v>
      </c>
      <c r="H903" t="s">
        <v>975</v>
      </c>
      <c r="I903" t="s">
        <v>22</v>
      </c>
      <c r="J903" t="s">
        <v>31</v>
      </c>
      <c r="K903" t="s">
        <v>24</v>
      </c>
      <c r="L903" t="s">
        <v>25</v>
      </c>
      <c r="M903" s="8">
        <v>1.0693333330000001</v>
      </c>
      <c r="N903" t="s">
        <v>26</v>
      </c>
      <c r="O903" s="8">
        <v>1.0693333330000001</v>
      </c>
      <c r="P903" s="8">
        <f>EXP(-1.363+3.366*LOG(O903,10))</f>
        <v>0.28223780327142356</v>
      </c>
      <c r="Q903" s="8">
        <f>(27433.05*100)/7611378</f>
        <v>0.36042159514348127</v>
      </c>
    </row>
    <row r="904" spans="1:17" x14ac:dyDescent="0.2">
      <c r="A904">
        <v>2011</v>
      </c>
      <c r="B904" t="s">
        <v>1092</v>
      </c>
      <c r="C904" t="s">
        <v>52</v>
      </c>
      <c r="D904" t="s">
        <v>58</v>
      </c>
      <c r="E904">
        <v>6</v>
      </c>
      <c r="F904" t="s">
        <v>19</v>
      </c>
      <c r="G904" t="s">
        <v>352</v>
      </c>
      <c r="H904" t="s">
        <v>975</v>
      </c>
      <c r="I904" t="s">
        <v>22</v>
      </c>
      <c r="J904" t="s">
        <v>42</v>
      </c>
      <c r="K904" t="s">
        <v>24</v>
      </c>
      <c r="L904" t="s">
        <v>25</v>
      </c>
      <c r="M904" s="8">
        <v>1.0693333330000001</v>
      </c>
      <c r="N904" t="s">
        <v>26</v>
      </c>
      <c r="O904" s="8">
        <v>1.0693333330000001</v>
      </c>
      <c r="P904" s="8">
        <f>EXP(-1.363+3.366*LOG(O904,10))</f>
        <v>0.28223780327142356</v>
      </c>
      <c r="Q904" s="8">
        <f>(1626350*100)/1973941</f>
        <v>82.391013713175823</v>
      </c>
    </row>
    <row r="905" spans="1:17" x14ac:dyDescent="0.2">
      <c r="A905">
        <v>2011</v>
      </c>
      <c r="B905" t="s">
        <v>1093</v>
      </c>
      <c r="C905" t="s">
        <v>52</v>
      </c>
      <c r="D905" t="s">
        <v>58</v>
      </c>
      <c r="E905">
        <v>6</v>
      </c>
      <c r="F905" t="s">
        <v>19</v>
      </c>
      <c r="G905" t="s">
        <v>352</v>
      </c>
      <c r="H905" t="s">
        <v>975</v>
      </c>
      <c r="I905" t="s">
        <v>22</v>
      </c>
      <c r="J905" t="s">
        <v>42</v>
      </c>
      <c r="K905" t="s">
        <v>24</v>
      </c>
      <c r="L905" t="s">
        <v>25</v>
      </c>
      <c r="M905" s="8">
        <v>1.0693333330000001</v>
      </c>
      <c r="N905" t="s">
        <v>26</v>
      </c>
      <c r="O905" s="8">
        <v>1.0693333330000001</v>
      </c>
      <c r="P905" s="8">
        <f>EXP(-1.363+3.366*LOG(O905,10))</f>
        <v>0.28223780327142356</v>
      </c>
      <c r="Q905" s="8">
        <f>(1626350*100)/1973941</f>
        <v>82.391013713175823</v>
      </c>
    </row>
    <row r="906" spans="1:17" x14ac:dyDescent="0.2">
      <c r="A906">
        <v>2011</v>
      </c>
      <c r="B906" t="s">
        <v>1094</v>
      </c>
      <c r="C906" t="s">
        <v>52</v>
      </c>
      <c r="D906" t="s">
        <v>58</v>
      </c>
      <c r="E906">
        <v>6</v>
      </c>
      <c r="F906" t="s">
        <v>19</v>
      </c>
      <c r="G906" t="s">
        <v>352</v>
      </c>
      <c r="H906" t="s">
        <v>975</v>
      </c>
      <c r="I906" t="s">
        <v>22</v>
      </c>
      <c r="J906" t="s">
        <v>42</v>
      </c>
      <c r="K906" t="s">
        <v>24</v>
      </c>
      <c r="L906" t="s">
        <v>25</v>
      </c>
      <c r="M906" s="8">
        <v>1.0693333330000001</v>
      </c>
      <c r="N906" t="s">
        <v>26</v>
      </c>
      <c r="O906" s="8">
        <v>1.0693333330000001</v>
      </c>
      <c r="P906" s="8">
        <f>EXP(-1.363+3.366*LOG(O906,10))</f>
        <v>0.28223780327142356</v>
      </c>
      <c r="Q906" s="8">
        <f>(1626350*100)/1973941</f>
        <v>82.391013713175823</v>
      </c>
    </row>
    <row r="907" spans="1:17" x14ac:dyDescent="0.2">
      <c r="A907">
        <v>2011</v>
      </c>
      <c r="B907" t="s">
        <v>1096</v>
      </c>
      <c r="C907" t="s">
        <v>52</v>
      </c>
      <c r="D907" t="s">
        <v>58</v>
      </c>
      <c r="E907">
        <v>6</v>
      </c>
      <c r="F907" t="s">
        <v>19</v>
      </c>
      <c r="G907" t="s">
        <v>352</v>
      </c>
      <c r="H907" t="s">
        <v>975</v>
      </c>
      <c r="I907" t="s">
        <v>22</v>
      </c>
      <c r="J907" t="s">
        <v>42</v>
      </c>
      <c r="K907" t="s">
        <v>24</v>
      </c>
      <c r="L907" t="s">
        <v>25</v>
      </c>
      <c r="M907" s="8">
        <v>1.0693333330000001</v>
      </c>
      <c r="N907" t="s">
        <v>26</v>
      </c>
      <c r="O907" s="8">
        <v>1.0693333330000001</v>
      </c>
      <c r="P907" s="8">
        <f>EXP(-1.363+3.366*LOG(O907,10))</f>
        <v>0.28223780327142356</v>
      </c>
      <c r="Q907" s="8">
        <f>(1626350*100)/1973941</f>
        <v>82.391013713175823</v>
      </c>
    </row>
    <row r="908" spans="1:17" x14ac:dyDescent="0.2">
      <c r="A908">
        <v>2011</v>
      </c>
      <c r="B908" t="s">
        <v>1102</v>
      </c>
      <c r="C908" t="s">
        <v>52</v>
      </c>
      <c r="D908" t="s">
        <v>58</v>
      </c>
      <c r="E908">
        <v>6</v>
      </c>
      <c r="F908" t="s">
        <v>19</v>
      </c>
      <c r="G908" t="s">
        <v>352</v>
      </c>
      <c r="H908" t="s">
        <v>975</v>
      </c>
      <c r="I908" t="s">
        <v>22</v>
      </c>
      <c r="J908" t="s">
        <v>42</v>
      </c>
      <c r="K908" t="s">
        <v>24</v>
      </c>
      <c r="L908" t="s">
        <v>25</v>
      </c>
      <c r="M908" s="8">
        <v>1.0693333330000001</v>
      </c>
      <c r="N908" t="s">
        <v>26</v>
      </c>
      <c r="O908" s="8">
        <v>1.0693333330000001</v>
      </c>
      <c r="P908" s="8">
        <f>EXP(-1.363+3.366*LOG(O908,10))</f>
        <v>0.28223780327142356</v>
      </c>
      <c r="Q908" s="8">
        <f>(1626350*100)/1973941</f>
        <v>82.391013713175823</v>
      </c>
    </row>
    <row r="909" spans="1:17" x14ac:dyDescent="0.2">
      <c r="A909">
        <v>2011</v>
      </c>
      <c r="B909" t="s">
        <v>1103</v>
      </c>
      <c r="C909" t="s">
        <v>52</v>
      </c>
      <c r="D909" t="s">
        <v>58</v>
      </c>
      <c r="E909">
        <v>6</v>
      </c>
      <c r="F909" t="s">
        <v>19</v>
      </c>
      <c r="G909" t="s">
        <v>352</v>
      </c>
      <c r="H909" t="s">
        <v>975</v>
      </c>
      <c r="I909" t="s">
        <v>22</v>
      </c>
      <c r="J909" t="s">
        <v>42</v>
      </c>
      <c r="K909" t="s">
        <v>24</v>
      </c>
      <c r="L909" t="s">
        <v>25</v>
      </c>
      <c r="M909" s="8">
        <v>1.0693333330000001</v>
      </c>
      <c r="N909" t="s">
        <v>26</v>
      </c>
      <c r="O909" s="8">
        <v>1.0693333330000001</v>
      </c>
      <c r="P909" s="8">
        <f>EXP(-1.363+3.366*LOG(O909,10))</f>
        <v>0.28223780327142356</v>
      </c>
      <c r="Q909" s="8">
        <f>(1626350*100)/1973941</f>
        <v>82.391013713175823</v>
      </c>
    </row>
    <row r="910" spans="1:17" x14ac:dyDescent="0.2">
      <c r="A910">
        <v>2011</v>
      </c>
      <c r="B910" t="s">
        <v>1104</v>
      </c>
      <c r="C910" t="s">
        <v>52</v>
      </c>
      <c r="D910" t="s">
        <v>58</v>
      </c>
      <c r="E910">
        <v>6</v>
      </c>
      <c r="F910" t="s">
        <v>19</v>
      </c>
      <c r="G910" t="s">
        <v>352</v>
      </c>
      <c r="H910" t="s">
        <v>975</v>
      </c>
      <c r="I910" t="s">
        <v>22</v>
      </c>
      <c r="J910" t="s">
        <v>42</v>
      </c>
      <c r="K910" t="s">
        <v>24</v>
      </c>
      <c r="L910" t="s">
        <v>25</v>
      </c>
      <c r="M910" s="8">
        <v>1.0693333330000001</v>
      </c>
      <c r="N910" t="s">
        <v>26</v>
      </c>
      <c r="O910" s="8">
        <v>1.0693333330000001</v>
      </c>
      <c r="P910" s="8">
        <f>EXP(-1.363+3.366*LOG(O910,10))</f>
        <v>0.28223780327142356</v>
      </c>
      <c r="Q910" s="8">
        <f>(1626350*100)/1973941</f>
        <v>82.391013713175823</v>
      </c>
    </row>
    <row r="911" spans="1:17" x14ac:dyDescent="0.2">
      <c r="A911">
        <v>2011</v>
      </c>
      <c r="B911" t="s">
        <v>1105</v>
      </c>
      <c r="C911" t="s">
        <v>52</v>
      </c>
      <c r="D911" t="s">
        <v>58</v>
      </c>
      <c r="E911">
        <v>6</v>
      </c>
      <c r="F911" t="s">
        <v>19</v>
      </c>
      <c r="G911" t="s">
        <v>352</v>
      </c>
      <c r="H911" t="s">
        <v>975</v>
      </c>
      <c r="I911" t="s">
        <v>22</v>
      </c>
      <c r="J911" t="s">
        <v>42</v>
      </c>
      <c r="K911" t="s">
        <v>24</v>
      </c>
      <c r="L911" t="s">
        <v>25</v>
      </c>
      <c r="M911" s="8">
        <v>1.0693333330000001</v>
      </c>
      <c r="N911" t="s">
        <v>26</v>
      </c>
      <c r="O911" s="8">
        <v>1.0693333330000001</v>
      </c>
      <c r="P911" s="8">
        <f>EXP(-1.363+3.366*LOG(O911,10))</f>
        <v>0.28223780327142356</v>
      </c>
      <c r="Q911" s="8">
        <f>(1626350*100)/1973941</f>
        <v>82.391013713175823</v>
      </c>
    </row>
    <row r="912" spans="1:17" x14ac:dyDescent="0.2">
      <c r="A912">
        <v>2011</v>
      </c>
      <c r="B912" t="s">
        <v>1106</v>
      </c>
      <c r="C912" t="s">
        <v>52</v>
      </c>
      <c r="D912" t="s">
        <v>58</v>
      </c>
      <c r="E912">
        <v>6</v>
      </c>
      <c r="F912" t="s">
        <v>19</v>
      </c>
      <c r="G912" t="s">
        <v>352</v>
      </c>
      <c r="H912" t="s">
        <v>975</v>
      </c>
      <c r="I912" t="s">
        <v>22</v>
      </c>
      <c r="J912" t="s">
        <v>42</v>
      </c>
      <c r="K912" t="s">
        <v>24</v>
      </c>
      <c r="L912" t="s">
        <v>25</v>
      </c>
      <c r="M912" s="8">
        <v>1.0693333330000001</v>
      </c>
      <c r="N912" t="s">
        <v>26</v>
      </c>
      <c r="O912" s="8">
        <v>1.0693333330000001</v>
      </c>
      <c r="P912" s="8">
        <f>EXP(-1.363+3.366*LOG(O912,10))</f>
        <v>0.28223780327142356</v>
      </c>
      <c r="Q912" s="8">
        <f>(1626350*100)/1973941</f>
        <v>82.391013713175823</v>
      </c>
    </row>
    <row r="913" spans="1:17" x14ac:dyDescent="0.2">
      <c r="A913">
        <v>2011</v>
      </c>
      <c r="B913" t="s">
        <v>1107</v>
      </c>
      <c r="C913" t="s">
        <v>50</v>
      </c>
      <c r="D913" t="s">
        <v>95</v>
      </c>
      <c r="E913">
        <v>7</v>
      </c>
      <c r="F913" t="s">
        <v>19</v>
      </c>
      <c r="G913" t="s">
        <v>352</v>
      </c>
      <c r="H913" t="s">
        <v>975</v>
      </c>
      <c r="I913" t="s">
        <v>22</v>
      </c>
      <c r="J913" t="s">
        <v>42</v>
      </c>
      <c r="K913" t="s">
        <v>24</v>
      </c>
      <c r="L913" t="s">
        <v>25</v>
      </c>
      <c r="M913" s="8">
        <v>1.0693333330000001</v>
      </c>
      <c r="N913" t="s">
        <v>26</v>
      </c>
      <c r="O913" s="8">
        <v>1.0693333330000001</v>
      </c>
      <c r="P913" s="8">
        <f>EXP(-1.363+3.366*LOG(O913,10))</f>
        <v>0.28223780327142356</v>
      </c>
      <c r="Q913" s="8">
        <f>(4488342*100)/4914798</f>
        <v>91.323020803703429</v>
      </c>
    </row>
    <row r="914" spans="1:17" x14ac:dyDescent="0.2">
      <c r="A914">
        <v>2011</v>
      </c>
      <c r="B914" t="s">
        <v>1108</v>
      </c>
      <c r="C914" t="s">
        <v>50</v>
      </c>
      <c r="D914" t="s">
        <v>95</v>
      </c>
      <c r="E914">
        <v>7</v>
      </c>
      <c r="F914" t="s">
        <v>19</v>
      </c>
      <c r="G914" t="s">
        <v>352</v>
      </c>
      <c r="H914" t="s">
        <v>975</v>
      </c>
      <c r="I914" t="s">
        <v>22</v>
      </c>
      <c r="J914" t="s">
        <v>42</v>
      </c>
      <c r="K914" t="s">
        <v>24</v>
      </c>
      <c r="L914" t="s">
        <v>25</v>
      </c>
      <c r="M914" s="8">
        <v>1.0693333330000001</v>
      </c>
      <c r="N914" t="s">
        <v>26</v>
      </c>
      <c r="O914" s="8">
        <v>1.0693333330000001</v>
      </c>
      <c r="P914" s="8">
        <f>EXP(-1.363+3.366*LOG(O914,10))</f>
        <v>0.28223780327142356</v>
      </c>
      <c r="Q914" s="8">
        <f>(4488342*100)/4914798</f>
        <v>91.323020803703429</v>
      </c>
    </row>
    <row r="915" spans="1:17" x14ac:dyDescent="0.2">
      <c r="A915">
        <v>2011</v>
      </c>
      <c r="B915" t="s">
        <v>1109</v>
      </c>
      <c r="C915" t="s">
        <v>50</v>
      </c>
      <c r="D915" t="s">
        <v>95</v>
      </c>
      <c r="E915">
        <v>7</v>
      </c>
      <c r="F915" t="s">
        <v>19</v>
      </c>
      <c r="G915" t="s">
        <v>352</v>
      </c>
      <c r="H915" t="s">
        <v>975</v>
      </c>
      <c r="I915" t="s">
        <v>22</v>
      </c>
      <c r="J915" t="s">
        <v>42</v>
      </c>
      <c r="K915" t="s">
        <v>24</v>
      </c>
      <c r="L915" t="s">
        <v>25</v>
      </c>
      <c r="M915" s="8">
        <v>1.0693333330000001</v>
      </c>
      <c r="N915" t="s">
        <v>26</v>
      </c>
      <c r="O915" s="8">
        <v>1.0693333330000001</v>
      </c>
      <c r="P915" s="8">
        <f>EXP(-1.363+3.366*LOG(O915,10))</f>
        <v>0.28223780327142356</v>
      </c>
      <c r="Q915" s="8">
        <f>(4488342*100)/4914798</f>
        <v>91.323020803703429</v>
      </c>
    </row>
    <row r="916" spans="1:17" x14ac:dyDescent="0.2">
      <c r="A916">
        <v>2011</v>
      </c>
      <c r="B916" t="s">
        <v>1110</v>
      </c>
      <c r="C916" t="s">
        <v>50</v>
      </c>
      <c r="D916" t="s">
        <v>95</v>
      </c>
      <c r="E916">
        <v>7</v>
      </c>
      <c r="F916" t="s">
        <v>19</v>
      </c>
      <c r="G916" t="s">
        <v>352</v>
      </c>
      <c r="H916" t="s">
        <v>975</v>
      </c>
      <c r="I916" t="s">
        <v>22</v>
      </c>
      <c r="J916" t="s">
        <v>42</v>
      </c>
      <c r="K916" t="s">
        <v>24</v>
      </c>
      <c r="L916" t="s">
        <v>25</v>
      </c>
      <c r="M916" s="8">
        <v>1.0693333330000001</v>
      </c>
      <c r="N916" t="s">
        <v>26</v>
      </c>
      <c r="O916" s="8">
        <v>1.0693333330000001</v>
      </c>
      <c r="P916" s="8">
        <f>EXP(-1.363+3.366*LOG(O916,10))</f>
        <v>0.28223780327142356</v>
      </c>
      <c r="Q916" s="8">
        <f>(4488342*100)/4914798</f>
        <v>91.323020803703429</v>
      </c>
    </row>
    <row r="917" spans="1:17" x14ac:dyDescent="0.2">
      <c r="A917">
        <v>2011</v>
      </c>
      <c r="B917" t="s">
        <v>1111</v>
      </c>
      <c r="C917" t="s">
        <v>50</v>
      </c>
      <c r="D917" t="s">
        <v>58</v>
      </c>
      <c r="E917">
        <v>6</v>
      </c>
      <c r="F917" t="s">
        <v>19</v>
      </c>
      <c r="G917" t="s">
        <v>352</v>
      </c>
      <c r="H917" t="s">
        <v>975</v>
      </c>
      <c r="I917" t="s">
        <v>22</v>
      </c>
      <c r="J917" t="s">
        <v>42</v>
      </c>
      <c r="K917" t="s">
        <v>24</v>
      </c>
      <c r="L917" t="s">
        <v>25</v>
      </c>
      <c r="M917" s="8">
        <v>1.0693333330000001</v>
      </c>
      <c r="N917" t="s">
        <v>26</v>
      </c>
      <c r="O917" s="8">
        <v>1.0693333330000001</v>
      </c>
      <c r="P917" s="8">
        <f>EXP(-1.363+3.366*LOG(O917,10))</f>
        <v>0.28223780327142356</v>
      </c>
      <c r="Q917" s="8">
        <f>(4488342*100)/4914798</f>
        <v>91.323020803703429</v>
      </c>
    </row>
    <row r="918" spans="1:17" x14ac:dyDescent="0.2">
      <c r="A918">
        <v>2011</v>
      </c>
      <c r="B918" t="s">
        <v>1112</v>
      </c>
      <c r="C918" t="s">
        <v>50</v>
      </c>
      <c r="D918" t="s">
        <v>58</v>
      </c>
      <c r="E918">
        <v>6</v>
      </c>
      <c r="F918" t="s">
        <v>19</v>
      </c>
      <c r="G918" t="s">
        <v>352</v>
      </c>
      <c r="H918" t="s">
        <v>975</v>
      </c>
      <c r="I918" t="s">
        <v>22</v>
      </c>
      <c r="J918" t="s">
        <v>42</v>
      </c>
      <c r="K918" t="s">
        <v>24</v>
      </c>
      <c r="L918" t="s">
        <v>25</v>
      </c>
      <c r="M918" s="8">
        <v>1.0693333330000001</v>
      </c>
      <c r="N918" t="s">
        <v>26</v>
      </c>
      <c r="O918" s="8">
        <v>1.0693333330000001</v>
      </c>
      <c r="P918" s="8">
        <f>EXP(-1.363+3.366*LOG(O918,10))</f>
        <v>0.28223780327142356</v>
      </c>
      <c r="Q918" s="8">
        <f>(4488342*100)/4914798</f>
        <v>91.323020803703429</v>
      </c>
    </row>
    <row r="919" spans="1:17" x14ac:dyDescent="0.2">
      <c r="A919">
        <v>2011</v>
      </c>
      <c r="B919" t="s">
        <v>1113</v>
      </c>
      <c r="C919" t="s">
        <v>50</v>
      </c>
      <c r="D919" t="s">
        <v>58</v>
      </c>
      <c r="E919">
        <v>6</v>
      </c>
      <c r="F919" t="s">
        <v>19</v>
      </c>
      <c r="G919" t="s">
        <v>352</v>
      </c>
      <c r="H919" t="s">
        <v>975</v>
      </c>
      <c r="I919" t="s">
        <v>22</v>
      </c>
      <c r="J919" t="s">
        <v>42</v>
      </c>
      <c r="K919" t="s">
        <v>24</v>
      </c>
      <c r="L919" t="s">
        <v>25</v>
      </c>
      <c r="M919" s="8">
        <v>1.0693333330000001</v>
      </c>
      <c r="N919" t="s">
        <v>26</v>
      </c>
      <c r="O919" s="8">
        <v>1.0693333330000001</v>
      </c>
      <c r="P919" s="8">
        <f>EXP(-1.363+3.366*LOG(O919,10))</f>
        <v>0.28223780327142356</v>
      </c>
      <c r="Q919" s="8">
        <f>(4488342*100)/4914798</f>
        <v>91.323020803703429</v>
      </c>
    </row>
    <row r="920" spans="1:17" x14ac:dyDescent="0.2">
      <c r="A920">
        <v>2011</v>
      </c>
      <c r="B920" t="s">
        <v>1114</v>
      </c>
      <c r="C920" t="s">
        <v>50</v>
      </c>
      <c r="D920" t="s">
        <v>58</v>
      </c>
      <c r="E920">
        <v>6</v>
      </c>
      <c r="F920" t="s">
        <v>19</v>
      </c>
      <c r="G920" t="s">
        <v>352</v>
      </c>
      <c r="H920" t="s">
        <v>975</v>
      </c>
      <c r="I920" t="s">
        <v>22</v>
      </c>
      <c r="J920" t="s">
        <v>42</v>
      </c>
      <c r="K920" t="s">
        <v>24</v>
      </c>
      <c r="L920" t="s">
        <v>25</v>
      </c>
      <c r="M920" s="8">
        <v>1.0693333330000001</v>
      </c>
      <c r="N920" t="s">
        <v>26</v>
      </c>
      <c r="O920" s="8">
        <v>1.0693333330000001</v>
      </c>
      <c r="P920" s="8">
        <f>EXP(-1.363+3.366*LOG(O920,10))</f>
        <v>0.28223780327142356</v>
      </c>
      <c r="Q920" s="8">
        <f>(4488342*100)/4914798</f>
        <v>91.323020803703429</v>
      </c>
    </row>
    <row r="921" spans="1:17" x14ac:dyDescent="0.2">
      <c r="A921">
        <v>2011</v>
      </c>
      <c r="B921" t="s">
        <v>1115</v>
      </c>
      <c r="C921" t="s">
        <v>50</v>
      </c>
      <c r="D921" t="s">
        <v>58</v>
      </c>
      <c r="E921">
        <v>6</v>
      </c>
      <c r="F921" t="s">
        <v>19</v>
      </c>
      <c r="G921" t="s">
        <v>352</v>
      </c>
      <c r="H921" t="s">
        <v>975</v>
      </c>
      <c r="I921" t="s">
        <v>22</v>
      </c>
      <c r="J921" t="s">
        <v>42</v>
      </c>
      <c r="K921" t="s">
        <v>24</v>
      </c>
      <c r="L921" t="s">
        <v>25</v>
      </c>
      <c r="M921" s="8">
        <v>1.0693333330000001</v>
      </c>
      <c r="N921" t="s">
        <v>26</v>
      </c>
      <c r="O921" s="8">
        <v>1.0693333330000001</v>
      </c>
      <c r="P921" s="8">
        <f>EXP(-1.363+3.366*LOG(O921,10))</f>
        <v>0.28223780327142356</v>
      </c>
      <c r="Q921" s="8">
        <f>(4488342*100)/4914798</f>
        <v>91.323020803703429</v>
      </c>
    </row>
    <row r="922" spans="1:17" x14ac:dyDescent="0.2">
      <c r="A922">
        <v>2011</v>
      </c>
      <c r="B922" t="s">
        <v>1116</v>
      </c>
      <c r="C922" t="s">
        <v>50</v>
      </c>
      <c r="D922" t="s">
        <v>58</v>
      </c>
      <c r="E922">
        <v>6</v>
      </c>
      <c r="F922" t="s">
        <v>19</v>
      </c>
      <c r="G922" t="s">
        <v>352</v>
      </c>
      <c r="H922" t="s">
        <v>975</v>
      </c>
      <c r="I922" t="s">
        <v>22</v>
      </c>
      <c r="J922" t="s">
        <v>42</v>
      </c>
      <c r="K922" t="s">
        <v>24</v>
      </c>
      <c r="L922" t="s">
        <v>25</v>
      </c>
      <c r="M922" s="8">
        <v>1.0693333330000001</v>
      </c>
      <c r="N922" t="s">
        <v>26</v>
      </c>
      <c r="O922" s="8">
        <v>1.0693333330000001</v>
      </c>
      <c r="P922" s="8">
        <f>EXP(-1.363+3.366*LOG(O922,10))</f>
        <v>0.28223780327142356</v>
      </c>
      <c r="Q922" s="8">
        <f>(4488342*100)/4914798</f>
        <v>91.323020803703429</v>
      </c>
    </row>
    <row r="923" spans="1:17" x14ac:dyDescent="0.2">
      <c r="A923">
        <v>2011</v>
      </c>
      <c r="B923" t="s">
        <v>1117</v>
      </c>
      <c r="C923" t="s">
        <v>50</v>
      </c>
      <c r="D923" t="s">
        <v>58</v>
      </c>
      <c r="E923">
        <v>6</v>
      </c>
      <c r="F923" t="s">
        <v>19</v>
      </c>
      <c r="G923" t="s">
        <v>352</v>
      </c>
      <c r="H923" t="s">
        <v>975</v>
      </c>
      <c r="I923" t="s">
        <v>22</v>
      </c>
      <c r="J923" t="s">
        <v>42</v>
      </c>
      <c r="K923" t="s">
        <v>24</v>
      </c>
      <c r="L923" t="s">
        <v>25</v>
      </c>
      <c r="M923" s="8">
        <v>1.0693333330000001</v>
      </c>
      <c r="N923" t="s">
        <v>26</v>
      </c>
      <c r="O923" s="8">
        <v>1.0693333330000001</v>
      </c>
      <c r="P923" s="8">
        <f>EXP(-1.363+3.366*LOG(O923,10))</f>
        <v>0.28223780327142356</v>
      </c>
      <c r="Q923" s="8">
        <f>(4488342*100)/4914798</f>
        <v>91.323020803703429</v>
      </c>
    </row>
    <row r="924" spans="1:17" x14ac:dyDescent="0.2">
      <c r="A924">
        <v>2011</v>
      </c>
      <c r="B924" t="s">
        <v>1118</v>
      </c>
      <c r="C924" t="s">
        <v>39</v>
      </c>
      <c r="D924" t="s">
        <v>95</v>
      </c>
      <c r="E924">
        <v>7</v>
      </c>
      <c r="F924" t="s">
        <v>19</v>
      </c>
      <c r="G924" t="s">
        <v>352</v>
      </c>
      <c r="H924" t="s">
        <v>975</v>
      </c>
      <c r="I924" t="s">
        <v>22</v>
      </c>
      <c r="J924" t="s">
        <v>42</v>
      </c>
      <c r="K924" t="s">
        <v>24</v>
      </c>
      <c r="L924" t="s">
        <v>25</v>
      </c>
      <c r="M924" s="8">
        <v>1.0693333330000001</v>
      </c>
      <c r="N924" t="s">
        <v>26</v>
      </c>
      <c r="O924" s="8">
        <v>1.0693333330000001</v>
      </c>
      <c r="P924" s="8">
        <f>EXP(-1.363+3.366*LOG(O924,10))</f>
        <v>0.28223780327142356</v>
      </c>
      <c r="Q924" s="8">
        <f>(2375365*100)/2680339</f>
        <v>88.621812390149159</v>
      </c>
    </row>
    <row r="925" spans="1:17" x14ac:dyDescent="0.2">
      <c r="A925">
        <v>2011</v>
      </c>
      <c r="B925" t="s">
        <v>1119</v>
      </c>
      <c r="C925" t="s">
        <v>50</v>
      </c>
      <c r="D925" t="s">
        <v>53</v>
      </c>
      <c r="E925">
        <v>6</v>
      </c>
      <c r="F925" t="s">
        <v>19</v>
      </c>
      <c r="G925" t="s">
        <v>352</v>
      </c>
      <c r="H925" t="s">
        <v>975</v>
      </c>
      <c r="I925" t="s">
        <v>22</v>
      </c>
      <c r="J925" t="s">
        <v>42</v>
      </c>
      <c r="K925" t="s">
        <v>24</v>
      </c>
      <c r="L925" t="s">
        <v>25</v>
      </c>
      <c r="M925" s="8">
        <v>1.0693333330000001</v>
      </c>
      <c r="N925" t="s">
        <v>26</v>
      </c>
      <c r="O925" s="8">
        <v>1.0693333330000001</v>
      </c>
      <c r="P925" s="8">
        <f>EXP(-1.363+3.366*LOG(O925,10))</f>
        <v>0.28223780327142356</v>
      </c>
      <c r="Q925" s="8">
        <f>(4488342*100)/4914798</f>
        <v>91.323020803703429</v>
      </c>
    </row>
    <row r="926" spans="1:17" x14ac:dyDescent="0.2">
      <c r="A926">
        <v>2011</v>
      </c>
      <c r="B926" t="s">
        <v>1120</v>
      </c>
      <c r="C926" t="s">
        <v>50</v>
      </c>
      <c r="D926" t="s">
        <v>53</v>
      </c>
      <c r="E926">
        <v>6</v>
      </c>
      <c r="F926" t="s">
        <v>19</v>
      </c>
      <c r="G926" t="s">
        <v>352</v>
      </c>
      <c r="H926" t="s">
        <v>975</v>
      </c>
      <c r="I926" t="s">
        <v>22</v>
      </c>
      <c r="J926" t="s">
        <v>42</v>
      </c>
      <c r="K926" t="s">
        <v>24</v>
      </c>
      <c r="L926" t="s">
        <v>25</v>
      </c>
      <c r="M926" s="8">
        <v>1.0693333330000001</v>
      </c>
      <c r="N926" t="s">
        <v>26</v>
      </c>
      <c r="O926" s="8">
        <v>1.0693333330000001</v>
      </c>
      <c r="P926" s="8">
        <f>EXP(-1.363+3.366*LOG(O926,10))</f>
        <v>0.28223780327142356</v>
      </c>
      <c r="Q926" s="8">
        <f>(4488342*100)/4914798</f>
        <v>91.323020803703429</v>
      </c>
    </row>
    <row r="927" spans="1:17" x14ac:dyDescent="0.2">
      <c r="A927">
        <v>2011</v>
      </c>
      <c r="B927" t="s">
        <v>1121</v>
      </c>
      <c r="C927" t="s">
        <v>50</v>
      </c>
      <c r="D927" t="s">
        <v>53</v>
      </c>
      <c r="E927">
        <v>6</v>
      </c>
      <c r="F927" t="s">
        <v>19</v>
      </c>
      <c r="G927" t="s">
        <v>352</v>
      </c>
      <c r="H927" t="s">
        <v>975</v>
      </c>
      <c r="I927" t="s">
        <v>22</v>
      </c>
      <c r="J927" t="s">
        <v>42</v>
      </c>
      <c r="K927" t="s">
        <v>24</v>
      </c>
      <c r="L927" t="s">
        <v>25</v>
      </c>
      <c r="M927" s="8">
        <v>1.0693333330000001</v>
      </c>
      <c r="N927" t="s">
        <v>26</v>
      </c>
      <c r="O927" s="8">
        <v>1.0693333330000001</v>
      </c>
      <c r="P927" s="8">
        <f>EXP(-1.363+3.366*LOG(O927,10))</f>
        <v>0.28223780327142356</v>
      </c>
      <c r="Q927" s="8">
        <f>(4488342*100)/4914798</f>
        <v>91.323020803703429</v>
      </c>
    </row>
    <row r="928" spans="1:17" x14ac:dyDescent="0.2">
      <c r="A928">
        <v>2011</v>
      </c>
      <c r="B928" t="s">
        <v>1122</v>
      </c>
      <c r="C928" t="s">
        <v>50</v>
      </c>
      <c r="D928" t="s">
        <v>53</v>
      </c>
      <c r="E928">
        <v>6</v>
      </c>
      <c r="F928" t="s">
        <v>19</v>
      </c>
      <c r="G928" t="s">
        <v>352</v>
      </c>
      <c r="H928" t="s">
        <v>975</v>
      </c>
      <c r="I928" t="s">
        <v>22</v>
      </c>
      <c r="J928" t="s">
        <v>42</v>
      </c>
      <c r="K928" t="s">
        <v>24</v>
      </c>
      <c r="L928" t="s">
        <v>25</v>
      </c>
      <c r="M928" s="8">
        <v>1.0693333330000001</v>
      </c>
      <c r="N928" t="s">
        <v>26</v>
      </c>
      <c r="O928" s="8">
        <v>1.0693333330000001</v>
      </c>
      <c r="P928" s="8">
        <f>EXP(-1.363+3.366*LOG(O928,10))</f>
        <v>0.28223780327142356</v>
      </c>
      <c r="Q928" s="8">
        <f>(4488342*100)/4914798</f>
        <v>91.323020803703429</v>
      </c>
    </row>
    <row r="929" spans="1:17" x14ac:dyDescent="0.2">
      <c r="A929">
        <v>2011</v>
      </c>
      <c r="B929" t="s">
        <v>1123</v>
      </c>
      <c r="C929" t="s">
        <v>50</v>
      </c>
      <c r="D929" t="s">
        <v>53</v>
      </c>
      <c r="E929">
        <v>6</v>
      </c>
      <c r="F929" t="s">
        <v>19</v>
      </c>
      <c r="G929" t="s">
        <v>352</v>
      </c>
      <c r="H929" t="s">
        <v>975</v>
      </c>
      <c r="I929" t="s">
        <v>22</v>
      </c>
      <c r="J929" t="s">
        <v>42</v>
      </c>
      <c r="K929" t="s">
        <v>24</v>
      </c>
      <c r="L929" t="s">
        <v>25</v>
      </c>
      <c r="M929" s="8">
        <v>1.0693333330000001</v>
      </c>
      <c r="N929" t="s">
        <v>26</v>
      </c>
      <c r="O929" s="8">
        <v>1.0693333330000001</v>
      </c>
      <c r="P929" s="8">
        <f>EXP(-1.363+3.366*LOG(O929,10))</f>
        <v>0.28223780327142356</v>
      </c>
      <c r="Q929" s="8">
        <f>(4488342*100)/4914798</f>
        <v>91.323020803703429</v>
      </c>
    </row>
    <row r="930" spans="1:17" x14ac:dyDescent="0.2">
      <c r="A930">
        <v>2011</v>
      </c>
      <c r="B930" t="s">
        <v>1124</v>
      </c>
      <c r="C930" t="s">
        <v>50</v>
      </c>
      <c r="D930" t="s">
        <v>53</v>
      </c>
      <c r="E930">
        <v>6</v>
      </c>
      <c r="F930" t="s">
        <v>19</v>
      </c>
      <c r="G930" t="s">
        <v>352</v>
      </c>
      <c r="H930" t="s">
        <v>975</v>
      </c>
      <c r="I930" t="s">
        <v>22</v>
      </c>
      <c r="J930" t="s">
        <v>42</v>
      </c>
      <c r="K930" t="s">
        <v>24</v>
      </c>
      <c r="L930" t="s">
        <v>25</v>
      </c>
      <c r="M930" s="8">
        <v>1.0693333330000001</v>
      </c>
      <c r="N930" t="s">
        <v>26</v>
      </c>
      <c r="O930" s="8">
        <v>1.0693333330000001</v>
      </c>
      <c r="P930" s="8">
        <f>EXP(-1.363+3.366*LOG(O930,10))</f>
        <v>0.28223780327142356</v>
      </c>
      <c r="Q930" s="8">
        <f>(4488342*100)/4914798</f>
        <v>91.323020803703429</v>
      </c>
    </row>
    <row r="931" spans="1:17" x14ac:dyDescent="0.2">
      <c r="A931">
        <v>2011</v>
      </c>
      <c r="B931" t="s">
        <v>1125</v>
      </c>
      <c r="C931" t="s">
        <v>50</v>
      </c>
      <c r="D931" t="s">
        <v>53</v>
      </c>
      <c r="E931">
        <v>6</v>
      </c>
      <c r="F931" t="s">
        <v>19</v>
      </c>
      <c r="G931" t="s">
        <v>352</v>
      </c>
      <c r="H931" t="s">
        <v>975</v>
      </c>
      <c r="I931" t="s">
        <v>22</v>
      </c>
      <c r="J931" t="s">
        <v>42</v>
      </c>
      <c r="K931" t="s">
        <v>24</v>
      </c>
      <c r="L931" t="s">
        <v>25</v>
      </c>
      <c r="M931" s="8">
        <v>1.0693333330000001</v>
      </c>
      <c r="N931" t="s">
        <v>26</v>
      </c>
      <c r="O931" s="8">
        <v>1.0693333330000001</v>
      </c>
      <c r="P931" s="8">
        <f>EXP(-1.363+3.366*LOG(O931,10))</f>
        <v>0.28223780327142356</v>
      </c>
      <c r="Q931" s="8">
        <f>(4488342*100)/4914798</f>
        <v>91.323020803703429</v>
      </c>
    </row>
    <row r="932" spans="1:17" x14ac:dyDescent="0.2">
      <c r="A932">
        <v>2011</v>
      </c>
      <c r="B932" t="s">
        <v>1126</v>
      </c>
      <c r="C932" t="s">
        <v>50</v>
      </c>
      <c r="D932" t="s">
        <v>53</v>
      </c>
      <c r="E932">
        <v>6</v>
      </c>
      <c r="F932" t="s">
        <v>19</v>
      </c>
      <c r="G932" t="s">
        <v>352</v>
      </c>
      <c r="H932" t="s">
        <v>975</v>
      </c>
      <c r="I932" t="s">
        <v>22</v>
      </c>
      <c r="J932" t="s">
        <v>42</v>
      </c>
      <c r="K932" t="s">
        <v>24</v>
      </c>
      <c r="L932" t="s">
        <v>25</v>
      </c>
      <c r="M932" s="8">
        <v>1.0693333330000001</v>
      </c>
      <c r="N932" t="s">
        <v>26</v>
      </c>
      <c r="O932" s="8">
        <v>1.0693333330000001</v>
      </c>
      <c r="P932" s="8">
        <f>EXP(-1.363+3.366*LOG(O932,10))</f>
        <v>0.28223780327142356</v>
      </c>
      <c r="Q932" s="8">
        <f>(4488342*100)/4914798</f>
        <v>91.323020803703429</v>
      </c>
    </row>
    <row r="933" spans="1:17" x14ac:dyDescent="0.2">
      <c r="A933">
        <v>2011</v>
      </c>
      <c r="B933" t="s">
        <v>1127</v>
      </c>
      <c r="C933" t="s">
        <v>50</v>
      </c>
      <c r="D933" t="s">
        <v>53</v>
      </c>
      <c r="E933">
        <v>6</v>
      </c>
      <c r="F933" t="s">
        <v>19</v>
      </c>
      <c r="G933" t="s">
        <v>352</v>
      </c>
      <c r="H933" t="s">
        <v>975</v>
      </c>
      <c r="I933" t="s">
        <v>22</v>
      </c>
      <c r="J933" t="s">
        <v>42</v>
      </c>
      <c r="K933" t="s">
        <v>24</v>
      </c>
      <c r="L933" t="s">
        <v>25</v>
      </c>
      <c r="M933" s="8">
        <v>1.0693333330000001</v>
      </c>
      <c r="N933" t="s">
        <v>26</v>
      </c>
      <c r="O933" s="8">
        <v>1.0693333330000001</v>
      </c>
      <c r="P933" s="8">
        <f>EXP(-1.363+3.366*LOG(O933,10))</f>
        <v>0.28223780327142356</v>
      </c>
      <c r="Q933" s="8">
        <f>(4488342*100)/4914798</f>
        <v>91.323020803703429</v>
      </c>
    </row>
    <row r="934" spans="1:17" x14ac:dyDescent="0.2">
      <c r="A934">
        <v>2011</v>
      </c>
      <c r="B934" t="s">
        <v>1128</v>
      </c>
      <c r="C934" t="s">
        <v>50</v>
      </c>
      <c r="D934" t="s">
        <v>53</v>
      </c>
      <c r="E934">
        <v>6</v>
      </c>
      <c r="F934" t="s">
        <v>19</v>
      </c>
      <c r="G934" t="s">
        <v>352</v>
      </c>
      <c r="H934" t="s">
        <v>975</v>
      </c>
      <c r="I934" t="s">
        <v>22</v>
      </c>
      <c r="J934" t="s">
        <v>42</v>
      </c>
      <c r="K934" t="s">
        <v>24</v>
      </c>
      <c r="L934" t="s">
        <v>25</v>
      </c>
      <c r="M934" s="8">
        <v>1.0693333330000001</v>
      </c>
      <c r="N934" t="s">
        <v>26</v>
      </c>
      <c r="O934" s="8">
        <v>1.0693333330000001</v>
      </c>
      <c r="P934" s="8">
        <f>EXP(-1.363+3.366*LOG(O934,10))</f>
        <v>0.28223780327142356</v>
      </c>
      <c r="Q934" s="8">
        <f>(4488342*100)/4914798</f>
        <v>91.323020803703429</v>
      </c>
    </row>
    <row r="935" spans="1:17" x14ac:dyDescent="0.2">
      <c r="A935">
        <v>2011</v>
      </c>
      <c r="B935" t="s">
        <v>1129</v>
      </c>
      <c r="C935" t="s">
        <v>50</v>
      </c>
      <c r="D935" t="s">
        <v>53</v>
      </c>
      <c r="E935">
        <v>6</v>
      </c>
      <c r="F935" t="s">
        <v>19</v>
      </c>
      <c r="G935" t="s">
        <v>352</v>
      </c>
      <c r="H935" t="s">
        <v>975</v>
      </c>
      <c r="I935" t="s">
        <v>22</v>
      </c>
      <c r="J935" t="s">
        <v>42</v>
      </c>
      <c r="K935" t="s">
        <v>24</v>
      </c>
      <c r="L935" t="s">
        <v>25</v>
      </c>
      <c r="M935" s="8">
        <v>1.0693333330000001</v>
      </c>
      <c r="N935" t="s">
        <v>26</v>
      </c>
      <c r="O935" s="8">
        <v>1.0693333330000001</v>
      </c>
      <c r="P935" s="8">
        <f>EXP(-1.363+3.366*LOG(O935,10))</f>
        <v>0.28223780327142356</v>
      </c>
      <c r="Q935" s="8">
        <f>(4488342*100)/4914798</f>
        <v>91.323020803703429</v>
      </c>
    </row>
    <row r="936" spans="1:17" x14ac:dyDescent="0.2">
      <c r="A936">
        <v>2011</v>
      </c>
      <c r="B936" t="s">
        <v>1130</v>
      </c>
      <c r="C936" t="s">
        <v>50</v>
      </c>
      <c r="D936" t="s">
        <v>53</v>
      </c>
      <c r="E936">
        <v>6</v>
      </c>
      <c r="F936" t="s">
        <v>19</v>
      </c>
      <c r="G936" t="s">
        <v>352</v>
      </c>
      <c r="H936" t="s">
        <v>975</v>
      </c>
      <c r="I936" t="s">
        <v>22</v>
      </c>
      <c r="J936" t="s">
        <v>42</v>
      </c>
      <c r="K936" t="s">
        <v>24</v>
      </c>
      <c r="L936" t="s">
        <v>25</v>
      </c>
      <c r="M936" s="8">
        <v>1.0693333330000001</v>
      </c>
      <c r="N936" t="s">
        <v>26</v>
      </c>
      <c r="O936" s="8">
        <v>1.0693333330000001</v>
      </c>
      <c r="P936" s="8">
        <f>EXP(-1.363+3.366*LOG(O936,10))</f>
        <v>0.28223780327142356</v>
      </c>
      <c r="Q936" s="8">
        <f>(4488342*100)/4914798</f>
        <v>91.323020803703429</v>
      </c>
    </row>
    <row r="937" spans="1:17" x14ac:dyDescent="0.2">
      <c r="A937">
        <v>2011</v>
      </c>
      <c r="B937" t="s">
        <v>1131</v>
      </c>
      <c r="C937" t="s">
        <v>50</v>
      </c>
      <c r="D937" t="s">
        <v>53</v>
      </c>
      <c r="E937">
        <v>6</v>
      </c>
      <c r="F937" t="s">
        <v>19</v>
      </c>
      <c r="G937" t="s">
        <v>352</v>
      </c>
      <c r="H937" t="s">
        <v>975</v>
      </c>
      <c r="I937" t="s">
        <v>22</v>
      </c>
      <c r="J937" t="s">
        <v>42</v>
      </c>
      <c r="K937" t="s">
        <v>24</v>
      </c>
      <c r="L937" t="s">
        <v>25</v>
      </c>
      <c r="M937" s="8">
        <v>1.0693333330000001</v>
      </c>
      <c r="N937" t="s">
        <v>26</v>
      </c>
      <c r="O937" s="8">
        <v>1.0693333330000001</v>
      </c>
      <c r="P937" s="8">
        <f>EXP(-1.363+3.366*LOG(O937,10))</f>
        <v>0.28223780327142356</v>
      </c>
      <c r="Q937" s="8">
        <f>(4488342*100)/4914798</f>
        <v>91.323020803703429</v>
      </c>
    </row>
    <row r="938" spans="1:17" x14ac:dyDescent="0.2">
      <c r="A938">
        <v>2011</v>
      </c>
      <c r="B938" t="s">
        <v>1132</v>
      </c>
      <c r="C938" t="s">
        <v>50</v>
      </c>
      <c r="D938" t="s">
        <v>53</v>
      </c>
      <c r="E938">
        <v>6</v>
      </c>
      <c r="F938" t="s">
        <v>19</v>
      </c>
      <c r="G938" t="s">
        <v>352</v>
      </c>
      <c r="H938" t="s">
        <v>975</v>
      </c>
      <c r="I938" t="s">
        <v>22</v>
      </c>
      <c r="J938" t="s">
        <v>42</v>
      </c>
      <c r="K938" t="s">
        <v>24</v>
      </c>
      <c r="L938" t="s">
        <v>25</v>
      </c>
      <c r="M938" s="8">
        <v>1.0693333330000001</v>
      </c>
      <c r="N938" t="s">
        <v>26</v>
      </c>
      <c r="O938" s="8">
        <v>1.0693333330000001</v>
      </c>
      <c r="P938" s="8">
        <f>EXP(-1.363+3.366*LOG(O938,10))</f>
        <v>0.28223780327142356</v>
      </c>
      <c r="Q938" s="8">
        <f>(4488342*100)/4914798</f>
        <v>91.323020803703429</v>
      </c>
    </row>
    <row r="939" spans="1:17" x14ac:dyDescent="0.2">
      <c r="A939">
        <v>2011</v>
      </c>
      <c r="B939" t="s">
        <v>1133</v>
      </c>
      <c r="C939" t="s">
        <v>50</v>
      </c>
      <c r="D939" t="s">
        <v>53</v>
      </c>
      <c r="E939">
        <v>6</v>
      </c>
      <c r="F939" t="s">
        <v>19</v>
      </c>
      <c r="G939" t="s">
        <v>352</v>
      </c>
      <c r="H939" t="s">
        <v>975</v>
      </c>
      <c r="I939" t="s">
        <v>22</v>
      </c>
      <c r="J939" t="s">
        <v>42</v>
      </c>
      <c r="K939" t="s">
        <v>24</v>
      </c>
      <c r="L939" t="s">
        <v>25</v>
      </c>
      <c r="M939" s="8">
        <v>1.0693333330000001</v>
      </c>
      <c r="N939" t="s">
        <v>26</v>
      </c>
      <c r="O939" s="8">
        <v>1.0693333330000001</v>
      </c>
      <c r="P939" s="8">
        <f>EXP(-1.363+3.366*LOG(O939,10))</f>
        <v>0.28223780327142356</v>
      </c>
      <c r="Q939" s="8">
        <f>(4488342*100)/4914798</f>
        <v>91.323020803703429</v>
      </c>
    </row>
    <row r="940" spans="1:17" x14ac:dyDescent="0.2">
      <c r="A940">
        <v>2011</v>
      </c>
      <c r="B940" t="s">
        <v>1134</v>
      </c>
      <c r="C940" t="s">
        <v>50</v>
      </c>
      <c r="D940" t="s">
        <v>53</v>
      </c>
      <c r="E940">
        <v>6</v>
      </c>
      <c r="F940" t="s">
        <v>19</v>
      </c>
      <c r="G940" t="s">
        <v>352</v>
      </c>
      <c r="H940" t="s">
        <v>975</v>
      </c>
      <c r="I940" t="s">
        <v>22</v>
      </c>
      <c r="J940" t="s">
        <v>42</v>
      </c>
      <c r="K940" t="s">
        <v>24</v>
      </c>
      <c r="L940" t="s">
        <v>25</v>
      </c>
      <c r="M940" s="8">
        <v>1.0693333330000001</v>
      </c>
      <c r="N940" t="s">
        <v>26</v>
      </c>
      <c r="O940" s="8">
        <v>1.0693333330000001</v>
      </c>
      <c r="P940" s="8">
        <f>EXP(-1.363+3.366*LOG(O940,10))</f>
        <v>0.28223780327142356</v>
      </c>
      <c r="Q940" s="8">
        <f>(4488342*100)/4914798</f>
        <v>91.323020803703429</v>
      </c>
    </row>
    <row r="941" spans="1:17" x14ac:dyDescent="0.2">
      <c r="A941">
        <v>2011</v>
      </c>
      <c r="B941" t="s">
        <v>1135</v>
      </c>
      <c r="C941" t="s">
        <v>50</v>
      </c>
      <c r="D941" t="s">
        <v>81</v>
      </c>
      <c r="E941">
        <v>6</v>
      </c>
      <c r="F941" t="s">
        <v>19</v>
      </c>
      <c r="G941" t="s">
        <v>352</v>
      </c>
      <c r="H941" t="s">
        <v>975</v>
      </c>
      <c r="I941" t="s">
        <v>36</v>
      </c>
      <c r="J941" t="s">
        <v>42</v>
      </c>
      <c r="K941" t="s">
        <v>24</v>
      </c>
      <c r="L941" t="s">
        <v>25</v>
      </c>
      <c r="M941" s="8">
        <v>0.95199999999999996</v>
      </c>
      <c r="N941" t="s">
        <v>26</v>
      </c>
      <c r="O941" s="8">
        <v>0.95199999999999996</v>
      </c>
      <c r="P941" s="8">
        <f>EXP(-1.363+3.366*LOG(O941,10))</f>
        <v>0.23813726407794436</v>
      </c>
      <c r="Q941" s="8">
        <f>(4488342*100)/4914798</f>
        <v>91.323020803703429</v>
      </c>
    </row>
    <row r="942" spans="1:17" x14ac:dyDescent="0.2">
      <c r="A942">
        <v>2011</v>
      </c>
      <c r="B942" t="s">
        <v>1136</v>
      </c>
      <c r="C942" t="s">
        <v>34</v>
      </c>
      <c r="D942" t="s">
        <v>190</v>
      </c>
      <c r="E942">
        <v>7</v>
      </c>
      <c r="F942" t="s">
        <v>19</v>
      </c>
      <c r="G942" t="s">
        <v>352</v>
      </c>
      <c r="H942" t="s">
        <v>975</v>
      </c>
      <c r="I942" t="s">
        <v>36</v>
      </c>
      <c r="J942" t="s">
        <v>23</v>
      </c>
      <c r="K942" t="s">
        <v>24</v>
      </c>
      <c r="L942" t="s">
        <v>25</v>
      </c>
      <c r="M942" s="8">
        <v>0.95199999999999996</v>
      </c>
      <c r="N942" t="s">
        <v>26</v>
      </c>
      <c r="O942" s="8">
        <v>0.95199999999999996</v>
      </c>
      <c r="P942" s="8">
        <f>EXP(-1.363+3.366*LOG(O942,10))</f>
        <v>0.23813726407794436</v>
      </c>
      <c r="Q942" s="8">
        <f>(1478835*100)/2190162</f>
        <v>67.5217175715769</v>
      </c>
    </row>
    <row r="943" spans="1:17" x14ac:dyDescent="0.2">
      <c r="A943">
        <v>2011</v>
      </c>
      <c r="B943" t="s">
        <v>1137</v>
      </c>
      <c r="C943" t="s">
        <v>52</v>
      </c>
      <c r="D943" t="s">
        <v>58</v>
      </c>
      <c r="E943">
        <v>6</v>
      </c>
      <c r="F943" t="s">
        <v>19</v>
      </c>
      <c r="G943" t="s">
        <v>352</v>
      </c>
      <c r="H943" t="s">
        <v>975</v>
      </c>
      <c r="I943" t="s">
        <v>36</v>
      </c>
      <c r="J943" t="s">
        <v>42</v>
      </c>
      <c r="K943" t="s">
        <v>24</v>
      </c>
      <c r="L943" t="s">
        <v>25</v>
      </c>
      <c r="M943" s="8">
        <v>0.95199999999999996</v>
      </c>
      <c r="N943" t="s">
        <v>26</v>
      </c>
      <c r="O943" s="8">
        <v>0.95199999999999996</v>
      </c>
      <c r="P943" s="8">
        <f>EXP(-1.363+3.366*LOG(O943,10))</f>
        <v>0.23813726407794436</v>
      </c>
      <c r="Q943" s="8">
        <f>(1626350*100)/1973941</f>
        <v>82.391013713175823</v>
      </c>
    </row>
    <row r="944" spans="1:17" x14ac:dyDescent="0.2">
      <c r="A944">
        <v>2011</v>
      </c>
      <c r="B944" t="s">
        <v>1138</v>
      </c>
      <c r="C944" t="s">
        <v>39</v>
      </c>
      <c r="D944" t="s">
        <v>73</v>
      </c>
      <c r="E944">
        <v>5</v>
      </c>
      <c r="F944" t="s">
        <v>19</v>
      </c>
      <c r="G944" t="s">
        <v>352</v>
      </c>
      <c r="H944" t="s">
        <v>1139</v>
      </c>
      <c r="I944" t="s">
        <v>22</v>
      </c>
      <c r="J944" t="s">
        <v>42</v>
      </c>
      <c r="K944" t="s">
        <v>24</v>
      </c>
      <c r="L944" t="s">
        <v>25</v>
      </c>
      <c r="M944" s="8" t="s">
        <v>26</v>
      </c>
      <c r="N944" t="s">
        <v>26</v>
      </c>
      <c r="O944" s="8">
        <v>1.1423333330000001</v>
      </c>
      <c r="P944" s="8">
        <f>EXP(-1.363+3.366*LOG(O944,10))</f>
        <v>0.31084239358261528</v>
      </c>
      <c r="Q944" s="8">
        <f>(2375365*100)/2680339</f>
        <v>88.621812390149159</v>
      </c>
    </row>
    <row r="945" spans="1:17" x14ac:dyDescent="0.2">
      <c r="A945">
        <v>2011</v>
      </c>
      <c r="B945" t="s">
        <v>1140</v>
      </c>
      <c r="C945" t="s">
        <v>39</v>
      </c>
      <c r="D945" t="s">
        <v>53</v>
      </c>
      <c r="E945">
        <v>6</v>
      </c>
      <c r="F945" t="s">
        <v>19</v>
      </c>
      <c r="G945" t="s">
        <v>352</v>
      </c>
      <c r="H945" t="s">
        <v>1139</v>
      </c>
      <c r="I945" t="s">
        <v>22</v>
      </c>
      <c r="J945" t="s">
        <v>42</v>
      </c>
      <c r="K945" t="s">
        <v>24</v>
      </c>
      <c r="L945" t="s">
        <v>25</v>
      </c>
      <c r="M945" s="8" t="s">
        <v>26</v>
      </c>
      <c r="N945" t="s">
        <v>26</v>
      </c>
      <c r="O945" s="8" t="s">
        <v>26</v>
      </c>
      <c r="P945" s="8" t="s">
        <v>26</v>
      </c>
      <c r="Q945" s="8">
        <f>(2375365*100)/2680339</f>
        <v>88.621812390149159</v>
      </c>
    </row>
    <row r="946" spans="1:17" x14ac:dyDescent="0.2">
      <c r="A946">
        <v>2011</v>
      </c>
      <c r="B946" t="s">
        <v>1141</v>
      </c>
      <c r="C946" t="s">
        <v>94</v>
      </c>
      <c r="D946" t="s">
        <v>95</v>
      </c>
      <c r="E946">
        <v>7</v>
      </c>
      <c r="F946" t="s">
        <v>19</v>
      </c>
      <c r="G946" t="s">
        <v>352</v>
      </c>
      <c r="H946" t="s">
        <v>1142</v>
      </c>
      <c r="I946" t="s">
        <v>22</v>
      </c>
      <c r="J946" t="s">
        <v>66</v>
      </c>
      <c r="K946" t="s">
        <v>24</v>
      </c>
      <c r="L946" t="s">
        <v>25</v>
      </c>
      <c r="M946" s="8">
        <v>1.1423333330000001</v>
      </c>
      <c r="N946" t="s">
        <v>26</v>
      </c>
      <c r="O946" s="8">
        <v>1.1423333330000001</v>
      </c>
      <c r="P946" s="8">
        <f>EXP(-1.363+3.366*LOG(O946,10))</f>
        <v>0.31084239358261528</v>
      </c>
      <c r="Q946" s="8">
        <f>(46623.23*100)/15165196</f>
        <v>0.30743572321782059</v>
      </c>
    </row>
    <row r="947" spans="1:17" x14ac:dyDescent="0.2">
      <c r="A947">
        <v>2011</v>
      </c>
      <c r="B947" t="s">
        <v>1143</v>
      </c>
      <c r="C947" t="s">
        <v>65</v>
      </c>
      <c r="D947" t="s">
        <v>100</v>
      </c>
      <c r="E947">
        <v>7</v>
      </c>
      <c r="F947" t="s">
        <v>19</v>
      </c>
      <c r="G947" t="s">
        <v>352</v>
      </c>
      <c r="H947" t="s">
        <v>1142</v>
      </c>
      <c r="I947" t="s">
        <v>22</v>
      </c>
      <c r="J947" t="s">
        <v>66</v>
      </c>
      <c r="K947" t="s">
        <v>24</v>
      </c>
      <c r="L947" t="s">
        <v>25</v>
      </c>
      <c r="M947" s="8">
        <v>1.1423333330000001</v>
      </c>
      <c r="N947" t="s">
        <v>26</v>
      </c>
      <c r="O947" s="8">
        <v>1.1423333330000001</v>
      </c>
      <c r="P947" s="8">
        <f>EXP(-1.363+3.366*LOG(O947,10))</f>
        <v>0.31084239358261528</v>
      </c>
      <c r="Q947" s="8">
        <f>(1788886*100)/6788946</f>
        <v>26.349981278389901</v>
      </c>
    </row>
    <row r="948" spans="1:17" x14ac:dyDescent="0.2">
      <c r="A948">
        <v>2011</v>
      </c>
      <c r="B948" t="s">
        <v>1144</v>
      </c>
      <c r="C948" t="s">
        <v>39</v>
      </c>
      <c r="D948" t="s">
        <v>76</v>
      </c>
      <c r="E948">
        <v>5</v>
      </c>
      <c r="F948" t="s">
        <v>19</v>
      </c>
      <c r="G948" t="s">
        <v>352</v>
      </c>
      <c r="H948" t="s">
        <v>1139</v>
      </c>
      <c r="I948" t="s">
        <v>36</v>
      </c>
      <c r="J948" t="s">
        <v>42</v>
      </c>
      <c r="K948" t="s">
        <v>24</v>
      </c>
      <c r="L948" t="s">
        <v>25</v>
      </c>
      <c r="M948" s="8" t="s">
        <v>26</v>
      </c>
      <c r="N948" t="s">
        <v>26</v>
      </c>
      <c r="O948" s="8" t="s">
        <v>26</v>
      </c>
      <c r="P948" s="8" t="s">
        <v>26</v>
      </c>
      <c r="Q948" s="8">
        <f>(2375365*100)/2680339</f>
        <v>88.621812390149159</v>
      </c>
    </row>
    <row r="949" spans="1:17" x14ac:dyDescent="0.2">
      <c r="A949">
        <v>2011</v>
      </c>
      <c r="B949" t="s">
        <v>1145</v>
      </c>
      <c r="C949" t="s">
        <v>39</v>
      </c>
      <c r="D949" t="s">
        <v>76</v>
      </c>
      <c r="E949">
        <v>5</v>
      </c>
      <c r="F949" t="s">
        <v>19</v>
      </c>
      <c r="G949" t="s">
        <v>352</v>
      </c>
      <c r="H949" t="s">
        <v>1139</v>
      </c>
      <c r="I949" t="s">
        <v>36</v>
      </c>
      <c r="J949" t="s">
        <v>42</v>
      </c>
      <c r="K949" t="s">
        <v>24</v>
      </c>
      <c r="L949" t="s">
        <v>25</v>
      </c>
      <c r="M949" s="8" t="s">
        <v>26</v>
      </c>
      <c r="N949" t="s">
        <v>26</v>
      </c>
      <c r="O949" s="8" t="s">
        <v>26</v>
      </c>
      <c r="P949" s="8" t="s">
        <v>26</v>
      </c>
      <c r="Q949" s="8">
        <f>(2375365*100)/2680339</f>
        <v>88.621812390149159</v>
      </c>
    </row>
    <row r="950" spans="1:17" x14ac:dyDescent="0.2">
      <c r="A950">
        <v>2011</v>
      </c>
      <c r="B950" t="s">
        <v>1146</v>
      </c>
      <c r="C950" t="s">
        <v>39</v>
      </c>
      <c r="D950" t="s">
        <v>76</v>
      </c>
      <c r="E950">
        <v>5</v>
      </c>
      <c r="F950" t="s">
        <v>19</v>
      </c>
      <c r="G950" t="s">
        <v>352</v>
      </c>
      <c r="H950" t="s">
        <v>1139</v>
      </c>
      <c r="I950" t="s">
        <v>36</v>
      </c>
      <c r="J950" t="s">
        <v>42</v>
      </c>
      <c r="K950" t="s">
        <v>24</v>
      </c>
      <c r="L950" t="s">
        <v>25</v>
      </c>
      <c r="M950" s="8" t="s">
        <v>26</v>
      </c>
      <c r="N950" t="s">
        <v>26</v>
      </c>
      <c r="O950" s="8" t="s">
        <v>26</v>
      </c>
      <c r="P950" s="8" t="s">
        <v>26</v>
      </c>
      <c r="Q950" s="8">
        <f>(2375365*100)/2680339</f>
        <v>88.621812390149159</v>
      </c>
    </row>
    <row r="951" spans="1:17" x14ac:dyDescent="0.2">
      <c r="A951">
        <v>2011</v>
      </c>
      <c r="B951" t="s">
        <v>1147</v>
      </c>
      <c r="C951" t="s">
        <v>50</v>
      </c>
      <c r="D951" t="s">
        <v>53</v>
      </c>
      <c r="E951">
        <v>6</v>
      </c>
      <c r="F951" t="s">
        <v>19</v>
      </c>
      <c r="G951" t="s">
        <v>352</v>
      </c>
      <c r="H951" t="s">
        <v>1139</v>
      </c>
      <c r="I951" t="s">
        <v>36</v>
      </c>
      <c r="J951" t="s">
        <v>42</v>
      </c>
      <c r="K951" t="s">
        <v>24</v>
      </c>
      <c r="L951" t="s">
        <v>25</v>
      </c>
      <c r="M951" s="8" t="s">
        <v>26</v>
      </c>
      <c r="N951" t="s">
        <v>26</v>
      </c>
      <c r="O951" s="8" t="s">
        <v>26</v>
      </c>
      <c r="P951" s="8" t="s">
        <v>26</v>
      </c>
      <c r="Q951" s="8">
        <f>(4488342*100)/4914798</f>
        <v>91.323020803703429</v>
      </c>
    </row>
    <row r="952" spans="1:17" x14ac:dyDescent="0.2">
      <c r="A952">
        <v>2011</v>
      </c>
      <c r="B952" t="s">
        <v>1148</v>
      </c>
      <c r="C952" t="s">
        <v>50</v>
      </c>
      <c r="D952" t="s">
        <v>53</v>
      </c>
      <c r="E952">
        <v>6</v>
      </c>
      <c r="F952" t="s">
        <v>19</v>
      </c>
      <c r="G952" t="s">
        <v>352</v>
      </c>
      <c r="H952" t="s">
        <v>1139</v>
      </c>
      <c r="I952" t="s">
        <v>36</v>
      </c>
      <c r="J952" t="s">
        <v>42</v>
      </c>
      <c r="K952" t="s">
        <v>24</v>
      </c>
      <c r="L952" t="s">
        <v>25</v>
      </c>
      <c r="M952" s="8" t="s">
        <v>26</v>
      </c>
      <c r="N952" t="s">
        <v>26</v>
      </c>
      <c r="O952" s="8" t="s">
        <v>26</v>
      </c>
      <c r="P952" s="8" t="s">
        <v>26</v>
      </c>
      <c r="Q952" s="8">
        <f>(4488342*100)/4914798</f>
        <v>91.323020803703429</v>
      </c>
    </row>
    <row r="953" spans="1:17" x14ac:dyDescent="0.2">
      <c r="A953">
        <v>2011</v>
      </c>
      <c r="B953" t="s">
        <v>1149</v>
      </c>
      <c r="C953" t="s">
        <v>39</v>
      </c>
      <c r="D953" t="s">
        <v>446</v>
      </c>
      <c r="E953">
        <v>4</v>
      </c>
      <c r="F953" t="s">
        <v>19</v>
      </c>
      <c r="G953" t="s">
        <v>352</v>
      </c>
      <c r="H953" t="s">
        <v>1139</v>
      </c>
      <c r="I953" t="s">
        <v>22</v>
      </c>
      <c r="J953" t="s">
        <v>42</v>
      </c>
      <c r="K953" t="s">
        <v>24</v>
      </c>
      <c r="L953" t="s">
        <v>25</v>
      </c>
      <c r="M953" s="8" t="s">
        <v>26</v>
      </c>
      <c r="N953" t="s">
        <v>26</v>
      </c>
      <c r="O953" s="8" t="s">
        <v>26</v>
      </c>
      <c r="P953" s="8" t="s">
        <v>26</v>
      </c>
      <c r="Q953" s="8">
        <f>(2375365*100)/2680339</f>
        <v>88.621812390149159</v>
      </c>
    </row>
    <row r="954" spans="1:17" x14ac:dyDescent="0.2">
      <c r="A954">
        <v>2011</v>
      </c>
      <c r="B954" t="s">
        <v>1150</v>
      </c>
      <c r="C954" t="s">
        <v>39</v>
      </c>
      <c r="D954" t="s">
        <v>147</v>
      </c>
      <c r="E954">
        <v>4</v>
      </c>
      <c r="F954" t="s">
        <v>19</v>
      </c>
      <c r="G954" t="s">
        <v>352</v>
      </c>
      <c r="H954" t="s">
        <v>1139</v>
      </c>
      <c r="I954" t="s">
        <v>22</v>
      </c>
      <c r="J954" t="s">
        <v>42</v>
      </c>
      <c r="K954" t="s">
        <v>24</v>
      </c>
      <c r="L954" t="s">
        <v>25</v>
      </c>
      <c r="M954" s="8" t="s">
        <v>26</v>
      </c>
      <c r="N954" t="s">
        <v>26</v>
      </c>
      <c r="O954" s="8" t="s">
        <v>26</v>
      </c>
      <c r="P954" s="8" t="s">
        <v>26</v>
      </c>
      <c r="Q954" s="8">
        <f>(2375365*100)/2680339</f>
        <v>88.621812390149159</v>
      </c>
    </row>
    <row r="955" spans="1:17" x14ac:dyDescent="0.2">
      <c r="A955">
        <v>2011</v>
      </c>
      <c r="B955" t="s">
        <v>1151</v>
      </c>
      <c r="C955" t="s">
        <v>50</v>
      </c>
      <c r="D955" t="s">
        <v>157</v>
      </c>
      <c r="E955">
        <v>5</v>
      </c>
      <c r="F955" t="s">
        <v>19</v>
      </c>
      <c r="G955" t="s">
        <v>352</v>
      </c>
      <c r="H955" t="s">
        <v>1139</v>
      </c>
      <c r="I955" t="s">
        <v>22</v>
      </c>
      <c r="J955" t="s">
        <v>42</v>
      </c>
      <c r="K955" t="s">
        <v>24</v>
      </c>
      <c r="L955" t="s">
        <v>25</v>
      </c>
      <c r="M955" s="8" t="s">
        <v>26</v>
      </c>
      <c r="N955" t="s">
        <v>26</v>
      </c>
      <c r="O955" s="8" t="s">
        <v>26</v>
      </c>
      <c r="P955" s="8" t="s">
        <v>26</v>
      </c>
      <c r="Q955" s="8">
        <f>(4488342*100)/4914798</f>
        <v>91.323020803703429</v>
      </c>
    </row>
    <row r="956" spans="1:17" x14ac:dyDescent="0.2">
      <c r="A956">
        <v>2011</v>
      </c>
      <c r="B956" t="s">
        <v>1152</v>
      </c>
      <c r="C956" t="s">
        <v>17</v>
      </c>
      <c r="D956" t="s">
        <v>18</v>
      </c>
      <c r="E956">
        <v>5</v>
      </c>
      <c r="F956" t="s">
        <v>19</v>
      </c>
      <c r="G956" t="s">
        <v>352</v>
      </c>
      <c r="H956" t="s">
        <v>1142</v>
      </c>
      <c r="I956" t="s">
        <v>22</v>
      </c>
      <c r="J956" t="s">
        <v>23</v>
      </c>
      <c r="K956" t="s">
        <v>24</v>
      </c>
      <c r="L956" t="s">
        <v>25</v>
      </c>
      <c r="M956" s="8">
        <v>1.1423333330000001</v>
      </c>
      <c r="N956" t="s">
        <v>26</v>
      </c>
      <c r="O956" s="8">
        <v>1.1423333330000001</v>
      </c>
      <c r="P956" s="8">
        <f>EXP(-1.363+3.366*LOG(O956,10))</f>
        <v>0.31084239358261528</v>
      </c>
      <c r="Q956" s="8">
        <f>(605161.6*100)/5834449</f>
        <v>10.372215096918321</v>
      </c>
    </row>
    <row r="957" spans="1:17" x14ac:dyDescent="0.2">
      <c r="A957">
        <v>2011</v>
      </c>
      <c r="B957" t="s">
        <v>1153</v>
      </c>
      <c r="C957" t="s">
        <v>17</v>
      </c>
      <c r="D957" t="s">
        <v>18</v>
      </c>
      <c r="E957">
        <v>5</v>
      </c>
      <c r="F957" t="s">
        <v>19</v>
      </c>
      <c r="G957" t="s">
        <v>352</v>
      </c>
      <c r="H957" t="s">
        <v>1142</v>
      </c>
      <c r="I957" t="s">
        <v>22</v>
      </c>
      <c r="J957" t="s">
        <v>23</v>
      </c>
      <c r="K957" t="s">
        <v>24</v>
      </c>
      <c r="L957" t="s">
        <v>25</v>
      </c>
      <c r="M957" s="8">
        <v>1.1423333330000001</v>
      </c>
      <c r="N957" t="s">
        <v>26</v>
      </c>
      <c r="O957" s="8">
        <v>1.1423333330000001</v>
      </c>
      <c r="P957" s="8">
        <f>EXP(-1.363+3.366*LOG(O957,10))</f>
        <v>0.31084239358261528</v>
      </c>
      <c r="Q957" s="8">
        <f>(605161.6*100)/5834449</f>
        <v>10.372215096918321</v>
      </c>
    </row>
    <row r="958" spans="1:17" x14ac:dyDescent="0.2">
      <c r="A958">
        <v>2011</v>
      </c>
      <c r="B958" t="s">
        <v>1154</v>
      </c>
      <c r="C958" t="s">
        <v>17</v>
      </c>
      <c r="D958" t="s">
        <v>18</v>
      </c>
      <c r="E958">
        <v>5</v>
      </c>
      <c r="F958" t="s">
        <v>19</v>
      </c>
      <c r="G958" t="s">
        <v>352</v>
      </c>
      <c r="H958" t="s">
        <v>1142</v>
      </c>
      <c r="I958" t="s">
        <v>22</v>
      </c>
      <c r="J958" t="s">
        <v>23</v>
      </c>
      <c r="K958" t="s">
        <v>24</v>
      </c>
      <c r="L958" t="s">
        <v>25</v>
      </c>
      <c r="M958" s="8">
        <v>1.1423333330000001</v>
      </c>
      <c r="N958" t="s">
        <v>26</v>
      </c>
      <c r="O958" s="8">
        <v>1.1423333330000001</v>
      </c>
      <c r="P958" s="8">
        <f>EXP(-1.363+3.366*LOG(O958,10))</f>
        <v>0.31084239358261528</v>
      </c>
      <c r="Q958" s="8">
        <f>(605161.6*100)/5834449</f>
        <v>10.372215096918321</v>
      </c>
    </row>
    <row r="959" spans="1:17" x14ac:dyDescent="0.2">
      <c r="A959">
        <v>2011</v>
      </c>
      <c r="B959" t="s">
        <v>1155</v>
      </c>
      <c r="C959" t="s">
        <v>50</v>
      </c>
      <c r="D959" t="s">
        <v>44</v>
      </c>
      <c r="E959">
        <v>5</v>
      </c>
      <c r="F959" t="s">
        <v>19</v>
      </c>
      <c r="G959" t="s">
        <v>352</v>
      </c>
      <c r="H959" t="s">
        <v>1139</v>
      </c>
      <c r="I959" t="s">
        <v>22</v>
      </c>
      <c r="J959" t="s">
        <v>42</v>
      </c>
      <c r="K959" t="s">
        <v>24</v>
      </c>
      <c r="L959" t="s">
        <v>25</v>
      </c>
      <c r="M959" s="8" t="s">
        <v>26</v>
      </c>
      <c r="N959" t="s">
        <v>26</v>
      </c>
      <c r="O959" s="8" t="s">
        <v>26</v>
      </c>
      <c r="P959" s="8" t="s">
        <v>26</v>
      </c>
      <c r="Q959" s="8">
        <f>(4488342*100)/4914798</f>
        <v>91.323020803703429</v>
      </c>
    </row>
    <row r="960" spans="1:17" x14ac:dyDescent="0.2">
      <c r="A960">
        <v>2011</v>
      </c>
      <c r="B960" t="s">
        <v>1156</v>
      </c>
      <c r="C960" t="s">
        <v>39</v>
      </c>
      <c r="D960" t="s">
        <v>73</v>
      </c>
      <c r="E960">
        <v>5</v>
      </c>
      <c r="F960" t="s">
        <v>19</v>
      </c>
      <c r="G960" t="s">
        <v>352</v>
      </c>
      <c r="H960" t="s">
        <v>1139</v>
      </c>
      <c r="I960" t="s">
        <v>22</v>
      </c>
      <c r="J960" t="s">
        <v>42</v>
      </c>
      <c r="K960" t="s">
        <v>24</v>
      </c>
      <c r="L960" t="s">
        <v>25</v>
      </c>
      <c r="M960" s="8" t="s">
        <v>26</v>
      </c>
      <c r="N960" t="s">
        <v>26</v>
      </c>
      <c r="O960" s="8" t="s">
        <v>26</v>
      </c>
      <c r="P960" s="8" t="s">
        <v>26</v>
      </c>
      <c r="Q960" s="8">
        <f>(2375365*100)/2680339</f>
        <v>88.621812390149159</v>
      </c>
    </row>
    <row r="961" spans="1:17" x14ac:dyDescent="0.2">
      <c r="A961">
        <v>2011</v>
      </c>
      <c r="B961" t="s">
        <v>1157</v>
      </c>
      <c r="C961" t="s">
        <v>39</v>
      </c>
      <c r="D961" t="s">
        <v>73</v>
      </c>
      <c r="E961">
        <v>5</v>
      </c>
      <c r="F961" t="s">
        <v>19</v>
      </c>
      <c r="G961" t="s">
        <v>352</v>
      </c>
      <c r="H961" t="s">
        <v>1139</v>
      </c>
      <c r="I961" t="s">
        <v>22</v>
      </c>
      <c r="J961" t="s">
        <v>42</v>
      </c>
      <c r="K961" t="s">
        <v>24</v>
      </c>
      <c r="L961" t="s">
        <v>25</v>
      </c>
      <c r="M961" s="8" t="s">
        <v>26</v>
      </c>
      <c r="N961" t="s">
        <v>26</v>
      </c>
      <c r="O961" s="8" t="s">
        <v>26</v>
      </c>
      <c r="P961" s="8" t="s">
        <v>26</v>
      </c>
      <c r="Q961" s="8">
        <f>(2375365*100)/2680339</f>
        <v>88.621812390149159</v>
      </c>
    </row>
    <row r="962" spans="1:17" x14ac:dyDescent="0.2">
      <c r="A962">
        <v>2011</v>
      </c>
      <c r="B962" t="s">
        <v>1158</v>
      </c>
      <c r="C962" t="s">
        <v>39</v>
      </c>
      <c r="D962" t="s">
        <v>73</v>
      </c>
      <c r="E962">
        <v>5</v>
      </c>
      <c r="F962" t="s">
        <v>19</v>
      </c>
      <c r="G962" t="s">
        <v>352</v>
      </c>
      <c r="H962" t="s">
        <v>1139</v>
      </c>
      <c r="I962" t="s">
        <v>22</v>
      </c>
      <c r="J962" t="s">
        <v>42</v>
      </c>
      <c r="K962" t="s">
        <v>24</v>
      </c>
      <c r="L962" t="s">
        <v>25</v>
      </c>
      <c r="M962" s="8" t="s">
        <v>26</v>
      </c>
      <c r="N962" t="s">
        <v>26</v>
      </c>
      <c r="O962" s="8" t="s">
        <v>26</v>
      </c>
      <c r="P962" s="8" t="s">
        <v>26</v>
      </c>
      <c r="Q962" s="8">
        <f>(2375365*100)/2680339</f>
        <v>88.621812390149159</v>
      </c>
    </row>
    <row r="963" spans="1:17" x14ac:dyDescent="0.2">
      <c r="A963">
        <v>2011</v>
      </c>
      <c r="B963" t="s">
        <v>1159</v>
      </c>
      <c r="C963" t="s">
        <v>39</v>
      </c>
      <c r="D963" t="s">
        <v>73</v>
      </c>
      <c r="E963">
        <v>5</v>
      </c>
      <c r="F963" t="s">
        <v>19</v>
      </c>
      <c r="G963" t="s">
        <v>352</v>
      </c>
      <c r="H963" t="s">
        <v>1139</v>
      </c>
      <c r="I963" t="s">
        <v>22</v>
      </c>
      <c r="J963" t="s">
        <v>42</v>
      </c>
      <c r="K963" t="s">
        <v>24</v>
      </c>
      <c r="L963" t="s">
        <v>25</v>
      </c>
      <c r="M963" s="8" t="s">
        <v>26</v>
      </c>
      <c r="N963" t="s">
        <v>26</v>
      </c>
      <c r="O963" s="8" t="s">
        <v>26</v>
      </c>
      <c r="P963" s="8" t="s">
        <v>26</v>
      </c>
      <c r="Q963" s="8">
        <f>(2375365*100)/2680339</f>
        <v>88.621812390149159</v>
      </c>
    </row>
    <row r="964" spans="1:17" x14ac:dyDescent="0.2">
      <c r="A964">
        <v>2011</v>
      </c>
      <c r="B964" t="s">
        <v>1160</v>
      </c>
      <c r="C964" t="s">
        <v>39</v>
      </c>
      <c r="D964" t="s">
        <v>73</v>
      </c>
      <c r="E964">
        <v>5</v>
      </c>
      <c r="F964" t="s">
        <v>19</v>
      </c>
      <c r="G964" t="s">
        <v>352</v>
      </c>
      <c r="H964" t="s">
        <v>1139</v>
      </c>
      <c r="I964" t="s">
        <v>22</v>
      </c>
      <c r="J964" t="s">
        <v>42</v>
      </c>
      <c r="K964" t="s">
        <v>24</v>
      </c>
      <c r="L964" t="s">
        <v>25</v>
      </c>
      <c r="M964" s="8" t="s">
        <v>26</v>
      </c>
      <c r="N964" t="s">
        <v>26</v>
      </c>
      <c r="O964" s="8" t="s">
        <v>26</v>
      </c>
      <c r="P964" s="8" t="s">
        <v>26</v>
      </c>
      <c r="Q964" s="8">
        <f>(2375365*100)/2680339</f>
        <v>88.621812390149159</v>
      </c>
    </row>
    <row r="965" spans="1:17" x14ac:dyDescent="0.2">
      <c r="A965">
        <v>2011</v>
      </c>
      <c r="B965" t="s">
        <v>1161</v>
      </c>
      <c r="C965" t="s">
        <v>50</v>
      </c>
      <c r="D965" t="s">
        <v>76</v>
      </c>
      <c r="E965">
        <v>5</v>
      </c>
      <c r="F965" t="s">
        <v>19</v>
      </c>
      <c r="G965" t="s">
        <v>352</v>
      </c>
      <c r="H965" t="s">
        <v>1139</v>
      </c>
      <c r="I965" t="s">
        <v>22</v>
      </c>
      <c r="J965" t="s">
        <v>42</v>
      </c>
      <c r="K965" t="s">
        <v>24</v>
      </c>
      <c r="L965" t="s">
        <v>25</v>
      </c>
      <c r="M965" s="8" t="s">
        <v>26</v>
      </c>
      <c r="N965" t="s">
        <v>26</v>
      </c>
      <c r="O965" s="8" t="s">
        <v>26</v>
      </c>
      <c r="P965" s="8" t="s">
        <v>26</v>
      </c>
      <c r="Q965" s="8">
        <f>(4488342*100)/4914798</f>
        <v>91.323020803703429</v>
      </c>
    </row>
    <row r="966" spans="1:17" x14ac:dyDescent="0.2">
      <c r="A966">
        <v>2011</v>
      </c>
      <c r="B966" t="s">
        <v>1162</v>
      </c>
      <c r="C966" t="s">
        <v>50</v>
      </c>
      <c r="D966" t="s">
        <v>76</v>
      </c>
      <c r="E966">
        <v>5</v>
      </c>
      <c r="F966" t="s">
        <v>19</v>
      </c>
      <c r="G966" t="s">
        <v>352</v>
      </c>
      <c r="H966" t="s">
        <v>1139</v>
      </c>
      <c r="I966" t="s">
        <v>22</v>
      </c>
      <c r="J966" t="s">
        <v>42</v>
      </c>
      <c r="K966" t="s">
        <v>24</v>
      </c>
      <c r="L966" t="s">
        <v>25</v>
      </c>
      <c r="M966" s="8" t="s">
        <v>26</v>
      </c>
      <c r="N966" t="s">
        <v>26</v>
      </c>
      <c r="O966" s="8" t="s">
        <v>26</v>
      </c>
      <c r="P966" s="8" t="s">
        <v>26</v>
      </c>
      <c r="Q966" s="8">
        <f>(4488342*100)/4914798</f>
        <v>91.323020803703429</v>
      </c>
    </row>
    <row r="967" spans="1:17" x14ac:dyDescent="0.2">
      <c r="A967">
        <v>2011</v>
      </c>
      <c r="B967" t="s">
        <v>1163</v>
      </c>
      <c r="C967" t="s">
        <v>50</v>
      </c>
      <c r="D967" t="s">
        <v>53</v>
      </c>
      <c r="E967">
        <v>6</v>
      </c>
      <c r="F967" t="s">
        <v>19</v>
      </c>
      <c r="G967" t="s">
        <v>352</v>
      </c>
      <c r="H967" t="s">
        <v>1139</v>
      </c>
      <c r="I967" t="s">
        <v>22</v>
      </c>
      <c r="J967" t="s">
        <v>42</v>
      </c>
      <c r="K967" t="s">
        <v>24</v>
      </c>
      <c r="L967" t="s">
        <v>25</v>
      </c>
      <c r="M967" s="8" t="s">
        <v>26</v>
      </c>
      <c r="N967" t="s">
        <v>26</v>
      </c>
      <c r="O967" s="8" t="s">
        <v>26</v>
      </c>
      <c r="P967" s="8" t="s">
        <v>26</v>
      </c>
      <c r="Q967" s="8">
        <f>(4488342*100)/4914798</f>
        <v>91.323020803703429</v>
      </c>
    </row>
    <row r="968" spans="1:17" x14ac:dyDescent="0.2">
      <c r="A968">
        <v>2011</v>
      </c>
      <c r="B968" t="s">
        <v>1164</v>
      </c>
      <c r="C968" t="s">
        <v>50</v>
      </c>
      <c r="D968" t="s">
        <v>53</v>
      </c>
      <c r="E968">
        <v>6</v>
      </c>
      <c r="F968" t="s">
        <v>19</v>
      </c>
      <c r="G968" t="s">
        <v>352</v>
      </c>
      <c r="H968" t="s">
        <v>1139</v>
      </c>
      <c r="I968" t="s">
        <v>22</v>
      </c>
      <c r="J968" t="s">
        <v>42</v>
      </c>
      <c r="K968" t="s">
        <v>24</v>
      </c>
      <c r="L968" t="s">
        <v>25</v>
      </c>
      <c r="M968" s="8" t="s">
        <v>26</v>
      </c>
      <c r="N968" t="s">
        <v>26</v>
      </c>
      <c r="O968" s="8" t="s">
        <v>26</v>
      </c>
      <c r="P968" s="8" t="s">
        <v>26</v>
      </c>
      <c r="Q968" s="8">
        <f>(4488342*100)/4914798</f>
        <v>91.323020803703429</v>
      </c>
    </row>
    <row r="969" spans="1:17" x14ac:dyDescent="0.2">
      <c r="A969">
        <v>2011</v>
      </c>
      <c r="B969" t="s">
        <v>1165</v>
      </c>
      <c r="C969" t="s">
        <v>50</v>
      </c>
      <c r="D969" t="s">
        <v>53</v>
      </c>
      <c r="E969">
        <v>6</v>
      </c>
      <c r="F969" t="s">
        <v>19</v>
      </c>
      <c r="G969" t="s">
        <v>352</v>
      </c>
      <c r="H969" t="s">
        <v>1139</v>
      </c>
      <c r="I969" t="s">
        <v>22</v>
      </c>
      <c r="J969" t="s">
        <v>42</v>
      </c>
      <c r="K969" t="s">
        <v>24</v>
      </c>
      <c r="L969" t="s">
        <v>25</v>
      </c>
      <c r="M969" s="8" t="s">
        <v>26</v>
      </c>
      <c r="N969" t="s">
        <v>26</v>
      </c>
      <c r="O969" s="8" t="s">
        <v>26</v>
      </c>
      <c r="P969" s="8" t="s">
        <v>26</v>
      </c>
      <c r="Q969" s="8">
        <f>(4488342*100)/4914798</f>
        <v>91.323020803703429</v>
      </c>
    </row>
    <row r="970" spans="1:17" x14ac:dyDescent="0.2">
      <c r="A970">
        <v>2011</v>
      </c>
      <c r="B970" t="s">
        <v>1166</v>
      </c>
      <c r="C970" t="s">
        <v>50</v>
      </c>
      <c r="D970" t="s">
        <v>79</v>
      </c>
      <c r="E970">
        <v>6</v>
      </c>
      <c r="F970" t="s">
        <v>19</v>
      </c>
      <c r="G970" t="s">
        <v>352</v>
      </c>
      <c r="H970" t="s">
        <v>1139</v>
      </c>
      <c r="I970" t="s">
        <v>22</v>
      </c>
      <c r="J970" t="s">
        <v>42</v>
      </c>
      <c r="K970" t="s">
        <v>24</v>
      </c>
      <c r="L970" t="s">
        <v>25</v>
      </c>
      <c r="M970" s="8" t="s">
        <v>26</v>
      </c>
      <c r="N970" t="s">
        <v>26</v>
      </c>
      <c r="O970" s="8" t="s">
        <v>26</v>
      </c>
      <c r="P970" s="8" t="s">
        <v>26</v>
      </c>
      <c r="Q970" s="8">
        <f>(4488342*100)/4914798</f>
        <v>91.323020803703429</v>
      </c>
    </row>
    <row r="971" spans="1:17" x14ac:dyDescent="0.2">
      <c r="A971">
        <v>2011</v>
      </c>
      <c r="B971" t="s">
        <v>1167</v>
      </c>
      <c r="C971" t="s">
        <v>52</v>
      </c>
      <c r="D971" t="s">
        <v>81</v>
      </c>
      <c r="E971">
        <v>6</v>
      </c>
      <c r="F971" t="s">
        <v>19</v>
      </c>
      <c r="G971" t="s">
        <v>352</v>
      </c>
      <c r="H971" t="s">
        <v>1139</v>
      </c>
      <c r="I971" t="s">
        <v>22</v>
      </c>
      <c r="J971" t="s">
        <v>42</v>
      </c>
      <c r="K971" t="s">
        <v>24</v>
      </c>
      <c r="L971" t="s">
        <v>25</v>
      </c>
      <c r="M971" s="8" t="s">
        <v>26</v>
      </c>
      <c r="N971" t="s">
        <v>26</v>
      </c>
      <c r="O971" s="8" t="s">
        <v>26</v>
      </c>
      <c r="P971" s="8" t="s">
        <v>26</v>
      </c>
      <c r="Q971" s="8">
        <f>(1626350*100)/1973941</f>
        <v>82.391013713175823</v>
      </c>
    </row>
    <row r="972" spans="1:17" x14ac:dyDescent="0.2">
      <c r="A972">
        <v>2011</v>
      </c>
      <c r="B972" t="s">
        <v>1168</v>
      </c>
      <c r="C972" t="s">
        <v>39</v>
      </c>
      <c r="D972" t="s">
        <v>81</v>
      </c>
      <c r="E972">
        <v>6</v>
      </c>
      <c r="F972" t="s">
        <v>19</v>
      </c>
      <c r="G972" t="s">
        <v>352</v>
      </c>
      <c r="H972" t="s">
        <v>1139</v>
      </c>
      <c r="I972" t="s">
        <v>22</v>
      </c>
      <c r="J972" t="s">
        <v>42</v>
      </c>
      <c r="K972" t="s">
        <v>24</v>
      </c>
      <c r="L972" t="s">
        <v>25</v>
      </c>
      <c r="M972" s="8" t="s">
        <v>26</v>
      </c>
      <c r="N972" t="s">
        <v>26</v>
      </c>
      <c r="O972" s="8" t="s">
        <v>26</v>
      </c>
      <c r="P972" s="8" t="s">
        <v>26</v>
      </c>
      <c r="Q972" s="8">
        <f>(2375365*100)/2680339</f>
        <v>88.621812390149159</v>
      </c>
    </row>
    <row r="973" spans="1:17" x14ac:dyDescent="0.2">
      <c r="A973">
        <v>2011</v>
      </c>
      <c r="B973" t="s">
        <v>1169</v>
      </c>
      <c r="C973" t="s">
        <v>52</v>
      </c>
      <c r="D973" t="s">
        <v>76</v>
      </c>
      <c r="E973">
        <v>5</v>
      </c>
      <c r="F973" t="s">
        <v>19</v>
      </c>
      <c r="G973" t="s">
        <v>352</v>
      </c>
      <c r="H973" t="s">
        <v>1139</v>
      </c>
      <c r="I973" t="s">
        <v>22</v>
      </c>
      <c r="J973" t="s">
        <v>42</v>
      </c>
      <c r="K973" t="s">
        <v>24</v>
      </c>
      <c r="L973" t="s">
        <v>25</v>
      </c>
      <c r="M973" s="8" t="s">
        <v>26</v>
      </c>
      <c r="N973" t="s">
        <v>26</v>
      </c>
      <c r="O973" s="8" t="s">
        <v>26</v>
      </c>
      <c r="P973" s="8" t="s">
        <v>26</v>
      </c>
      <c r="Q973" s="8">
        <f>(1626350*100)/1973941</f>
        <v>82.391013713175823</v>
      </c>
    </row>
    <row r="974" spans="1:17" x14ac:dyDescent="0.2">
      <c r="A974">
        <v>2011</v>
      </c>
      <c r="B974" t="s">
        <v>1170</v>
      </c>
      <c r="C974" t="s">
        <v>50</v>
      </c>
      <c r="D974" t="s">
        <v>81</v>
      </c>
      <c r="E974">
        <v>6</v>
      </c>
      <c r="F974" t="s">
        <v>19</v>
      </c>
      <c r="G974" t="s">
        <v>352</v>
      </c>
      <c r="H974" t="s">
        <v>1139</v>
      </c>
      <c r="I974" t="s">
        <v>22</v>
      </c>
      <c r="J974" t="s">
        <v>42</v>
      </c>
      <c r="K974" t="s">
        <v>24</v>
      </c>
      <c r="L974" t="s">
        <v>25</v>
      </c>
      <c r="M974" s="8" t="s">
        <v>26</v>
      </c>
      <c r="N974" t="s">
        <v>26</v>
      </c>
      <c r="O974" s="8" t="s">
        <v>26</v>
      </c>
      <c r="P974" s="8" t="s">
        <v>26</v>
      </c>
      <c r="Q974" s="8">
        <f>(4488342*100)/4914798</f>
        <v>91.323020803703429</v>
      </c>
    </row>
    <row r="975" spans="1:17" x14ac:dyDescent="0.2">
      <c r="A975">
        <v>2011</v>
      </c>
      <c r="B975" t="s">
        <v>1171</v>
      </c>
      <c r="C975" t="s">
        <v>39</v>
      </c>
      <c r="D975" t="s">
        <v>55</v>
      </c>
      <c r="E975">
        <v>6</v>
      </c>
      <c r="F975" t="s">
        <v>19</v>
      </c>
      <c r="G975" t="s">
        <v>352</v>
      </c>
      <c r="H975" t="s">
        <v>1139</v>
      </c>
      <c r="I975" t="s">
        <v>22</v>
      </c>
      <c r="J975" t="s">
        <v>42</v>
      </c>
      <c r="K975" t="s">
        <v>24</v>
      </c>
      <c r="L975" t="s">
        <v>25</v>
      </c>
      <c r="M975" s="8" t="s">
        <v>26</v>
      </c>
      <c r="N975" t="s">
        <v>26</v>
      </c>
      <c r="O975" s="8" t="s">
        <v>26</v>
      </c>
      <c r="P975" s="8" t="s">
        <v>26</v>
      </c>
      <c r="Q975" s="8">
        <f>(2375365*100)/2680339</f>
        <v>88.621812390149159</v>
      </c>
    </row>
    <row r="976" spans="1:17" x14ac:dyDescent="0.2">
      <c r="A976">
        <v>2011</v>
      </c>
      <c r="B976" t="s">
        <v>1172</v>
      </c>
      <c r="C976" t="s">
        <v>39</v>
      </c>
      <c r="D976" t="s">
        <v>55</v>
      </c>
      <c r="E976">
        <v>6</v>
      </c>
      <c r="F976" t="s">
        <v>19</v>
      </c>
      <c r="G976" t="s">
        <v>352</v>
      </c>
      <c r="H976" t="s">
        <v>1139</v>
      </c>
      <c r="I976" t="s">
        <v>22</v>
      </c>
      <c r="J976" t="s">
        <v>42</v>
      </c>
      <c r="K976" t="s">
        <v>24</v>
      </c>
      <c r="L976" t="s">
        <v>25</v>
      </c>
      <c r="M976" s="8" t="s">
        <v>26</v>
      </c>
      <c r="N976" t="s">
        <v>26</v>
      </c>
      <c r="O976" s="8" t="s">
        <v>26</v>
      </c>
      <c r="P976" s="8" t="s">
        <v>26</v>
      </c>
      <c r="Q976" s="8">
        <f>(2375365*100)/2680339</f>
        <v>88.621812390149159</v>
      </c>
    </row>
    <row r="977" spans="1:17" x14ac:dyDescent="0.2">
      <c r="A977">
        <v>2011</v>
      </c>
      <c r="B977" t="s">
        <v>1173</v>
      </c>
      <c r="C977" t="s">
        <v>39</v>
      </c>
      <c r="D977" t="s">
        <v>55</v>
      </c>
      <c r="E977">
        <v>6</v>
      </c>
      <c r="F977" t="s">
        <v>19</v>
      </c>
      <c r="G977" t="s">
        <v>352</v>
      </c>
      <c r="H977" t="s">
        <v>1139</v>
      </c>
      <c r="I977" t="s">
        <v>22</v>
      </c>
      <c r="J977" t="s">
        <v>42</v>
      </c>
      <c r="K977" t="s">
        <v>24</v>
      </c>
      <c r="L977" t="s">
        <v>25</v>
      </c>
      <c r="M977" s="8" t="s">
        <v>26</v>
      </c>
      <c r="N977" t="s">
        <v>26</v>
      </c>
      <c r="O977" s="8" t="s">
        <v>26</v>
      </c>
      <c r="P977" s="8" t="s">
        <v>26</v>
      </c>
      <c r="Q977" s="8">
        <f>(2375365*100)/2680339</f>
        <v>88.621812390149159</v>
      </c>
    </row>
    <row r="978" spans="1:17" x14ac:dyDescent="0.2">
      <c r="A978">
        <v>2011</v>
      </c>
      <c r="B978" t="s">
        <v>1174</v>
      </c>
      <c r="C978" t="s">
        <v>39</v>
      </c>
      <c r="D978" t="s">
        <v>55</v>
      </c>
      <c r="E978">
        <v>6</v>
      </c>
      <c r="F978" t="s">
        <v>19</v>
      </c>
      <c r="G978" t="s">
        <v>352</v>
      </c>
      <c r="H978" t="s">
        <v>1139</v>
      </c>
      <c r="I978" t="s">
        <v>22</v>
      </c>
      <c r="J978" t="s">
        <v>42</v>
      </c>
      <c r="K978" t="s">
        <v>24</v>
      </c>
      <c r="L978" t="s">
        <v>25</v>
      </c>
      <c r="M978" s="8" t="s">
        <v>26</v>
      </c>
      <c r="N978" t="s">
        <v>26</v>
      </c>
      <c r="O978" s="8" t="s">
        <v>26</v>
      </c>
      <c r="P978" s="8" t="s">
        <v>26</v>
      </c>
      <c r="Q978" s="8">
        <f>(2375365*100)/2680339</f>
        <v>88.621812390149159</v>
      </c>
    </row>
    <row r="979" spans="1:17" x14ac:dyDescent="0.2">
      <c r="A979">
        <v>2011</v>
      </c>
      <c r="B979" t="s">
        <v>1175</v>
      </c>
      <c r="C979" t="s">
        <v>39</v>
      </c>
      <c r="D979" t="s">
        <v>40</v>
      </c>
      <c r="E979">
        <v>6</v>
      </c>
      <c r="F979" t="s">
        <v>19</v>
      </c>
      <c r="G979" t="s">
        <v>352</v>
      </c>
      <c r="H979" t="s">
        <v>1139</v>
      </c>
      <c r="I979" t="s">
        <v>22</v>
      </c>
      <c r="J979" t="s">
        <v>42</v>
      </c>
      <c r="K979" t="s">
        <v>24</v>
      </c>
      <c r="L979" t="s">
        <v>25</v>
      </c>
      <c r="M979" s="8" t="s">
        <v>26</v>
      </c>
      <c r="N979" t="s">
        <v>26</v>
      </c>
      <c r="O979" s="8" t="s">
        <v>26</v>
      </c>
      <c r="P979" s="8" t="s">
        <v>26</v>
      </c>
      <c r="Q979" s="8">
        <f>(2375365*100)/2680339</f>
        <v>88.621812390149159</v>
      </c>
    </row>
    <row r="980" spans="1:17" x14ac:dyDescent="0.2">
      <c r="A980">
        <v>2011</v>
      </c>
      <c r="B980" t="s">
        <v>1176</v>
      </c>
      <c r="C980" t="s">
        <v>39</v>
      </c>
      <c r="D980" t="s">
        <v>40</v>
      </c>
      <c r="E980">
        <v>6</v>
      </c>
      <c r="F980" t="s">
        <v>19</v>
      </c>
      <c r="G980" t="s">
        <v>352</v>
      </c>
      <c r="H980" t="s">
        <v>1139</v>
      </c>
      <c r="I980" t="s">
        <v>22</v>
      </c>
      <c r="J980" t="s">
        <v>42</v>
      </c>
      <c r="K980" t="s">
        <v>24</v>
      </c>
      <c r="L980" t="s">
        <v>25</v>
      </c>
      <c r="M980" s="8" t="s">
        <v>26</v>
      </c>
      <c r="N980" t="s">
        <v>26</v>
      </c>
      <c r="O980" s="8" t="s">
        <v>26</v>
      </c>
      <c r="P980" s="8" t="s">
        <v>26</v>
      </c>
      <c r="Q980" s="8">
        <f>(2375365*100)/2680339</f>
        <v>88.621812390149159</v>
      </c>
    </row>
    <row r="981" spans="1:17" x14ac:dyDescent="0.2">
      <c r="A981">
        <v>2011</v>
      </c>
      <c r="B981" t="s">
        <v>1177</v>
      </c>
      <c r="C981" t="s">
        <v>39</v>
      </c>
      <c r="D981" t="s">
        <v>40</v>
      </c>
      <c r="E981">
        <v>6</v>
      </c>
      <c r="F981" t="s">
        <v>19</v>
      </c>
      <c r="G981" t="s">
        <v>352</v>
      </c>
      <c r="H981" t="s">
        <v>1139</v>
      </c>
      <c r="I981" t="s">
        <v>22</v>
      </c>
      <c r="J981" t="s">
        <v>42</v>
      </c>
      <c r="K981" t="s">
        <v>24</v>
      </c>
      <c r="L981" t="s">
        <v>25</v>
      </c>
      <c r="M981" s="8" t="s">
        <v>26</v>
      </c>
      <c r="N981" t="s">
        <v>26</v>
      </c>
      <c r="O981" s="8" t="s">
        <v>26</v>
      </c>
      <c r="P981" s="8" t="s">
        <v>26</v>
      </c>
      <c r="Q981" s="8">
        <f>(2375365*100)/2680339</f>
        <v>88.621812390149159</v>
      </c>
    </row>
    <row r="982" spans="1:17" x14ac:dyDescent="0.2">
      <c r="A982">
        <v>2011</v>
      </c>
      <c r="B982" t="s">
        <v>1178</v>
      </c>
      <c r="C982" t="s">
        <v>65</v>
      </c>
      <c r="D982" t="s">
        <v>58</v>
      </c>
      <c r="E982">
        <v>6</v>
      </c>
      <c r="F982" t="s">
        <v>19</v>
      </c>
      <c r="G982" t="s">
        <v>352</v>
      </c>
      <c r="H982" t="s">
        <v>1142</v>
      </c>
      <c r="I982" t="s">
        <v>22</v>
      </c>
      <c r="J982" t="s">
        <v>66</v>
      </c>
      <c r="K982" t="s">
        <v>24</v>
      </c>
      <c r="L982" t="s">
        <v>25</v>
      </c>
      <c r="M982" s="8">
        <v>1.1423333330000001</v>
      </c>
      <c r="N982" t="s">
        <v>26</v>
      </c>
      <c r="O982" s="8">
        <v>1.1423333330000001</v>
      </c>
      <c r="P982" s="8">
        <f>EXP(-1.363+3.366*LOG(O982,10))</f>
        <v>0.31084239358261528</v>
      </c>
      <c r="Q982" s="8">
        <f>(1788886*100)/6788946</f>
        <v>26.349981278389901</v>
      </c>
    </row>
    <row r="983" spans="1:17" x14ac:dyDescent="0.2">
      <c r="A983">
        <v>2011</v>
      </c>
      <c r="B983" t="s">
        <v>1179</v>
      </c>
      <c r="C983" t="s">
        <v>120</v>
      </c>
      <c r="D983" t="s">
        <v>71</v>
      </c>
      <c r="E983">
        <v>7</v>
      </c>
      <c r="F983" t="s">
        <v>19</v>
      </c>
      <c r="G983" t="s">
        <v>352</v>
      </c>
      <c r="H983" t="s">
        <v>1142</v>
      </c>
      <c r="I983" t="s">
        <v>22</v>
      </c>
      <c r="J983" t="s">
        <v>23</v>
      </c>
      <c r="K983" t="s">
        <v>24</v>
      </c>
      <c r="L983" t="s">
        <v>25</v>
      </c>
      <c r="M983" s="8">
        <v>1.1423333330000001</v>
      </c>
      <c r="N983" t="s">
        <v>26</v>
      </c>
      <c r="O983" s="8">
        <v>1.1423333330000001</v>
      </c>
      <c r="P983" s="8">
        <f>EXP(-1.363+3.366*LOG(O983,10))</f>
        <v>0.31084239358261528</v>
      </c>
      <c r="Q983" s="8">
        <f>(2256192*100)/6055896</f>
        <v>37.256121967748456</v>
      </c>
    </row>
    <row r="984" spans="1:17" x14ac:dyDescent="0.2">
      <c r="A984">
        <v>2011</v>
      </c>
      <c r="B984" t="s">
        <v>1180</v>
      </c>
      <c r="C984" t="s">
        <v>120</v>
      </c>
      <c r="D984" t="s">
        <v>71</v>
      </c>
      <c r="E984">
        <v>7</v>
      </c>
      <c r="F984" t="s">
        <v>19</v>
      </c>
      <c r="G984" t="s">
        <v>352</v>
      </c>
      <c r="H984" t="s">
        <v>1142</v>
      </c>
      <c r="I984" t="s">
        <v>22</v>
      </c>
      <c r="J984" t="s">
        <v>23</v>
      </c>
      <c r="K984" t="s">
        <v>24</v>
      </c>
      <c r="L984" t="s">
        <v>25</v>
      </c>
      <c r="M984" s="8">
        <v>1.1423333330000001</v>
      </c>
      <c r="N984" t="s">
        <v>26</v>
      </c>
      <c r="O984" s="8">
        <v>1.1423333330000001</v>
      </c>
      <c r="P984" s="8">
        <f>EXP(-1.363+3.366*LOG(O984,10))</f>
        <v>0.31084239358261528</v>
      </c>
      <c r="Q984" s="8">
        <f>(2256192*100)/6055896</f>
        <v>37.256121967748456</v>
      </c>
    </row>
    <row r="985" spans="1:17" x14ac:dyDescent="0.2">
      <c r="A985">
        <v>2011</v>
      </c>
      <c r="B985" t="s">
        <v>1181</v>
      </c>
      <c r="C985" t="s">
        <v>39</v>
      </c>
      <c r="D985" t="s">
        <v>55</v>
      </c>
      <c r="E985">
        <v>6</v>
      </c>
      <c r="F985" t="s">
        <v>19</v>
      </c>
      <c r="G985" t="s">
        <v>352</v>
      </c>
      <c r="H985" t="s">
        <v>1139</v>
      </c>
      <c r="I985" t="s">
        <v>22</v>
      </c>
      <c r="J985" t="s">
        <v>42</v>
      </c>
      <c r="K985" t="s">
        <v>24</v>
      </c>
      <c r="L985" t="s">
        <v>25</v>
      </c>
      <c r="M985" s="8" t="s">
        <v>26</v>
      </c>
      <c r="N985" t="s">
        <v>26</v>
      </c>
      <c r="O985" s="8" t="s">
        <v>26</v>
      </c>
      <c r="P985" s="8" t="s">
        <v>26</v>
      </c>
      <c r="Q985" s="8">
        <f>(2375365*100)/2680339</f>
        <v>88.621812390149159</v>
      </c>
    </row>
    <row r="986" spans="1:17" x14ac:dyDescent="0.2">
      <c r="A986">
        <v>2011</v>
      </c>
      <c r="B986" t="s">
        <v>1182</v>
      </c>
      <c r="C986" t="s">
        <v>39</v>
      </c>
      <c r="D986" t="s">
        <v>55</v>
      </c>
      <c r="E986">
        <v>6</v>
      </c>
      <c r="F986" t="s">
        <v>19</v>
      </c>
      <c r="G986" t="s">
        <v>352</v>
      </c>
      <c r="H986" t="s">
        <v>1139</v>
      </c>
      <c r="I986" t="s">
        <v>22</v>
      </c>
      <c r="J986" t="s">
        <v>42</v>
      </c>
      <c r="K986" t="s">
        <v>24</v>
      </c>
      <c r="L986" t="s">
        <v>25</v>
      </c>
      <c r="M986" s="8" t="s">
        <v>26</v>
      </c>
      <c r="N986" t="s">
        <v>26</v>
      </c>
      <c r="O986" s="8" t="s">
        <v>26</v>
      </c>
      <c r="P986" s="8" t="s">
        <v>26</v>
      </c>
      <c r="Q986" s="8">
        <f>(2375365*100)/2680339</f>
        <v>88.621812390149159</v>
      </c>
    </row>
    <row r="987" spans="1:17" x14ac:dyDescent="0.2">
      <c r="A987">
        <v>2011</v>
      </c>
      <c r="B987" t="s">
        <v>1183</v>
      </c>
      <c r="C987" t="s">
        <v>50</v>
      </c>
      <c r="D987" t="s">
        <v>55</v>
      </c>
      <c r="E987">
        <v>6</v>
      </c>
      <c r="F987" t="s">
        <v>19</v>
      </c>
      <c r="G987" t="s">
        <v>352</v>
      </c>
      <c r="H987" t="s">
        <v>1139</v>
      </c>
      <c r="I987" t="s">
        <v>22</v>
      </c>
      <c r="J987" t="s">
        <v>42</v>
      </c>
      <c r="K987" t="s">
        <v>24</v>
      </c>
      <c r="L987" t="s">
        <v>25</v>
      </c>
      <c r="M987" s="8" t="s">
        <v>26</v>
      </c>
      <c r="N987" t="s">
        <v>26</v>
      </c>
      <c r="O987" s="8" t="s">
        <v>26</v>
      </c>
      <c r="P987" s="8" t="s">
        <v>26</v>
      </c>
      <c r="Q987" s="8">
        <f>(4488342*100)/4914798</f>
        <v>91.323020803703429</v>
      </c>
    </row>
    <row r="988" spans="1:17" x14ac:dyDescent="0.2">
      <c r="A988">
        <v>2011</v>
      </c>
      <c r="B988" t="s">
        <v>1184</v>
      </c>
      <c r="C988" t="s">
        <v>50</v>
      </c>
      <c r="D988" t="s">
        <v>55</v>
      </c>
      <c r="E988">
        <v>6</v>
      </c>
      <c r="F988" t="s">
        <v>19</v>
      </c>
      <c r="G988" t="s">
        <v>352</v>
      </c>
      <c r="H988" t="s">
        <v>1139</v>
      </c>
      <c r="I988" t="s">
        <v>22</v>
      </c>
      <c r="J988" t="s">
        <v>42</v>
      </c>
      <c r="K988" t="s">
        <v>24</v>
      </c>
      <c r="L988" t="s">
        <v>25</v>
      </c>
      <c r="M988" s="8" t="s">
        <v>26</v>
      </c>
      <c r="N988" t="s">
        <v>26</v>
      </c>
      <c r="O988" s="8" t="s">
        <v>26</v>
      </c>
      <c r="P988" s="8" t="s">
        <v>26</v>
      </c>
      <c r="Q988" s="8">
        <f>(4488342*100)/4914798</f>
        <v>91.323020803703429</v>
      </c>
    </row>
    <row r="989" spans="1:17" x14ac:dyDescent="0.2">
      <c r="A989">
        <v>2011</v>
      </c>
      <c r="B989" t="s">
        <v>1185</v>
      </c>
      <c r="C989" t="s">
        <v>120</v>
      </c>
      <c r="D989" t="s">
        <v>71</v>
      </c>
      <c r="E989">
        <v>7</v>
      </c>
      <c r="F989" t="s">
        <v>19</v>
      </c>
      <c r="G989" t="s">
        <v>352</v>
      </c>
      <c r="H989" t="s">
        <v>1142</v>
      </c>
      <c r="I989" t="s">
        <v>22</v>
      </c>
      <c r="J989" t="s">
        <v>23</v>
      </c>
      <c r="K989" t="s">
        <v>24</v>
      </c>
      <c r="L989" t="s">
        <v>25</v>
      </c>
      <c r="M989" s="8">
        <v>1.1423333330000001</v>
      </c>
      <c r="N989" t="s">
        <v>26</v>
      </c>
      <c r="O989" s="8">
        <v>1.1423333330000001</v>
      </c>
      <c r="P989" s="8">
        <f>EXP(-1.363+3.366*LOG(O989,10))</f>
        <v>0.31084239358261528</v>
      </c>
      <c r="Q989" s="8">
        <f>(2256192*100)/6055896</f>
        <v>37.256121967748456</v>
      </c>
    </row>
    <row r="990" spans="1:17" x14ac:dyDescent="0.2">
      <c r="A990">
        <v>2011</v>
      </c>
      <c r="B990" t="s">
        <v>1186</v>
      </c>
      <c r="C990" t="s">
        <v>65</v>
      </c>
      <c r="D990" t="s">
        <v>71</v>
      </c>
      <c r="E990">
        <v>7</v>
      </c>
      <c r="F990" t="s">
        <v>19</v>
      </c>
      <c r="G990" t="s">
        <v>352</v>
      </c>
      <c r="H990" t="s">
        <v>1142</v>
      </c>
      <c r="I990" t="s">
        <v>22</v>
      </c>
      <c r="J990" t="s">
        <v>66</v>
      </c>
      <c r="K990" t="s">
        <v>24</v>
      </c>
      <c r="L990" t="s">
        <v>25</v>
      </c>
      <c r="M990" s="8">
        <v>1.1423333330000001</v>
      </c>
      <c r="N990" t="s">
        <v>26</v>
      </c>
      <c r="O990" s="8">
        <v>1.1423333330000001</v>
      </c>
      <c r="P990" s="8">
        <f>EXP(-1.363+3.366*LOG(O990,10))</f>
        <v>0.31084239358261528</v>
      </c>
      <c r="Q990" s="8">
        <f>(1788886*100)/6788946</f>
        <v>26.349981278389901</v>
      </c>
    </row>
    <row r="991" spans="1:17" x14ac:dyDescent="0.2">
      <c r="A991">
        <v>2011</v>
      </c>
      <c r="B991" t="s">
        <v>1187</v>
      </c>
      <c r="C991" t="s">
        <v>65</v>
      </c>
      <c r="D991" t="s">
        <v>71</v>
      </c>
      <c r="E991">
        <v>7</v>
      </c>
      <c r="F991" t="s">
        <v>19</v>
      </c>
      <c r="G991" t="s">
        <v>352</v>
      </c>
      <c r="H991" t="s">
        <v>1142</v>
      </c>
      <c r="I991" t="s">
        <v>22</v>
      </c>
      <c r="J991" t="s">
        <v>66</v>
      </c>
      <c r="K991" t="s">
        <v>24</v>
      </c>
      <c r="L991" t="s">
        <v>25</v>
      </c>
      <c r="M991" s="8">
        <v>1.1423333330000001</v>
      </c>
      <c r="N991" t="s">
        <v>26</v>
      </c>
      <c r="O991" s="8">
        <v>1.1423333330000001</v>
      </c>
      <c r="P991" s="8">
        <f>EXP(-1.363+3.366*LOG(O991,10))</f>
        <v>0.31084239358261528</v>
      </c>
      <c r="Q991" s="8">
        <f>(1788886*100)/6788946</f>
        <v>26.349981278389901</v>
      </c>
    </row>
    <row r="992" spans="1:17" x14ac:dyDescent="0.2">
      <c r="A992">
        <v>2011</v>
      </c>
      <c r="B992" t="s">
        <v>1188</v>
      </c>
      <c r="C992" t="s">
        <v>65</v>
      </c>
      <c r="D992" t="s">
        <v>71</v>
      </c>
      <c r="E992">
        <v>7</v>
      </c>
      <c r="F992" t="s">
        <v>19</v>
      </c>
      <c r="G992" t="s">
        <v>352</v>
      </c>
      <c r="H992" t="s">
        <v>1142</v>
      </c>
      <c r="I992" t="s">
        <v>22</v>
      </c>
      <c r="J992" t="s">
        <v>66</v>
      </c>
      <c r="K992" t="s">
        <v>24</v>
      </c>
      <c r="L992" t="s">
        <v>25</v>
      </c>
      <c r="M992" s="8">
        <v>1.1423333330000001</v>
      </c>
      <c r="N992" t="s">
        <v>26</v>
      </c>
      <c r="O992" s="8">
        <v>1.1423333330000001</v>
      </c>
      <c r="P992" s="8">
        <f>EXP(-1.363+3.366*LOG(O992,10))</f>
        <v>0.31084239358261528</v>
      </c>
      <c r="Q992" s="8">
        <f>(1788886*100)/6788946</f>
        <v>26.349981278389901</v>
      </c>
    </row>
    <row r="993" spans="1:17" x14ac:dyDescent="0.2">
      <c r="A993">
        <v>2011</v>
      </c>
      <c r="B993" t="s">
        <v>1189</v>
      </c>
      <c r="C993" t="s">
        <v>65</v>
      </c>
      <c r="D993" t="s">
        <v>71</v>
      </c>
      <c r="E993">
        <v>7</v>
      </c>
      <c r="F993" t="s">
        <v>19</v>
      </c>
      <c r="G993" t="s">
        <v>352</v>
      </c>
      <c r="H993" t="s">
        <v>1142</v>
      </c>
      <c r="I993" t="s">
        <v>22</v>
      </c>
      <c r="J993" t="s">
        <v>66</v>
      </c>
      <c r="K993" t="s">
        <v>24</v>
      </c>
      <c r="L993" t="s">
        <v>25</v>
      </c>
      <c r="M993" s="8">
        <v>1.1423333330000001</v>
      </c>
      <c r="N993" t="s">
        <v>26</v>
      </c>
      <c r="O993" s="8">
        <v>1.1423333330000001</v>
      </c>
      <c r="P993" s="8">
        <f>EXP(-1.363+3.366*LOG(O993,10))</f>
        <v>0.31084239358261528</v>
      </c>
      <c r="Q993" s="8">
        <f>(1788886*100)/6788946</f>
        <v>26.349981278389901</v>
      </c>
    </row>
    <row r="994" spans="1:17" x14ac:dyDescent="0.2">
      <c r="A994">
        <v>2011</v>
      </c>
      <c r="B994" t="s">
        <v>1190</v>
      </c>
      <c r="C994" t="s">
        <v>50</v>
      </c>
      <c r="D994" t="s">
        <v>53</v>
      </c>
      <c r="E994">
        <v>6</v>
      </c>
      <c r="F994" t="s">
        <v>19</v>
      </c>
      <c r="G994" t="s">
        <v>352</v>
      </c>
      <c r="H994" t="s">
        <v>1139</v>
      </c>
      <c r="I994" t="s">
        <v>22</v>
      </c>
      <c r="J994" t="s">
        <v>42</v>
      </c>
      <c r="K994" t="s">
        <v>24</v>
      </c>
      <c r="L994" t="s">
        <v>25</v>
      </c>
      <c r="M994" s="8" t="s">
        <v>26</v>
      </c>
      <c r="N994" t="s">
        <v>26</v>
      </c>
      <c r="O994" s="8" t="s">
        <v>26</v>
      </c>
      <c r="P994" s="8" t="s">
        <v>26</v>
      </c>
      <c r="Q994" s="8">
        <f>(4488342*100)/4914798</f>
        <v>91.323020803703429</v>
      </c>
    </row>
    <row r="995" spans="1:17" x14ac:dyDescent="0.2">
      <c r="A995">
        <v>2011</v>
      </c>
      <c r="B995" t="s">
        <v>1191</v>
      </c>
      <c r="C995" t="s">
        <v>50</v>
      </c>
      <c r="D995" t="s">
        <v>53</v>
      </c>
      <c r="E995">
        <v>6</v>
      </c>
      <c r="F995" t="s">
        <v>19</v>
      </c>
      <c r="G995" t="s">
        <v>352</v>
      </c>
      <c r="H995" t="s">
        <v>1139</v>
      </c>
      <c r="I995" t="s">
        <v>22</v>
      </c>
      <c r="J995" t="s">
        <v>42</v>
      </c>
      <c r="K995" t="s">
        <v>24</v>
      </c>
      <c r="L995" t="s">
        <v>25</v>
      </c>
      <c r="M995" s="8" t="s">
        <v>26</v>
      </c>
      <c r="N995" t="s">
        <v>26</v>
      </c>
      <c r="O995" s="8" t="s">
        <v>26</v>
      </c>
      <c r="P995" s="8" t="s">
        <v>26</v>
      </c>
      <c r="Q995" s="8">
        <f>(4488342*100)/4914798</f>
        <v>91.323020803703429</v>
      </c>
    </row>
    <row r="996" spans="1:17" x14ac:dyDescent="0.2">
      <c r="A996">
        <v>2011</v>
      </c>
      <c r="B996" t="s">
        <v>1192</v>
      </c>
      <c r="C996" t="s">
        <v>50</v>
      </c>
      <c r="D996" t="s">
        <v>53</v>
      </c>
      <c r="E996">
        <v>6</v>
      </c>
      <c r="F996" t="s">
        <v>19</v>
      </c>
      <c r="G996" t="s">
        <v>352</v>
      </c>
      <c r="H996" t="s">
        <v>1139</v>
      </c>
      <c r="I996" t="s">
        <v>22</v>
      </c>
      <c r="J996" t="s">
        <v>42</v>
      </c>
      <c r="K996" t="s">
        <v>24</v>
      </c>
      <c r="L996" t="s">
        <v>25</v>
      </c>
      <c r="M996" s="8" t="s">
        <v>26</v>
      </c>
      <c r="N996" t="s">
        <v>26</v>
      </c>
      <c r="O996" s="8" t="s">
        <v>26</v>
      </c>
      <c r="P996" s="8" t="s">
        <v>26</v>
      </c>
      <c r="Q996" s="8">
        <f>(4488342*100)/4914798</f>
        <v>91.323020803703429</v>
      </c>
    </row>
    <row r="997" spans="1:17" x14ac:dyDescent="0.2">
      <c r="A997">
        <v>2011</v>
      </c>
      <c r="B997" t="s">
        <v>1193</v>
      </c>
      <c r="C997" t="s">
        <v>50</v>
      </c>
      <c r="D997" t="s">
        <v>53</v>
      </c>
      <c r="E997">
        <v>6</v>
      </c>
      <c r="F997" t="s">
        <v>19</v>
      </c>
      <c r="G997" t="s">
        <v>352</v>
      </c>
      <c r="H997" t="s">
        <v>1139</v>
      </c>
      <c r="I997" t="s">
        <v>22</v>
      </c>
      <c r="J997" t="s">
        <v>42</v>
      </c>
      <c r="K997" t="s">
        <v>24</v>
      </c>
      <c r="L997" t="s">
        <v>25</v>
      </c>
      <c r="M997" s="8" t="s">
        <v>26</v>
      </c>
      <c r="N997" t="s">
        <v>26</v>
      </c>
      <c r="O997" s="8" t="s">
        <v>26</v>
      </c>
      <c r="P997" s="8" t="s">
        <v>26</v>
      </c>
      <c r="Q997" s="8">
        <f>(4488342*100)/4914798</f>
        <v>91.323020803703429</v>
      </c>
    </row>
    <row r="998" spans="1:17" x14ac:dyDescent="0.2">
      <c r="A998">
        <v>2011</v>
      </c>
      <c r="B998" t="s">
        <v>1194</v>
      </c>
      <c r="C998" t="s">
        <v>120</v>
      </c>
      <c r="D998" t="s">
        <v>58</v>
      </c>
      <c r="E998">
        <v>6</v>
      </c>
      <c r="F998" t="s">
        <v>19</v>
      </c>
      <c r="G998" t="s">
        <v>352</v>
      </c>
      <c r="H998" t="s">
        <v>1142</v>
      </c>
      <c r="I998" t="s">
        <v>22</v>
      </c>
      <c r="J998" t="s">
        <v>23</v>
      </c>
      <c r="K998" t="s">
        <v>24</v>
      </c>
      <c r="L998" t="s">
        <v>25</v>
      </c>
      <c r="M998" s="8">
        <v>1.1423333330000001</v>
      </c>
      <c r="N998" t="s">
        <v>26</v>
      </c>
      <c r="O998" s="8">
        <v>1.1423333330000001</v>
      </c>
      <c r="P998" s="8">
        <f>EXP(-1.363+3.366*LOG(O998,10))</f>
        <v>0.31084239358261528</v>
      </c>
      <c r="Q998" s="8">
        <f>(2256192*100)/6055896</f>
        <v>37.256121967748456</v>
      </c>
    </row>
    <row r="999" spans="1:17" x14ac:dyDescent="0.2">
      <c r="A999">
        <v>2011</v>
      </c>
      <c r="B999" t="s">
        <v>1195</v>
      </c>
      <c r="C999" t="s">
        <v>57</v>
      </c>
      <c r="D999" t="s">
        <v>71</v>
      </c>
      <c r="E999">
        <v>7</v>
      </c>
      <c r="F999" t="s">
        <v>19</v>
      </c>
      <c r="G999" t="s">
        <v>352</v>
      </c>
      <c r="H999" t="s">
        <v>1142</v>
      </c>
      <c r="I999" t="s">
        <v>22</v>
      </c>
      <c r="J999" t="s">
        <v>31</v>
      </c>
      <c r="K999" t="s">
        <v>24</v>
      </c>
      <c r="L999" t="s">
        <v>25</v>
      </c>
      <c r="M999" s="8">
        <v>1.1423333330000001</v>
      </c>
      <c r="N999" t="s">
        <v>26</v>
      </c>
      <c r="O999" s="8">
        <v>1.1423333330000001</v>
      </c>
      <c r="P999" s="8">
        <f>EXP(-1.363+3.366*LOG(O999,10))</f>
        <v>0.31084239358261528</v>
      </c>
      <c r="Q999" s="8">
        <f>(321151.3*100)/5927002</f>
        <v>5.4184442657518925</v>
      </c>
    </row>
    <row r="1000" spans="1:17" x14ac:dyDescent="0.2">
      <c r="A1000">
        <v>2011</v>
      </c>
      <c r="B1000" t="s">
        <v>1196</v>
      </c>
      <c r="C1000" t="s">
        <v>34</v>
      </c>
      <c r="D1000" t="s">
        <v>40</v>
      </c>
      <c r="E1000">
        <v>6</v>
      </c>
      <c r="F1000" t="s">
        <v>19</v>
      </c>
      <c r="G1000" t="s">
        <v>352</v>
      </c>
      <c r="H1000" t="s">
        <v>1139</v>
      </c>
      <c r="I1000" t="s">
        <v>22</v>
      </c>
      <c r="J1000" t="s">
        <v>23</v>
      </c>
      <c r="K1000" t="s">
        <v>24</v>
      </c>
      <c r="L1000" t="s">
        <v>25</v>
      </c>
      <c r="M1000" s="8" t="s">
        <v>26</v>
      </c>
      <c r="N1000" t="s">
        <v>26</v>
      </c>
      <c r="O1000" s="8" t="s">
        <v>26</v>
      </c>
      <c r="P1000" s="8" t="s">
        <v>26</v>
      </c>
      <c r="Q1000" s="8">
        <f>(1478835*100)/2190162</f>
        <v>67.5217175715769</v>
      </c>
    </row>
    <row r="1001" spans="1:17" x14ac:dyDescent="0.2">
      <c r="A1001">
        <v>2011</v>
      </c>
      <c r="B1001" t="s">
        <v>1197</v>
      </c>
      <c r="C1001" t="s">
        <v>50</v>
      </c>
      <c r="D1001" t="s">
        <v>55</v>
      </c>
      <c r="E1001">
        <v>6</v>
      </c>
      <c r="F1001" t="s">
        <v>19</v>
      </c>
      <c r="G1001" t="s">
        <v>352</v>
      </c>
      <c r="H1001" t="s">
        <v>1139</v>
      </c>
      <c r="I1001" t="s">
        <v>22</v>
      </c>
      <c r="J1001" t="s">
        <v>42</v>
      </c>
      <c r="K1001" t="s">
        <v>24</v>
      </c>
      <c r="L1001" t="s">
        <v>25</v>
      </c>
      <c r="M1001" s="8" t="s">
        <v>26</v>
      </c>
      <c r="N1001" t="s">
        <v>26</v>
      </c>
      <c r="O1001" s="8" t="s">
        <v>26</v>
      </c>
      <c r="P1001" s="8" t="s">
        <v>26</v>
      </c>
      <c r="Q1001" s="8">
        <f>(4488342*100)/4914798</f>
        <v>91.323020803703429</v>
      </c>
    </row>
    <row r="1002" spans="1:17" x14ac:dyDescent="0.2">
      <c r="A1002">
        <v>2011</v>
      </c>
      <c r="B1002" t="s">
        <v>1198</v>
      </c>
      <c r="C1002" t="s">
        <v>50</v>
      </c>
      <c r="D1002" t="s">
        <v>55</v>
      </c>
      <c r="E1002">
        <v>6</v>
      </c>
      <c r="F1002" t="s">
        <v>19</v>
      </c>
      <c r="G1002" t="s">
        <v>352</v>
      </c>
      <c r="H1002" t="s">
        <v>1139</v>
      </c>
      <c r="I1002" t="s">
        <v>22</v>
      </c>
      <c r="J1002" t="s">
        <v>42</v>
      </c>
      <c r="K1002" t="s">
        <v>24</v>
      </c>
      <c r="L1002" t="s">
        <v>25</v>
      </c>
      <c r="M1002" s="8" t="s">
        <v>26</v>
      </c>
      <c r="N1002" t="s">
        <v>26</v>
      </c>
      <c r="O1002" s="8" t="s">
        <v>26</v>
      </c>
      <c r="P1002" s="8" t="s">
        <v>26</v>
      </c>
      <c r="Q1002" s="8">
        <f>(4488342*100)/4914798</f>
        <v>91.323020803703429</v>
      </c>
    </row>
    <row r="1003" spans="1:17" x14ac:dyDescent="0.2">
      <c r="A1003">
        <v>2011</v>
      </c>
      <c r="B1003" t="s">
        <v>1199</v>
      </c>
      <c r="C1003" t="s">
        <v>17</v>
      </c>
      <c r="D1003" t="s">
        <v>63</v>
      </c>
      <c r="E1003">
        <v>6</v>
      </c>
      <c r="F1003" t="s">
        <v>19</v>
      </c>
      <c r="G1003" t="s">
        <v>352</v>
      </c>
      <c r="H1003" t="s">
        <v>1142</v>
      </c>
      <c r="I1003" t="s">
        <v>22</v>
      </c>
      <c r="J1003" t="s">
        <v>23</v>
      </c>
      <c r="K1003" t="s">
        <v>24</v>
      </c>
      <c r="L1003" t="s">
        <v>25</v>
      </c>
      <c r="M1003" s="8">
        <v>1.1423333330000001</v>
      </c>
      <c r="N1003" t="s">
        <v>26</v>
      </c>
      <c r="O1003" s="8">
        <v>1.1423333330000001</v>
      </c>
      <c r="P1003" s="8">
        <f>EXP(-1.363+3.366*LOG(O1003,10))</f>
        <v>0.31084239358261528</v>
      </c>
      <c r="Q1003" s="8">
        <f>(605161.6*100)/5834449</f>
        <v>10.372215096918321</v>
      </c>
    </row>
    <row r="1004" spans="1:17" x14ac:dyDescent="0.2">
      <c r="A1004">
        <v>2011</v>
      </c>
      <c r="B1004" t="s">
        <v>1200</v>
      </c>
      <c r="C1004" t="s">
        <v>17</v>
      </c>
      <c r="D1004" t="s">
        <v>63</v>
      </c>
      <c r="E1004">
        <v>6</v>
      </c>
      <c r="F1004" t="s">
        <v>19</v>
      </c>
      <c r="G1004" t="s">
        <v>352</v>
      </c>
      <c r="H1004" t="s">
        <v>1142</v>
      </c>
      <c r="I1004" t="s">
        <v>22</v>
      </c>
      <c r="J1004" t="s">
        <v>23</v>
      </c>
      <c r="K1004" t="s">
        <v>24</v>
      </c>
      <c r="L1004" t="s">
        <v>25</v>
      </c>
      <c r="M1004" s="8">
        <v>1.1423333330000001</v>
      </c>
      <c r="N1004" t="s">
        <v>26</v>
      </c>
      <c r="O1004" s="8">
        <v>1.1423333330000001</v>
      </c>
      <c r="P1004" s="8">
        <f>EXP(-1.363+3.366*LOG(O1004,10))</f>
        <v>0.31084239358261528</v>
      </c>
      <c r="Q1004" s="8">
        <f>(605161.6*100)/5834449</f>
        <v>10.372215096918321</v>
      </c>
    </row>
    <row r="1005" spans="1:17" x14ac:dyDescent="0.2">
      <c r="A1005">
        <v>2011</v>
      </c>
      <c r="B1005" t="s">
        <v>1201</v>
      </c>
      <c r="C1005" t="s">
        <v>17</v>
      </c>
      <c r="D1005" t="s">
        <v>63</v>
      </c>
      <c r="E1005">
        <v>6</v>
      </c>
      <c r="F1005" t="s">
        <v>19</v>
      </c>
      <c r="G1005" t="s">
        <v>352</v>
      </c>
      <c r="H1005" t="s">
        <v>1142</v>
      </c>
      <c r="I1005" t="s">
        <v>22</v>
      </c>
      <c r="J1005" t="s">
        <v>23</v>
      </c>
      <c r="K1005" t="s">
        <v>24</v>
      </c>
      <c r="L1005" t="s">
        <v>25</v>
      </c>
      <c r="M1005" s="8">
        <v>1.1423333330000001</v>
      </c>
      <c r="N1005" t="s">
        <v>26</v>
      </c>
      <c r="O1005" s="8">
        <v>1.1423333330000001</v>
      </c>
      <c r="P1005" s="8">
        <f>EXP(-1.363+3.366*LOG(O1005,10))</f>
        <v>0.31084239358261528</v>
      </c>
      <c r="Q1005" s="8">
        <f>(605161.6*100)/5834449</f>
        <v>10.372215096918321</v>
      </c>
    </row>
    <row r="1006" spans="1:17" x14ac:dyDescent="0.2">
      <c r="A1006">
        <v>2011</v>
      </c>
      <c r="B1006" t="s">
        <v>1202</v>
      </c>
      <c r="C1006" t="s">
        <v>17</v>
      </c>
      <c r="D1006" t="s">
        <v>63</v>
      </c>
      <c r="E1006">
        <v>6</v>
      </c>
      <c r="F1006" t="s">
        <v>19</v>
      </c>
      <c r="G1006" t="s">
        <v>352</v>
      </c>
      <c r="H1006" t="s">
        <v>1142</v>
      </c>
      <c r="I1006" t="s">
        <v>22</v>
      </c>
      <c r="J1006" t="s">
        <v>23</v>
      </c>
      <c r="K1006" t="s">
        <v>24</v>
      </c>
      <c r="L1006" t="s">
        <v>25</v>
      </c>
      <c r="M1006" s="8">
        <v>1.1423333330000001</v>
      </c>
      <c r="N1006" t="s">
        <v>26</v>
      </c>
      <c r="O1006" s="8">
        <v>1.1423333330000001</v>
      </c>
      <c r="P1006" s="8">
        <f>EXP(-1.363+3.366*LOG(O1006,10))</f>
        <v>0.31084239358261528</v>
      </c>
      <c r="Q1006" s="8">
        <f>(605161.6*100)/5834449</f>
        <v>10.372215096918321</v>
      </c>
    </row>
    <row r="1007" spans="1:17" x14ac:dyDescent="0.2">
      <c r="A1007">
        <v>2011</v>
      </c>
      <c r="B1007" t="s">
        <v>1203</v>
      </c>
      <c r="C1007" t="s">
        <v>17</v>
      </c>
      <c r="D1007" t="s">
        <v>63</v>
      </c>
      <c r="E1007">
        <v>6</v>
      </c>
      <c r="F1007" t="s">
        <v>19</v>
      </c>
      <c r="G1007" t="s">
        <v>352</v>
      </c>
      <c r="H1007" t="s">
        <v>1142</v>
      </c>
      <c r="I1007" t="s">
        <v>22</v>
      </c>
      <c r="J1007" t="s">
        <v>23</v>
      </c>
      <c r="K1007" t="s">
        <v>24</v>
      </c>
      <c r="L1007" t="s">
        <v>25</v>
      </c>
      <c r="M1007" s="8">
        <v>1.1423333330000001</v>
      </c>
      <c r="N1007" t="s">
        <v>26</v>
      </c>
      <c r="O1007" s="8">
        <v>1.1423333330000001</v>
      </c>
      <c r="P1007" s="8">
        <f>EXP(-1.363+3.366*LOG(O1007,10))</f>
        <v>0.31084239358261528</v>
      </c>
      <c r="Q1007" s="8">
        <f>(605161.6*100)/5834449</f>
        <v>10.372215096918321</v>
      </c>
    </row>
    <row r="1008" spans="1:17" x14ac:dyDescent="0.2">
      <c r="A1008">
        <v>2011</v>
      </c>
      <c r="B1008" t="s">
        <v>1204</v>
      </c>
      <c r="C1008" t="s">
        <v>17</v>
      </c>
      <c r="D1008" t="s">
        <v>63</v>
      </c>
      <c r="E1008">
        <v>6</v>
      </c>
      <c r="F1008" t="s">
        <v>19</v>
      </c>
      <c r="G1008" t="s">
        <v>352</v>
      </c>
      <c r="H1008" t="s">
        <v>1142</v>
      </c>
      <c r="I1008" t="s">
        <v>22</v>
      </c>
      <c r="J1008" t="s">
        <v>23</v>
      </c>
      <c r="K1008" t="s">
        <v>24</v>
      </c>
      <c r="L1008" t="s">
        <v>25</v>
      </c>
      <c r="M1008" s="8">
        <v>1.1423333330000001</v>
      </c>
      <c r="N1008" t="s">
        <v>26</v>
      </c>
      <c r="O1008" s="8">
        <v>1.1423333330000001</v>
      </c>
      <c r="P1008" s="8">
        <f>EXP(-1.363+3.366*LOG(O1008,10))</f>
        <v>0.31084239358261528</v>
      </c>
      <c r="Q1008" s="8">
        <f>(605161.6*100)/5834449</f>
        <v>10.372215096918321</v>
      </c>
    </row>
    <row r="1009" spans="1:17" x14ac:dyDescent="0.2">
      <c r="A1009">
        <v>2011</v>
      </c>
      <c r="B1009" t="s">
        <v>1205</v>
      </c>
      <c r="C1009" t="s">
        <v>94</v>
      </c>
      <c r="D1009" t="s">
        <v>63</v>
      </c>
      <c r="E1009">
        <v>6</v>
      </c>
      <c r="F1009" t="s">
        <v>19</v>
      </c>
      <c r="G1009" t="s">
        <v>352</v>
      </c>
      <c r="H1009" t="s">
        <v>1142</v>
      </c>
      <c r="I1009" t="s">
        <v>22</v>
      </c>
      <c r="J1009" t="s">
        <v>66</v>
      </c>
      <c r="K1009" t="s">
        <v>24</v>
      </c>
      <c r="L1009" t="s">
        <v>25</v>
      </c>
      <c r="M1009" s="8">
        <v>1.1423333330000001</v>
      </c>
      <c r="N1009" t="s">
        <v>26</v>
      </c>
      <c r="O1009" s="8">
        <v>1.1423333330000001</v>
      </c>
      <c r="P1009" s="8">
        <f>EXP(-1.363+3.366*LOG(O1009,10))</f>
        <v>0.31084239358261528</v>
      </c>
      <c r="Q1009" s="8">
        <f>(46623.23*100)/15165196</f>
        <v>0.30743572321782059</v>
      </c>
    </row>
    <row r="1010" spans="1:17" x14ac:dyDescent="0.2">
      <c r="A1010">
        <v>2011</v>
      </c>
      <c r="B1010" t="s">
        <v>1206</v>
      </c>
      <c r="C1010" t="s">
        <v>94</v>
      </c>
      <c r="D1010" t="s">
        <v>63</v>
      </c>
      <c r="E1010">
        <v>6</v>
      </c>
      <c r="F1010" t="s">
        <v>19</v>
      </c>
      <c r="G1010" t="s">
        <v>352</v>
      </c>
      <c r="H1010" t="s">
        <v>1142</v>
      </c>
      <c r="I1010" t="s">
        <v>22</v>
      </c>
      <c r="J1010" t="s">
        <v>66</v>
      </c>
      <c r="K1010" t="s">
        <v>24</v>
      </c>
      <c r="L1010" t="s">
        <v>25</v>
      </c>
      <c r="M1010" s="8">
        <v>1.1423333330000001</v>
      </c>
      <c r="N1010" t="s">
        <v>26</v>
      </c>
      <c r="O1010" s="8">
        <v>1.1423333330000001</v>
      </c>
      <c r="P1010" s="8">
        <f>EXP(-1.363+3.366*LOG(O1010,10))</f>
        <v>0.31084239358261528</v>
      </c>
      <c r="Q1010" s="8">
        <f>(46623.23*100)/15165196</f>
        <v>0.30743572321782059</v>
      </c>
    </row>
    <row r="1011" spans="1:17" x14ac:dyDescent="0.2">
      <c r="A1011">
        <v>2011</v>
      </c>
      <c r="B1011" t="s">
        <v>1207</v>
      </c>
      <c r="C1011" t="s">
        <v>94</v>
      </c>
      <c r="D1011" t="s">
        <v>63</v>
      </c>
      <c r="E1011">
        <v>6</v>
      </c>
      <c r="F1011" t="s">
        <v>19</v>
      </c>
      <c r="G1011" t="s">
        <v>352</v>
      </c>
      <c r="H1011" t="s">
        <v>1142</v>
      </c>
      <c r="I1011" t="s">
        <v>22</v>
      </c>
      <c r="J1011" t="s">
        <v>66</v>
      </c>
      <c r="K1011" t="s">
        <v>24</v>
      </c>
      <c r="L1011" t="s">
        <v>25</v>
      </c>
      <c r="M1011" s="8">
        <v>1.1423333330000001</v>
      </c>
      <c r="N1011" t="s">
        <v>26</v>
      </c>
      <c r="O1011" s="8">
        <v>1.1423333330000001</v>
      </c>
      <c r="P1011" s="8">
        <f>EXP(-1.363+3.366*LOG(O1011,10))</f>
        <v>0.31084239358261528</v>
      </c>
      <c r="Q1011" s="8">
        <f>(46623.23*100)/15165196</f>
        <v>0.30743572321782059</v>
      </c>
    </row>
    <row r="1012" spans="1:17" x14ac:dyDescent="0.2">
      <c r="A1012">
        <v>2011</v>
      </c>
      <c r="B1012" t="s">
        <v>1208</v>
      </c>
      <c r="C1012" t="s">
        <v>94</v>
      </c>
      <c r="D1012" t="s">
        <v>63</v>
      </c>
      <c r="E1012">
        <v>6</v>
      </c>
      <c r="F1012" t="s">
        <v>19</v>
      </c>
      <c r="G1012" t="s">
        <v>352</v>
      </c>
      <c r="H1012" t="s">
        <v>1142</v>
      </c>
      <c r="I1012" t="s">
        <v>22</v>
      </c>
      <c r="J1012" t="s">
        <v>66</v>
      </c>
      <c r="K1012" t="s">
        <v>24</v>
      </c>
      <c r="L1012" t="s">
        <v>25</v>
      </c>
      <c r="M1012" s="8">
        <v>1.1423333330000001</v>
      </c>
      <c r="N1012" t="s">
        <v>26</v>
      </c>
      <c r="O1012" s="8">
        <v>1.1423333330000001</v>
      </c>
      <c r="P1012" s="8">
        <f>EXP(-1.363+3.366*LOG(O1012,10))</f>
        <v>0.31084239358261528</v>
      </c>
      <c r="Q1012" s="8">
        <f>(46623.23*100)/15165196</f>
        <v>0.30743572321782059</v>
      </c>
    </row>
    <row r="1013" spans="1:17" x14ac:dyDescent="0.2">
      <c r="A1013">
        <v>2011</v>
      </c>
      <c r="B1013" t="s">
        <v>1209</v>
      </c>
      <c r="C1013" t="s">
        <v>94</v>
      </c>
      <c r="D1013" t="s">
        <v>63</v>
      </c>
      <c r="E1013">
        <v>6</v>
      </c>
      <c r="F1013" t="s">
        <v>19</v>
      </c>
      <c r="G1013" t="s">
        <v>352</v>
      </c>
      <c r="H1013" t="s">
        <v>1142</v>
      </c>
      <c r="I1013" t="s">
        <v>22</v>
      </c>
      <c r="J1013" t="s">
        <v>66</v>
      </c>
      <c r="K1013" t="s">
        <v>24</v>
      </c>
      <c r="L1013" t="s">
        <v>25</v>
      </c>
      <c r="M1013" s="8">
        <v>1.1423333330000001</v>
      </c>
      <c r="N1013" t="s">
        <v>26</v>
      </c>
      <c r="O1013" s="8">
        <v>1.1423333330000001</v>
      </c>
      <c r="P1013" s="8">
        <f>EXP(-1.363+3.366*LOG(O1013,10))</f>
        <v>0.31084239358261528</v>
      </c>
      <c r="Q1013" s="8">
        <f>(46623.23*100)/15165196</f>
        <v>0.30743572321782059</v>
      </c>
    </row>
    <row r="1014" spans="1:17" x14ac:dyDescent="0.2">
      <c r="A1014">
        <v>2011</v>
      </c>
      <c r="B1014" t="s">
        <v>1210</v>
      </c>
      <c r="C1014" t="s">
        <v>94</v>
      </c>
      <c r="D1014" t="s">
        <v>63</v>
      </c>
      <c r="E1014">
        <v>6</v>
      </c>
      <c r="F1014" t="s">
        <v>19</v>
      </c>
      <c r="G1014" t="s">
        <v>352</v>
      </c>
      <c r="H1014" t="s">
        <v>1142</v>
      </c>
      <c r="I1014" t="s">
        <v>22</v>
      </c>
      <c r="J1014" t="s">
        <v>66</v>
      </c>
      <c r="K1014" t="s">
        <v>24</v>
      </c>
      <c r="L1014" t="s">
        <v>25</v>
      </c>
      <c r="M1014" s="8">
        <v>1.1423333330000001</v>
      </c>
      <c r="N1014" t="s">
        <v>26</v>
      </c>
      <c r="O1014" s="8">
        <v>1.1423333330000001</v>
      </c>
      <c r="P1014" s="8">
        <f>EXP(-1.363+3.366*LOG(O1014,10))</f>
        <v>0.31084239358261528</v>
      </c>
      <c r="Q1014" s="8">
        <f>(46623.23*100)/15165196</f>
        <v>0.30743572321782059</v>
      </c>
    </row>
    <row r="1015" spans="1:17" x14ac:dyDescent="0.2">
      <c r="A1015">
        <v>2011</v>
      </c>
      <c r="B1015" t="s">
        <v>1211</v>
      </c>
      <c r="C1015" t="s">
        <v>65</v>
      </c>
      <c r="D1015" t="s">
        <v>58</v>
      </c>
      <c r="E1015">
        <v>6</v>
      </c>
      <c r="F1015" t="s">
        <v>19</v>
      </c>
      <c r="G1015" t="s">
        <v>352</v>
      </c>
      <c r="H1015" t="s">
        <v>1142</v>
      </c>
      <c r="I1015" t="s">
        <v>22</v>
      </c>
      <c r="J1015" t="s">
        <v>66</v>
      </c>
      <c r="K1015" t="s">
        <v>24</v>
      </c>
      <c r="L1015" t="s">
        <v>25</v>
      </c>
      <c r="M1015" s="8">
        <v>1.1423333330000001</v>
      </c>
      <c r="N1015" t="s">
        <v>26</v>
      </c>
      <c r="O1015" s="8">
        <v>1.1423333330000001</v>
      </c>
      <c r="P1015" s="8">
        <f>EXP(-1.363+3.366*LOG(O1015,10))</f>
        <v>0.31084239358261528</v>
      </c>
      <c r="Q1015" s="8">
        <f>(1788886*100)/6788946</f>
        <v>26.349981278389901</v>
      </c>
    </row>
    <row r="1016" spans="1:17" x14ac:dyDescent="0.2">
      <c r="A1016">
        <v>2011</v>
      </c>
      <c r="B1016" t="s">
        <v>1212</v>
      </c>
      <c r="C1016" t="s">
        <v>65</v>
      </c>
      <c r="D1016" t="s">
        <v>58</v>
      </c>
      <c r="E1016">
        <v>6</v>
      </c>
      <c r="F1016" t="s">
        <v>19</v>
      </c>
      <c r="G1016" t="s">
        <v>352</v>
      </c>
      <c r="H1016" t="s">
        <v>1142</v>
      </c>
      <c r="I1016" t="s">
        <v>22</v>
      </c>
      <c r="J1016" t="s">
        <v>66</v>
      </c>
      <c r="K1016" t="s">
        <v>24</v>
      </c>
      <c r="L1016" t="s">
        <v>25</v>
      </c>
      <c r="M1016" s="8">
        <v>1.1423333330000001</v>
      </c>
      <c r="N1016" t="s">
        <v>26</v>
      </c>
      <c r="O1016" s="8">
        <v>1.1423333330000001</v>
      </c>
      <c r="P1016" s="8">
        <f>EXP(-1.363+3.366*LOG(O1016,10))</f>
        <v>0.31084239358261528</v>
      </c>
      <c r="Q1016" s="8">
        <f>(1788886*100)/6788946</f>
        <v>26.349981278389901</v>
      </c>
    </row>
    <row r="1017" spans="1:17" x14ac:dyDescent="0.2">
      <c r="A1017">
        <v>2011</v>
      </c>
      <c r="B1017" t="s">
        <v>1213</v>
      </c>
      <c r="C1017" t="s">
        <v>65</v>
      </c>
      <c r="D1017" t="s">
        <v>58</v>
      </c>
      <c r="E1017">
        <v>6</v>
      </c>
      <c r="F1017" t="s">
        <v>19</v>
      </c>
      <c r="G1017" t="s">
        <v>352</v>
      </c>
      <c r="H1017" t="s">
        <v>1142</v>
      </c>
      <c r="I1017" t="s">
        <v>22</v>
      </c>
      <c r="J1017" t="s">
        <v>66</v>
      </c>
      <c r="K1017" t="s">
        <v>24</v>
      </c>
      <c r="L1017" t="s">
        <v>25</v>
      </c>
      <c r="M1017" s="8">
        <v>1.1423333330000001</v>
      </c>
      <c r="N1017" t="s">
        <v>26</v>
      </c>
      <c r="O1017" s="8">
        <v>1.1423333330000001</v>
      </c>
      <c r="P1017" s="8">
        <f>EXP(-1.363+3.366*LOG(O1017,10))</f>
        <v>0.31084239358261528</v>
      </c>
      <c r="Q1017" s="8">
        <f>(1788886*100)/6788946</f>
        <v>26.349981278389901</v>
      </c>
    </row>
    <row r="1018" spans="1:17" x14ac:dyDescent="0.2">
      <c r="A1018">
        <v>2011</v>
      </c>
      <c r="B1018" t="s">
        <v>1214</v>
      </c>
      <c r="C1018" t="s">
        <v>65</v>
      </c>
      <c r="D1018" t="s">
        <v>58</v>
      </c>
      <c r="E1018">
        <v>6</v>
      </c>
      <c r="F1018" t="s">
        <v>19</v>
      </c>
      <c r="G1018" t="s">
        <v>352</v>
      </c>
      <c r="H1018" t="s">
        <v>1142</v>
      </c>
      <c r="I1018" t="s">
        <v>22</v>
      </c>
      <c r="J1018" t="s">
        <v>66</v>
      </c>
      <c r="K1018" t="s">
        <v>24</v>
      </c>
      <c r="L1018" t="s">
        <v>25</v>
      </c>
      <c r="M1018" s="8">
        <v>1.1423333330000001</v>
      </c>
      <c r="N1018" t="s">
        <v>26</v>
      </c>
      <c r="O1018" s="8">
        <v>1.1423333330000001</v>
      </c>
      <c r="P1018" s="8">
        <f>EXP(-1.363+3.366*LOG(O1018,10))</f>
        <v>0.31084239358261528</v>
      </c>
      <c r="Q1018" s="8">
        <f>(1788886*100)/6788946</f>
        <v>26.349981278389901</v>
      </c>
    </row>
    <row r="1019" spans="1:17" x14ac:dyDescent="0.2">
      <c r="A1019">
        <v>2011</v>
      </c>
      <c r="B1019" t="s">
        <v>1215</v>
      </c>
      <c r="C1019" t="s">
        <v>17</v>
      </c>
      <c r="D1019" t="s">
        <v>95</v>
      </c>
      <c r="E1019">
        <v>7</v>
      </c>
      <c r="F1019" t="s">
        <v>19</v>
      </c>
      <c r="G1019" t="s">
        <v>352</v>
      </c>
      <c r="H1019" t="s">
        <v>1142</v>
      </c>
      <c r="I1019" t="s">
        <v>22</v>
      </c>
      <c r="J1019" t="s">
        <v>23</v>
      </c>
      <c r="K1019" t="s">
        <v>24</v>
      </c>
      <c r="L1019" t="s">
        <v>25</v>
      </c>
      <c r="M1019" s="8">
        <v>1.1423333330000001</v>
      </c>
      <c r="N1019" t="s">
        <v>26</v>
      </c>
      <c r="O1019" s="8">
        <v>1.1423333330000001</v>
      </c>
      <c r="P1019" s="8">
        <f>EXP(-1.363+3.366*LOG(O1019,10))</f>
        <v>0.31084239358261528</v>
      </c>
      <c r="Q1019" s="8">
        <f>(605161.6*100)/5834449</f>
        <v>10.372215096918321</v>
      </c>
    </row>
    <row r="1020" spans="1:17" x14ac:dyDescent="0.2">
      <c r="A1020">
        <v>2011</v>
      </c>
      <c r="B1020" t="s">
        <v>1216</v>
      </c>
      <c r="C1020" t="s">
        <v>17</v>
      </c>
      <c r="D1020" t="s">
        <v>95</v>
      </c>
      <c r="E1020">
        <v>7</v>
      </c>
      <c r="F1020" t="s">
        <v>19</v>
      </c>
      <c r="G1020" t="s">
        <v>352</v>
      </c>
      <c r="H1020" t="s">
        <v>1142</v>
      </c>
      <c r="I1020" t="s">
        <v>22</v>
      </c>
      <c r="J1020" t="s">
        <v>23</v>
      </c>
      <c r="K1020" t="s">
        <v>24</v>
      </c>
      <c r="L1020" t="s">
        <v>25</v>
      </c>
      <c r="M1020" s="8">
        <v>1.1423333330000001</v>
      </c>
      <c r="N1020" t="s">
        <v>26</v>
      </c>
      <c r="O1020" s="8">
        <v>1.1423333330000001</v>
      </c>
      <c r="P1020" s="8">
        <f>EXP(-1.363+3.366*LOG(O1020,10))</f>
        <v>0.31084239358261528</v>
      </c>
      <c r="Q1020" s="8">
        <f>(605161.6*100)/5834449</f>
        <v>10.372215096918321</v>
      </c>
    </row>
    <row r="1021" spans="1:17" x14ac:dyDescent="0.2">
      <c r="A1021">
        <v>2011</v>
      </c>
      <c r="B1021" t="s">
        <v>1217</v>
      </c>
      <c r="C1021" t="s">
        <v>17</v>
      </c>
      <c r="D1021" t="s">
        <v>95</v>
      </c>
      <c r="E1021">
        <v>7</v>
      </c>
      <c r="F1021" t="s">
        <v>19</v>
      </c>
      <c r="G1021" t="s">
        <v>352</v>
      </c>
      <c r="H1021" t="s">
        <v>1142</v>
      </c>
      <c r="I1021" t="s">
        <v>22</v>
      </c>
      <c r="J1021" t="s">
        <v>23</v>
      </c>
      <c r="K1021" t="s">
        <v>24</v>
      </c>
      <c r="L1021" t="s">
        <v>25</v>
      </c>
      <c r="M1021" s="8">
        <v>1.1423333330000001</v>
      </c>
      <c r="N1021" t="s">
        <v>26</v>
      </c>
      <c r="O1021" s="8">
        <v>1.1423333330000001</v>
      </c>
      <c r="P1021" s="8">
        <f>EXP(-1.363+3.366*LOG(O1021,10))</f>
        <v>0.31084239358261528</v>
      </c>
      <c r="Q1021" s="8">
        <f>(605161.6*100)/5834449</f>
        <v>10.372215096918321</v>
      </c>
    </row>
    <row r="1022" spans="1:17" x14ac:dyDescent="0.2">
      <c r="A1022">
        <v>2011</v>
      </c>
      <c r="B1022" t="s">
        <v>1218</v>
      </c>
      <c r="C1022" t="s">
        <v>17</v>
      </c>
      <c r="D1022" t="s">
        <v>95</v>
      </c>
      <c r="E1022">
        <v>7</v>
      </c>
      <c r="F1022" t="s">
        <v>19</v>
      </c>
      <c r="G1022" t="s">
        <v>352</v>
      </c>
      <c r="H1022" t="s">
        <v>1142</v>
      </c>
      <c r="I1022" t="s">
        <v>22</v>
      </c>
      <c r="J1022" t="s">
        <v>23</v>
      </c>
      <c r="K1022" t="s">
        <v>24</v>
      </c>
      <c r="L1022" t="s">
        <v>25</v>
      </c>
      <c r="M1022" s="8">
        <v>1.1423333330000001</v>
      </c>
      <c r="N1022" t="s">
        <v>26</v>
      </c>
      <c r="O1022" s="8">
        <v>1.1423333330000001</v>
      </c>
      <c r="P1022" s="8">
        <f>EXP(-1.363+3.366*LOG(O1022,10))</f>
        <v>0.31084239358261528</v>
      </c>
      <c r="Q1022" s="8">
        <f>(605161.6*100)/5834449</f>
        <v>10.372215096918321</v>
      </c>
    </row>
    <row r="1023" spans="1:17" x14ac:dyDescent="0.2">
      <c r="A1023">
        <v>2011</v>
      </c>
      <c r="B1023" t="s">
        <v>1219</v>
      </c>
      <c r="C1023" t="s">
        <v>17</v>
      </c>
      <c r="D1023" t="s">
        <v>95</v>
      </c>
      <c r="E1023">
        <v>7</v>
      </c>
      <c r="F1023" t="s">
        <v>19</v>
      </c>
      <c r="G1023" t="s">
        <v>352</v>
      </c>
      <c r="H1023" t="s">
        <v>1142</v>
      </c>
      <c r="I1023" t="s">
        <v>22</v>
      </c>
      <c r="J1023" t="s">
        <v>23</v>
      </c>
      <c r="K1023" t="s">
        <v>24</v>
      </c>
      <c r="L1023" t="s">
        <v>25</v>
      </c>
      <c r="M1023" s="8">
        <v>1.1423333330000001</v>
      </c>
      <c r="N1023" t="s">
        <v>26</v>
      </c>
      <c r="O1023" s="8">
        <v>1.1423333330000001</v>
      </c>
      <c r="P1023" s="8">
        <f>EXP(-1.363+3.366*LOG(O1023,10))</f>
        <v>0.31084239358261528</v>
      </c>
      <c r="Q1023" s="8">
        <f>(605161.6*100)/5834449</f>
        <v>10.372215096918321</v>
      </c>
    </row>
    <row r="1024" spans="1:17" x14ac:dyDescent="0.2">
      <c r="A1024">
        <v>2011</v>
      </c>
      <c r="B1024" t="s">
        <v>1220</v>
      </c>
      <c r="C1024" t="s">
        <v>17</v>
      </c>
      <c r="D1024" t="s">
        <v>95</v>
      </c>
      <c r="E1024">
        <v>7</v>
      </c>
      <c r="F1024" t="s">
        <v>19</v>
      </c>
      <c r="G1024" t="s">
        <v>352</v>
      </c>
      <c r="H1024" t="s">
        <v>1142</v>
      </c>
      <c r="I1024" t="s">
        <v>22</v>
      </c>
      <c r="J1024" t="s">
        <v>23</v>
      </c>
      <c r="K1024" t="s">
        <v>24</v>
      </c>
      <c r="L1024" t="s">
        <v>25</v>
      </c>
      <c r="M1024" s="8">
        <v>1.1423333330000001</v>
      </c>
      <c r="N1024" t="s">
        <v>26</v>
      </c>
      <c r="O1024" s="8">
        <v>1.1423333330000001</v>
      </c>
      <c r="P1024" s="8">
        <f>EXP(-1.363+3.366*LOG(O1024,10))</f>
        <v>0.31084239358261528</v>
      </c>
      <c r="Q1024" s="8">
        <f>(605161.6*100)/5834449</f>
        <v>10.372215096918321</v>
      </c>
    </row>
    <row r="1025" spans="1:17" x14ac:dyDescent="0.2">
      <c r="A1025">
        <v>2011</v>
      </c>
      <c r="B1025" t="s">
        <v>1221</v>
      </c>
      <c r="C1025" t="s">
        <v>65</v>
      </c>
      <c r="D1025" t="s">
        <v>58</v>
      </c>
      <c r="E1025">
        <v>6</v>
      </c>
      <c r="F1025" t="s">
        <v>19</v>
      </c>
      <c r="G1025" t="s">
        <v>352</v>
      </c>
      <c r="H1025" t="s">
        <v>1142</v>
      </c>
      <c r="I1025" t="s">
        <v>22</v>
      </c>
      <c r="J1025" t="s">
        <v>66</v>
      </c>
      <c r="K1025" t="s">
        <v>24</v>
      </c>
      <c r="L1025" t="s">
        <v>25</v>
      </c>
      <c r="M1025" s="8">
        <v>1.1423333330000001</v>
      </c>
      <c r="N1025" t="s">
        <v>26</v>
      </c>
      <c r="O1025" s="8">
        <v>1.1423333330000001</v>
      </c>
      <c r="P1025" s="8">
        <f>EXP(-1.363+3.366*LOG(O1025,10))</f>
        <v>0.31084239358261528</v>
      </c>
      <c r="Q1025" s="8">
        <f>(1788886*100)/6788946</f>
        <v>26.349981278389901</v>
      </c>
    </row>
    <row r="1026" spans="1:17" x14ac:dyDescent="0.2">
      <c r="A1026">
        <v>2011</v>
      </c>
      <c r="B1026" t="s">
        <v>1222</v>
      </c>
      <c r="C1026" t="s">
        <v>65</v>
      </c>
      <c r="D1026" t="s">
        <v>58</v>
      </c>
      <c r="E1026">
        <v>6</v>
      </c>
      <c r="F1026" t="s">
        <v>19</v>
      </c>
      <c r="G1026" t="s">
        <v>352</v>
      </c>
      <c r="H1026" t="s">
        <v>1142</v>
      </c>
      <c r="I1026" t="s">
        <v>22</v>
      </c>
      <c r="J1026" t="s">
        <v>66</v>
      </c>
      <c r="K1026" t="s">
        <v>24</v>
      </c>
      <c r="L1026" t="s">
        <v>25</v>
      </c>
      <c r="M1026" s="8">
        <v>1.1423333330000001</v>
      </c>
      <c r="N1026" t="s">
        <v>26</v>
      </c>
      <c r="O1026" s="8">
        <v>1.1423333330000001</v>
      </c>
      <c r="P1026" s="8">
        <f>EXP(-1.363+3.366*LOG(O1026,10))</f>
        <v>0.31084239358261528</v>
      </c>
      <c r="Q1026" s="8">
        <f>(1788886*100)/6788946</f>
        <v>26.349981278389901</v>
      </c>
    </row>
    <row r="1027" spans="1:17" x14ac:dyDescent="0.2">
      <c r="A1027">
        <v>2011</v>
      </c>
      <c r="B1027" t="s">
        <v>1223</v>
      </c>
      <c r="C1027" t="s">
        <v>65</v>
      </c>
      <c r="D1027" t="s">
        <v>58</v>
      </c>
      <c r="E1027">
        <v>6</v>
      </c>
      <c r="F1027" t="s">
        <v>19</v>
      </c>
      <c r="G1027" t="s">
        <v>352</v>
      </c>
      <c r="H1027" t="s">
        <v>1142</v>
      </c>
      <c r="I1027" t="s">
        <v>22</v>
      </c>
      <c r="J1027" t="s">
        <v>66</v>
      </c>
      <c r="K1027" t="s">
        <v>24</v>
      </c>
      <c r="L1027" t="s">
        <v>25</v>
      </c>
      <c r="M1027" s="8">
        <v>1.1423333330000001</v>
      </c>
      <c r="N1027" t="s">
        <v>26</v>
      </c>
      <c r="O1027" s="8">
        <v>1.1423333330000001</v>
      </c>
      <c r="P1027" s="8">
        <f>EXP(-1.363+3.366*LOG(O1027,10))</f>
        <v>0.31084239358261528</v>
      </c>
      <c r="Q1027" s="8">
        <f>(1788886*100)/6788946</f>
        <v>26.349981278389901</v>
      </c>
    </row>
    <row r="1028" spans="1:17" x14ac:dyDescent="0.2">
      <c r="A1028">
        <v>2011</v>
      </c>
      <c r="B1028" t="s">
        <v>1224</v>
      </c>
      <c r="C1028" t="s">
        <v>65</v>
      </c>
      <c r="D1028" t="s">
        <v>58</v>
      </c>
      <c r="E1028">
        <v>6</v>
      </c>
      <c r="F1028" t="s">
        <v>19</v>
      </c>
      <c r="G1028" t="s">
        <v>352</v>
      </c>
      <c r="H1028" t="s">
        <v>1142</v>
      </c>
      <c r="I1028" t="s">
        <v>22</v>
      </c>
      <c r="J1028" t="s">
        <v>66</v>
      </c>
      <c r="K1028" t="s">
        <v>24</v>
      </c>
      <c r="L1028" t="s">
        <v>25</v>
      </c>
      <c r="M1028" s="8">
        <v>1.1423333330000001</v>
      </c>
      <c r="N1028" t="s">
        <v>26</v>
      </c>
      <c r="O1028" s="8">
        <v>1.1423333330000001</v>
      </c>
      <c r="P1028" s="8">
        <f>EXP(-1.363+3.366*LOG(O1028,10))</f>
        <v>0.31084239358261528</v>
      </c>
      <c r="Q1028" s="8">
        <f>(1788886*100)/6788946</f>
        <v>26.349981278389901</v>
      </c>
    </row>
    <row r="1029" spans="1:17" x14ac:dyDescent="0.2">
      <c r="A1029">
        <v>2011</v>
      </c>
      <c r="B1029" t="s">
        <v>1225</v>
      </c>
      <c r="C1029" t="s">
        <v>65</v>
      </c>
      <c r="D1029" t="s">
        <v>58</v>
      </c>
      <c r="E1029">
        <v>6</v>
      </c>
      <c r="F1029" t="s">
        <v>19</v>
      </c>
      <c r="G1029" t="s">
        <v>352</v>
      </c>
      <c r="H1029" t="s">
        <v>1142</v>
      </c>
      <c r="I1029" t="s">
        <v>22</v>
      </c>
      <c r="J1029" t="s">
        <v>66</v>
      </c>
      <c r="K1029" t="s">
        <v>24</v>
      </c>
      <c r="L1029" t="s">
        <v>25</v>
      </c>
      <c r="M1029" s="8">
        <v>1.1423333330000001</v>
      </c>
      <c r="N1029" t="s">
        <v>26</v>
      </c>
      <c r="O1029" s="8">
        <v>1.1423333330000001</v>
      </c>
      <c r="P1029" s="8">
        <f>EXP(-1.363+3.366*LOG(O1029,10))</f>
        <v>0.31084239358261528</v>
      </c>
      <c r="Q1029" s="8">
        <f>(1788886*100)/6788946</f>
        <v>26.349981278389901</v>
      </c>
    </row>
    <row r="1030" spans="1:17" x14ac:dyDescent="0.2">
      <c r="A1030">
        <v>2011</v>
      </c>
      <c r="B1030" t="s">
        <v>1226</v>
      </c>
      <c r="C1030" t="s">
        <v>94</v>
      </c>
      <c r="D1030" t="s">
        <v>95</v>
      </c>
      <c r="E1030">
        <v>7</v>
      </c>
      <c r="F1030" t="s">
        <v>19</v>
      </c>
      <c r="G1030" t="s">
        <v>352</v>
      </c>
      <c r="H1030" t="s">
        <v>1142</v>
      </c>
      <c r="I1030" t="s">
        <v>22</v>
      </c>
      <c r="J1030" t="s">
        <v>66</v>
      </c>
      <c r="K1030" t="s">
        <v>24</v>
      </c>
      <c r="L1030" t="s">
        <v>25</v>
      </c>
      <c r="M1030" s="8">
        <v>1.1423333330000001</v>
      </c>
      <c r="N1030" t="s">
        <v>26</v>
      </c>
      <c r="O1030" s="8">
        <v>1.1423333330000001</v>
      </c>
      <c r="P1030" s="8">
        <f>EXP(-1.363+3.366*LOG(O1030,10))</f>
        <v>0.31084239358261528</v>
      </c>
      <c r="Q1030" s="8">
        <f>(46623.23*100)/15165196</f>
        <v>0.30743572321782059</v>
      </c>
    </row>
    <row r="1031" spans="1:17" x14ac:dyDescent="0.2">
      <c r="A1031">
        <v>2011</v>
      </c>
      <c r="B1031" t="s">
        <v>1227</v>
      </c>
      <c r="C1031" t="s">
        <v>65</v>
      </c>
      <c r="D1031" t="s">
        <v>71</v>
      </c>
      <c r="E1031">
        <v>7</v>
      </c>
      <c r="F1031" t="s">
        <v>19</v>
      </c>
      <c r="G1031" t="s">
        <v>352</v>
      </c>
      <c r="H1031" t="s">
        <v>1142</v>
      </c>
      <c r="I1031" t="s">
        <v>22</v>
      </c>
      <c r="J1031" t="s">
        <v>66</v>
      </c>
      <c r="K1031" t="s">
        <v>24</v>
      </c>
      <c r="L1031" t="s">
        <v>25</v>
      </c>
      <c r="M1031" s="8">
        <v>1.1423333330000001</v>
      </c>
      <c r="N1031" t="s">
        <v>26</v>
      </c>
      <c r="O1031" s="8">
        <v>1.1423333330000001</v>
      </c>
      <c r="P1031" s="8">
        <f>EXP(-1.363+3.366*LOG(O1031,10))</f>
        <v>0.31084239358261528</v>
      </c>
      <c r="Q1031" s="8">
        <f>(1788886*100)/6788946</f>
        <v>26.349981278389901</v>
      </c>
    </row>
    <row r="1032" spans="1:17" x14ac:dyDescent="0.2">
      <c r="A1032">
        <v>2011</v>
      </c>
      <c r="B1032" t="s">
        <v>1228</v>
      </c>
      <c r="C1032" t="s">
        <v>65</v>
      </c>
      <c r="D1032" t="s">
        <v>71</v>
      </c>
      <c r="E1032">
        <v>7</v>
      </c>
      <c r="F1032" t="s">
        <v>19</v>
      </c>
      <c r="G1032" t="s">
        <v>352</v>
      </c>
      <c r="H1032" t="s">
        <v>1142</v>
      </c>
      <c r="I1032" t="s">
        <v>22</v>
      </c>
      <c r="J1032" t="s">
        <v>66</v>
      </c>
      <c r="K1032" t="s">
        <v>24</v>
      </c>
      <c r="L1032" t="s">
        <v>25</v>
      </c>
      <c r="M1032" s="8">
        <v>1.1423333330000001</v>
      </c>
      <c r="N1032" t="s">
        <v>26</v>
      </c>
      <c r="O1032" s="8">
        <v>1.1423333330000001</v>
      </c>
      <c r="P1032" s="8">
        <f>EXP(-1.363+3.366*LOG(O1032,10))</f>
        <v>0.31084239358261528</v>
      </c>
      <c r="Q1032" s="8">
        <f>(1788886*100)/6788946</f>
        <v>26.349981278389901</v>
      </c>
    </row>
    <row r="1033" spans="1:17" x14ac:dyDescent="0.2">
      <c r="A1033">
        <v>2011</v>
      </c>
      <c r="B1033" t="s">
        <v>1229</v>
      </c>
      <c r="C1033" t="s">
        <v>65</v>
      </c>
      <c r="D1033" t="s">
        <v>71</v>
      </c>
      <c r="E1033">
        <v>7</v>
      </c>
      <c r="F1033" t="s">
        <v>19</v>
      </c>
      <c r="G1033" t="s">
        <v>352</v>
      </c>
      <c r="H1033" t="s">
        <v>1142</v>
      </c>
      <c r="I1033" t="s">
        <v>22</v>
      </c>
      <c r="J1033" t="s">
        <v>66</v>
      </c>
      <c r="K1033" t="s">
        <v>24</v>
      </c>
      <c r="L1033" t="s">
        <v>25</v>
      </c>
      <c r="M1033" s="8">
        <v>1.1423333330000001</v>
      </c>
      <c r="N1033" t="s">
        <v>26</v>
      </c>
      <c r="O1033" s="8">
        <v>1.1423333330000001</v>
      </c>
      <c r="P1033" s="8">
        <f>EXP(-1.363+3.366*LOG(O1033,10))</f>
        <v>0.31084239358261528</v>
      </c>
      <c r="Q1033" s="8">
        <f>(1788886*100)/6788946</f>
        <v>26.349981278389901</v>
      </c>
    </row>
    <row r="1034" spans="1:17" x14ac:dyDescent="0.2">
      <c r="A1034">
        <v>2011</v>
      </c>
      <c r="B1034" t="s">
        <v>1230</v>
      </c>
      <c r="C1034" t="s">
        <v>65</v>
      </c>
      <c r="D1034" t="s">
        <v>71</v>
      </c>
      <c r="E1034">
        <v>7</v>
      </c>
      <c r="F1034" t="s">
        <v>19</v>
      </c>
      <c r="G1034" t="s">
        <v>352</v>
      </c>
      <c r="H1034" t="s">
        <v>1142</v>
      </c>
      <c r="I1034" t="s">
        <v>22</v>
      </c>
      <c r="J1034" t="s">
        <v>66</v>
      </c>
      <c r="K1034" t="s">
        <v>24</v>
      </c>
      <c r="L1034" t="s">
        <v>25</v>
      </c>
      <c r="M1034" s="8">
        <v>1.1423333330000001</v>
      </c>
      <c r="N1034" t="s">
        <v>26</v>
      </c>
      <c r="O1034" s="8">
        <v>1.1423333330000001</v>
      </c>
      <c r="P1034" s="8">
        <f>EXP(-1.363+3.366*LOG(O1034,10))</f>
        <v>0.31084239358261528</v>
      </c>
      <c r="Q1034" s="8">
        <f>(1788886*100)/6788946</f>
        <v>26.349981278389901</v>
      </c>
    </row>
    <row r="1035" spans="1:17" x14ac:dyDescent="0.2">
      <c r="A1035">
        <v>2011</v>
      </c>
      <c r="B1035" t="s">
        <v>1231</v>
      </c>
      <c r="C1035" t="s">
        <v>65</v>
      </c>
      <c r="D1035" t="s">
        <v>71</v>
      </c>
      <c r="E1035">
        <v>7</v>
      </c>
      <c r="F1035" t="s">
        <v>19</v>
      </c>
      <c r="G1035" t="s">
        <v>352</v>
      </c>
      <c r="H1035" t="s">
        <v>1142</v>
      </c>
      <c r="I1035" t="s">
        <v>22</v>
      </c>
      <c r="J1035" t="s">
        <v>66</v>
      </c>
      <c r="K1035" t="s">
        <v>24</v>
      </c>
      <c r="L1035" t="s">
        <v>25</v>
      </c>
      <c r="M1035" s="8">
        <v>1.1423333330000001</v>
      </c>
      <c r="N1035" t="s">
        <v>26</v>
      </c>
      <c r="O1035" s="8">
        <v>1.1423333330000001</v>
      </c>
      <c r="P1035" s="8">
        <f>EXP(-1.363+3.366*LOG(O1035,10))</f>
        <v>0.31084239358261528</v>
      </c>
      <c r="Q1035" s="8">
        <f>(1788886*100)/6788946</f>
        <v>26.349981278389901</v>
      </c>
    </row>
    <row r="1036" spans="1:17" x14ac:dyDescent="0.2">
      <c r="A1036">
        <v>2011</v>
      </c>
      <c r="B1036" t="s">
        <v>1232</v>
      </c>
      <c r="C1036" t="s">
        <v>65</v>
      </c>
      <c r="D1036" t="s">
        <v>71</v>
      </c>
      <c r="E1036">
        <v>7</v>
      </c>
      <c r="F1036" t="s">
        <v>19</v>
      </c>
      <c r="G1036" t="s">
        <v>352</v>
      </c>
      <c r="H1036" t="s">
        <v>1142</v>
      </c>
      <c r="I1036" t="s">
        <v>22</v>
      </c>
      <c r="J1036" t="s">
        <v>66</v>
      </c>
      <c r="K1036" t="s">
        <v>24</v>
      </c>
      <c r="L1036" t="s">
        <v>25</v>
      </c>
      <c r="M1036" s="8">
        <v>1.1423333330000001</v>
      </c>
      <c r="N1036" t="s">
        <v>26</v>
      </c>
      <c r="O1036" s="8">
        <v>1.1423333330000001</v>
      </c>
      <c r="P1036" s="8">
        <f>EXP(-1.363+3.366*LOG(O1036,10))</f>
        <v>0.31084239358261528</v>
      </c>
      <c r="Q1036" s="8">
        <f>(1788886*100)/6788946</f>
        <v>26.349981278389901</v>
      </c>
    </row>
    <row r="1037" spans="1:17" x14ac:dyDescent="0.2">
      <c r="A1037">
        <v>2011</v>
      </c>
      <c r="B1037" t="s">
        <v>1233</v>
      </c>
      <c r="C1037" t="s">
        <v>65</v>
      </c>
      <c r="D1037" t="s">
        <v>71</v>
      </c>
      <c r="E1037">
        <v>7</v>
      </c>
      <c r="F1037" t="s">
        <v>19</v>
      </c>
      <c r="G1037" t="s">
        <v>352</v>
      </c>
      <c r="H1037" t="s">
        <v>1142</v>
      </c>
      <c r="I1037" t="s">
        <v>22</v>
      </c>
      <c r="J1037" t="s">
        <v>66</v>
      </c>
      <c r="K1037" t="s">
        <v>24</v>
      </c>
      <c r="L1037" t="s">
        <v>25</v>
      </c>
      <c r="M1037" s="8">
        <v>1.1423333330000001</v>
      </c>
      <c r="N1037" t="s">
        <v>26</v>
      </c>
      <c r="O1037" s="8">
        <v>1.1423333330000001</v>
      </c>
      <c r="P1037" s="8">
        <f>EXP(-1.363+3.366*LOG(O1037,10))</f>
        <v>0.31084239358261528</v>
      </c>
      <c r="Q1037" s="8">
        <f>(1788886*100)/6788946</f>
        <v>26.349981278389901</v>
      </c>
    </row>
    <row r="1038" spans="1:17" x14ac:dyDescent="0.2">
      <c r="A1038">
        <v>2011</v>
      </c>
      <c r="B1038" t="s">
        <v>1234</v>
      </c>
      <c r="C1038" t="s">
        <v>65</v>
      </c>
      <c r="D1038" t="s">
        <v>71</v>
      </c>
      <c r="E1038">
        <v>7</v>
      </c>
      <c r="F1038" t="s">
        <v>19</v>
      </c>
      <c r="G1038" t="s">
        <v>352</v>
      </c>
      <c r="H1038" t="s">
        <v>1142</v>
      </c>
      <c r="I1038" t="s">
        <v>22</v>
      </c>
      <c r="J1038" t="s">
        <v>66</v>
      </c>
      <c r="K1038" t="s">
        <v>24</v>
      </c>
      <c r="L1038" t="s">
        <v>25</v>
      </c>
      <c r="M1038" s="8">
        <v>1.1423333330000001</v>
      </c>
      <c r="N1038" t="s">
        <v>26</v>
      </c>
      <c r="O1038" s="8">
        <v>1.1423333330000001</v>
      </c>
      <c r="P1038" s="8">
        <f>EXP(-1.363+3.366*LOG(O1038,10))</f>
        <v>0.31084239358261528</v>
      </c>
      <c r="Q1038" s="8">
        <f>(1788886*100)/6788946</f>
        <v>26.349981278389901</v>
      </c>
    </row>
    <row r="1039" spans="1:17" x14ac:dyDescent="0.2">
      <c r="A1039">
        <v>2011</v>
      </c>
      <c r="B1039" t="s">
        <v>1235</v>
      </c>
      <c r="C1039" t="s">
        <v>65</v>
      </c>
      <c r="D1039" t="s">
        <v>71</v>
      </c>
      <c r="E1039">
        <v>7</v>
      </c>
      <c r="F1039" t="s">
        <v>19</v>
      </c>
      <c r="G1039" t="s">
        <v>352</v>
      </c>
      <c r="H1039" t="s">
        <v>1142</v>
      </c>
      <c r="I1039" t="s">
        <v>22</v>
      </c>
      <c r="J1039" t="s">
        <v>66</v>
      </c>
      <c r="K1039" t="s">
        <v>24</v>
      </c>
      <c r="L1039" t="s">
        <v>25</v>
      </c>
      <c r="M1039" s="8">
        <v>1.1423333330000001</v>
      </c>
      <c r="N1039" t="s">
        <v>26</v>
      </c>
      <c r="O1039" s="8">
        <v>1.1423333330000001</v>
      </c>
      <c r="P1039" s="8">
        <f>EXP(-1.363+3.366*LOG(O1039,10))</f>
        <v>0.31084239358261528</v>
      </c>
      <c r="Q1039" s="8">
        <f>(1788886*100)/6788946</f>
        <v>26.349981278389901</v>
      </c>
    </row>
    <row r="1040" spans="1:17" x14ac:dyDescent="0.2">
      <c r="A1040">
        <v>2011</v>
      </c>
      <c r="B1040" t="s">
        <v>1236</v>
      </c>
      <c r="C1040" t="s">
        <v>65</v>
      </c>
      <c r="D1040" t="s">
        <v>71</v>
      </c>
      <c r="E1040">
        <v>7</v>
      </c>
      <c r="F1040" t="s">
        <v>19</v>
      </c>
      <c r="G1040" t="s">
        <v>352</v>
      </c>
      <c r="H1040" t="s">
        <v>1142</v>
      </c>
      <c r="I1040" t="s">
        <v>22</v>
      </c>
      <c r="J1040" t="s">
        <v>66</v>
      </c>
      <c r="K1040" t="s">
        <v>24</v>
      </c>
      <c r="L1040" t="s">
        <v>25</v>
      </c>
      <c r="M1040" s="8">
        <v>1.1423333330000001</v>
      </c>
      <c r="N1040" t="s">
        <v>26</v>
      </c>
      <c r="O1040" s="8">
        <v>1.1423333330000001</v>
      </c>
      <c r="P1040" s="8">
        <f>EXP(-1.363+3.366*LOG(O1040,10))</f>
        <v>0.31084239358261528</v>
      </c>
      <c r="Q1040" s="8">
        <f>(1788886*100)/6788946</f>
        <v>26.349981278389901</v>
      </c>
    </row>
    <row r="1041" spans="1:17" x14ac:dyDescent="0.2">
      <c r="A1041">
        <v>2011</v>
      </c>
      <c r="B1041" t="s">
        <v>1237</v>
      </c>
      <c r="C1041" t="s">
        <v>65</v>
      </c>
      <c r="D1041" t="s">
        <v>71</v>
      </c>
      <c r="E1041">
        <v>7</v>
      </c>
      <c r="F1041" t="s">
        <v>19</v>
      </c>
      <c r="G1041" t="s">
        <v>352</v>
      </c>
      <c r="H1041" t="s">
        <v>1142</v>
      </c>
      <c r="I1041" t="s">
        <v>22</v>
      </c>
      <c r="J1041" t="s">
        <v>66</v>
      </c>
      <c r="K1041" t="s">
        <v>24</v>
      </c>
      <c r="L1041" t="s">
        <v>25</v>
      </c>
      <c r="M1041" s="8">
        <v>1.1423333330000001</v>
      </c>
      <c r="N1041" t="s">
        <v>26</v>
      </c>
      <c r="O1041" s="8">
        <v>1.1423333330000001</v>
      </c>
      <c r="P1041" s="8">
        <f>EXP(-1.363+3.366*LOG(O1041,10))</f>
        <v>0.31084239358261528</v>
      </c>
      <c r="Q1041" s="8">
        <f>(1788886*100)/6788946</f>
        <v>26.349981278389901</v>
      </c>
    </row>
    <row r="1042" spans="1:17" x14ac:dyDescent="0.2">
      <c r="A1042">
        <v>2011</v>
      </c>
      <c r="B1042" t="s">
        <v>1238</v>
      </c>
      <c r="C1042" t="s">
        <v>52</v>
      </c>
      <c r="D1042" t="s">
        <v>58</v>
      </c>
      <c r="E1042">
        <v>6</v>
      </c>
      <c r="F1042" t="s">
        <v>19</v>
      </c>
      <c r="G1042" t="s">
        <v>352</v>
      </c>
      <c r="H1042" t="s">
        <v>1139</v>
      </c>
      <c r="I1042" t="s">
        <v>22</v>
      </c>
      <c r="J1042" t="s">
        <v>42</v>
      </c>
      <c r="K1042" t="s">
        <v>24</v>
      </c>
      <c r="L1042" t="s">
        <v>25</v>
      </c>
      <c r="M1042" s="8" t="s">
        <v>26</v>
      </c>
      <c r="N1042" t="s">
        <v>26</v>
      </c>
      <c r="O1042" s="8" t="s">
        <v>26</v>
      </c>
      <c r="P1042" s="8" t="s">
        <v>26</v>
      </c>
      <c r="Q1042" s="8">
        <f>(1626350*100)/1973941</f>
        <v>82.391013713175823</v>
      </c>
    </row>
    <row r="1043" spans="1:17" x14ac:dyDescent="0.2">
      <c r="A1043">
        <v>2011</v>
      </c>
      <c r="B1043" t="s">
        <v>1239</v>
      </c>
      <c r="C1043" t="s">
        <v>52</v>
      </c>
      <c r="D1043" t="s">
        <v>58</v>
      </c>
      <c r="E1043">
        <v>6</v>
      </c>
      <c r="F1043" t="s">
        <v>19</v>
      </c>
      <c r="G1043" t="s">
        <v>352</v>
      </c>
      <c r="H1043" t="s">
        <v>1139</v>
      </c>
      <c r="I1043" t="s">
        <v>22</v>
      </c>
      <c r="J1043" t="s">
        <v>42</v>
      </c>
      <c r="K1043" t="s">
        <v>24</v>
      </c>
      <c r="L1043" t="s">
        <v>25</v>
      </c>
      <c r="M1043" s="8" t="s">
        <v>26</v>
      </c>
      <c r="N1043" t="s">
        <v>26</v>
      </c>
      <c r="O1043" s="8" t="s">
        <v>26</v>
      </c>
      <c r="P1043" s="8" t="s">
        <v>26</v>
      </c>
      <c r="Q1043" s="8">
        <f>(1626350*100)/1973941</f>
        <v>82.391013713175823</v>
      </c>
    </row>
    <row r="1044" spans="1:17" x14ac:dyDescent="0.2">
      <c r="A1044">
        <v>2011</v>
      </c>
      <c r="B1044" t="s">
        <v>1240</v>
      </c>
      <c r="C1044" t="s">
        <v>50</v>
      </c>
      <c r="D1044" t="s">
        <v>95</v>
      </c>
      <c r="E1044">
        <v>7</v>
      </c>
      <c r="F1044" t="s">
        <v>19</v>
      </c>
      <c r="G1044" t="s">
        <v>352</v>
      </c>
      <c r="H1044" t="s">
        <v>1139</v>
      </c>
      <c r="I1044" t="s">
        <v>22</v>
      </c>
      <c r="J1044" t="s">
        <v>42</v>
      </c>
      <c r="K1044" t="s">
        <v>24</v>
      </c>
      <c r="L1044" t="s">
        <v>25</v>
      </c>
      <c r="M1044" s="8" t="s">
        <v>26</v>
      </c>
      <c r="N1044" t="s">
        <v>26</v>
      </c>
      <c r="O1044" s="8" t="s">
        <v>26</v>
      </c>
      <c r="P1044" s="8" t="s">
        <v>26</v>
      </c>
      <c r="Q1044" s="8">
        <f>(4488342*100)/4914798</f>
        <v>91.323020803703429</v>
      </c>
    </row>
    <row r="1045" spans="1:17" x14ac:dyDescent="0.2">
      <c r="A1045">
        <v>2011</v>
      </c>
      <c r="B1045" t="s">
        <v>1241</v>
      </c>
      <c r="C1045" t="s">
        <v>50</v>
      </c>
      <c r="D1045" t="s">
        <v>95</v>
      </c>
      <c r="E1045">
        <v>7</v>
      </c>
      <c r="F1045" t="s">
        <v>19</v>
      </c>
      <c r="G1045" t="s">
        <v>352</v>
      </c>
      <c r="H1045" t="s">
        <v>1139</v>
      </c>
      <c r="I1045" t="s">
        <v>22</v>
      </c>
      <c r="J1045" t="s">
        <v>42</v>
      </c>
      <c r="K1045" t="s">
        <v>24</v>
      </c>
      <c r="L1045" t="s">
        <v>25</v>
      </c>
      <c r="M1045" s="8" t="s">
        <v>26</v>
      </c>
      <c r="N1045" t="s">
        <v>26</v>
      </c>
      <c r="O1045" s="8" t="s">
        <v>26</v>
      </c>
      <c r="P1045" s="8" t="s">
        <v>26</v>
      </c>
      <c r="Q1045" s="8">
        <f>(4488342*100)/4914798</f>
        <v>91.323020803703429</v>
      </c>
    </row>
    <row r="1046" spans="1:17" x14ac:dyDescent="0.2">
      <c r="A1046">
        <v>2011</v>
      </c>
      <c r="B1046" t="s">
        <v>1242</v>
      </c>
      <c r="C1046" t="s">
        <v>50</v>
      </c>
      <c r="D1046" t="s">
        <v>58</v>
      </c>
      <c r="E1046">
        <v>6</v>
      </c>
      <c r="F1046" t="s">
        <v>19</v>
      </c>
      <c r="G1046" t="s">
        <v>352</v>
      </c>
      <c r="H1046" t="s">
        <v>1139</v>
      </c>
      <c r="I1046" t="s">
        <v>22</v>
      </c>
      <c r="J1046" t="s">
        <v>42</v>
      </c>
      <c r="K1046" t="s">
        <v>24</v>
      </c>
      <c r="L1046" t="s">
        <v>25</v>
      </c>
      <c r="M1046" s="8" t="s">
        <v>26</v>
      </c>
      <c r="N1046" t="s">
        <v>26</v>
      </c>
      <c r="O1046" s="8" t="s">
        <v>26</v>
      </c>
      <c r="P1046" s="8" t="s">
        <v>26</v>
      </c>
      <c r="Q1046" s="8">
        <f>(4488342*100)/4914798</f>
        <v>91.323020803703429</v>
      </c>
    </row>
    <row r="1047" spans="1:17" x14ac:dyDescent="0.2">
      <c r="A1047">
        <v>2011</v>
      </c>
      <c r="B1047" t="s">
        <v>1243</v>
      </c>
      <c r="C1047" t="s">
        <v>39</v>
      </c>
      <c r="D1047" t="s">
        <v>95</v>
      </c>
      <c r="E1047">
        <v>7</v>
      </c>
      <c r="F1047" t="s">
        <v>19</v>
      </c>
      <c r="G1047" t="s">
        <v>352</v>
      </c>
      <c r="H1047" t="s">
        <v>1139</v>
      </c>
      <c r="I1047" t="s">
        <v>22</v>
      </c>
      <c r="J1047" t="s">
        <v>42</v>
      </c>
      <c r="K1047" t="s">
        <v>24</v>
      </c>
      <c r="L1047" t="s">
        <v>25</v>
      </c>
      <c r="M1047" s="8" t="s">
        <v>26</v>
      </c>
      <c r="N1047" t="s">
        <v>26</v>
      </c>
      <c r="O1047" s="8" t="s">
        <v>26</v>
      </c>
      <c r="P1047" s="8" t="s">
        <v>26</v>
      </c>
      <c r="Q1047" s="8">
        <f>(2375365*100)/2680339</f>
        <v>88.621812390149159</v>
      </c>
    </row>
    <row r="1048" spans="1:17" x14ac:dyDescent="0.2">
      <c r="A1048">
        <v>2011</v>
      </c>
      <c r="B1048" t="s">
        <v>1244</v>
      </c>
      <c r="C1048" t="s">
        <v>39</v>
      </c>
      <c r="D1048" t="s">
        <v>95</v>
      </c>
      <c r="E1048">
        <v>7</v>
      </c>
      <c r="F1048" t="s">
        <v>19</v>
      </c>
      <c r="G1048" t="s">
        <v>352</v>
      </c>
      <c r="H1048" t="s">
        <v>1139</v>
      </c>
      <c r="I1048" t="s">
        <v>22</v>
      </c>
      <c r="J1048" t="s">
        <v>42</v>
      </c>
      <c r="K1048" t="s">
        <v>24</v>
      </c>
      <c r="L1048" t="s">
        <v>25</v>
      </c>
      <c r="M1048" s="8" t="s">
        <v>26</v>
      </c>
      <c r="N1048" t="s">
        <v>26</v>
      </c>
      <c r="O1048" s="8" t="s">
        <v>26</v>
      </c>
      <c r="P1048" s="8" t="s">
        <v>26</v>
      </c>
      <c r="Q1048" s="8">
        <f>(2375365*100)/2680339</f>
        <v>88.621812390149159</v>
      </c>
    </row>
    <row r="1049" spans="1:17" x14ac:dyDescent="0.2">
      <c r="A1049">
        <v>2011</v>
      </c>
      <c r="B1049" t="s">
        <v>1245</v>
      </c>
      <c r="C1049" t="s">
        <v>50</v>
      </c>
      <c r="D1049" t="s">
        <v>53</v>
      </c>
      <c r="E1049">
        <v>6</v>
      </c>
      <c r="F1049" t="s">
        <v>19</v>
      </c>
      <c r="G1049" t="s">
        <v>352</v>
      </c>
      <c r="H1049" t="s">
        <v>1139</v>
      </c>
      <c r="I1049" t="s">
        <v>22</v>
      </c>
      <c r="J1049" t="s">
        <v>42</v>
      </c>
      <c r="K1049" t="s">
        <v>24</v>
      </c>
      <c r="L1049" t="s">
        <v>25</v>
      </c>
      <c r="M1049" s="8" t="s">
        <v>26</v>
      </c>
      <c r="N1049" t="s">
        <v>26</v>
      </c>
      <c r="O1049" s="8" t="s">
        <v>26</v>
      </c>
      <c r="P1049" s="8" t="s">
        <v>26</v>
      </c>
      <c r="Q1049" s="8">
        <f>(4488342*100)/4914798</f>
        <v>91.323020803703429</v>
      </c>
    </row>
    <row r="1050" spans="1:17" x14ac:dyDescent="0.2">
      <c r="A1050">
        <v>2011</v>
      </c>
      <c r="B1050" t="s">
        <v>1246</v>
      </c>
      <c r="C1050" t="s">
        <v>50</v>
      </c>
      <c r="D1050" t="s">
        <v>53</v>
      </c>
      <c r="E1050">
        <v>6</v>
      </c>
      <c r="F1050" t="s">
        <v>19</v>
      </c>
      <c r="G1050" t="s">
        <v>352</v>
      </c>
      <c r="H1050" t="s">
        <v>1139</v>
      </c>
      <c r="I1050" t="s">
        <v>22</v>
      </c>
      <c r="J1050" t="s">
        <v>42</v>
      </c>
      <c r="K1050" t="s">
        <v>24</v>
      </c>
      <c r="L1050" t="s">
        <v>25</v>
      </c>
      <c r="M1050" s="8" t="s">
        <v>26</v>
      </c>
      <c r="N1050" t="s">
        <v>26</v>
      </c>
      <c r="O1050" s="8" t="s">
        <v>26</v>
      </c>
      <c r="P1050" s="8" t="s">
        <v>26</v>
      </c>
      <c r="Q1050" s="8">
        <f>(4488342*100)/4914798</f>
        <v>91.323020803703429</v>
      </c>
    </row>
    <row r="1051" spans="1:17" x14ac:dyDescent="0.2">
      <c r="A1051">
        <v>2011</v>
      </c>
      <c r="B1051" t="s">
        <v>1247</v>
      </c>
      <c r="C1051" t="s">
        <v>50</v>
      </c>
      <c r="D1051" t="s">
        <v>53</v>
      </c>
      <c r="E1051">
        <v>6</v>
      </c>
      <c r="F1051" t="s">
        <v>19</v>
      </c>
      <c r="G1051" t="s">
        <v>352</v>
      </c>
      <c r="H1051" t="s">
        <v>1139</v>
      </c>
      <c r="I1051" t="s">
        <v>22</v>
      </c>
      <c r="J1051" t="s">
        <v>42</v>
      </c>
      <c r="K1051" t="s">
        <v>24</v>
      </c>
      <c r="L1051" t="s">
        <v>25</v>
      </c>
      <c r="M1051" s="8" t="s">
        <v>26</v>
      </c>
      <c r="N1051" t="s">
        <v>26</v>
      </c>
      <c r="O1051" s="8" t="s">
        <v>26</v>
      </c>
      <c r="P1051" s="8" t="s">
        <v>26</v>
      </c>
      <c r="Q1051" s="8">
        <f>(4488342*100)/4914798</f>
        <v>91.323020803703429</v>
      </c>
    </row>
    <row r="1052" spans="1:17" x14ac:dyDescent="0.2">
      <c r="A1052">
        <v>2011</v>
      </c>
      <c r="B1052" t="s">
        <v>1248</v>
      </c>
      <c r="C1052" t="s">
        <v>50</v>
      </c>
      <c r="D1052" t="s">
        <v>53</v>
      </c>
      <c r="E1052">
        <v>6</v>
      </c>
      <c r="F1052" t="s">
        <v>19</v>
      </c>
      <c r="G1052" t="s">
        <v>352</v>
      </c>
      <c r="H1052" t="s">
        <v>1139</v>
      </c>
      <c r="I1052" t="s">
        <v>22</v>
      </c>
      <c r="J1052" t="s">
        <v>42</v>
      </c>
      <c r="K1052" t="s">
        <v>24</v>
      </c>
      <c r="L1052" t="s">
        <v>25</v>
      </c>
      <c r="M1052" s="8" t="s">
        <v>26</v>
      </c>
      <c r="N1052" t="s">
        <v>26</v>
      </c>
      <c r="O1052" s="8" t="s">
        <v>26</v>
      </c>
      <c r="P1052" s="8" t="s">
        <v>26</v>
      </c>
      <c r="Q1052" s="8">
        <f>(4488342*100)/4914798</f>
        <v>91.323020803703429</v>
      </c>
    </row>
    <row r="1053" spans="1:17" x14ac:dyDescent="0.2">
      <c r="A1053">
        <v>2011</v>
      </c>
      <c r="B1053" t="s">
        <v>1249</v>
      </c>
      <c r="C1053" t="s">
        <v>50</v>
      </c>
      <c r="D1053" t="s">
        <v>53</v>
      </c>
      <c r="E1053">
        <v>6</v>
      </c>
      <c r="F1053" t="s">
        <v>19</v>
      </c>
      <c r="G1053" t="s">
        <v>352</v>
      </c>
      <c r="H1053" t="s">
        <v>1139</v>
      </c>
      <c r="I1053" t="s">
        <v>22</v>
      </c>
      <c r="J1053" t="s">
        <v>42</v>
      </c>
      <c r="K1053" t="s">
        <v>24</v>
      </c>
      <c r="L1053" t="s">
        <v>25</v>
      </c>
      <c r="M1053" s="8" t="s">
        <v>26</v>
      </c>
      <c r="N1053" t="s">
        <v>26</v>
      </c>
      <c r="O1053" s="8" t="s">
        <v>26</v>
      </c>
      <c r="P1053" s="8" t="s">
        <v>26</v>
      </c>
      <c r="Q1053" s="8">
        <f>(4488342*100)/4914798</f>
        <v>91.323020803703429</v>
      </c>
    </row>
    <row r="1054" spans="1:17" x14ac:dyDescent="0.2">
      <c r="A1054">
        <v>2011</v>
      </c>
      <c r="B1054" t="s">
        <v>1250</v>
      </c>
      <c r="C1054" t="s">
        <v>50</v>
      </c>
      <c r="D1054" t="s">
        <v>53</v>
      </c>
      <c r="E1054">
        <v>6</v>
      </c>
      <c r="F1054" t="s">
        <v>19</v>
      </c>
      <c r="G1054" t="s">
        <v>352</v>
      </c>
      <c r="H1054" t="s">
        <v>1139</v>
      </c>
      <c r="I1054" t="s">
        <v>22</v>
      </c>
      <c r="J1054" t="s">
        <v>42</v>
      </c>
      <c r="K1054" t="s">
        <v>24</v>
      </c>
      <c r="L1054" t="s">
        <v>25</v>
      </c>
      <c r="M1054" s="8" t="s">
        <v>26</v>
      </c>
      <c r="N1054" t="s">
        <v>26</v>
      </c>
      <c r="O1054" s="8" t="s">
        <v>26</v>
      </c>
      <c r="P1054" s="8" t="s">
        <v>26</v>
      </c>
      <c r="Q1054" s="8">
        <f>(4488342*100)/4914798</f>
        <v>91.323020803703429</v>
      </c>
    </row>
    <row r="1055" spans="1:17" x14ac:dyDescent="0.2">
      <c r="A1055">
        <v>2011</v>
      </c>
      <c r="B1055" t="s">
        <v>1251</v>
      </c>
      <c r="C1055" t="s">
        <v>50</v>
      </c>
      <c r="D1055" t="s">
        <v>53</v>
      </c>
      <c r="E1055">
        <v>6</v>
      </c>
      <c r="F1055" t="s">
        <v>19</v>
      </c>
      <c r="G1055" t="s">
        <v>352</v>
      </c>
      <c r="H1055" t="s">
        <v>1139</v>
      </c>
      <c r="I1055" t="s">
        <v>22</v>
      </c>
      <c r="J1055" t="s">
        <v>42</v>
      </c>
      <c r="K1055" t="s">
        <v>24</v>
      </c>
      <c r="L1055" t="s">
        <v>25</v>
      </c>
      <c r="M1055" s="8" t="s">
        <v>26</v>
      </c>
      <c r="N1055" t="s">
        <v>26</v>
      </c>
      <c r="O1055" s="8" t="s">
        <v>26</v>
      </c>
      <c r="P1055" s="8" t="s">
        <v>26</v>
      </c>
      <c r="Q1055" s="8">
        <f>(4488342*100)/4914798</f>
        <v>91.323020803703429</v>
      </c>
    </row>
    <row r="1056" spans="1:17" x14ac:dyDescent="0.2">
      <c r="A1056">
        <v>2011</v>
      </c>
      <c r="B1056" t="s">
        <v>1252</v>
      </c>
      <c r="C1056" t="s">
        <v>39</v>
      </c>
      <c r="D1056" t="s">
        <v>58</v>
      </c>
      <c r="E1056">
        <v>6</v>
      </c>
      <c r="F1056" t="s">
        <v>19</v>
      </c>
      <c r="G1056" t="s">
        <v>352</v>
      </c>
      <c r="H1056" t="s">
        <v>1139</v>
      </c>
      <c r="I1056" t="s">
        <v>22</v>
      </c>
      <c r="J1056" t="s">
        <v>42</v>
      </c>
      <c r="K1056" t="s">
        <v>24</v>
      </c>
      <c r="L1056" t="s">
        <v>25</v>
      </c>
      <c r="M1056" s="8" t="s">
        <v>26</v>
      </c>
      <c r="N1056" t="s">
        <v>26</v>
      </c>
      <c r="O1056" s="8" t="s">
        <v>26</v>
      </c>
      <c r="P1056" s="8" t="s">
        <v>26</v>
      </c>
      <c r="Q1056" s="8">
        <f>(2375365*100)/2680339</f>
        <v>88.621812390149159</v>
      </c>
    </row>
    <row r="1057" spans="1:17" x14ac:dyDescent="0.2">
      <c r="A1057">
        <v>2011</v>
      </c>
      <c r="B1057" t="s">
        <v>1253</v>
      </c>
      <c r="C1057" t="s">
        <v>52</v>
      </c>
      <c r="D1057" t="s">
        <v>76</v>
      </c>
      <c r="E1057">
        <v>5</v>
      </c>
      <c r="F1057" t="s">
        <v>19</v>
      </c>
      <c r="G1057" t="s">
        <v>352</v>
      </c>
      <c r="H1057" t="s">
        <v>1139</v>
      </c>
      <c r="I1057" t="s">
        <v>36</v>
      </c>
      <c r="J1057" t="s">
        <v>42</v>
      </c>
      <c r="K1057" t="s">
        <v>24</v>
      </c>
      <c r="L1057" t="s">
        <v>25</v>
      </c>
      <c r="M1057" s="8" t="s">
        <v>26</v>
      </c>
      <c r="N1057" t="s">
        <v>26</v>
      </c>
      <c r="O1057" s="8" t="s">
        <v>26</v>
      </c>
      <c r="P1057" s="8" t="s">
        <v>26</v>
      </c>
      <c r="Q1057" s="8">
        <f>(1626350*100)/1973941</f>
        <v>82.391013713175823</v>
      </c>
    </row>
    <row r="1058" spans="1:17" x14ac:dyDescent="0.2">
      <c r="A1058">
        <v>2011</v>
      </c>
      <c r="B1058" t="s">
        <v>1254</v>
      </c>
      <c r="C1058" t="s">
        <v>39</v>
      </c>
      <c r="D1058" t="s">
        <v>81</v>
      </c>
      <c r="E1058">
        <v>6</v>
      </c>
      <c r="F1058" t="s">
        <v>19</v>
      </c>
      <c r="G1058" t="s">
        <v>352</v>
      </c>
      <c r="H1058" t="s">
        <v>1139</v>
      </c>
      <c r="I1058" t="s">
        <v>36</v>
      </c>
      <c r="J1058" t="s">
        <v>42</v>
      </c>
      <c r="K1058" t="s">
        <v>24</v>
      </c>
      <c r="L1058" t="s">
        <v>25</v>
      </c>
      <c r="M1058" s="8" t="s">
        <v>26</v>
      </c>
      <c r="N1058" t="s">
        <v>26</v>
      </c>
      <c r="O1058" s="8" t="s">
        <v>26</v>
      </c>
      <c r="P1058" s="8" t="s">
        <v>26</v>
      </c>
      <c r="Q1058" s="8">
        <f>(2375365*100)/2680339</f>
        <v>88.621812390149159</v>
      </c>
    </row>
    <row r="1059" spans="1:17" x14ac:dyDescent="0.2">
      <c r="A1059">
        <v>2011</v>
      </c>
      <c r="B1059" t="s">
        <v>1255</v>
      </c>
      <c r="C1059" t="s">
        <v>39</v>
      </c>
      <c r="D1059" t="s">
        <v>81</v>
      </c>
      <c r="E1059">
        <v>6</v>
      </c>
      <c r="F1059" t="s">
        <v>19</v>
      </c>
      <c r="G1059" t="s">
        <v>352</v>
      </c>
      <c r="H1059" t="s">
        <v>1139</v>
      </c>
      <c r="I1059" t="s">
        <v>36</v>
      </c>
      <c r="J1059" t="s">
        <v>42</v>
      </c>
      <c r="K1059" t="s">
        <v>24</v>
      </c>
      <c r="L1059" t="s">
        <v>25</v>
      </c>
      <c r="M1059" s="8" t="s">
        <v>26</v>
      </c>
      <c r="N1059" t="s">
        <v>26</v>
      </c>
      <c r="O1059" s="8" t="s">
        <v>26</v>
      </c>
      <c r="P1059" s="8" t="s">
        <v>26</v>
      </c>
      <c r="Q1059" s="8">
        <f>(2375365*100)/2680339</f>
        <v>88.621812390149159</v>
      </c>
    </row>
    <row r="1060" spans="1:17" x14ac:dyDescent="0.2">
      <c r="A1060">
        <v>2011</v>
      </c>
      <c r="B1060" t="s">
        <v>1256</v>
      </c>
      <c r="C1060" t="s">
        <v>39</v>
      </c>
      <c r="D1060" t="s">
        <v>81</v>
      </c>
      <c r="E1060">
        <v>6</v>
      </c>
      <c r="F1060" t="s">
        <v>19</v>
      </c>
      <c r="G1060" t="s">
        <v>352</v>
      </c>
      <c r="H1060" t="s">
        <v>1139</v>
      </c>
      <c r="I1060" t="s">
        <v>36</v>
      </c>
      <c r="J1060" t="s">
        <v>42</v>
      </c>
      <c r="K1060" t="s">
        <v>24</v>
      </c>
      <c r="L1060" t="s">
        <v>25</v>
      </c>
      <c r="M1060" s="8" t="s">
        <v>26</v>
      </c>
      <c r="N1060" t="s">
        <v>26</v>
      </c>
      <c r="O1060" s="8" t="s">
        <v>26</v>
      </c>
      <c r="P1060" s="8" t="s">
        <v>26</v>
      </c>
      <c r="Q1060" s="8">
        <f>(2375365*100)/2680339</f>
        <v>88.621812390149159</v>
      </c>
    </row>
    <row r="1061" spans="1:17" x14ac:dyDescent="0.2">
      <c r="A1061">
        <v>2011</v>
      </c>
      <c r="B1061" t="s">
        <v>1257</v>
      </c>
      <c r="C1061" t="s">
        <v>39</v>
      </c>
      <c r="D1061" t="s">
        <v>58</v>
      </c>
      <c r="E1061">
        <v>6</v>
      </c>
      <c r="F1061" t="s">
        <v>19</v>
      </c>
      <c r="G1061" t="s">
        <v>352</v>
      </c>
      <c r="H1061" t="s">
        <v>1139</v>
      </c>
      <c r="I1061" t="s">
        <v>36</v>
      </c>
      <c r="J1061" t="s">
        <v>42</v>
      </c>
      <c r="K1061" t="s">
        <v>24</v>
      </c>
      <c r="L1061" t="s">
        <v>25</v>
      </c>
      <c r="M1061" s="8" t="s">
        <v>26</v>
      </c>
      <c r="N1061" t="s">
        <v>26</v>
      </c>
      <c r="O1061" s="8" t="s">
        <v>26</v>
      </c>
      <c r="P1061" s="8" t="s">
        <v>26</v>
      </c>
      <c r="Q1061" s="8">
        <f>(2375365*100)/2680339</f>
        <v>88.621812390149159</v>
      </c>
    </row>
    <row r="1062" spans="1:17" x14ac:dyDescent="0.2">
      <c r="A1062">
        <v>2011</v>
      </c>
      <c r="B1062" t="s">
        <v>1258</v>
      </c>
      <c r="C1062" t="s">
        <v>39</v>
      </c>
      <c r="D1062" t="s">
        <v>55</v>
      </c>
      <c r="E1062">
        <v>6</v>
      </c>
      <c r="F1062" t="s">
        <v>19</v>
      </c>
      <c r="G1062" t="s">
        <v>352</v>
      </c>
      <c r="H1062" t="s">
        <v>1139</v>
      </c>
      <c r="I1062" t="s">
        <v>36</v>
      </c>
      <c r="J1062" t="s">
        <v>42</v>
      </c>
      <c r="K1062" t="s">
        <v>24</v>
      </c>
      <c r="L1062" t="s">
        <v>25</v>
      </c>
      <c r="M1062" s="8" t="s">
        <v>26</v>
      </c>
      <c r="N1062" t="s">
        <v>26</v>
      </c>
      <c r="O1062" s="8" t="s">
        <v>26</v>
      </c>
      <c r="P1062" s="8" t="s">
        <v>26</v>
      </c>
      <c r="Q1062" s="8">
        <f>(2375365*100)/2680339</f>
        <v>88.621812390149159</v>
      </c>
    </row>
    <row r="1063" spans="1:17" x14ac:dyDescent="0.2">
      <c r="A1063">
        <v>2011</v>
      </c>
      <c r="B1063" t="s">
        <v>1259</v>
      </c>
      <c r="C1063" t="s">
        <v>50</v>
      </c>
      <c r="D1063" t="s">
        <v>81</v>
      </c>
      <c r="E1063">
        <v>6</v>
      </c>
      <c r="F1063" t="s">
        <v>19</v>
      </c>
      <c r="G1063" t="s">
        <v>352</v>
      </c>
      <c r="H1063" t="s">
        <v>1139</v>
      </c>
      <c r="I1063" t="s">
        <v>36</v>
      </c>
      <c r="J1063" t="s">
        <v>42</v>
      </c>
      <c r="K1063" t="s">
        <v>24</v>
      </c>
      <c r="L1063" t="s">
        <v>25</v>
      </c>
      <c r="M1063" s="8" t="s">
        <v>26</v>
      </c>
      <c r="N1063" t="s">
        <v>26</v>
      </c>
      <c r="O1063" s="8" t="s">
        <v>26</v>
      </c>
      <c r="P1063" s="8" t="s">
        <v>26</v>
      </c>
      <c r="Q1063" s="8">
        <f>(4488342*100)/4914798</f>
        <v>91.323020803703429</v>
      </c>
    </row>
    <row r="1064" spans="1:17" x14ac:dyDescent="0.2">
      <c r="A1064">
        <v>2011</v>
      </c>
      <c r="B1064" t="s">
        <v>1260</v>
      </c>
      <c r="C1064" t="s">
        <v>39</v>
      </c>
      <c r="D1064" t="s">
        <v>55</v>
      </c>
      <c r="E1064">
        <v>6</v>
      </c>
      <c r="F1064" t="s">
        <v>19</v>
      </c>
      <c r="G1064" t="s">
        <v>352</v>
      </c>
      <c r="H1064" t="s">
        <v>1139</v>
      </c>
      <c r="I1064" t="s">
        <v>36</v>
      </c>
      <c r="J1064" t="s">
        <v>42</v>
      </c>
      <c r="K1064" t="s">
        <v>24</v>
      </c>
      <c r="L1064" t="s">
        <v>25</v>
      </c>
      <c r="M1064" s="8" t="s">
        <v>26</v>
      </c>
      <c r="N1064" t="s">
        <v>26</v>
      </c>
      <c r="O1064" s="8" t="s">
        <v>26</v>
      </c>
      <c r="P1064" s="8" t="s">
        <v>26</v>
      </c>
      <c r="Q1064" s="8">
        <f>(2375365*100)/2680339</f>
        <v>88.621812390149159</v>
      </c>
    </row>
    <row r="1065" spans="1:17" x14ac:dyDescent="0.2">
      <c r="A1065">
        <v>2011</v>
      </c>
      <c r="B1065" t="s">
        <v>1261</v>
      </c>
      <c r="C1065" t="s">
        <v>39</v>
      </c>
      <c r="D1065" t="s">
        <v>55</v>
      </c>
      <c r="E1065">
        <v>6</v>
      </c>
      <c r="F1065" t="s">
        <v>19</v>
      </c>
      <c r="G1065" t="s">
        <v>352</v>
      </c>
      <c r="H1065" t="s">
        <v>1139</v>
      </c>
      <c r="I1065" t="s">
        <v>36</v>
      </c>
      <c r="J1065" t="s">
        <v>42</v>
      </c>
      <c r="K1065" t="s">
        <v>24</v>
      </c>
      <c r="L1065" t="s">
        <v>25</v>
      </c>
      <c r="M1065" s="8" t="s">
        <v>26</v>
      </c>
      <c r="N1065" t="s">
        <v>26</v>
      </c>
      <c r="O1065" s="8" t="s">
        <v>26</v>
      </c>
      <c r="P1065" s="8" t="s">
        <v>26</v>
      </c>
      <c r="Q1065" s="8">
        <f>(2375365*100)/2680339</f>
        <v>88.621812390149159</v>
      </c>
    </row>
    <row r="1066" spans="1:17" x14ac:dyDescent="0.2">
      <c r="A1066">
        <v>2011</v>
      </c>
      <c r="B1066" t="s">
        <v>1262</v>
      </c>
      <c r="C1066" t="s">
        <v>39</v>
      </c>
      <c r="D1066" t="s">
        <v>40</v>
      </c>
      <c r="E1066">
        <v>6</v>
      </c>
      <c r="F1066" t="s">
        <v>19</v>
      </c>
      <c r="G1066" t="s">
        <v>352</v>
      </c>
      <c r="H1066" t="s">
        <v>1139</v>
      </c>
      <c r="I1066" t="s">
        <v>36</v>
      </c>
      <c r="J1066" t="s">
        <v>42</v>
      </c>
      <c r="K1066" t="s">
        <v>24</v>
      </c>
      <c r="L1066" t="s">
        <v>25</v>
      </c>
      <c r="M1066" s="8" t="s">
        <v>26</v>
      </c>
      <c r="N1066" t="s">
        <v>26</v>
      </c>
      <c r="O1066" s="8" t="s">
        <v>26</v>
      </c>
      <c r="P1066" s="8" t="s">
        <v>26</v>
      </c>
      <c r="Q1066" s="8">
        <f>(2375365*100)/2680339</f>
        <v>88.621812390149159</v>
      </c>
    </row>
    <row r="1067" spans="1:17" x14ac:dyDescent="0.2">
      <c r="A1067">
        <v>2011</v>
      </c>
      <c r="B1067" t="s">
        <v>1263</v>
      </c>
      <c r="C1067" t="s">
        <v>39</v>
      </c>
      <c r="D1067" t="s">
        <v>40</v>
      </c>
      <c r="E1067">
        <v>6</v>
      </c>
      <c r="F1067" t="s">
        <v>19</v>
      </c>
      <c r="G1067" t="s">
        <v>352</v>
      </c>
      <c r="H1067" t="s">
        <v>1139</v>
      </c>
      <c r="I1067" t="s">
        <v>36</v>
      </c>
      <c r="J1067" t="s">
        <v>42</v>
      </c>
      <c r="K1067" t="s">
        <v>24</v>
      </c>
      <c r="L1067" t="s">
        <v>25</v>
      </c>
      <c r="M1067" s="8" t="s">
        <v>26</v>
      </c>
      <c r="N1067" t="s">
        <v>26</v>
      </c>
      <c r="O1067" s="8" t="s">
        <v>26</v>
      </c>
      <c r="P1067" s="8" t="s">
        <v>26</v>
      </c>
      <c r="Q1067" s="8">
        <f>(2375365*100)/2680339</f>
        <v>88.621812390149159</v>
      </c>
    </row>
    <row r="1068" spans="1:17" x14ac:dyDescent="0.2">
      <c r="A1068">
        <v>2011</v>
      </c>
      <c r="B1068" t="s">
        <v>1264</v>
      </c>
      <c r="C1068" t="s">
        <v>39</v>
      </c>
      <c r="D1068" t="s">
        <v>55</v>
      </c>
      <c r="E1068">
        <v>6</v>
      </c>
      <c r="F1068" t="s">
        <v>19</v>
      </c>
      <c r="G1068" t="s">
        <v>352</v>
      </c>
      <c r="H1068" t="s">
        <v>1139</v>
      </c>
      <c r="I1068" t="s">
        <v>36</v>
      </c>
      <c r="J1068" t="s">
        <v>42</v>
      </c>
      <c r="K1068" t="s">
        <v>24</v>
      </c>
      <c r="L1068" t="s">
        <v>25</v>
      </c>
      <c r="M1068" s="8" t="s">
        <v>26</v>
      </c>
      <c r="N1068" t="s">
        <v>26</v>
      </c>
      <c r="O1068" s="8" t="s">
        <v>26</v>
      </c>
      <c r="P1068" s="8" t="s">
        <v>26</v>
      </c>
      <c r="Q1068" s="8">
        <f>(2375365*100)/2680339</f>
        <v>88.621812390149159</v>
      </c>
    </row>
    <row r="1069" spans="1:17" x14ac:dyDescent="0.2">
      <c r="A1069">
        <v>2011</v>
      </c>
      <c r="B1069" t="s">
        <v>1265</v>
      </c>
      <c r="C1069" t="s">
        <v>50</v>
      </c>
      <c r="D1069" t="s">
        <v>55</v>
      </c>
      <c r="E1069">
        <v>6</v>
      </c>
      <c r="F1069" t="s">
        <v>19</v>
      </c>
      <c r="G1069" t="s">
        <v>352</v>
      </c>
      <c r="H1069" t="s">
        <v>1139</v>
      </c>
      <c r="I1069" t="s">
        <v>36</v>
      </c>
      <c r="J1069" t="s">
        <v>42</v>
      </c>
      <c r="K1069" t="s">
        <v>24</v>
      </c>
      <c r="L1069" t="s">
        <v>25</v>
      </c>
      <c r="M1069" s="8" t="s">
        <v>26</v>
      </c>
      <c r="N1069" t="s">
        <v>26</v>
      </c>
      <c r="O1069" s="8" t="s">
        <v>26</v>
      </c>
      <c r="P1069" s="8" t="s">
        <v>26</v>
      </c>
      <c r="Q1069" s="8">
        <f>(4488342*100)/4914798</f>
        <v>91.323020803703429</v>
      </c>
    </row>
    <row r="1070" spans="1:17" x14ac:dyDescent="0.2">
      <c r="A1070">
        <v>2011</v>
      </c>
      <c r="B1070" t="s">
        <v>1266</v>
      </c>
      <c r="C1070" t="s">
        <v>17</v>
      </c>
      <c r="D1070" t="s">
        <v>63</v>
      </c>
      <c r="E1070">
        <v>6</v>
      </c>
      <c r="F1070" t="s">
        <v>19</v>
      </c>
      <c r="G1070" t="s">
        <v>352</v>
      </c>
      <c r="H1070" t="s">
        <v>1142</v>
      </c>
      <c r="I1070" t="s">
        <v>36</v>
      </c>
      <c r="J1070" t="s">
        <v>23</v>
      </c>
      <c r="K1070" t="s">
        <v>24</v>
      </c>
      <c r="L1070" t="s">
        <v>25</v>
      </c>
      <c r="M1070" s="8">
        <v>0.93500000000000005</v>
      </c>
      <c r="N1070" t="s">
        <v>26</v>
      </c>
      <c r="O1070" s="8">
        <v>0.93500000000000005</v>
      </c>
      <c r="P1070" s="8">
        <f>EXP(-1.363+3.366*LOG(O1070,10))</f>
        <v>0.23194659731411651</v>
      </c>
      <c r="Q1070" s="8">
        <f>(605161.6*100)/5834449</f>
        <v>10.372215096918321</v>
      </c>
    </row>
    <row r="1071" spans="1:17" x14ac:dyDescent="0.2">
      <c r="A1071">
        <v>2011</v>
      </c>
      <c r="B1071" t="s">
        <v>1267</v>
      </c>
      <c r="C1071" t="s">
        <v>65</v>
      </c>
      <c r="D1071" t="s">
        <v>58</v>
      </c>
      <c r="E1071">
        <v>6</v>
      </c>
      <c r="F1071" t="s">
        <v>19</v>
      </c>
      <c r="G1071" t="s">
        <v>352</v>
      </c>
      <c r="H1071" t="s">
        <v>1142</v>
      </c>
      <c r="I1071" t="s">
        <v>36</v>
      </c>
      <c r="J1071" t="s">
        <v>66</v>
      </c>
      <c r="K1071" t="s">
        <v>24</v>
      </c>
      <c r="L1071" t="s">
        <v>25</v>
      </c>
      <c r="M1071" s="8">
        <v>0.93500000000000005</v>
      </c>
      <c r="N1071" t="s">
        <v>26</v>
      </c>
      <c r="O1071" s="8">
        <v>0.93500000000000005</v>
      </c>
      <c r="P1071" s="8">
        <f>EXP(-1.363+3.366*LOG(O1071,10))</f>
        <v>0.23194659731411651</v>
      </c>
      <c r="Q1071" s="8">
        <f>(1788886*100)/6788946</f>
        <v>26.349981278389901</v>
      </c>
    </row>
    <row r="1072" spans="1:17" x14ac:dyDescent="0.2">
      <c r="A1072">
        <v>2011</v>
      </c>
      <c r="B1072" t="s">
        <v>1268</v>
      </c>
      <c r="C1072" t="s">
        <v>50</v>
      </c>
      <c r="D1072" t="s">
        <v>95</v>
      </c>
      <c r="E1072">
        <v>7</v>
      </c>
      <c r="F1072" t="s">
        <v>19</v>
      </c>
      <c r="G1072" t="s">
        <v>352</v>
      </c>
      <c r="H1072" t="s">
        <v>1139</v>
      </c>
      <c r="I1072" t="s">
        <v>36</v>
      </c>
      <c r="J1072" t="s">
        <v>42</v>
      </c>
      <c r="K1072" t="s">
        <v>24</v>
      </c>
      <c r="L1072" t="s">
        <v>25</v>
      </c>
      <c r="M1072" s="8" t="s">
        <v>26</v>
      </c>
      <c r="N1072" t="s">
        <v>26</v>
      </c>
      <c r="O1072" s="8" t="s">
        <v>26</v>
      </c>
      <c r="P1072" s="8" t="s">
        <v>26</v>
      </c>
      <c r="Q1072" s="8">
        <f>(4488342*100)/4914798</f>
        <v>91.323020803703429</v>
      </c>
    </row>
    <row r="1073" spans="1:17" x14ac:dyDescent="0.2">
      <c r="A1073">
        <v>2011</v>
      </c>
      <c r="B1073" t="s">
        <v>1269</v>
      </c>
      <c r="C1073" t="s">
        <v>50</v>
      </c>
      <c r="D1073" t="s">
        <v>95</v>
      </c>
      <c r="E1073">
        <v>7</v>
      </c>
      <c r="F1073" t="s">
        <v>19</v>
      </c>
      <c r="G1073" t="s">
        <v>352</v>
      </c>
      <c r="H1073" t="s">
        <v>1139</v>
      </c>
      <c r="I1073" t="s">
        <v>36</v>
      </c>
      <c r="J1073" t="s">
        <v>42</v>
      </c>
      <c r="K1073" t="s">
        <v>24</v>
      </c>
      <c r="L1073" t="s">
        <v>25</v>
      </c>
      <c r="M1073" s="8" t="s">
        <v>26</v>
      </c>
      <c r="N1073" t="s">
        <v>26</v>
      </c>
      <c r="O1073" s="8" t="s">
        <v>26</v>
      </c>
      <c r="P1073" s="8" t="s">
        <v>26</v>
      </c>
      <c r="Q1073" s="8">
        <f>(4488342*100)/4914798</f>
        <v>91.323020803703429</v>
      </c>
    </row>
    <row r="1074" spans="1:17" x14ac:dyDescent="0.2">
      <c r="A1074">
        <v>2011</v>
      </c>
      <c r="B1074" t="s">
        <v>1270</v>
      </c>
      <c r="C1074" t="s">
        <v>17</v>
      </c>
      <c r="D1074" t="s">
        <v>47</v>
      </c>
      <c r="E1074">
        <v>4</v>
      </c>
      <c r="F1074" t="s">
        <v>19</v>
      </c>
      <c r="G1074" t="s">
        <v>352</v>
      </c>
      <c r="H1074" t="s">
        <v>1271</v>
      </c>
      <c r="I1074" t="s">
        <v>22</v>
      </c>
      <c r="J1074" t="s">
        <v>23</v>
      </c>
      <c r="K1074" t="s">
        <v>24</v>
      </c>
      <c r="L1074" t="s">
        <v>25</v>
      </c>
      <c r="M1074" s="8" t="s">
        <v>26</v>
      </c>
      <c r="N1074" t="s">
        <v>26</v>
      </c>
      <c r="O1074" s="8" t="s">
        <v>26</v>
      </c>
      <c r="P1074" s="8" t="s">
        <v>26</v>
      </c>
      <c r="Q1074" s="8">
        <f>(605161.6*100)/5834449</f>
        <v>10.372215096918321</v>
      </c>
    </row>
    <row r="1075" spans="1:17" x14ac:dyDescent="0.2">
      <c r="A1075">
        <v>2011</v>
      </c>
      <c r="B1075" t="s">
        <v>1272</v>
      </c>
      <c r="C1075" t="s">
        <v>57</v>
      </c>
      <c r="D1075" t="s">
        <v>71</v>
      </c>
      <c r="E1075">
        <v>7</v>
      </c>
      <c r="F1075" t="s">
        <v>19</v>
      </c>
      <c r="G1075" t="s">
        <v>352</v>
      </c>
      <c r="H1075" t="s">
        <v>1273</v>
      </c>
      <c r="I1075" t="s">
        <v>22</v>
      </c>
      <c r="J1075" t="s">
        <v>31</v>
      </c>
      <c r="K1075" t="s">
        <v>24</v>
      </c>
      <c r="L1075" t="s">
        <v>25</v>
      </c>
      <c r="M1075" s="8" t="s">
        <v>26</v>
      </c>
      <c r="N1075" t="s">
        <v>26</v>
      </c>
      <c r="O1075" s="8" t="s">
        <v>26</v>
      </c>
      <c r="P1075" s="8" t="s">
        <v>26</v>
      </c>
      <c r="Q1075" s="8">
        <f>(321151.3*100)/5927002</f>
        <v>5.4184442657518925</v>
      </c>
    </row>
    <row r="1076" spans="1:17" x14ac:dyDescent="0.2">
      <c r="A1076">
        <v>2011</v>
      </c>
      <c r="B1076" t="s">
        <v>1274</v>
      </c>
      <c r="C1076" t="s">
        <v>57</v>
      </c>
      <c r="D1076" t="s">
        <v>71</v>
      </c>
      <c r="E1076">
        <v>7</v>
      </c>
      <c r="F1076" t="s">
        <v>19</v>
      </c>
      <c r="G1076" t="s">
        <v>352</v>
      </c>
      <c r="H1076" t="s">
        <v>1273</v>
      </c>
      <c r="I1076" t="s">
        <v>22</v>
      </c>
      <c r="J1076" t="s">
        <v>31</v>
      </c>
      <c r="K1076" t="s">
        <v>24</v>
      </c>
      <c r="L1076" t="s">
        <v>25</v>
      </c>
      <c r="M1076" s="8" t="s">
        <v>26</v>
      </c>
      <c r="N1076" t="s">
        <v>26</v>
      </c>
      <c r="O1076" s="8" t="s">
        <v>26</v>
      </c>
      <c r="P1076" s="8" t="s">
        <v>26</v>
      </c>
      <c r="Q1076" s="8">
        <f>(321151.3*100)/5927002</f>
        <v>5.4184442657518925</v>
      </c>
    </row>
    <row r="1077" spans="1:17" x14ac:dyDescent="0.2">
      <c r="A1077">
        <v>2011</v>
      </c>
      <c r="B1077" t="s">
        <v>1275</v>
      </c>
      <c r="C1077" t="s">
        <v>52</v>
      </c>
      <c r="D1077" t="s">
        <v>147</v>
      </c>
      <c r="E1077">
        <v>4</v>
      </c>
      <c r="F1077" t="s">
        <v>19</v>
      </c>
      <c r="G1077" t="s">
        <v>352</v>
      </c>
      <c r="H1077" t="s">
        <v>353</v>
      </c>
      <c r="I1077" t="s">
        <v>22</v>
      </c>
      <c r="J1077" t="s">
        <v>42</v>
      </c>
      <c r="K1077" t="s">
        <v>24</v>
      </c>
      <c r="L1077" t="s">
        <v>25</v>
      </c>
      <c r="M1077" s="8">
        <v>1.1623333330000001</v>
      </c>
      <c r="N1077" t="s">
        <v>26</v>
      </c>
      <c r="O1077" s="8">
        <v>1.1623333330000001</v>
      </c>
      <c r="P1077" s="8">
        <f>EXP(-1.363+3.366*LOG(O1077,10))</f>
        <v>0.31883010989102206</v>
      </c>
      <c r="Q1077" s="8">
        <f>(1626350*100)/1973941</f>
        <v>82.391013713175823</v>
      </c>
    </row>
    <row r="1078" spans="1:17" x14ac:dyDescent="0.2">
      <c r="A1078">
        <v>2011</v>
      </c>
      <c r="B1078" t="s">
        <v>1276</v>
      </c>
      <c r="C1078" t="s">
        <v>30</v>
      </c>
      <c r="D1078" t="s">
        <v>321</v>
      </c>
      <c r="E1078">
        <v>4</v>
      </c>
      <c r="F1078" t="s">
        <v>19</v>
      </c>
      <c r="G1078" t="s">
        <v>352</v>
      </c>
      <c r="H1078" t="s">
        <v>353</v>
      </c>
      <c r="I1078" t="s">
        <v>22</v>
      </c>
      <c r="J1078" t="s">
        <v>31</v>
      </c>
      <c r="K1078" t="s">
        <v>24</v>
      </c>
      <c r="L1078" t="s">
        <v>25</v>
      </c>
      <c r="M1078" s="8">
        <v>1.1623333330000001</v>
      </c>
      <c r="N1078" t="s">
        <v>26</v>
      </c>
      <c r="O1078" s="8">
        <v>1.1623333330000001</v>
      </c>
      <c r="P1078" s="8">
        <f>EXP(-1.363+3.366*LOG(O1078,10))</f>
        <v>0.31883010989102206</v>
      </c>
      <c r="Q1078" s="8">
        <f>(34897.31*100)/4728180</f>
        <v>0.73807067412831151</v>
      </c>
    </row>
    <row r="1079" spans="1:17" x14ac:dyDescent="0.2">
      <c r="A1079">
        <v>2011</v>
      </c>
      <c r="B1079" t="s">
        <v>1277</v>
      </c>
      <c r="C1079" t="s">
        <v>60</v>
      </c>
      <c r="D1079" t="s">
        <v>35</v>
      </c>
      <c r="E1079">
        <v>5</v>
      </c>
      <c r="F1079" t="s">
        <v>19</v>
      </c>
      <c r="G1079" t="s">
        <v>352</v>
      </c>
      <c r="H1079" t="s">
        <v>353</v>
      </c>
      <c r="I1079" t="s">
        <v>22</v>
      </c>
      <c r="J1079" t="s">
        <v>31</v>
      </c>
      <c r="K1079" t="s">
        <v>24</v>
      </c>
      <c r="L1079" t="s">
        <v>25</v>
      </c>
      <c r="M1079" s="8">
        <v>1.1623333330000001</v>
      </c>
      <c r="N1079" t="s">
        <v>26</v>
      </c>
      <c r="O1079" s="8">
        <v>1.1623333330000001</v>
      </c>
      <c r="P1079" s="8">
        <f>EXP(-1.363+3.366*LOG(O1079,10))</f>
        <v>0.31883010989102206</v>
      </c>
      <c r="Q1079" s="8">
        <f>(27433.05*100)/7611378</f>
        <v>0.36042159514348127</v>
      </c>
    </row>
    <row r="1080" spans="1:17" x14ac:dyDescent="0.2">
      <c r="A1080">
        <v>2011</v>
      </c>
      <c r="B1080" t="s">
        <v>1278</v>
      </c>
      <c r="C1080" t="s">
        <v>94</v>
      </c>
      <c r="D1080" t="s">
        <v>18</v>
      </c>
      <c r="E1080">
        <v>5</v>
      </c>
      <c r="F1080" t="s">
        <v>19</v>
      </c>
      <c r="G1080" t="s">
        <v>352</v>
      </c>
      <c r="H1080" t="s">
        <v>353</v>
      </c>
      <c r="I1080" t="s">
        <v>22</v>
      </c>
      <c r="J1080" t="s">
        <v>66</v>
      </c>
      <c r="K1080" t="s">
        <v>24</v>
      </c>
      <c r="L1080" t="s">
        <v>25</v>
      </c>
      <c r="M1080" s="8">
        <v>1.1623333330000001</v>
      </c>
      <c r="N1080" t="s">
        <v>26</v>
      </c>
      <c r="O1080" s="8">
        <v>1.1623333330000001</v>
      </c>
      <c r="P1080" s="8">
        <f>EXP(-1.363+3.366*LOG(O1080,10))</f>
        <v>0.31883010989102206</v>
      </c>
      <c r="Q1080" s="8">
        <f>(46623.23*100)/15165196</f>
        <v>0.30743572321782059</v>
      </c>
    </row>
    <row r="1081" spans="1:17" x14ac:dyDescent="0.2">
      <c r="A1081">
        <v>2011</v>
      </c>
      <c r="B1081" t="s">
        <v>1279</v>
      </c>
      <c r="C1081" t="s">
        <v>52</v>
      </c>
      <c r="D1081" t="s">
        <v>44</v>
      </c>
      <c r="E1081">
        <v>5</v>
      </c>
      <c r="F1081" t="s">
        <v>19</v>
      </c>
      <c r="G1081" t="s">
        <v>352</v>
      </c>
      <c r="H1081" t="s">
        <v>353</v>
      </c>
      <c r="I1081" t="s">
        <v>22</v>
      </c>
      <c r="J1081" t="s">
        <v>42</v>
      </c>
      <c r="K1081" t="s">
        <v>24</v>
      </c>
      <c r="L1081" t="s">
        <v>25</v>
      </c>
      <c r="M1081" s="8">
        <v>1.1623333330000001</v>
      </c>
      <c r="N1081" t="s">
        <v>26</v>
      </c>
      <c r="O1081" s="8">
        <v>1.1623333330000001</v>
      </c>
      <c r="P1081" s="8">
        <f>EXP(-1.363+3.366*LOG(O1081,10))</f>
        <v>0.31883010989102206</v>
      </c>
      <c r="Q1081" s="8">
        <f>(1626350*100)/1973941</f>
        <v>82.391013713175823</v>
      </c>
    </row>
    <row r="1082" spans="1:17" x14ac:dyDescent="0.2">
      <c r="A1082">
        <v>2011</v>
      </c>
      <c r="B1082" t="s">
        <v>1280</v>
      </c>
      <c r="C1082" t="s">
        <v>52</v>
      </c>
      <c r="D1082" t="s">
        <v>76</v>
      </c>
      <c r="E1082">
        <v>5</v>
      </c>
      <c r="F1082" t="s">
        <v>19</v>
      </c>
      <c r="G1082" t="s">
        <v>352</v>
      </c>
      <c r="H1082" t="s">
        <v>353</v>
      </c>
      <c r="I1082" t="s">
        <v>22</v>
      </c>
      <c r="J1082" t="s">
        <v>42</v>
      </c>
      <c r="K1082" t="s">
        <v>24</v>
      </c>
      <c r="L1082" t="s">
        <v>25</v>
      </c>
      <c r="M1082" s="8">
        <v>1.1623333330000001</v>
      </c>
      <c r="N1082" t="s">
        <v>26</v>
      </c>
      <c r="O1082" s="8">
        <v>1.1623333330000001</v>
      </c>
      <c r="P1082" s="8">
        <f>EXP(-1.363+3.366*LOG(O1082,10))</f>
        <v>0.31883010989102206</v>
      </c>
      <c r="Q1082" s="8">
        <f>(1626350*100)/1973941</f>
        <v>82.391013713175823</v>
      </c>
    </row>
    <row r="1083" spans="1:17" x14ac:dyDescent="0.2">
      <c r="A1083">
        <v>2011</v>
      </c>
      <c r="B1083" t="s">
        <v>1281</v>
      </c>
      <c r="C1083" t="s">
        <v>52</v>
      </c>
      <c r="D1083" t="s">
        <v>81</v>
      </c>
      <c r="E1083">
        <v>6</v>
      </c>
      <c r="F1083" t="s">
        <v>19</v>
      </c>
      <c r="G1083" t="s">
        <v>352</v>
      </c>
      <c r="H1083" t="s">
        <v>353</v>
      </c>
      <c r="I1083" t="s">
        <v>22</v>
      </c>
      <c r="J1083" t="s">
        <v>42</v>
      </c>
      <c r="K1083" t="s">
        <v>24</v>
      </c>
      <c r="L1083" t="s">
        <v>25</v>
      </c>
      <c r="M1083" s="8">
        <v>1.1623333330000001</v>
      </c>
      <c r="N1083" t="s">
        <v>26</v>
      </c>
      <c r="O1083" s="8">
        <v>1.1623333330000001</v>
      </c>
      <c r="P1083" s="8">
        <f>EXP(-1.363+3.366*LOG(O1083,10))</f>
        <v>0.31883010989102206</v>
      </c>
      <c r="Q1083" s="8">
        <f>(1626350*100)/1973941</f>
        <v>82.391013713175823</v>
      </c>
    </row>
    <row r="1084" spans="1:17" x14ac:dyDescent="0.2">
      <c r="A1084">
        <v>2011</v>
      </c>
      <c r="B1084" t="s">
        <v>1282</v>
      </c>
      <c r="C1084" t="s">
        <v>60</v>
      </c>
      <c r="D1084" t="s">
        <v>53</v>
      </c>
      <c r="E1084">
        <v>6</v>
      </c>
      <c r="F1084" t="s">
        <v>19</v>
      </c>
      <c r="G1084" t="s">
        <v>352</v>
      </c>
      <c r="H1084" t="s">
        <v>353</v>
      </c>
      <c r="I1084" t="s">
        <v>22</v>
      </c>
      <c r="J1084" t="s">
        <v>31</v>
      </c>
      <c r="K1084" t="s">
        <v>24</v>
      </c>
      <c r="L1084" t="s">
        <v>25</v>
      </c>
      <c r="M1084" s="8">
        <v>1.1623333330000001</v>
      </c>
      <c r="N1084" t="s">
        <v>26</v>
      </c>
      <c r="O1084" s="8">
        <v>1.1623333330000001</v>
      </c>
      <c r="P1084" s="8">
        <f>EXP(-1.363+3.366*LOG(O1084,10))</f>
        <v>0.31883010989102206</v>
      </c>
      <c r="Q1084" s="8">
        <f>(27433.05*100)/7611378</f>
        <v>0.36042159514348127</v>
      </c>
    </row>
    <row r="1085" spans="1:17" x14ac:dyDescent="0.2">
      <c r="A1085">
        <v>2011</v>
      </c>
      <c r="B1085" t="s">
        <v>1283</v>
      </c>
      <c r="C1085" t="s">
        <v>60</v>
      </c>
      <c r="D1085" t="s">
        <v>53</v>
      </c>
      <c r="E1085">
        <v>6</v>
      </c>
      <c r="F1085" t="s">
        <v>19</v>
      </c>
      <c r="G1085" t="s">
        <v>352</v>
      </c>
      <c r="H1085" t="s">
        <v>353</v>
      </c>
      <c r="I1085" t="s">
        <v>22</v>
      </c>
      <c r="J1085" t="s">
        <v>31</v>
      </c>
      <c r="K1085" t="s">
        <v>24</v>
      </c>
      <c r="L1085" t="s">
        <v>25</v>
      </c>
      <c r="M1085" s="8">
        <v>1.1623333330000001</v>
      </c>
      <c r="N1085" t="s">
        <v>26</v>
      </c>
      <c r="O1085" s="8">
        <v>1.1623333330000001</v>
      </c>
      <c r="P1085" s="8">
        <f>EXP(-1.363+3.366*LOG(O1085,10))</f>
        <v>0.31883010989102206</v>
      </c>
      <c r="Q1085" s="8">
        <f>(27433.05*100)/7611378</f>
        <v>0.36042159514348127</v>
      </c>
    </row>
    <row r="1086" spans="1:17" x14ac:dyDescent="0.2">
      <c r="A1086">
        <v>2011</v>
      </c>
      <c r="B1086" t="s">
        <v>1284</v>
      </c>
      <c r="C1086" t="s">
        <v>60</v>
      </c>
      <c r="D1086" t="s">
        <v>53</v>
      </c>
      <c r="E1086">
        <v>6</v>
      </c>
      <c r="F1086" t="s">
        <v>19</v>
      </c>
      <c r="G1086" t="s">
        <v>352</v>
      </c>
      <c r="H1086" t="s">
        <v>353</v>
      </c>
      <c r="I1086" t="s">
        <v>22</v>
      </c>
      <c r="J1086" t="s">
        <v>31</v>
      </c>
      <c r="K1086" t="s">
        <v>24</v>
      </c>
      <c r="L1086" t="s">
        <v>25</v>
      </c>
      <c r="M1086" s="8">
        <v>1.1623333330000001</v>
      </c>
      <c r="N1086" t="s">
        <v>26</v>
      </c>
      <c r="O1086" s="8">
        <v>1.1623333330000001</v>
      </c>
      <c r="P1086" s="8">
        <f>EXP(-1.363+3.366*LOG(O1086,10))</f>
        <v>0.31883010989102206</v>
      </c>
      <c r="Q1086" s="8">
        <f>(27433.05*100)/7611378</f>
        <v>0.36042159514348127</v>
      </c>
    </row>
    <row r="1087" spans="1:17" x14ac:dyDescent="0.2">
      <c r="A1087">
        <v>2011</v>
      </c>
      <c r="B1087" t="s">
        <v>1285</v>
      </c>
      <c r="C1087" t="s">
        <v>60</v>
      </c>
      <c r="D1087" t="s">
        <v>53</v>
      </c>
      <c r="E1087">
        <v>6</v>
      </c>
      <c r="F1087" t="s">
        <v>19</v>
      </c>
      <c r="G1087" t="s">
        <v>352</v>
      </c>
      <c r="H1087" t="s">
        <v>353</v>
      </c>
      <c r="I1087" t="s">
        <v>22</v>
      </c>
      <c r="J1087" t="s">
        <v>31</v>
      </c>
      <c r="K1087" t="s">
        <v>24</v>
      </c>
      <c r="L1087" t="s">
        <v>25</v>
      </c>
      <c r="M1087" s="8">
        <v>1.1623333330000001</v>
      </c>
      <c r="N1087" t="s">
        <v>26</v>
      </c>
      <c r="O1087" s="8">
        <v>1.1623333330000001</v>
      </c>
      <c r="P1087" s="8">
        <f>EXP(-1.363+3.366*LOG(O1087,10))</f>
        <v>0.31883010989102206</v>
      </c>
      <c r="Q1087" s="8">
        <f>(27433.05*100)/7611378</f>
        <v>0.36042159514348127</v>
      </c>
    </row>
    <row r="1088" spans="1:17" x14ac:dyDescent="0.2">
      <c r="A1088">
        <v>2011</v>
      </c>
      <c r="B1088" t="s">
        <v>1286</v>
      </c>
      <c r="C1088" t="s">
        <v>60</v>
      </c>
      <c r="D1088" t="s">
        <v>53</v>
      </c>
      <c r="E1088">
        <v>6</v>
      </c>
      <c r="F1088" t="s">
        <v>19</v>
      </c>
      <c r="G1088" t="s">
        <v>352</v>
      </c>
      <c r="H1088" t="s">
        <v>353</v>
      </c>
      <c r="I1088" t="s">
        <v>22</v>
      </c>
      <c r="J1088" t="s">
        <v>31</v>
      </c>
      <c r="K1088" t="s">
        <v>24</v>
      </c>
      <c r="L1088" t="s">
        <v>25</v>
      </c>
      <c r="M1088" s="8">
        <v>1.1623333330000001</v>
      </c>
      <c r="N1088" t="s">
        <v>26</v>
      </c>
      <c r="O1088" s="8">
        <v>1.1623333330000001</v>
      </c>
      <c r="P1088" s="8">
        <f>EXP(-1.363+3.366*LOG(O1088,10))</f>
        <v>0.31883010989102206</v>
      </c>
      <c r="Q1088" s="8">
        <f>(27433.05*100)/7611378</f>
        <v>0.36042159514348127</v>
      </c>
    </row>
    <row r="1089" spans="1:17" x14ac:dyDescent="0.2">
      <c r="A1089">
        <v>2011</v>
      </c>
      <c r="B1089" t="s">
        <v>1287</v>
      </c>
      <c r="C1089" t="s">
        <v>52</v>
      </c>
      <c r="D1089" t="s">
        <v>53</v>
      </c>
      <c r="E1089">
        <v>6</v>
      </c>
      <c r="F1089" t="s">
        <v>19</v>
      </c>
      <c r="G1089" t="s">
        <v>352</v>
      </c>
      <c r="H1089" t="s">
        <v>353</v>
      </c>
      <c r="I1089" t="s">
        <v>22</v>
      </c>
      <c r="J1089" t="s">
        <v>42</v>
      </c>
      <c r="K1089" t="s">
        <v>24</v>
      </c>
      <c r="L1089" t="s">
        <v>25</v>
      </c>
      <c r="M1089" s="8">
        <v>1.1623333330000001</v>
      </c>
      <c r="N1089" t="s">
        <v>26</v>
      </c>
      <c r="O1089" s="8">
        <v>1.1623333330000001</v>
      </c>
      <c r="P1089" s="8">
        <f>EXP(-1.363+3.366*LOG(O1089,10))</f>
        <v>0.31883010989102206</v>
      </c>
      <c r="Q1089" s="8">
        <f>(1626350*100)/1973941</f>
        <v>82.391013713175823</v>
      </c>
    </row>
    <row r="1090" spans="1:17" x14ac:dyDescent="0.2">
      <c r="A1090">
        <v>2011</v>
      </c>
      <c r="B1090" t="s">
        <v>1288</v>
      </c>
      <c r="C1090" t="s">
        <v>52</v>
      </c>
      <c r="D1090" t="s">
        <v>53</v>
      </c>
      <c r="E1090">
        <v>6</v>
      </c>
      <c r="F1090" t="s">
        <v>19</v>
      </c>
      <c r="G1090" t="s">
        <v>352</v>
      </c>
      <c r="H1090" t="s">
        <v>353</v>
      </c>
      <c r="I1090" t="s">
        <v>22</v>
      </c>
      <c r="J1090" t="s">
        <v>42</v>
      </c>
      <c r="K1090" t="s">
        <v>24</v>
      </c>
      <c r="L1090" t="s">
        <v>25</v>
      </c>
      <c r="M1090" s="8">
        <v>1.1623333330000001</v>
      </c>
      <c r="N1090" t="s">
        <v>26</v>
      </c>
      <c r="O1090" s="8">
        <v>1.1623333330000001</v>
      </c>
      <c r="P1090" s="8">
        <f>EXP(-1.363+3.366*LOG(O1090,10))</f>
        <v>0.31883010989102206</v>
      </c>
      <c r="Q1090" s="8">
        <f>(1626350*100)/1973941</f>
        <v>82.391013713175823</v>
      </c>
    </row>
    <row r="1091" spans="1:17" x14ac:dyDescent="0.2">
      <c r="A1091">
        <v>2011</v>
      </c>
      <c r="B1091" t="s">
        <v>1289</v>
      </c>
      <c r="C1091" t="s">
        <v>52</v>
      </c>
      <c r="D1091" t="s">
        <v>53</v>
      </c>
      <c r="E1091">
        <v>6</v>
      </c>
      <c r="F1091" t="s">
        <v>19</v>
      </c>
      <c r="G1091" t="s">
        <v>352</v>
      </c>
      <c r="H1091" t="s">
        <v>353</v>
      </c>
      <c r="I1091" t="s">
        <v>22</v>
      </c>
      <c r="J1091" t="s">
        <v>42</v>
      </c>
      <c r="K1091" t="s">
        <v>24</v>
      </c>
      <c r="L1091" t="s">
        <v>25</v>
      </c>
      <c r="M1091" s="8">
        <v>1.1623333330000001</v>
      </c>
      <c r="N1091" t="s">
        <v>26</v>
      </c>
      <c r="O1091" s="8">
        <v>1.1623333330000001</v>
      </c>
      <c r="P1091" s="8">
        <f>EXP(-1.363+3.366*LOG(O1091,10))</f>
        <v>0.31883010989102206</v>
      </c>
      <c r="Q1091" s="8">
        <f>(1626350*100)/1973941</f>
        <v>82.391013713175823</v>
      </c>
    </row>
    <row r="1092" spans="1:17" x14ac:dyDescent="0.2">
      <c r="A1092">
        <v>2011</v>
      </c>
      <c r="B1092" t="s">
        <v>1290</v>
      </c>
      <c r="C1092" t="s">
        <v>52</v>
      </c>
      <c r="D1092" t="s">
        <v>53</v>
      </c>
      <c r="E1092">
        <v>6</v>
      </c>
      <c r="F1092" t="s">
        <v>19</v>
      </c>
      <c r="G1092" t="s">
        <v>352</v>
      </c>
      <c r="H1092" t="s">
        <v>353</v>
      </c>
      <c r="I1092" t="s">
        <v>22</v>
      </c>
      <c r="J1092" t="s">
        <v>42</v>
      </c>
      <c r="K1092" t="s">
        <v>24</v>
      </c>
      <c r="L1092" t="s">
        <v>25</v>
      </c>
      <c r="M1092" s="8">
        <v>1.1623333330000001</v>
      </c>
      <c r="N1092" t="s">
        <v>26</v>
      </c>
      <c r="O1092" s="8">
        <v>1.1623333330000001</v>
      </c>
      <c r="P1092" s="8">
        <f>EXP(-1.363+3.366*LOG(O1092,10))</f>
        <v>0.31883010989102206</v>
      </c>
      <c r="Q1092" s="8">
        <f>(1626350*100)/1973941</f>
        <v>82.391013713175823</v>
      </c>
    </row>
    <row r="1093" spans="1:17" x14ac:dyDescent="0.2">
      <c r="A1093">
        <v>2011</v>
      </c>
      <c r="B1093" t="s">
        <v>1291</v>
      </c>
      <c r="C1093" t="s">
        <v>52</v>
      </c>
      <c r="D1093" t="s">
        <v>53</v>
      </c>
      <c r="E1093">
        <v>6</v>
      </c>
      <c r="F1093" t="s">
        <v>19</v>
      </c>
      <c r="G1093" t="s">
        <v>352</v>
      </c>
      <c r="H1093" t="s">
        <v>353</v>
      </c>
      <c r="I1093" t="s">
        <v>22</v>
      </c>
      <c r="J1093" t="s">
        <v>42</v>
      </c>
      <c r="K1093" t="s">
        <v>24</v>
      </c>
      <c r="L1093" t="s">
        <v>25</v>
      </c>
      <c r="M1093" s="8">
        <v>1.1623333330000001</v>
      </c>
      <c r="N1093" t="s">
        <v>26</v>
      </c>
      <c r="O1093" s="8">
        <v>1.1623333330000001</v>
      </c>
      <c r="P1093" s="8">
        <f>EXP(-1.363+3.366*LOG(O1093,10))</f>
        <v>0.31883010989102206</v>
      </c>
      <c r="Q1093" s="8">
        <f>(1626350*100)/1973941</f>
        <v>82.391013713175823</v>
      </c>
    </row>
    <row r="1094" spans="1:17" x14ac:dyDescent="0.2">
      <c r="A1094">
        <v>2011</v>
      </c>
      <c r="B1094" t="s">
        <v>1292</v>
      </c>
      <c r="C1094" t="s">
        <v>52</v>
      </c>
      <c r="D1094" t="s">
        <v>53</v>
      </c>
      <c r="E1094">
        <v>6</v>
      </c>
      <c r="F1094" t="s">
        <v>19</v>
      </c>
      <c r="G1094" t="s">
        <v>352</v>
      </c>
      <c r="H1094" t="s">
        <v>353</v>
      </c>
      <c r="I1094" t="s">
        <v>22</v>
      </c>
      <c r="J1094" t="s">
        <v>42</v>
      </c>
      <c r="K1094" t="s">
        <v>24</v>
      </c>
      <c r="L1094" t="s">
        <v>25</v>
      </c>
      <c r="M1094" s="8">
        <v>1.1623333330000001</v>
      </c>
      <c r="N1094" t="s">
        <v>26</v>
      </c>
      <c r="O1094" s="8">
        <v>1.1623333330000001</v>
      </c>
      <c r="P1094" s="8">
        <f>EXP(-1.363+3.366*LOG(O1094,10))</f>
        <v>0.31883010989102206</v>
      </c>
      <c r="Q1094" s="8">
        <f>(1626350*100)/1973941</f>
        <v>82.391013713175823</v>
      </c>
    </row>
    <row r="1095" spans="1:17" x14ac:dyDescent="0.2">
      <c r="A1095">
        <v>2011</v>
      </c>
      <c r="B1095" t="s">
        <v>1293</v>
      </c>
      <c r="C1095" t="s">
        <v>60</v>
      </c>
      <c r="D1095" t="s">
        <v>53</v>
      </c>
      <c r="E1095">
        <v>6</v>
      </c>
      <c r="F1095" t="s">
        <v>19</v>
      </c>
      <c r="G1095" t="s">
        <v>352</v>
      </c>
      <c r="H1095" t="s">
        <v>353</v>
      </c>
      <c r="I1095" t="s">
        <v>22</v>
      </c>
      <c r="J1095" t="s">
        <v>31</v>
      </c>
      <c r="K1095" t="s">
        <v>24</v>
      </c>
      <c r="L1095" t="s">
        <v>25</v>
      </c>
      <c r="M1095" s="8">
        <v>1.1623333330000001</v>
      </c>
      <c r="N1095" t="s">
        <v>26</v>
      </c>
      <c r="O1095" s="8">
        <v>1.1623333330000001</v>
      </c>
      <c r="P1095" s="8">
        <f>EXP(-1.363+3.366*LOG(O1095,10))</f>
        <v>0.31883010989102206</v>
      </c>
      <c r="Q1095" s="8">
        <f>(27433.05*100)/7611378</f>
        <v>0.36042159514348127</v>
      </c>
    </row>
    <row r="1096" spans="1:17" x14ac:dyDescent="0.2">
      <c r="A1096">
        <v>2011</v>
      </c>
      <c r="B1096" t="s">
        <v>1294</v>
      </c>
      <c r="C1096" t="s">
        <v>60</v>
      </c>
      <c r="D1096" t="s">
        <v>53</v>
      </c>
      <c r="E1096">
        <v>6</v>
      </c>
      <c r="F1096" t="s">
        <v>19</v>
      </c>
      <c r="G1096" t="s">
        <v>352</v>
      </c>
      <c r="H1096" t="s">
        <v>353</v>
      </c>
      <c r="I1096" t="s">
        <v>22</v>
      </c>
      <c r="J1096" t="s">
        <v>31</v>
      </c>
      <c r="K1096" t="s">
        <v>24</v>
      </c>
      <c r="L1096" t="s">
        <v>25</v>
      </c>
      <c r="M1096" s="8">
        <v>1.1623333330000001</v>
      </c>
      <c r="N1096" t="s">
        <v>26</v>
      </c>
      <c r="O1096" s="8">
        <v>1.1623333330000001</v>
      </c>
      <c r="P1096" s="8">
        <f>EXP(-1.363+3.366*LOG(O1096,10))</f>
        <v>0.31883010989102206</v>
      </c>
      <c r="Q1096" s="8">
        <f>(27433.05*100)/7611378</f>
        <v>0.36042159514348127</v>
      </c>
    </row>
    <row r="1097" spans="1:17" x14ac:dyDescent="0.2">
      <c r="A1097">
        <v>2011</v>
      </c>
      <c r="B1097" t="s">
        <v>1295</v>
      </c>
      <c r="C1097" t="s">
        <v>60</v>
      </c>
      <c r="D1097" t="s">
        <v>53</v>
      </c>
      <c r="E1097">
        <v>6</v>
      </c>
      <c r="F1097" t="s">
        <v>19</v>
      </c>
      <c r="G1097" t="s">
        <v>352</v>
      </c>
      <c r="H1097" t="s">
        <v>353</v>
      </c>
      <c r="I1097" t="s">
        <v>22</v>
      </c>
      <c r="J1097" t="s">
        <v>31</v>
      </c>
      <c r="K1097" t="s">
        <v>24</v>
      </c>
      <c r="L1097" t="s">
        <v>25</v>
      </c>
      <c r="M1097" s="8">
        <v>1.1623333330000001</v>
      </c>
      <c r="N1097" t="s">
        <v>26</v>
      </c>
      <c r="O1097" s="8">
        <v>1.1623333330000001</v>
      </c>
      <c r="P1097" s="8">
        <f>EXP(-1.363+3.366*LOG(O1097,10))</f>
        <v>0.31883010989102206</v>
      </c>
      <c r="Q1097" s="8">
        <f>(27433.05*100)/7611378</f>
        <v>0.36042159514348127</v>
      </c>
    </row>
    <row r="1098" spans="1:17" x14ac:dyDescent="0.2">
      <c r="A1098">
        <v>2011</v>
      </c>
      <c r="B1098" t="s">
        <v>1296</v>
      </c>
      <c r="C1098" t="s">
        <v>60</v>
      </c>
      <c r="D1098" t="s">
        <v>53</v>
      </c>
      <c r="E1098">
        <v>6</v>
      </c>
      <c r="F1098" t="s">
        <v>19</v>
      </c>
      <c r="G1098" t="s">
        <v>352</v>
      </c>
      <c r="H1098" t="s">
        <v>353</v>
      </c>
      <c r="I1098" t="s">
        <v>22</v>
      </c>
      <c r="J1098" t="s">
        <v>31</v>
      </c>
      <c r="K1098" t="s">
        <v>24</v>
      </c>
      <c r="L1098" t="s">
        <v>25</v>
      </c>
      <c r="M1098" s="8">
        <v>1.1623333330000001</v>
      </c>
      <c r="N1098" t="s">
        <v>26</v>
      </c>
      <c r="O1098" s="8">
        <v>1.1623333330000001</v>
      </c>
      <c r="P1098" s="8">
        <f>EXP(-1.363+3.366*LOG(O1098,10))</f>
        <v>0.31883010989102206</v>
      </c>
      <c r="Q1098" s="8">
        <f>(27433.05*100)/7611378</f>
        <v>0.36042159514348127</v>
      </c>
    </row>
    <row r="1099" spans="1:17" x14ac:dyDescent="0.2">
      <c r="A1099">
        <v>2011</v>
      </c>
      <c r="B1099" t="s">
        <v>1297</v>
      </c>
      <c r="C1099" t="s">
        <v>60</v>
      </c>
      <c r="D1099" t="s">
        <v>53</v>
      </c>
      <c r="E1099">
        <v>6</v>
      </c>
      <c r="F1099" t="s">
        <v>19</v>
      </c>
      <c r="G1099" t="s">
        <v>352</v>
      </c>
      <c r="H1099" t="s">
        <v>353</v>
      </c>
      <c r="I1099" t="s">
        <v>22</v>
      </c>
      <c r="J1099" t="s">
        <v>31</v>
      </c>
      <c r="K1099" t="s">
        <v>24</v>
      </c>
      <c r="L1099" t="s">
        <v>25</v>
      </c>
      <c r="M1099" s="8">
        <v>1.1623333330000001</v>
      </c>
      <c r="N1099" t="s">
        <v>26</v>
      </c>
      <c r="O1099" s="8">
        <v>1.1623333330000001</v>
      </c>
      <c r="P1099" s="8">
        <f>EXP(-1.363+3.366*LOG(O1099,10))</f>
        <v>0.31883010989102206</v>
      </c>
      <c r="Q1099" s="8">
        <f>(27433.05*100)/7611378</f>
        <v>0.36042159514348127</v>
      </c>
    </row>
    <row r="1100" spans="1:17" x14ac:dyDescent="0.2">
      <c r="A1100">
        <v>2011</v>
      </c>
      <c r="B1100" t="s">
        <v>1298</v>
      </c>
      <c r="C1100" t="s">
        <v>60</v>
      </c>
      <c r="D1100" t="s">
        <v>53</v>
      </c>
      <c r="E1100">
        <v>6</v>
      </c>
      <c r="F1100" t="s">
        <v>19</v>
      </c>
      <c r="G1100" t="s">
        <v>352</v>
      </c>
      <c r="H1100" t="s">
        <v>353</v>
      </c>
      <c r="I1100" t="s">
        <v>22</v>
      </c>
      <c r="J1100" t="s">
        <v>31</v>
      </c>
      <c r="K1100" t="s">
        <v>24</v>
      </c>
      <c r="L1100" t="s">
        <v>25</v>
      </c>
      <c r="M1100" s="8">
        <v>1.1623333330000001</v>
      </c>
      <c r="N1100" t="s">
        <v>26</v>
      </c>
      <c r="O1100" s="8">
        <v>1.1623333330000001</v>
      </c>
      <c r="P1100" s="8">
        <f>EXP(-1.363+3.366*LOG(O1100,10))</f>
        <v>0.31883010989102206</v>
      </c>
      <c r="Q1100" s="8">
        <f>(27433.05*100)/7611378</f>
        <v>0.36042159514348127</v>
      </c>
    </row>
    <row r="1101" spans="1:17" x14ac:dyDescent="0.2">
      <c r="A1101">
        <v>2011</v>
      </c>
      <c r="B1101" t="s">
        <v>1299</v>
      </c>
      <c r="C1101" t="s">
        <v>60</v>
      </c>
      <c r="D1101" t="s">
        <v>53</v>
      </c>
      <c r="E1101">
        <v>6</v>
      </c>
      <c r="F1101" t="s">
        <v>19</v>
      </c>
      <c r="G1101" t="s">
        <v>352</v>
      </c>
      <c r="H1101" t="s">
        <v>353</v>
      </c>
      <c r="I1101" t="s">
        <v>22</v>
      </c>
      <c r="J1101" t="s">
        <v>31</v>
      </c>
      <c r="K1101" t="s">
        <v>24</v>
      </c>
      <c r="L1101" t="s">
        <v>25</v>
      </c>
      <c r="M1101" s="8">
        <v>1.1623333330000001</v>
      </c>
      <c r="N1101" t="s">
        <v>26</v>
      </c>
      <c r="O1101" s="8">
        <v>1.1623333330000001</v>
      </c>
      <c r="P1101" s="8">
        <f>EXP(-1.363+3.366*LOG(O1101,10))</f>
        <v>0.31883010989102206</v>
      </c>
      <c r="Q1101" s="8">
        <f>(27433.05*100)/7611378</f>
        <v>0.36042159514348127</v>
      </c>
    </row>
    <row r="1102" spans="1:17" x14ac:dyDescent="0.2">
      <c r="A1102">
        <v>2011</v>
      </c>
      <c r="B1102" t="s">
        <v>1300</v>
      </c>
      <c r="C1102" t="s">
        <v>60</v>
      </c>
      <c r="D1102" t="s">
        <v>53</v>
      </c>
      <c r="E1102">
        <v>6</v>
      </c>
      <c r="F1102" t="s">
        <v>19</v>
      </c>
      <c r="G1102" t="s">
        <v>352</v>
      </c>
      <c r="H1102" t="s">
        <v>353</v>
      </c>
      <c r="I1102" t="s">
        <v>22</v>
      </c>
      <c r="J1102" t="s">
        <v>31</v>
      </c>
      <c r="K1102" t="s">
        <v>24</v>
      </c>
      <c r="L1102" t="s">
        <v>25</v>
      </c>
      <c r="M1102" s="8">
        <v>1.1623333330000001</v>
      </c>
      <c r="N1102" t="s">
        <v>26</v>
      </c>
      <c r="O1102" s="8">
        <v>1.1623333330000001</v>
      </c>
      <c r="P1102" s="8">
        <f>EXP(-1.363+3.366*LOG(O1102,10))</f>
        <v>0.31883010989102206</v>
      </c>
      <c r="Q1102" s="8">
        <f>(27433.05*100)/7611378</f>
        <v>0.36042159514348127</v>
      </c>
    </row>
    <row r="1103" spans="1:17" x14ac:dyDescent="0.2">
      <c r="A1103">
        <v>2011</v>
      </c>
      <c r="B1103" t="s">
        <v>1301</v>
      </c>
      <c r="C1103" t="s">
        <v>60</v>
      </c>
      <c r="D1103" t="s">
        <v>53</v>
      </c>
      <c r="E1103">
        <v>6</v>
      </c>
      <c r="F1103" t="s">
        <v>19</v>
      </c>
      <c r="G1103" t="s">
        <v>352</v>
      </c>
      <c r="H1103" t="s">
        <v>353</v>
      </c>
      <c r="I1103" t="s">
        <v>22</v>
      </c>
      <c r="J1103" t="s">
        <v>31</v>
      </c>
      <c r="K1103" t="s">
        <v>24</v>
      </c>
      <c r="L1103" t="s">
        <v>25</v>
      </c>
      <c r="M1103" s="8">
        <v>1.1623333330000001</v>
      </c>
      <c r="N1103" t="s">
        <v>26</v>
      </c>
      <c r="O1103" s="8">
        <v>1.1623333330000001</v>
      </c>
      <c r="P1103" s="8">
        <f>EXP(-1.363+3.366*LOG(O1103,10))</f>
        <v>0.31883010989102206</v>
      </c>
      <c r="Q1103" s="8">
        <f>(27433.05*100)/7611378</f>
        <v>0.36042159514348127</v>
      </c>
    </row>
    <row r="1104" spans="1:17" x14ac:dyDescent="0.2">
      <c r="A1104">
        <v>2011</v>
      </c>
      <c r="B1104" t="s">
        <v>1302</v>
      </c>
      <c r="C1104" t="s">
        <v>60</v>
      </c>
      <c r="D1104" t="s">
        <v>53</v>
      </c>
      <c r="E1104">
        <v>6</v>
      </c>
      <c r="F1104" t="s">
        <v>19</v>
      </c>
      <c r="G1104" t="s">
        <v>352</v>
      </c>
      <c r="H1104" t="s">
        <v>353</v>
      </c>
      <c r="I1104" t="s">
        <v>22</v>
      </c>
      <c r="J1104" t="s">
        <v>31</v>
      </c>
      <c r="K1104" t="s">
        <v>24</v>
      </c>
      <c r="L1104" t="s">
        <v>25</v>
      </c>
      <c r="M1104" s="8">
        <v>1.1623333330000001</v>
      </c>
      <c r="N1104" t="s">
        <v>26</v>
      </c>
      <c r="O1104" s="8">
        <v>1.1623333330000001</v>
      </c>
      <c r="P1104" s="8">
        <f>EXP(-1.363+3.366*LOG(O1104,10))</f>
        <v>0.31883010989102206</v>
      </c>
      <c r="Q1104" s="8">
        <f>(27433.05*100)/7611378</f>
        <v>0.36042159514348127</v>
      </c>
    </row>
    <row r="1105" spans="1:17" x14ac:dyDescent="0.2">
      <c r="A1105">
        <v>2011</v>
      </c>
      <c r="B1105" t="s">
        <v>1303</v>
      </c>
      <c r="C1105" t="s">
        <v>50</v>
      </c>
      <c r="D1105" t="s">
        <v>81</v>
      </c>
      <c r="E1105">
        <v>6</v>
      </c>
      <c r="F1105" t="s">
        <v>19</v>
      </c>
      <c r="G1105" t="s">
        <v>352</v>
      </c>
      <c r="H1105" t="s">
        <v>353</v>
      </c>
      <c r="I1105" t="s">
        <v>22</v>
      </c>
      <c r="J1105" t="s">
        <v>42</v>
      </c>
      <c r="K1105" t="s">
        <v>24</v>
      </c>
      <c r="L1105" t="s">
        <v>25</v>
      </c>
      <c r="M1105" s="8">
        <v>1.1623333330000001</v>
      </c>
      <c r="N1105" t="s">
        <v>26</v>
      </c>
      <c r="O1105" s="8">
        <v>1.1623333330000001</v>
      </c>
      <c r="P1105" s="8">
        <f>EXP(-1.363+3.366*LOG(O1105,10))</f>
        <v>0.31883010989102206</v>
      </c>
      <c r="Q1105" s="8">
        <f>(4488342*100)/4914798</f>
        <v>91.323020803703429</v>
      </c>
    </row>
    <row r="1106" spans="1:17" x14ac:dyDescent="0.2">
      <c r="A1106">
        <v>2011</v>
      </c>
      <c r="B1106" t="s">
        <v>1304</v>
      </c>
      <c r="C1106" t="s">
        <v>60</v>
      </c>
      <c r="D1106" t="s">
        <v>61</v>
      </c>
      <c r="E1106">
        <v>6</v>
      </c>
      <c r="F1106" t="s">
        <v>19</v>
      </c>
      <c r="G1106" t="s">
        <v>352</v>
      </c>
      <c r="H1106" t="s">
        <v>353</v>
      </c>
      <c r="I1106" t="s">
        <v>22</v>
      </c>
      <c r="J1106" t="s">
        <v>31</v>
      </c>
      <c r="K1106" t="s">
        <v>24</v>
      </c>
      <c r="L1106" t="s">
        <v>25</v>
      </c>
      <c r="M1106" s="8">
        <v>1.1623333330000001</v>
      </c>
      <c r="N1106" t="s">
        <v>26</v>
      </c>
      <c r="O1106" s="8">
        <v>1.1623333330000001</v>
      </c>
      <c r="P1106" s="8">
        <f>EXP(-1.363+3.366*LOG(O1106,10))</f>
        <v>0.31883010989102206</v>
      </c>
      <c r="Q1106" s="8">
        <f>(27433.05*100)/7611378</f>
        <v>0.36042159514348127</v>
      </c>
    </row>
    <row r="1107" spans="1:17" x14ac:dyDescent="0.2">
      <c r="A1107">
        <v>2011</v>
      </c>
      <c r="B1107" t="s">
        <v>1305</v>
      </c>
      <c r="C1107" t="s">
        <v>60</v>
      </c>
      <c r="D1107" t="s">
        <v>61</v>
      </c>
      <c r="E1107">
        <v>6</v>
      </c>
      <c r="F1107" t="s">
        <v>19</v>
      </c>
      <c r="G1107" t="s">
        <v>352</v>
      </c>
      <c r="H1107" t="s">
        <v>353</v>
      </c>
      <c r="I1107" t="s">
        <v>22</v>
      </c>
      <c r="J1107" t="s">
        <v>31</v>
      </c>
      <c r="K1107" t="s">
        <v>24</v>
      </c>
      <c r="L1107" t="s">
        <v>25</v>
      </c>
      <c r="M1107" s="8">
        <v>1.1623333330000001</v>
      </c>
      <c r="N1107" t="s">
        <v>26</v>
      </c>
      <c r="O1107" s="8">
        <v>1.1623333330000001</v>
      </c>
      <c r="P1107" s="8">
        <f>EXP(-1.363+3.366*LOG(O1107,10))</f>
        <v>0.31883010989102206</v>
      </c>
      <c r="Q1107" s="8">
        <f>(27433.05*100)/7611378</f>
        <v>0.36042159514348127</v>
      </c>
    </row>
    <row r="1108" spans="1:17" x14ac:dyDescent="0.2">
      <c r="A1108">
        <v>2011</v>
      </c>
      <c r="B1108" t="s">
        <v>1306</v>
      </c>
      <c r="C1108" t="s">
        <v>60</v>
      </c>
      <c r="D1108" t="s">
        <v>61</v>
      </c>
      <c r="E1108">
        <v>6</v>
      </c>
      <c r="F1108" t="s">
        <v>19</v>
      </c>
      <c r="G1108" t="s">
        <v>352</v>
      </c>
      <c r="H1108" t="s">
        <v>353</v>
      </c>
      <c r="I1108" t="s">
        <v>22</v>
      </c>
      <c r="J1108" t="s">
        <v>31</v>
      </c>
      <c r="K1108" t="s">
        <v>24</v>
      </c>
      <c r="L1108" t="s">
        <v>25</v>
      </c>
      <c r="M1108" s="8">
        <v>1.1623333330000001</v>
      </c>
      <c r="N1108" t="s">
        <v>26</v>
      </c>
      <c r="O1108" s="8">
        <v>1.1623333330000001</v>
      </c>
      <c r="P1108" s="8">
        <f>EXP(-1.363+3.366*LOG(O1108,10))</f>
        <v>0.31883010989102206</v>
      </c>
      <c r="Q1108" s="8">
        <f>(27433.05*100)/7611378</f>
        <v>0.36042159514348127</v>
      </c>
    </row>
    <row r="1109" spans="1:17" x14ac:dyDescent="0.2">
      <c r="A1109">
        <v>2011</v>
      </c>
      <c r="B1109" t="s">
        <v>1307</v>
      </c>
      <c r="C1109" t="s">
        <v>57</v>
      </c>
      <c r="D1109" t="s">
        <v>71</v>
      </c>
      <c r="E1109">
        <v>7</v>
      </c>
      <c r="F1109" t="s">
        <v>19</v>
      </c>
      <c r="G1109" t="s">
        <v>352</v>
      </c>
      <c r="H1109" t="s">
        <v>353</v>
      </c>
      <c r="I1109" t="s">
        <v>22</v>
      </c>
      <c r="J1109" t="s">
        <v>31</v>
      </c>
      <c r="K1109" t="s">
        <v>24</v>
      </c>
      <c r="L1109" t="s">
        <v>25</v>
      </c>
      <c r="M1109" s="8">
        <v>1.1623333330000001</v>
      </c>
      <c r="N1109" t="s">
        <v>26</v>
      </c>
      <c r="O1109" s="8">
        <v>1.1623333330000001</v>
      </c>
      <c r="P1109" s="8">
        <f>EXP(-1.363+3.366*LOG(O1109,10))</f>
        <v>0.31883010989102206</v>
      </c>
      <c r="Q1109" s="8">
        <f>(321151.3*100)/5927002</f>
        <v>5.4184442657518925</v>
      </c>
    </row>
    <row r="1110" spans="1:17" x14ac:dyDescent="0.2">
      <c r="A1110">
        <v>2011</v>
      </c>
      <c r="B1110" t="s">
        <v>1308</v>
      </c>
      <c r="C1110" t="s">
        <v>65</v>
      </c>
      <c r="D1110" t="s">
        <v>71</v>
      </c>
      <c r="E1110">
        <v>7</v>
      </c>
      <c r="F1110" t="s">
        <v>19</v>
      </c>
      <c r="G1110" t="s">
        <v>352</v>
      </c>
      <c r="H1110" t="s">
        <v>353</v>
      </c>
      <c r="I1110" t="s">
        <v>22</v>
      </c>
      <c r="J1110" t="s">
        <v>66</v>
      </c>
      <c r="K1110" t="s">
        <v>24</v>
      </c>
      <c r="L1110" t="s">
        <v>25</v>
      </c>
      <c r="M1110" s="8">
        <v>1.1623333330000001</v>
      </c>
      <c r="N1110" t="s">
        <v>26</v>
      </c>
      <c r="O1110" s="8">
        <v>1.1623333330000001</v>
      </c>
      <c r="P1110" s="8">
        <f>EXP(-1.363+3.366*LOG(O1110,10))</f>
        <v>0.31883010989102206</v>
      </c>
      <c r="Q1110" s="8">
        <f>(1788886*100)/6788946</f>
        <v>26.349981278389901</v>
      </c>
    </row>
    <row r="1111" spans="1:17" x14ac:dyDescent="0.2">
      <c r="A1111">
        <v>2011</v>
      </c>
      <c r="B1111" t="s">
        <v>1309</v>
      </c>
      <c r="C1111" t="s">
        <v>65</v>
      </c>
      <c r="D1111" t="s">
        <v>71</v>
      </c>
      <c r="E1111">
        <v>7</v>
      </c>
      <c r="F1111" t="s">
        <v>19</v>
      </c>
      <c r="G1111" t="s">
        <v>352</v>
      </c>
      <c r="H1111" t="s">
        <v>353</v>
      </c>
      <c r="I1111" t="s">
        <v>22</v>
      </c>
      <c r="J1111" t="s">
        <v>66</v>
      </c>
      <c r="K1111" t="s">
        <v>24</v>
      </c>
      <c r="L1111" t="s">
        <v>25</v>
      </c>
      <c r="M1111" s="8">
        <v>1.1623333330000001</v>
      </c>
      <c r="N1111" t="s">
        <v>26</v>
      </c>
      <c r="O1111" s="8">
        <v>1.1623333330000001</v>
      </c>
      <c r="P1111" s="8">
        <f>EXP(-1.363+3.366*LOG(O1111,10))</f>
        <v>0.31883010989102206</v>
      </c>
      <c r="Q1111" s="8">
        <f>(1788886*100)/6788946</f>
        <v>26.349981278389901</v>
      </c>
    </row>
    <row r="1112" spans="1:17" x14ac:dyDescent="0.2">
      <c r="A1112">
        <v>2011</v>
      </c>
      <c r="B1112" t="s">
        <v>1310</v>
      </c>
      <c r="C1112" t="s">
        <v>65</v>
      </c>
      <c r="D1112" t="s">
        <v>71</v>
      </c>
      <c r="E1112">
        <v>7</v>
      </c>
      <c r="F1112" t="s">
        <v>19</v>
      </c>
      <c r="G1112" t="s">
        <v>352</v>
      </c>
      <c r="H1112" t="s">
        <v>353</v>
      </c>
      <c r="I1112" t="s">
        <v>22</v>
      </c>
      <c r="J1112" t="s">
        <v>66</v>
      </c>
      <c r="K1112" t="s">
        <v>24</v>
      </c>
      <c r="L1112" t="s">
        <v>25</v>
      </c>
      <c r="M1112" s="8">
        <v>1.1623333330000001</v>
      </c>
      <c r="N1112" t="s">
        <v>26</v>
      </c>
      <c r="O1112" s="8">
        <v>1.1623333330000001</v>
      </c>
      <c r="P1112" s="8">
        <f>EXP(-1.363+3.366*LOG(O1112,10))</f>
        <v>0.31883010989102206</v>
      </c>
      <c r="Q1112" s="8">
        <f>(1788886*100)/6788946</f>
        <v>26.349981278389901</v>
      </c>
    </row>
    <row r="1113" spans="1:17" x14ac:dyDescent="0.2">
      <c r="A1113">
        <v>2011</v>
      </c>
      <c r="B1113" t="s">
        <v>1311</v>
      </c>
      <c r="C1113" t="s">
        <v>50</v>
      </c>
      <c r="D1113" t="s">
        <v>53</v>
      </c>
      <c r="E1113">
        <v>6</v>
      </c>
      <c r="F1113" t="s">
        <v>19</v>
      </c>
      <c r="G1113" t="s">
        <v>352</v>
      </c>
      <c r="H1113" t="s">
        <v>353</v>
      </c>
      <c r="I1113" t="s">
        <v>22</v>
      </c>
      <c r="J1113" t="s">
        <v>42</v>
      </c>
      <c r="K1113" t="s">
        <v>24</v>
      </c>
      <c r="L1113" t="s">
        <v>25</v>
      </c>
      <c r="M1113" s="8">
        <v>1.1623333330000001</v>
      </c>
      <c r="N1113" t="s">
        <v>26</v>
      </c>
      <c r="O1113" s="8">
        <v>1.1623333330000001</v>
      </c>
      <c r="P1113" s="8">
        <f>EXP(-1.363+3.366*LOG(O1113,10))</f>
        <v>0.31883010989102206</v>
      </c>
      <c r="Q1113" s="8">
        <f>(4488342*100)/4914798</f>
        <v>91.323020803703429</v>
      </c>
    </row>
    <row r="1114" spans="1:17" x14ac:dyDescent="0.2">
      <c r="A1114">
        <v>2011</v>
      </c>
      <c r="B1114" t="s">
        <v>1312</v>
      </c>
      <c r="C1114" t="s">
        <v>60</v>
      </c>
      <c r="D1114" t="s">
        <v>61</v>
      </c>
      <c r="E1114">
        <v>6</v>
      </c>
      <c r="F1114" t="s">
        <v>19</v>
      </c>
      <c r="G1114" t="s">
        <v>352</v>
      </c>
      <c r="H1114" t="s">
        <v>353</v>
      </c>
      <c r="I1114" t="s">
        <v>22</v>
      </c>
      <c r="J1114" t="s">
        <v>31</v>
      </c>
      <c r="K1114" t="s">
        <v>24</v>
      </c>
      <c r="L1114" t="s">
        <v>25</v>
      </c>
      <c r="M1114" s="8">
        <v>1.1623333330000001</v>
      </c>
      <c r="N1114" t="s">
        <v>26</v>
      </c>
      <c r="O1114" s="8">
        <v>1.1623333330000001</v>
      </c>
      <c r="P1114" s="8">
        <f>EXP(-1.363+3.366*LOG(O1114,10))</f>
        <v>0.31883010989102206</v>
      </c>
      <c r="Q1114" s="8">
        <f>(27433.05*100)/7611378</f>
        <v>0.36042159514348127</v>
      </c>
    </row>
    <row r="1115" spans="1:17" x14ac:dyDescent="0.2">
      <c r="A1115">
        <v>2011</v>
      </c>
      <c r="B1115" t="s">
        <v>1313</v>
      </c>
      <c r="C1115" t="s">
        <v>60</v>
      </c>
      <c r="D1115" t="s">
        <v>61</v>
      </c>
      <c r="E1115">
        <v>6</v>
      </c>
      <c r="F1115" t="s">
        <v>19</v>
      </c>
      <c r="G1115" t="s">
        <v>352</v>
      </c>
      <c r="H1115" t="s">
        <v>353</v>
      </c>
      <c r="I1115" t="s">
        <v>22</v>
      </c>
      <c r="J1115" t="s">
        <v>31</v>
      </c>
      <c r="K1115" t="s">
        <v>24</v>
      </c>
      <c r="L1115" t="s">
        <v>25</v>
      </c>
      <c r="M1115" s="8">
        <v>1.1623333330000001</v>
      </c>
      <c r="N1115" t="s">
        <v>26</v>
      </c>
      <c r="O1115" s="8">
        <v>1.1623333330000001</v>
      </c>
      <c r="P1115" s="8">
        <f>EXP(-1.363+3.366*LOG(O1115,10))</f>
        <v>0.31883010989102206</v>
      </c>
      <c r="Q1115" s="8">
        <f>(27433.05*100)/7611378</f>
        <v>0.36042159514348127</v>
      </c>
    </row>
    <row r="1116" spans="1:17" x14ac:dyDescent="0.2">
      <c r="A1116">
        <v>2011</v>
      </c>
      <c r="B1116" t="s">
        <v>1314</v>
      </c>
      <c r="C1116" t="s">
        <v>60</v>
      </c>
      <c r="D1116" t="s">
        <v>61</v>
      </c>
      <c r="E1116">
        <v>6</v>
      </c>
      <c r="F1116" t="s">
        <v>19</v>
      </c>
      <c r="G1116" t="s">
        <v>352</v>
      </c>
      <c r="H1116" t="s">
        <v>353</v>
      </c>
      <c r="I1116" t="s">
        <v>22</v>
      </c>
      <c r="J1116" t="s">
        <v>31</v>
      </c>
      <c r="K1116" t="s">
        <v>24</v>
      </c>
      <c r="L1116" t="s">
        <v>25</v>
      </c>
      <c r="M1116" s="8">
        <v>1.1623333330000001</v>
      </c>
      <c r="N1116" t="s">
        <v>26</v>
      </c>
      <c r="O1116" s="8">
        <v>1.1623333330000001</v>
      </c>
      <c r="P1116" s="8">
        <f>EXP(-1.363+3.366*LOG(O1116,10))</f>
        <v>0.31883010989102206</v>
      </c>
      <c r="Q1116" s="8">
        <f>(27433.05*100)/7611378</f>
        <v>0.36042159514348127</v>
      </c>
    </row>
    <row r="1117" spans="1:17" x14ac:dyDescent="0.2">
      <c r="A1117">
        <v>2011</v>
      </c>
      <c r="B1117" t="s">
        <v>1315</v>
      </c>
      <c r="C1117" t="s">
        <v>60</v>
      </c>
      <c r="D1117" t="s">
        <v>61</v>
      </c>
      <c r="E1117">
        <v>6</v>
      </c>
      <c r="F1117" t="s">
        <v>19</v>
      </c>
      <c r="G1117" t="s">
        <v>352</v>
      </c>
      <c r="H1117" t="s">
        <v>353</v>
      </c>
      <c r="I1117" t="s">
        <v>22</v>
      </c>
      <c r="J1117" t="s">
        <v>31</v>
      </c>
      <c r="K1117" t="s">
        <v>24</v>
      </c>
      <c r="L1117" t="s">
        <v>25</v>
      </c>
      <c r="M1117" s="8">
        <v>1.1623333330000001</v>
      </c>
      <c r="N1117" t="s">
        <v>26</v>
      </c>
      <c r="O1117" s="8">
        <v>1.1623333330000001</v>
      </c>
      <c r="P1117" s="8">
        <f>EXP(-1.363+3.366*LOG(O1117,10))</f>
        <v>0.31883010989102206</v>
      </c>
      <c r="Q1117" s="8">
        <f>(27433.05*100)/7611378</f>
        <v>0.36042159514348127</v>
      </c>
    </row>
    <row r="1118" spans="1:17" x14ac:dyDescent="0.2">
      <c r="A1118">
        <v>2011</v>
      </c>
      <c r="B1118" t="s">
        <v>1316</v>
      </c>
      <c r="C1118" t="s">
        <v>60</v>
      </c>
      <c r="D1118" t="s">
        <v>61</v>
      </c>
      <c r="E1118">
        <v>6</v>
      </c>
      <c r="F1118" t="s">
        <v>19</v>
      </c>
      <c r="G1118" t="s">
        <v>352</v>
      </c>
      <c r="H1118" t="s">
        <v>353</v>
      </c>
      <c r="I1118" t="s">
        <v>22</v>
      </c>
      <c r="J1118" t="s">
        <v>31</v>
      </c>
      <c r="K1118" t="s">
        <v>24</v>
      </c>
      <c r="L1118" t="s">
        <v>25</v>
      </c>
      <c r="M1118" s="8">
        <v>1.1623333330000001</v>
      </c>
      <c r="N1118" t="s">
        <v>26</v>
      </c>
      <c r="O1118" s="8">
        <v>1.1623333330000001</v>
      </c>
      <c r="P1118" s="8">
        <f>EXP(-1.363+3.366*LOG(O1118,10))</f>
        <v>0.31883010989102206</v>
      </c>
      <c r="Q1118" s="8">
        <f>(27433.05*100)/7611378</f>
        <v>0.36042159514348127</v>
      </c>
    </row>
    <row r="1119" spans="1:17" x14ac:dyDescent="0.2">
      <c r="A1119">
        <v>2011</v>
      </c>
      <c r="B1119" t="s">
        <v>1317</v>
      </c>
      <c r="C1119" t="s">
        <v>60</v>
      </c>
      <c r="D1119" t="s">
        <v>61</v>
      </c>
      <c r="E1119">
        <v>6</v>
      </c>
      <c r="F1119" t="s">
        <v>19</v>
      </c>
      <c r="G1119" t="s">
        <v>352</v>
      </c>
      <c r="H1119" t="s">
        <v>353</v>
      </c>
      <c r="I1119" t="s">
        <v>22</v>
      </c>
      <c r="J1119" t="s">
        <v>31</v>
      </c>
      <c r="K1119" t="s">
        <v>24</v>
      </c>
      <c r="L1119" t="s">
        <v>25</v>
      </c>
      <c r="M1119" s="8">
        <v>1.1623333330000001</v>
      </c>
      <c r="N1119" t="s">
        <v>26</v>
      </c>
      <c r="O1119" s="8">
        <v>1.1623333330000001</v>
      </c>
      <c r="P1119" s="8">
        <f>EXP(-1.363+3.366*LOG(O1119,10))</f>
        <v>0.31883010989102206</v>
      </c>
      <c r="Q1119" s="8">
        <f>(27433.05*100)/7611378</f>
        <v>0.36042159514348127</v>
      </c>
    </row>
    <row r="1120" spans="1:17" x14ac:dyDescent="0.2">
      <c r="A1120">
        <v>2011</v>
      </c>
      <c r="B1120" t="s">
        <v>1318</v>
      </c>
      <c r="C1120" t="s">
        <v>60</v>
      </c>
      <c r="D1120" t="s">
        <v>61</v>
      </c>
      <c r="E1120">
        <v>6</v>
      </c>
      <c r="F1120" t="s">
        <v>19</v>
      </c>
      <c r="G1120" t="s">
        <v>352</v>
      </c>
      <c r="H1120" t="s">
        <v>353</v>
      </c>
      <c r="I1120" t="s">
        <v>22</v>
      </c>
      <c r="J1120" t="s">
        <v>31</v>
      </c>
      <c r="K1120" t="s">
        <v>24</v>
      </c>
      <c r="L1120" t="s">
        <v>25</v>
      </c>
      <c r="M1120" s="8">
        <v>1.1623333330000001</v>
      </c>
      <c r="N1120" t="s">
        <v>26</v>
      </c>
      <c r="O1120" s="8">
        <v>1.1623333330000001</v>
      </c>
      <c r="P1120" s="8">
        <f>EXP(-1.363+3.366*LOG(O1120,10))</f>
        <v>0.31883010989102206</v>
      </c>
      <c r="Q1120" s="8">
        <f>(27433.05*100)/7611378</f>
        <v>0.36042159514348127</v>
      </c>
    </row>
    <row r="1121" spans="1:17" x14ac:dyDescent="0.2">
      <c r="A1121">
        <v>2011</v>
      </c>
      <c r="B1121" t="s">
        <v>1319</v>
      </c>
      <c r="C1121" t="s">
        <v>60</v>
      </c>
      <c r="D1121" t="s">
        <v>61</v>
      </c>
      <c r="E1121">
        <v>6</v>
      </c>
      <c r="F1121" t="s">
        <v>19</v>
      </c>
      <c r="G1121" t="s">
        <v>352</v>
      </c>
      <c r="H1121" t="s">
        <v>353</v>
      </c>
      <c r="I1121" t="s">
        <v>22</v>
      </c>
      <c r="J1121" t="s">
        <v>31</v>
      </c>
      <c r="K1121" t="s">
        <v>24</v>
      </c>
      <c r="L1121" t="s">
        <v>25</v>
      </c>
      <c r="M1121" s="8">
        <v>1.1623333330000001</v>
      </c>
      <c r="N1121" t="s">
        <v>26</v>
      </c>
      <c r="O1121" s="8">
        <v>1.1623333330000001</v>
      </c>
      <c r="P1121" s="8">
        <f>EXP(-1.363+3.366*LOG(O1121,10))</f>
        <v>0.31883010989102206</v>
      </c>
      <c r="Q1121" s="8">
        <f>(27433.05*100)/7611378</f>
        <v>0.36042159514348127</v>
      </c>
    </row>
    <row r="1122" spans="1:17" x14ac:dyDescent="0.2">
      <c r="A1122">
        <v>2011</v>
      </c>
      <c r="B1122" t="s">
        <v>1320</v>
      </c>
      <c r="C1122" t="s">
        <v>57</v>
      </c>
      <c r="D1122" t="s">
        <v>58</v>
      </c>
      <c r="E1122">
        <v>6</v>
      </c>
      <c r="F1122" t="s">
        <v>19</v>
      </c>
      <c r="G1122" t="s">
        <v>352</v>
      </c>
      <c r="H1122" t="s">
        <v>353</v>
      </c>
      <c r="I1122" t="s">
        <v>22</v>
      </c>
      <c r="J1122" t="s">
        <v>31</v>
      </c>
      <c r="K1122" t="s">
        <v>24</v>
      </c>
      <c r="L1122" t="s">
        <v>25</v>
      </c>
      <c r="M1122" s="8">
        <v>1.1623333330000001</v>
      </c>
      <c r="N1122" t="s">
        <v>26</v>
      </c>
      <c r="O1122" s="8">
        <v>1.1623333330000001</v>
      </c>
      <c r="P1122" s="8">
        <f>EXP(-1.363+3.366*LOG(O1122,10))</f>
        <v>0.31883010989102206</v>
      </c>
      <c r="Q1122" s="8">
        <f>(321151.3*100)/5927002</f>
        <v>5.4184442657518925</v>
      </c>
    </row>
    <row r="1123" spans="1:17" x14ac:dyDescent="0.2">
      <c r="A1123">
        <v>2011</v>
      </c>
      <c r="B1123" t="s">
        <v>1321</v>
      </c>
      <c r="C1123" t="s">
        <v>60</v>
      </c>
      <c r="D1123" t="s">
        <v>53</v>
      </c>
      <c r="E1123">
        <v>6</v>
      </c>
      <c r="F1123" t="s">
        <v>19</v>
      </c>
      <c r="G1123" t="s">
        <v>352</v>
      </c>
      <c r="H1123" t="s">
        <v>353</v>
      </c>
      <c r="I1123" t="s">
        <v>22</v>
      </c>
      <c r="J1123" t="s">
        <v>31</v>
      </c>
      <c r="K1123" t="s">
        <v>24</v>
      </c>
      <c r="L1123" t="s">
        <v>25</v>
      </c>
      <c r="M1123" s="8">
        <v>1.1623333330000001</v>
      </c>
      <c r="N1123" t="s">
        <v>26</v>
      </c>
      <c r="O1123" s="8">
        <v>1.1623333330000001</v>
      </c>
      <c r="P1123" s="8">
        <f>EXP(-1.363+3.366*LOG(O1123,10))</f>
        <v>0.31883010989102206</v>
      </c>
      <c r="Q1123" s="8">
        <f>(27433.05*100)/7611378</f>
        <v>0.36042159514348127</v>
      </c>
    </row>
    <row r="1124" spans="1:17" x14ac:dyDescent="0.2">
      <c r="A1124">
        <v>2011</v>
      </c>
      <c r="B1124" t="s">
        <v>1322</v>
      </c>
      <c r="C1124" t="s">
        <v>60</v>
      </c>
      <c r="D1124" t="s">
        <v>53</v>
      </c>
      <c r="E1124">
        <v>6</v>
      </c>
      <c r="F1124" t="s">
        <v>19</v>
      </c>
      <c r="G1124" t="s">
        <v>352</v>
      </c>
      <c r="H1124" t="s">
        <v>353</v>
      </c>
      <c r="I1124" t="s">
        <v>22</v>
      </c>
      <c r="J1124" t="s">
        <v>31</v>
      </c>
      <c r="K1124" t="s">
        <v>24</v>
      </c>
      <c r="L1124" t="s">
        <v>25</v>
      </c>
      <c r="M1124" s="8">
        <v>1.1623333330000001</v>
      </c>
      <c r="N1124" t="s">
        <v>26</v>
      </c>
      <c r="O1124" s="8">
        <v>1.1623333330000001</v>
      </c>
      <c r="P1124" s="8">
        <f>EXP(-1.363+3.366*LOG(O1124,10))</f>
        <v>0.31883010989102206</v>
      </c>
      <c r="Q1124" s="8">
        <f>(27433.05*100)/7611378</f>
        <v>0.36042159514348127</v>
      </c>
    </row>
    <row r="1125" spans="1:17" x14ac:dyDescent="0.2">
      <c r="A1125">
        <v>2011</v>
      </c>
      <c r="B1125" t="s">
        <v>1323</v>
      </c>
      <c r="C1125" t="s">
        <v>30</v>
      </c>
      <c r="D1125" t="s">
        <v>95</v>
      </c>
      <c r="E1125">
        <v>7</v>
      </c>
      <c r="F1125" t="s">
        <v>19</v>
      </c>
      <c r="G1125" t="s">
        <v>352</v>
      </c>
      <c r="H1125" t="s">
        <v>353</v>
      </c>
      <c r="I1125" t="s">
        <v>22</v>
      </c>
      <c r="J1125" t="s">
        <v>31</v>
      </c>
      <c r="K1125" t="s">
        <v>24</v>
      </c>
      <c r="L1125" t="s">
        <v>25</v>
      </c>
      <c r="M1125" s="8">
        <v>1.1623333330000001</v>
      </c>
      <c r="N1125" t="s">
        <v>26</v>
      </c>
      <c r="O1125" s="8">
        <v>1.1623333330000001</v>
      </c>
      <c r="P1125" s="8">
        <f>EXP(-1.363+3.366*LOG(O1125,10))</f>
        <v>0.31883010989102206</v>
      </c>
      <c r="Q1125" s="8">
        <f>(34897.31*100)/4728180</f>
        <v>0.73807067412831151</v>
      </c>
    </row>
    <row r="1126" spans="1:17" x14ac:dyDescent="0.2">
      <c r="A1126">
        <v>2011</v>
      </c>
      <c r="B1126" t="s">
        <v>1324</v>
      </c>
      <c r="C1126" t="s">
        <v>60</v>
      </c>
      <c r="D1126" t="s">
        <v>61</v>
      </c>
      <c r="E1126">
        <v>6</v>
      </c>
      <c r="F1126" t="s">
        <v>19</v>
      </c>
      <c r="G1126" t="s">
        <v>352</v>
      </c>
      <c r="H1126" t="s">
        <v>353</v>
      </c>
      <c r="I1126" t="s">
        <v>22</v>
      </c>
      <c r="J1126" t="s">
        <v>31</v>
      </c>
      <c r="K1126" t="s">
        <v>24</v>
      </c>
      <c r="L1126" t="s">
        <v>25</v>
      </c>
      <c r="M1126" s="8">
        <v>1.1623333330000001</v>
      </c>
      <c r="N1126" t="s">
        <v>26</v>
      </c>
      <c r="O1126" s="8">
        <v>1.1623333330000001</v>
      </c>
      <c r="P1126" s="8">
        <f>EXP(-1.363+3.366*LOG(O1126,10))</f>
        <v>0.31883010989102206</v>
      </c>
      <c r="Q1126" s="8">
        <f>(27433.05*100)/7611378</f>
        <v>0.36042159514348127</v>
      </c>
    </row>
    <row r="1127" spans="1:17" x14ac:dyDescent="0.2">
      <c r="A1127">
        <v>2011</v>
      </c>
      <c r="B1127" t="s">
        <v>1325</v>
      </c>
      <c r="C1127" t="s">
        <v>60</v>
      </c>
      <c r="D1127" t="s">
        <v>61</v>
      </c>
      <c r="E1127">
        <v>6</v>
      </c>
      <c r="F1127" t="s">
        <v>19</v>
      </c>
      <c r="G1127" t="s">
        <v>352</v>
      </c>
      <c r="H1127" t="s">
        <v>353</v>
      </c>
      <c r="I1127" t="s">
        <v>22</v>
      </c>
      <c r="J1127" t="s">
        <v>31</v>
      </c>
      <c r="K1127" t="s">
        <v>24</v>
      </c>
      <c r="L1127" t="s">
        <v>25</v>
      </c>
      <c r="M1127" s="8">
        <v>1.1623333330000001</v>
      </c>
      <c r="N1127" t="s">
        <v>26</v>
      </c>
      <c r="O1127" s="8">
        <v>1.1623333330000001</v>
      </c>
      <c r="P1127" s="8">
        <f>EXP(-1.363+3.366*LOG(O1127,10))</f>
        <v>0.31883010989102206</v>
      </c>
      <c r="Q1127" s="8">
        <f>(27433.05*100)/7611378</f>
        <v>0.36042159514348127</v>
      </c>
    </row>
    <row r="1128" spans="1:17" x14ac:dyDescent="0.2">
      <c r="A1128">
        <v>2011</v>
      </c>
      <c r="B1128" t="s">
        <v>1326</v>
      </c>
      <c r="C1128" t="s">
        <v>57</v>
      </c>
      <c r="D1128" t="s">
        <v>58</v>
      </c>
      <c r="E1128">
        <v>6</v>
      </c>
      <c r="F1128" t="s">
        <v>19</v>
      </c>
      <c r="G1128" t="s">
        <v>352</v>
      </c>
      <c r="H1128" t="s">
        <v>353</v>
      </c>
      <c r="I1128" t="s">
        <v>22</v>
      </c>
      <c r="J1128" t="s">
        <v>31</v>
      </c>
      <c r="K1128" t="s">
        <v>24</v>
      </c>
      <c r="L1128" t="s">
        <v>25</v>
      </c>
      <c r="M1128" s="8">
        <v>1.1623333330000001</v>
      </c>
      <c r="N1128" t="s">
        <v>26</v>
      </c>
      <c r="O1128" s="8">
        <v>1.1623333330000001</v>
      </c>
      <c r="P1128" s="8">
        <f>EXP(-1.363+3.366*LOG(O1128,10))</f>
        <v>0.31883010989102206</v>
      </c>
      <c r="Q1128" s="8">
        <f>(321151.3*100)/5927002</f>
        <v>5.4184442657518925</v>
      </c>
    </row>
    <row r="1129" spans="1:17" x14ac:dyDescent="0.2">
      <c r="A1129">
        <v>2011</v>
      </c>
      <c r="B1129" t="s">
        <v>1327</v>
      </c>
      <c r="C1129" t="s">
        <v>30</v>
      </c>
      <c r="D1129" t="s">
        <v>63</v>
      </c>
      <c r="E1129">
        <v>6</v>
      </c>
      <c r="F1129" t="s">
        <v>19</v>
      </c>
      <c r="G1129" t="s">
        <v>352</v>
      </c>
      <c r="H1129" t="s">
        <v>353</v>
      </c>
      <c r="I1129" t="s">
        <v>22</v>
      </c>
      <c r="J1129" t="s">
        <v>31</v>
      </c>
      <c r="K1129" t="s">
        <v>24</v>
      </c>
      <c r="L1129" t="s">
        <v>25</v>
      </c>
      <c r="M1129" s="8">
        <v>1.1623333330000001</v>
      </c>
      <c r="N1129" t="s">
        <v>26</v>
      </c>
      <c r="O1129" s="8">
        <v>1.1623333330000001</v>
      </c>
      <c r="P1129" s="8">
        <f>EXP(-1.363+3.366*LOG(O1129,10))</f>
        <v>0.31883010989102206</v>
      </c>
      <c r="Q1129" s="8">
        <f>(34897.31*100)/4728180</f>
        <v>0.73807067412831151</v>
      </c>
    </row>
    <row r="1130" spans="1:17" x14ac:dyDescent="0.2">
      <c r="A1130">
        <v>2011</v>
      </c>
      <c r="B1130" t="s">
        <v>1328</v>
      </c>
      <c r="C1130" t="s">
        <v>30</v>
      </c>
      <c r="D1130" t="s">
        <v>63</v>
      </c>
      <c r="E1130">
        <v>6</v>
      </c>
      <c r="F1130" t="s">
        <v>19</v>
      </c>
      <c r="G1130" t="s">
        <v>352</v>
      </c>
      <c r="H1130" t="s">
        <v>353</v>
      </c>
      <c r="I1130" t="s">
        <v>22</v>
      </c>
      <c r="J1130" t="s">
        <v>31</v>
      </c>
      <c r="K1130" t="s">
        <v>24</v>
      </c>
      <c r="L1130" t="s">
        <v>25</v>
      </c>
      <c r="M1130" s="8">
        <v>1.1623333330000001</v>
      </c>
      <c r="N1130" t="s">
        <v>26</v>
      </c>
      <c r="O1130" s="8">
        <v>1.1623333330000001</v>
      </c>
      <c r="P1130" s="8">
        <f>EXP(-1.363+3.366*LOG(O1130,10))</f>
        <v>0.31883010989102206</v>
      </c>
      <c r="Q1130" s="8">
        <f>(34897.31*100)/4728180</f>
        <v>0.73807067412831151</v>
      </c>
    </row>
    <row r="1131" spans="1:17" x14ac:dyDescent="0.2">
      <c r="A1131">
        <v>2011</v>
      </c>
      <c r="B1131" t="s">
        <v>1329</v>
      </c>
      <c r="C1131" t="s">
        <v>30</v>
      </c>
      <c r="D1131" t="s">
        <v>63</v>
      </c>
      <c r="E1131">
        <v>6</v>
      </c>
      <c r="F1131" t="s">
        <v>19</v>
      </c>
      <c r="G1131" t="s">
        <v>352</v>
      </c>
      <c r="H1131" t="s">
        <v>353</v>
      </c>
      <c r="I1131" t="s">
        <v>22</v>
      </c>
      <c r="J1131" t="s">
        <v>31</v>
      </c>
      <c r="K1131" t="s">
        <v>24</v>
      </c>
      <c r="L1131" t="s">
        <v>25</v>
      </c>
      <c r="M1131" s="8">
        <v>1.1623333330000001</v>
      </c>
      <c r="N1131" t="s">
        <v>26</v>
      </c>
      <c r="O1131" s="8">
        <v>1.1623333330000001</v>
      </c>
      <c r="P1131" s="8">
        <f>EXP(-1.363+3.366*LOG(O1131,10))</f>
        <v>0.31883010989102206</v>
      </c>
      <c r="Q1131" s="8">
        <f>(34897.31*100)/4728180</f>
        <v>0.73807067412831151</v>
      </c>
    </row>
    <row r="1132" spans="1:17" x14ac:dyDescent="0.2">
      <c r="A1132">
        <v>2011</v>
      </c>
      <c r="B1132" t="s">
        <v>1330</v>
      </c>
      <c r="C1132" t="s">
        <v>30</v>
      </c>
      <c r="D1132" t="s">
        <v>63</v>
      </c>
      <c r="E1132">
        <v>6</v>
      </c>
      <c r="F1132" t="s">
        <v>19</v>
      </c>
      <c r="G1132" t="s">
        <v>352</v>
      </c>
      <c r="H1132" t="s">
        <v>353</v>
      </c>
      <c r="I1132" t="s">
        <v>22</v>
      </c>
      <c r="J1132" t="s">
        <v>31</v>
      </c>
      <c r="K1132" t="s">
        <v>24</v>
      </c>
      <c r="L1132" t="s">
        <v>25</v>
      </c>
      <c r="M1132" s="8">
        <v>1.1623333330000001</v>
      </c>
      <c r="N1132" t="s">
        <v>26</v>
      </c>
      <c r="O1132" s="8">
        <v>1.1623333330000001</v>
      </c>
      <c r="P1132" s="8">
        <f>EXP(-1.363+3.366*LOG(O1132,10))</f>
        <v>0.31883010989102206</v>
      </c>
      <c r="Q1132" s="8">
        <f>(34897.31*100)/4728180</f>
        <v>0.73807067412831151</v>
      </c>
    </row>
    <row r="1133" spans="1:17" x14ac:dyDescent="0.2">
      <c r="A1133">
        <v>2011</v>
      </c>
      <c r="B1133" t="s">
        <v>1331</v>
      </c>
      <c r="C1133" t="s">
        <v>30</v>
      </c>
      <c r="D1133" t="s">
        <v>63</v>
      </c>
      <c r="E1133">
        <v>6</v>
      </c>
      <c r="F1133" t="s">
        <v>19</v>
      </c>
      <c r="G1133" t="s">
        <v>352</v>
      </c>
      <c r="H1133" t="s">
        <v>353</v>
      </c>
      <c r="I1133" t="s">
        <v>22</v>
      </c>
      <c r="J1133" t="s">
        <v>31</v>
      </c>
      <c r="K1133" t="s">
        <v>24</v>
      </c>
      <c r="L1133" t="s">
        <v>25</v>
      </c>
      <c r="M1133" s="8">
        <v>1.1623333330000001</v>
      </c>
      <c r="N1133" t="s">
        <v>26</v>
      </c>
      <c r="O1133" s="8">
        <v>1.1623333330000001</v>
      </c>
      <c r="P1133" s="8">
        <f>EXP(-1.363+3.366*LOG(O1133,10))</f>
        <v>0.31883010989102206</v>
      </c>
      <c r="Q1133" s="8">
        <f>(34897.31*100)/4728180</f>
        <v>0.73807067412831151</v>
      </c>
    </row>
    <row r="1134" spans="1:17" x14ac:dyDescent="0.2">
      <c r="A1134">
        <v>2011</v>
      </c>
      <c r="B1134" t="s">
        <v>1332</v>
      </c>
      <c r="C1134" t="s">
        <v>30</v>
      </c>
      <c r="D1134" t="s">
        <v>63</v>
      </c>
      <c r="E1134">
        <v>6</v>
      </c>
      <c r="F1134" t="s">
        <v>19</v>
      </c>
      <c r="G1134" t="s">
        <v>352</v>
      </c>
      <c r="H1134" t="s">
        <v>353</v>
      </c>
      <c r="I1134" t="s">
        <v>22</v>
      </c>
      <c r="J1134" t="s">
        <v>31</v>
      </c>
      <c r="K1134" t="s">
        <v>24</v>
      </c>
      <c r="L1134" t="s">
        <v>25</v>
      </c>
      <c r="M1134" s="8">
        <v>1.1623333330000001</v>
      </c>
      <c r="N1134" t="s">
        <v>26</v>
      </c>
      <c r="O1134" s="8">
        <v>1.1623333330000001</v>
      </c>
      <c r="P1134" s="8">
        <f>EXP(-1.363+3.366*LOG(O1134,10))</f>
        <v>0.31883010989102206</v>
      </c>
      <c r="Q1134" s="8">
        <f>(34897.31*100)/4728180</f>
        <v>0.73807067412831151</v>
      </c>
    </row>
    <row r="1135" spans="1:17" x14ac:dyDescent="0.2">
      <c r="A1135">
        <v>2011</v>
      </c>
      <c r="B1135" t="s">
        <v>1333</v>
      </c>
      <c r="C1135" t="s">
        <v>30</v>
      </c>
      <c r="D1135" t="s">
        <v>63</v>
      </c>
      <c r="E1135">
        <v>6</v>
      </c>
      <c r="F1135" t="s">
        <v>19</v>
      </c>
      <c r="G1135" t="s">
        <v>352</v>
      </c>
      <c r="H1135" t="s">
        <v>353</v>
      </c>
      <c r="I1135" t="s">
        <v>22</v>
      </c>
      <c r="J1135" t="s">
        <v>31</v>
      </c>
      <c r="K1135" t="s">
        <v>24</v>
      </c>
      <c r="L1135" t="s">
        <v>25</v>
      </c>
      <c r="M1135" s="8">
        <v>1.1623333330000001</v>
      </c>
      <c r="N1135" t="s">
        <v>26</v>
      </c>
      <c r="O1135" s="8">
        <v>1.1623333330000001</v>
      </c>
      <c r="P1135" s="8">
        <f>EXP(-1.363+3.366*LOG(O1135,10))</f>
        <v>0.31883010989102206</v>
      </c>
      <c r="Q1135" s="8">
        <f>(34897.31*100)/4728180</f>
        <v>0.73807067412831151</v>
      </c>
    </row>
    <row r="1136" spans="1:17" x14ac:dyDescent="0.2">
      <c r="A1136">
        <v>2011</v>
      </c>
      <c r="B1136" t="s">
        <v>1334</v>
      </c>
      <c r="C1136" t="s">
        <v>30</v>
      </c>
      <c r="D1136" t="s">
        <v>63</v>
      </c>
      <c r="E1136">
        <v>6</v>
      </c>
      <c r="F1136" t="s">
        <v>19</v>
      </c>
      <c r="G1136" t="s">
        <v>352</v>
      </c>
      <c r="H1136" t="s">
        <v>353</v>
      </c>
      <c r="I1136" t="s">
        <v>22</v>
      </c>
      <c r="J1136" t="s">
        <v>31</v>
      </c>
      <c r="K1136" t="s">
        <v>24</v>
      </c>
      <c r="L1136" t="s">
        <v>25</v>
      </c>
      <c r="M1136" s="8">
        <v>1.1623333330000001</v>
      </c>
      <c r="N1136" t="s">
        <v>26</v>
      </c>
      <c r="O1136" s="8">
        <v>1.1623333330000001</v>
      </c>
      <c r="P1136" s="8">
        <f>EXP(-1.363+3.366*LOG(O1136,10))</f>
        <v>0.31883010989102206</v>
      </c>
      <c r="Q1136" s="8">
        <f>(34897.31*100)/4728180</f>
        <v>0.73807067412831151</v>
      </c>
    </row>
    <row r="1137" spans="1:17" x14ac:dyDescent="0.2">
      <c r="A1137">
        <v>2011</v>
      </c>
      <c r="B1137" t="s">
        <v>1338</v>
      </c>
      <c r="C1137" t="s">
        <v>60</v>
      </c>
      <c r="D1137" t="s">
        <v>190</v>
      </c>
      <c r="E1137">
        <v>7</v>
      </c>
      <c r="F1137" t="s">
        <v>19</v>
      </c>
      <c r="G1137" t="s">
        <v>352</v>
      </c>
      <c r="H1137" t="s">
        <v>353</v>
      </c>
      <c r="I1137" t="s">
        <v>22</v>
      </c>
      <c r="J1137" t="s">
        <v>31</v>
      </c>
      <c r="K1137" t="s">
        <v>24</v>
      </c>
      <c r="L1137" t="s">
        <v>25</v>
      </c>
      <c r="M1137" s="8">
        <v>1.1623333330000001</v>
      </c>
      <c r="N1137" t="s">
        <v>26</v>
      </c>
      <c r="O1137" s="8">
        <v>1.1623333330000001</v>
      </c>
      <c r="P1137" s="8">
        <f>EXP(-1.363+3.366*LOG(O1137,10))</f>
        <v>0.31883010989102206</v>
      </c>
      <c r="Q1137" s="8">
        <f>(27433.05*100)/7611378</f>
        <v>0.36042159514348127</v>
      </c>
    </row>
    <row r="1138" spans="1:17" x14ac:dyDescent="0.2">
      <c r="A1138">
        <v>2011</v>
      </c>
      <c r="B1138" t="s">
        <v>1342</v>
      </c>
      <c r="C1138" t="s">
        <v>52</v>
      </c>
      <c r="D1138" t="s">
        <v>81</v>
      </c>
      <c r="E1138">
        <v>6</v>
      </c>
      <c r="F1138" t="s">
        <v>19</v>
      </c>
      <c r="G1138" t="s">
        <v>352</v>
      </c>
      <c r="H1138" t="s">
        <v>353</v>
      </c>
      <c r="I1138" t="s">
        <v>36</v>
      </c>
      <c r="J1138" t="s">
        <v>42</v>
      </c>
      <c r="K1138" t="s">
        <v>24</v>
      </c>
      <c r="L1138" t="s">
        <v>25</v>
      </c>
      <c r="M1138" s="8">
        <v>0.99850000000000005</v>
      </c>
      <c r="N1138" t="s">
        <v>26</v>
      </c>
      <c r="O1138" s="8">
        <v>0.99850000000000005</v>
      </c>
      <c r="P1138" s="8">
        <f>EXP(-1.363+3.366*LOG(O1138,10))</f>
        <v>0.25533103505246407</v>
      </c>
      <c r="Q1138" s="8">
        <f>(1626350*100)/1973941</f>
        <v>82.391013713175823</v>
      </c>
    </row>
    <row r="1139" spans="1:17" x14ac:dyDescent="0.2">
      <c r="A1139">
        <v>2011</v>
      </c>
      <c r="B1139" t="s">
        <v>1343</v>
      </c>
      <c r="C1139" t="s">
        <v>52</v>
      </c>
      <c r="D1139" t="s">
        <v>446</v>
      </c>
      <c r="E1139">
        <v>4</v>
      </c>
      <c r="F1139" t="s">
        <v>19</v>
      </c>
      <c r="G1139" t="s">
        <v>352</v>
      </c>
      <c r="H1139" t="s">
        <v>1344</v>
      </c>
      <c r="I1139" t="s">
        <v>22</v>
      </c>
      <c r="J1139" t="s">
        <v>42</v>
      </c>
      <c r="K1139" t="s">
        <v>24</v>
      </c>
      <c r="L1139" t="s">
        <v>25</v>
      </c>
      <c r="M1139" s="8">
        <v>0.91800000000000004</v>
      </c>
      <c r="N1139" t="s">
        <v>26</v>
      </c>
      <c r="O1139" s="8">
        <v>0.91800000000000004</v>
      </c>
      <c r="P1139" s="8">
        <f>EXP(-1.363+3.366*LOG(O1139,10))</f>
        <v>0.22580769814771504</v>
      </c>
      <c r="Q1139" s="8">
        <f>(1626350*100)/1973941</f>
        <v>82.391013713175823</v>
      </c>
    </row>
    <row r="1140" spans="1:17" x14ac:dyDescent="0.2">
      <c r="A1140">
        <v>2011</v>
      </c>
      <c r="B1140" t="s">
        <v>1345</v>
      </c>
      <c r="C1140" t="s">
        <v>120</v>
      </c>
      <c r="D1140" t="s">
        <v>111</v>
      </c>
      <c r="E1140">
        <v>5</v>
      </c>
      <c r="F1140" t="s">
        <v>19</v>
      </c>
      <c r="G1140" t="s">
        <v>352</v>
      </c>
      <c r="H1140" t="s">
        <v>1344</v>
      </c>
      <c r="I1140" t="s">
        <v>22</v>
      </c>
      <c r="J1140" t="s">
        <v>23</v>
      </c>
      <c r="K1140" t="s">
        <v>24</v>
      </c>
      <c r="L1140" t="s">
        <v>25</v>
      </c>
      <c r="M1140" s="8">
        <v>0.91800000000000004</v>
      </c>
      <c r="N1140" t="s">
        <v>26</v>
      </c>
      <c r="O1140" s="8">
        <v>0.91800000000000004</v>
      </c>
      <c r="P1140" s="8">
        <f>EXP(-1.363+3.366*LOG(O1140,10))</f>
        <v>0.22580769814771504</v>
      </c>
      <c r="Q1140" s="8">
        <f>(2256192*100)/6055896</f>
        <v>37.256121967748456</v>
      </c>
    </row>
    <row r="1141" spans="1:17" x14ac:dyDescent="0.2">
      <c r="A1141">
        <v>2011</v>
      </c>
      <c r="B1141" t="s">
        <v>1346</v>
      </c>
      <c r="C1141" t="s">
        <v>120</v>
      </c>
      <c r="D1141" t="s">
        <v>111</v>
      </c>
      <c r="E1141">
        <v>5</v>
      </c>
      <c r="F1141" t="s">
        <v>19</v>
      </c>
      <c r="G1141" t="s">
        <v>352</v>
      </c>
      <c r="H1141" t="s">
        <v>1344</v>
      </c>
      <c r="I1141" t="s">
        <v>22</v>
      </c>
      <c r="J1141" t="s">
        <v>23</v>
      </c>
      <c r="K1141" t="s">
        <v>24</v>
      </c>
      <c r="L1141" t="s">
        <v>25</v>
      </c>
      <c r="M1141" s="8">
        <v>0.91800000000000004</v>
      </c>
      <c r="N1141" t="s">
        <v>26</v>
      </c>
      <c r="O1141" s="8">
        <v>0.91800000000000004</v>
      </c>
      <c r="P1141" s="8">
        <f>EXP(-1.363+3.366*LOG(O1141,10))</f>
        <v>0.22580769814771504</v>
      </c>
      <c r="Q1141" s="8">
        <f>(2256192*100)/6055896</f>
        <v>37.256121967748456</v>
      </c>
    </row>
    <row r="1142" spans="1:17" x14ac:dyDescent="0.2">
      <c r="A1142">
        <v>2011</v>
      </c>
      <c r="B1142" t="s">
        <v>1347</v>
      </c>
      <c r="C1142" t="s">
        <v>65</v>
      </c>
      <c r="D1142" t="s">
        <v>111</v>
      </c>
      <c r="E1142">
        <v>5</v>
      </c>
      <c r="F1142" t="s">
        <v>19</v>
      </c>
      <c r="G1142" t="s">
        <v>352</v>
      </c>
      <c r="H1142" t="s">
        <v>1344</v>
      </c>
      <c r="I1142" t="s">
        <v>22</v>
      </c>
      <c r="J1142" t="s">
        <v>66</v>
      </c>
      <c r="K1142" t="s">
        <v>24</v>
      </c>
      <c r="L1142" t="s">
        <v>25</v>
      </c>
      <c r="M1142" s="8">
        <v>0.91800000000000004</v>
      </c>
      <c r="N1142" t="s">
        <v>26</v>
      </c>
      <c r="O1142" s="8">
        <v>0.91800000000000004</v>
      </c>
      <c r="P1142" s="8">
        <f>EXP(-1.363+3.366*LOG(O1142,10))</f>
        <v>0.22580769814771504</v>
      </c>
      <c r="Q1142" s="8">
        <f>(1788886*100)/6788946</f>
        <v>26.349981278389901</v>
      </c>
    </row>
    <row r="1143" spans="1:17" x14ac:dyDescent="0.2">
      <c r="A1143">
        <v>2011</v>
      </c>
      <c r="B1143" t="s">
        <v>1348</v>
      </c>
      <c r="C1143" t="s">
        <v>52</v>
      </c>
      <c r="D1143" t="s">
        <v>53</v>
      </c>
      <c r="E1143">
        <v>6</v>
      </c>
      <c r="F1143" t="s">
        <v>19</v>
      </c>
      <c r="G1143" t="s">
        <v>352</v>
      </c>
      <c r="H1143" t="s">
        <v>1344</v>
      </c>
      <c r="I1143" t="s">
        <v>22</v>
      </c>
      <c r="J1143" t="s">
        <v>42</v>
      </c>
      <c r="K1143" t="s">
        <v>24</v>
      </c>
      <c r="L1143" t="s">
        <v>25</v>
      </c>
      <c r="M1143" s="8">
        <v>0.91800000000000004</v>
      </c>
      <c r="N1143" t="s">
        <v>26</v>
      </c>
      <c r="O1143" s="8">
        <v>0.91800000000000004</v>
      </c>
      <c r="P1143" s="8">
        <f>EXP(-1.363+3.366*LOG(O1143,10))</f>
        <v>0.22580769814771504</v>
      </c>
      <c r="Q1143" s="8">
        <f>(1626350*100)/1973941</f>
        <v>82.391013713175823</v>
      </c>
    </row>
    <row r="1144" spans="1:17" x14ac:dyDescent="0.2">
      <c r="A1144">
        <v>2011</v>
      </c>
      <c r="B1144" t="s">
        <v>1349</v>
      </c>
      <c r="C1144" t="s">
        <v>52</v>
      </c>
      <c r="D1144" t="s">
        <v>53</v>
      </c>
      <c r="E1144">
        <v>6</v>
      </c>
      <c r="F1144" t="s">
        <v>19</v>
      </c>
      <c r="G1144" t="s">
        <v>352</v>
      </c>
      <c r="H1144" t="s">
        <v>1344</v>
      </c>
      <c r="I1144" t="s">
        <v>22</v>
      </c>
      <c r="J1144" t="s">
        <v>42</v>
      </c>
      <c r="K1144" t="s">
        <v>24</v>
      </c>
      <c r="L1144" t="s">
        <v>25</v>
      </c>
      <c r="M1144" s="8">
        <v>0.91800000000000004</v>
      </c>
      <c r="N1144" t="s">
        <v>26</v>
      </c>
      <c r="O1144" s="8">
        <v>0.91800000000000004</v>
      </c>
      <c r="P1144" s="8">
        <f>EXP(-1.363+3.366*LOG(O1144,10))</f>
        <v>0.22580769814771504</v>
      </c>
      <c r="Q1144" s="8">
        <f>(1626350*100)/1973941</f>
        <v>82.391013713175823</v>
      </c>
    </row>
    <row r="1145" spans="1:17" x14ac:dyDescent="0.2">
      <c r="A1145">
        <v>2011</v>
      </c>
      <c r="B1145" t="s">
        <v>1350</v>
      </c>
      <c r="C1145" t="s">
        <v>52</v>
      </c>
      <c r="D1145" t="s">
        <v>53</v>
      </c>
      <c r="E1145">
        <v>6</v>
      </c>
      <c r="F1145" t="s">
        <v>19</v>
      </c>
      <c r="G1145" t="s">
        <v>352</v>
      </c>
      <c r="H1145" t="s">
        <v>1344</v>
      </c>
      <c r="I1145" t="s">
        <v>22</v>
      </c>
      <c r="J1145" t="s">
        <v>42</v>
      </c>
      <c r="K1145" t="s">
        <v>24</v>
      </c>
      <c r="L1145" t="s">
        <v>25</v>
      </c>
      <c r="M1145" s="8">
        <v>0.91800000000000004</v>
      </c>
      <c r="N1145" t="s">
        <v>26</v>
      </c>
      <c r="O1145" s="8">
        <v>0.91800000000000004</v>
      </c>
      <c r="P1145" s="8">
        <f>EXP(-1.363+3.366*LOG(O1145,10))</f>
        <v>0.22580769814771504</v>
      </c>
      <c r="Q1145" s="8">
        <f>(1626350*100)/1973941</f>
        <v>82.391013713175823</v>
      </c>
    </row>
    <row r="1146" spans="1:17" x14ac:dyDescent="0.2">
      <c r="A1146">
        <v>2011</v>
      </c>
      <c r="B1146" t="s">
        <v>1351</v>
      </c>
      <c r="C1146" t="s">
        <v>60</v>
      </c>
      <c r="D1146" t="s">
        <v>53</v>
      </c>
      <c r="E1146">
        <v>6</v>
      </c>
      <c r="F1146" t="s">
        <v>19</v>
      </c>
      <c r="G1146" t="s">
        <v>352</v>
      </c>
      <c r="H1146" t="s">
        <v>1344</v>
      </c>
      <c r="I1146" t="s">
        <v>22</v>
      </c>
      <c r="J1146" t="s">
        <v>31</v>
      </c>
      <c r="K1146" t="s">
        <v>24</v>
      </c>
      <c r="L1146" t="s">
        <v>25</v>
      </c>
      <c r="M1146" s="8">
        <v>0.91800000000000004</v>
      </c>
      <c r="N1146" t="s">
        <v>26</v>
      </c>
      <c r="O1146" s="8">
        <v>0.91800000000000004</v>
      </c>
      <c r="P1146" s="8">
        <f>EXP(-1.363+3.366*LOG(O1146,10))</f>
        <v>0.22580769814771504</v>
      </c>
      <c r="Q1146" s="8">
        <f>(27433.05*100)/7611378</f>
        <v>0.36042159514348127</v>
      </c>
    </row>
    <row r="1147" spans="1:17" x14ac:dyDescent="0.2">
      <c r="A1147">
        <v>2011</v>
      </c>
      <c r="B1147" t="s">
        <v>1352</v>
      </c>
      <c r="C1147" t="s">
        <v>52</v>
      </c>
      <c r="D1147" t="s">
        <v>76</v>
      </c>
      <c r="E1147">
        <v>5</v>
      </c>
      <c r="F1147" t="s">
        <v>19</v>
      </c>
      <c r="G1147" t="s">
        <v>352</v>
      </c>
      <c r="H1147" t="s">
        <v>1344</v>
      </c>
      <c r="I1147" t="s">
        <v>22</v>
      </c>
      <c r="J1147" t="s">
        <v>42</v>
      </c>
      <c r="K1147" t="s">
        <v>24</v>
      </c>
      <c r="L1147" t="s">
        <v>25</v>
      </c>
      <c r="M1147" s="8">
        <v>0.91800000000000004</v>
      </c>
      <c r="N1147" t="s">
        <v>26</v>
      </c>
      <c r="O1147" s="8">
        <v>0.91800000000000004</v>
      </c>
      <c r="P1147" s="8">
        <f>EXP(-1.363+3.366*LOG(O1147,10))</f>
        <v>0.22580769814771504</v>
      </c>
      <c r="Q1147" s="8">
        <f>(1626350*100)/1973941</f>
        <v>82.391013713175823</v>
      </c>
    </row>
    <row r="1148" spans="1:17" x14ac:dyDescent="0.2">
      <c r="A1148">
        <v>2011</v>
      </c>
      <c r="B1148" t="s">
        <v>1353</v>
      </c>
      <c r="C1148" t="s">
        <v>57</v>
      </c>
      <c r="D1148" t="s">
        <v>71</v>
      </c>
      <c r="E1148">
        <v>7</v>
      </c>
      <c r="F1148" t="s">
        <v>19</v>
      </c>
      <c r="G1148" t="s">
        <v>352</v>
      </c>
      <c r="H1148" t="s">
        <v>1344</v>
      </c>
      <c r="I1148" t="s">
        <v>22</v>
      </c>
      <c r="J1148" t="s">
        <v>104</v>
      </c>
      <c r="K1148" t="s">
        <v>24</v>
      </c>
      <c r="L1148" t="s">
        <v>25</v>
      </c>
      <c r="M1148" s="8">
        <v>0.91800000000000004</v>
      </c>
      <c r="N1148" t="s">
        <v>26</v>
      </c>
      <c r="O1148" s="8">
        <v>0.91800000000000004</v>
      </c>
      <c r="P1148" s="8">
        <f>EXP(-1.363+3.366*LOG(O1148,10))</f>
        <v>0.22580769814771504</v>
      </c>
      <c r="Q1148" s="8">
        <f>(321151.3*100)/5927002</f>
        <v>5.4184442657518925</v>
      </c>
    </row>
    <row r="1149" spans="1:17" x14ac:dyDescent="0.2">
      <c r="A1149">
        <v>2011</v>
      </c>
      <c r="B1149" t="s">
        <v>1354</v>
      </c>
      <c r="C1149" t="s">
        <v>52</v>
      </c>
      <c r="D1149" t="s">
        <v>55</v>
      </c>
      <c r="E1149">
        <v>6</v>
      </c>
      <c r="F1149" t="s">
        <v>19</v>
      </c>
      <c r="G1149" t="s">
        <v>352</v>
      </c>
      <c r="H1149" t="s">
        <v>1344</v>
      </c>
      <c r="I1149" t="s">
        <v>22</v>
      </c>
      <c r="J1149" t="s">
        <v>42</v>
      </c>
      <c r="K1149" t="s">
        <v>24</v>
      </c>
      <c r="L1149" t="s">
        <v>25</v>
      </c>
      <c r="M1149" s="8">
        <v>0.91800000000000004</v>
      </c>
      <c r="N1149" t="s">
        <v>26</v>
      </c>
      <c r="O1149" s="8">
        <v>0.91800000000000004</v>
      </c>
      <c r="P1149" s="8">
        <f>EXP(-1.363+3.366*LOG(O1149,10))</f>
        <v>0.22580769814771504</v>
      </c>
      <c r="Q1149" s="8">
        <f>(1626350*100)/1973941</f>
        <v>82.391013713175823</v>
      </c>
    </row>
    <row r="1150" spans="1:17" x14ac:dyDescent="0.2">
      <c r="A1150">
        <v>2011</v>
      </c>
      <c r="B1150" t="s">
        <v>1355</v>
      </c>
      <c r="C1150" t="s">
        <v>120</v>
      </c>
      <c r="D1150" t="s">
        <v>71</v>
      </c>
      <c r="E1150">
        <v>7</v>
      </c>
      <c r="F1150" t="s">
        <v>19</v>
      </c>
      <c r="G1150" t="s">
        <v>352</v>
      </c>
      <c r="H1150" t="s">
        <v>1344</v>
      </c>
      <c r="I1150" t="s">
        <v>22</v>
      </c>
      <c r="J1150" t="s">
        <v>23</v>
      </c>
      <c r="K1150" t="s">
        <v>24</v>
      </c>
      <c r="L1150" t="s">
        <v>25</v>
      </c>
      <c r="M1150" s="8">
        <v>0.91800000000000004</v>
      </c>
      <c r="N1150" t="s">
        <v>26</v>
      </c>
      <c r="O1150" s="8">
        <v>0.91800000000000004</v>
      </c>
      <c r="P1150" s="8">
        <f>EXP(-1.363+3.366*LOG(O1150,10))</f>
        <v>0.22580769814771504</v>
      </c>
      <c r="Q1150" s="8">
        <f>(2256192*100)/6055896</f>
        <v>37.256121967748456</v>
      </c>
    </row>
    <row r="1151" spans="1:17" x14ac:dyDescent="0.2">
      <c r="A1151">
        <v>2011</v>
      </c>
      <c r="B1151" t="s">
        <v>1356</v>
      </c>
      <c r="C1151" t="s">
        <v>120</v>
      </c>
      <c r="D1151" t="s">
        <v>71</v>
      </c>
      <c r="E1151">
        <v>7</v>
      </c>
      <c r="F1151" t="s">
        <v>19</v>
      </c>
      <c r="G1151" t="s">
        <v>352</v>
      </c>
      <c r="H1151" t="s">
        <v>1344</v>
      </c>
      <c r="I1151" t="s">
        <v>22</v>
      </c>
      <c r="J1151" t="s">
        <v>23</v>
      </c>
      <c r="K1151" t="s">
        <v>24</v>
      </c>
      <c r="L1151" t="s">
        <v>25</v>
      </c>
      <c r="M1151" s="8">
        <v>0.91800000000000004</v>
      </c>
      <c r="N1151" t="s">
        <v>26</v>
      </c>
      <c r="O1151" s="8">
        <v>0.91800000000000004</v>
      </c>
      <c r="P1151" s="8">
        <f>EXP(-1.363+3.366*LOG(O1151,10))</f>
        <v>0.22580769814771504</v>
      </c>
      <c r="Q1151" s="8">
        <f>(2256192*100)/6055896</f>
        <v>37.256121967748456</v>
      </c>
    </row>
    <row r="1152" spans="1:17" x14ac:dyDescent="0.2">
      <c r="A1152">
        <v>2011</v>
      </c>
      <c r="B1152" t="s">
        <v>1357</v>
      </c>
      <c r="C1152" t="s">
        <v>120</v>
      </c>
      <c r="D1152" t="s">
        <v>71</v>
      </c>
      <c r="E1152">
        <v>7</v>
      </c>
      <c r="F1152" t="s">
        <v>19</v>
      </c>
      <c r="G1152" t="s">
        <v>352</v>
      </c>
      <c r="H1152" t="s">
        <v>1344</v>
      </c>
      <c r="I1152" t="s">
        <v>22</v>
      </c>
      <c r="J1152" t="s">
        <v>23</v>
      </c>
      <c r="K1152" t="s">
        <v>24</v>
      </c>
      <c r="L1152" t="s">
        <v>25</v>
      </c>
      <c r="M1152" s="8">
        <v>0.91800000000000004</v>
      </c>
      <c r="N1152" t="s">
        <v>26</v>
      </c>
      <c r="O1152" s="8">
        <v>0.91800000000000004</v>
      </c>
      <c r="P1152" s="8">
        <f>EXP(-1.363+3.366*LOG(O1152,10))</f>
        <v>0.22580769814771504</v>
      </c>
      <c r="Q1152" s="8">
        <f>(2256192*100)/6055896</f>
        <v>37.256121967748456</v>
      </c>
    </row>
    <row r="1153" spans="1:17" x14ac:dyDescent="0.2">
      <c r="A1153">
        <v>2011</v>
      </c>
      <c r="B1153" t="s">
        <v>1358</v>
      </c>
      <c r="C1153" t="s">
        <v>65</v>
      </c>
      <c r="D1153" t="s">
        <v>71</v>
      </c>
      <c r="E1153">
        <v>7</v>
      </c>
      <c r="F1153" t="s">
        <v>19</v>
      </c>
      <c r="G1153" t="s">
        <v>352</v>
      </c>
      <c r="H1153" t="s">
        <v>1344</v>
      </c>
      <c r="I1153" t="s">
        <v>22</v>
      </c>
      <c r="J1153" t="s">
        <v>66</v>
      </c>
      <c r="K1153" t="s">
        <v>24</v>
      </c>
      <c r="L1153" t="s">
        <v>25</v>
      </c>
      <c r="M1153" s="8">
        <v>0.91800000000000004</v>
      </c>
      <c r="N1153" t="s">
        <v>26</v>
      </c>
      <c r="O1153" s="8">
        <v>0.91800000000000004</v>
      </c>
      <c r="P1153" s="8">
        <f>EXP(-1.363+3.366*LOG(O1153,10))</f>
        <v>0.22580769814771504</v>
      </c>
      <c r="Q1153" s="8">
        <f>(1788886*100)/6788946</f>
        <v>26.349981278389901</v>
      </c>
    </row>
    <row r="1154" spans="1:17" x14ac:dyDescent="0.2">
      <c r="A1154">
        <v>2011</v>
      </c>
      <c r="B1154" t="s">
        <v>1359</v>
      </c>
      <c r="C1154" t="s">
        <v>65</v>
      </c>
      <c r="D1154" t="s">
        <v>71</v>
      </c>
      <c r="E1154">
        <v>7</v>
      </c>
      <c r="F1154" t="s">
        <v>19</v>
      </c>
      <c r="G1154" t="s">
        <v>352</v>
      </c>
      <c r="H1154" t="s">
        <v>1344</v>
      </c>
      <c r="I1154" t="s">
        <v>22</v>
      </c>
      <c r="J1154" t="s">
        <v>66</v>
      </c>
      <c r="K1154" t="s">
        <v>24</v>
      </c>
      <c r="L1154" t="s">
        <v>25</v>
      </c>
      <c r="M1154" s="8">
        <v>0.91800000000000004</v>
      </c>
      <c r="N1154" t="s">
        <v>26</v>
      </c>
      <c r="O1154" s="8">
        <v>0.91800000000000004</v>
      </c>
      <c r="P1154" s="8">
        <f>EXP(-1.363+3.366*LOG(O1154,10))</f>
        <v>0.22580769814771504</v>
      </c>
      <c r="Q1154" s="8">
        <f>(1788886*100)/6788946</f>
        <v>26.349981278389901</v>
      </c>
    </row>
    <row r="1155" spans="1:17" x14ac:dyDescent="0.2">
      <c r="A1155">
        <v>2011</v>
      </c>
      <c r="B1155" t="s">
        <v>1360</v>
      </c>
      <c r="C1155" t="s">
        <v>65</v>
      </c>
      <c r="D1155" t="s">
        <v>71</v>
      </c>
      <c r="E1155">
        <v>7</v>
      </c>
      <c r="F1155" t="s">
        <v>19</v>
      </c>
      <c r="G1155" t="s">
        <v>352</v>
      </c>
      <c r="H1155" t="s">
        <v>1344</v>
      </c>
      <c r="I1155" t="s">
        <v>22</v>
      </c>
      <c r="J1155" t="s">
        <v>66</v>
      </c>
      <c r="K1155" t="s">
        <v>24</v>
      </c>
      <c r="L1155" t="s">
        <v>25</v>
      </c>
      <c r="M1155" s="8">
        <v>0.91800000000000004</v>
      </c>
      <c r="N1155" t="s">
        <v>26</v>
      </c>
      <c r="O1155" s="8">
        <v>0.91800000000000004</v>
      </c>
      <c r="P1155" s="8">
        <f>EXP(-1.363+3.366*LOG(O1155,10))</f>
        <v>0.22580769814771504</v>
      </c>
      <c r="Q1155" s="8">
        <f>(1788886*100)/6788946</f>
        <v>26.349981278389901</v>
      </c>
    </row>
    <row r="1156" spans="1:17" x14ac:dyDescent="0.2">
      <c r="A1156">
        <v>2011</v>
      </c>
      <c r="B1156" t="s">
        <v>1361</v>
      </c>
      <c r="C1156" t="s">
        <v>65</v>
      </c>
      <c r="D1156" t="s">
        <v>71</v>
      </c>
      <c r="E1156">
        <v>7</v>
      </c>
      <c r="F1156" t="s">
        <v>19</v>
      </c>
      <c r="G1156" t="s">
        <v>352</v>
      </c>
      <c r="H1156" t="s">
        <v>1344</v>
      </c>
      <c r="I1156" t="s">
        <v>22</v>
      </c>
      <c r="J1156" t="s">
        <v>66</v>
      </c>
      <c r="K1156" t="s">
        <v>24</v>
      </c>
      <c r="L1156" t="s">
        <v>25</v>
      </c>
      <c r="M1156" s="8">
        <v>0.91800000000000004</v>
      </c>
      <c r="N1156" t="s">
        <v>26</v>
      </c>
      <c r="O1156" s="8">
        <v>0.91800000000000004</v>
      </c>
      <c r="P1156" s="8">
        <f>EXP(-1.363+3.366*LOG(O1156,10))</f>
        <v>0.22580769814771504</v>
      </c>
      <c r="Q1156" s="8">
        <f>(1788886*100)/6788946</f>
        <v>26.349981278389901</v>
      </c>
    </row>
    <row r="1157" spans="1:17" x14ac:dyDescent="0.2">
      <c r="A1157">
        <v>2011</v>
      </c>
      <c r="B1157" t="s">
        <v>1362</v>
      </c>
      <c r="C1157" t="s">
        <v>65</v>
      </c>
      <c r="D1157" t="s">
        <v>71</v>
      </c>
      <c r="E1157">
        <v>7</v>
      </c>
      <c r="F1157" t="s">
        <v>19</v>
      </c>
      <c r="G1157" t="s">
        <v>352</v>
      </c>
      <c r="H1157" t="s">
        <v>1344</v>
      </c>
      <c r="I1157" t="s">
        <v>22</v>
      </c>
      <c r="J1157" t="s">
        <v>66</v>
      </c>
      <c r="K1157" t="s">
        <v>24</v>
      </c>
      <c r="L1157" t="s">
        <v>25</v>
      </c>
      <c r="M1157" s="8">
        <v>0.91800000000000004</v>
      </c>
      <c r="N1157" t="s">
        <v>26</v>
      </c>
      <c r="O1157" s="8">
        <v>0.91800000000000004</v>
      </c>
      <c r="P1157" s="8">
        <f>EXP(-1.363+3.366*LOG(O1157,10))</f>
        <v>0.22580769814771504</v>
      </c>
      <c r="Q1157" s="8">
        <f>(1788886*100)/6788946</f>
        <v>26.349981278389901</v>
      </c>
    </row>
    <row r="1158" spans="1:17" x14ac:dyDescent="0.2">
      <c r="A1158">
        <v>2011</v>
      </c>
      <c r="B1158" t="s">
        <v>1363</v>
      </c>
      <c r="C1158" t="s">
        <v>65</v>
      </c>
      <c r="D1158" t="s">
        <v>71</v>
      </c>
      <c r="E1158">
        <v>7</v>
      </c>
      <c r="F1158" t="s">
        <v>19</v>
      </c>
      <c r="G1158" t="s">
        <v>352</v>
      </c>
      <c r="H1158" t="s">
        <v>1344</v>
      </c>
      <c r="I1158" t="s">
        <v>22</v>
      </c>
      <c r="J1158" t="s">
        <v>66</v>
      </c>
      <c r="K1158" t="s">
        <v>24</v>
      </c>
      <c r="L1158" t="s">
        <v>25</v>
      </c>
      <c r="M1158" s="8">
        <v>0.91800000000000004</v>
      </c>
      <c r="N1158" t="s">
        <v>26</v>
      </c>
      <c r="O1158" s="8">
        <v>0.91800000000000004</v>
      </c>
      <c r="P1158" s="8">
        <f>EXP(-1.363+3.366*LOG(O1158,10))</f>
        <v>0.22580769814771504</v>
      </c>
      <c r="Q1158" s="8">
        <f>(1788886*100)/6788946</f>
        <v>26.349981278389901</v>
      </c>
    </row>
    <row r="1159" spans="1:17" x14ac:dyDescent="0.2">
      <c r="A1159">
        <v>2011</v>
      </c>
      <c r="B1159" t="s">
        <v>1364</v>
      </c>
      <c r="C1159" t="s">
        <v>120</v>
      </c>
      <c r="D1159" t="s">
        <v>58</v>
      </c>
      <c r="E1159">
        <v>6</v>
      </c>
      <c r="F1159" t="s">
        <v>19</v>
      </c>
      <c r="G1159" t="s">
        <v>352</v>
      </c>
      <c r="H1159" t="s">
        <v>1344</v>
      </c>
      <c r="I1159" t="s">
        <v>22</v>
      </c>
      <c r="J1159" t="s">
        <v>23</v>
      </c>
      <c r="K1159" t="s">
        <v>24</v>
      </c>
      <c r="L1159" t="s">
        <v>25</v>
      </c>
      <c r="M1159" s="8">
        <v>0.91800000000000004</v>
      </c>
      <c r="N1159" t="s">
        <v>26</v>
      </c>
      <c r="O1159" s="8">
        <v>0.91800000000000004</v>
      </c>
      <c r="P1159" s="8">
        <f>EXP(-1.363+3.366*LOG(O1159,10))</f>
        <v>0.22580769814771504</v>
      </c>
      <c r="Q1159" s="8">
        <f>(2256192*100)/6055896</f>
        <v>37.256121967748456</v>
      </c>
    </row>
    <row r="1160" spans="1:17" x14ac:dyDescent="0.2">
      <c r="A1160">
        <v>2011</v>
      </c>
      <c r="B1160" t="s">
        <v>1365</v>
      </c>
      <c r="C1160" t="s">
        <v>120</v>
      </c>
      <c r="D1160" t="s">
        <v>58</v>
      </c>
      <c r="E1160">
        <v>6</v>
      </c>
      <c r="F1160" t="s">
        <v>19</v>
      </c>
      <c r="G1160" t="s">
        <v>352</v>
      </c>
      <c r="H1160" t="s">
        <v>1344</v>
      </c>
      <c r="I1160" t="s">
        <v>22</v>
      </c>
      <c r="J1160" t="s">
        <v>23</v>
      </c>
      <c r="K1160" t="s">
        <v>24</v>
      </c>
      <c r="L1160" t="s">
        <v>25</v>
      </c>
      <c r="M1160" s="8">
        <v>0.91800000000000004</v>
      </c>
      <c r="N1160" t="s">
        <v>26</v>
      </c>
      <c r="O1160" s="8">
        <v>0.91800000000000004</v>
      </c>
      <c r="P1160" s="8">
        <f>EXP(-1.363+3.366*LOG(O1160,10))</f>
        <v>0.22580769814771504</v>
      </c>
      <c r="Q1160" s="8">
        <f>(2256192*100)/6055896</f>
        <v>37.256121967748456</v>
      </c>
    </row>
    <row r="1161" spans="1:17" x14ac:dyDescent="0.2">
      <c r="A1161">
        <v>2011</v>
      </c>
      <c r="B1161" t="s">
        <v>1366</v>
      </c>
      <c r="C1161" t="s">
        <v>34</v>
      </c>
      <c r="D1161" t="s">
        <v>190</v>
      </c>
      <c r="E1161">
        <v>7</v>
      </c>
      <c r="F1161" t="s">
        <v>19</v>
      </c>
      <c r="G1161" t="s">
        <v>352</v>
      </c>
      <c r="H1161" t="s">
        <v>1344</v>
      </c>
      <c r="I1161" t="s">
        <v>22</v>
      </c>
      <c r="J1161" t="s">
        <v>23</v>
      </c>
      <c r="K1161" t="s">
        <v>24</v>
      </c>
      <c r="L1161" t="s">
        <v>25</v>
      </c>
      <c r="M1161" s="8">
        <v>0.91800000000000004</v>
      </c>
      <c r="N1161" t="s">
        <v>26</v>
      </c>
      <c r="O1161" s="8">
        <v>0.91800000000000004</v>
      </c>
      <c r="P1161" s="8">
        <f>EXP(-1.363+3.366*LOG(O1161,10))</f>
        <v>0.22580769814771504</v>
      </c>
      <c r="Q1161" s="8">
        <f>(1478835*100)/2190162</f>
        <v>67.5217175715769</v>
      </c>
    </row>
    <row r="1162" spans="1:17" x14ac:dyDescent="0.2">
      <c r="A1162">
        <v>2011</v>
      </c>
      <c r="B1162" t="s">
        <v>1367</v>
      </c>
      <c r="C1162" t="s">
        <v>57</v>
      </c>
      <c r="D1162" t="s">
        <v>58</v>
      </c>
      <c r="E1162">
        <v>6</v>
      </c>
      <c r="F1162" t="s">
        <v>19</v>
      </c>
      <c r="G1162" t="s">
        <v>352</v>
      </c>
      <c r="H1162" t="s">
        <v>1344</v>
      </c>
      <c r="I1162" t="s">
        <v>22</v>
      </c>
      <c r="J1162" t="s">
        <v>31</v>
      </c>
      <c r="K1162" t="s">
        <v>24</v>
      </c>
      <c r="L1162" t="s">
        <v>25</v>
      </c>
      <c r="M1162" s="8">
        <v>0.91800000000000004</v>
      </c>
      <c r="N1162" t="s">
        <v>26</v>
      </c>
      <c r="O1162" s="8">
        <v>0.91800000000000004</v>
      </c>
      <c r="P1162" s="8">
        <f>EXP(-1.363+3.366*LOG(O1162,10))</f>
        <v>0.22580769814771504</v>
      </c>
      <c r="Q1162" s="8">
        <f>(321151.3*100)/5927002</f>
        <v>5.4184442657518925</v>
      </c>
    </row>
    <row r="1163" spans="1:17" x14ac:dyDescent="0.2">
      <c r="A1163">
        <v>2011</v>
      </c>
      <c r="B1163" t="s">
        <v>1368</v>
      </c>
      <c r="C1163" t="s">
        <v>30</v>
      </c>
      <c r="D1163" t="s">
        <v>63</v>
      </c>
      <c r="E1163">
        <v>6</v>
      </c>
      <c r="F1163" t="s">
        <v>19</v>
      </c>
      <c r="G1163" t="s">
        <v>352</v>
      </c>
      <c r="H1163" t="s">
        <v>1344</v>
      </c>
      <c r="I1163" t="s">
        <v>22</v>
      </c>
      <c r="J1163" t="s">
        <v>31</v>
      </c>
      <c r="K1163" t="s">
        <v>24</v>
      </c>
      <c r="L1163" t="s">
        <v>25</v>
      </c>
      <c r="M1163" s="8">
        <v>0.91800000000000004</v>
      </c>
      <c r="N1163" t="s">
        <v>26</v>
      </c>
      <c r="O1163" s="8">
        <v>0.91800000000000004</v>
      </c>
      <c r="P1163" s="8">
        <f>EXP(-1.363+3.366*LOG(O1163,10))</f>
        <v>0.22580769814771504</v>
      </c>
      <c r="Q1163" s="8">
        <f>(34897.31*100)/4728180</f>
        <v>0.73807067412831151</v>
      </c>
    </row>
    <row r="1164" spans="1:17" x14ac:dyDescent="0.2">
      <c r="A1164">
        <v>2011</v>
      </c>
      <c r="B1164" t="s">
        <v>1369</v>
      </c>
      <c r="C1164" t="s">
        <v>30</v>
      </c>
      <c r="D1164" t="s">
        <v>63</v>
      </c>
      <c r="E1164">
        <v>6</v>
      </c>
      <c r="F1164" t="s">
        <v>19</v>
      </c>
      <c r="G1164" t="s">
        <v>352</v>
      </c>
      <c r="H1164" t="s">
        <v>1344</v>
      </c>
      <c r="I1164" t="s">
        <v>22</v>
      </c>
      <c r="J1164" t="s">
        <v>31</v>
      </c>
      <c r="K1164" t="s">
        <v>24</v>
      </c>
      <c r="L1164" t="s">
        <v>25</v>
      </c>
      <c r="M1164" s="8">
        <v>0.91800000000000004</v>
      </c>
      <c r="N1164" t="s">
        <v>26</v>
      </c>
      <c r="O1164" s="8">
        <v>0.91800000000000004</v>
      </c>
      <c r="P1164" s="8">
        <f>EXP(-1.363+3.366*LOG(O1164,10))</f>
        <v>0.22580769814771504</v>
      </c>
      <c r="Q1164" s="8">
        <f>(34897.31*100)/4728180</f>
        <v>0.73807067412831151</v>
      </c>
    </row>
    <row r="1165" spans="1:17" x14ac:dyDescent="0.2">
      <c r="A1165">
        <v>2011</v>
      </c>
      <c r="B1165" t="s">
        <v>1370</v>
      </c>
      <c r="C1165" t="s">
        <v>94</v>
      </c>
      <c r="D1165" t="s">
        <v>63</v>
      </c>
      <c r="E1165">
        <v>6</v>
      </c>
      <c r="F1165" t="s">
        <v>19</v>
      </c>
      <c r="G1165" t="s">
        <v>352</v>
      </c>
      <c r="H1165" t="s">
        <v>1344</v>
      </c>
      <c r="I1165" t="s">
        <v>22</v>
      </c>
      <c r="J1165" t="s">
        <v>66</v>
      </c>
      <c r="K1165" t="s">
        <v>24</v>
      </c>
      <c r="L1165" t="s">
        <v>25</v>
      </c>
      <c r="M1165" s="8">
        <v>0.91800000000000004</v>
      </c>
      <c r="N1165" t="s">
        <v>26</v>
      </c>
      <c r="O1165" s="8">
        <v>0.91800000000000004</v>
      </c>
      <c r="P1165" s="8">
        <f>EXP(-1.363+3.366*LOG(O1165,10))</f>
        <v>0.22580769814771504</v>
      </c>
      <c r="Q1165" s="8">
        <f>(46623.23*100)/15165196</f>
        <v>0.30743572321782059</v>
      </c>
    </row>
    <row r="1166" spans="1:17" x14ac:dyDescent="0.2">
      <c r="A1166">
        <v>2011</v>
      </c>
      <c r="B1166" t="s">
        <v>1371</v>
      </c>
      <c r="C1166" t="s">
        <v>65</v>
      </c>
      <c r="D1166" t="s">
        <v>58</v>
      </c>
      <c r="E1166">
        <v>6</v>
      </c>
      <c r="F1166" t="s">
        <v>19</v>
      </c>
      <c r="G1166" t="s">
        <v>352</v>
      </c>
      <c r="H1166" t="s">
        <v>1344</v>
      </c>
      <c r="I1166" t="s">
        <v>22</v>
      </c>
      <c r="J1166" t="s">
        <v>66</v>
      </c>
      <c r="K1166" t="s">
        <v>24</v>
      </c>
      <c r="L1166" t="s">
        <v>25</v>
      </c>
      <c r="M1166" s="8">
        <v>0.91800000000000004</v>
      </c>
      <c r="N1166" t="s">
        <v>26</v>
      </c>
      <c r="O1166" s="8">
        <v>0.91800000000000004</v>
      </c>
      <c r="P1166" s="8">
        <f>EXP(-1.363+3.366*LOG(O1166,10))</f>
        <v>0.22580769814771504</v>
      </c>
      <c r="Q1166" s="8">
        <f>(1788886*100)/6788946</f>
        <v>26.349981278389901</v>
      </c>
    </row>
    <row r="1167" spans="1:17" x14ac:dyDescent="0.2">
      <c r="A1167">
        <v>2011</v>
      </c>
      <c r="B1167" t="s">
        <v>1372</v>
      </c>
      <c r="C1167" t="s">
        <v>65</v>
      </c>
      <c r="D1167" t="s">
        <v>58</v>
      </c>
      <c r="E1167">
        <v>6</v>
      </c>
      <c r="F1167" t="s">
        <v>19</v>
      </c>
      <c r="G1167" t="s">
        <v>352</v>
      </c>
      <c r="H1167" t="s">
        <v>1344</v>
      </c>
      <c r="I1167" t="s">
        <v>22</v>
      </c>
      <c r="J1167" t="s">
        <v>66</v>
      </c>
      <c r="K1167" t="s">
        <v>24</v>
      </c>
      <c r="L1167" t="s">
        <v>25</v>
      </c>
      <c r="M1167" s="8">
        <v>0.91800000000000004</v>
      </c>
      <c r="N1167" t="s">
        <v>26</v>
      </c>
      <c r="O1167" s="8">
        <v>0.91800000000000004</v>
      </c>
      <c r="P1167" s="8">
        <f>EXP(-1.363+3.366*LOG(O1167,10))</f>
        <v>0.22580769814771504</v>
      </c>
      <c r="Q1167" s="8">
        <f>(1788886*100)/6788946</f>
        <v>26.349981278389901</v>
      </c>
    </row>
    <row r="1168" spans="1:17" x14ac:dyDescent="0.2">
      <c r="A1168">
        <v>2011</v>
      </c>
      <c r="B1168" t="s">
        <v>1373</v>
      </c>
      <c r="C1168" t="s">
        <v>65</v>
      </c>
      <c r="D1168" t="s">
        <v>58</v>
      </c>
      <c r="E1168">
        <v>6</v>
      </c>
      <c r="F1168" t="s">
        <v>19</v>
      </c>
      <c r="G1168" t="s">
        <v>352</v>
      </c>
      <c r="H1168" t="s">
        <v>1344</v>
      </c>
      <c r="I1168" t="s">
        <v>22</v>
      </c>
      <c r="J1168" t="s">
        <v>66</v>
      </c>
      <c r="K1168" t="s">
        <v>24</v>
      </c>
      <c r="L1168" t="s">
        <v>25</v>
      </c>
      <c r="M1168" s="8">
        <v>0.91800000000000004</v>
      </c>
      <c r="N1168" t="s">
        <v>26</v>
      </c>
      <c r="O1168" s="8">
        <v>0.91800000000000004</v>
      </c>
      <c r="P1168" s="8">
        <f>EXP(-1.363+3.366*LOG(O1168,10))</f>
        <v>0.22580769814771504</v>
      </c>
      <c r="Q1168" s="8">
        <f>(1788886*100)/6788946</f>
        <v>26.349981278389901</v>
      </c>
    </row>
    <row r="1169" spans="1:17" x14ac:dyDescent="0.2">
      <c r="A1169">
        <v>2011</v>
      </c>
      <c r="B1169" t="s">
        <v>1374</v>
      </c>
      <c r="C1169" t="s">
        <v>65</v>
      </c>
      <c r="D1169" t="s">
        <v>58</v>
      </c>
      <c r="E1169">
        <v>6</v>
      </c>
      <c r="F1169" t="s">
        <v>19</v>
      </c>
      <c r="G1169" t="s">
        <v>352</v>
      </c>
      <c r="H1169" t="s">
        <v>1344</v>
      </c>
      <c r="I1169" t="s">
        <v>22</v>
      </c>
      <c r="J1169" t="s">
        <v>66</v>
      </c>
      <c r="K1169" t="s">
        <v>24</v>
      </c>
      <c r="L1169" t="s">
        <v>25</v>
      </c>
      <c r="M1169" s="8">
        <v>0.91800000000000004</v>
      </c>
      <c r="N1169" t="s">
        <v>26</v>
      </c>
      <c r="O1169" s="8">
        <v>0.91800000000000004</v>
      </c>
      <c r="P1169" s="8">
        <f>EXP(-1.363+3.366*LOG(O1169,10))</f>
        <v>0.22580769814771504</v>
      </c>
      <c r="Q1169" s="8">
        <f>(1788886*100)/6788946</f>
        <v>26.349981278389901</v>
      </c>
    </row>
    <row r="1170" spans="1:17" x14ac:dyDescent="0.2">
      <c r="A1170">
        <v>2011</v>
      </c>
      <c r="B1170" t="s">
        <v>1375</v>
      </c>
      <c r="C1170" t="s">
        <v>65</v>
      </c>
      <c r="D1170" t="s">
        <v>58</v>
      </c>
      <c r="E1170">
        <v>6</v>
      </c>
      <c r="F1170" t="s">
        <v>19</v>
      </c>
      <c r="G1170" t="s">
        <v>352</v>
      </c>
      <c r="H1170" t="s">
        <v>1344</v>
      </c>
      <c r="I1170" t="s">
        <v>22</v>
      </c>
      <c r="J1170" t="s">
        <v>66</v>
      </c>
      <c r="K1170" t="s">
        <v>24</v>
      </c>
      <c r="L1170" t="s">
        <v>25</v>
      </c>
      <c r="M1170" s="8">
        <v>0.91800000000000004</v>
      </c>
      <c r="N1170" t="s">
        <v>26</v>
      </c>
      <c r="O1170" s="8">
        <v>0.91800000000000004</v>
      </c>
      <c r="P1170" s="8">
        <f>EXP(-1.363+3.366*LOG(O1170,10))</f>
        <v>0.22580769814771504</v>
      </c>
      <c r="Q1170" s="8">
        <f>(1788886*100)/6788946</f>
        <v>26.349981278389901</v>
      </c>
    </row>
    <row r="1171" spans="1:17" x14ac:dyDescent="0.2">
      <c r="A1171">
        <v>2011</v>
      </c>
      <c r="B1171" t="s">
        <v>1376</v>
      </c>
      <c r="C1171" t="s">
        <v>65</v>
      </c>
      <c r="D1171" t="s">
        <v>58</v>
      </c>
      <c r="E1171">
        <v>6</v>
      </c>
      <c r="F1171" t="s">
        <v>19</v>
      </c>
      <c r="G1171" t="s">
        <v>352</v>
      </c>
      <c r="H1171" t="s">
        <v>1344</v>
      </c>
      <c r="I1171" t="s">
        <v>22</v>
      </c>
      <c r="J1171" t="s">
        <v>66</v>
      </c>
      <c r="K1171" t="s">
        <v>24</v>
      </c>
      <c r="L1171" t="s">
        <v>25</v>
      </c>
      <c r="M1171" s="8">
        <v>0.91800000000000004</v>
      </c>
      <c r="N1171" t="s">
        <v>26</v>
      </c>
      <c r="O1171" s="8">
        <v>0.91800000000000004</v>
      </c>
      <c r="P1171" s="8">
        <f>EXP(-1.363+3.366*LOG(O1171,10))</f>
        <v>0.22580769814771504</v>
      </c>
      <c r="Q1171" s="8">
        <f>(1788886*100)/6788946</f>
        <v>26.349981278389901</v>
      </c>
    </row>
    <row r="1172" spans="1:17" x14ac:dyDescent="0.2">
      <c r="A1172">
        <v>2011</v>
      </c>
      <c r="B1172" t="s">
        <v>1377</v>
      </c>
      <c r="C1172" t="s">
        <v>65</v>
      </c>
      <c r="D1172" t="s">
        <v>58</v>
      </c>
      <c r="E1172">
        <v>6</v>
      </c>
      <c r="F1172" t="s">
        <v>19</v>
      </c>
      <c r="G1172" t="s">
        <v>352</v>
      </c>
      <c r="H1172" t="s">
        <v>1344</v>
      </c>
      <c r="I1172" t="s">
        <v>22</v>
      </c>
      <c r="J1172" t="s">
        <v>66</v>
      </c>
      <c r="K1172" t="s">
        <v>24</v>
      </c>
      <c r="L1172" t="s">
        <v>25</v>
      </c>
      <c r="M1172" s="8">
        <v>0.91800000000000004</v>
      </c>
      <c r="N1172" t="s">
        <v>26</v>
      </c>
      <c r="O1172" s="8">
        <v>0.91800000000000004</v>
      </c>
      <c r="P1172" s="8">
        <f>EXP(-1.363+3.366*LOG(O1172,10))</f>
        <v>0.22580769814771504</v>
      </c>
      <c r="Q1172" s="8">
        <f>(1788886*100)/6788946</f>
        <v>26.349981278389901</v>
      </c>
    </row>
    <row r="1173" spans="1:17" x14ac:dyDescent="0.2">
      <c r="A1173">
        <v>2011</v>
      </c>
      <c r="B1173" t="s">
        <v>1378</v>
      </c>
      <c r="C1173" t="s">
        <v>65</v>
      </c>
      <c r="D1173" t="s">
        <v>58</v>
      </c>
      <c r="E1173">
        <v>6</v>
      </c>
      <c r="F1173" t="s">
        <v>19</v>
      </c>
      <c r="G1173" t="s">
        <v>352</v>
      </c>
      <c r="H1173" t="s">
        <v>1344</v>
      </c>
      <c r="I1173" t="s">
        <v>22</v>
      </c>
      <c r="J1173" t="s">
        <v>66</v>
      </c>
      <c r="K1173" t="s">
        <v>24</v>
      </c>
      <c r="L1173" t="s">
        <v>25</v>
      </c>
      <c r="M1173" s="8">
        <v>0.91800000000000004</v>
      </c>
      <c r="N1173" t="s">
        <v>26</v>
      </c>
      <c r="O1173" s="8">
        <v>0.91800000000000004</v>
      </c>
      <c r="P1173" s="8">
        <f>EXP(-1.363+3.366*LOG(O1173,10))</f>
        <v>0.22580769814771504</v>
      </c>
      <c r="Q1173" s="8">
        <f>(1788886*100)/6788946</f>
        <v>26.349981278389901</v>
      </c>
    </row>
    <row r="1174" spans="1:17" x14ac:dyDescent="0.2">
      <c r="A1174">
        <v>2011</v>
      </c>
      <c r="B1174" t="s">
        <v>1379</v>
      </c>
      <c r="C1174" t="s">
        <v>65</v>
      </c>
      <c r="D1174" t="s">
        <v>58</v>
      </c>
      <c r="E1174">
        <v>6</v>
      </c>
      <c r="F1174" t="s">
        <v>19</v>
      </c>
      <c r="G1174" t="s">
        <v>352</v>
      </c>
      <c r="H1174" t="s">
        <v>1344</v>
      </c>
      <c r="I1174" t="s">
        <v>22</v>
      </c>
      <c r="J1174" t="s">
        <v>66</v>
      </c>
      <c r="K1174" t="s">
        <v>24</v>
      </c>
      <c r="L1174" t="s">
        <v>25</v>
      </c>
      <c r="M1174" s="8">
        <v>0.91800000000000004</v>
      </c>
      <c r="N1174" t="s">
        <v>26</v>
      </c>
      <c r="O1174" s="8">
        <v>0.91800000000000004</v>
      </c>
      <c r="P1174" s="8">
        <f>EXP(-1.363+3.366*LOG(O1174,10))</f>
        <v>0.22580769814771504</v>
      </c>
      <c r="Q1174" s="8">
        <f>(1788886*100)/6788946</f>
        <v>26.349981278389901</v>
      </c>
    </row>
    <row r="1175" spans="1:17" x14ac:dyDescent="0.2">
      <c r="A1175">
        <v>2011</v>
      </c>
      <c r="B1175" t="s">
        <v>1380</v>
      </c>
      <c r="C1175" t="s">
        <v>65</v>
      </c>
      <c r="D1175" t="s">
        <v>58</v>
      </c>
      <c r="E1175">
        <v>6</v>
      </c>
      <c r="F1175" t="s">
        <v>19</v>
      </c>
      <c r="G1175" t="s">
        <v>352</v>
      </c>
      <c r="H1175" t="s">
        <v>1344</v>
      </c>
      <c r="I1175" t="s">
        <v>22</v>
      </c>
      <c r="J1175" t="s">
        <v>66</v>
      </c>
      <c r="K1175" t="s">
        <v>24</v>
      </c>
      <c r="L1175" t="s">
        <v>25</v>
      </c>
      <c r="M1175" s="8">
        <v>0.91800000000000004</v>
      </c>
      <c r="N1175" t="s">
        <v>26</v>
      </c>
      <c r="O1175" s="8">
        <v>0.91800000000000004</v>
      </c>
      <c r="P1175" s="8">
        <f>EXP(-1.363+3.366*LOG(O1175,10))</f>
        <v>0.22580769814771504</v>
      </c>
      <c r="Q1175" s="8">
        <f>(1788886*100)/6788946</f>
        <v>26.349981278389901</v>
      </c>
    </row>
    <row r="1176" spans="1:17" x14ac:dyDescent="0.2">
      <c r="A1176">
        <v>2011</v>
      </c>
      <c r="B1176" t="s">
        <v>1381</v>
      </c>
      <c r="C1176" t="s">
        <v>94</v>
      </c>
      <c r="D1176" t="s">
        <v>95</v>
      </c>
      <c r="E1176">
        <v>7</v>
      </c>
      <c r="F1176" t="s">
        <v>19</v>
      </c>
      <c r="G1176" t="s">
        <v>352</v>
      </c>
      <c r="H1176" t="s">
        <v>1344</v>
      </c>
      <c r="I1176" t="s">
        <v>22</v>
      </c>
      <c r="J1176" t="s">
        <v>66</v>
      </c>
      <c r="K1176" t="s">
        <v>24</v>
      </c>
      <c r="L1176" t="s">
        <v>25</v>
      </c>
      <c r="M1176" s="8">
        <v>0.91800000000000004</v>
      </c>
      <c r="N1176" t="s">
        <v>26</v>
      </c>
      <c r="O1176" s="8">
        <v>0.91800000000000004</v>
      </c>
      <c r="P1176" s="8">
        <f>EXP(-1.363+3.366*LOG(O1176,10))</f>
        <v>0.22580769814771504</v>
      </c>
      <c r="Q1176" s="8">
        <f>(46623.23*100)/15165196</f>
        <v>0.30743572321782059</v>
      </c>
    </row>
    <row r="1177" spans="1:17" x14ac:dyDescent="0.2">
      <c r="A1177">
        <v>2011</v>
      </c>
      <c r="B1177" t="s">
        <v>1382</v>
      </c>
      <c r="C1177" t="s">
        <v>65</v>
      </c>
      <c r="D1177" t="s">
        <v>71</v>
      </c>
      <c r="E1177">
        <v>7</v>
      </c>
      <c r="F1177" t="s">
        <v>19</v>
      </c>
      <c r="G1177" t="s">
        <v>352</v>
      </c>
      <c r="H1177" t="s">
        <v>1344</v>
      </c>
      <c r="I1177" t="s">
        <v>22</v>
      </c>
      <c r="J1177" t="s">
        <v>66</v>
      </c>
      <c r="K1177" t="s">
        <v>24</v>
      </c>
      <c r="L1177" t="s">
        <v>25</v>
      </c>
      <c r="M1177" s="8">
        <v>0.91800000000000004</v>
      </c>
      <c r="N1177" t="s">
        <v>26</v>
      </c>
      <c r="O1177" s="8">
        <v>0.91800000000000004</v>
      </c>
      <c r="P1177" s="8">
        <f>EXP(-1.363+3.366*LOG(O1177,10))</f>
        <v>0.22580769814771504</v>
      </c>
      <c r="Q1177" s="8">
        <f>(1788886*100)/6788946</f>
        <v>26.349981278389901</v>
      </c>
    </row>
    <row r="1178" spans="1:17" x14ac:dyDescent="0.2">
      <c r="A1178">
        <v>2011</v>
      </c>
      <c r="B1178" t="s">
        <v>1383</v>
      </c>
      <c r="C1178" t="s">
        <v>65</v>
      </c>
      <c r="D1178" t="s">
        <v>100</v>
      </c>
      <c r="E1178">
        <v>7</v>
      </c>
      <c r="F1178" t="s">
        <v>19</v>
      </c>
      <c r="G1178" t="s">
        <v>352</v>
      </c>
      <c r="H1178" t="s">
        <v>1344</v>
      </c>
      <c r="I1178" t="s">
        <v>22</v>
      </c>
      <c r="J1178" t="s">
        <v>66</v>
      </c>
      <c r="K1178" t="s">
        <v>24</v>
      </c>
      <c r="L1178" t="s">
        <v>25</v>
      </c>
      <c r="M1178" s="8">
        <v>0.91800000000000004</v>
      </c>
      <c r="N1178" t="s">
        <v>26</v>
      </c>
      <c r="O1178" s="8">
        <v>0.91800000000000004</v>
      </c>
      <c r="P1178" s="8">
        <f>EXP(-1.363+3.366*LOG(O1178,10))</f>
        <v>0.22580769814771504</v>
      </c>
      <c r="Q1178" s="8">
        <f>(1788886*100)/6788946</f>
        <v>26.349981278389901</v>
      </c>
    </row>
    <row r="1179" spans="1:17" x14ac:dyDescent="0.2">
      <c r="A1179">
        <v>2011</v>
      </c>
      <c r="B1179" t="s">
        <v>1384</v>
      </c>
      <c r="C1179" t="s">
        <v>17</v>
      </c>
      <c r="D1179" t="s">
        <v>100</v>
      </c>
      <c r="E1179">
        <v>7</v>
      </c>
      <c r="F1179" t="s">
        <v>19</v>
      </c>
      <c r="G1179" t="s">
        <v>352</v>
      </c>
      <c r="H1179" t="s">
        <v>1344</v>
      </c>
      <c r="I1179" t="s">
        <v>22</v>
      </c>
      <c r="J1179" t="s">
        <v>23</v>
      </c>
      <c r="K1179" t="s">
        <v>24</v>
      </c>
      <c r="L1179" t="s">
        <v>25</v>
      </c>
      <c r="M1179" s="8">
        <v>0.91800000000000004</v>
      </c>
      <c r="N1179" t="s">
        <v>26</v>
      </c>
      <c r="O1179" s="8">
        <v>0.91800000000000004</v>
      </c>
      <c r="P1179" s="8">
        <f>EXP(-1.363+3.366*LOG(O1179,10))</f>
        <v>0.22580769814771504</v>
      </c>
      <c r="Q1179" s="8">
        <f>(605161.6*100)/5834449</f>
        <v>10.372215096918321</v>
      </c>
    </row>
    <row r="1180" spans="1:17" x14ac:dyDescent="0.2">
      <c r="A1180">
        <v>2011</v>
      </c>
      <c r="B1180" t="s">
        <v>1385</v>
      </c>
      <c r="C1180" t="s">
        <v>50</v>
      </c>
      <c r="D1180" t="s">
        <v>53</v>
      </c>
      <c r="E1180">
        <v>6</v>
      </c>
      <c r="F1180" t="s">
        <v>19</v>
      </c>
      <c r="G1180" t="s">
        <v>352</v>
      </c>
      <c r="H1180" t="s">
        <v>1344</v>
      </c>
      <c r="I1180" t="s">
        <v>22</v>
      </c>
      <c r="J1180" t="s">
        <v>42</v>
      </c>
      <c r="K1180" t="s">
        <v>24</v>
      </c>
      <c r="L1180" t="s">
        <v>25</v>
      </c>
      <c r="M1180" s="8">
        <v>0.91800000000000004</v>
      </c>
      <c r="N1180" t="s">
        <v>26</v>
      </c>
      <c r="O1180" s="8">
        <v>0.91800000000000004</v>
      </c>
      <c r="P1180" s="8">
        <f>EXP(-1.363+3.366*LOG(O1180,10))</f>
        <v>0.22580769814771504</v>
      </c>
      <c r="Q1180" s="8">
        <f>(4488342*100)/4914798</f>
        <v>91.323020803703429</v>
      </c>
    </row>
    <row r="1181" spans="1:17" x14ac:dyDescent="0.2">
      <c r="A1181">
        <v>2011</v>
      </c>
      <c r="B1181" t="s">
        <v>1386</v>
      </c>
      <c r="C1181" t="s">
        <v>89</v>
      </c>
      <c r="D1181" t="s">
        <v>53</v>
      </c>
      <c r="E1181">
        <v>6</v>
      </c>
      <c r="F1181" t="s">
        <v>19</v>
      </c>
      <c r="G1181" t="s">
        <v>352</v>
      </c>
      <c r="H1181" t="s">
        <v>1387</v>
      </c>
      <c r="I1181" t="s">
        <v>22</v>
      </c>
      <c r="J1181" t="s">
        <v>66</v>
      </c>
      <c r="K1181" t="s">
        <v>24</v>
      </c>
      <c r="L1181" t="s">
        <v>25</v>
      </c>
      <c r="M1181" s="8" t="s">
        <v>26</v>
      </c>
      <c r="N1181" t="s">
        <v>26</v>
      </c>
      <c r="O1181" s="8" t="s">
        <v>26</v>
      </c>
      <c r="P1181" s="8" t="s">
        <v>26</v>
      </c>
      <c r="Q1181" s="8">
        <f>(61997.93*100)/7298102</f>
        <v>0.84950758430068529</v>
      </c>
    </row>
    <row r="1182" spans="1:17" x14ac:dyDescent="0.2">
      <c r="A1182">
        <v>2011</v>
      </c>
      <c r="B1182" t="s">
        <v>1388</v>
      </c>
      <c r="C1182" t="s">
        <v>89</v>
      </c>
      <c r="D1182" t="s">
        <v>190</v>
      </c>
      <c r="E1182">
        <v>7</v>
      </c>
      <c r="F1182" t="s">
        <v>19</v>
      </c>
      <c r="G1182" t="s">
        <v>352</v>
      </c>
      <c r="H1182" t="s">
        <v>1387</v>
      </c>
      <c r="I1182" t="s">
        <v>22</v>
      </c>
      <c r="J1182" t="s">
        <v>66</v>
      </c>
      <c r="K1182" t="s">
        <v>24</v>
      </c>
      <c r="L1182" t="s">
        <v>25</v>
      </c>
      <c r="M1182" s="8" t="s">
        <v>26</v>
      </c>
      <c r="N1182" t="s">
        <v>26</v>
      </c>
      <c r="O1182" s="8" t="s">
        <v>26</v>
      </c>
      <c r="P1182" s="8" t="s">
        <v>26</v>
      </c>
      <c r="Q1182" s="8">
        <f>(61997.93*100)/7298102</f>
        <v>0.84950758430068529</v>
      </c>
    </row>
    <row r="1183" spans="1:17" x14ac:dyDescent="0.2">
      <c r="A1183">
        <v>2011</v>
      </c>
      <c r="B1183" t="s">
        <v>1389</v>
      </c>
      <c r="C1183" t="s">
        <v>89</v>
      </c>
      <c r="D1183" t="s">
        <v>40</v>
      </c>
      <c r="E1183">
        <v>6</v>
      </c>
      <c r="F1183" t="s">
        <v>19</v>
      </c>
      <c r="G1183" t="s">
        <v>352</v>
      </c>
      <c r="H1183" t="s">
        <v>1387</v>
      </c>
      <c r="I1183" t="s">
        <v>22</v>
      </c>
      <c r="J1183" t="s">
        <v>66</v>
      </c>
      <c r="K1183" t="s">
        <v>24</v>
      </c>
      <c r="L1183" t="s">
        <v>25</v>
      </c>
      <c r="M1183" s="8" t="s">
        <v>26</v>
      </c>
      <c r="N1183" t="s">
        <v>26</v>
      </c>
      <c r="O1183" s="8" t="s">
        <v>26</v>
      </c>
      <c r="P1183" s="8" t="s">
        <v>26</v>
      </c>
      <c r="Q1183" s="8">
        <f>(61997.93*100)/7298102</f>
        <v>0.84950758430068529</v>
      </c>
    </row>
    <row r="1184" spans="1:17" x14ac:dyDescent="0.2">
      <c r="A1184">
        <v>2011</v>
      </c>
      <c r="B1184" t="s">
        <v>1390</v>
      </c>
      <c r="C1184" t="s">
        <v>89</v>
      </c>
      <c r="D1184" t="s">
        <v>53</v>
      </c>
      <c r="E1184">
        <v>6</v>
      </c>
      <c r="F1184" t="s">
        <v>19</v>
      </c>
      <c r="G1184" t="s">
        <v>352</v>
      </c>
      <c r="H1184" t="s">
        <v>1387</v>
      </c>
      <c r="I1184" t="s">
        <v>36</v>
      </c>
      <c r="J1184" t="s">
        <v>66</v>
      </c>
      <c r="K1184" t="s">
        <v>24</v>
      </c>
      <c r="L1184" t="s">
        <v>25</v>
      </c>
      <c r="M1184" s="8" t="s">
        <v>26</v>
      </c>
      <c r="N1184" t="s">
        <v>26</v>
      </c>
      <c r="O1184" s="8" t="s">
        <v>26</v>
      </c>
      <c r="P1184" s="8" t="s">
        <v>26</v>
      </c>
      <c r="Q1184" s="8">
        <f>(61997.93*100)/7298102</f>
        <v>0.84950758430068529</v>
      </c>
    </row>
    <row r="1185" spans="1:17" x14ac:dyDescent="0.2">
      <c r="A1185">
        <v>2011</v>
      </c>
      <c r="B1185" t="s">
        <v>1391</v>
      </c>
      <c r="C1185" t="s">
        <v>65</v>
      </c>
      <c r="D1185" t="s">
        <v>58</v>
      </c>
      <c r="E1185">
        <v>6</v>
      </c>
      <c r="F1185" t="s">
        <v>19</v>
      </c>
      <c r="G1185" t="s">
        <v>352</v>
      </c>
      <c r="H1185" t="s">
        <v>1392</v>
      </c>
      <c r="I1185" t="s">
        <v>22</v>
      </c>
      <c r="J1185" t="s">
        <v>66</v>
      </c>
      <c r="K1185" t="s">
        <v>24</v>
      </c>
      <c r="L1185" t="s">
        <v>25</v>
      </c>
      <c r="M1185" s="8" t="s">
        <v>26</v>
      </c>
      <c r="N1185" t="s">
        <v>26</v>
      </c>
      <c r="O1185" s="8" t="s">
        <v>26</v>
      </c>
      <c r="P1185" s="8" t="s">
        <v>26</v>
      </c>
      <c r="Q1185" s="8">
        <f>(1788886*100)/6788946</f>
        <v>26.349981278389901</v>
      </c>
    </row>
    <row r="1186" spans="1:17" x14ac:dyDescent="0.2">
      <c r="A1186">
        <v>2011</v>
      </c>
      <c r="B1186" t="s">
        <v>1393</v>
      </c>
      <c r="C1186" t="s">
        <v>65</v>
      </c>
      <c r="D1186" t="s">
        <v>111</v>
      </c>
      <c r="E1186">
        <v>5</v>
      </c>
      <c r="F1186" t="s">
        <v>19</v>
      </c>
      <c r="G1186" t="s">
        <v>352</v>
      </c>
      <c r="H1186" t="s">
        <v>1394</v>
      </c>
      <c r="I1186" t="s">
        <v>22</v>
      </c>
      <c r="J1186" t="s">
        <v>66</v>
      </c>
      <c r="K1186" t="s">
        <v>24</v>
      </c>
      <c r="L1186" t="s">
        <v>25</v>
      </c>
      <c r="M1186" s="8">
        <v>1.2776666670000001</v>
      </c>
      <c r="N1186" t="s">
        <v>26</v>
      </c>
      <c r="O1186" s="8">
        <v>1.2776666670000001</v>
      </c>
      <c r="P1186" s="8">
        <f>EXP(-1.363+3.366*LOG(O1186,10))</f>
        <v>0.36611840850570582</v>
      </c>
      <c r="Q1186" s="8">
        <f>(1788886*100)/6788946</f>
        <v>26.349981278389901</v>
      </c>
    </row>
    <row r="1187" spans="1:17" x14ac:dyDescent="0.2">
      <c r="A1187">
        <v>2011</v>
      </c>
      <c r="B1187" t="s">
        <v>1395</v>
      </c>
      <c r="C1187" t="s">
        <v>50</v>
      </c>
      <c r="D1187" t="s">
        <v>81</v>
      </c>
      <c r="E1187">
        <v>6</v>
      </c>
      <c r="F1187" t="s">
        <v>19</v>
      </c>
      <c r="G1187" t="s">
        <v>352</v>
      </c>
      <c r="H1187" t="s">
        <v>1394</v>
      </c>
      <c r="I1187" t="s">
        <v>22</v>
      </c>
      <c r="J1187" t="s">
        <v>42</v>
      </c>
      <c r="K1187" t="s">
        <v>24</v>
      </c>
      <c r="L1187" t="s">
        <v>25</v>
      </c>
      <c r="M1187" s="8">
        <v>1.2776666670000001</v>
      </c>
      <c r="N1187" t="s">
        <v>26</v>
      </c>
      <c r="O1187" s="8">
        <v>1.2776666670000001</v>
      </c>
      <c r="P1187" s="8">
        <f>EXP(-1.363+3.366*LOG(O1187,10))</f>
        <v>0.36611840850570582</v>
      </c>
      <c r="Q1187" s="8">
        <f>(4488342*100)/4914798</f>
        <v>91.323020803703429</v>
      </c>
    </row>
    <row r="1188" spans="1:17" x14ac:dyDescent="0.2">
      <c r="A1188">
        <v>2011</v>
      </c>
      <c r="B1188" t="s">
        <v>1396</v>
      </c>
      <c r="C1188" t="s">
        <v>120</v>
      </c>
      <c r="D1188" t="s">
        <v>71</v>
      </c>
      <c r="E1188">
        <v>7</v>
      </c>
      <c r="F1188" t="s">
        <v>19</v>
      </c>
      <c r="G1188" t="s">
        <v>352</v>
      </c>
      <c r="H1188" t="s">
        <v>1394</v>
      </c>
      <c r="I1188" t="s">
        <v>22</v>
      </c>
      <c r="J1188" t="s">
        <v>23</v>
      </c>
      <c r="K1188" t="s">
        <v>24</v>
      </c>
      <c r="L1188" t="s">
        <v>25</v>
      </c>
      <c r="M1188" s="8">
        <v>1.2776666670000001</v>
      </c>
      <c r="N1188" t="s">
        <v>26</v>
      </c>
      <c r="O1188" s="8">
        <v>1.2776666670000001</v>
      </c>
      <c r="P1188" s="8">
        <f>EXP(-1.363+3.366*LOG(O1188,10))</f>
        <v>0.36611840850570582</v>
      </c>
      <c r="Q1188" s="8">
        <f>(2256192*100)/6055896</f>
        <v>37.256121967748456</v>
      </c>
    </row>
    <row r="1189" spans="1:17" x14ac:dyDescent="0.2">
      <c r="A1189">
        <v>2011</v>
      </c>
      <c r="B1189" t="s">
        <v>1397</v>
      </c>
      <c r="C1189" t="s">
        <v>120</v>
      </c>
      <c r="D1189" t="s">
        <v>71</v>
      </c>
      <c r="E1189">
        <v>7</v>
      </c>
      <c r="F1189" t="s">
        <v>19</v>
      </c>
      <c r="G1189" t="s">
        <v>352</v>
      </c>
      <c r="H1189" t="s">
        <v>1394</v>
      </c>
      <c r="I1189" t="s">
        <v>22</v>
      </c>
      <c r="J1189" t="s">
        <v>23</v>
      </c>
      <c r="K1189" t="s">
        <v>24</v>
      </c>
      <c r="L1189" t="s">
        <v>25</v>
      </c>
      <c r="M1189" s="8">
        <v>1.2776666670000001</v>
      </c>
      <c r="N1189" t="s">
        <v>26</v>
      </c>
      <c r="O1189" s="8">
        <v>1.2776666670000001</v>
      </c>
      <c r="P1189" s="8">
        <f>EXP(-1.363+3.366*LOG(O1189,10))</f>
        <v>0.36611840850570582</v>
      </c>
      <c r="Q1189" s="8">
        <f>(2256192*100)/6055896</f>
        <v>37.256121967748456</v>
      </c>
    </row>
    <row r="1190" spans="1:17" x14ac:dyDescent="0.2">
      <c r="A1190">
        <v>2011</v>
      </c>
      <c r="B1190" t="s">
        <v>1398</v>
      </c>
      <c r="C1190" t="s">
        <v>65</v>
      </c>
      <c r="D1190" t="s">
        <v>71</v>
      </c>
      <c r="E1190">
        <v>7</v>
      </c>
      <c r="F1190" t="s">
        <v>19</v>
      </c>
      <c r="G1190" t="s">
        <v>352</v>
      </c>
      <c r="H1190" t="s">
        <v>1394</v>
      </c>
      <c r="I1190" t="s">
        <v>22</v>
      </c>
      <c r="J1190" t="s">
        <v>66</v>
      </c>
      <c r="K1190" t="s">
        <v>24</v>
      </c>
      <c r="L1190" t="s">
        <v>25</v>
      </c>
      <c r="M1190" s="8">
        <v>1.2776666670000001</v>
      </c>
      <c r="N1190" t="s">
        <v>26</v>
      </c>
      <c r="O1190" s="8">
        <v>1.2776666670000001</v>
      </c>
      <c r="P1190" s="8">
        <f>EXP(-1.363+3.366*LOG(O1190,10))</f>
        <v>0.36611840850570582</v>
      </c>
      <c r="Q1190" s="8">
        <f>(1788886*100)/6788946</f>
        <v>26.349981278389901</v>
      </c>
    </row>
    <row r="1191" spans="1:17" x14ac:dyDescent="0.2">
      <c r="A1191">
        <v>2011</v>
      </c>
      <c r="B1191" t="s">
        <v>1399</v>
      </c>
      <c r="C1191" t="s">
        <v>50</v>
      </c>
      <c r="D1191" t="s">
        <v>53</v>
      </c>
      <c r="E1191">
        <v>6</v>
      </c>
      <c r="F1191" t="s">
        <v>19</v>
      </c>
      <c r="G1191" t="s">
        <v>352</v>
      </c>
      <c r="H1191" t="s">
        <v>1394</v>
      </c>
      <c r="I1191" t="s">
        <v>22</v>
      </c>
      <c r="J1191" t="s">
        <v>42</v>
      </c>
      <c r="K1191" t="s">
        <v>24</v>
      </c>
      <c r="L1191" t="s">
        <v>25</v>
      </c>
      <c r="M1191" s="8">
        <v>1.2776666670000001</v>
      </c>
      <c r="N1191" t="s">
        <v>26</v>
      </c>
      <c r="O1191" s="8">
        <v>1.2776666670000001</v>
      </c>
      <c r="P1191" s="8">
        <f>EXP(-1.363+3.366*LOG(O1191,10))</f>
        <v>0.36611840850570582</v>
      </c>
      <c r="Q1191" s="8">
        <f>(4488342*100)/4914798</f>
        <v>91.323020803703429</v>
      </c>
    </row>
    <row r="1192" spans="1:17" x14ac:dyDescent="0.2">
      <c r="A1192">
        <v>2011</v>
      </c>
      <c r="B1192" t="s">
        <v>1400</v>
      </c>
      <c r="C1192" t="s">
        <v>120</v>
      </c>
      <c r="D1192" t="s">
        <v>58</v>
      </c>
      <c r="E1192">
        <v>6</v>
      </c>
      <c r="F1192" t="s">
        <v>19</v>
      </c>
      <c r="G1192" t="s">
        <v>352</v>
      </c>
      <c r="H1192" t="s">
        <v>1394</v>
      </c>
      <c r="I1192" t="s">
        <v>22</v>
      </c>
      <c r="J1192" t="s">
        <v>23</v>
      </c>
      <c r="K1192" t="s">
        <v>24</v>
      </c>
      <c r="L1192" t="s">
        <v>25</v>
      </c>
      <c r="M1192" s="8">
        <v>1.2776666670000001</v>
      </c>
      <c r="N1192" t="s">
        <v>26</v>
      </c>
      <c r="O1192" s="8">
        <v>1.2776666670000001</v>
      </c>
      <c r="P1192" s="8">
        <f>EXP(-1.363+3.366*LOG(O1192,10))</f>
        <v>0.36611840850570582</v>
      </c>
      <c r="Q1192" s="8">
        <f>(2256192*100)/6055896</f>
        <v>37.256121967748456</v>
      </c>
    </row>
    <row r="1193" spans="1:17" x14ac:dyDescent="0.2">
      <c r="A1193">
        <v>2011</v>
      </c>
      <c r="B1193" t="s">
        <v>1401</v>
      </c>
      <c r="C1193" t="s">
        <v>120</v>
      </c>
      <c r="D1193" t="s">
        <v>58</v>
      </c>
      <c r="E1193">
        <v>6</v>
      </c>
      <c r="F1193" t="s">
        <v>19</v>
      </c>
      <c r="G1193" t="s">
        <v>352</v>
      </c>
      <c r="H1193" t="s">
        <v>1394</v>
      </c>
      <c r="I1193" t="s">
        <v>22</v>
      </c>
      <c r="J1193" t="s">
        <v>23</v>
      </c>
      <c r="K1193" t="s">
        <v>24</v>
      </c>
      <c r="L1193" t="s">
        <v>25</v>
      </c>
      <c r="M1193" s="8">
        <v>1.2776666670000001</v>
      </c>
      <c r="N1193" t="s">
        <v>26</v>
      </c>
      <c r="O1193" s="8">
        <v>1.2776666670000001</v>
      </c>
      <c r="P1193" s="8">
        <f>EXP(-1.363+3.366*LOG(O1193,10))</f>
        <v>0.36611840850570582</v>
      </c>
      <c r="Q1193" s="8">
        <f>(2256192*100)/6055896</f>
        <v>37.256121967748456</v>
      </c>
    </row>
    <row r="1194" spans="1:17" x14ac:dyDescent="0.2">
      <c r="A1194">
        <v>2011</v>
      </c>
      <c r="B1194" t="s">
        <v>1402</v>
      </c>
      <c r="C1194" t="s">
        <v>65</v>
      </c>
      <c r="D1194" t="s">
        <v>58</v>
      </c>
      <c r="E1194">
        <v>6</v>
      </c>
      <c r="F1194" t="s">
        <v>19</v>
      </c>
      <c r="G1194" t="s">
        <v>352</v>
      </c>
      <c r="H1194" t="s">
        <v>1394</v>
      </c>
      <c r="I1194" t="s">
        <v>22</v>
      </c>
      <c r="J1194" t="s">
        <v>66</v>
      </c>
      <c r="K1194" t="s">
        <v>24</v>
      </c>
      <c r="L1194" t="s">
        <v>25</v>
      </c>
      <c r="M1194" s="8">
        <v>1.2776666670000001</v>
      </c>
      <c r="N1194" t="s">
        <v>26</v>
      </c>
      <c r="O1194" s="8">
        <v>1.2776666670000001</v>
      </c>
      <c r="P1194" s="8">
        <f>EXP(-1.363+3.366*LOG(O1194,10))</f>
        <v>0.36611840850570582</v>
      </c>
      <c r="Q1194" s="8">
        <f>(1788886*100)/6788946</f>
        <v>26.349981278389901</v>
      </c>
    </row>
    <row r="1195" spans="1:17" x14ac:dyDescent="0.2">
      <c r="A1195">
        <v>2011</v>
      </c>
      <c r="B1195" t="s">
        <v>1403</v>
      </c>
      <c r="C1195" t="s">
        <v>65</v>
      </c>
      <c r="D1195" t="s">
        <v>58</v>
      </c>
      <c r="E1195">
        <v>6</v>
      </c>
      <c r="F1195" t="s">
        <v>19</v>
      </c>
      <c r="G1195" t="s">
        <v>352</v>
      </c>
      <c r="H1195" t="s">
        <v>1394</v>
      </c>
      <c r="I1195" t="s">
        <v>22</v>
      </c>
      <c r="J1195" t="s">
        <v>66</v>
      </c>
      <c r="K1195" t="s">
        <v>24</v>
      </c>
      <c r="L1195" t="s">
        <v>25</v>
      </c>
      <c r="M1195" s="8">
        <v>1.2776666670000001</v>
      </c>
      <c r="N1195" t="s">
        <v>26</v>
      </c>
      <c r="O1195" s="8">
        <v>1.2776666670000001</v>
      </c>
      <c r="P1195" s="8">
        <f>EXP(-1.363+3.366*LOG(O1195,10))</f>
        <v>0.36611840850570582</v>
      </c>
      <c r="Q1195" s="8">
        <f>(1788886*100)/6788946</f>
        <v>26.349981278389901</v>
      </c>
    </row>
    <row r="1196" spans="1:17" x14ac:dyDescent="0.2">
      <c r="A1196">
        <v>2011</v>
      </c>
      <c r="B1196" t="s">
        <v>1404</v>
      </c>
      <c r="C1196" t="s">
        <v>65</v>
      </c>
      <c r="D1196" t="s">
        <v>58</v>
      </c>
      <c r="E1196">
        <v>6</v>
      </c>
      <c r="F1196" t="s">
        <v>19</v>
      </c>
      <c r="G1196" t="s">
        <v>352</v>
      </c>
      <c r="H1196" t="s">
        <v>1394</v>
      </c>
      <c r="I1196" t="s">
        <v>22</v>
      </c>
      <c r="J1196" t="s">
        <v>66</v>
      </c>
      <c r="K1196" t="s">
        <v>24</v>
      </c>
      <c r="L1196" t="s">
        <v>25</v>
      </c>
      <c r="M1196" s="8">
        <v>1.2776666670000001</v>
      </c>
      <c r="N1196" t="s">
        <v>26</v>
      </c>
      <c r="O1196" s="8">
        <v>1.2776666670000001</v>
      </c>
      <c r="P1196" s="8">
        <f>EXP(-1.363+3.366*LOG(O1196,10))</f>
        <v>0.36611840850570582</v>
      </c>
      <c r="Q1196" s="8">
        <f>(1788886*100)/6788946</f>
        <v>26.349981278389901</v>
      </c>
    </row>
    <row r="1197" spans="1:17" x14ac:dyDescent="0.2">
      <c r="A1197">
        <v>2011</v>
      </c>
      <c r="B1197" t="s">
        <v>1405</v>
      </c>
      <c r="C1197" t="s">
        <v>94</v>
      </c>
      <c r="D1197" t="s">
        <v>95</v>
      </c>
      <c r="E1197">
        <v>7</v>
      </c>
      <c r="F1197" t="s">
        <v>19</v>
      </c>
      <c r="G1197" t="s">
        <v>352</v>
      </c>
      <c r="H1197" t="s">
        <v>1394</v>
      </c>
      <c r="I1197" t="s">
        <v>22</v>
      </c>
      <c r="J1197" t="s">
        <v>66</v>
      </c>
      <c r="K1197" t="s">
        <v>24</v>
      </c>
      <c r="L1197" t="s">
        <v>25</v>
      </c>
      <c r="M1197" s="8">
        <v>1.2776666670000001</v>
      </c>
      <c r="N1197" t="s">
        <v>26</v>
      </c>
      <c r="O1197" s="8">
        <v>1.2776666670000001</v>
      </c>
      <c r="P1197" s="8">
        <f>EXP(-1.363+3.366*LOG(O1197,10))</f>
        <v>0.36611840850570582</v>
      </c>
      <c r="Q1197" s="8">
        <f>(46623.23*100)/15165196</f>
        <v>0.30743572321782059</v>
      </c>
    </row>
    <row r="1198" spans="1:17" x14ac:dyDescent="0.2">
      <c r="A1198">
        <v>2011</v>
      </c>
      <c r="B1198" t="s">
        <v>1406</v>
      </c>
      <c r="C1198" t="s">
        <v>89</v>
      </c>
      <c r="D1198" t="s">
        <v>53</v>
      </c>
      <c r="E1198">
        <v>6</v>
      </c>
      <c r="F1198" t="s">
        <v>19</v>
      </c>
      <c r="G1198" t="s">
        <v>352</v>
      </c>
      <c r="H1198" t="s">
        <v>1394</v>
      </c>
      <c r="I1198" t="s">
        <v>36</v>
      </c>
      <c r="J1198" t="s">
        <v>66</v>
      </c>
      <c r="K1198" t="s">
        <v>24</v>
      </c>
      <c r="L1198" t="s">
        <v>25</v>
      </c>
      <c r="M1198" s="8" t="s">
        <v>26</v>
      </c>
      <c r="N1198" t="s">
        <v>26</v>
      </c>
      <c r="O1198" s="8" t="s">
        <v>26</v>
      </c>
      <c r="P1198" s="8" t="s">
        <v>26</v>
      </c>
      <c r="Q1198" s="8">
        <f>(61997.93*100)/7298102</f>
        <v>0.84950758430068529</v>
      </c>
    </row>
    <row r="1199" spans="1:17" x14ac:dyDescent="0.2">
      <c r="A1199">
        <v>2011</v>
      </c>
      <c r="B1199" t="s">
        <v>1407</v>
      </c>
      <c r="C1199" t="s">
        <v>89</v>
      </c>
      <c r="D1199" t="s">
        <v>53</v>
      </c>
      <c r="E1199">
        <v>6</v>
      </c>
      <c r="F1199" t="s">
        <v>19</v>
      </c>
      <c r="G1199" t="s">
        <v>352</v>
      </c>
      <c r="H1199" t="s">
        <v>1394</v>
      </c>
      <c r="I1199" t="s">
        <v>36</v>
      </c>
      <c r="J1199" t="s">
        <v>66</v>
      </c>
      <c r="K1199" t="s">
        <v>24</v>
      </c>
      <c r="L1199" t="s">
        <v>25</v>
      </c>
      <c r="M1199" s="8" t="s">
        <v>26</v>
      </c>
      <c r="N1199" t="s">
        <v>26</v>
      </c>
      <c r="O1199" s="8" t="s">
        <v>26</v>
      </c>
      <c r="P1199" s="8" t="s">
        <v>26</v>
      </c>
      <c r="Q1199" s="8">
        <f>(61997.93*100)/7298102</f>
        <v>0.84950758430068529</v>
      </c>
    </row>
    <row r="1200" spans="1:17" x14ac:dyDescent="0.2">
      <c r="A1200">
        <v>2011</v>
      </c>
      <c r="B1200" t="s">
        <v>1408</v>
      </c>
      <c r="C1200" t="s">
        <v>50</v>
      </c>
      <c r="D1200" t="s">
        <v>157</v>
      </c>
      <c r="E1200">
        <v>5</v>
      </c>
      <c r="F1200" t="s">
        <v>19</v>
      </c>
      <c r="G1200" t="s">
        <v>352</v>
      </c>
      <c r="H1200" t="s">
        <v>1409</v>
      </c>
      <c r="I1200" t="s">
        <v>22</v>
      </c>
      <c r="J1200" t="s">
        <v>42</v>
      </c>
      <c r="K1200" t="s">
        <v>24</v>
      </c>
      <c r="L1200" t="s">
        <v>25</v>
      </c>
      <c r="M1200" s="8">
        <v>1.284</v>
      </c>
      <c r="N1200" t="s">
        <v>26</v>
      </c>
      <c r="O1200" s="8">
        <v>1.284</v>
      </c>
      <c r="P1200" s="8">
        <f>EXP(-1.363+3.366*LOG(O1200,10))</f>
        <v>0.36877442725626702</v>
      </c>
      <c r="Q1200" s="8">
        <f>(4488342*100)/4914798</f>
        <v>91.323020803703429</v>
      </c>
    </row>
    <row r="1201" spans="1:17" x14ac:dyDescent="0.2">
      <c r="A1201">
        <v>2011</v>
      </c>
      <c r="B1201" t="s">
        <v>1410</v>
      </c>
      <c r="C1201" t="s">
        <v>39</v>
      </c>
      <c r="D1201" t="s">
        <v>55</v>
      </c>
      <c r="E1201">
        <v>6</v>
      </c>
      <c r="F1201" t="s">
        <v>19</v>
      </c>
      <c r="G1201" t="s">
        <v>352</v>
      </c>
      <c r="H1201" t="s">
        <v>1409</v>
      </c>
      <c r="I1201" t="s">
        <v>36</v>
      </c>
      <c r="J1201" t="s">
        <v>42</v>
      </c>
      <c r="K1201" t="s">
        <v>24</v>
      </c>
      <c r="L1201" t="s">
        <v>25</v>
      </c>
      <c r="M1201" s="8" t="s">
        <v>26</v>
      </c>
      <c r="N1201" t="s">
        <v>26</v>
      </c>
      <c r="O1201" s="8" t="s">
        <v>26</v>
      </c>
      <c r="P1201" s="8" t="s">
        <v>26</v>
      </c>
      <c r="Q1201" s="8">
        <f>(2375365*100)/2680339</f>
        <v>88.621812390149159</v>
      </c>
    </row>
    <row r="1202" spans="1:17" x14ac:dyDescent="0.2">
      <c r="A1202">
        <v>2011</v>
      </c>
      <c r="B1202" t="s">
        <v>1411</v>
      </c>
      <c r="C1202" t="s">
        <v>50</v>
      </c>
      <c r="D1202" t="s">
        <v>44</v>
      </c>
      <c r="E1202">
        <v>5</v>
      </c>
      <c r="F1202" t="s">
        <v>19</v>
      </c>
      <c r="G1202" t="s">
        <v>352</v>
      </c>
      <c r="H1202" t="s">
        <v>1412</v>
      </c>
      <c r="I1202" t="s">
        <v>22</v>
      </c>
      <c r="J1202" t="s">
        <v>42</v>
      </c>
      <c r="K1202" t="s">
        <v>24</v>
      </c>
      <c r="L1202" t="s">
        <v>25</v>
      </c>
      <c r="M1202" s="8" t="s">
        <v>26</v>
      </c>
      <c r="N1202" t="s">
        <v>26</v>
      </c>
      <c r="O1202" s="8" t="s">
        <v>26</v>
      </c>
      <c r="P1202" s="8" t="s">
        <v>26</v>
      </c>
      <c r="Q1202" s="8">
        <f>(4488342*100)/4914798</f>
        <v>91.323020803703429</v>
      </c>
    </row>
    <row r="1203" spans="1:17" x14ac:dyDescent="0.2">
      <c r="A1203">
        <v>2011</v>
      </c>
      <c r="B1203" t="s">
        <v>1413</v>
      </c>
      <c r="C1203" t="s">
        <v>120</v>
      </c>
      <c r="D1203" t="s">
        <v>58</v>
      </c>
      <c r="E1203">
        <v>6</v>
      </c>
      <c r="F1203" t="s">
        <v>19</v>
      </c>
      <c r="G1203" t="s">
        <v>352</v>
      </c>
      <c r="H1203" t="s">
        <v>1414</v>
      </c>
      <c r="I1203" t="s">
        <v>22</v>
      </c>
      <c r="J1203" t="s">
        <v>23</v>
      </c>
      <c r="K1203" t="s">
        <v>24</v>
      </c>
      <c r="L1203" t="s">
        <v>25</v>
      </c>
      <c r="M1203" s="8" t="s">
        <v>26</v>
      </c>
      <c r="N1203" t="s">
        <v>26</v>
      </c>
      <c r="O1203" s="8" t="s">
        <v>26</v>
      </c>
      <c r="P1203" s="8" t="s">
        <v>26</v>
      </c>
      <c r="Q1203" s="8">
        <f>(2256192*100)/6055896</f>
        <v>37.256121967748456</v>
      </c>
    </row>
    <row r="1204" spans="1:17" x14ac:dyDescent="0.2">
      <c r="A1204">
        <v>2011</v>
      </c>
      <c r="B1204" t="s">
        <v>1415</v>
      </c>
      <c r="C1204" t="s">
        <v>60</v>
      </c>
      <c r="D1204" t="s">
        <v>61</v>
      </c>
      <c r="E1204">
        <v>6</v>
      </c>
      <c r="F1204" t="s">
        <v>19</v>
      </c>
      <c r="G1204" t="s">
        <v>352</v>
      </c>
      <c r="H1204" t="s">
        <v>1416</v>
      </c>
      <c r="I1204" t="s">
        <v>22</v>
      </c>
      <c r="J1204" t="s">
        <v>31</v>
      </c>
      <c r="K1204" t="s">
        <v>24</v>
      </c>
      <c r="L1204" t="s">
        <v>25</v>
      </c>
      <c r="M1204" s="8">
        <v>1.708</v>
      </c>
      <c r="N1204" t="s">
        <v>26</v>
      </c>
      <c r="O1204" s="8">
        <v>1.708</v>
      </c>
      <c r="P1204" s="8">
        <f>EXP(-1.363+3.366*LOG(O1204,10))</f>
        <v>0.55964879607718498</v>
      </c>
      <c r="Q1204" s="8">
        <f>(27433.05*100)/7611378</f>
        <v>0.36042159514348127</v>
      </c>
    </row>
    <row r="1205" spans="1:17" x14ac:dyDescent="0.2">
      <c r="A1205">
        <v>2011</v>
      </c>
      <c r="B1205" t="s">
        <v>1417</v>
      </c>
      <c r="C1205" t="s">
        <v>57</v>
      </c>
      <c r="D1205" t="s">
        <v>106</v>
      </c>
      <c r="E1205">
        <v>4</v>
      </c>
      <c r="F1205" t="s">
        <v>19</v>
      </c>
      <c r="G1205" t="s">
        <v>352</v>
      </c>
      <c r="H1205" t="s">
        <v>1416</v>
      </c>
      <c r="I1205" t="s">
        <v>22</v>
      </c>
      <c r="J1205" t="s">
        <v>31</v>
      </c>
      <c r="K1205" t="s">
        <v>24</v>
      </c>
      <c r="L1205" t="s">
        <v>25</v>
      </c>
      <c r="M1205" s="8">
        <v>1.708</v>
      </c>
      <c r="N1205" t="s">
        <v>26</v>
      </c>
      <c r="O1205" s="8">
        <v>1.708</v>
      </c>
      <c r="P1205" s="8">
        <f>EXP(-1.363+3.366*LOG(O1205,10))</f>
        <v>0.55964879607718498</v>
      </c>
      <c r="Q1205" s="8">
        <f>(321151.3*100)/5927002</f>
        <v>5.4184442657518925</v>
      </c>
    </row>
    <row r="1206" spans="1:17" x14ac:dyDescent="0.2">
      <c r="A1206">
        <v>2011</v>
      </c>
      <c r="B1206" t="s">
        <v>1418</v>
      </c>
      <c r="C1206" t="s">
        <v>57</v>
      </c>
      <c r="D1206" t="s">
        <v>106</v>
      </c>
      <c r="E1206">
        <v>4</v>
      </c>
      <c r="F1206" t="s">
        <v>19</v>
      </c>
      <c r="G1206" t="s">
        <v>352</v>
      </c>
      <c r="H1206" t="s">
        <v>1416</v>
      </c>
      <c r="I1206" t="s">
        <v>22</v>
      </c>
      <c r="J1206" t="s">
        <v>31</v>
      </c>
      <c r="K1206" t="s">
        <v>24</v>
      </c>
      <c r="L1206" t="s">
        <v>25</v>
      </c>
      <c r="M1206" s="8">
        <v>1.708</v>
      </c>
      <c r="N1206" t="s">
        <v>26</v>
      </c>
      <c r="O1206" s="8">
        <v>1.708</v>
      </c>
      <c r="P1206" s="8">
        <f>EXP(-1.363+3.366*LOG(O1206,10))</f>
        <v>0.55964879607718498</v>
      </c>
      <c r="Q1206" s="8">
        <f>(321151.3*100)/5927002</f>
        <v>5.4184442657518925</v>
      </c>
    </row>
    <row r="1207" spans="1:17" x14ac:dyDescent="0.2">
      <c r="A1207">
        <v>2011</v>
      </c>
      <c r="B1207" t="s">
        <v>1419</v>
      </c>
      <c r="C1207" t="s">
        <v>60</v>
      </c>
      <c r="D1207" t="s">
        <v>53</v>
      </c>
      <c r="E1207">
        <v>6</v>
      </c>
      <c r="F1207" t="s">
        <v>19</v>
      </c>
      <c r="G1207" t="s">
        <v>352</v>
      </c>
      <c r="H1207" t="s">
        <v>1416</v>
      </c>
      <c r="I1207" t="s">
        <v>22</v>
      </c>
      <c r="J1207" t="s">
        <v>31</v>
      </c>
      <c r="K1207" t="s">
        <v>24</v>
      </c>
      <c r="L1207" t="s">
        <v>25</v>
      </c>
      <c r="M1207" s="8">
        <v>1.708</v>
      </c>
      <c r="N1207" t="s">
        <v>26</v>
      </c>
      <c r="O1207" s="8">
        <v>1.708</v>
      </c>
      <c r="P1207" s="8">
        <f>EXP(-1.363+3.366*LOG(O1207,10))</f>
        <v>0.55964879607718498</v>
      </c>
      <c r="Q1207" s="8">
        <f>(27433.05*100)/7611378</f>
        <v>0.36042159514348127</v>
      </c>
    </row>
    <row r="1208" spans="1:17" x14ac:dyDescent="0.2">
      <c r="A1208">
        <v>2011</v>
      </c>
      <c r="B1208" t="s">
        <v>1420</v>
      </c>
      <c r="C1208" t="s">
        <v>60</v>
      </c>
      <c r="D1208" t="s">
        <v>53</v>
      </c>
      <c r="E1208">
        <v>6</v>
      </c>
      <c r="F1208" t="s">
        <v>19</v>
      </c>
      <c r="G1208" t="s">
        <v>352</v>
      </c>
      <c r="H1208" t="s">
        <v>1416</v>
      </c>
      <c r="I1208" t="s">
        <v>22</v>
      </c>
      <c r="J1208" t="s">
        <v>31</v>
      </c>
      <c r="K1208" t="s">
        <v>24</v>
      </c>
      <c r="L1208" t="s">
        <v>25</v>
      </c>
      <c r="M1208" s="8">
        <v>1.708</v>
      </c>
      <c r="N1208" t="s">
        <v>26</v>
      </c>
      <c r="O1208" s="8">
        <v>1.708</v>
      </c>
      <c r="P1208" s="8">
        <f>EXP(-1.363+3.366*LOG(O1208,10))</f>
        <v>0.55964879607718498</v>
      </c>
      <c r="Q1208" s="8">
        <f>(27433.05*100)/7611378</f>
        <v>0.36042159514348127</v>
      </c>
    </row>
    <row r="1209" spans="1:17" x14ac:dyDescent="0.2">
      <c r="A1209">
        <v>2011</v>
      </c>
      <c r="B1209" t="s">
        <v>1421</v>
      </c>
      <c r="C1209" t="s">
        <v>60</v>
      </c>
      <c r="D1209" t="s">
        <v>53</v>
      </c>
      <c r="E1209">
        <v>6</v>
      </c>
      <c r="F1209" t="s">
        <v>19</v>
      </c>
      <c r="G1209" t="s">
        <v>352</v>
      </c>
      <c r="H1209" t="s">
        <v>1416</v>
      </c>
      <c r="I1209" t="s">
        <v>22</v>
      </c>
      <c r="J1209" t="s">
        <v>31</v>
      </c>
      <c r="K1209" t="s">
        <v>24</v>
      </c>
      <c r="L1209" t="s">
        <v>25</v>
      </c>
      <c r="M1209" s="8">
        <v>1.708</v>
      </c>
      <c r="N1209" t="s">
        <v>26</v>
      </c>
      <c r="O1209" s="8">
        <v>1.708</v>
      </c>
      <c r="P1209" s="8">
        <f>EXP(-1.363+3.366*LOG(O1209,10))</f>
        <v>0.55964879607718498</v>
      </c>
      <c r="Q1209" s="8">
        <f>(27433.05*100)/7611378</f>
        <v>0.36042159514348127</v>
      </c>
    </row>
    <row r="1210" spans="1:17" x14ac:dyDescent="0.2">
      <c r="A1210">
        <v>2011</v>
      </c>
      <c r="B1210" t="s">
        <v>1422</v>
      </c>
      <c r="C1210" t="s">
        <v>60</v>
      </c>
      <c r="D1210" t="s">
        <v>53</v>
      </c>
      <c r="E1210">
        <v>6</v>
      </c>
      <c r="F1210" t="s">
        <v>19</v>
      </c>
      <c r="G1210" t="s">
        <v>352</v>
      </c>
      <c r="H1210" t="s">
        <v>1416</v>
      </c>
      <c r="I1210" t="s">
        <v>22</v>
      </c>
      <c r="J1210" t="s">
        <v>31</v>
      </c>
      <c r="K1210" t="s">
        <v>24</v>
      </c>
      <c r="L1210" t="s">
        <v>25</v>
      </c>
      <c r="M1210" s="8">
        <v>1.708</v>
      </c>
      <c r="N1210" t="s">
        <v>26</v>
      </c>
      <c r="O1210" s="8">
        <v>1.708</v>
      </c>
      <c r="P1210" s="8">
        <f>EXP(-1.363+3.366*LOG(O1210,10))</f>
        <v>0.55964879607718498</v>
      </c>
      <c r="Q1210" s="8">
        <f>(27433.05*100)/7611378</f>
        <v>0.36042159514348127</v>
      </c>
    </row>
    <row r="1211" spans="1:17" x14ac:dyDescent="0.2">
      <c r="A1211">
        <v>2011</v>
      </c>
      <c r="B1211" t="s">
        <v>1423</v>
      </c>
      <c r="C1211" t="s">
        <v>89</v>
      </c>
      <c r="D1211" t="s">
        <v>53</v>
      </c>
      <c r="E1211">
        <v>6</v>
      </c>
      <c r="F1211" t="s">
        <v>19</v>
      </c>
      <c r="G1211" t="s">
        <v>352</v>
      </c>
      <c r="H1211" t="s">
        <v>1416</v>
      </c>
      <c r="I1211" t="s">
        <v>22</v>
      </c>
      <c r="J1211" t="s">
        <v>66</v>
      </c>
      <c r="K1211" t="s">
        <v>24</v>
      </c>
      <c r="L1211" t="s">
        <v>25</v>
      </c>
      <c r="M1211" s="8">
        <v>1.708</v>
      </c>
      <c r="N1211" t="s">
        <v>26</v>
      </c>
      <c r="O1211" s="8">
        <v>1.708</v>
      </c>
      <c r="P1211" s="8">
        <f>EXP(-1.363+3.366*LOG(O1211,10))</f>
        <v>0.55964879607718498</v>
      </c>
      <c r="Q1211" s="8">
        <f>(61997.93*100)/7298102</f>
        <v>0.84950758430068529</v>
      </c>
    </row>
    <row r="1212" spans="1:17" x14ac:dyDescent="0.2">
      <c r="A1212">
        <v>2011</v>
      </c>
      <c r="B1212" t="s">
        <v>1424</v>
      </c>
      <c r="C1212" t="s">
        <v>89</v>
      </c>
      <c r="D1212" t="s">
        <v>53</v>
      </c>
      <c r="E1212">
        <v>6</v>
      </c>
      <c r="F1212" t="s">
        <v>19</v>
      </c>
      <c r="G1212" t="s">
        <v>352</v>
      </c>
      <c r="H1212" t="s">
        <v>1416</v>
      </c>
      <c r="I1212" t="s">
        <v>22</v>
      </c>
      <c r="J1212" t="s">
        <v>66</v>
      </c>
      <c r="K1212" t="s">
        <v>24</v>
      </c>
      <c r="L1212" t="s">
        <v>25</v>
      </c>
      <c r="M1212" s="8">
        <v>1.708</v>
      </c>
      <c r="N1212" t="s">
        <v>26</v>
      </c>
      <c r="O1212" s="8">
        <v>1.708</v>
      </c>
      <c r="P1212" s="8">
        <f>EXP(-1.363+3.366*LOG(O1212,10))</f>
        <v>0.55964879607718498</v>
      </c>
      <c r="Q1212" s="8">
        <f>(61997.93*100)/7298102</f>
        <v>0.84950758430068529</v>
      </c>
    </row>
    <row r="1213" spans="1:17" x14ac:dyDescent="0.2">
      <c r="A1213">
        <v>2011</v>
      </c>
      <c r="B1213" t="s">
        <v>1425</v>
      </c>
      <c r="C1213" t="s">
        <v>57</v>
      </c>
      <c r="D1213" t="s">
        <v>71</v>
      </c>
      <c r="E1213">
        <v>7</v>
      </c>
      <c r="F1213" t="s">
        <v>19</v>
      </c>
      <c r="G1213" t="s">
        <v>352</v>
      </c>
      <c r="H1213" t="s">
        <v>1416</v>
      </c>
      <c r="I1213" t="s">
        <v>22</v>
      </c>
      <c r="J1213" t="s">
        <v>104</v>
      </c>
      <c r="K1213" t="s">
        <v>24</v>
      </c>
      <c r="L1213" t="s">
        <v>25</v>
      </c>
      <c r="M1213" s="8">
        <v>1.708</v>
      </c>
      <c r="N1213" t="s">
        <v>26</v>
      </c>
      <c r="O1213" s="8">
        <v>1.708</v>
      </c>
      <c r="P1213" s="8">
        <f>EXP(-1.363+3.366*LOG(O1213,10))</f>
        <v>0.55964879607718498</v>
      </c>
      <c r="Q1213" s="8">
        <f>(321151.3*100)/5927002</f>
        <v>5.4184442657518925</v>
      </c>
    </row>
    <row r="1214" spans="1:17" x14ac:dyDescent="0.2">
      <c r="A1214">
        <v>2011</v>
      </c>
      <c r="B1214" t="s">
        <v>1426</v>
      </c>
      <c r="C1214" t="s">
        <v>57</v>
      </c>
      <c r="D1214" t="s">
        <v>71</v>
      </c>
      <c r="E1214">
        <v>7</v>
      </c>
      <c r="F1214" t="s">
        <v>19</v>
      </c>
      <c r="G1214" t="s">
        <v>352</v>
      </c>
      <c r="H1214" t="s">
        <v>1416</v>
      </c>
      <c r="I1214" t="s">
        <v>22</v>
      </c>
      <c r="J1214" t="s">
        <v>104</v>
      </c>
      <c r="K1214" t="s">
        <v>24</v>
      </c>
      <c r="L1214" t="s">
        <v>25</v>
      </c>
      <c r="M1214" s="8">
        <v>1.708</v>
      </c>
      <c r="N1214" t="s">
        <v>26</v>
      </c>
      <c r="O1214" s="8">
        <v>1.708</v>
      </c>
      <c r="P1214" s="8">
        <f>EXP(-1.363+3.366*LOG(O1214,10))</f>
        <v>0.55964879607718498</v>
      </c>
      <c r="Q1214" s="8">
        <f>(321151.3*100)/5927002</f>
        <v>5.4184442657518925</v>
      </c>
    </row>
    <row r="1215" spans="1:17" x14ac:dyDescent="0.2">
      <c r="A1215">
        <v>2011</v>
      </c>
      <c r="B1215" t="s">
        <v>1427</v>
      </c>
      <c r="C1215" t="s">
        <v>57</v>
      </c>
      <c r="D1215" t="s">
        <v>71</v>
      </c>
      <c r="E1215">
        <v>7</v>
      </c>
      <c r="F1215" t="s">
        <v>19</v>
      </c>
      <c r="G1215" t="s">
        <v>352</v>
      </c>
      <c r="H1215" t="s">
        <v>1416</v>
      </c>
      <c r="I1215" t="s">
        <v>22</v>
      </c>
      <c r="J1215" t="s">
        <v>31</v>
      </c>
      <c r="K1215" t="s">
        <v>24</v>
      </c>
      <c r="L1215" t="s">
        <v>25</v>
      </c>
      <c r="M1215" s="8">
        <v>1.708</v>
      </c>
      <c r="N1215" t="s">
        <v>26</v>
      </c>
      <c r="O1215" s="8">
        <v>1.708</v>
      </c>
      <c r="P1215" s="8">
        <f>EXP(-1.363+3.366*LOG(O1215,10))</f>
        <v>0.55964879607718498</v>
      </c>
      <c r="Q1215" s="8">
        <f>(321151.3*100)/5927002</f>
        <v>5.4184442657518925</v>
      </c>
    </row>
    <row r="1216" spans="1:17" x14ac:dyDescent="0.2">
      <c r="A1216">
        <v>2011</v>
      </c>
      <c r="B1216" t="s">
        <v>1428</v>
      </c>
      <c r="C1216" t="s">
        <v>57</v>
      </c>
      <c r="D1216" t="s">
        <v>71</v>
      </c>
      <c r="E1216">
        <v>7</v>
      </c>
      <c r="F1216" t="s">
        <v>19</v>
      </c>
      <c r="G1216" t="s">
        <v>352</v>
      </c>
      <c r="H1216" t="s">
        <v>1416</v>
      </c>
      <c r="I1216" t="s">
        <v>22</v>
      </c>
      <c r="J1216" t="s">
        <v>31</v>
      </c>
      <c r="K1216" t="s">
        <v>24</v>
      </c>
      <c r="L1216" t="s">
        <v>25</v>
      </c>
      <c r="M1216" s="8">
        <v>1.708</v>
      </c>
      <c r="N1216" t="s">
        <v>26</v>
      </c>
      <c r="O1216" s="8">
        <v>1.708</v>
      </c>
      <c r="P1216" s="8">
        <f>EXP(-1.363+3.366*LOG(O1216,10))</f>
        <v>0.55964879607718498</v>
      </c>
      <c r="Q1216" s="8">
        <f>(321151.3*100)/5927002</f>
        <v>5.4184442657518925</v>
      </c>
    </row>
    <row r="1217" spans="1:17" x14ac:dyDescent="0.2">
      <c r="A1217">
        <v>2011</v>
      </c>
      <c r="B1217" t="s">
        <v>1429</v>
      </c>
      <c r="C1217" t="s">
        <v>60</v>
      </c>
      <c r="D1217" t="s">
        <v>61</v>
      </c>
      <c r="E1217">
        <v>6</v>
      </c>
      <c r="F1217" t="s">
        <v>19</v>
      </c>
      <c r="G1217" t="s">
        <v>352</v>
      </c>
      <c r="H1217" t="s">
        <v>1416</v>
      </c>
      <c r="I1217" t="s">
        <v>22</v>
      </c>
      <c r="J1217" t="s">
        <v>31</v>
      </c>
      <c r="K1217" t="s">
        <v>24</v>
      </c>
      <c r="L1217" t="s">
        <v>25</v>
      </c>
      <c r="M1217" s="8">
        <v>1.708</v>
      </c>
      <c r="N1217" t="s">
        <v>26</v>
      </c>
      <c r="O1217" s="8">
        <v>1.708</v>
      </c>
      <c r="P1217" s="8">
        <f>EXP(-1.363+3.366*LOG(O1217,10))</f>
        <v>0.55964879607718498</v>
      </c>
      <c r="Q1217" s="8">
        <f>(27433.05*100)/7611378</f>
        <v>0.36042159514348127</v>
      </c>
    </row>
    <row r="1218" spans="1:17" x14ac:dyDescent="0.2">
      <c r="A1218">
        <v>2011</v>
      </c>
      <c r="B1218" t="s">
        <v>1430</v>
      </c>
      <c r="C1218" t="s">
        <v>57</v>
      </c>
      <c r="D1218" t="s">
        <v>71</v>
      </c>
      <c r="E1218">
        <v>7</v>
      </c>
      <c r="F1218" t="s">
        <v>19</v>
      </c>
      <c r="G1218" t="s">
        <v>352</v>
      </c>
      <c r="H1218" t="s">
        <v>1416</v>
      </c>
      <c r="I1218" t="s">
        <v>22</v>
      </c>
      <c r="J1218" t="s">
        <v>31</v>
      </c>
      <c r="K1218" t="s">
        <v>24</v>
      </c>
      <c r="L1218" t="s">
        <v>25</v>
      </c>
      <c r="M1218" s="8">
        <v>1.708</v>
      </c>
      <c r="N1218" t="s">
        <v>26</v>
      </c>
      <c r="O1218" s="8">
        <v>1.708</v>
      </c>
      <c r="P1218" s="8">
        <f>EXP(-1.363+3.366*LOG(O1218,10))</f>
        <v>0.55964879607718498</v>
      </c>
      <c r="Q1218" s="8">
        <f>(321151.3*100)/5927002</f>
        <v>5.4184442657518925</v>
      </c>
    </row>
    <row r="1219" spans="1:17" x14ac:dyDescent="0.2">
      <c r="A1219">
        <v>2011</v>
      </c>
      <c r="B1219" t="s">
        <v>1431</v>
      </c>
      <c r="C1219" t="s">
        <v>57</v>
      </c>
      <c r="D1219" t="s">
        <v>71</v>
      </c>
      <c r="E1219">
        <v>7</v>
      </c>
      <c r="F1219" t="s">
        <v>19</v>
      </c>
      <c r="G1219" t="s">
        <v>352</v>
      </c>
      <c r="H1219" t="s">
        <v>1416</v>
      </c>
      <c r="I1219" t="s">
        <v>22</v>
      </c>
      <c r="J1219" t="s">
        <v>31</v>
      </c>
      <c r="K1219" t="s">
        <v>24</v>
      </c>
      <c r="L1219" t="s">
        <v>25</v>
      </c>
      <c r="M1219" s="8">
        <v>1.708</v>
      </c>
      <c r="N1219" t="s">
        <v>26</v>
      </c>
      <c r="O1219" s="8">
        <v>1.708</v>
      </c>
      <c r="P1219" s="8">
        <f>EXP(-1.363+3.366*LOG(O1219,10))</f>
        <v>0.55964879607718498</v>
      </c>
      <c r="Q1219" s="8">
        <f>(321151.3*100)/5927002</f>
        <v>5.4184442657518925</v>
      </c>
    </row>
    <row r="1220" spans="1:17" x14ac:dyDescent="0.2">
      <c r="A1220">
        <v>2011</v>
      </c>
      <c r="B1220" t="s">
        <v>1432</v>
      </c>
      <c r="C1220" t="s">
        <v>57</v>
      </c>
      <c r="D1220" t="s">
        <v>71</v>
      </c>
      <c r="E1220">
        <v>7</v>
      </c>
      <c r="F1220" t="s">
        <v>19</v>
      </c>
      <c r="G1220" t="s">
        <v>352</v>
      </c>
      <c r="H1220" t="s">
        <v>1416</v>
      </c>
      <c r="I1220" t="s">
        <v>22</v>
      </c>
      <c r="J1220" t="s">
        <v>31</v>
      </c>
      <c r="K1220" t="s">
        <v>24</v>
      </c>
      <c r="L1220" t="s">
        <v>25</v>
      </c>
      <c r="M1220" s="8">
        <v>1.708</v>
      </c>
      <c r="N1220" t="s">
        <v>26</v>
      </c>
      <c r="O1220" s="8">
        <v>1.708</v>
      </c>
      <c r="P1220" s="8">
        <f>EXP(-1.363+3.366*LOG(O1220,10))</f>
        <v>0.55964879607718498</v>
      </c>
      <c r="Q1220" s="8">
        <f>(321151.3*100)/5927002</f>
        <v>5.4184442657518925</v>
      </c>
    </row>
    <row r="1221" spans="1:17" x14ac:dyDescent="0.2">
      <c r="A1221">
        <v>2011</v>
      </c>
      <c r="B1221" t="s">
        <v>1433</v>
      </c>
      <c r="C1221" t="s">
        <v>57</v>
      </c>
      <c r="D1221" t="s">
        <v>71</v>
      </c>
      <c r="E1221">
        <v>7</v>
      </c>
      <c r="F1221" t="s">
        <v>19</v>
      </c>
      <c r="G1221" t="s">
        <v>352</v>
      </c>
      <c r="H1221" t="s">
        <v>1416</v>
      </c>
      <c r="I1221" t="s">
        <v>22</v>
      </c>
      <c r="J1221" t="s">
        <v>31</v>
      </c>
      <c r="K1221" t="s">
        <v>24</v>
      </c>
      <c r="L1221" t="s">
        <v>25</v>
      </c>
      <c r="M1221" s="8">
        <v>1.708</v>
      </c>
      <c r="N1221" t="s">
        <v>26</v>
      </c>
      <c r="O1221" s="8">
        <v>1.708</v>
      </c>
      <c r="P1221" s="8">
        <f>EXP(-1.363+3.366*LOG(O1221,10))</f>
        <v>0.55964879607718498</v>
      </c>
      <c r="Q1221" s="8">
        <f>(321151.3*100)/5927002</f>
        <v>5.4184442657518925</v>
      </c>
    </row>
    <row r="1222" spans="1:17" x14ac:dyDescent="0.2">
      <c r="A1222">
        <v>2011</v>
      </c>
      <c r="B1222" t="s">
        <v>1434</v>
      </c>
      <c r="C1222" t="s">
        <v>60</v>
      </c>
      <c r="D1222" t="s">
        <v>61</v>
      </c>
      <c r="E1222">
        <v>6</v>
      </c>
      <c r="F1222" t="s">
        <v>19</v>
      </c>
      <c r="G1222" t="s">
        <v>352</v>
      </c>
      <c r="H1222" t="s">
        <v>1416</v>
      </c>
      <c r="I1222" t="s">
        <v>22</v>
      </c>
      <c r="J1222" t="s">
        <v>31</v>
      </c>
      <c r="K1222" t="s">
        <v>24</v>
      </c>
      <c r="L1222" t="s">
        <v>25</v>
      </c>
      <c r="M1222" s="8">
        <v>1.708</v>
      </c>
      <c r="N1222" t="s">
        <v>26</v>
      </c>
      <c r="O1222" s="8">
        <v>1.708</v>
      </c>
      <c r="P1222" s="8">
        <f>EXP(-1.363+3.366*LOG(O1222,10))</f>
        <v>0.55964879607718498</v>
      </c>
      <c r="Q1222" s="8">
        <f>(27433.05*100)/7611378</f>
        <v>0.36042159514348127</v>
      </c>
    </row>
    <row r="1223" spans="1:17" x14ac:dyDescent="0.2">
      <c r="A1223">
        <v>2011</v>
      </c>
      <c r="B1223" t="s">
        <v>1435</v>
      </c>
      <c r="C1223" t="s">
        <v>60</v>
      </c>
      <c r="D1223" t="s">
        <v>61</v>
      </c>
      <c r="E1223">
        <v>6</v>
      </c>
      <c r="F1223" t="s">
        <v>19</v>
      </c>
      <c r="G1223" t="s">
        <v>352</v>
      </c>
      <c r="H1223" t="s">
        <v>1416</v>
      </c>
      <c r="I1223" t="s">
        <v>22</v>
      </c>
      <c r="J1223" t="s">
        <v>31</v>
      </c>
      <c r="K1223" t="s">
        <v>24</v>
      </c>
      <c r="L1223" t="s">
        <v>25</v>
      </c>
      <c r="M1223" s="8">
        <v>1.708</v>
      </c>
      <c r="N1223" t="s">
        <v>26</v>
      </c>
      <c r="O1223" s="8">
        <v>1.708</v>
      </c>
      <c r="P1223" s="8">
        <f>EXP(-1.363+3.366*LOG(O1223,10))</f>
        <v>0.55964879607718498</v>
      </c>
      <c r="Q1223" s="8">
        <f>(27433.05*100)/7611378</f>
        <v>0.36042159514348127</v>
      </c>
    </row>
    <row r="1224" spans="1:17" x14ac:dyDescent="0.2">
      <c r="A1224">
        <v>2011</v>
      </c>
      <c r="B1224" t="s">
        <v>1436</v>
      </c>
      <c r="C1224" t="s">
        <v>60</v>
      </c>
      <c r="D1224" t="s">
        <v>61</v>
      </c>
      <c r="E1224">
        <v>6</v>
      </c>
      <c r="F1224" t="s">
        <v>19</v>
      </c>
      <c r="G1224" t="s">
        <v>352</v>
      </c>
      <c r="H1224" t="s">
        <v>1416</v>
      </c>
      <c r="I1224" t="s">
        <v>22</v>
      </c>
      <c r="J1224" t="s">
        <v>31</v>
      </c>
      <c r="K1224" t="s">
        <v>24</v>
      </c>
      <c r="L1224" t="s">
        <v>25</v>
      </c>
      <c r="M1224" s="8">
        <v>1.708</v>
      </c>
      <c r="N1224" t="s">
        <v>26</v>
      </c>
      <c r="O1224" s="8">
        <v>1.708</v>
      </c>
      <c r="P1224" s="8">
        <f>EXP(-1.363+3.366*LOG(O1224,10))</f>
        <v>0.55964879607718498</v>
      </c>
      <c r="Q1224" s="8">
        <f>(27433.05*100)/7611378</f>
        <v>0.36042159514348127</v>
      </c>
    </row>
    <row r="1225" spans="1:17" x14ac:dyDescent="0.2">
      <c r="A1225">
        <v>2011</v>
      </c>
      <c r="B1225" t="s">
        <v>1437</v>
      </c>
      <c r="C1225" t="s">
        <v>60</v>
      </c>
      <c r="D1225" t="s">
        <v>61</v>
      </c>
      <c r="E1225">
        <v>6</v>
      </c>
      <c r="F1225" t="s">
        <v>19</v>
      </c>
      <c r="G1225" t="s">
        <v>352</v>
      </c>
      <c r="H1225" t="s">
        <v>1416</v>
      </c>
      <c r="I1225" t="s">
        <v>22</v>
      </c>
      <c r="J1225" t="s">
        <v>31</v>
      </c>
      <c r="K1225" t="s">
        <v>24</v>
      </c>
      <c r="L1225" t="s">
        <v>25</v>
      </c>
      <c r="M1225" s="8">
        <v>1.708</v>
      </c>
      <c r="N1225" t="s">
        <v>26</v>
      </c>
      <c r="O1225" s="8">
        <v>1.708</v>
      </c>
      <c r="P1225" s="8">
        <f>EXP(-1.363+3.366*LOG(O1225,10))</f>
        <v>0.55964879607718498</v>
      </c>
      <c r="Q1225" s="8">
        <f>(27433.05*100)/7611378</f>
        <v>0.36042159514348127</v>
      </c>
    </row>
    <row r="1226" spans="1:17" x14ac:dyDescent="0.2">
      <c r="A1226">
        <v>2011</v>
      </c>
      <c r="B1226" t="s">
        <v>1438</v>
      </c>
      <c r="C1226" t="s">
        <v>60</v>
      </c>
      <c r="D1226" t="s">
        <v>61</v>
      </c>
      <c r="E1226">
        <v>6</v>
      </c>
      <c r="F1226" t="s">
        <v>19</v>
      </c>
      <c r="G1226" t="s">
        <v>352</v>
      </c>
      <c r="H1226" t="s">
        <v>1416</v>
      </c>
      <c r="I1226" t="s">
        <v>22</v>
      </c>
      <c r="J1226" t="s">
        <v>31</v>
      </c>
      <c r="K1226" t="s">
        <v>24</v>
      </c>
      <c r="L1226" t="s">
        <v>25</v>
      </c>
      <c r="M1226" s="8">
        <v>1.708</v>
      </c>
      <c r="N1226" t="s">
        <v>26</v>
      </c>
      <c r="O1226" s="8">
        <v>1.708</v>
      </c>
      <c r="P1226" s="8">
        <f>EXP(-1.363+3.366*LOG(O1226,10))</f>
        <v>0.55964879607718498</v>
      </c>
      <c r="Q1226" s="8">
        <f>(27433.05*100)/7611378</f>
        <v>0.36042159514348127</v>
      </c>
    </row>
    <row r="1227" spans="1:17" x14ac:dyDescent="0.2">
      <c r="A1227">
        <v>2011</v>
      </c>
      <c r="B1227" t="s">
        <v>1439</v>
      </c>
      <c r="C1227" t="s">
        <v>60</v>
      </c>
      <c r="D1227" t="s">
        <v>61</v>
      </c>
      <c r="E1227">
        <v>6</v>
      </c>
      <c r="F1227" t="s">
        <v>19</v>
      </c>
      <c r="G1227" t="s">
        <v>352</v>
      </c>
      <c r="H1227" t="s">
        <v>1416</v>
      </c>
      <c r="I1227" t="s">
        <v>22</v>
      </c>
      <c r="J1227" t="s">
        <v>31</v>
      </c>
      <c r="K1227" t="s">
        <v>24</v>
      </c>
      <c r="L1227" t="s">
        <v>25</v>
      </c>
      <c r="M1227" s="8">
        <v>1.708</v>
      </c>
      <c r="N1227" t="s">
        <v>26</v>
      </c>
      <c r="O1227" s="8">
        <v>1.708</v>
      </c>
      <c r="P1227" s="8">
        <f>EXP(-1.363+3.366*LOG(O1227,10))</f>
        <v>0.55964879607718498</v>
      </c>
      <c r="Q1227" s="8">
        <f>(27433.05*100)/7611378</f>
        <v>0.36042159514348127</v>
      </c>
    </row>
    <row r="1228" spans="1:17" x14ac:dyDescent="0.2">
      <c r="A1228">
        <v>2011</v>
      </c>
      <c r="B1228" t="s">
        <v>1440</v>
      </c>
      <c r="C1228" t="s">
        <v>57</v>
      </c>
      <c r="D1228" t="s">
        <v>58</v>
      </c>
      <c r="E1228">
        <v>6</v>
      </c>
      <c r="F1228" t="s">
        <v>19</v>
      </c>
      <c r="G1228" t="s">
        <v>352</v>
      </c>
      <c r="H1228" t="s">
        <v>1416</v>
      </c>
      <c r="I1228" t="s">
        <v>22</v>
      </c>
      <c r="J1228" t="s">
        <v>31</v>
      </c>
      <c r="K1228" t="s">
        <v>24</v>
      </c>
      <c r="L1228" t="s">
        <v>25</v>
      </c>
      <c r="M1228" s="8">
        <v>1.708</v>
      </c>
      <c r="N1228" t="s">
        <v>26</v>
      </c>
      <c r="O1228" s="8">
        <v>1.708</v>
      </c>
      <c r="P1228" s="8">
        <f>EXP(-1.363+3.366*LOG(O1228,10))</f>
        <v>0.55964879607718498</v>
      </c>
      <c r="Q1228" s="8">
        <f>(321151.3*100)/5927002</f>
        <v>5.4184442657518925</v>
      </c>
    </row>
    <row r="1229" spans="1:17" x14ac:dyDescent="0.2">
      <c r="A1229">
        <v>2011</v>
      </c>
      <c r="B1229" t="s">
        <v>1441</v>
      </c>
      <c r="C1229" t="s">
        <v>57</v>
      </c>
      <c r="D1229" t="s">
        <v>58</v>
      </c>
      <c r="E1229">
        <v>6</v>
      </c>
      <c r="F1229" t="s">
        <v>19</v>
      </c>
      <c r="G1229" t="s">
        <v>352</v>
      </c>
      <c r="H1229" t="s">
        <v>1416</v>
      </c>
      <c r="I1229" t="s">
        <v>22</v>
      </c>
      <c r="J1229" t="s">
        <v>31</v>
      </c>
      <c r="K1229" t="s">
        <v>24</v>
      </c>
      <c r="L1229" t="s">
        <v>25</v>
      </c>
      <c r="M1229" s="8">
        <v>1.708</v>
      </c>
      <c r="N1229" t="s">
        <v>26</v>
      </c>
      <c r="O1229" s="8">
        <v>1.708</v>
      </c>
      <c r="P1229" s="8">
        <f>EXP(-1.363+3.366*LOG(O1229,10))</f>
        <v>0.55964879607718498</v>
      </c>
      <c r="Q1229" s="8">
        <f>(321151.3*100)/5927002</f>
        <v>5.4184442657518925</v>
      </c>
    </row>
    <row r="1230" spans="1:17" x14ac:dyDescent="0.2">
      <c r="A1230">
        <v>2011</v>
      </c>
      <c r="B1230" t="s">
        <v>1442</v>
      </c>
      <c r="C1230" t="s">
        <v>57</v>
      </c>
      <c r="D1230" t="s">
        <v>58</v>
      </c>
      <c r="E1230">
        <v>6</v>
      </c>
      <c r="F1230" t="s">
        <v>19</v>
      </c>
      <c r="G1230" t="s">
        <v>352</v>
      </c>
      <c r="H1230" t="s">
        <v>1416</v>
      </c>
      <c r="I1230" t="s">
        <v>22</v>
      </c>
      <c r="J1230" t="s">
        <v>31</v>
      </c>
      <c r="K1230" t="s">
        <v>24</v>
      </c>
      <c r="L1230" t="s">
        <v>25</v>
      </c>
      <c r="M1230" s="8">
        <v>1.708</v>
      </c>
      <c r="N1230" t="s">
        <v>26</v>
      </c>
      <c r="O1230" s="8">
        <v>1.708</v>
      </c>
      <c r="P1230" s="8">
        <f>EXP(-1.363+3.366*LOG(O1230,10))</f>
        <v>0.55964879607718498</v>
      </c>
      <c r="Q1230" s="8">
        <f>(321151.3*100)/5927002</f>
        <v>5.4184442657518925</v>
      </c>
    </row>
    <row r="1231" spans="1:17" x14ac:dyDescent="0.2">
      <c r="A1231">
        <v>2011</v>
      </c>
      <c r="B1231" t="s">
        <v>1443</v>
      </c>
      <c r="C1231" t="s">
        <v>57</v>
      </c>
      <c r="D1231" t="s">
        <v>58</v>
      </c>
      <c r="E1231">
        <v>6</v>
      </c>
      <c r="F1231" t="s">
        <v>19</v>
      </c>
      <c r="G1231" t="s">
        <v>352</v>
      </c>
      <c r="H1231" t="s">
        <v>1416</v>
      </c>
      <c r="I1231" t="s">
        <v>22</v>
      </c>
      <c r="J1231" t="s">
        <v>31</v>
      </c>
      <c r="K1231" t="s">
        <v>24</v>
      </c>
      <c r="L1231" t="s">
        <v>25</v>
      </c>
      <c r="M1231" s="8">
        <v>1.708</v>
      </c>
      <c r="N1231" t="s">
        <v>26</v>
      </c>
      <c r="O1231" s="8">
        <v>1.708</v>
      </c>
      <c r="P1231" s="8">
        <f>EXP(-1.363+3.366*LOG(O1231,10))</f>
        <v>0.55964879607718498</v>
      </c>
      <c r="Q1231" s="8">
        <f>(321151.3*100)/5927002</f>
        <v>5.4184442657518925</v>
      </c>
    </row>
    <row r="1232" spans="1:17" x14ac:dyDescent="0.2">
      <c r="A1232">
        <v>2011</v>
      </c>
      <c r="B1232" t="s">
        <v>1444</v>
      </c>
      <c r="C1232" t="s">
        <v>57</v>
      </c>
      <c r="D1232" t="s">
        <v>58</v>
      </c>
      <c r="E1232">
        <v>6</v>
      </c>
      <c r="F1232" t="s">
        <v>19</v>
      </c>
      <c r="G1232" t="s">
        <v>352</v>
      </c>
      <c r="H1232" t="s">
        <v>1416</v>
      </c>
      <c r="I1232" t="s">
        <v>22</v>
      </c>
      <c r="J1232" t="s">
        <v>31</v>
      </c>
      <c r="K1232" t="s">
        <v>24</v>
      </c>
      <c r="L1232" t="s">
        <v>25</v>
      </c>
      <c r="M1232" s="8">
        <v>1.708</v>
      </c>
      <c r="N1232" t="s">
        <v>26</v>
      </c>
      <c r="O1232" s="8">
        <v>1.708</v>
      </c>
      <c r="P1232" s="8">
        <f>EXP(-1.363+3.366*LOG(O1232,10))</f>
        <v>0.55964879607718498</v>
      </c>
      <c r="Q1232" s="8">
        <f>(321151.3*100)/5927002</f>
        <v>5.4184442657518925</v>
      </c>
    </row>
    <row r="1233" spans="1:17" x14ac:dyDescent="0.2">
      <c r="A1233">
        <v>2011</v>
      </c>
      <c r="B1233" t="s">
        <v>1445</v>
      </c>
      <c r="C1233" t="s">
        <v>57</v>
      </c>
      <c r="D1233" t="s">
        <v>58</v>
      </c>
      <c r="E1233">
        <v>6</v>
      </c>
      <c r="F1233" t="s">
        <v>19</v>
      </c>
      <c r="G1233" t="s">
        <v>352</v>
      </c>
      <c r="H1233" t="s">
        <v>1416</v>
      </c>
      <c r="I1233" t="s">
        <v>22</v>
      </c>
      <c r="J1233" t="s">
        <v>31</v>
      </c>
      <c r="K1233" t="s">
        <v>24</v>
      </c>
      <c r="L1233" t="s">
        <v>25</v>
      </c>
      <c r="M1233" s="8">
        <v>1.708</v>
      </c>
      <c r="N1233" t="s">
        <v>26</v>
      </c>
      <c r="O1233" s="8">
        <v>1.708</v>
      </c>
      <c r="P1233" s="8">
        <f>EXP(-1.363+3.366*LOG(O1233,10))</f>
        <v>0.55964879607718498</v>
      </c>
      <c r="Q1233" s="8">
        <f>(321151.3*100)/5927002</f>
        <v>5.4184442657518925</v>
      </c>
    </row>
    <row r="1234" spans="1:17" x14ac:dyDescent="0.2">
      <c r="A1234">
        <v>2011</v>
      </c>
      <c r="B1234" t="s">
        <v>1446</v>
      </c>
      <c r="C1234" t="s">
        <v>57</v>
      </c>
      <c r="D1234" t="s">
        <v>58</v>
      </c>
      <c r="E1234">
        <v>6</v>
      </c>
      <c r="F1234" t="s">
        <v>19</v>
      </c>
      <c r="G1234" t="s">
        <v>352</v>
      </c>
      <c r="H1234" t="s">
        <v>1416</v>
      </c>
      <c r="I1234" t="s">
        <v>22</v>
      </c>
      <c r="J1234" t="s">
        <v>31</v>
      </c>
      <c r="K1234" t="s">
        <v>24</v>
      </c>
      <c r="L1234" t="s">
        <v>25</v>
      </c>
      <c r="M1234" s="8">
        <v>1.708</v>
      </c>
      <c r="N1234" t="s">
        <v>26</v>
      </c>
      <c r="O1234" s="8">
        <v>1.708</v>
      </c>
      <c r="P1234" s="8">
        <f>EXP(-1.363+3.366*LOG(O1234,10))</f>
        <v>0.55964879607718498</v>
      </c>
      <c r="Q1234" s="8">
        <f>(321151.3*100)/5927002</f>
        <v>5.4184442657518925</v>
      </c>
    </row>
    <row r="1235" spans="1:17" x14ac:dyDescent="0.2">
      <c r="A1235">
        <v>2011</v>
      </c>
      <c r="B1235" t="s">
        <v>1447</v>
      </c>
      <c r="C1235" t="s">
        <v>57</v>
      </c>
      <c r="D1235" t="s">
        <v>58</v>
      </c>
      <c r="E1235">
        <v>6</v>
      </c>
      <c r="F1235" t="s">
        <v>19</v>
      </c>
      <c r="G1235" t="s">
        <v>352</v>
      </c>
      <c r="H1235" t="s">
        <v>1416</v>
      </c>
      <c r="I1235" t="s">
        <v>22</v>
      </c>
      <c r="J1235" t="s">
        <v>31</v>
      </c>
      <c r="K1235" t="s">
        <v>24</v>
      </c>
      <c r="L1235" t="s">
        <v>25</v>
      </c>
      <c r="M1235" s="8">
        <v>1.708</v>
      </c>
      <c r="N1235" t="s">
        <v>26</v>
      </c>
      <c r="O1235" s="8">
        <v>1.708</v>
      </c>
      <c r="P1235" s="8">
        <f>EXP(-1.363+3.366*LOG(O1235,10))</f>
        <v>0.55964879607718498</v>
      </c>
      <c r="Q1235" s="8">
        <f>(321151.3*100)/5927002</f>
        <v>5.4184442657518925</v>
      </c>
    </row>
    <row r="1236" spans="1:17" x14ac:dyDescent="0.2">
      <c r="A1236">
        <v>2011</v>
      </c>
      <c r="B1236" t="s">
        <v>1448</v>
      </c>
      <c r="C1236" t="s">
        <v>57</v>
      </c>
      <c r="D1236" t="s">
        <v>58</v>
      </c>
      <c r="E1236">
        <v>6</v>
      </c>
      <c r="F1236" t="s">
        <v>19</v>
      </c>
      <c r="G1236" t="s">
        <v>352</v>
      </c>
      <c r="H1236" t="s">
        <v>1416</v>
      </c>
      <c r="I1236" t="s">
        <v>22</v>
      </c>
      <c r="J1236" t="s">
        <v>31</v>
      </c>
      <c r="K1236" t="s">
        <v>24</v>
      </c>
      <c r="L1236" t="s">
        <v>25</v>
      </c>
      <c r="M1236" s="8">
        <v>1.708</v>
      </c>
      <c r="N1236" t="s">
        <v>26</v>
      </c>
      <c r="O1236" s="8">
        <v>1.708</v>
      </c>
      <c r="P1236" s="8">
        <f>EXP(-1.363+3.366*LOG(O1236,10))</f>
        <v>0.55964879607718498</v>
      </c>
      <c r="Q1236" s="8">
        <f>(321151.3*100)/5927002</f>
        <v>5.4184442657518925</v>
      </c>
    </row>
    <row r="1237" spans="1:17" x14ac:dyDescent="0.2">
      <c r="A1237">
        <v>2011</v>
      </c>
      <c r="B1237" t="s">
        <v>1449</v>
      </c>
      <c r="C1237" t="s">
        <v>57</v>
      </c>
      <c r="D1237" t="s">
        <v>58</v>
      </c>
      <c r="E1237">
        <v>6</v>
      </c>
      <c r="F1237" t="s">
        <v>19</v>
      </c>
      <c r="G1237" t="s">
        <v>352</v>
      </c>
      <c r="H1237" t="s">
        <v>1416</v>
      </c>
      <c r="I1237" t="s">
        <v>22</v>
      </c>
      <c r="J1237" t="s">
        <v>31</v>
      </c>
      <c r="K1237" t="s">
        <v>24</v>
      </c>
      <c r="L1237" t="s">
        <v>25</v>
      </c>
      <c r="M1237" s="8">
        <v>1.708</v>
      </c>
      <c r="N1237" t="s">
        <v>26</v>
      </c>
      <c r="O1237" s="8">
        <v>1.708</v>
      </c>
      <c r="P1237" s="8">
        <f>EXP(-1.363+3.366*LOG(O1237,10))</f>
        <v>0.55964879607718498</v>
      </c>
      <c r="Q1237" s="8">
        <f>(321151.3*100)/5927002</f>
        <v>5.4184442657518925</v>
      </c>
    </row>
    <row r="1238" spans="1:17" x14ac:dyDescent="0.2">
      <c r="A1238">
        <v>2011</v>
      </c>
      <c r="B1238" t="s">
        <v>1450</v>
      </c>
      <c r="C1238" t="s">
        <v>57</v>
      </c>
      <c r="D1238" t="s">
        <v>58</v>
      </c>
      <c r="E1238">
        <v>6</v>
      </c>
      <c r="F1238" t="s">
        <v>19</v>
      </c>
      <c r="G1238" t="s">
        <v>352</v>
      </c>
      <c r="H1238" t="s">
        <v>1416</v>
      </c>
      <c r="I1238" t="s">
        <v>22</v>
      </c>
      <c r="J1238" t="s">
        <v>31</v>
      </c>
      <c r="K1238" t="s">
        <v>24</v>
      </c>
      <c r="L1238" t="s">
        <v>25</v>
      </c>
      <c r="M1238" s="8">
        <v>1.708</v>
      </c>
      <c r="N1238" t="s">
        <v>26</v>
      </c>
      <c r="O1238" s="8">
        <v>1.708</v>
      </c>
      <c r="P1238" s="8">
        <f>EXP(-1.363+3.366*LOG(O1238,10))</f>
        <v>0.55964879607718498</v>
      </c>
      <c r="Q1238" s="8">
        <f>(321151.3*100)/5927002</f>
        <v>5.4184442657518925</v>
      </c>
    </row>
    <row r="1239" spans="1:17" x14ac:dyDescent="0.2">
      <c r="A1239">
        <v>2011</v>
      </c>
      <c r="B1239" t="s">
        <v>1451</v>
      </c>
      <c r="C1239" t="s">
        <v>57</v>
      </c>
      <c r="D1239" t="s">
        <v>58</v>
      </c>
      <c r="E1239">
        <v>6</v>
      </c>
      <c r="F1239" t="s">
        <v>19</v>
      </c>
      <c r="G1239" t="s">
        <v>352</v>
      </c>
      <c r="H1239" t="s">
        <v>1416</v>
      </c>
      <c r="I1239" t="s">
        <v>22</v>
      </c>
      <c r="J1239" t="s">
        <v>31</v>
      </c>
      <c r="K1239" t="s">
        <v>24</v>
      </c>
      <c r="L1239" t="s">
        <v>25</v>
      </c>
      <c r="M1239" s="8">
        <v>1.708</v>
      </c>
      <c r="N1239" t="s">
        <v>26</v>
      </c>
      <c r="O1239" s="8">
        <v>1.708</v>
      </c>
      <c r="P1239" s="8">
        <f>EXP(-1.363+3.366*LOG(O1239,10))</f>
        <v>0.55964879607718498</v>
      </c>
      <c r="Q1239" s="8">
        <f>(321151.3*100)/5927002</f>
        <v>5.4184442657518925</v>
      </c>
    </row>
    <row r="1240" spans="1:17" x14ac:dyDescent="0.2">
      <c r="A1240">
        <v>2011</v>
      </c>
      <c r="B1240" t="s">
        <v>1452</v>
      </c>
      <c r="C1240" t="s">
        <v>57</v>
      </c>
      <c r="D1240" t="s">
        <v>58</v>
      </c>
      <c r="E1240">
        <v>6</v>
      </c>
      <c r="F1240" t="s">
        <v>19</v>
      </c>
      <c r="G1240" t="s">
        <v>352</v>
      </c>
      <c r="H1240" t="s">
        <v>1416</v>
      </c>
      <c r="I1240" t="s">
        <v>22</v>
      </c>
      <c r="J1240" t="s">
        <v>31</v>
      </c>
      <c r="K1240" t="s">
        <v>24</v>
      </c>
      <c r="L1240" t="s">
        <v>25</v>
      </c>
      <c r="M1240" s="8">
        <v>1.708</v>
      </c>
      <c r="N1240" t="s">
        <v>26</v>
      </c>
      <c r="O1240" s="8">
        <v>1.708</v>
      </c>
      <c r="P1240" s="8">
        <f>EXP(-1.363+3.366*LOG(O1240,10))</f>
        <v>0.55964879607718498</v>
      </c>
      <c r="Q1240" s="8">
        <f>(321151.3*100)/5927002</f>
        <v>5.4184442657518925</v>
      </c>
    </row>
    <row r="1241" spans="1:17" x14ac:dyDescent="0.2">
      <c r="A1241">
        <v>2011</v>
      </c>
      <c r="B1241" t="s">
        <v>1453</v>
      </c>
      <c r="C1241" t="s">
        <v>57</v>
      </c>
      <c r="D1241" t="s">
        <v>58</v>
      </c>
      <c r="E1241">
        <v>6</v>
      </c>
      <c r="F1241" t="s">
        <v>19</v>
      </c>
      <c r="G1241" t="s">
        <v>352</v>
      </c>
      <c r="H1241" t="s">
        <v>1416</v>
      </c>
      <c r="I1241" t="s">
        <v>22</v>
      </c>
      <c r="J1241" t="s">
        <v>31</v>
      </c>
      <c r="K1241" t="s">
        <v>24</v>
      </c>
      <c r="L1241" t="s">
        <v>25</v>
      </c>
      <c r="M1241" s="8">
        <v>1.708</v>
      </c>
      <c r="N1241" t="s">
        <v>26</v>
      </c>
      <c r="O1241" s="8">
        <v>1.708</v>
      </c>
      <c r="P1241" s="8">
        <f>EXP(-1.363+3.366*LOG(O1241,10))</f>
        <v>0.55964879607718498</v>
      </c>
      <c r="Q1241" s="8">
        <f>(321151.3*100)/5927002</f>
        <v>5.4184442657518925</v>
      </c>
    </row>
    <row r="1242" spans="1:17" x14ac:dyDescent="0.2">
      <c r="A1242">
        <v>2011</v>
      </c>
      <c r="B1242" t="s">
        <v>1454</v>
      </c>
      <c r="C1242" t="s">
        <v>57</v>
      </c>
      <c r="D1242" t="s">
        <v>58</v>
      </c>
      <c r="E1242">
        <v>6</v>
      </c>
      <c r="F1242" t="s">
        <v>19</v>
      </c>
      <c r="G1242" t="s">
        <v>352</v>
      </c>
      <c r="H1242" t="s">
        <v>1416</v>
      </c>
      <c r="I1242" t="s">
        <v>22</v>
      </c>
      <c r="J1242" t="s">
        <v>31</v>
      </c>
      <c r="K1242" t="s">
        <v>24</v>
      </c>
      <c r="L1242" t="s">
        <v>25</v>
      </c>
      <c r="M1242" s="8">
        <v>1.708</v>
      </c>
      <c r="N1242" t="s">
        <v>26</v>
      </c>
      <c r="O1242" s="8">
        <v>1.708</v>
      </c>
      <c r="P1242" s="8">
        <f>EXP(-1.363+3.366*LOG(O1242,10))</f>
        <v>0.55964879607718498</v>
      </c>
      <c r="Q1242" s="8">
        <f>(321151.3*100)/5927002</f>
        <v>5.4184442657518925</v>
      </c>
    </row>
    <row r="1243" spans="1:17" x14ac:dyDescent="0.2">
      <c r="A1243">
        <v>2011</v>
      </c>
      <c r="B1243" t="s">
        <v>1455</v>
      </c>
      <c r="C1243" t="s">
        <v>57</v>
      </c>
      <c r="D1243" t="s">
        <v>58</v>
      </c>
      <c r="E1243">
        <v>6</v>
      </c>
      <c r="F1243" t="s">
        <v>19</v>
      </c>
      <c r="G1243" t="s">
        <v>352</v>
      </c>
      <c r="H1243" t="s">
        <v>1416</v>
      </c>
      <c r="I1243" t="s">
        <v>22</v>
      </c>
      <c r="J1243" t="s">
        <v>31</v>
      </c>
      <c r="K1243" t="s">
        <v>24</v>
      </c>
      <c r="L1243" t="s">
        <v>25</v>
      </c>
      <c r="M1243" s="8">
        <v>1.708</v>
      </c>
      <c r="N1243" t="s">
        <v>26</v>
      </c>
      <c r="O1243" s="8">
        <v>1.708</v>
      </c>
      <c r="P1243" s="8">
        <f>EXP(-1.363+3.366*LOG(O1243,10))</f>
        <v>0.55964879607718498</v>
      </c>
      <c r="Q1243" s="8">
        <f>(321151.3*100)/5927002</f>
        <v>5.4184442657518925</v>
      </c>
    </row>
    <row r="1244" spans="1:17" x14ac:dyDescent="0.2">
      <c r="A1244">
        <v>2011</v>
      </c>
      <c r="B1244" t="s">
        <v>1456</v>
      </c>
      <c r="C1244" t="s">
        <v>94</v>
      </c>
      <c r="D1244" t="s">
        <v>63</v>
      </c>
      <c r="E1244">
        <v>6</v>
      </c>
      <c r="F1244" t="s">
        <v>19</v>
      </c>
      <c r="G1244" t="s">
        <v>352</v>
      </c>
      <c r="H1244" t="s">
        <v>1416</v>
      </c>
      <c r="I1244" t="s">
        <v>22</v>
      </c>
      <c r="J1244" t="s">
        <v>66</v>
      </c>
      <c r="K1244" t="s">
        <v>24</v>
      </c>
      <c r="L1244" t="s">
        <v>25</v>
      </c>
      <c r="M1244" s="8">
        <v>1.708</v>
      </c>
      <c r="N1244" t="s">
        <v>26</v>
      </c>
      <c r="O1244" s="8">
        <v>1.708</v>
      </c>
      <c r="P1244" s="8">
        <f>EXP(-1.363+3.366*LOG(O1244,10))</f>
        <v>0.55964879607718498</v>
      </c>
      <c r="Q1244" s="8">
        <f>(46623.23*100)/15165196</f>
        <v>0.30743572321782059</v>
      </c>
    </row>
    <row r="1245" spans="1:17" x14ac:dyDescent="0.2">
      <c r="A1245">
        <v>2011</v>
      </c>
      <c r="B1245" t="s">
        <v>1457</v>
      </c>
      <c r="C1245" t="s">
        <v>60</v>
      </c>
      <c r="D1245" t="s">
        <v>190</v>
      </c>
      <c r="E1245">
        <v>7</v>
      </c>
      <c r="F1245" t="s">
        <v>19</v>
      </c>
      <c r="G1245" t="s">
        <v>352</v>
      </c>
      <c r="H1245" t="s">
        <v>1416</v>
      </c>
      <c r="I1245" t="s">
        <v>22</v>
      </c>
      <c r="J1245" t="s">
        <v>31</v>
      </c>
      <c r="K1245" t="s">
        <v>24</v>
      </c>
      <c r="L1245" t="s">
        <v>25</v>
      </c>
      <c r="M1245" s="8">
        <v>1.708</v>
      </c>
      <c r="N1245" t="s">
        <v>26</v>
      </c>
      <c r="O1245" s="8">
        <v>1.708</v>
      </c>
      <c r="P1245" s="8">
        <f>EXP(-1.363+3.366*LOG(O1245,10))</f>
        <v>0.55964879607718498</v>
      </c>
      <c r="Q1245" s="8">
        <f>(27433.05*100)/7611378</f>
        <v>0.36042159514348127</v>
      </c>
    </row>
    <row r="1246" spans="1:17" x14ac:dyDescent="0.2">
      <c r="A1246">
        <v>2011</v>
      </c>
      <c r="B1246" t="s">
        <v>1458</v>
      </c>
      <c r="C1246" t="s">
        <v>120</v>
      </c>
      <c r="D1246" t="s">
        <v>111</v>
      </c>
      <c r="E1246">
        <v>5</v>
      </c>
      <c r="F1246" t="s">
        <v>19</v>
      </c>
      <c r="G1246" t="s">
        <v>352</v>
      </c>
      <c r="H1246" t="s">
        <v>1459</v>
      </c>
      <c r="I1246" t="s">
        <v>22</v>
      </c>
      <c r="J1246" t="s">
        <v>23</v>
      </c>
      <c r="K1246" t="s">
        <v>24</v>
      </c>
      <c r="L1246" t="s">
        <v>25</v>
      </c>
      <c r="M1246" s="8">
        <v>1.1910000000000001</v>
      </c>
      <c r="N1246" t="s">
        <v>26</v>
      </c>
      <c r="O1246" s="8">
        <v>1.1910000000000001</v>
      </c>
      <c r="P1246" s="8">
        <f>EXP(-1.363+3.366*LOG(O1246,10))</f>
        <v>0.33039016297752993</v>
      </c>
      <c r="Q1246" s="8">
        <f>(2256192*100)/6055896</f>
        <v>37.256121967748456</v>
      </c>
    </row>
    <row r="1247" spans="1:17" x14ac:dyDescent="0.2">
      <c r="A1247">
        <v>2011</v>
      </c>
      <c r="B1247" t="s">
        <v>1460</v>
      </c>
      <c r="C1247" t="s">
        <v>50</v>
      </c>
      <c r="D1247" t="s">
        <v>76</v>
      </c>
      <c r="E1247">
        <v>5</v>
      </c>
      <c r="F1247" t="s">
        <v>19</v>
      </c>
      <c r="G1247" t="s">
        <v>352</v>
      </c>
      <c r="H1247" t="s">
        <v>1459</v>
      </c>
      <c r="I1247" t="s">
        <v>22</v>
      </c>
      <c r="J1247" t="s">
        <v>42</v>
      </c>
      <c r="K1247" t="s">
        <v>24</v>
      </c>
      <c r="L1247" t="s">
        <v>25</v>
      </c>
      <c r="M1247" s="8">
        <v>1.1910000000000001</v>
      </c>
      <c r="N1247" t="s">
        <v>26</v>
      </c>
      <c r="O1247" s="8">
        <v>1.1910000000000001</v>
      </c>
      <c r="P1247" s="8">
        <f>EXP(-1.363+3.366*LOG(O1247,10))</f>
        <v>0.33039016297752993</v>
      </c>
      <c r="Q1247" s="8">
        <f>(4488342*100)/4914798</f>
        <v>91.323020803703429</v>
      </c>
    </row>
    <row r="1248" spans="1:17" x14ac:dyDescent="0.2">
      <c r="A1248">
        <v>2011</v>
      </c>
      <c r="B1248" t="s">
        <v>1461</v>
      </c>
      <c r="C1248" t="s">
        <v>52</v>
      </c>
      <c r="D1248" t="s">
        <v>53</v>
      </c>
      <c r="E1248">
        <v>6</v>
      </c>
      <c r="F1248" t="s">
        <v>19</v>
      </c>
      <c r="G1248" t="s">
        <v>352</v>
      </c>
      <c r="H1248" t="s">
        <v>1459</v>
      </c>
      <c r="I1248" t="s">
        <v>22</v>
      </c>
      <c r="J1248" t="s">
        <v>42</v>
      </c>
      <c r="K1248" t="s">
        <v>24</v>
      </c>
      <c r="L1248" t="s">
        <v>25</v>
      </c>
      <c r="M1248" s="8">
        <v>1.1910000000000001</v>
      </c>
      <c r="N1248" t="s">
        <v>26</v>
      </c>
      <c r="O1248" s="8">
        <v>1.1910000000000001</v>
      </c>
      <c r="P1248" s="8">
        <f>EXP(-1.363+3.366*LOG(O1248,10))</f>
        <v>0.33039016297752993</v>
      </c>
      <c r="Q1248" s="8">
        <f>(1626350*100)/1973941</f>
        <v>82.391013713175823</v>
      </c>
    </row>
    <row r="1249" spans="1:17" x14ac:dyDescent="0.2">
      <c r="A1249">
        <v>2011</v>
      </c>
      <c r="B1249" t="s">
        <v>1462</v>
      </c>
      <c r="C1249" t="s">
        <v>65</v>
      </c>
      <c r="D1249" t="s">
        <v>71</v>
      </c>
      <c r="E1249">
        <v>7</v>
      </c>
      <c r="F1249" t="s">
        <v>19</v>
      </c>
      <c r="G1249" t="s">
        <v>352</v>
      </c>
      <c r="H1249" t="s">
        <v>1459</v>
      </c>
      <c r="I1249" t="s">
        <v>22</v>
      </c>
      <c r="J1249" t="s">
        <v>66</v>
      </c>
      <c r="K1249" t="s">
        <v>24</v>
      </c>
      <c r="L1249" t="s">
        <v>25</v>
      </c>
      <c r="M1249" s="8">
        <v>1.1910000000000001</v>
      </c>
      <c r="N1249" t="s">
        <v>26</v>
      </c>
      <c r="O1249" s="8">
        <v>1.1910000000000001</v>
      </c>
      <c r="P1249" s="8">
        <f>EXP(-1.363+3.366*LOG(O1249,10))</f>
        <v>0.33039016297752993</v>
      </c>
      <c r="Q1249" s="8">
        <f>(1788886*100)/6788946</f>
        <v>26.349981278389901</v>
      </c>
    </row>
    <row r="1250" spans="1:17" x14ac:dyDescent="0.2">
      <c r="A1250">
        <v>2011</v>
      </c>
      <c r="B1250" t="s">
        <v>1463</v>
      </c>
      <c r="C1250" t="s">
        <v>50</v>
      </c>
      <c r="D1250" t="s">
        <v>53</v>
      </c>
      <c r="E1250">
        <v>6</v>
      </c>
      <c r="F1250" t="s">
        <v>19</v>
      </c>
      <c r="G1250" t="s">
        <v>352</v>
      </c>
      <c r="H1250" t="s">
        <v>1459</v>
      </c>
      <c r="I1250" t="s">
        <v>22</v>
      </c>
      <c r="J1250" t="s">
        <v>42</v>
      </c>
      <c r="K1250" t="s">
        <v>24</v>
      </c>
      <c r="L1250" t="s">
        <v>25</v>
      </c>
      <c r="M1250" s="8">
        <v>1.1910000000000001</v>
      </c>
      <c r="N1250" t="s">
        <v>26</v>
      </c>
      <c r="O1250" s="8">
        <v>1.1910000000000001</v>
      </c>
      <c r="P1250" s="8">
        <f>EXP(-1.363+3.366*LOG(O1250,10))</f>
        <v>0.33039016297752993</v>
      </c>
      <c r="Q1250" s="8">
        <f>(4488342*100)/4914798</f>
        <v>91.323020803703429</v>
      </c>
    </row>
    <row r="1251" spans="1:17" x14ac:dyDescent="0.2">
      <c r="A1251">
        <v>2011</v>
      </c>
      <c r="B1251" t="s">
        <v>1464</v>
      </c>
      <c r="C1251" t="s">
        <v>50</v>
      </c>
      <c r="D1251" t="s">
        <v>95</v>
      </c>
      <c r="E1251">
        <v>7</v>
      </c>
      <c r="F1251" t="s">
        <v>19</v>
      </c>
      <c r="G1251" t="s">
        <v>352</v>
      </c>
      <c r="H1251" t="s">
        <v>1459</v>
      </c>
      <c r="I1251" t="s">
        <v>22</v>
      </c>
      <c r="J1251" t="s">
        <v>42</v>
      </c>
      <c r="K1251" t="s">
        <v>24</v>
      </c>
      <c r="L1251" t="s">
        <v>25</v>
      </c>
      <c r="M1251" s="8">
        <v>1.1910000000000001</v>
      </c>
      <c r="N1251" t="s">
        <v>26</v>
      </c>
      <c r="O1251" s="8">
        <v>1.1910000000000001</v>
      </c>
      <c r="P1251" s="8">
        <f>EXP(-1.363+3.366*LOG(O1251,10))</f>
        <v>0.33039016297752993</v>
      </c>
      <c r="Q1251" s="8">
        <f>(4488342*100)/4914798</f>
        <v>91.323020803703429</v>
      </c>
    </row>
    <row r="1252" spans="1:17" x14ac:dyDescent="0.2">
      <c r="A1252">
        <v>2011</v>
      </c>
      <c r="B1252" t="s">
        <v>1465</v>
      </c>
      <c r="C1252" t="s">
        <v>50</v>
      </c>
      <c r="D1252" t="s">
        <v>58</v>
      </c>
      <c r="E1252">
        <v>6</v>
      </c>
      <c r="F1252" t="s">
        <v>19</v>
      </c>
      <c r="G1252" t="s">
        <v>352</v>
      </c>
      <c r="H1252" t="s">
        <v>1459</v>
      </c>
      <c r="I1252" t="s">
        <v>22</v>
      </c>
      <c r="J1252" t="s">
        <v>42</v>
      </c>
      <c r="K1252" t="s">
        <v>24</v>
      </c>
      <c r="L1252" t="s">
        <v>25</v>
      </c>
      <c r="M1252" s="8">
        <v>1.1910000000000001</v>
      </c>
      <c r="N1252" t="s">
        <v>26</v>
      </c>
      <c r="O1252" s="8">
        <v>1.1910000000000001</v>
      </c>
      <c r="P1252" s="8">
        <f>EXP(-1.363+3.366*LOG(O1252,10))</f>
        <v>0.33039016297752993</v>
      </c>
      <c r="Q1252" s="8">
        <f>(4488342*100)/4914798</f>
        <v>91.323020803703429</v>
      </c>
    </row>
    <row r="1253" spans="1:17" x14ac:dyDescent="0.2">
      <c r="A1253">
        <v>2011</v>
      </c>
      <c r="B1253" t="s">
        <v>1466</v>
      </c>
      <c r="C1253" t="s">
        <v>50</v>
      </c>
      <c r="D1253" t="s">
        <v>55</v>
      </c>
      <c r="E1253">
        <v>6</v>
      </c>
      <c r="F1253" t="s">
        <v>19</v>
      </c>
      <c r="G1253" t="s">
        <v>352</v>
      </c>
      <c r="H1253" t="s">
        <v>1459</v>
      </c>
      <c r="I1253" t="s">
        <v>36</v>
      </c>
      <c r="J1253" t="s">
        <v>42</v>
      </c>
      <c r="K1253" t="s">
        <v>24</v>
      </c>
      <c r="L1253" t="s">
        <v>25</v>
      </c>
      <c r="M1253" s="8">
        <v>1.0913333329999999</v>
      </c>
      <c r="N1253" t="s">
        <v>26</v>
      </c>
      <c r="O1253" s="8">
        <v>1.0913333329999999</v>
      </c>
      <c r="P1253" s="8">
        <f>EXP(-1.363+3.366*LOG(O1253,10))</f>
        <v>0.29076633015787234</v>
      </c>
      <c r="Q1253" s="8">
        <f>(4488342*100)/4914798</f>
        <v>91.323020803703429</v>
      </c>
    </row>
    <row r="1254" spans="1:17" x14ac:dyDescent="0.2">
      <c r="A1254">
        <v>2011</v>
      </c>
      <c r="B1254" t="s">
        <v>1467</v>
      </c>
      <c r="C1254" t="s">
        <v>94</v>
      </c>
      <c r="D1254" t="s">
        <v>63</v>
      </c>
      <c r="E1254">
        <v>6</v>
      </c>
      <c r="F1254" t="s">
        <v>19</v>
      </c>
      <c r="G1254" t="s">
        <v>352</v>
      </c>
      <c r="H1254" t="s">
        <v>1468</v>
      </c>
      <c r="I1254" t="s">
        <v>22</v>
      </c>
      <c r="J1254" t="s">
        <v>66</v>
      </c>
      <c r="K1254" t="s">
        <v>24</v>
      </c>
      <c r="L1254" t="s">
        <v>25</v>
      </c>
      <c r="M1254" s="8" t="s">
        <v>26</v>
      </c>
      <c r="N1254" t="s">
        <v>26</v>
      </c>
      <c r="O1254" s="8" t="s">
        <v>26</v>
      </c>
      <c r="P1254" s="8" t="s">
        <v>26</v>
      </c>
      <c r="Q1254" s="8">
        <f>(46623.23*100)/15165196</f>
        <v>0.30743572321782059</v>
      </c>
    </row>
    <row r="1255" spans="1:17" x14ac:dyDescent="0.2">
      <c r="A1255">
        <v>2011</v>
      </c>
      <c r="B1255" t="s">
        <v>1469</v>
      </c>
      <c r="C1255" t="s">
        <v>57</v>
      </c>
      <c r="D1255" t="s">
        <v>106</v>
      </c>
      <c r="E1255">
        <v>4</v>
      </c>
      <c r="F1255" t="s">
        <v>19</v>
      </c>
      <c r="G1255" t="s">
        <v>303</v>
      </c>
      <c r="H1255" t="s">
        <v>307</v>
      </c>
      <c r="I1255" t="s">
        <v>22</v>
      </c>
      <c r="J1255" t="s">
        <v>31</v>
      </c>
      <c r="K1255" t="s">
        <v>24</v>
      </c>
      <c r="L1255" t="s">
        <v>305</v>
      </c>
      <c r="M1255" s="8">
        <v>1.1000000000000001</v>
      </c>
      <c r="N1255" t="s">
        <v>26</v>
      </c>
      <c r="O1255" s="8">
        <v>1.1000000000000001</v>
      </c>
      <c r="P1255" s="8">
        <f>EXP(-1.363+3.366*LOG(O1255,10))</f>
        <v>0.29414800446794787</v>
      </c>
      <c r="Q1255" s="8">
        <f>(321151.3*100)/5927002</f>
        <v>5.4184442657518925</v>
      </c>
    </row>
    <row r="1256" spans="1:17" x14ac:dyDescent="0.2">
      <c r="A1256">
        <v>2011</v>
      </c>
      <c r="B1256" t="s">
        <v>1470</v>
      </c>
      <c r="C1256" t="s">
        <v>39</v>
      </c>
      <c r="D1256" t="s">
        <v>446</v>
      </c>
      <c r="E1256">
        <v>4</v>
      </c>
      <c r="F1256" t="s">
        <v>19</v>
      </c>
      <c r="G1256" t="s">
        <v>303</v>
      </c>
      <c r="H1256" t="s">
        <v>307</v>
      </c>
      <c r="I1256" t="s">
        <v>22</v>
      </c>
      <c r="J1256" t="s">
        <v>42</v>
      </c>
      <c r="K1256" t="s">
        <v>24</v>
      </c>
      <c r="L1256" t="s">
        <v>305</v>
      </c>
      <c r="M1256" s="8">
        <v>1.1000000000000001</v>
      </c>
      <c r="N1256" t="s">
        <v>26</v>
      </c>
      <c r="O1256" s="8">
        <v>1.1000000000000001</v>
      </c>
      <c r="P1256" s="8">
        <f>EXP(-1.363+3.366*LOG(O1256,10))</f>
        <v>0.29414800446794787</v>
      </c>
      <c r="Q1256" s="8">
        <f>(2375365*100)/2680339</f>
        <v>88.621812390149159</v>
      </c>
    </row>
    <row r="1257" spans="1:17" x14ac:dyDescent="0.2">
      <c r="A1257">
        <v>2011</v>
      </c>
      <c r="B1257" t="s">
        <v>1471</v>
      </c>
      <c r="C1257" t="s">
        <v>50</v>
      </c>
      <c r="D1257" t="s">
        <v>95</v>
      </c>
      <c r="E1257">
        <v>7</v>
      </c>
      <c r="F1257" t="s">
        <v>19</v>
      </c>
      <c r="G1257" t="s">
        <v>1472</v>
      </c>
      <c r="H1257" t="s">
        <v>1473</v>
      </c>
      <c r="I1257" t="s">
        <v>36</v>
      </c>
      <c r="J1257" t="s">
        <v>42</v>
      </c>
      <c r="K1257" t="s">
        <v>24</v>
      </c>
      <c r="L1257" t="s">
        <v>187</v>
      </c>
      <c r="M1257" s="8">
        <v>0.91300000000000003</v>
      </c>
      <c r="N1257" t="s">
        <v>26</v>
      </c>
      <c r="O1257" s="8">
        <v>0.91300000000000003</v>
      </c>
      <c r="P1257" s="8">
        <f>EXP(-1.363+3.366*LOG(O1257,10))</f>
        <v>0.22401206592984921</v>
      </c>
      <c r="Q1257" s="8">
        <f>(4488342*100)/4914798</f>
        <v>91.323020803703429</v>
      </c>
    </row>
    <row r="1258" spans="1:17" x14ac:dyDescent="0.2">
      <c r="A1258">
        <v>2011</v>
      </c>
      <c r="B1258" t="s">
        <v>1474</v>
      </c>
      <c r="C1258" t="s">
        <v>50</v>
      </c>
      <c r="D1258" t="s">
        <v>95</v>
      </c>
      <c r="E1258">
        <v>7</v>
      </c>
      <c r="F1258" t="s">
        <v>19</v>
      </c>
      <c r="G1258" t="s">
        <v>1472</v>
      </c>
      <c r="H1258" t="s">
        <v>1473</v>
      </c>
      <c r="I1258" t="s">
        <v>36</v>
      </c>
      <c r="J1258" t="s">
        <v>42</v>
      </c>
      <c r="K1258" t="s">
        <v>24</v>
      </c>
      <c r="L1258" t="s">
        <v>187</v>
      </c>
      <c r="M1258" s="8">
        <v>0.91300000000000003</v>
      </c>
      <c r="N1258" t="s">
        <v>26</v>
      </c>
      <c r="O1258" s="8">
        <v>0.91300000000000003</v>
      </c>
      <c r="P1258" s="8">
        <f>EXP(-1.363+3.366*LOG(O1258,10))</f>
        <v>0.22401206592984921</v>
      </c>
      <c r="Q1258" s="8">
        <f>(4488342*100)/4914798</f>
        <v>91.323020803703429</v>
      </c>
    </row>
    <row r="1259" spans="1:17" x14ac:dyDescent="0.2">
      <c r="A1259">
        <v>2011</v>
      </c>
      <c r="B1259" t="s">
        <v>1475</v>
      </c>
      <c r="C1259" t="s">
        <v>50</v>
      </c>
      <c r="D1259" t="s">
        <v>95</v>
      </c>
      <c r="E1259">
        <v>7</v>
      </c>
      <c r="F1259" t="s">
        <v>19</v>
      </c>
      <c r="G1259" t="s">
        <v>1472</v>
      </c>
      <c r="H1259" t="s">
        <v>1473</v>
      </c>
      <c r="I1259" t="s">
        <v>36</v>
      </c>
      <c r="J1259" t="s">
        <v>42</v>
      </c>
      <c r="K1259" t="s">
        <v>24</v>
      </c>
      <c r="L1259" t="s">
        <v>187</v>
      </c>
      <c r="M1259" s="8">
        <v>0.91300000000000003</v>
      </c>
      <c r="N1259" t="s">
        <v>26</v>
      </c>
      <c r="O1259" s="8">
        <v>0.91300000000000003</v>
      </c>
      <c r="P1259" s="8">
        <f>EXP(-1.363+3.366*LOG(O1259,10))</f>
        <v>0.22401206592984921</v>
      </c>
      <c r="Q1259" s="8">
        <f>(4488342*100)/4914798</f>
        <v>91.323020803703429</v>
      </c>
    </row>
    <row r="1260" spans="1:17" x14ac:dyDescent="0.2">
      <c r="A1260">
        <v>2011</v>
      </c>
      <c r="B1260" t="s">
        <v>1476</v>
      </c>
      <c r="C1260" t="s">
        <v>50</v>
      </c>
      <c r="D1260" t="s">
        <v>53</v>
      </c>
      <c r="E1260">
        <v>6</v>
      </c>
      <c r="F1260" t="s">
        <v>19</v>
      </c>
      <c r="G1260" t="s">
        <v>1472</v>
      </c>
      <c r="H1260" t="s">
        <v>1473</v>
      </c>
      <c r="I1260" t="s">
        <v>36</v>
      </c>
      <c r="J1260" t="s">
        <v>42</v>
      </c>
      <c r="K1260" t="s">
        <v>24</v>
      </c>
      <c r="L1260" t="s">
        <v>187</v>
      </c>
      <c r="M1260" s="8">
        <v>0.91300000000000003</v>
      </c>
      <c r="N1260" t="s">
        <v>26</v>
      </c>
      <c r="O1260" s="8">
        <v>0.91300000000000003</v>
      </c>
      <c r="P1260" s="8">
        <f>EXP(-1.363+3.366*LOG(O1260,10))</f>
        <v>0.22401206592984921</v>
      </c>
      <c r="Q1260" s="8">
        <f>(4488342*100)/4914798</f>
        <v>91.323020803703429</v>
      </c>
    </row>
    <row r="1261" spans="1:17" x14ac:dyDescent="0.2">
      <c r="A1261">
        <v>2011</v>
      </c>
      <c r="B1261" t="s">
        <v>1477</v>
      </c>
      <c r="C1261" t="s">
        <v>50</v>
      </c>
      <c r="D1261" t="s">
        <v>76</v>
      </c>
      <c r="E1261">
        <v>5</v>
      </c>
      <c r="F1261" t="s">
        <v>19</v>
      </c>
      <c r="G1261" t="s">
        <v>1472</v>
      </c>
      <c r="H1261" t="s">
        <v>1473</v>
      </c>
      <c r="I1261" t="s">
        <v>22</v>
      </c>
      <c r="J1261" t="s">
        <v>42</v>
      </c>
      <c r="K1261" t="s">
        <v>24</v>
      </c>
      <c r="L1261" t="s">
        <v>187</v>
      </c>
      <c r="M1261" s="8">
        <v>0.72499999999999998</v>
      </c>
      <c r="N1261" t="s">
        <v>26</v>
      </c>
      <c r="O1261" s="8">
        <v>0.72499999999999998</v>
      </c>
      <c r="P1261" s="8">
        <f>EXP(-1.363+3.366*LOG(O1261,10))</f>
        <v>0.15991669271395978</v>
      </c>
      <c r="Q1261" s="8">
        <f>(4488342*100)/4914798</f>
        <v>91.323020803703429</v>
      </c>
    </row>
    <row r="1262" spans="1:17" x14ac:dyDescent="0.2">
      <c r="A1262">
        <v>2011</v>
      </c>
      <c r="B1262" t="s">
        <v>1478</v>
      </c>
      <c r="C1262" t="s">
        <v>52</v>
      </c>
      <c r="D1262" t="s">
        <v>53</v>
      </c>
      <c r="E1262">
        <v>6</v>
      </c>
      <c r="F1262" t="s">
        <v>19</v>
      </c>
      <c r="G1262" t="s">
        <v>1472</v>
      </c>
      <c r="H1262" t="s">
        <v>1473</v>
      </c>
      <c r="I1262" t="s">
        <v>22</v>
      </c>
      <c r="J1262" t="s">
        <v>42</v>
      </c>
      <c r="K1262" t="s">
        <v>24</v>
      </c>
      <c r="L1262" t="s">
        <v>187</v>
      </c>
      <c r="M1262" s="8">
        <v>0.72499999999999998</v>
      </c>
      <c r="N1262" t="s">
        <v>26</v>
      </c>
      <c r="O1262" s="8">
        <v>0.72499999999999998</v>
      </c>
      <c r="P1262" s="8">
        <f>EXP(-1.363+3.366*LOG(O1262,10))</f>
        <v>0.15991669271395978</v>
      </c>
      <c r="Q1262" s="8">
        <f>(1626350*100)/1973941</f>
        <v>82.391013713175823</v>
      </c>
    </row>
    <row r="1263" spans="1:17" x14ac:dyDescent="0.2">
      <c r="A1263">
        <v>2011</v>
      </c>
      <c r="B1263" t="s">
        <v>1479</v>
      </c>
      <c r="C1263" t="s">
        <v>50</v>
      </c>
      <c r="D1263" t="s">
        <v>53</v>
      </c>
      <c r="E1263">
        <v>6</v>
      </c>
      <c r="F1263" t="s">
        <v>19</v>
      </c>
      <c r="G1263" t="s">
        <v>1472</v>
      </c>
      <c r="H1263" t="s">
        <v>1473</v>
      </c>
      <c r="I1263" t="s">
        <v>22</v>
      </c>
      <c r="J1263" t="s">
        <v>42</v>
      </c>
      <c r="K1263" t="s">
        <v>24</v>
      </c>
      <c r="L1263" t="s">
        <v>187</v>
      </c>
      <c r="M1263" s="8">
        <v>0.72499999999999998</v>
      </c>
      <c r="N1263" t="s">
        <v>26</v>
      </c>
      <c r="O1263" s="8">
        <v>0.72499999999999998</v>
      </c>
      <c r="P1263" s="8">
        <f>EXP(-1.363+3.366*LOG(O1263,10))</f>
        <v>0.15991669271395978</v>
      </c>
      <c r="Q1263" s="8">
        <f>(4488342*100)/4914798</f>
        <v>91.323020803703429</v>
      </c>
    </row>
    <row r="1264" spans="1:17" x14ac:dyDescent="0.2">
      <c r="A1264">
        <v>2011</v>
      </c>
      <c r="B1264" t="s">
        <v>1480</v>
      </c>
      <c r="C1264" t="s">
        <v>50</v>
      </c>
      <c r="D1264" t="s">
        <v>55</v>
      </c>
      <c r="E1264">
        <v>6</v>
      </c>
      <c r="F1264" t="s">
        <v>19</v>
      </c>
      <c r="G1264" t="s">
        <v>1472</v>
      </c>
      <c r="H1264" t="s">
        <v>1473</v>
      </c>
      <c r="I1264" t="s">
        <v>22</v>
      </c>
      <c r="J1264" t="s">
        <v>42</v>
      </c>
      <c r="K1264" t="s">
        <v>24</v>
      </c>
      <c r="L1264" t="s">
        <v>187</v>
      </c>
      <c r="M1264" s="8">
        <v>0.72499999999999998</v>
      </c>
      <c r="N1264" t="s">
        <v>26</v>
      </c>
      <c r="O1264" s="8">
        <v>0.72499999999999998</v>
      </c>
      <c r="P1264" s="8">
        <f>EXP(-1.363+3.366*LOG(O1264,10))</f>
        <v>0.15991669271395978</v>
      </c>
      <c r="Q1264" s="8">
        <f>(4488342*100)/4914798</f>
        <v>91.323020803703429</v>
      </c>
    </row>
    <row r="1265" spans="1:17" x14ac:dyDescent="0.2">
      <c r="A1265">
        <v>2011</v>
      </c>
      <c r="B1265" t="s">
        <v>1481</v>
      </c>
      <c r="C1265" t="s">
        <v>17</v>
      </c>
      <c r="D1265" t="s">
        <v>63</v>
      </c>
      <c r="E1265">
        <v>6</v>
      </c>
      <c r="F1265" t="s">
        <v>19</v>
      </c>
      <c r="G1265" t="s">
        <v>1472</v>
      </c>
      <c r="H1265" t="s">
        <v>1473</v>
      </c>
      <c r="I1265" t="s">
        <v>22</v>
      </c>
      <c r="J1265" t="s">
        <v>23</v>
      </c>
      <c r="K1265" t="s">
        <v>24</v>
      </c>
      <c r="L1265" t="s">
        <v>187</v>
      </c>
      <c r="M1265" s="8">
        <v>0.72499999999999998</v>
      </c>
      <c r="N1265" t="s">
        <v>26</v>
      </c>
      <c r="O1265" s="8">
        <v>0.72499999999999998</v>
      </c>
      <c r="P1265" s="8">
        <f>EXP(-1.363+3.366*LOG(O1265,10))</f>
        <v>0.15991669271395978</v>
      </c>
      <c r="Q1265" s="8">
        <f>(605161.6*100)/5834449</f>
        <v>10.372215096918321</v>
      </c>
    </row>
    <row r="1266" spans="1:17" x14ac:dyDescent="0.2">
      <c r="A1266">
        <v>2011</v>
      </c>
      <c r="B1266" t="s">
        <v>1482</v>
      </c>
      <c r="C1266" t="s">
        <v>50</v>
      </c>
      <c r="D1266" t="s">
        <v>95</v>
      </c>
      <c r="E1266">
        <v>7</v>
      </c>
      <c r="F1266" t="s">
        <v>19</v>
      </c>
      <c r="G1266" t="s">
        <v>1472</v>
      </c>
      <c r="H1266" t="s">
        <v>1473</v>
      </c>
      <c r="I1266" t="s">
        <v>22</v>
      </c>
      <c r="J1266" t="s">
        <v>42</v>
      </c>
      <c r="K1266" t="s">
        <v>24</v>
      </c>
      <c r="L1266" t="s">
        <v>187</v>
      </c>
      <c r="M1266" s="8">
        <v>0.72499999999999998</v>
      </c>
      <c r="N1266" t="s">
        <v>26</v>
      </c>
      <c r="O1266" s="8">
        <v>0.72499999999999998</v>
      </c>
      <c r="P1266" s="8">
        <f>EXP(-1.363+3.366*LOG(O1266,10))</f>
        <v>0.15991669271395978</v>
      </c>
      <c r="Q1266" s="8">
        <f>(4488342*100)/4914798</f>
        <v>91.323020803703429</v>
      </c>
    </row>
    <row r="1267" spans="1:17" x14ac:dyDescent="0.2">
      <c r="A1267">
        <v>2011</v>
      </c>
      <c r="B1267" t="s">
        <v>1483</v>
      </c>
      <c r="C1267" t="s">
        <v>50</v>
      </c>
      <c r="D1267" t="s">
        <v>95</v>
      </c>
      <c r="E1267">
        <v>7</v>
      </c>
      <c r="F1267" t="s">
        <v>19</v>
      </c>
      <c r="G1267" t="s">
        <v>1472</v>
      </c>
      <c r="H1267" t="s">
        <v>1473</v>
      </c>
      <c r="I1267" t="s">
        <v>22</v>
      </c>
      <c r="J1267" t="s">
        <v>42</v>
      </c>
      <c r="K1267" t="s">
        <v>24</v>
      </c>
      <c r="L1267" t="s">
        <v>187</v>
      </c>
      <c r="M1267" s="8">
        <v>0.72499999999999998</v>
      </c>
      <c r="N1267" t="s">
        <v>26</v>
      </c>
      <c r="O1267" s="8">
        <v>0.72499999999999998</v>
      </c>
      <c r="P1267" s="8">
        <f>EXP(-1.363+3.366*LOG(O1267,10))</f>
        <v>0.15991669271395978</v>
      </c>
      <c r="Q1267" s="8">
        <f>(4488342*100)/4914798</f>
        <v>91.323020803703429</v>
      </c>
    </row>
    <row r="1268" spans="1:17" x14ac:dyDescent="0.2">
      <c r="A1268">
        <v>2011</v>
      </c>
      <c r="B1268" t="s">
        <v>1484</v>
      </c>
      <c r="C1268" t="s">
        <v>50</v>
      </c>
      <c r="D1268" t="s">
        <v>95</v>
      </c>
      <c r="E1268">
        <v>7</v>
      </c>
      <c r="F1268" t="s">
        <v>19</v>
      </c>
      <c r="G1268" t="s">
        <v>1472</v>
      </c>
      <c r="H1268" t="s">
        <v>1473</v>
      </c>
      <c r="I1268" t="s">
        <v>22</v>
      </c>
      <c r="J1268" t="s">
        <v>42</v>
      </c>
      <c r="K1268" t="s">
        <v>24</v>
      </c>
      <c r="L1268" t="s">
        <v>187</v>
      </c>
      <c r="M1268" s="8">
        <v>0.72499999999999998</v>
      </c>
      <c r="N1268" t="s">
        <v>26</v>
      </c>
      <c r="O1268" s="8">
        <v>0.72499999999999998</v>
      </c>
      <c r="P1268" s="8">
        <f>EXP(-1.363+3.366*LOG(O1268,10))</f>
        <v>0.15991669271395978</v>
      </c>
      <c r="Q1268" s="8">
        <f>(4488342*100)/4914798</f>
        <v>91.323020803703429</v>
      </c>
    </row>
    <row r="1269" spans="1:17" x14ac:dyDescent="0.2">
      <c r="A1269">
        <v>2011</v>
      </c>
      <c r="B1269" t="s">
        <v>1485</v>
      </c>
      <c r="C1269" t="s">
        <v>50</v>
      </c>
      <c r="D1269" t="s">
        <v>95</v>
      </c>
      <c r="E1269">
        <v>7</v>
      </c>
      <c r="F1269" t="s">
        <v>19</v>
      </c>
      <c r="G1269" t="s">
        <v>1472</v>
      </c>
      <c r="H1269" t="s">
        <v>1473</v>
      </c>
      <c r="I1269" t="s">
        <v>22</v>
      </c>
      <c r="J1269" t="s">
        <v>42</v>
      </c>
      <c r="K1269" t="s">
        <v>24</v>
      </c>
      <c r="L1269" t="s">
        <v>187</v>
      </c>
      <c r="M1269" s="8">
        <v>0.72499999999999998</v>
      </c>
      <c r="N1269" t="s">
        <v>26</v>
      </c>
      <c r="O1269" s="8">
        <v>0.72499999999999998</v>
      </c>
      <c r="P1269" s="8">
        <f>EXP(-1.363+3.366*LOG(O1269,10))</f>
        <v>0.15991669271395978</v>
      </c>
      <c r="Q1269" s="8">
        <f>(4488342*100)/4914798</f>
        <v>91.323020803703429</v>
      </c>
    </row>
    <row r="1270" spans="1:17" x14ac:dyDescent="0.2">
      <c r="A1270">
        <v>2011</v>
      </c>
      <c r="B1270" t="s">
        <v>1486</v>
      </c>
      <c r="C1270" t="s">
        <v>50</v>
      </c>
      <c r="D1270" t="s">
        <v>95</v>
      </c>
      <c r="E1270">
        <v>7</v>
      </c>
      <c r="F1270" t="s">
        <v>19</v>
      </c>
      <c r="G1270" t="s">
        <v>1472</v>
      </c>
      <c r="H1270" t="s">
        <v>1473</v>
      </c>
      <c r="I1270" t="s">
        <v>22</v>
      </c>
      <c r="J1270" t="s">
        <v>42</v>
      </c>
      <c r="K1270" t="s">
        <v>24</v>
      </c>
      <c r="L1270" t="s">
        <v>187</v>
      </c>
      <c r="M1270" s="8">
        <v>0.72499999999999998</v>
      </c>
      <c r="N1270" t="s">
        <v>26</v>
      </c>
      <c r="O1270" s="8">
        <v>0.72499999999999998</v>
      </c>
      <c r="P1270" s="8">
        <f>EXP(-1.363+3.366*LOG(O1270,10))</f>
        <v>0.15991669271395978</v>
      </c>
      <c r="Q1270" s="8">
        <f>(4488342*100)/4914798</f>
        <v>91.323020803703429</v>
      </c>
    </row>
    <row r="1271" spans="1:17" x14ac:dyDescent="0.2">
      <c r="A1271">
        <v>2011</v>
      </c>
      <c r="B1271" t="s">
        <v>1487</v>
      </c>
      <c r="C1271" t="s">
        <v>50</v>
      </c>
      <c r="D1271" t="s">
        <v>95</v>
      </c>
      <c r="E1271">
        <v>7</v>
      </c>
      <c r="F1271" t="s">
        <v>19</v>
      </c>
      <c r="G1271" t="s">
        <v>1472</v>
      </c>
      <c r="H1271" t="s">
        <v>1473</v>
      </c>
      <c r="I1271" t="s">
        <v>22</v>
      </c>
      <c r="J1271" t="s">
        <v>42</v>
      </c>
      <c r="K1271" t="s">
        <v>24</v>
      </c>
      <c r="L1271" t="s">
        <v>187</v>
      </c>
      <c r="M1271" s="8">
        <v>0.72499999999999998</v>
      </c>
      <c r="N1271" t="s">
        <v>26</v>
      </c>
      <c r="O1271" s="8">
        <v>0.72499999999999998</v>
      </c>
      <c r="P1271" s="8">
        <f>EXP(-1.363+3.366*LOG(O1271,10))</f>
        <v>0.15991669271395978</v>
      </c>
      <c r="Q1271" s="8">
        <f>(4488342*100)/4914798</f>
        <v>91.323020803703429</v>
      </c>
    </row>
    <row r="1272" spans="1:17" x14ac:dyDescent="0.2">
      <c r="A1272">
        <v>2011</v>
      </c>
      <c r="B1272" t="s">
        <v>1488</v>
      </c>
      <c r="C1272" t="s">
        <v>50</v>
      </c>
      <c r="D1272" t="s">
        <v>95</v>
      </c>
      <c r="E1272">
        <v>7</v>
      </c>
      <c r="F1272" t="s">
        <v>19</v>
      </c>
      <c r="G1272" t="s">
        <v>1472</v>
      </c>
      <c r="H1272" t="s">
        <v>1473</v>
      </c>
      <c r="I1272" t="s">
        <v>22</v>
      </c>
      <c r="J1272" t="s">
        <v>42</v>
      </c>
      <c r="K1272" t="s">
        <v>24</v>
      </c>
      <c r="L1272" t="s">
        <v>187</v>
      </c>
      <c r="M1272" s="8">
        <v>0.72499999999999998</v>
      </c>
      <c r="N1272" t="s">
        <v>26</v>
      </c>
      <c r="O1272" s="8">
        <v>0.72499999999999998</v>
      </c>
      <c r="P1272" s="8">
        <f>EXP(-1.363+3.366*LOG(O1272,10))</f>
        <v>0.15991669271395978</v>
      </c>
      <c r="Q1272" s="8">
        <f>(4488342*100)/4914798</f>
        <v>91.323020803703429</v>
      </c>
    </row>
    <row r="1273" spans="1:17" x14ac:dyDescent="0.2">
      <c r="A1273">
        <v>2011</v>
      </c>
      <c r="B1273" t="s">
        <v>1489</v>
      </c>
      <c r="C1273" t="s">
        <v>50</v>
      </c>
      <c r="D1273" t="s">
        <v>95</v>
      </c>
      <c r="E1273">
        <v>7</v>
      </c>
      <c r="F1273" t="s">
        <v>19</v>
      </c>
      <c r="G1273" t="s">
        <v>1472</v>
      </c>
      <c r="H1273" t="s">
        <v>1473</v>
      </c>
      <c r="I1273" t="s">
        <v>22</v>
      </c>
      <c r="J1273" t="s">
        <v>42</v>
      </c>
      <c r="K1273" t="s">
        <v>24</v>
      </c>
      <c r="L1273" t="s">
        <v>187</v>
      </c>
      <c r="M1273" s="8">
        <v>0.72499999999999998</v>
      </c>
      <c r="N1273" t="s">
        <v>26</v>
      </c>
      <c r="O1273" s="8">
        <v>0.72499999999999998</v>
      </c>
      <c r="P1273" s="8">
        <f>EXP(-1.363+3.366*LOG(O1273,10))</f>
        <v>0.15991669271395978</v>
      </c>
      <c r="Q1273" s="8">
        <f>(4488342*100)/4914798</f>
        <v>91.323020803703429</v>
      </c>
    </row>
    <row r="1274" spans="1:17" x14ac:dyDescent="0.2">
      <c r="A1274">
        <v>2011</v>
      </c>
      <c r="B1274" t="s">
        <v>1490</v>
      </c>
      <c r="C1274" t="s">
        <v>50</v>
      </c>
      <c r="D1274" t="s">
        <v>95</v>
      </c>
      <c r="E1274">
        <v>7</v>
      </c>
      <c r="F1274" t="s">
        <v>19</v>
      </c>
      <c r="G1274" t="s">
        <v>1472</v>
      </c>
      <c r="H1274" t="s">
        <v>1473</v>
      </c>
      <c r="I1274" t="s">
        <v>22</v>
      </c>
      <c r="J1274" t="s">
        <v>42</v>
      </c>
      <c r="K1274" t="s">
        <v>24</v>
      </c>
      <c r="L1274" t="s">
        <v>187</v>
      </c>
      <c r="M1274" s="8">
        <v>0.72499999999999998</v>
      </c>
      <c r="N1274" t="s">
        <v>26</v>
      </c>
      <c r="O1274" s="8">
        <v>0.72499999999999998</v>
      </c>
      <c r="P1274" s="8">
        <f>EXP(-1.363+3.366*LOG(O1274,10))</f>
        <v>0.15991669271395978</v>
      </c>
      <c r="Q1274" s="8">
        <f>(4488342*100)/4914798</f>
        <v>91.323020803703429</v>
      </c>
    </row>
    <row r="1275" spans="1:17" x14ac:dyDescent="0.2">
      <c r="A1275">
        <v>2011</v>
      </c>
      <c r="B1275" t="s">
        <v>1491</v>
      </c>
      <c r="C1275" t="s">
        <v>50</v>
      </c>
      <c r="D1275" t="s">
        <v>95</v>
      </c>
      <c r="E1275">
        <v>7</v>
      </c>
      <c r="F1275" t="s">
        <v>19</v>
      </c>
      <c r="G1275" t="s">
        <v>1472</v>
      </c>
      <c r="H1275" t="s">
        <v>1473</v>
      </c>
      <c r="I1275" t="s">
        <v>22</v>
      </c>
      <c r="J1275" t="s">
        <v>42</v>
      </c>
      <c r="K1275" t="s">
        <v>24</v>
      </c>
      <c r="L1275" t="s">
        <v>187</v>
      </c>
      <c r="M1275" s="8">
        <v>0.72499999999999998</v>
      </c>
      <c r="N1275" t="s">
        <v>26</v>
      </c>
      <c r="O1275" s="8">
        <v>0.72499999999999998</v>
      </c>
      <c r="P1275" s="8">
        <f>EXP(-1.363+3.366*LOG(O1275,10))</f>
        <v>0.15991669271395978</v>
      </c>
      <c r="Q1275" s="8">
        <f>(4488342*100)/4914798</f>
        <v>91.323020803703429</v>
      </c>
    </row>
    <row r="1276" spans="1:17" x14ac:dyDescent="0.2">
      <c r="A1276">
        <v>2011</v>
      </c>
      <c r="B1276" t="s">
        <v>1492</v>
      </c>
      <c r="C1276" t="s">
        <v>50</v>
      </c>
      <c r="D1276" t="s">
        <v>95</v>
      </c>
      <c r="E1276">
        <v>7</v>
      </c>
      <c r="F1276" t="s">
        <v>19</v>
      </c>
      <c r="G1276" t="s">
        <v>1472</v>
      </c>
      <c r="H1276" t="s">
        <v>1473</v>
      </c>
      <c r="I1276" t="s">
        <v>22</v>
      </c>
      <c r="J1276" t="s">
        <v>42</v>
      </c>
      <c r="K1276" t="s">
        <v>24</v>
      </c>
      <c r="L1276" t="s">
        <v>187</v>
      </c>
      <c r="M1276" s="8">
        <v>0.72499999999999998</v>
      </c>
      <c r="N1276" t="s">
        <v>26</v>
      </c>
      <c r="O1276" s="8">
        <v>0.72499999999999998</v>
      </c>
      <c r="P1276" s="8">
        <f>EXP(-1.363+3.366*LOG(O1276,10))</f>
        <v>0.15991669271395978</v>
      </c>
      <c r="Q1276" s="8">
        <f>(4488342*100)/4914798</f>
        <v>91.323020803703429</v>
      </c>
    </row>
    <row r="1277" spans="1:17" x14ac:dyDescent="0.2">
      <c r="A1277">
        <v>2011</v>
      </c>
      <c r="B1277" t="s">
        <v>1493</v>
      </c>
      <c r="C1277" t="s">
        <v>50</v>
      </c>
      <c r="D1277" t="s">
        <v>95</v>
      </c>
      <c r="E1277">
        <v>7</v>
      </c>
      <c r="F1277" t="s">
        <v>19</v>
      </c>
      <c r="G1277" t="s">
        <v>1472</v>
      </c>
      <c r="H1277" t="s">
        <v>1473</v>
      </c>
      <c r="I1277" t="s">
        <v>22</v>
      </c>
      <c r="J1277" t="s">
        <v>42</v>
      </c>
      <c r="K1277" t="s">
        <v>24</v>
      </c>
      <c r="L1277" t="s">
        <v>187</v>
      </c>
      <c r="M1277" s="8">
        <v>0.72499999999999998</v>
      </c>
      <c r="N1277" t="s">
        <v>26</v>
      </c>
      <c r="O1277" s="8">
        <v>0.72499999999999998</v>
      </c>
      <c r="P1277" s="8">
        <f>EXP(-1.363+3.366*LOG(O1277,10))</f>
        <v>0.15991669271395978</v>
      </c>
      <c r="Q1277" s="8">
        <f>(4488342*100)/4914798</f>
        <v>91.323020803703429</v>
      </c>
    </row>
    <row r="1278" spans="1:17" x14ac:dyDescent="0.2">
      <c r="A1278">
        <v>2011</v>
      </c>
      <c r="B1278" t="s">
        <v>1494</v>
      </c>
      <c r="C1278" t="s">
        <v>50</v>
      </c>
      <c r="D1278" t="s">
        <v>95</v>
      </c>
      <c r="E1278">
        <v>7</v>
      </c>
      <c r="F1278" t="s">
        <v>19</v>
      </c>
      <c r="G1278" t="s">
        <v>1472</v>
      </c>
      <c r="H1278" t="s">
        <v>1473</v>
      </c>
      <c r="I1278" t="s">
        <v>22</v>
      </c>
      <c r="J1278" t="s">
        <v>42</v>
      </c>
      <c r="K1278" t="s">
        <v>24</v>
      </c>
      <c r="L1278" t="s">
        <v>187</v>
      </c>
      <c r="M1278" s="8">
        <v>0.72499999999999998</v>
      </c>
      <c r="N1278" t="s">
        <v>26</v>
      </c>
      <c r="O1278" s="8">
        <v>0.72499999999999998</v>
      </c>
      <c r="P1278" s="8">
        <f>EXP(-1.363+3.366*LOG(O1278,10))</f>
        <v>0.15991669271395978</v>
      </c>
      <c r="Q1278" s="8">
        <f>(4488342*100)/4914798</f>
        <v>91.323020803703429</v>
      </c>
    </row>
    <row r="1279" spans="1:17" x14ac:dyDescent="0.2">
      <c r="A1279">
        <v>2011</v>
      </c>
      <c r="B1279" t="s">
        <v>1495</v>
      </c>
      <c r="C1279" t="s">
        <v>50</v>
      </c>
      <c r="D1279" t="s">
        <v>95</v>
      </c>
      <c r="E1279">
        <v>7</v>
      </c>
      <c r="F1279" t="s">
        <v>19</v>
      </c>
      <c r="G1279" t="s">
        <v>1472</v>
      </c>
      <c r="H1279" t="s">
        <v>1473</v>
      </c>
      <c r="I1279" t="s">
        <v>22</v>
      </c>
      <c r="J1279" t="s">
        <v>42</v>
      </c>
      <c r="K1279" t="s">
        <v>24</v>
      </c>
      <c r="L1279" t="s">
        <v>187</v>
      </c>
      <c r="M1279" s="8">
        <v>0.72499999999999998</v>
      </c>
      <c r="N1279" t="s">
        <v>26</v>
      </c>
      <c r="O1279" s="8">
        <v>0.72499999999999998</v>
      </c>
      <c r="P1279" s="8">
        <f>EXP(-1.363+3.366*LOG(O1279,10))</f>
        <v>0.15991669271395978</v>
      </c>
      <c r="Q1279" s="8">
        <f>(4488342*100)/4914798</f>
        <v>91.323020803703429</v>
      </c>
    </row>
    <row r="1280" spans="1:17" x14ac:dyDescent="0.2">
      <c r="A1280">
        <v>2011</v>
      </c>
      <c r="B1280" t="s">
        <v>1496</v>
      </c>
      <c r="C1280" t="s">
        <v>50</v>
      </c>
      <c r="D1280" t="s">
        <v>95</v>
      </c>
      <c r="E1280">
        <v>7</v>
      </c>
      <c r="F1280" t="s">
        <v>19</v>
      </c>
      <c r="G1280" t="s">
        <v>1472</v>
      </c>
      <c r="H1280" t="s">
        <v>1473</v>
      </c>
      <c r="I1280" t="s">
        <v>22</v>
      </c>
      <c r="J1280" t="s">
        <v>42</v>
      </c>
      <c r="K1280" t="s">
        <v>24</v>
      </c>
      <c r="L1280" t="s">
        <v>187</v>
      </c>
      <c r="M1280" s="8">
        <v>0.72499999999999998</v>
      </c>
      <c r="N1280" t="s">
        <v>26</v>
      </c>
      <c r="O1280" s="8">
        <v>0.72499999999999998</v>
      </c>
      <c r="P1280" s="8">
        <f>EXP(-1.363+3.366*LOG(O1280,10))</f>
        <v>0.15991669271395978</v>
      </c>
      <c r="Q1280" s="8">
        <f>(4488342*100)/4914798</f>
        <v>91.323020803703429</v>
      </c>
    </row>
    <row r="1281" spans="1:17" x14ac:dyDescent="0.2">
      <c r="A1281">
        <v>2011</v>
      </c>
      <c r="B1281" t="s">
        <v>1497</v>
      </c>
      <c r="C1281" t="s">
        <v>50</v>
      </c>
      <c r="D1281" t="s">
        <v>95</v>
      </c>
      <c r="E1281">
        <v>7</v>
      </c>
      <c r="F1281" t="s">
        <v>19</v>
      </c>
      <c r="G1281" t="s">
        <v>1472</v>
      </c>
      <c r="H1281" t="s">
        <v>1473</v>
      </c>
      <c r="I1281" t="s">
        <v>22</v>
      </c>
      <c r="J1281" t="s">
        <v>42</v>
      </c>
      <c r="K1281" t="s">
        <v>24</v>
      </c>
      <c r="L1281" t="s">
        <v>187</v>
      </c>
      <c r="M1281" s="8">
        <v>0.72499999999999998</v>
      </c>
      <c r="N1281" t="s">
        <v>26</v>
      </c>
      <c r="O1281" s="8">
        <v>0.72499999999999998</v>
      </c>
      <c r="P1281" s="8">
        <f>EXP(-1.363+3.366*LOG(O1281,10))</f>
        <v>0.15991669271395978</v>
      </c>
      <c r="Q1281" s="8">
        <f>(4488342*100)/4914798</f>
        <v>91.323020803703429</v>
      </c>
    </row>
    <row r="1282" spans="1:17" x14ac:dyDescent="0.2">
      <c r="A1282">
        <v>2011</v>
      </c>
      <c r="B1282" t="s">
        <v>1498</v>
      </c>
      <c r="C1282" t="s">
        <v>50</v>
      </c>
      <c r="D1282" t="s">
        <v>95</v>
      </c>
      <c r="E1282">
        <v>7</v>
      </c>
      <c r="F1282" t="s">
        <v>19</v>
      </c>
      <c r="G1282" t="s">
        <v>1472</v>
      </c>
      <c r="H1282" t="s">
        <v>1473</v>
      </c>
      <c r="I1282" t="s">
        <v>22</v>
      </c>
      <c r="J1282" t="s">
        <v>42</v>
      </c>
      <c r="K1282" t="s">
        <v>24</v>
      </c>
      <c r="L1282" t="s">
        <v>187</v>
      </c>
      <c r="M1282" s="8">
        <v>0.72499999999999998</v>
      </c>
      <c r="N1282" t="s">
        <v>26</v>
      </c>
      <c r="O1282" s="8">
        <v>0.72499999999999998</v>
      </c>
      <c r="P1282" s="8">
        <f>EXP(-1.363+3.366*LOG(O1282,10))</f>
        <v>0.15991669271395978</v>
      </c>
      <c r="Q1282" s="8">
        <f>(4488342*100)/4914798</f>
        <v>91.323020803703429</v>
      </c>
    </row>
    <row r="1283" spans="1:17" x14ac:dyDescent="0.2">
      <c r="A1283">
        <v>2011</v>
      </c>
      <c r="B1283" t="s">
        <v>1499</v>
      </c>
      <c r="C1283" t="s">
        <v>50</v>
      </c>
      <c r="D1283" t="s">
        <v>95</v>
      </c>
      <c r="E1283">
        <v>7</v>
      </c>
      <c r="F1283" t="s">
        <v>19</v>
      </c>
      <c r="G1283" t="s">
        <v>1472</v>
      </c>
      <c r="H1283" t="s">
        <v>1473</v>
      </c>
      <c r="I1283" t="s">
        <v>22</v>
      </c>
      <c r="J1283" t="s">
        <v>42</v>
      </c>
      <c r="K1283" t="s">
        <v>24</v>
      </c>
      <c r="L1283" t="s">
        <v>187</v>
      </c>
      <c r="M1283" s="8">
        <v>0.72499999999999998</v>
      </c>
      <c r="N1283" t="s">
        <v>26</v>
      </c>
      <c r="O1283" s="8">
        <v>0.72499999999999998</v>
      </c>
      <c r="P1283" s="8">
        <f>EXP(-1.363+3.366*LOG(O1283,10))</f>
        <v>0.15991669271395978</v>
      </c>
      <c r="Q1283" s="8">
        <f>(4488342*100)/4914798</f>
        <v>91.323020803703429</v>
      </c>
    </row>
    <row r="1284" spans="1:17" x14ac:dyDescent="0.2">
      <c r="A1284">
        <v>2011</v>
      </c>
      <c r="B1284" t="s">
        <v>1500</v>
      </c>
      <c r="C1284" t="s">
        <v>50</v>
      </c>
      <c r="D1284" t="s">
        <v>95</v>
      </c>
      <c r="E1284">
        <v>7</v>
      </c>
      <c r="F1284" t="s">
        <v>19</v>
      </c>
      <c r="G1284" t="s">
        <v>1472</v>
      </c>
      <c r="H1284" t="s">
        <v>1473</v>
      </c>
      <c r="I1284" t="s">
        <v>22</v>
      </c>
      <c r="J1284" t="s">
        <v>42</v>
      </c>
      <c r="K1284" t="s">
        <v>24</v>
      </c>
      <c r="L1284" t="s">
        <v>187</v>
      </c>
      <c r="M1284" s="8">
        <v>0.72499999999999998</v>
      </c>
      <c r="N1284" t="s">
        <v>26</v>
      </c>
      <c r="O1284" s="8">
        <v>0.72499999999999998</v>
      </c>
      <c r="P1284" s="8">
        <f>EXP(-1.363+3.366*LOG(O1284,10))</f>
        <v>0.15991669271395978</v>
      </c>
      <c r="Q1284" s="8">
        <f>(4488342*100)/4914798</f>
        <v>91.323020803703429</v>
      </c>
    </row>
    <row r="1285" spans="1:17" x14ac:dyDescent="0.2">
      <c r="A1285">
        <v>2011</v>
      </c>
      <c r="B1285" t="s">
        <v>1501</v>
      </c>
      <c r="C1285" t="s">
        <v>50</v>
      </c>
      <c r="D1285" t="s">
        <v>95</v>
      </c>
      <c r="E1285">
        <v>7</v>
      </c>
      <c r="F1285" t="s">
        <v>19</v>
      </c>
      <c r="G1285" t="s">
        <v>1472</v>
      </c>
      <c r="H1285" t="s">
        <v>1473</v>
      </c>
      <c r="I1285" t="s">
        <v>22</v>
      </c>
      <c r="J1285" t="s">
        <v>42</v>
      </c>
      <c r="K1285" t="s">
        <v>24</v>
      </c>
      <c r="L1285" t="s">
        <v>187</v>
      </c>
      <c r="M1285" s="8">
        <v>0.72499999999999998</v>
      </c>
      <c r="N1285" t="s">
        <v>26</v>
      </c>
      <c r="O1285" s="8">
        <v>0.72499999999999998</v>
      </c>
      <c r="P1285" s="8">
        <f>EXP(-1.363+3.366*LOG(O1285,10))</f>
        <v>0.15991669271395978</v>
      </c>
      <c r="Q1285" s="8">
        <f>(4488342*100)/4914798</f>
        <v>91.323020803703429</v>
      </c>
    </row>
    <row r="1286" spans="1:17" x14ac:dyDescent="0.2">
      <c r="A1286">
        <v>2011</v>
      </c>
      <c r="B1286" t="s">
        <v>1502</v>
      </c>
      <c r="C1286" t="s">
        <v>50</v>
      </c>
      <c r="D1286" t="s">
        <v>95</v>
      </c>
      <c r="E1286">
        <v>7</v>
      </c>
      <c r="F1286" t="s">
        <v>19</v>
      </c>
      <c r="G1286" t="s">
        <v>1472</v>
      </c>
      <c r="H1286" t="s">
        <v>1473</v>
      </c>
      <c r="I1286" t="s">
        <v>22</v>
      </c>
      <c r="J1286" t="s">
        <v>42</v>
      </c>
      <c r="K1286" t="s">
        <v>24</v>
      </c>
      <c r="L1286" t="s">
        <v>187</v>
      </c>
      <c r="M1286" s="8">
        <v>0.72499999999999998</v>
      </c>
      <c r="N1286" t="s">
        <v>26</v>
      </c>
      <c r="O1286" s="8">
        <v>0.72499999999999998</v>
      </c>
      <c r="P1286" s="8">
        <f>EXP(-1.363+3.366*LOG(O1286,10))</f>
        <v>0.15991669271395978</v>
      </c>
      <c r="Q1286" s="8">
        <f>(4488342*100)/4914798</f>
        <v>91.323020803703429</v>
      </c>
    </row>
    <row r="1287" spans="1:17" x14ac:dyDescent="0.2">
      <c r="A1287">
        <v>2011</v>
      </c>
      <c r="B1287" t="s">
        <v>1503</v>
      </c>
      <c r="C1287" t="s">
        <v>50</v>
      </c>
      <c r="D1287" t="s">
        <v>95</v>
      </c>
      <c r="E1287">
        <v>7</v>
      </c>
      <c r="F1287" t="s">
        <v>19</v>
      </c>
      <c r="G1287" t="s">
        <v>1472</v>
      </c>
      <c r="H1287" t="s">
        <v>1473</v>
      </c>
      <c r="I1287" t="s">
        <v>22</v>
      </c>
      <c r="J1287" t="s">
        <v>42</v>
      </c>
      <c r="K1287" t="s">
        <v>24</v>
      </c>
      <c r="L1287" t="s">
        <v>187</v>
      </c>
      <c r="M1287" s="8">
        <v>0.72499999999999998</v>
      </c>
      <c r="N1287" t="s">
        <v>26</v>
      </c>
      <c r="O1287" s="8">
        <v>0.72499999999999998</v>
      </c>
      <c r="P1287" s="8">
        <f>EXP(-1.363+3.366*LOG(O1287,10))</f>
        <v>0.15991669271395978</v>
      </c>
      <c r="Q1287" s="8">
        <f>(4488342*100)/4914798</f>
        <v>91.323020803703429</v>
      </c>
    </row>
    <row r="1288" spans="1:17" x14ac:dyDescent="0.2">
      <c r="A1288">
        <v>2011</v>
      </c>
      <c r="B1288" t="s">
        <v>1504</v>
      </c>
      <c r="C1288" t="s">
        <v>50</v>
      </c>
      <c r="D1288" t="s">
        <v>95</v>
      </c>
      <c r="E1288">
        <v>7</v>
      </c>
      <c r="F1288" t="s">
        <v>19</v>
      </c>
      <c r="G1288" t="s">
        <v>1472</v>
      </c>
      <c r="H1288" t="s">
        <v>1473</v>
      </c>
      <c r="I1288" t="s">
        <v>22</v>
      </c>
      <c r="J1288" t="s">
        <v>42</v>
      </c>
      <c r="K1288" t="s">
        <v>24</v>
      </c>
      <c r="L1288" t="s">
        <v>187</v>
      </c>
      <c r="M1288" s="8">
        <v>0.72499999999999998</v>
      </c>
      <c r="N1288" t="s">
        <v>26</v>
      </c>
      <c r="O1288" s="8">
        <v>0.72499999999999998</v>
      </c>
      <c r="P1288" s="8">
        <f>EXP(-1.363+3.366*LOG(O1288,10))</f>
        <v>0.15991669271395978</v>
      </c>
      <c r="Q1288" s="8">
        <f>(4488342*100)/4914798</f>
        <v>91.323020803703429</v>
      </c>
    </row>
    <row r="1289" spans="1:17" x14ac:dyDescent="0.2">
      <c r="A1289">
        <v>2011</v>
      </c>
      <c r="B1289" t="s">
        <v>1505</v>
      </c>
      <c r="C1289" t="s">
        <v>50</v>
      </c>
      <c r="D1289" t="s">
        <v>95</v>
      </c>
      <c r="E1289">
        <v>7</v>
      </c>
      <c r="F1289" t="s">
        <v>19</v>
      </c>
      <c r="G1289" t="s">
        <v>1472</v>
      </c>
      <c r="H1289" t="s">
        <v>1473</v>
      </c>
      <c r="I1289" t="s">
        <v>22</v>
      </c>
      <c r="J1289" t="s">
        <v>42</v>
      </c>
      <c r="K1289" t="s">
        <v>24</v>
      </c>
      <c r="L1289" t="s">
        <v>187</v>
      </c>
      <c r="M1289" s="8">
        <v>0.72499999999999998</v>
      </c>
      <c r="N1289" t="s">
        <v>26</v>
      </c>
      <c r="O1289" s="8">
        <v>0.72499999999999998</v>
      </c>
      <c r="P1289" s="8">
        <f>EXP(-1.363+3.366*LOG(O1289,10))</f>
        <v>0.15991669271395978</v>
      </c>
      <c r="Q1289" s="8">
        <f>(4488342*100)/4914798</f>
        <v>91.323020803703429</v>
      </c>
    </row>
    <row r="1290" spans="1:17" x14ac:dyDescent="0.2">
      <c r="A1290">
        <v>2011</v>
      </c>
      <c r="B1290" t="s">
        <v>1506</v>
      </c>
      <c r="C1290" t="s">
        <v>50</v>
      </c>
      <c r="D1290" t="s">
        <v>58</v>
      </c>
      <c r="E1290">
        <v>6</v>
      </c>
      <c r="F1290" t="s">
        <v>19</v>
      </c>
      <c r="G1290" t="s">
        <v>1472</v>
      </c>
      <c r="H1290" t="s">
        <v>1473</v>
      </c>
      <c r="I1290" t="s">
        <v>22</v>
      </c>
      <c r="J1290" t="s">
        <v>42</v>
      </c>
      <c r="K1290" t="s">
        <v>24</v>
      </c>
      <c r="L1290" t="s">
        <v>187</v>
      </c>
      <c r="M1290" s="8">
        <v>0.72499999999999998</v>
      </c>
      <c r="N1290" t="s">
        <v>26</v>
      </c>
      <c r="O1290" s="8">
        <v>0.72499999999999998</v>
      </c>
      <c r="P1290" s="8">
        <f>EXP(-1.363+3.366*LOG(O1290,10))</f>
        <v>0.15991669271395978</v>
      </c>
      <c r="Q1290" s="8">
        <f>(4488342*100)/4914798</f>
        <v>91.323020803703429</v>
      </c>
    </row>
    <row r="1291" spans="1:17" x14ac:dyDescent="0.2">
      <c r="A1291">
        <v>2011</v>
      </c>
      <c r="B1291" t="s">
        <v>1507</v>
      </c>
      <c r="C1291" t="s">
        <v>50</v>
      </c>
      <c r="D1291" t="s">
        <v>53</v>
      </c>
      <c r="E1291">
        <v>6</v>
      </c>
      <c r="F1291" t="s">
        <v>19</v>
      </c>
      <c r="G1291" t="s">
        <v>1472</v>
      </c>
      <c r="H1291" t="s">
        <v>1473</v>
      </c>
      <c r="I1291" t="s">
        <v>22</v>
      </c>
      <c r="J1291" t="s">
        <v>42</v>
      </c>
      <c r="K1291" t="s">
        <v>24</v>
      </c>
      <c r="L1291" t="s">
        <v>187</v>
      </c>
      <c r="M1291" s="8">
        <v>0.72499999999999998</v>
      </c>
      <c r="N1291" t="s">
        <v>26</v>
      </c>
      <c r="O1291" s="8">
        <v>0.72499999999999998</v>
      </c>
      <c r="P1291" s="8">
        <f>EXP(-1.363+3.366*LOG(O1291,10))</f>
        <v>0.15991669271395978</v>
      </c>
      <c r="Q1291" s="8">
        <f>(4488342*100)/4914798</f>
        <v>91.323020803703429</v>
      </c>
    </row>
    <row r="1292" spans="1:17" x14ac:dyDescent="0.2">
      <c r="A1292">
        <v>2011</v>
      </c>
      <c r="B1292" t="s">
        <v>1508</v>
      </c>
      <c r="C1292" t="s">
        <v>50</v>
      </c>
      <c r="D1292" t="s">
        <v>95</v>
      </c>
      <c r="E1292">
        <v>7</v>
      </c>
      <c r="F1292" t="s">
        <v>19</v>
      </c>
      <c r="G1292" t="s">
        <v>1472</v>
      </c>
      <c r="H1292" t="s">
        <v>1509</v>
      </c>
      <c r="I1292" t="s">
        <v>36</v>
      </c>
      <c r="J1292" t="s">
        <v>42</v>
      </c>
      <c r="K1292" t="s">
        <v>24</v>
      </c>
      <c r="L1292" t="s">
        <v>187</v>
      </c>
      <c r="M1292" s="8">
        <v>1.6445000000000001</v>
      </c>
      <c r="N1292" t="s">
        <v>26</v>
      </c>
      <c r="O1292" s="8">
        <v>1.6445000000000001</v>
      </c>
      <c r="P1292" s="8">
        <f>EXP(-1.363+3.366*LOG(O1292,10))</f>
        <v>0.52949584168250452</v>
      </c>
      <c r="Q1292" s="8">
        <f>(4488342*100)/4914798</f>
        <v>91.323020803703429</v>
      </c>
    </row>
    <row r="1293" spans="1:17" x14ac:dyDescent="0.2">
      <c r="A1293">
        <v>2011</v>
      </c>
      <c r="B1293" t="s">
        <v>1510</v>
      </c>
      <c r="C1293" t="s">
        <v>50</v>
      </c>
      <c r="D1293" t="s">
        <v>53</v>
      </c>
      <c r="E1293">
        <v>6</v>
      </c>
      <c r="F1293" t="s">
        <v>19</v>
      </c>
      <c r="G1293" t="s">
        <v>1472</v>
      </c>
      <c r="H1293" t="s">
        <v>1509</v>
      </c>
      <c r="I1293" t="s">
        <v>36</v>
      </c>
      <c r="J1293" t="s">
        <v>42</v>
      </c>
      <c r="K1293" t="s">
        <v>24</v>
      </c>
      <c r="L1293" t="s">
        <v>187</v>
      </c>
      <c r="M1293" s="8">
        <v>1.6445000000000001</v>
      </c>
      <c r="N1293" t="s">
        <v>26</v>
      </c>
      <c r="O1293" s="8">
        <v>1.6445000000000001</v>
      </c>
      <c r="P1293" s="8">
        <f>EXP(-1.363+3.366*LOG(O1293,10))</f>
        <v>0.52949584168250452</v>
      </c>
      <c r="Q1293" s="8">
        <f>(4488342*100)/4914798</f>
        <v>91.323020803703429</v>
      </c>
    </row>
    <row r="1294" spans="1:17" x14ac:dyDescent="0.2">
      <c r="A1294">
        <v>2011</v>
      </c>
      <c r="B1294" t="s">
        <v>1511</v>
      </c>
      <c r="C1294" t="s">
        <v>50</v>
      </c>
      <c r="D1294" t="s">
        <v>55</v>
      </c>
      <c r="E1294">
        <v>6</v>
      </c>
      <c r="F1294" t="s">
        <v>19</v>
      </c>
      <c r="G1294" t="s">
        <v>1512</v>
      </c>
      <c r="H1294" t="s">
        <v>1513</v>
      </c>
      <c r="I1294" t="s">
        <v>22</v>
      </c>
      <c r="J1294" t="s">
        <v>42</v>
      </c>
      <c r="K1294" t="s">
        <v>24</v>
      </c>
      <c r="L1294" t="s">
        <v>187</v>
      </c>
      <c r="M1294" s="8" t="s">
        <v>26</v>
      </c>
      <c r="N1294" t="s">
        <v>26</v>
      </c>
      <c r="O1294" s="8" t="s">
        <v>26</v>
      </c>
      <c r="P1294" s="8" t="s">
        <v>26</v>
      </c>
      <c r="Q1294" s="8">
        <f>(4488342*100)/4914798</f>
        <v>91.323020803703429</v>
      </c>
    </row>
    <row r="1295" spans="1:17" x14ac:dyDescent="0.2">
      <c r="A1295">
        <v>2011</v>
      </c>
      <c r="B1295" t="s">
        <v>1514</v>
      </c>
      <c r="C1295" t="s">
        <v>39</v>
      </c>
      <c r="D1295" t="s">
        <v>73</v>
      </c>
      <c r="E1295">
        <v>5</v>
      </c>
      <c r="F1295" t="s">
        <v>19</v>
      </c>
      <c r="G1295" t="s">
        <v>1512</v>
      </c>
      <c r="H1295" t="s">
        <v>1515</v>
      </c>
      <c r="I1295" t="s">
        <v>22</v>
      </c>
      <c r="J1295" t="s">
        <v>42</v>
      </c>
      <c r="K1295" t="s">
        <v>24</v>
      </c>
      <c r="L1295" t="s">
        <v>187</v>
      </c>
      <c r="M1295" s="8">
        <v>1.477333333</v>
      </c>
      <c r="N1295" t="s">
        <v>26</v>
      </c>
      <c r="O1295" s="8">
        <v>1.477333333</v>
      </c>
      <c r="P1295" s="8">
        <f>EXP(-1.363+3.366*LOG(O1295,10))</f>
        <v>0.45269558398500004</v>
      </c>
      <c r="Q1295" s="8">
        <f>(2375365*100)/2680339</f>
        <v>88.621812390149159</v>
      </c>
    </row>
    <row r="1296" spans="1:17" x14ac:dyDescent="0.2">
      <c r="A1296">
        <v>2011</v>
      </c>
      <c r="B1296" t="s">
        <v>1516</v>
      </c>
      <c r="C1296" t="s">
        <v>50</v>
      </c>
      <c r="D1296" t="s">
        <v>44</v>
      </c>
      <c r="E1296">
        <v>5</v>
      </c>
      <c r="F1296" t="s">
        <v>19</v>
      </c>
      <c r="G1296" t="s">
        <v>1512</v>
      </c>
      <c r="H1296" t="s">
        <v>1515</v>
      </c>
      <c r="I1296" t="s">
        <v>22</v>
      </c>
      <c r="J1296" t="s">
        <v>42</v>
      </c>
      <c r="K1296" t="s">
        <v>24</v>
      </c>
      <c r="L1296" t="s">
        <v>187</v>
      </c>
      <c r="M1296" s="8">
        <v>1.477333333</v>
      </c>
      <c r="N1296" t="s">
        <v>26</v>
      </c>
      <c r="O1296" s="8">
        <v>1.477333333</v>
      </c>
      <c r="P1296" s="8">
        <f>EXP(-1.363+3.366*LOG(O1296,10))</f>
        <v>0.45269558398500004</v>
      </c>
      <c r="Q1296" s="8">
        <f>(4488342*100)/4914798</f>
        <v>91.323020803703429</v>
      </c>
    </row>
    <row r="1297" spans="1:17" x14ac:dyDescent="0.2">
      <c r="A1297">
        <v>2011</v>
      </c>
      <c r="B1297" t="s">
        <v>1517</v>
      </c>
      <c r="C1297" t="s">
        <v>50</v>
      </c>
      <c r="D1297" t="s">
        <v>55</v>
      </c>
      <c r="E1297">
        <v>6</v>
      </c>
      <c r="F1297" t="s">
        <v>19</v>
      </c>
      <c r="G1297" t="s">
        <v>1512</v>
      </c>
      <c r="H1297" t="s">
        <v>1515</v>
      </c>
      <c r="I1297" t="s">
        <v>36</v>
      </c>
      <c r="J1297" t="s">
        <v>42</v>
      </c>
      <c r="K1297" t="s">
        <v>24</v>
      </c>
      <c r="L1297" t="s">
        <v>187</v>
      </c>
      <c r="M1297" s="8">
        <v>1.3580000000000001</v>
      </c>
      <c r="N1297" t="s">
        <v>26</v>
      </c>
      <c r="O1297" s="8">
        <v>1.3580000000000001</v>
      </c>
      <c r="P1297" s="8">
        <f>EXP(-1.363+3.366*LOG(O1297,10))</f>
        <v>0.40025262274215467</v>
      </c>
      <c r="Q1297" s="8">
        <f>(4488342*100)/4914798</f>
        <v>91.323020803703429</v>
      </c>
    </row>
    <row r="1298" spans="1:17" x14ac:dyDescent="0.2">
      <c r="A1298">
        <v>2011</v>
      </c>
      <c r="B1298" t="s">
        <v>1518</v>
      </c>
      <c r="C1298" t="s">
        <v>50</v>
      </c>
      <c r="D1298" t="s">
        <v>55</v>
      </c>
      <c r="E1298">
        <v>6</v>
      </c>
      <c r="F1298" t="s">
        <v>19</v>
      </c>
      <c r="G1298" t="s">
        <v>1512</v>
      </c>
      <c r="H1298" t="s">
        <v>1515</v>
      </c>
      <c r="I1298" t="s">
        <v>36</v>
      </c>
      <c r="J1298" t="s">
        <v>42</v>
      </c>
      <c r="K1298" t="s">
        <v>24</v>
      </c>
      <c r="L1298" t="s">
        <v>187</v>
      </c>
      <c r="M1298" s="8">
        <v>1.3580000000000001</v>
      </c>
      <c r="N1298" t="s">
        <v>26</v>
      </c>
      <c r="O1298" s="8">
        <v>1.3580000000000001</v>
      </c>
      <c r="P1298" s="8">
        <f>EXP(-1.363+3.366*LOG(O1298,10))</f>
        <v>0.40025262274215467</v>
      </c>
      <c r="Q1298" s="8">
        <f>(4488342*100)/4914798</f>
        <v>91.323020803703429</v>
      </c>
    </row>
    <row r="1299" spans="1:17" x14ac:dyDescent="0.2">
      <c r="A1299">
        <v>2011</v>
      </c>
      <c r="B1299" t="s">
        <v>1519</v>
      </c>
      <c r="C1299" t="s">
        <v>50</v>
      </c>
      <c r="D1299" t="s">
        <v>53</v>
      </c>
      <c r="E1299">
        <v>6</v>
      </c>
      <c r="F1299" t="s">
        <v>19</v>
      </c>
      <c r="G1299" t="s">
        <v>1520</v>
      </c>
      <c r="H1299" t="s">
        <v>1521</v>
      </c>
      <c r="I1299" t="s">
        <v>22</v>
      </c>
      <c r="J1299" t="s">
        <v>42</v>
      </c>
      <c r="K1299" t="s">
        <v>24</v>
      </c>
      <c r="L1299" t="s">
        <v>25</v>
      </c>
      <c r="M1299" s="8">
        <v>2.952</v>
      </c>
      <c r="N1299" t="s">
        <v>26</v>
      </c>
      <c r="O1299" s="8">
        <v>2.952</v>
      </c>
      <c r="P1299" s="8">
        <f>EXP(-1.363+3.366*LOG(O1299,10))</f>
        <v>1.2453438103764427</v>
      </c>
      <c r="Q1299" s="8">
        <f>(4488342*100)/4914798</f>
        <v>91.323020803703429</v>
      </c>
    </row>
    <row r="1300" spans="1:17" x14ac:dyDescent="0.2">
      <c r="A1300">
        <v>2011</v>
      </c>
      <c r="B1300" t="s">
        <v>1522</v>
      </c>
      <c r="C1300" t="s">
        <v>39</v>
      </c>
      <c r="D1300" t="s">
        <v>40</v>
      </c>
      <c r="E1300">
        <v>6</v>
      </c>
      <c r="F1300" t="s">
        <v>19</v>
      </c>
      <c r="G1300" t="s">
        <v>1520</v>
      </c>
      <c r="H1300" t="s">
        <v>1521</v>
      </c>
      <c r="I1300" t="s">
        <v>36</v>
      </c>
      <c r="J1300" t="s">
        <v>42</v>
      </c>
      <c r="K1300" t="s">
        <v>24</v>
      </c>
      <c r="L1300" t="s">
        <v>25</v>
      </c>
      <c r="M1300" s="8">
        <v>2.3340000000000001</v>
      </c>
      <c r="N1300" t="s">
        <v>26</v>
      </c>
      <c r="O1300" s="8">
        <v>2.3340000000000001</v>
      </c>
      <c r="P1300" s="8">
        <f>EXP(-1.363+3.366*LOG(O1300,10))</f>
        <v>0.88340410488080767</v>
      </c>
      <c r="Q1300" s="8">
        <f>(2375365*100)/2680339</f>
        <v>88.621812390149159</v>
      </c>
    </row>
    <row r="1301" spans="1:17" x14ac:dyDescent="0.2">
      <c r="A1301">
        <v>2011</v>
      </c>
      <c r="B1301" t="s">
        <v>1523</v>
      </c>
      <c r="C1301" t="s">
        <v>57</v>
      </c>
      <c r="D1301" t="s">
        <v>58</v>
      </c>
      <c r="E1301">
        <v>6</v>
      </c>
      <c r="F1301" t="s">
        <v>19</v>
      </c>
      <c r="G1301" t="s">
        <v>1520</v>
      </c>
      <c r="H1301" t="s">
        <v>1524</v>
      </c>
      <c r="I1301" t="s">
        <v>22</v>
      </c>
      <c r="J1301" t="s">
        <v>31</v>
      </c>
      <c r="K1301" t="s">
        <v>24</v>
      </c>
      <c r="L1301" t="s">
        <v>187</v>
      </c>
      <c r="M1301" s="8">
        <v>3.3079999999999998</v>
      </c>
      <c r="N1301" t="s">
        <v>26</v>
      </c>
      <c r="O1301" s="8">
        <v>3.3079999999999998</v>
      </c>
      <c r="P1301" s="8">
        <f>EXP(-1.363+3.366*LOG(O1301,10))</f>
        <v>1.4708750208302928</v>
      </c>
      <c r="Q1301" s="8">
        <f>(321151.3*100)/5927002</f>
        <v>5.4184442657518925</v>
      </c>
    </row>
    <row r="1302" spans="1:17" x14ac:dyDescent="0.2">
      <c r="A1302">
        <v>2011</v>
      </c>
      <c r="B1302" t="s">
        <v>1525</v>
      </c>
      <c r="C1302" t="s">
        <v>65</v>
      </c>
      <c r="D1302" t="s">
        <v>71</v>
      </c>
      <c r="E1302">
        <v>7</v>
      </c>
      <c r="F1302" t="s">
        <v>19</v>
      </c>
      <c r="G1302" t="s">
        <v>1520</v>
      </c>
      <c r="H1302" t="s">
        <v>1526</v>
      </c>
      <c r="I1302" t="s">
        <v>36</v>
      </c>
      <c r="J1302" t="s">
        <v>66</v>
      </c>
      <c r="K1302" t="s">
        <v>24</v>
      </c>
      <c r="L1302" t="s">
        <v>25</v>
      </c>
      <c r="M1302" s="8">
        <v>3.544</v>
      </c>
      <c r="N1302" t="s">
        <v>26</v>
      </c>
      <c r="O1302" s="8">
        <v>3.544</v>
      </c>
      <c r="P1302" s="8">
        <f>EXP(-1.363+3.366*LOG(O1302,10))</f>
        <v>1.6267689993939691</v>
      </c>
      <c r="Q1302" s="8">
        <f>(1788886*100)/6788946</f>
        <v>26.349981278389901</v>
      </c>
    </row>
    <row r="1303" spans="1:17" x14ac:dyDescent="0.2">
      <c r="A1303">
        <v>2011</v>
      </c>
      <c r="B1303" t="s">
        <v>1527</v>
      </c>
      <c r="C1303" t="s">
        <v>50</v>
      </c>
      <c r="D1303" t="s">
        <v>73</v>
      </c>
      <c r="E1303">
        <v>5</v>
      </c>
      <c r="F1303" t="s">
        <v>19</v>
      </c>
      <c r="G1303" t="s">
        <v>1520</v>
      </c>
      <c r="H1303" t="s">
        <v>1528</v>
      </c>
      <c r="I1303" t="s">
        <v>22</v>
      </c>
      <c r="J1303" t="s">
        <v>42</v>
      </c>
      <c r="K1303" t="s">
        <v>24</v>
      </c>
      <c r="L1303" t="s">
        <v>25</v>
      </c>
      <c r="M1303" s="8">
        <v>3.624333333</v>
      </c>
      <c r="N1303" t="s">
        <v>26</v>
      </c>
      <c r="O1303" s="8">
        <v>3.624333333</v>
      </c>
      <c r="P1303" s="8">
        <f>EXP(-1.363+3.366*LOG(O1303,10))</f>
        <v>1.6809546844949765</v>
      </c>
      <c r="Q1303" s="8">
        <f>(4488342*100)/4914798</f>
        <v>91.323020803703429</v>
      </c>
    </row>
    <row r="1304" spans="1:17" x14ac:dyDescent="0.2">
      <c r="A1304">
        <v>2011</v>
      </c>
      <c r="B1304" t="s">
        <v>1529</v>
      </c>
      <c r="C1304" t="s">
        <v>39</v>
      </c>
      <c r="D1304" t="s">
        <v>76</v>
      </c>
      <c r="E1304">
        <v>5</v>
      </c>
      <c r="F1304" t="s">
        <v>19</v>
      </c>
      <c r="G1304" t="s">
        <v>1520</v>
      </c>
      <c r="H1304" t="s">
        <v>1528</v>
      </c>
      <c r="I1304" t="s">
        <v>36</v>
      </c>
      <c r="J1304" t="s">
        <v>42</v>
      </c>
      <c r="K1304" t="s">
        <v>24</v>
      </c>
      <c r="L1304" t="s">
        <v>25</v>
      </c>
      <c r="M1304" s="8">
        <v>2.2810000000000001</v>
      </c>
      <c r="N1304" t="s">
        <v>26</v>
      </c>
      <c r="O1304" s="8">
        <v>2.2810000000000001</v>
      </c>
      <c r="P1304" s="8">
        <f>EXP(-1.363+3.366*LOG(O1304,10))</f>
        <v>0.8542338533138143</v>
      </c>
      <c r="Q1304" s="8">
        <f>(2375365*100)/2680339</f>
        <v>88.621812390149159</v>
      </c>
    </row>
    <row r="1305" spans="1:17" x14ac:dyDescent="0.2">
      <c r="A1305">
        <v>2011</v>
      </c>
      <c r="B1305" t="s">
        <v>1530</v>
      </c>
      <c r="C1305" t="s">
        <v>52</v>
      </c>
      <c r="D1305" t="s">
        <v>58</v>
      </c>
      <c r="E1305">
        <v>6</v>
      </c>
      <c r="F1305" t="s">
        <v>19</v>
      </c>
      <c r="G1305" t="s">
        <v>1520</v>
      </c>
      <c r="H1305" t="s">
        <v>1528</v>
      </c>
      <c r="I1305" t="s">
        <v>36</v>
      </c>
      <c r="J1305" t="s">
        <v>42</v>
      </c>
      <c r="K1305" t="s">
        <v>24</v>
      </c>
      <c r="L1305" t="s">
        <v>25</v>
      </c>
      <c r="M1305" s="8">
        <v>3.3860000000000001</v>
      </c>
      <c r="N1305" t="s">
        <v>26</v>
      </c>
      <c r="O1305" s="8">
        <v>3.3860000000000001</v>
      </c>
      <c r="P1305" s="8">
        <f>EXP(-1.363+3.366*LOG(O1305,10))</f>
        <v>1.5218493704875904</v>
      </c>
      <c r="Q1305" s="8">
        <f>(1626350*100)/1973941</f>
        <v>82.391013713175823</v>
      </c>
    </row>
    <row r="1306" spans="1:17" x14ac:dyDescent="0.2">
      <c r="A1306">
        <v>2011</v>
      </c>
      <c r="B1306" t="s">
        <v>1531</v>
      </c>
      <c r="C1306" t="s">
        <v>89</v>
      </c>
      <c r="D1306" t="s">
        <v>90</v>
      </c>
      <c r="E1306">
        <v>4</v>
      </c>
      <c r="F1306" t="s">
        <v>19</v>
      </c>
      <c r="G1306" t="s">
        <v>1532</v>
      </c>
      <c r="H1306" t="s">
        <v>1533</v>
      </c>
      <c r="I1306" t="s">
        <v>36</v>
      </c>
      <c r="J1306" t="s">
        <v>66</v>
      </c>
      <c r="K1306" t="s">
        <v>24</v>
      </c>
      <c r="L1306" t="s">
        <v>25</v>
      </c>
      <c r="M1306" s="8">
        <v>2.63</v>
      </c>
      <c r="N1306" t="s">
        <v>26</v>
      </c>
      <c r="O1306" s="8">
        <v>2.63</v>
      </c>
      <c r="P1306" s="8">
        <f>EXP(-1.363+3.366*LOG(O1306,10))</f>
        <v>1.0518715955632558</v>
      </c>
      <c r="Q1306" s="8">
        <f>(61997.93*100)/7298102</f>
        <v>0.84950758430068529</v>
      </c>
    </row>
    <row r="1307" spans="1:17" x14ac:dyDescent="0.2">
      <c r="A1307">
        <v>2011</v>
      </c>
      <c r="B1307" t="s">
        <v>1534</v>
      </c>
      <c r="C1307" t="s">
        <v>39</v>
      </c>
      <c r="D1307" t="s">
        <v>157</v>
      </c>
      <c r="E1307">
        <v>5</v>
      </c>
      <c r="F1307" t="s">
        <v>19</v>
      </c>
      <c r="G1307" t="s">
        <v>1532</v>
      </c>
      <c r="H1307" t="s">
        <v>1533</v>
      </c>
      <c r="I1307" t="s">
        <v>36</v>
      </c>
      <c r="J1307" t="s">
        <v>42</v>
      </c>
      <c r="K1307" t="s">
        <v>24</v>
      </c>
      <c r="L1307" t="s">
        <v>25</v>
      </c>
      <c r="M1307" s="8">
        <v>2.63</v>
      </c>
      <c r="N1307" t="s">
        <v>26</v>
      </c>
      <c r="O1307" s="8">
        <v>2.63</v>
      </c>
      <c r="P1307" s="8">
        <f>EXP(-1.363+3.366*LOG(O1307,10))</f>
        <v>1.0518715955632558</v>
      </c>
      <c r="Q1307" s="8">
        <f>(2375365*100)/2680339</f>
        <v>88.621812390149159</v>
      </c>
    </row>
    <row r="1308" spans="1:17" x14ac:dyDescent="0.2">
      <c r="A1308">
        <v>2011</v>
      </c>
      <c r="B1308" t="s">
        <v>1535</v>
      </c>
      <c r="C1308" t="s">
        <v>65</v>
      </c>
      <c r="D1308" t="s">
        <v>71</v>
      </c>
      <c r="E1308">
        <v>7</v>
      </c>
      <c r="F1308" t="s">
        <v>19</v>
      </c>
      <c r="G1308" t="s">
        <v>1536</v>
      </c>
      <c r="H1308" t="s">
        <v>1515</v>
      </c>
      <c r="I1308" t="s">
        <v>22</v>
      </c>
      <c r="J1308" t="s">
        <v>66</v>
      </c>
      <c r="K1308" t="s">
        <v>24</v>
      </c>
      <c r="L1308" t="s">
        <v>187</v>
      </c>
      <c r="M1308" s="8">
        <v>1.477333333</v>
      </c>
      <c r="N1308" t="s">
        <v>26</v>
      </c>
      <c r="O1308" s="8">
        <v>1.477333333</v>
      </c>
      <c r="P1308" s="8">
        <f>EXP(-1.363+3.366*LOG(O1308,10))</f>
        <v>0.45269558398500004</v>
      </c>
      <c r="Q1308" s="8">
        <f>(1788886*100)/6788946</f>
        <v>26.349981278389901</v>
      </c>
    </row>
    <row r="1309" spans="1:17" x14ac:dyDescent="0.2">
      <c r="A1309">
        <v>2011</v>
      </c>
      <c r="B1309" t="s">
        <v>1537</v>
      </c>
      <c r="C1309" t="s">
        <v>39</v>
      </c>
      <c r="D1309" t="s">
        <v>73</v>
      </c>
      <c r="E1309">
        <v>5</v>
      </c>
      <c r="F1309" t="s">
        <v>19</v>
      </c>
      <c r="G1309" t="s">
        <v>1538</v>
      </c>
      <c r="H1309" t="s">
        <v>26</v>
      </c>
      <c r="I1309" t="s">
        <v>22</v>
      </c>
      <c r="J1309" t="s">
        <v>42</v>
      </c>
      <c r="K1309" t="s">
        <v>24</v>
      </c>
      <c r="L1309" t="s">
        <v>26</v>
      </c>
      <c r="M1309" s="8" t="s">
        <v>26</v>
      </c>
      <c r="N1309" t="s">
        <v>26</v>
      </c>
      <c r="O1309" s="8" t="s">
        <v>26</v>
      </c>
      <c r="P1309" s="8" t="s">
        <v>26</v>
      </c>
      <c r="Q1309" s="8">
        <f>(2375365*100)/2680339</f>
        <v>88.621812390149159</v>
      </c>
    </row>
    <row r="1310" spans="1:17" x14ac:dyDescent="0.2">
      <c r="A1310">
        <v>2014</v>
      </c>
      <c r="B1310" t="s">
        <v>1539</v>
      </c>
      <c r="C1310" t="s">
        <v>1540</v>
      </c>
      <c r="D1310" t="s">
        <v>1541</v>
      </c>
      <c r="E1310">
        <v>5</v>
      </c>
      <c r="F1310" t="s">
        <v>19</v>
      </c>
      <c r="G1310" t="s">
        <v>332</v>
      </c>
      <c r="H1310" t="s">
        <v>1542</v>
      </c>
      <c r="I1310" t="s">
        <v>36</v>
      </c>
      <c r="J1310" t="s">
        <v>42</v>
      </c>
      <c r="K1310" t="s">
        <v>1543</v>
      </c>
      <c r="L1310" t="s">
        <v>25</v>
      </c>
      <c r="M1310" s="8" t="s">
        <v>26</v>
      </c>
      <c r="N1310" t="s">
        <v>26</v>
      </c>
      <c r="O1310" s="8" t="s">
        <v>26</v>
      </c>
      <c r="P1310" s="8" t="s">
        <v>26</v>
      </c>
      <c r="Q1310" s="8">
        <f>(2618262*100)/2995732</f>
        <v>87.399740697766021</v>
      </c>
    </row>
    <row r="1311" spans="1:17" x14ac:dyDescent="0.2">
      <c r="A1311">
        <v>2014</v>
      </c>
      <c r="B1311" t="s">
        <v>1544</v>
      </c>
      <c r="C1311" t="s">
        <v>1540</v>
      </c>
      <c r="D1311" t="s">
        <v>1541</v>
      </c>
      <c r="E1311">
        <v>5</v>
      </c>
      <c r="F1311" t="s">
        <v>19</v>
      </c>
      <c r="G1311" t="s">
        <v>352</v>
      </c>
      <c r="H1311" t="s">
        <v>975</v>
      </c>
      <c r="I1311" t="s">
        <v>22</v>
      </c>
      <c r="J1311" t="s">
        <v>42</v>
      </c>
      <c r="K1311" t="s">
        <v>1543</v>
      </c>
      <c r="L1311" t="s">
        <v>25</v>
      </c>
      <c r="M1311" s="8">
        <v>1.0693333330000001</v>
      </c>
      <c r="N1311" t="s">
        <v>26</v>
      </c>
      <c r="O1311" s="8">
        <v>1.0693333330000001</v>
      </c>
      <c r="P1311" s="8">
        <f>EXP(-1.363+3.366*LOG(O1311,10))</f>
        <v>0.28223780327142356</v>
      </c>
      <c r="Q1311" s="8">
        <f>(2618262*100)/2995732</f>
        <v>87.399740697766021</v>
      </c>
    </row>
    <row r="1312" spans="1:17" x14ac:dyDescent="0.2">
      <c r="A1312">
        <v>2014</v>
      </c>
      <c r="B1312" t="s">
        <v>1545</v>
      </c>
      <c r="C1312" t="s">
        <v>1540</v>
      </c>
      <c r="D1312" t="s">
        <v>1541</v>
      </c>
      <c r="E1312">
        <v>5</v>
      </c>
      <c r="F1312" t="s">
        <v>19</v>
      </c>
      <c r="G1312" t="s">
        <v>352</v>
      </c>
      <c r="H1312" t="s">
        <v>975</v>
      </c>
      <c r="I1312" t="s">
        <v>26</v>
      </c>
      <c r="J1312" t="s">
        <v>42</v>
      </c>
      <c r="K1312" t="s">
        <v>1543</v>
      </c>
      <c r="L1312" t="s">
        <v>25</v>
      </c>
      <c r="M1312" s="8" t="s">
        <v>26</v>
      </c>
      <c r="N1312" t="s">
        <v>26</v>
      </c>
      <c r="O1312" s="8" t="s">
        <v>26</v>
      </c>
      <c r="P1312" s="8" t="s">
        <v>26</v>
      </c>
      <c r="Q1312" s="8">
        <f>(2618262*100)/2995732</f>
        <v>87.399740697766021</v>
      </c>
    </row>
    <row r="1313" spans="1:17" x14ac:dyDescent="0.2">
      <c r="A1313">
        <v>2014</v>
      </c>
      <c r="B1313" t="s">
        <v>1546</v>
      </c>
      <c r="C1313" t="s">
        <v>1547</v>
      </c>
      <c r="D1313" t="s">
        <v>1541</v>
      </c>
      <c r="E1313">
        <v>5</v>
      </c>
      <c r="F1313" t="s">
        <v>19</v>
      </c>
      <c r="G1313" t="s">
        <v>352</v>
      </c>
      <c r="H1313" t="s">
        <v>494</v>
      </c>
      <c r="I1313" t="s">
        <v>22</v>
      </c>
      <c r="J1313" t="s">
        <v>42</v>
      </c>
      <c r="K1313" t="s">
        <v>1543</v>
      </c>
      <c r="L1313" t="s">
        <v>25</v>
      </c>
      <c r="M1313" s="8">
        <v>1.7226666669999999</v>
      </c>
      <c r="N1313" t="s">
        <v>26</v>
      </c>
      <c r="O1313" s="8">
        <v>1.7226666669999999</v>
      </c>
      <c r="P1313" s="8">
        <f>EXP(-1.363+3.366*LOG(O1313,10))</f>
        <v>0.56668788662759551</v>
      </c>
      <c r="Q1313" s="8">
        <f>(3881584*100)/4292409</f>
        <v>90.429034139104644</v>
      </c>
    </row>
    <row r="1314" spans="1:17" x14ac:dyDescent="0.2">
      <c r="A1314">
        <v>2014</v>
      </c>
      <c r="B1314" t="s">
        <v>1548</v>
      </c>
      <c r="C1314" t="s">
        <v>1547</v>
      </c>
      <c r="D1314" t="s">
        <v>1541</v>
      </c>
      <c r="E1314">
        <v>5</v>
      </c>
      <c r="F1314" t="s">
        <v>19</v>
      </c>
      <c r="G1314" t="s">
        <v>352</v>
      </c>
      <c r="H1314" t="s">
        <v>494</v>
      </c>
      <c r="I1314" t="s">
        <v>22</v>
      </c>
      <c r="J1314" t="s">
        <v>42</v>
      </c>
      <c r="K1314" t="s">
        <v>1543</v>
      </c>
      <c r="L1314" t="s">
        <v>25</v>
      </c>
      <c r="M1314" s="8">
        <v>1.7226666669999999</v>
      </c>
      <c r="N1314" t="s">
        <v>26</v>
      </c>
      <c r="O1314" s="8">
        <v>1.7226666669999999</v>
      </c>
      <c r="P1314" s="8">
        <f>EXP(-1.363+3.366*LOG(O1314,10))</f>
        <v>0.56668788662759551</v>
      </c>
      <c r="Q1314" s="8">
        <f>(3881584*100)/4292409</f>
        <v>90.429034139104644</v>
      </c>
    </row>
    <row r="1315" spans="1:17" x14ac:dyDescent="0.2">
      <c r="A1315">
        <v>2014</v>
      </c>
      <c r="B1315" t="s">
        <v>1549</v>
      </c>
      <c r="C1315" t="s">
        <v>1547</v>
      </c>
      <c r="D1315" t="s">
        <v>1541</v>
      </c>
      <c r="E1315">
        <v>5</v>
      </c>
      <c r="F1315" t="s">
        <v>19</v>
      </c>
      <c r="G1315" t="s">
        <v>352</v>
      </c>
      <c r="H1315" t="s">
        <v>1271</v>
      </c>
      <c r="I1315" t="s">
        <v>36</v>
      </c>
      <c r="J1315" t="s">
        <v>42</v>
      </c>
      <c r="K1315" t="s">
        <v>1543</v>
      </c>
      <c r="L1315" t="s">
        <v>25</v>
      </c>
      <c r="M1315" s="8">
        <v>1.3939999999999999</v>
      </c>
      <c r="N1315" t="s">
        <v>26</v>
      </c>
      <c r="O1315" s="8">
        <v>1.3939999999999999</v>
      </c>
      <c r="P1315" s="8">
        <f>EXP(-1.363+3.366*LOG(O1315,10))</f>
        <v>0.41585796657726082</v>
      </c>
      <c r="Q1315" s="8">
        <f>(3881584*100)/4292409</f>
        <v>90.429034139104644</v>
      </c>
    </row>
    <row r="1316" spans="1:17" x14ac:dyDescent="0.2">
      <c r="A1316">
        <v>2014</v>
      </c>
      <c r="B1316" t="s">
        <v>1550</v>
      </c>
      <c r="C1316" t="s">
        <v>1547</v>
      </c>
      <c r="D1316" t="s">
        <v>1541</v>
      </c>
      <c r="E1316">
        <v>5</v>
      </c>
      <c r="F1316" t="s">
        <v>19</v>
      </c>
      <c r="G1316" t="s">
        <v>352</v>
      </c>
      <c r="H1316" t="s">
        <v>1142</v>
      </c>
      <c r="I1316" t="s">
        <v>22</v>
      </c>
      <c r="J1316" t="s">
        <v>42</v>
      </c>
      <c r="K1316" t="s">
        <v>1543</v>
      </c>
      <c r="L1316" t="s">
        <v>25</v>
      </c>
      <c r="M1316" s="8">
        <v>1.1423333330000001</v>
      </c>
      <c r="N1316" t="s">
        <v>26</v>
      </c>
      <c r="O1316" s="8">
        <v>1.1423333330000001</v>
      </c>
      <c r="P1316" s="8">
        <f>EXP(-1.363+3.366*LOG(O1316,10))</f>
        <v>0.31084239358261528</v>
      </c>
      <c r="Q1316" s="8">
        <f>(3881584*100)/4292409</f>
        <v>90.429034139104644</v>
      </c>
    </row>
    <row r="1317" spans="1:17" x14ac:dyDescent="0.2">
      <c r="A1317">
        <v>2014</v>
      </c>
      <c r="B1317" t="s">
        <v>1551</v>
      </c>
      <c r="C1317" t="s">
        <v>1552</v>
      </c>
      <c r="D1317" t="s">
        <v>1541</v>
      </c>
      <c r="E1317">
        <v>5</v>
      </c>
      <c r="F1317" t="s">
        <v>19</v>
      </c>
      <c r="G1317" t="s">
        <v>230</v>
      </c>
      <c r="H1317" t="s">
        <v>259</v>
      </c>
      <c r="I1317" t="s">
        <v>22</v>
      </c>
      <c r="J1317" t="s">
        <v>42</v>
      </c>
      <c r="K1317" t="s">
        <v>1543</v>
      </c>
      <c r="L1317" t="s">
        <v>25</v>
      </c>
      <c r="M1317" s="8">
        <v>4.2283333330000001</v>
      </c>
      <c r="N1317" t="s">
        <v>26</v>
      </c>
      <c r="O1317" s="8">
        <v>4.2283333330000001</v>
      </c>
      <c r="P1317" s="8">
        <f>EXP(-1.363+3.366*LOG(O1317,10))</f>
        <v>2.1057792396965977</v>
      </c>
      <c r="Q1317" s="8">
        <f>(3738946*100)/3915493</f>
        <v>95.491065875995687</v>
      </c>
    </row>
    <row r="1318" spans="1:17" x14ac:dyDescent="0.2">
      <c r="A1318">
        <v>2014</v>
      </c>
      <c r="B1318" t="s">
        <v>1553</v>
      </c>
      <c r="C1318" t="s">
        <v>1540</v>
      </c>
      <c r="D1318" t="s">
        <v>1554</v>
      </c>
      <c r="E1318">
        <v>5</v>
      </c>
      <c r="F1318" t="s">
        <v>19</v>
      </c>
      <c r="G1318" t="s">
        <v>230</v>
      </c>
      <c r="H1318" t="s">
        <v>259</v>
      </c>
      <c r="I1318" t="s">
        <v>22</v>
      </c>
      <c r="J1318" t="s">
        <v>42</v>
      </c>
      <c r="K1318" t="s">
        <v>1543</v>
      </c>
      <c r="L1318" t="s">
        <v>25</v>
      </c>
      <c r="M1318" s="8">
        <v>4.2283333330000001</v>
      </c>
      <c r="N1318" t="s">
        <v>26</v>
      </c>
      <c r="O1318" s="8">
        <v>4.2283333330000001</v>
      </c>
      <c r="P1318" s="8">
        <f>EXP(-1.363+3.366*LOG(O1318,10))</f>
        <v>2.1057792396965977</v>
      </c>
      <c r="Q1318" s="8">
        <f>(2618262*100)/2995732</f>
        <v>87.399740697766021</v>
      </c>
    </row>
    <row r="1319" spans="1:17" x14ac:dyDescent="0.2">
      <c r="A1319">
        <v>2014</v>
      </c>
      <c r="B1319" t="s">
        <v>1555</v>
      </c>
      <c r="C1319" t="s">
        <v>1540</v>
      </c>
      <c r="D1319" t="s">
        <v>1556</v>
      </c>
      <c r="E1319">
        <v>6</v>
      </c>
      <c r="F1319" t="s">
        <v>19</v>
      </c>
      <c r="G1319" t="s">
        <v>352</v>
      </c>
      <c r="H1319" t="s">
        <v>975</v>
      </c>
      <c r="I1319" t="s">
        <v>22</v>
      </c>
      <c r="J1319" t="s">
        <v>42</v>
      </c>
      <c r="K1319" t="s">
        <v>1543</v>
      </c>
      <c r="L1319" t="s">
        <v>25</v>
      </c>
      <c r="M1319" s="8">
        <v>1.0693333330000001</v>
      </c>
      <c r="N1319" t="s">
        <v>26</v>
      </c>
      <c r="O1319" s="8">
        <v>1.0693333330000001</v>
      </c>
      <c r="P1319" s="8">
        <f>EXP(-1.363+3.366*LOG(O1319,10))</f>
        <v>0.28223780327142356</v>
      </c>
      <c r="Q1319" s="8">
        <f>(2618262*100)/2995732</f>
        <v>87.399740697766021</v>
      </c>
    </row>
    <row r="1320" spans="1:17" x14ac:dyDescent="0.2">
      <c r="A1320">
        <v>2014</v>
      </c>
      <c r="B1320" t="s">
        <v>1557</v>
      </c>
      <c r="C1320" t="s">
        <v>1540</v>
      </c>
      <c r="D1320" t="s">
        <v>1558</v>
      </c>
      <c r="E1320">
        <v>6</v>
      </c>
      <c r="F1320" t="s">
        <v>19</v>
      </c>
      <c r="G1320" t="s">
        <v>352</v>
      </c>
      <c r="H1320" t="s">
        <v>747</v>
      </c>
      <c r="I1320" t="s">
        <v>22</v>
      </c>
      <c r="J1320" t="s">
        <v>42</v>
      </c>
      <c r="K1320" t="s">
        <v>1543</v>
      </c>
      <c r="L1320" t="s">
        <v>25</v>
      </c>
      <c r="M1320" s="8">
        <v>1.3726666670000001</v>
      </c>
      <c r="N1320" t="s">
        <v>26</v>
      </c>
      <c r="O1320" s="8">
        <v>1.3726666670000001</v>
      </c>
      <c r="P1320" s="8">
        <f>EXP(-1.363+3.366*LOG(O1320,10))</f>
        <v>0.40658758379567089</v>
      </c>
      <c r="Q1320" s="8">
        <f>(2618262*100)/2995732</f>
        <v>87.399740697766021</v>
      </c>
    </row>
    <row r="1321" spans="1:17" x14ac:dyDescent="0.2">
      <c r="A1321">
        <v>2014</v>
      </c>
      <c r="B1321" t="s">
        <v>1559</v>
      </c>
      <c r="C1321" t="s">
        <v>1540</v>
      </c>
      <c r="D1321" t="s">
        <v>1558</v>
      </c>
      <c r="E1321">
        <v>6</v>
      </c>
      <c r="F1321" t="s">
        <v>19</v>
      </c>
      <c r="G1321" t="s">
        <v>352</v>
      </c>
      <c r="H1321" t="s">
        <v>747</v>
      </c>
      <c r="I1321" t="s">
        <v>22</v>
      </c>
      <c r="J1321" t="s">
        <v>42</v>
      </c>
      <c r="K1321" t="s">
        <v>1543</v>
      </c>
      <c r="L1321" t="s">
        <v>25</v>
      </c>
      <c r="M1321" s="8">
        <v>1.3726666670000001</v>
      </c>
      <c r="N1321" t="s">
        <v>26</v>
      </c>
      <c r="O1321" s="8">
        <v>1.3726666670000001</v>
      </c>
      <c r="P1321" s="8">
        <f>EXP(-1.363+3.366*LOG(O1321,10))</f>
        <v>0.40658758379567089</v>
      </c>
      <c r="Q1321" s="8">
        <f>(2618262*100)/2995732</f>
        <v>87.399740697766021</v>
      </c>
    </row>
    <row r="1322" spans="1:17" x14ac:dyDescent="0.2">
      <c r="A1322">
        <v>2014</v>
      </c>
      <c r="B1322" t="s">
        <v>1560</v>
      </c>
      <c r="C1322" t="s">
        <v>1540</v>
      </c>
      <c r="D1322" t="s">
        <v>1558</v>
      </c>
      <c r="E1322">
        <v>6</v>
      </c>
      <c r="F1322" t="s">
        <v>19</v>
      </c>
      <c r="G1322" t="s">
        <v>20</v>
      </c>
      <c r="H1322" t="s">
        <v>149</v>
      </c>
      <c r="I1322" t="s">
        <v>22</v>
      </c>
      <c r="J1322" t="s">
        <v>42</v>
      </c>
      <c r="K1322" t="s">
        <v>1543</v>
      </c>
      <c r="L1322" t="s">
        <v>25</v>
      </c>
      <c r="M1322" s="8">
        <v>1.45</v>
      </c>
      <c r="N1322" t="s">
        <v>26</v>
      </c>
      <c r="O1322" s="8">
        <v>1.45</v>
      </c>
      <c r="P1322" s="8">
        <f>EXP(-1.363+3.366*LOG(O1322,10))</f>
        <v>0.44050419760124854</v>
      </c>
      <c r="Q1322" s="8">
        <f>(2618262*100)/2995732</f>
        <v>87.399740697766021</v>
      </c>
    </row>
    <row r="1323" spans="1:17" x14ac:dyDescent="0.2">
      <c r="A1323">
        <v>2014</v>
      </c>
      <c r="B1323" t="s">
        <v>1561</v>
      </c>
      <c r="C1323" t="s">
        <v>1540</v>
      </c>
      <c r="D1323" t="s">
        <v>1558</v>
      </c>
      <c r="E1323">
        <v>6</v>
      </c>
      <c r="F1323" t="s">
        <v>19</v>
      </c>
      <c r="G1323" t="s">
        <v>352</v>
      </c>
      <c r="H1323" t="s">
        <v>747</v>
      </c>
      <c r="I1323" t="s">
        <v>22</v>
      </c>
      <c r="J1323" t="s">
        <v>42</v>
      </c>
      <c r="K1323" t="s">
        <v>1543</v>
      </c>
      <c r="L1323" t="s">
        <v>25</v>
      </c>
      <c r="M1323" s="8">
        <v>1.3726666670000001</v>
      </c>
      <c r="N1323" t="s">
        <v>26</v>
      </c>
      <c r="O1323" s="8">
        <v>1.3726666670000001</v>
      </c>
      <c r="P1323" s="8">
        <f>EXP(-1.363+3.366*LOG(O1323,10))</f>
        <v>0.40658758379567089</v>
      </c>
      <c r="Q1323" s="8">
        <f>(2618262*100)/2995732</f>
        <v>87.399740697766021</v>
      </c>
    </row>
    <row r="1324" spans="1:17" x14ac:dyDescent="0.2">
      <c r="A1324">
        <v>2014</v>
      </c>
      <c r="B1324" t="s">
        <v>1562</v>
      </c>
      <c r="C1324" t="s">
        <v>1540</v>
      </c>
      <c r="D1324" t="s">
        <v>1558</v>
      </c>
      <c r="E1324">
        <v>6</v>
      </c>
      <c r="F1324" t="s">
        <v>19</v>
      </c>
      <c r="G1324" t="s">
        <v>352</v>
      </c>
      <c r="H1324" t="s">
        <v>747</v>
      </c>
      <c r="I1324" t="s">
        <v>22</v>
      </c>
      <c r="J1324" t="s">
        <v>42</v>
      </c>
      <c r="K1324" t="s">
        <v>1543</v>
      </c>
      <c r="L1324" t="s">
        <v>25</v>
      </c>
      <c r="M1324" s="8">
        <v>1.3726666670000001</v>
      </c>
      <c r="N1324" t="s">
        <v>26</v>
      </c>
      <c r="O1324" s="8">
        <v>1.3726666670000001</v>
      </c>
      <c r="P1324" s="8">
        <f>EXP(-1.363+3.366*LOG(O1324,10))</f>
        <v>0.40658758379567089</v>
      </c>
      <c r="Q1324" s="8">
        <f>(2618262*100)/2995732</f>
        <v>87.399740697766021</v>
      </c>
    </row>
    <row r="1325" spans="1:17" x14ac:dyDescent="0.2">
      <c r="A1325">
        <v>2014</v>
      </c>
      <c r="B1325" t="s">
        <v>1563</v>
      </c>
      <c r="C1325" t="s">
        <v>1540</v>
      </c>
      <c r="D1325" t="s">
        <v>1558</v>
      </c>
      <c r="E1325">
        <v>6</v>
      </c>
      <c r="F1325" t="s">
        <v>19</v>
      </c>
      <c r="G1325" t="s">
        <v>352</v>
      </c>
      <c r="H1325" t="s">
        <v>747</v>
      </c>
      <c r="I1325" t="s">
        <v>22</v>
      </c>
      <c r="J1325" t="s">
        <v>42</v>
      </c>
      <c r="K1325" t="s">
        <v>1543</v>
      </c>
      <c r="L1325" t="s">
        <v>25</v>
      </c>
      <c r="M1325" s="8">
        <v>1.3726666670000001</v>
      </c>
      <c r="N1325" t="s">
        <v>26</v>
      </c>
      <c r="O1325" s="8">
        <v>1.3726666670000001</v>
      </c>
      <c r="P1325" s="8">
        <f>EXP(-1.363+3.366*LOG(O1325,10))</f>
        <v>0.40658758379567089</v>
      </c>
      <c r="Q1325" s="8">
        <f>(2618262*100)/2995732</f>
        <v>87.399740697766021</v>
      </c>
    </row>
    <row r="1326" spans="1:17" x14ac:dyDescent="0.2">
      <c r="A1326">
        <v>2014</v>
      </c>
      <c r="B1326" t="s">
        <v>1564</v>
      </c>
      <c r="C1326" t="s">
        <v>1540</v>
      </c>
      <c r="D1326" t="s">
        <v>1558</v>
      </c>
      <c r="E1326">
        <v>6</v>
      </c>
      <c r="F1326" t="s">
        <v>19</v>
      </c>
      <c r="G1326" t="s">
        <v>26</v>
      </c>
      <c r="H1326" t="s">
        <v>26</v>
      </c>
      <c r="I1326" t="s">
        <v>36</v>
      </c>
      <c r="J1326" t="s">
        <v>42</v>
      </c>
      <c r="K1326" t="s">
        <v>1543</v>
      </c>
      <c r="L1326" t="s">
        <v>26</v>
      </c>
      <c r="M1326" s="8" t="s">
        <v>26</v>
      </c>
      <c r="N1326" t="s">
        <v>26</v>
      </c>
      <c r="O1326" s="8" t="s">
        <v>26</v>
      </c>
      <c r="P1326" s="8" t="s">
        <v>26</v>
      </c>
      <c r="Q1326" s="8">
        <f>(2618262*100)/2995732</f>
        <v>87.399740697766021</v>
      </c>
    </row>
    <row r="1327" spans="1:17" x14ac:dyDescent="0.2">
      <c r="A1327">
        <v>2014</v>
      </c>
      <c r="B1327" t="s">
        <v>1565</v>
      </c>
      <c r="C1327" t="s">
        <v>1540</v>
      </c>
      <c r="D1327" t="s">
        <v>1558</v>
      </c>
      <c r="E1327">
        <v>6</v>
      </c>
      <c r="F1327" t="s">
        <v>19</v>
      </c>
      <c r="G1327" t="s">
        <v>20</v>
      </c>
      <c r="H1327" t="s">
        <v>149</v>
      </c>
      <c r="I1327" t="s">
        <v>36</v>
      </c>
      <c r="J1327" t="s">
        <v>42</v>
      </c>
      <c r="K1327" t="s">
        <v>1543</v>
      </c>
      <c r="L1327" t="s">
        <v>25</v>
      </c>
      <c r="M1327" s="8">
        <v>1.032666667</v>
      </c>
      <c r="N1327" t="s">
        <v>26</v>
      </c>
      <c r="O1327" s="8">
        <v>1.032666667</v>
      </c>
      <c r="P1327" s="8">
        <f>EXP(-1.363+3.366*LOG(O1327,10))</f>
        <v>0.26820327281159584</v>
      </c>
      <c r="Q1327" s="8">
        <f>(2618262*100)/2995732</f>
        <v>87.399740697766021</v>
      </c>
    </row>
    <row r="1328" spans="1:17" x14ac:dyDescent="0.2">
      <c r="A1328">
        <v>2014</v>
      </c>
      <c r="B1328" t="s">
        <v>1566</v>
      </c>
      <c r="C1328" t="s">
        <v>1540</v>
      </c>
      <c r="D1328" t="s">
        <v>1554</v>
      </c>
      <c r="E1328">
        <v>6</v>
      </c>
      <c r="F1328" t="s">
        <v>19</v>
      </c>
      <c r="G1328" t="s">
        <v>20</v>
      </c>
      <c r="H1328" t="s">
        <v>45</v>
      </c>
      <c r="I1328" t="s">
        <v>36</v>
      </c>
      <c r="J1328" t="s">
        <v>42</v>
      </c>
      <c r="K1328" t="s">
        <v>1543</v>
      </c>
      <c r="L1328" t="s">
        <v>25</v>
      </c>
      <c r="M1328" s="8">
        <v>1.5053333330000001</v>
      </c>
      <c r="N1328" t="s">
        <v>26</v>
      </c>
      <c r="O1328" s="8">
        <v>1.5053333330000001</v>
      </c>
      <c r="P1328" s="8">
        <f>EXP(-1.363+3.366*LOG(O1328,10))</f>
        <v>0.46529279523463329</v>
      </c>
      <c r="Q1328" s="8">
        <f>(2618262*100)/2995732</f>
        <v>87.399740697766021</v>
      </c>
    </row>
    <row r="1329" spans="1:17" x14ac:dyDescent="0.2">
      <c r="A1329" s="6">
        <v>2014</v>
      </c>
      <c r="B1329" s="6" t="s">
        <v>1567</v>
      </c>
      <c r="C1329" s="6" t="s">
        <v>1540</v>
      </c>
      <c r="D1329" s="6" t="s">
        <v>1568</v>
      </c>
      <c r="E1329" s="6">
        <v>6</v>
      </c>
      <c r="F1329" s="6" t="s">
        <v>19</v>
      </c>
      <c r="G1329" s="6" t="s">
        <v>1569</v>
      </c>
      <c r="H1329" s="6" t="s">
        <v>149</v>
      </c>
      <c r="I1329" s="6" t="s">
        <v>36</v>
      </c>
      <c r="J1329" s="6" t="s">
        <v>42</v>
      </c>
      <c r="K1329" s="6" t="s">
        <v>1543</v>
      </c>
      <c r="L1329" s="6" t="s">
        <v>25</v>
      </c>
      <c r="M1329" s="9">
        <v>1.032666667</v>
      </c>
      <c r="N1329" s="6" t="s">
        <v>26</v>
      </c>
      <c r="O1329" s="9">
        <v>1.032666667</v>
      </c>
      <c r="P1329" s="9">
        <f>EXP(-1.363+3.366*LOG(O1329,10))</f>
        <v>0.26820327281159584</v>
      </c>
      <c r="Q1329" s="8">
        <f>(2618262*100)/2995732</f>
        <v>87.399740697766021</v>
      </c>
    </row>
    <row r="1330" spans="1:17" x14ac:dyDescent="0.2">
      <c r="A1330">
        <v>2014</v>
      </c>
      <c r="B1330" t="s">
        <v>1570</v>
      </c>
      <c r="C1330" t="s">
        <v>1540</v>
      </c>
      <c r="D1330" t="s">
        <v>1568</v>
      </c>
      <c r="E1330">
        <v>6</v>
      </c>
      <c r="F1330" t="s">
        <v>19</v>
      </c>
      <c r="G1330" t="s">
        <v>1569</v>
      </c>
      <c r="H1330" t="s">
        <v>975</v>
      </c>
      <c r="I1330" t="s">
        <v>22</v>
      </c>
      <c r="J1330" t="s">
        <v>42</v>
      </c>
      <c r="K1330" t="s">
        <v>1543</v>
      </c>
      <c r="L1330" t="s">
        <v>25</v>
      </c>
      <c r="M1330" s="8">
        <v>1.0693333330000001</v>
      </c>
      <c r="N1330" t="s">
        <v>26</v>
      </c>
      <c r="O1330" s="8">
        <v>1.0693333330000001</v>
      </c>
      <c r="P1330" s="8">
        <f>EXP(-1.363+3.366*LOG(O1330,10))</f>
        <v>0.28223780327142356</v>
      </c>
      <c r="Q1330" s="8">
        <f>(2618262*100)/2995732</f>
        <v>87.399740697766021</v>
      </c>
    </row>
    <row r="1331" spans="1:17" x14ac:dyDescent="0.2">
      <c r="A1331">
        <v>2014</v>
      </c>
      <c r="B1331" t="s">
        <v>1571</v>
      </c>
      <c r="C1331" t="s">
        <v>1540</v>
      </c>
      <c r="D1331" t="s">
        <v>1568</v>
      </c>
      <c r="E1331">
        <v>6</v>
      </c>
      <c r="F1331" t="s">
        <v>19</v>
      </c>
      <c r="G1331" t="s">
        <v>352</v>
      </c>
      <c r="H1331" t="s">
        <v>494</v>
      </c>
      <c r="I1331" t="s">
        <v>22</v>
      </c>
      <c r="J1331" t="s">
        <v>42</v>
      </c>
      <c r="K1331" t="s">
        <v>1543</v>
      </c>
      <c r="L1331" t="s">
        <v>25</v>
      </c>
      <c r="M1331" s="8">
        <v>1.7226666669999999</v>
      </c>
      <c r="N1331" t="s">
        <v>26</v>
      </c>
      <c r="O1331" s="8">
        <v>1.7226666669999999</v>
      </c>
      <c r="P1331" s="8">
        <f>EXP(-1.363+3.366*LOG(O1331,10))</f>
        <v>0.56668788662759551</v>
      </c>
      <c r="Q1331" s="8">
        <f>(2618262*100)/2995732</f>
        <v>87.399740697766021</v>
      </c>
    </row>
    <row r="1332" spans="1:17" x14ac:dyDescent="0.2">
      <c r="A1332">
        <v>2014</v>
      </c>
      <c r="B1332" t="s">
        <v>1572</v>
      </c>
      <c r="C1332" t="s">
        <v>1540</v>
      </c>
      <c r="D1332" t="s">
        <v>1568</v>
      </c>
      <c r="E1332">
        <v>6</v>
      </c>
      <c r="F1332" t="s">
        <v>19</v>
      </c>
      <c r="G1332" t="s">
        <v>352</v>
      </c>
      <c r="H1332" t="s">
        <v>747</v>
      </c>
      <c r="I1332" t="s">
        <v>22</v>
      </c>
      <c r="J1332" t="s">
        <v>42</v>
      </c>
      <c r="K1332" t="s">
        <v>1543</v>
      </c>
      <c r="L1332" t="s">
        <v>25</v>
      </c>
      <c r="M1332" s="8">
        <v>1.3726666670000001</v>
      </c>
      <c r="N1332" t="s">
        <v>26</v>
      </c>
      <c r="O1332" s="8">
        <v>1.3726666670000001</v>
      </c>
      <c r="P1332" s="8">
        <f>EXP(-1.363+3.366*LOG(O1332,10))</f>
        <v>0.40658758379567089</v>
      </c>
      <c r="Q1332" s="8">
        <f>(2618262*100)/2995732</f>
        <v>87.399740697766021</v>
      </c>
    </row>
    <row r="1333" spans="1:17" x14ac:dyDescent="0.2">
      <c r="A1333">
        <v>2014</v>
      </c>
      <c r="B1333" t="s">
        <v>1573</v>
      </c>
      <c r="C1333" t="s">
        <v>1540</v>
      </c>
      <c r="D1333" t="s">
        <v>1568</v>
      </c>
      <c r="E1333">
        <v>6</v>
      </c>
      <c r="F1333" t="s">
        <v>19</v>
      </c>
      <c r="G1333" t="s">
        <v>20</v>
      </c>
      <c r="H1333" t="s">
        <v>149</v>
      </c>
      <c r="I1333" t="s">
        <v>36</v>
      </c>
      <c r="J1333" t="s">
        <v>42</v>
      </c>
      <c r="K1333" t="s">
        <v>1543</v>
      </c>
      <c r="L1333" t="s">
        <v>25</v>
      </c>
      <c r="M1333" s="8">
        <v>1.032666667</v>
      </c>
      <c r="N1333" t="s">
        <v>26</v>
      </c>
      <c r="O1333" s="8">
        <v>1.032666667</v>
      </c>
      <c r="P1333" s="8">
        <f>EXP(-1.363+3.366*LOG(O1333,10))</f>
        <v>0.26820327281159584</v>
      </c>
      <c r="Q1333" s="8">
        <f>(2618262*100)/2995732</f>
        <v>87.399740697766021</v>
      </c>
    </row>
    <row r="1334" spans="1:17" x14ac:dyDescent="0.2">
      <c r="A1334">
        <v>2014</v>
      </c>
      <c r="B1334" t="s">
        <v>1574</v>
      </c>
      <c r="C1334" t="s">
        <v>1540</v>
      </c>
      <c r="D1334" t="s">
        <v>1568</v>
      </c>
      <c r="E1334">
        <v>6</v>
      </c>
      <c r="F1334" t="s">
        <v>19</v>
      </c>
      <c r="G1334" t="s">
        <v>20</v>
      </c>
      <c r="H1334" t="s">
        <v>1575</v>
      </c>
      <c r="I1334" t="s">
        <v>36</v>
      </c>
      <c r="J1334" t="s">
        <v>42</v>
      </c>
      <c r="K1334" t="s">
        <v>1543</v>
      </c>
      <c r="L1334" t="s">
        <v>26</v>
      </c>
      <c r="M1334" s="8" t="s">
        <v>26</v>
      </c>
      <c r="N1334" t="s">
        <v>26</v>
      </c>
      <c r="O1334" s="8" t="s">
        <v>26</v>
      </c>
      <c r="P1334" s="8" t="s">
        <v>26</v>
      </c>
      <c r="Q1334" s="8">
        <f>(2618262*100)/2995732</f>
        <v>87.399740697766021</v>
      </c>
    </row>
    <row r="1335" spans="1:17" x14ac:dyDescent="0.2">
      <c r="A1335">
        <v>2014</v>
      </c>
      <c r="B1335" t="s">
        <v>1576</v>
      </c>
      <c r="C1335" t="s">
        <v>1540</v>
      </c>
      <c r="D1335" t="s">
        <v>1568</v>
      </c>
      <c r="E1335">
        <v>6</v>
      </c>
      <c r="F1335" t="s">
        <v>19</v>
      </c>
      <c r="G1335" t="s">
        <v>352</v>
      </c>
      <c r="H1335" t="s">
        <v>747</v>
      </c>
      <c r="I1335" t="s">
        <v>22</v>
      </c>
      <c r="J1335" t="s">
        <v>42</v>
      </c>
      <c r="K1335" t="s">
        <v>1543</v>
      </c>
      <c r="L1335" t="s">
        <v>25</v>
      </c>
      <c r="M1335" s="8">
        <v>1.3726666670000001</v>
      </c>
      <c r="N1335" t="s">
        <v>26</v>
      </c>
      <c r="O1335" s="8">
        <v>1.3726666670000001</v>
      </c>
      <c r="P1335" s="8">
        <f>EXP(-1.363+3.366*LOG(O1335,10))</f>
        <v>0.40658758379567089</v>
      </c>
      <c r="Q1335" s="8">
        <f>(2618262*100)/2995732</f>
        <v>87.399740697766021</v>
      </c>
    </row>
    <row r="1336" spans="1:17" x14ac:dyDescent="0.2">
      <c r="A1336">
        <v>2014</v>
      </c>
      <c r="B1336" t="s">
        <v>1577</v>
      </c>
      <c r="C1336" t="s">
        <v>1540</v>
      </c>
      <c r="D1336" t="s">
        <v>1568</v>
      </c>
      <c r="E1336">
        <v>6</v>
      </c>
      <c r="F1336" t="s">
        <v>19</v>
      </c>
      <c r="G1336" t="s">
        <v>20</v>
      </c>
      <c r="H1336" t="s">
        <v>149</v>
      </c>
      <c r="I1336" t="s">
        <v>36</v>
      </c>
      <c r="J1336" t="s">
        <v>42</v>
      </c>
      <c r="K1336" t="s">
        <v>1543</v>
      </c>
      <c r="L1336" t="s">
        <v>25</v>
      </c>
      <c r="M1336" s="8">
        <v>1.032666667</v>
      </c>
      <c r="N1336" t="s">
        <v>26</v>
      </c>
      <c r="O1336" s="8">
        <v>1.032666667</v>
      </c>
      <c r="P1336" s="8">
        <f>EXP(-1.363+3.366*LOG(O1336,10))</f>
        <v>0.26820327281159584</v>
      </c>
      <c r="Q1336" s="8">
        <f>(2618262*100)/2995732</f>
        <v>87.399740697766021</v>
      </c>
    </row>
    <row r="1337" spans="1:17" x14ac:dyDescent="0.2">
      <c r="A1337">
        <v>2014</v>
      </c>
      <c r="B1337" t="s">
        <v>1578</v>
      </c>
      <c r="C1337" t="s">
        <v>1540</v>
      </c>
      <c r="D1337" t="s">
        <v>1579</v>
      </c>
      <c r="E1337">
        <v>6</v>
      </c>
      <c r="F1337" t="s">
        <v>19</v>
      </c>
      <c r="G1337" t="s">
        <v>1520</v>
      </c>
      <c r="H1337" t="s">
        <v>1528</v>
      </c>
      <c r="I1337" t="s">
        <v>22</v>
      </c>
      <c r="J1337" t="s">
        <v>42</v>
      </c>
      <c r="K1337" t="s">
        <v>1543</v>
      </c>
      <c r="L1337" t="s">
        <v>25</v>
      </c>
      <c r="M1337" s="8">
        <v>3.624333333</v>
      </c>
      <c r="N1337" t="s">
        <v>26</v>
      </c>
      <c r="O1337" s="8">
        <v>3.624333333</v>
      </c>
      <c r="P1337" s="8">
        <f>EXP(-1.363+3.366*LOG(O1337,10))</f>
        <v>1.6809546844949765</v>
      </c>
      <c r="Q1337" s="8">
        <f>(2618262*100)/2995732</f>
        <v>87.399740697766021</v>
      </c>
    </row>
    <row r="1338" spans="1:17" x14ac:dyDescent="0.2">
      <c r="A1338">
        <v>2014</v>
      </c>
      <c r="B1338" t="s">
        <v>1580</v>
      </c>
      <c r="C1338" t="s">
        <v>1540</v>
      </c>
      <c r="D1338" t="s">
        <v>1579</v>
      </c>
      <c r="E1338">
        <v>6</v>
      </c>
      <c r="F1338" t="s">
        <v>19</v>
      </c>
      <c r="G1338" t="s">
        <v>352</v>
      </c>
      <c r="H1338" t="s">
        <v>975</v>
      </c>
      <c r="I1338" t="s">
        <v>22</v>
      </c>
      <c r="J1338" t="s">
        <v>42</v>
      </c>
      <c r="K1338" t="s">
        <v>1543</v>
      </c>
      <c r="L1338" t="s">
        <v>25</v>
      </c>
      <c r="M1338" s="8">
        <v>1.0693333330000001</v>
      </c>
      <c r="N1338" t="s">
        <v>26</v>
      </c>
      <c r="O1338" s="8">
        <v>1.0693333330000001</v>
      </c>
      <c r="P1338" s="8">
        <f>EXP(-1.363+3.366*LOG(O1338,10))</f>
        <v>0.28223780327142356</v>
      </c>
      <c r="Q1338" s="8">
        <f>(2618262*100)/2995732</f>
        <v>87.399740697766021</v>
      </c>
    </row>
    <row r="1339" spans="1:17" x14ac:dyDescent="0.2">
      <c r="A1339">
        <v>2014</v>
      </c>
      <c r="B1339" t="s">
        <v>1581</v>
      </c>
      <c r="C1339" t="s">
        <v>1540</v>
      </c>
      <c r="D1339" t="s">
        <v>1579</v>
      </c>
      <c r="E1339">
        <v>6</v>
      </c>
      <c r="F1339" t="s">
        <v>19</v>
      </c>
      <c r="G1339" t="s">
        <v>20</v>
      </c>
      <c r="H1339" t="s">
        <v>149</v>
      </c>
      <c r="I1339" t="s">
        <v>36</v>
      </c>
      <c r="J1339" t="s">
        <v>42</v>
      </c>
      <c r="K1339" t="s">
        <v>1543</v>
      </c>
      <c r="L1339" t="s">
        <v>25</v>
      </c>
      <c r="M1339" s="8">
        <v>1.032666667</v>
      </c>
      <c r="N1339" t="s">
        <v>26</v>
      </c>
      <c r="O1339" s="8">
        <v>1.032666667</v>
      </c>
      <c r="P1339" s="8">
        <f>EXP(-1.363+3.366*LOG(O1339,10))</f>
        <v>0.26820327281159584</v>
      </c>
      <c r="Q1339" s="8">
        <f>(2618262*100)/2995732</f>
        <v>87.399740697766021</v>
      </c>
    </row>
    <row r="1340" spans="1:17" x14ac:dyDescent="0.2">
      <c r="A1340">
        <v>2014</v>
      </c>
      <c r="B1340" t="s">
        <v>1582</v>
      </c>
      <c r="C1340" t="s">
        <v>1540</v>
      </c>
      <c r="D1340" t="s">
        <v>1579</v>
      </c>
      <c r="E1340">
        <v>6</v>
      </c>
      <c r="F1340" t="s">
        <v>19</v>
      </c>
      <c r="G1340" t="s">
        <v>352</v>
      </c>
      <c r="H1340" t="s">
        <v>975</v>
      </c>
      <c r="I1340" t="s">
        <v>22</v>
      </c>
      <c r="J1340" t="s">
        <v>42</v>
      </c>
      <c r="K1340" t="s">
        <v>1543</v>
      </c>
      <c r="L1340" t="s">
        <v>25</v>
      </c>
      <c r="M1340" s="8">
        <v>1.0693333330000001</v>
      </c>
      <c r="N1340" t="s">
        <v>26</v>
      </c>
      <c r="O1340" s="8">
        <v>1.0693333330000001</v>
      </c>
      <c r="P1340" s="8">
        <f>EXP(-1.363+3.366*LOG(O1340,10))</f>
        <v>0.28223780327142356</v>
      </c>
      <c r="Q1340" s="8">
        <f>(2618262*100)/2995732</f>
        <v>87.399740697766021</v>
      </c>
    </row>
    <row r="1341" spans="1:17" x14ac:dyDescent="0.2">
      <c r="A1341">
        <v>2014</v>
      </c>
      <c r="B1341" t="s">
        <v>1583</v>
      </c>
      <c r="C1341" t="s">
        <v>1540</v>
      </c>
      <c r="D1341" t="s">
        <v>1579</v>
      </c>
      <c r="E1341">
        <v>6</v>
      </c>
      <c r="F1341" t="s">
        <v>19</v>
      </c>
      <c r="G1341" t="s">
        <v>20</v>
      </c>
      <c r="H1341" t="s">
        <v>149</v>
      </c>
      <c r="I1341" t="s">
        <v>36</v>
      </c>
      <c r="J1341" t="s">
        <v>42</v>
      </c>
      <c r="K1341" t="s">
        <v>1543</v>
      </c>
      <c r="L1341" t="s">
        <v>25</v>
      </c>
      <c r="M1341" s="8">
        <v>1.032666667</v>
      </c>
      <c r="N1341" t="s">
        <v>26</v>
      </c>
      <c r="O1341" s="8">
        <v>1.032666667</v>
      </c>
      <c r="P1341" s="8">
        <f>EXP(-1.363+3.366*LOG(O1341,10))</f>
        <v>0.26820327281159584</v>
      </c>
      <c r="Q1341" s="8">
        <f>(2618262*100)/2995732</f>
        <v>87.399740697766021</v>
      </c>
    </row>
    <row r="1342" spans="1:17" x14ac:dyDescent="0.2">
      <c r="A1342">
        <v>2014</v>
      </c>
      <c r="B1342" t="s">
        <v>1584</v>
      </c>
      <c r="C1342" t="s">
        <v>1540</v>
      </c>
      <c r="D1342" t="s">
        <v>1579</v>
      </c>
      <c r="E1342">
        <v>6</v>
      </c>
      <c r="F1342" t="s">
        <v>19</v>
      </c>
      <c r="G1342" t="s">
        <v>352</v>
      </c>
      <c r="H1342" t="s">
        <v>1585</v>
      </c>
      <c r="I1342" t="s">
        <v>22</v>
      </c>
      <c r="J1342" t="s">
        <v>42</v>
      </c>
      <c r="K1342" t="s">
        <v>1543</v>
      </c>
      <c r="L1342" t="s">
        <v>25</v>
      </c>
      <c r="M1342" s="8">
        <v>0.77266666699999997</v>
      </c>
      <c r="N1342" t="s">
        <v>26</v>
      </c>
      <c r="O1342" s="8">
        <v>0.77266666699999997</v>
      </c>
      <c r="P1342" s="8">
        <f>EXP(-1.363+3.366*LOG(O1342,10))</f>
        <v>0.17551718302452865</v>
      </c>
      <c r="Q1342" s="8">
        <f>(2618262*100)/2995732</f>
        <v>87.399740697766021</v>
      </c>
    </row>
    <row r="1343" spans="1:17" x14ac:dyDescent="0.2">
      <c r="A1343">
        <v>2014</v>
      </c>
      <c r="B1343" t="s">
        <v>1586</v>
      </c>
      <c r="C1343" t="s">
        <v>1540</v>
      </c>
      <c r="D1343" t="s">
        <v>1579</v>
      </c>
      <c r="E1343">
        <v>6</v>
      </c>
      <c r="F1343" t="s">
        <v>19</v>
      </c>
      <c r="G1343" t="s">
        <v>230</v>
      </c>
      <c r="H1343" t="s">
        <v>235</v>
      </c>
      <c r="I1343" t="s">
        <v>22</v>
      </c>
      <c r="J1343" t="s">
        <v>42</v>
      </c>
      <c r="K1343" t="s">
        <v>1543</v>
      </c>
      <c r="L1343" t="s">
        <v>25</v>
      </c>
      <c r="M1343" s="8">
        <v>3.4609999999999999</v>
      </c>
      <c r="N1343" t="s">
        <v>26</v>
      </c>
      <c r="O1343" s="8">
        <v>3.4609999999999999</v>
      </c>
      <c r="P1343" s="8">
        <f>EXP(-1.363+3.366*LOG(O1343,10))</f>
        <v>1.5713774371592206</v>
      </c>
      <c r="Q1343" s="8">
        <f>(2618262*100)/2995732</f>
        <v>87.399740697766021</v>
      </c>
    </row>
    <row r="1344" spans="1:17" x14ac:dyDescent="0.2">
      <c r="A1344">
        <v>2014</v>
      </c>
      <c r="B1344" t="s">
        <v>1587</v>
      </c>
      <c r="C1344" t="s">
        <v>1540</v>
      </c>
      <c r="D1344" t="s">
        <v>1579</v>
      </c>
      <c r="E1344">
        <v>6</v>
      </c>
      <c r="F1344" t="s">
        <v>19</v>
      </c>
      <c r="G1344" t="s">
        <v>1520</v>
      </c>
      <c r="H1344" t="s">
        <v>1528</v>
      </c>
      <c r="I1344" t="s">
        <v>36</v>
      </c>
      <c r="J1344" t="s">
        <v>42</v>
      </c>
      <c r="K1344" t="s">
        <v>1543</v>
      </c>
      <c r="L1344" t="s">
        <v>25</v>
      </c>
      <c r="M1344" s="8">
        <v>3.3860000000000001</v>
      </c>
      <c r="N1344" t="s">
        <v>26</v>
      </c>
      <c r="O1344" s="8">
        <v>3.3860000000000001</v>
      </c>
      <c r="P1344" s="8">
        <f>EXP(-1.363+3.366*LOG(O1344,10))</f>
        <v>1.5218493704875904</v>
      </c>
      <c r="Q1344" s="8">
        <f>(2618262*100)/2995732</f>
        <v>87.399740697766021</v>
      </c>
    </row>
    <row r="1345" spans="1:17" x14ac:dyDescent="0.2">
      <c r="A1345">
        <v>2014</v>
      </c>
      <c r="B1345" t="s">
        <v>1588</v>
      </c>
      <c r="C1345" t="s">
        <v>1540</v>
      </c>
      <c r="D1345" t="s">
        <v>1579</v>
      </c>
      <c r="E1345">
        <v>6</v>
      </c>
      <c r="F1345" t="s">
        <v>19</v>
      </c>
      <c r="G1345" t="s">
        <v>20</v>
      </c>
      <c r="H1345" t="s">
        <v>45</v>
      </c>
      <c r="I1345" t="s">
        <v>22</v>
      </c>
      <c r="J1345" t="s">
        <v>42</v>
      </c>
      <c r="K1345" t="s">
        <v>1543</v>
      </c>
      <c r="L1345" t="s">
        <v>25</v>
      </c>
      <c r="M1345" s="8">
        <v>1.903333333</v>
      </c>
      <c r="N1345" t="s">
        <v>26</v>
      </c>
      <c r="O1345" s="8">
        <v>1.903333333</v>
      </c>
      <c r="P1345" s="8">
        <f>EXP(-1.363+3.366*LOG(O1345,10))</f>
        <v>0.65563371760507783</v>
      </c>
      <c r="Q1345" s="8">
        <f>(2618262*100)/2995732</f>
        <v>87.399740697766021</v>
      </c>
    </row>
    <row r="1346" spans="1:17" x14ac:dyDescent="0.2">
      <c r="A1346">
        <v>2014</v>
      </c>
      <c r="B1346" t="s">
        <v>1589</v>
      </c>
      <c r="C1346" t="s">
        <v>1540</v>
      </c>
      <c r="D1346" t="s">
        <v>1556</v>
      </c>
      <c r="E1346">
        <v>6</v>
      </c>
      <c r="F1346" t="s">
        <v>19</v>
      </c>
      <c r="G1346" t="s">
        <v>352</v>
      </c>
      <c r="H1346" t="s">
        <v>494</v>
      </c>
      <c r="I1346" t="s">
        <v>22</v>
      </c>
      <c r="J1346" t="s">
        <v>42</v>
      </c>
      <c r="K1346" t="s">
        <v>1543</v>
      </c>
      <c r="L1346" t="s">
        <v>25</v>
      </c>
      <c r="M1346" s="8">
        <v>1.7226666669999999</v>
      </c>
      <c r="N1346" t="s">
        <v>26</v>
      </c>
      <c r="O1346" s="8">
        <v>1.7226666669999999</v>
      </c>
      <c r="P1346" s="8">
        <f>EXP(-1.363+3.366*LOG(O1346,10))</f>
        <v>0.56668788662759551</v>
      </c>
      <c r="Q1346" s="8">
        <f>(2618262*100)/2995732</f>
        <v>87.399740697766021</v>
      </c>
    </row>
    <row r="1347" spans="1:17" x14ac:dyDescent="0.2">
      <c r="A1347">
        <v>2014</v>
      </c>
      <c r="B1347" t="s">
        <v>1590</v>
      </c>
      <c r="C1347" t="s">
        <v>1540</v>
      </c>
      <c r="D1347" t="s">
        <v>1579</v>
      </c>
      <c r="E1347">
        <v>6</v>
      </c>
      <c r="F1347" t="s">
        <v>19</v>
      </c>
      <c r="G1347" t="s">
        <v>20</v>
      </c>
      <c r="H1347" t="s">
        <v>149</v>
      </c>
      <c r="I1347" t="s">
        <v>36</v>
      </c>
      <c r="J1347" t="s">
        <v>42</v>
      </c>
      <c r="K1347" t="s">
        <v>1543</v>
      </c>
      <c r="L1347" t="s">
        <v>25</v>
      </c>
      <c r="M1347" s="8">
        <v>1.032666667</v>
      </c>
      <c r="N1347" t="s">
        <v>26</v>
      </c>
      <c r="O1347" s="8">
        <v>1.032666667</v>
      </c>
      <c r="P1347" s="8">
        <f>EXP(-1.363+3.366*LOG(O1347,10))</f>
        <v>0.26820327281159584</v>
      </c>
      <c r="Q1347" s="8">
        <f>(2618262*100)/2995732</f>
        <v>87.399740697766021</v>
      </c>
    </row>
    <row r="1348" spans="1:17" x14ac:dyDescent="0.2">
      <c r="A1348">
        <v>2014</v>
      </c>
      <c r="B1348" t="s">
        <v>1591</v>
      </c>
      <c r="C1348" t="s">
        <v>1540</v>
      </c>
      <c r="D1348" t="s">
        <v>1579</v>
      </c>
      <c r="E1348">
        <v>6</v>
      </c>
      <c r="F1348" t="s">
        <v>19</v>
      </c>
      <c r="G1348" t="s">
        <v>20</v>
      </c>
      <c r="H1348" t="s">
        <v>149</v>
      </c>
      <c r="I1348" t="s">
        <v>36</v>
      </c>
      <c r="J1348" t="s">
        <v>42</v>
      </c>
      <c r="K1348" t="s">
        <v>1543</v>
      </c>
      <c r="L1348" t="s">
        <v>25</v>
      </c>
      <c r="M1348" s="8">
        <v>1.032666667</v>
      </c>
      <c r="N1348" t="s">
        <v>26</v>
      </c>
      <c r="O1348" s="8">
        <v>1.032666667</v>
      </c>
      <c r="P1348" s="8">
        <f>EXP(-1.363+3.366*LOG(O1348,10))</f>
        <v>0.26820327281159584</v>
      </c>
      <c r="Q1348" s="8">
        <f>(2618262*100)/2995732</f>
        <v>87.399740697766021</v>
      </c>
    </row>
    <row r="1349" spans="1:17" x14ac:dyDescent="0.2">
      <c r="A1349">
        <v>2014</v>
      </c>
      <c r="B1349" t="s">
        <v>1592</v>
      </c>
      <c r="C1349" t="s">
        <v>1540</v>
      </c>
      <c r="D1349" t="s">
        <v>1579</v>
      </c>
      <c r="E1349">
        <v>6</v>
      </c>
      <c r="F1349" t="s">
        <v>19</v>
      </c>
      <c r="G1349" t="s">
        <v>20</v>
      </c>
      <c r="H1349" t="s">
        <v>149</v>
      </c>
      <c r="I1349" t="s">
        <v>36</v>
      </c>
      <c r="J1349" t="s">
        <v>42</v>
      </c>
      <c r="K1349" t="s">
        <v>1543</v>
      </c>
      <c r="L1349" t="s">
        <v>25</v>
      </c>
      <c r="M1349" s="8">
        <v>1.032666667</v>
      </c>
      <c r="N1349" t="s">
        <v>26</v>
      </c>
      <c r="O1349" s="8">
        <v>1.032666667</v>
      </c>
      <c r="P1349" s="8">
        <f>EXP(-1.363+3.366*LOG(O1349,10))</f>
        <v>0.26820327281159584</v>
      </c>
      <c r="Q1349" s="8">
        <f>(2618262*100)/2995732</f>
        <v>87.399740697766021</v>
      </c>
    </row>
    <row r="1350" spans="1:17" x14ac:dyDescent="0.2">
      <c r="A1350">
        <v>2014</v>
      </c>
      <c r="B1350" t="s">
        <v>1593</v>
      </c>
      <c r="C1350" t="s">
        <v>1540</v>
      </c>
      <c r="D1350" t="s">
        <v>1579</v>
      </c>
      <c r="E1350">
        <v>6</v>
      </c>
      <c r="F1350" t="s">
        <v>19</v>
      </c>
      <c r="G1350" t="s">
        <v>352</v>
      </c>
      <c r="H1350" t="s">
        <v>1594</v>
      </c>
      <c r="I1350" t="s">
        <v>22</v>
      </c>
      <c r="J1350" t="s">
        <v>42</v>
      </c>
      <c r="K1350" t="s">
        <v>1543</v>
      </c>
      <c r="L1350" t="s">
        <v>25</v>
      </c>
      <c r="M1350" s="8" t="s">
        <v>26</v>
      </c>
      <c r="N1350" t="s">
        <v>26</v>
      </c>
      <c r="O1350" s="8" t="s">
        <v>26</v>
      </c>
      <c r="P1350" s="8" t="s">
        <v>26</v>
      </c>
      <c r="Q1350" s="8">
        <f>(2618262*100)/2995732</f>
        <v>87.399740697766021</v>
      </c>
    </row>
    <row r="1351" spans="1:17" x14ac:dyDescent="0.2">
      <c r="A1351">
        <v>2014</v>
      </c>
      <c r="B1351" t="s">
        <v>1595</v>
      </c>
      <c r="C1351" t="s">
        <v>1540</v>
      </c>
      <c r="D1351" t="s">
        <v>1579</v>
      </c>
      <c r="E1351">
        <v>6</v>
      </c>
      <c r="F1351" t="s">
        <v>19</v>
      </c>
      <c r="G1351" t="s">
        <v>352</v>
      </c>
      <c r="H1351" t="s">
        <v>747</v>
      </c>
      <c r="I1351" t="s">
        <v>22</v>
      </c>
      <c r="J1351" t="s">
        <v>42</v>
      </c>
      <c r="K1351" t="s">
        <v>1543</v>
      </c>
      <c r="L1351" t="s">
        <v>25</v>
      </c>
      <c r="M1351" s="8">
        <v>1.3726666670000001</v>
      </c>
      <c r="N1351" t="s">
        <v>26</v>
      </c>
      <c r="O1351" s="8">
        <v>1.3726666670000001</v>
      </c>
      <c r="P1351" s="8">
        <f>EXP(-1.363+3.366*LOG(O1351,10))</f>
        <v>0.40658758379567089</v>
      </c>
      <c r="Q1351" s="8">
        <f>(2618262*100)/2995732</f>
        <v>87.399740697766021</v>
      </c>
    </row>
    <row r="1352" spans="1:17" x14ac:dyDescent="0.2">
      <c r="A1352">
        <v>2014</v>
      </c>
      <c r="B1352" t="s">
        <v>1596</v>
      </c>
      <c r="C1352" t="s">
        <v>1540</v>
      </c>
      <c r="D1352" t="s">
        <v>1597</v>
      </c>
      <c r="E1352">
        <v>7</v>
      </c>
      <c r="F1352" t="s">
        <v>19</v>
      </c>
      <c r="G1352" t="s">
        <v>230</v>
      </c>
      <c r="H1352" t="s">
        <v>259</v>
      </c>
      <c r="I1352" t="s">
        <v>22</v>
      </c>
      <c r="J1352" t="s">
        <v>42</v>
      </c>
      <c r="K1352" t="s">
        <v>1543</v>
      </c>
      <c r="L1352" t="s">
        <v>25</v>
      </c>
      <c r="M1352" s="8">
        <v>4.2283333330000001</v>
      </c>
      <c r="N1352" t="s">
        <v>26</v>
      </c>
      <c r="O1352" s="8">
        <v>4.2283333330000001</v>
      </c>
      <c r="P1352" s="8">
        <f>EXP(-1.363+3.366*LOG(O1352,10))</f>
        <v>2.1057792396965977</v>
      </c>
      <c r="Q1352" s="8">
        <f>(2618262*100)/2995732</f>
        <v>87.399740697766021</v>
      </c>
    </row>
    <row r="1353" spans="1:17" x14ac:dyDescent="0.2">
      <c r="A1353">
        <v>2014</v>
      </c>
      <c r="B1353" t="s">
        <v>1598</v>
      </c>
      <c r="C1353" t="s">
        <v>1540</v>
      </c>
      <c r="D1353" t="s">
        <v>1597</v>
      </c>
      <c r="E1353">
        <v>7</v>
      </c>
      <c r="F1353" t="s">
        <v>19</v>
      </c>
      <c r="G1353" t="s">
        <v>352</v>
      </c>
      <c r="H1353" t="s">
        <v>975</v>
      </c>
      <c r="I1353" t="s">
        <v>22</v>
      </c>
      <c r="J1353" t="s">
        <v>42</v>
      </c>
      <c r="K1353" t="s">
        <v>1543</v>
      </c>
      <c r="L1353" t="s">
        <v>25</v>
      </c>
      <c r="M1353" s="8">
        <v>1.0693333330000001</v>
      </c>
      <c r="N1353" t="s">
        <v>26</v>
      </c>
      <c r="O1353" s="8">
        <v>1.0693333330000001</v>
      </c>
      <c r="P1353" s="8">
        <f>EXP(-1.363+3.366*LOG(O1353,10))</f>
        <v>0.28223780327142356</v>
      </c>
      <c r="Q1353" s="8">
        <f>(2618262*100)/2995732</f>
        <v>87.399740697766021</v>
      </c>
    </row>
    <row r="1354" spans="1:17" x14ac:dyDescent="0.2">
      <c r="A1354">
        <v>2014</v>
      </c>
      <c r="B1354" t="s">
        <v>1599</v>
      </c>
      <c r="C1354" t="s">
        <v>1540</v>
      </c>
      <c r="D1354" t="s">
        <v>1597</v>
      </c>
      <c r="E1354">
        <v>7</v>
      </c>
      <c r="F1354" t="s">
        <v>19</v>
      </c>
      <c r="G1354" t="s">
        <v>352</v>
      </c>
      <c r="H1354" t="s">
        <v>975</v>
      </c>
      <c r="I1354" t="s">
        <v>22</v>
      </c>
      <c r="J1354" t="s">
        <v>42</v>
      </c>
      <c r="K1354" t="s">
        <v>1543</v>
      </c>
      <c r="L1354" t="s">
        <v>25</v>
      </c>
      <c r="M1354" s="8">
        <v>1.0693333330000001</v>
      </c>
      <c r="N1354" t="s">
        <v>26</v>
      </c>
      <c r="O1354" s="8">
        <v>1.0693333330000001</v>
      </c>
      <c r="P1354" s="8">
        <f>EXP(-1.363+3.366*LOG(O1354,10))</f>
        <v>0.28223780327142356</v>
      </c>
      <c r="Q1354" s="8">
        <f>(2618262*100)/2995732</f>
        <v>87.399740697766021</v>
      </c>
    </row>
    <row r="1355" spans="1:17" x14ac:dyDescent="0.2">
      <c r="A1355">
        <v>2014</v>
      </c>
      <c r="B1355" t="s">
        <v>1600</v>
      </c>
      <c r="C1355" t="s">
        <v>1540</v>
      </c>
      <c r="D1355" t="s">
        <v>1601</v>
      </c>
      <c r="E1355">
        <v>7</v>
      </c>
      <c r="F1355" t="s">
        <v>19</v>
      </c>
      <c r="G1355" t="s">
        <v>352</v>
      </c>
      <c r="H1355" t="s">
        <v>1585</v>
      </c>
      <c r="I1355" t="s">
        <v>36</v>
      </c>
      <c r="J1355" t="s">
        <v>42</v>
      </c>
      <c r="K1355" t="s">
        <v>1543</v>
      </c>
      <c r="L1355" t="s">
        <v>25</v>
      </c>
      <c r="M1355" s="8">
        <v>0.73566666700000005</v>
      </c>
      <c r="N1355" t="s">
        <v>26</v>
      </c>
      <c r="O1355" s="8">
        <v>0.73566666700000005</v>
      </c>
      <c r="P1355" s="8">
        <f>EXP(-1.363+3.366*LOG(O1355,10))</f>
        <v>0.16336774920850081</v>
      </c>
      <c r="Q1355" s="8">
        <f>(2618262*100)/2995732</f>
        <v>87.399740697766021</v>
      </c>
    </row>
    <row r="1356" spans="1:17" x14ac:dyDescent="0.2">
      <c r="A1356">
        <v>2014</v>
      </c>
      <c r="B1356" t="s">
        <v>1602</v>
      </c>
      <c r="C1356" t="s">
        <v>1552</v>
      </c>
      <c r="D1356" t="s">
        <v>1603</v>
      </c>
      <c r="E1356">
        <v>7</v>
      </c>
      <c r="F1356" t="s">
        <v>19</v>
      </c>
      <c r="G1356" t="s">
        <v>352</v>
      </c>
      <c r="H1356" t="s">
        <v>975</v>
      </c>
      <c r="I1356" t="s">
        <v>22</v>
      </c>
      <c r="J1356" t="s">
        <v>42</v>
      </c>
      <c r="K1356" t="s">
        <v>1543</v>
      </c>
      <c r="L1356" t="s">
        <v>25</v>
      </c>
      <c r="M1356" s="8">
        <v>1.0693333330000001</v>
      </c>
      <c r="N1356" t="s">
        <v>26</v>
      </c>
      <c r="O1356" s="8">
        <v>1.0693333330000001</v>
      </c>
      <c r="P1356" s="8">
        <f>EXP(-1.363+3.366*LOG(O1356,10))</f>
        <v>0.28223780327142356</v>
      </c>
      <c r="Q1356" s="8">
        <f>(3738946*100)/3915493</f>
        <v>95.491065875995687</v>
      </c>
    </row>
    <row r="1357" spans="1:17" x14ac:dyDescent="0.2">
      <c r="A1357">
        <v>2014</v>
      </c>
      <c r="B1357" t="s">
        <v>1604</v>
      </c>
      <c r="C1357" t="s">
        <v>1552</v>
      </c>
      <c r="D1357" t="s">
        <v>1579</v>
      </c>
      <c r="E1357">
        <v>6</v>
      </c>
      <c r="F1357" t="s">
        <v>19</v>
      </c>
      <c r="G1357" t="s">
        <v>352</v>
      </c>
      <c r="H1357" t="s">
        <v>975</v>
      </c>
      <c r="I1357" t="s">
        <v>22</v>
      </c>
      <c r="J1357" t="s">
        <v>42</v>
      </c>
      <c r="K1357" t="s">
        <v>1543</v>
      </c>
      <c r="L1357" t="s">
        <v>25</v>
      </c>
      <c r="M1357" s="8">
        <v>1.0693333330000001</v>
      </c>
      <c r="N1357" t="s">
        <v>26</v>
      </c>
      <c r="O1357" s="8">
        <v>1.0693333330000001</v>
      </c>
      <c r="P1357" s="8">
        <f>EXP(-1.363+3.366*LOG(O1357,10))</f>
        <v>0.28223780327142356</v>
      </c>
      <c r="Q1357" s="8">
        <f>(3738946*100)/3915493</f>
        <v>95.491065875995687</v>
      </c>
    </row>
    <row r="1358" spans="1:17" x14ac:dyDescent="0.2">
      <c r="A1358">
        <v>2014</v>
      </c>
      <c r="B1358" t="s">
        <v>1605</v>
      </c>
      <c r="C1358" t="s">
        <v>1552</v>
      </c>
      <c r="D1358" t="s">
        <v>1597</v>
      </c>
      <c r="E1358">
        <v>7</v>
      </c>
      <c r="F1358" t="s">
        <v>19</v>
      </c>
      <c r="G1358" t="s">
        <v>352</v>
      </c>
      <c r="H1358" t="s">
        <v>975</v>
      </c>
      <c r="I1358" t="s">
        <v>22</v>
      </c>
      <c r="J1358" t="s">
        <v>42</v>
      </c>
      <c r="K1358" t="s">
        <v>1543</v>
      </c>
      <c r="L1358" t="s">
        <v>25</v>
      </c>
      <c r="M1358" s="8">
        <v>1.0693333330000001</v>
      </c>
      <c r="N1358" t="s">
        <v>26</v>
      </c>
      <c r="O1358" s="8">
        <v>1.0693333330000001</v>
      </c>
      <c r="P1358" s="8">
        <f>EXP(-1.363+3.366*LOG(O1358,10))</f>
        <v>0.28223780327142356</v>
      </c>
      <c r="Q1358" s="8">
        <f>(3738946*100)/3915493</f>
        <v>95.491065875995687</v>
      </c>
    </row>
    <row r="1359" spans="1:17" x14ac:dyDescent="0.2">
      <c r="A1359">
        <v>2014</v>
      </c>
      <c r="B1359" t="s">
        <v>1606</v>
      </c>
      <c r="C1359" t="s">
        <v>1552</v>
      </c>
      <c r="D1359" t="s">
        <v>1597</v>
      </c>
      <c r="E1359">
        <v>7</v>
      </c>
      <c r="F1359" t="s">
        <v>19</v>
      </c>
      <c r="G1359" t="s">
        <v>352</v>
      </c>
      <c r="H1359" t="s">
        <v>975</v>
      </c>
      <c r="I1359" t="s">
        <v>36</v>
      </c>
      <c r="J1359" t="s">
        <v>42</v>
      </c>
      <c r="K1359" t="s">
        <v>1543</v>
      </c>
      <c r="L1359" t="s">
        <v>25</v>
      </c>
      <c r="M1359" s="8">
        <v>0.95199999999999996</v>
      </c>
      <c r="N1359" t="s">
        <v>26</v>
      </c>
      <c r="O1359" s="8">
        <v>0.95199999999999996</v>
      </c>
      <c r="P1359" s="8">
        <f>EXP(-1.363+3.366*LOG(O1359,10))</f>
        <v>0.23813726407794436</v>
      </c>
      <c r="Q1359" s="8">
        <f>(3738946*100)/3915493</f>
        <v>95.491065875995687</v>
      </c>
    </row>
    <row r="1360" spans="1:17" x14ac:dyDescent="0.2">
      <c r="A1360">
        <v>2014</v>
      </c>
      <c r="B1360" t="s">
        <v>1607</v>
      </c>
      <c r="C1360" t="s">
        <v>1552</v>
      </c>
      <c r="D1360" t="s">
        <v>1597</v>
      </c>
      <c r="E1360">
        <v>7</v>
      </c>
      <c r="F1360" t="s">
        <v>19</v>
      </c>
      <c r="G1360" t="s">
        <v>352</v>
      </c>
      <c r="H1360" t="s">
        <v>975</v>
      </c>
      <c r="I1360" t="s">
        <v>22</v>
      </c>
      <c r="J1360" t="s">
        <v>42</v>
      </c>
      <c r="K1360" t="s">
        <v>1543</v>
      </c>
      <c r="L1360" t="s">
        <v>25</v>
      </c>
      <c r="M1360" s="8">
        <v>1.0693333330000001</v>
      </c>
      <c r="N1360" t="s">
        <v>26</v>
      </c>
      <c r="O1360" s="8">
        <v>1.0693333330000001</v>
      </c>
      <c r="P1360" s="8">
        <f>EXP(-1.363+3.366*LOG(O1360,10))</f>
        <v>0.28223780327142356</v>
      </c>
      <c r="Q1360" s="8">
        <f>(3738946*100)/3915493</f>
        <v>95.491065875995687</v>
      </c>
    </row>
    <row r="1361" spans="1:17" x14ac:dyDescent="0.2">
      <c r="A1361">
        <v>2014</v>
      </c>
      <c r="B1361" t="s">
        <v>1608</v>
      </c>
      <c r="C1361" t="s">
        <v>1552</v>
      </c>
      <c r="D1361" t="s">
        <v>1601</v>
      </c>
      <c r="E1361">
        <v>7</v>
      </c>
      <c r="F1361" t="s">
        <v>19</v>
      </c>
      <c r="G1361" t="s">
        <v>352</v>
      </c>
      <c r="H1361" t="s">
        <v>1585</v>
      </c>
      <c r="I1361" t="s">
        <v>22</v>
      </c>
      <c r="J1361" t="s">
        <v>42</v>
      </c>
      <c r="K1361" t="s">
        <v>1543</v>
      </c>
      <c r="L1361" t="s">
        <v>25</v>
      </c>
      <c r="M1361" s="8">
        <v>0.77266666699999997</v>
      </c>
      <c r="N1361" t="s">
        <v>26</v>
      </c>
      <c r="O1361" s="8">
        <v>0.77266666699999997</v>
      </c>
      <c r="P1361" s="8">
        <f>EXP(-1.363+3.366*LOG(O1361,10))</f>
        <v>0.17551718302452865</v>
      </c>
      <c r="Q1361" s="8">
        <f>(3738946*100)/3915493</f>
        <v>95.491065875995687</v>
      </c>
    </row>
    <row r="1362" spans="1:17" x14ac:dyDescent="0.2">
      <c r="A1362">
        <v>2014</v>
      </c>
      <c r="B1362" t="s">
        <v>1609</v>
      </c>
      <c r="C1362" t="s">
        <v>1610</v>
      </c>
      <c r="D1362" t="s">
        <v>1603</v>
      </c>
      <c r="E1362">
        <v>7</v>
      </c>
      <c r="F1362" t="s">
        <v>19</v>
      </c>
      <c r="G1362" t="s">
        <v>352</v>
      </c>
      <c r="H1362" t="s">
        <v>1142</v>
      </c>
      <c r="I1362" t="s">
        <v>36</v>
      </c>
      <c r="J1362" t="s">
        <v>42</v>
      </c>
      <c r="K1362" t="s">
        <v>1543</v>
      </c>
      <c r="L1362" t="s">
        <v>25</v>
      </c>
      <c r="M1362" s="8">
        <v>0.93500000000000005</v>
      </c>
      <c r="N1362" t="s">
        <v>26</v>
      </c>
      <c r="O1362" s="8">
        <v>0.93500000000000005</v>
      </c>
      <c r="P1362" s="8">
        <f>EXP(-1.363+3.366*LOG(O1362,10))</f>
        <v>0.23194659731411651</v>
      </c>
      <c r="Q1362" s="8">
        <f>(2475923*100)/2844344</f>
        <v>87.047241824476927</v>
      </c>
    </row>
    <row r="1363" spans="1:17" x14ac:dyDescent="0.2">
      <c r="A1363">
        <v>2014</v>
      </c>
      <c r="B1363" t="s">
        <v>1611</v>
      </c>
      <c r="C1363" t="s">
        <v>1610</v>
      </c>
      <c r="D1363" t="s">
        <v>1612</v>
      </c>
      <c r="E1363">
        <v>7</v>
      </c>
      <c r="F1363" t="s">
        <v>19</v>
      </c>
      <c r="G1363" t="s">
        <v>352</v>
      </c>
      <c r="H1363" t="s">
        <v>975</v>
      </c>
      <c r="I1363" t="s">
        <v>22</v>
      </c>
      <c r="J1363" t="s">
        <v>42</v>
      </c>
      <c r="K1363" t="s">
        <v>1543</v>
      </c>
      <c r="L1363" t="s">
        <v>25</v>
      </c>
      <c r="M1363" s="8">
        <v>1.0693333330000001</v>
      </c>
      <c r="N1363" t="s">
        <v>26</v>
      </c>
      <c r="O1363" s="8">
        <v>1.0693333330000001</v>
      </c>
      <c r="P1363" s="8">
        <f>EXP(-1.363+3.366*LOG(O1363,10))</f>
        <v>0.28223780327142356</v>
      </c>
      <c r="Q1363" s="8">
        <f>(2475923*100)/2844344</f>
        <v>87.047241824476927</v>
      </c>
    </row>
    <row r="1364" spans="1:17" x14ac:dyDescent="0.2">
      <c r="A1364">
        <v>2014</v>
      </c>
      <c r="B1364" t="s">
        <v>1613</v>
      </c>
      <c r="C1364" t="s">
        <v>1610</v>
      </c>
      <c r="D1364" t="s">
        <v>1612</v>
      </c>
      <c r="E1364">
        <v>7</v>
      </c>
      <c r="F1364" t="s">
        <v>19</v>
      </c>
      <c r="G1364" t="s">
        <v>352</v>
      </c>
      <c r="H1364" t="s">
        <v>975</v>
      </c>
      <c r="I1364" t="s">
        <v>22</v>
      </c>
      <c r="J1364" t="s">
        <v>42</v>
      </c>
      <c r="K1364" t="s">
        <v>1543</v>
      </c>
      <c r="L1364" t="s">
        <v>25</v>
      </c>
      <c r="M1364" s="8">
        <v>1.0693333330000001</v>
      </c>
      <c r="N1364" t="s">
        <v>26</v>
      </c>
      <c r="O1364" s="8">
        <v>1.0693333330000001</v>
      </c>
      <c r="P1364" s="8">
        <f>EXP(-1.363+3.366*LOG(O1364,10))</f>
        <v>0.28223780327142356</v>
      </c>
      <c r="Q1364" s="8">
        <f>(2475923*100)/2844344</f>
        <v>87.047241824476927</v>
      </c>
    </row>
    <row r="1365" spans="1:17" x14ac:dyDescent="0.2">
      <c r="A1365">
        <v>2014</v>
      </c>
      <c r="B1365" t="s">
        <v>1614</v>
      </c>
      <c r="C1365" t="s">
        <v>1610</v>
      </c>
      <c r="D1365" t="s">
        <v>1612</v>
      </c>
      <c r="E1365">
        <v>7</v>
      </c>
      <c r="F1365" t="s">
        <v>19</v>
      </c>
      <c r="G1365" t="s">
        <v>352</v>
      </c>
      <c r="H1365" t="s">
        <v>975</v>
      </c>
      <c r="I1365" t="s">
        <v>22</v>
      </c>
      <c r="J1365" t="s">
        <v>42</v>
      </c>
      <c r="K1365" t="s">
        <v>1543</v>
      </c>
      <c r="L1365" t="s">
        <v>25</v>
      </c>
      <c r="M1365" s="8">
        <v>1.0693333330000001</v>
      </c>
      <c r="N1365" t="s">
        <v>26</v>
      </c>
      <c r="O1365" s="8">
        <v>1.0693333330000001</v>
      </c>
      <c r="P1365" s="8">
        <f>EXP(-1.363+3.366*LOG(O1365,10))</f>
        <v>0.28223780327142356</v>
      </c>
      <c r="Q1365" s="8">
        <f>(2475923*100)/2844344</f>
        <v>87.047241824476927</v>
      </c>
    </row>
    <row r="1366" spans="1:17" x14ac:dyDescent="0.2">
      <c r="A1366">
        <v>2014</v>
      </c>
      <c r="B1366" t="s">
        <v>1615</v>
      </c>
      <c r="C1366" t="s">
        <v>1610</v>
      </c>
      <c r="D1366" t="s">
        <v>1612</v>
      </c>
      <c r="E1366">
        <v>7</v>
      </c>
      <c r="F1366" t="s">
        <v>19</v>
      </c>
      <c r="G1366" t="s">
        <v>352</v>
      </c>
      <c r="H1366" t="s">
        <v>1142</v>
      </c>
      <c r="I1366" t="s">
        <v>36</v>
      </c>
      <c r="J1366" t="s">
        <v>42</v>
      </c>
      <c r="K1366" t="s">
        <v>1543</v>
      </c>
      <c r="L1366" t="s">
        <v>25</v>
      </c>
      <c r="M1366" s="8">
        <v>0.93500000000000005</v>
      </c>
      <c r="N1366" t="s">
        <v>26</v>
      </c>
      <c r="O1366" s="8">
        <v>0.93500000000000005</v>
      </c>
      <c r="P1366" s="8">
        <f>EXP(-1.363+3.366*LOG(O1366,10))</f>
        <v>0.23194659731411651</v>
      </c>
      <c r="Q1366" s="8">
        <f>(2475923*100)/2844344</f>
        <v>87.047241824476927</v>
      </c>
    </row>
    <row r="1367" spans="1:17" x14ac:dyDescent="0.2">
      <c r="A1367">
        <v>2014</v>
      </c>
      <c r="B1367" t="s">
        <v>1616</v>
      </c>
      <c r="C1367" t="s">
        <v>1610</v>
      </c>
      <c r="D1367" t="s">
        <v>1597</v>
      </c>
      <c r="E1367">
        <v>7</v>
      </c>
      <c r="F1367" t="s">
        <v>19</v>
      </c>
      <c r="G1367" t="s">
        <v>352</v>
      </c>
      <c r="H1367" t="s">
        <v>623</v>
      </c>
      <c r="I1367" t="s">
        <v>22</v>
      </c>
      <c r="J1367" t="s">
        <v>42</v>
      </c>
      <c r="K1367" t="s">
        <v>1543</v>
      </c>
      <c r="L1367" t="s">
        <v>25</v>
      </c>
      <c r="M1367" s="8">
        <v>1.387</v>
      </c>
      <c r="N1367" t="s">
        <v>26</v>
      </c>
      <c r="O1367" s="8">
        <v>1.387</v>
      </c>
      <c r="P1367" s="8">
        <f>EXP(-1.363+3.366*LOG(O1367,10))</f>
        <v>0.41280884754947733</v>
      </c>
      <c r="Q1367" s="8">
        <f>(2475923*100)/2844344</f>
        <v>87.047241824476927</v>
      </c>
    </row>
    <row r="1368" spans="1:17" x14ac:dyDescent="0.2">
      <c r="A1368">
        <v>2014</v>
      </c>
      <c r="B1368" t="s">
        <v>1617</v>
      </c>
      <c r="C1368" t="s">
        <v>1610</v>
      </c>
      <c r="D1368" t="s">
        <v>1597</v>
      </c>
      <c r="E1368">
        <v>7</v>
      </c>
      <c r="F1368" t="s">
        <v>19</v>
      </c>
      <c r="G1368" t="s">
        <v>352</v>
      </c>
      <c r="H1368" t="s">
        <v>975</v>
      </c>
      <c r="I1368" t="s">
        <v>36</v>
      </c>
      <c r="J1368" t="s">
        <v>42</v>
      </c>
      <c r="K1368" t="s">
        <v>1543</v>
      </c>
      <c r="L1368" t="s">
        <v>25</v>
      </c>
      <c r="M1368" s="8">
        <v>0.95199999999999996</v>
      </c>
      <c r="N1368" t="s">
        <v>26</v>
      </c>
      <c r="O1368" s="8">
        <v>0.95199999999999996</v>
      </c>
      <c r="P1368" s="8">
        <f>EXP(-1.363+3.366*LOG(O1368,10))</f>
        <v>0.23813726407794436</v>
      </c>
      <c r="Q1368" s="8">
        <f>(2475923*100)/2844344</f>
        <v>87.047241824476927</v>
      </c>
    </row>
    <row r="1369" spans="1:17" x14ac:dyDescent="0.2">
      <c r="A1369">
        <v>2014</v>
      </c>
      <c r="B1369" t="s">
        <v>1618</v>
      </c>
      <c r="C1369" t="s">
        <v>1610</v>
      </c>
      <c r="D1369" t="s">
        <v>1597</v>
      </c>
      <c r="E1369">
        <v>7</v>
      </c>
      <c r="F1369" t="s">
        <v>19</v>
      </c>
      <c r="G1369" t="s">
        <v>352</v>
      </c>
      <c r="H1369" t="s">
        <v>975</v>
      </c>
      <c r="I1369" t="s">
        <v>22</v>
      </c>
      <c r="J1369" t="s">
        <v>42</v>
      </c>
      <c r="K1369" t="s">
        <v>1543</v>
      </c>
      <c r="L1369" t="s">
        <v>25</v>
      </c>
      <c r="M1369" s="8">
        <v>1.0693333330000001</v>
      </c>
      <c r="N1369" t="s">
        <v>26</v>
      </c>
      <c r="O1369" s="8">
        <v>1.0693333330000001</v>
      </c>
      <c r="P1369" s="8">
        <f>EXP(-1.363+3.366*LOG(O1369,10))</f>
        <v>0.28223780327142356</v>
      </c>
      <c r="Q1369" s="8">
        <f>(2475923*100)/2844344</f>
        <v>87.047241824476927</v>
      </c>
    </row>
    <row r="1370" spans="1:17" x14ac:dyDescent="0.2">
      <c r="A1370">
        <v>2014</v>
      </c>
      <c r="B1370" t="s">
        <v>1619</v>
      </c>
      <c r="C1370" t="s">
        <v>1610</v>
      </c>
      <c r="D1370" t="s">
        <v>1597</v>
      </c>
      <c r="E1370">
        <v>7</v>
      </c>
      <c r="F1370" t="s">
        <v>19</v>
      </c>
      <c r="G1370" t="s">
        <v>332</v>
      </c>
      <c r="H1370" t="s">
        <v>1620</v>
      </c>
      <c r="I1370" t="s">
        <v>36</v>
      </c>
      <c r="J1370" t="s">
        <v>42</v>
      </c>
      <c r="K1370" t="s">
        <v>1543</v>
      </c>
      <c r="L1370" t="s">
        <v>25</v>
      </c>
      <c r="M1370" s="8">
        <v>1.036333333</v>
      </c>
      <c r="N1370" t="s">
        <v>26</v>
      </c>
      <c r="O1370" s="8">
        <v>1.036333333</v>
      </c>
      <c r="P1370" s="8">
        <f>EXP(-1.363+3.366*LOG(O1370,10))</f>
        <v>0.26959652393070888</v>
      </c>
      <c r="Q1370" s="8">
        <f>(2475923*100)/2844344</f>
        <v>87.047241824476927</v>
      </c>
    </row>
    <row r="1371" spans="1:17" x14ac:dyDescent="0.2">
      <c r="A1371">
        <v>2014</v>
      </c>
      <c r="B1371" t="s">
        <v>1621</v>
      </c>
      <c r="C1371" t="s">
        <v>1610</v>
      </c>
      <c r="D1371" t="s">
        <v>1601</v>
      </c>
      <c r="E1371">
        <v>7</v>
      </c>
      <c r="F1371" t="s">
        <v>19</v>
      </c>
      <c r="G1371" t="s">
        <v>352</v>
      </c>
      <c r="H1371" t="s">
        <v>1142</v>
      </c>
      <c r="I1371" t="s">
        <v>22</v>
      </c>
      <c r="J1371" t="s">
        <v>42</v>
      </c>
      <c r="K1371" t="s">
        <v>1543</v>
      </c>
      <c r="L1371" t="s">
        <v>25</v>
      </c>
      <c r="M1371" s="8">
        <v>1.1423333330000001</v>
      </c>
      <c r="N1371" t="s">
        <v>26</v>
      </c>
      <c r="O1371" s="8">
        <v>1.1423333330000001</v>
      </c>
      <c r="P1371" s="8">
        <f>EXP(-1.363+3.366*LOG(O1371,10))</f>
        <v>0.31084239358261528</v>
      </c>
      <c r="Q1371" s="8">
        <f>(2475923*100)/2844344</f>
        <v>87.047241824476927</v>
      </c>
    </row>
    <row r="1372" spans="1:17" x14ac:dyDescent="0.2">
      <c r="A1372">
        <v>2014</v>
      </c>
      <c r="B1372" t="s">
        <v>1622</v>
      </c>
      <c r="C1372" t="s">
        <v>1610</v>
      </c>
      <c r="D1372" t="s">
        <v>1603</v>
      </c>
      <c r="E1372">
        <v>7</v>
      </c>
      <c r="F1372" t="s">
        <v>19</v>
      </c>
      <c r="G1372" t="s">
        <v>352</v>
      </c>
      <c r="H1372" t="s">
        <v>1142</v>
      </c>
      <c r="I1372" t="s">
        <v>22</v>
      </c>
      <c r="J1372" t="s">
        <v>42</v>
      </c>
      <c r="K1372" t="s">
        <v>1543</v>
      </c>
      <c r="L1372" t="s">
        <v>25</v>
      </c>
      <c r="M1372" s="8">
        <v>1.1423333330000001</v>
      </c>
      <c r="N1372" t="s">
        <v>26</v>
      </c>
      <c r="O1372" s="8">
        <v>1.1423333330000001</v>
      </c>
      <c r="P1372" s="8">
        <f>EXP(-1.363+3.366*LOG(O1372,10))</f>
        <v>0.31084239358261528</v>
      </c>
      <c r="Q1372" s="8">
        <f>(2475923*100)/2844344</f>
        <v>87.047241824476927</v>
      </c>
    </row>
    <row r="1373" spans="1:17" x14ac:dyDescent="0.2">
      <c r="A1373">
        <v>2014</v>
      </c>
      <c r="B1373" t="s">
        <v>1623</v>
      </c>
      <c r="C1373" t="s">
        <v>1624</v>
      </c>
      <c r="D1373" t="s">
        <v>1556</v>
      </c>
      <c r="E1373">
        <v>6</v>
      </c>
      <c r="F1373" t="s">
        <v>19</v>
      </c>
      <c r="G1373" t="s">
        <v>352</v>
      </c>
      <c r="H1373" t="s">
        <v>1142</v>
      </c>
      <c r="I1373" t="s">
        <v>22</v>
      </c>
      <c r="J1373" t="s">
        <v>42</v>
      </c>
      <c r="K1373" t="s">
        <v>1543</v>
      </c>
      <c r="L1373" t="s">
        <v>25</v>
      </c>
      <c r="M1373" s="8">
        <v>1.1423333330000001</v>
      </c>
      <c r="N1373" t="s">
        <v>26</v>
      </c>
      <c r="O1373" s="8">
        <v>1.1423333330000001</v>
      </c>
      <c r="P1373" s="8">
        <f>EXP(-1.363+3.366*LOG(O1373,10))</f>
        <v>0.31084239358261528</v>
      </c>
      <c r="Q1373" s="8">
        <f>(1599772*100)/1881247</f>
        <v>85.037849894245682</v>
      </c>
    </row>
    <row r="1374" spans="1:17" x14ac:dyDescent="0.2">
      <c r="A1374">
        <v>2014</v>
      </c>
      <c r="B1374" t="s">
        <v>1625</v>
      </c>
      <c r="C1374" t="s">
        <v>1624</v>
      </c>
      <c r="D1374" t="s">
        <v>1568</v>
      </c>
      <c r="E1374">
        <v>6</v>
      </c>
      <c r="F1374" t="s">
        <v>19</v>
      </c>
      <c r="G1374" t="s">
        <v>352</v>
      </c>
      <c r="H1374" t="s">
        <v>1142</v>
      </c>
      <c r="I1374" t="s">
        <v>22</v>
      </c>
      <c r="J1374" t="s">
        <v>42</v>
      </c>
      <c r="K1374" t="s">
        <v>1543</v>
      </c>
      <c r="L1374" t="s">
        <v>25</v>
      </c>
      <c r="M1374" s="8">
        <v>1.1423333330000001</v>
      </c>
      <c r="N1374" t="s">
        <v>26</v>
      </c>
      <c r="O1374" s="8">
        <v>1.1423333330000001</v>
      </c>
      <c r="P1374" s="8">
        <f>EXP(-1.363+3.366*LOG(O1374,10))</f>
        <v>0.31084239358261528</v>
      </c>
      <c r="Q1374" s="8">
        <f>(1599772*100)/1881247</f>
        <v>85.037849894245682</v>
      </c>
    </row>
    <row r="1375" spans="1:17" x14ac:dyDescent="0.2">
      <c r="A1375">
        <v>2014</v>
      </c>
      <c r="B1375" t="s">
        <v>1626</v>
      </c>
      <c r="C1375" t="s">
        <v>1624</v>
      </c>
      <c r="D1375" t="s">
        <v>1568</v>
      </c>
      <c r="E1375">
        <v>6</v>
      </c>
      <c r="F1375" t="s">
        <v>19</v>
      </c>
      <c r="G1375" t="s">
        <v>352</v>
      </c>
      <c r="H1375" t="s">
        <v>1142</v>
      </c>
      <c r="I1375" t="s">
        <v>22</v>
      </c>
      <c r="J1375" t="s">
        <v>42</v>
      </c>
      <c r="K1375" t="s">
        <v>1543</v>
      </c>
      <c r="L1375" t="s">
        <v>25</v>
      </c>
      <c r="M1375" s="8">
        <v>1.1423333330000001</v>
      </c>
      <c r="N1375" t="s">
        <v>26</v>
      </c>
      <c r="O1375" s="8">
        <v>1.1423333330000001</v>
      </c>
      <c r="P1375" s="8">
        <f>EXP(-1.363+3.366*LOG(O1375,10))</f>
        <v>0.31084239358261528</v>
      </c>
      <c r="Q1375" s="8">
        <f>(1599772*100)/1881247</f>
        <v>85.037849894245682</v>
      </c>
    </row>
    <row r="1376" spans="1:17" x14ac:dyDescent="0.2">
      <c r="A1376">
        <v>2014</v>
      </c>
      <c r="B1376" t="s">
        <v>1627</v>
      </c>
      <c r="C1376" t="s">
        <v>1624</v>
      </c>
      <c r="D1376" t="s">
        <v>1568</v>
      </c>
      <c r="E1376">
        <v>6</v>
      </c>
      <c r="F1376" t="s">
        <v>19</v>
      </c>
      <c r="G1376" t="s">
        <v>352</v>
      </c>
      <c r="H1376" t="s">
        <v>1142</v>
      </c>
      <c r="I1376" t="s">
        <v>22</v>
      </c>
      <c r="J1376" t="s">
        <v>42</v>
      </c>
      <c r="K1376" t="s">
        <v>1543</v>
      </c>
      <c r="L1376" t="s">
        <v>25</v>
      </c>
      <c r="M1376" s="8">
        <v>1.1423333330000001</v>
      </c>
      <c r="N1376" t="s">
        <v>26</v>
      </c>
      <c r="O1376" s="8">
        <v>1.1423333330000001</v>
      </c>
      <c r="P1376" s="8">
        <f>EXP(-1.363+3.366*LOG(O1376,10))</f>
        <v>0.31084239358261528</v>
      </c>
      <c r="Q1376" s="8">
        <f>(1599772*100)/1881247</f>
        <v>85.037849894245682</v>
      </c>
    </row>
    <row r="1377" spans="1:17" x14ac:dyDescent="0.2">
      <c r="A1377">
        <v>2014</v>
      </c>
      <c r="B1377" t="s">
        <v>1628</v>
      </c>
      <c r="C1377" t="s">
        <v>1624</v>
      </c>
      <c r="D1377" t="s">
        <v>1579</v>
      </c>
      <c r="E1377">
        <v>6</v>
      </c>
      <c r="F1377" t="s">
        <v>19</v>
      </c>
      <c r="G1377" t="s">
        <v>352</v>
      </c>
      <c r="H1377" t="s">
        <v>975</v>
      </c>
      <c r="I1377" t="s">
        <v>22</v>
      </c>
      <c r="J1377" t="s">
        <v>42</v>
      </c>
      <c r="K1377" t="s">
        <v>1543</v>
      </c>
      <c r="L1377" t="s">
        <v>25</v>
      </c>
      <c r="M1377" s="8">
        <v>1.0693333330000001</v>
      </c>
      <c r="N1377" t="s">
        <v>26</v>
      </c>
      <c r="O1377" s="8">
        <v>1.0693333330000001</v>
      </c>
      <c r="P1377" s="8">
        <f>EXP(-1.363+3.366*LOG(O1377,10))</f>
        <v>0.28223780327142356</v>
      </c>
      <c r="Q1377" s="8">
        <f>(1599772*100)/1881247</f>
        <v>85.037849894245682</v>
      </c>
    </row>
    <row r="1378" spans="1:17" x14ac:dyDescent="0.2">
      <c r="A1378">
        <v>2014</v>
      </c>
      <c r="B1378" t="s">
        <v>1629</v>
      </c>
      <c r="C1378" t="s">
        <v>1624</v>
      </c>
      <c r="D1378" t="s">
        <v>1579</v>
      </c>
      <c r="E1378">
        <v>6</v>
      </c>
      <c r="F1378" t="s">
        <v>19</v>
      </c>
      <c r="G1378" t="s">
        <v>352</v>
      </c>
      <c r="H1378" t="s">
        <v>1142</v>
      </c>
      <c r="I1378" t="s">
        <v>22</v>
      </c>
      <c r="J1378" t="s">
        <v>42</v>
      </c>
      <c r="K1378" t="s">
        <v>1543</v>
      </c>
      <c r="L1378" t="s">
        <v>25</v>
      </c>
      <c r="M1378" s="8">
        <v>1.1423333330000001</v>
      </c>
      <c r="N1378" t="s">
        <v>26</v>
      </c>
      <c r="O1378" s="8">
        <v>1.1423333330000001</v>
      </c>
      <c r="P1378" s="8">
        <f>EXP(-1.363+3.366*LOG(O1378,10))</f>
        <v>0.31084239358261528</v>
      </c>
      <c r="Q1378" s="8">
        <f>(1599772*100)/1881247</f>
        <v>85.037849894245682</v>
      </c>
    </row>
    <row r="1379" spans="1:17" x14ac:dyDescent="0.2">
      <c r="A1379">
        <v>2014</v>
      </c>
      <c r="B1379" t="s">
        <v>1630</v>
      </c>
      <c r="C1379" t="s">
        <v>1624</v>
      </c>
      <c r="D1379" t="s">
        <v>1556</v>
      </c>
      <c r="E1379">
        <v>6</v>
      </c>
      <c r="F1379" t="s">
        <v>19</v>
      </c>
      <c r="G1379" t="s">
        <v>352</v>
      </c>
      <c r="H1379" t="s">
        <v>975</v>
      </c>
      <c r="I1379" t="s">
        <v>22</v>
      </c>
      <c r="J1379" t="s">
        <v>42</v>
      </c>
      <c r="K1379" t="s">
        <v>1543</v>
      </c>
      <c r="L1379" t="s">
        <v>25</v>
      </c>
      <c r="M1379" s="8">
        <v>1.0693333330000001</v>
      </c>
      <c r="N1379" t="s">
        <v>26</v>
      </c>
      <c r="O1379" s="8">
        <v>1.0693333330000001</v>
      </c>
      <c r="P1379" s="8">
        <f>EXP(-1.363+3.366*LOG(O1379,10))</f>
        <v>0.28223780327142356</v>
      </c>
      <c r="Q1379" s="8">
        <f>(1599772*100)/1881247</f>
        <v>85.037849894245682</v>
      </c>
    </row>
    <row r="1380" spans="1:17" x14ac:dyDescent="0.2">
      <c r="A1380">
        <v>2014</v>
      </c>
      <c r="B1380" t="s">
        <v>1631</v>
      </c>
      <c r="C1380" t="s">
        <v>1624</v>
      </c>
      <c r="D1380" t="s">
        <v>1558</v>
      </c>
      <c r="E1380">
        <v>6</v>
      </c>
      <c r="F1380" t="s">
        <v>19</v>
      </c>
      <c r="G1380" t="s">
        <v>352</v>
      </c>
      <c r="H1380" t="s">
        <v>1142</v>
      </c>
      <c r="I1380" t="s">
        <v>22</v>
      </c>
      <c r="J1380" t="s">
        <v>42</v>
      </c>
      <c r="K1380" t="s">
        <v>1543</v>
      </c>
      <c r="L1380" t="s">
        <v>25</v>
      </c>
      <c r="M1380" s="8">
        <v>1.1423333330000001</v>
      </c>
      <c r="N1380" t="s">
        <v>26</v>
      </c>
      <c r="O1380" s="8">
        <v>1.1423333330000001</v>
      </c>
      <c r="P1380" s="8">
        <f>EXP(-1.363+3.366*LOG(O1380,10))</f>
        <v>0.31084239358261528</v>
      </c>
      <c r="Q1380" s="8">
        <f>(1599772*100)/1881247</f>
        <v>85.037849894245682</v>
      </c>
    </row>
    <row r="1381" spans="1:17" x14ac:dyDescent="0.2">
      <c r="A1381">
        <v>2014</v>
      </c>
      <c r="B1381" t="s">
        <v>1632</v>
      </c>
      <c r="C1381" t="s">
        <v>1624</v>
      </c>
      <c r="D1381" t="s">
        <v>1558</v>
      </c>
      <c r="E1381">
        <v>6</v>
      </c>
      <c r="F1381" t="s">
        <v>19</v>
      </c>
      <c r="G1381" t="s">
        <v>352</v>
      </c>
      <c r="H1381" t="s">
        <v>1142</v>
      </c>
      <c r="I1381" t="s">
        <v>22</v>
      </c>
      <c r="J1381" t="s">
        <v>42</v>
      </c>
      <c r="K1381" t="s">
        <v>1543</v>
      </c>
      <c r="L1381" t="s">
        <v>25</v>
      </c>
      <c r="M1381" s="8">
        <v>1.1423333330000001</v>
      </c>
      <c r="N1381" t="s">
        <v>26</v>
      </c>
      <c r="O1381" s="8">
        <v>1.1423333330000001</v>
      </c>
      <c r="P1381" s="8">
        <f>EXP(-1.363+3.366*LOG(O1381,10))</f>
        <v>0.31084239358261528</v>
      </c>
      <c r="Q1381" s="8">
        <f>(1599772*100)/1881247</f>
        <v>85.037849894245682</v>
      </c>
    </row>
    <row r="1382" spans="1:17" s="6" customFormat="1" x14ac:dyDescent="0.2">
      <c r="A1382">
        <v>2014</v>
      </c>
      <c r="B1382" t="s">
        <v>1633</v>
      </c>
      <c r="C1382" t="s">
        <v>1624</v>
      </c>
      <c r="D1382" t="s">
        <v>1558</v>
      </c>
      <c r="E1382">
        <v>6</v>
      </c>
      <c r="F1382" t="s">
        <v>19</v>
      </c>
      <c r="G1382" t="s">
        <v>352</v>
      </c>
      <c r="H1382" t="s">
        <v>975</v>
      </c>
      <c r="I1382" t="s">
        <v>22</v>
      </c>
      <c r="J1382" t="s">
        <v>42</v>
      </c>
      <c r="K1382" t="s">
        <v>1543</v>
      </c>
      <c r="L1382" t="s">
        <v>25</v>
      </c>
      <c r="M1382" s="8">
        <v>1.0693333330000001</v>
      </c>
      <c r="N1382" t="s">
        <v>26</v>
      </c>
      <c r="O1382" s="8">
        <v>1.0693333330000001</v>
      </c>
      <c r="P1382" s="8">
        <f>EXP(-1.363+3.366*LOG(O1382,10))</f>
        <v>0.28223780327142356</v>
      </c>
      <c r="Q1382" s="8">
        <f>(1599772*100)/1881247</f>
        <v>85.037849894245682</v>
      </c>
    </row>
    <row r="1383" spans="1:17" x14ac:dyDescent="0.2">
      <c r="A1383">
        <v>2014</v>
      </c>
      <c r="B1383" t="s">
        <v>1634</v>
      </c>
      <c r="C1383" t="s">
        <v>1635</v>
      </c>
      <c r="D1383" t="s">
        <v>1558</v>
      </c>
      <c r="E1383">
        <v>6</v>
      </c>
      <c r="F1383" t="s">
        <v>19</v>
      </c>
      <c r="G1383" t="s">
        <v>352</v>
      </c>
      <c r="H1383" t="s">
        <v>1142</v>
      </c>
      <c r="I1383" t="s">
        <v>22</v>
      </c>
      <c r="J1383" t="s">
        <v>42</v>
      </c>
      <c r="K1383" t="s">
        <v>1543</v>
      </c>
      <c r="L1383" t="s">
        <v>25</v>
      </c>
      <c r="M1383" s="8">
        <v>1.1423333330000001</v>
      </c>
      <c r="N1383" t="s">
        <v>26</v>
      </c>
      <c r="O1383" s="8">
        <v>1.1423333330000001</v>
      </c>
      <c r="P1383" s="8">
        <f>EXP(-1.363+3.366*LOG(O1383,10))</f>
        <v>0.31084239358261528</v>
      </c>
      <c r="Q1383" s="8">
        <f>(3602085*100)/4019599</f>
        <v>89.613043490159086</v>
      </c>
    </row>
    <row r="1384" spans="1:17" x14ac:dyDescent="0.2">
      <c r="A1384">
        <v>2014</v>
      </c>
      <c r="B1384" t="s">
        <v>1638</v>
      </c>
      <c r="C1384" t="s">
        <v>1635</v>
      </c>
      <c r="D1384" t="s">
        <v>1558</v>
      </c>
      <c r="E1384">
        <v>6</v>
      </c>
      <c r="F1384" t="s">
        <v>19</v>
      </c>
      <c r="G1384" t="s">
        <v>352</v>
      </c>
      <c r="H1384" t="s">
        <v>1459</v>
      </c>
      <c r="I1384" t="s">
        <v>22</v>
      </c>
      <c r="J1384" t="s">
        <v>42</v>
      </c>
      <c r="K1384" t="s">
        <v>1543</v>
      </c>
      <c r="L1384" t="s">
        <v>25</v>
      </c>
      <c r="M1384" s="8">
        <v>1.1910000000000001</v>
      </c>
      <c r="N1384" t="s">
        <v>26</v>
      </c>
      <c r="O1384" s="8">
        <v>1.1910000000000001</v>
      </c>
      <c r="P1384" s="8">
        <f>EXP(-1.363+3.366*LOG(O1384,10))</f>
        <v>0.33039016297752993</v>
      </c>
      <c r="Q1384" s="8">
        <f>(3602085*100)/4019599</f>
        <v>89.613043490159086</v>
      </c>
    </row>
    <row r="1385" spans="1:17" x14ac:dyDescent="0.2">
      <c r="A1385">
        <v>2014</v>
      </c>
      <c r="B1385" t="s">
        <v>1639</v>
      </c>
      <c r="C1385" t="s">
        <v>1635</v>
      </c>
      <c r="D1385" t="s">
        <v>1558</v>
      </c>
      <c r="E1385">
        <v>6</v>
      </c>
      <c r="F1385" t="s">
        <v>19</v>
      </c>
      <c r="G1385" t="s">
        <v>352</v>
      </c>
      <c r="H1385" t="s">
        <v>975</v>
      </c>
      <c r="I1385" t="s">
        <v>22</v>
      </c>
      <c r="J1385" t="s">
        <v>42</v>
      </c>
      <c r="K1385" t="s">
        <v>1543</v>
      </c>
      <c r="L1385" t="s">
        <v>25</v>
      </c>
      <c r="M1385" s="8">
        <v>1.0693333330000001</v>
      </c>
      <c r="N1385" t="s">
        <v>26</v>
      </c>
      <c r="O1385" s="8">
        <v>1.0693333330000001</v>
      </c>
      <c r="P1385" s="8">
        <f>EXP(-1.363+3.366*LOG(O1385,10))</f>
        <v>0.28223780327142356</v>
      </c>
      <c r="Q1385" s="8">
        <f>(3602085*100)/4019599</f>
        <v>89.613043490159086</v>
      </c>
    </row>
    <row r="1386" spans="1:17" x14ac:dyDescent="0.2">
      <c r="A1386">
        <v>2014</v>
      </c>
      <c r="B1386" t="s">
        <v>1643</v>
      </c>
      <c r="C1386" t="s">
        <v>1635</v>
      </c>
      <c r="D1386" t="s">
        <v>1568</v>
      </c>
      <c r="E1386">
        <v>6</v>
      </c>
      <c r="F1386" t="s">
        <v>19</v>
      </c>
      <c r="G1386" t="s">
        <v>352</v>
      </c>
      <c r="H1386" t="s">
        <v>975</v>
      </c>
      <c r="I1386" t="s">
        <v>22</v>
      </c>
      <c r="J1386" t="s">
        <v>42</v>
      </c>
      <c r="K1386" t="s">
        <v>1543</v>
      </c>
      <c r="L1386" t="s">
        <v>25</v>
      </c>
      <c r="M1386" s="8">
        <v>1.0693333330000001</v>
      </c>
      <c r="N1386" t="s">
        <v>26</v>
      </c>
      <c r="O1386" s="8">
        <v>1.0693333330000001</v>
      </c>
      <c r="P1386" s="8">
        <f>EXP(-1.363+3.366*LOG(O1386,10))</f>
        <v>0.28223780327142356</v>
      </c>
      <c r="Q1386" s="8">
        <f>(3602085*100)/4019599</f>
        <v>89.613043490159086</v>
      </c>
    </row>
    <row r="1387" spans="1:17" x14ac:dyDescent="0.2">
      <c r="A1387">
        <v>2014</v>
      </c>
      <c r="B1387" t="s">
        <v>1644</v>
      </c>
      <c r="C1387" t="s">
        <v>1635</v>
      </c>
      <c r="D1387" t="s">
        <v>1556</v>
      </c>
      <c r="E1387">
        <v>6</v>
      </c>
      <c r="F1387" t="s">
        <v>19</v>
      </c>
      <c r="G1387" t="s">
        <v>332</v>
      </c>
      <c r="H1387" t="s">
        <v>330</v>
      </c>
      <c r="I1387" t="s">
        <v>36</v>
      </c>
      <c r="J1387" t="s">
        <v>42</v>
      </c>
      <c r="K1387" t="s">
        <v>1543</v>
      </c>
      <c r="L1387" t="s">
        <v>25</v>
      </c>
      <c r="M1387" s="8">
        <v>1.100666667</v>
      </c>
      <c r="N1387" t="s">
        <v>26</v>
      </c>
      <c r="O1387" s="8">
        <v>1.100666667</v>
      </c>
      <c r="P1387" s="8">
        <f>EXP(-1.363+3.366*LOG(O1387,10))</f>
        <v>0.29440864465042604</v>
      </c>
      <c r="Q1387" s="8">
        <f>(3602085*100)/4019599</f>
        <v>89.613043490159086</v>
      </c>
    </row>
    <row r="1388" spans="1:17" x14ac:dyDescent="0.2">
      <c r="A1388">
        <v>2014</v>
      </c>
      <c r="B1388" t="s">
        <v>1645</v>
      </c>
      <c r="C1388" t="s">
        <v>1635</v>
      </c>
      <c r="D1388" t="s">
        <v>1568</v>
      </c>
      <c r="E1388">
        <v>6</v>
      </c>
      <c r="F1388" t="s">
        <v>19</v>
      </c>
      <c r="G1388" t="s">
        <v>352</v>
      </c>
      <c r="H1388" t="s">
        <v>975</v>
      </c>
      <c r="I1388" t="s">
        <v>22</v>
      </c>
      <c r="J1388" t="s">
        <v>42</v>
      </c>
      <c r="K1388" t="s">
        <v>1543</v>
      </c>
      <c r="L1388" t="s">
        <v>25</v>
      </c>
      <c r="M1388" s="8">
        <v>1.0693333330000001</v>
      </c>
      <c r="N1388" t="s">
        <v>26</v>
      </c>
      <c r="O1388" s="8">
        <v>1.0693333330000001</v>
      </c>
      <c r="P1388" s="8">
        <f>EXP(-1.363+3.366*LOG(O1388,10))</f>
        <v>0.28223780327142356</v>
      </c>
      <c r="Q1388" s="8">
        <f>(3602085*100)/4019599</f>
        <v>89.613043490159086</v>
      </c>
    </row>
    <row r="1389" spans="1:17" x14ac:dyDescent="0.2">
      <c r="A1389">
        <v>2014</v>
      </c>
      <c r="B1389" t="s">
        <v>1646</v>
      </c>
      <c r="C1389" t="s">
        <v>1635</v>
      </c>
      <c r="D1389" t="s">
        <v>1568</v>
      </c>
      <c r="E1389">
        <v>6</v>
      </c>
      <c r="F1389" t="s">
        <v>19</v>
      </c>
      <c r="G1389" t="s">
        <v>352</v>
      </c>
      <c r="H1389" t="s">
        <v>975</v>
      </c>
      <c r="I1389" t="s">
        <v>22</v>
      </c>
      <c r="J1389" t="s">
        <v>42</v>
      </c>
      <c r="K1389" t="s">
        <v>1543</v>
      </c>
      <c r="L1389" t="s">
        <v>25</v>
      </c>
      <c r="M1389" s="8">
        <v>1.0693333330000001</v>
      </c>
      <c r="N1389" t="s">
        <v>26</v>
      </c>
      <c r="O1389" s="8">
        <v>1.0693333330000001</v>
      </c>
      <c r="P1389" s="8">
        <f>EXP(-1.363+3.366*LOG(O1389,10))</f>
        <v>0.28223780327142356</v>
      </c>
      <c r="Q1389" s="8">
        <f>(3602085*100)/4019599</f>
        <v>89.613043490159086</v>
      </c>
    </row>
    <row r="1390" spans="1:17" x14ac:dyDescent="0.2">
      <c r="A1390">
        <v>2014</v>
      </c>
      <c r="B1390" t="s">
        <v>1647</v>
      </c>
      <c r="C1390" t="s">
        <v>1635</v>
      </c>
      <c r="D1390" t="s">
        <v>1568</v>
      </c>
      <c r="E1390">
        <v>6</v>
      </c>
      <c r="F1390" t="s">
        <v>19</v>
      </c>
      <c r="G1390" t="s">
        <v>352</v>
      </c>
      <c r="H1390" t="s">
        <v>975</v>
      </c>
      <c r="I1390" t="s">
        <v>36</v>
      </c>
      <c r="J1390" t="s">
        <v>42</v>
      </c>
      <c r="K1390" t="s">
        <v>1543</v>
      </c>
      <c r="L1390" t="s">
        <v>25</v>
      </c>
      <c r="M1390" s="8">
        <v>0.95199999999999996</v>
      </c>
      <c r="N1390" t="s">
        <v>26</v>
      </c>
      <c r="O1390" s="8">
        <v>0.95199999999999996</v>
      </c>
      <c r="P1390" s="8">
        <f>EXP(-1.363+3.366*LOG(O1390,10))</f>
        <v>0.23813726407794436</v>
      </c>
      <c r="Q1390" s="8">
        <f>(3602085*100)/4019599</f>
        <v>89.613043490159086</v>
      </c>
    </row>
    <row r="1391" spans="1:17" x14ac:dyDescent="0.2">
      <c r="A1391">
        <v>2014</v>
      </c>
      <c r="B1391" t="s">
        <v>1648</v>
      </c>
      <c r="C1391" t="s">
        <v>1635</v>
      </c>
      <c r="D1391" t="s">
        <v>1568</v>
      </c>
      <c r="E1391">
        <v>6</v>
      </c>
      <c r="F1391" t="s">
        <v>19</v>
      </c>
      <c r="G1391" t="s">
        <v>352</v>
      </c>
      <c r="H1391" t="s">
        <v>975</v>
      </c>
      <c r="I1391" t="s">
        <v>22</v>
      </c>
      <c r="J1391" t="s">
        <v>42</v>
      </c>
      <c r="K1391" t="s">
        <v>1543</v>
      </c>
      <c r="L1391" t="s">
        <v>25</v>
      </c>
      <c r="M1391" s="8">
        <v>1.0693333330000001</v>
      </c>
      <c r="N1391" t="s">
        <v>26</v>
      </c>
      <c r="O1391" s="8">
        <v>1.0693333330000001</v>
      </c>
      <c r="P1391" s="8">
        <f>EXP(-1.363+3.366*LOG(O1391,10))</f>
        <v>0.28223780327142356</v>
      </c>
      <c r="Q1391" s="8">
        <f>(3602085*100)/4019599</f>
        <v>89.613043490159086</v>
      </c>
    </row>
    <row r="1392" spans="1:17" x14ac:dyDescent="0.2">
      <c r="A1392">
        <v>2014</v>
      </c>
      <c r="B1392" t="s">
        <v>1651</v>
      </c>
      <c r="C1392" t="s">
        <v>1635</v>
      </c>
      <c r="D1392" t="s">
        <v>1579</v>
      </c>
      <c r="E1392">
        <v>6</v>
      </c>
      <c r="F1392" t="s">
        <v>19</v>
      </c>
      <c r="G1392" t="s">
        <v>352</v>
      </c>
      <c r="H1392" t="s">
        <v>1594</v>
      </c>
      <c r="I1392" t="s">
        <v>22</v>
      </c>
      <c r="J1392" t="s">
        <v>42</v>
      </c>
      <c r="K1392" t="s">
        <v>1543</v>
      </c>
      <c r="L1392" t="s">
        <v>25</v>
      </c>
      <c r="M1392" s="8" t="s">
        <v>26</v>
      </c>
      <c r="N1392" t="s">
        <v>26</v>
      </c>
      <c r="O1392" s="8" t="s">
        <v>26</v>
      </c>
      <c r="P1392" s="8" t="s">
        <v>26</v>
      </c>
      <c r="Q1392" s="8">
        <f>(3602085*100)/4019599</f>
        <v>89.613043490159086</v>
      </c>
    </row>
    <row r="1393" spans="1:17" x14ac:dyDescent="0.2">
      <c r="A1393">
        <v>2014</v>
      </c>
      <c r="B1393" t="s">
        <v>1652</v>
      </c>
      <c r="C1393" t="s">
        <v>1635</v>
      </c>
      <c r="D1393" t="s">
        <v>1579</v>
      </c>
      <c r="E1393">
        <v>6</v>
      </c>
      <c r="F1393" t="s">
        <v>19</v>
      </c>
      <c r="G1393" t="s">
        <v>219</v>
      </c>
      <c r="H1393" t="s">
        <v>220</v>
      </c>
      <c r="I1393" t="s">
        <v>22</v>
      </c>
      <c r="J1393" t="s">
        <v>42</v>
      </c>
      <c r="K1393" t="s">
        <v>1543</v>
      </c>
      <c r="L1393" t="s">
        <v>25</v>
      </c>
      <c r="M1393" s="8">
        <v>2.8969999999999998</v>
      </c>
      <c r="N1393" t="s">
        <v>26</v>
      </c>
      <c r="O1393" s="8">
        <v>2.8969999999999998</v>
      </c>
      <c r="P1393" s="8">
        <f>EXP(-1.363+3.366*LOG(O1393,10))</f>
        <v>1.2115719332293342</v>
      </c>
      <c r="Q1393" s="8">
        <f>(3602085*100)/4019599</f>
        <v>89.613043490159086</v>
      </c>
    </row>
    <row r="1394" spans="1:17" x14ac:dyDescent="0.2">
      <c r="A1394">
        <v>2014</v>
      </c>
      <c r="B1394" t="s">
        <v>1653</v>
      </c>
      <c r="C1394" t="s">
        <v>1635</v>
      </c>
      <c r="D1394" t="s">
        <v>1579</v>
      </c>
      <c r="E1394">
        <v>6</v>
      </c>
      <c r="F1394" t="s">
        <v>19</v>
      </c>
      <c r="G1394" t="s">
        <v>352</v>
      </c>
      <c r="H1394" t="s">
        <v>975</v>
      </c>
      <c r="I1394" t="s">
        <v>36</v>
      </c>
      <c r="J1394" t="s">
        <v>42</v>
      </c>
      <c r="K1394" t="s">
        <v>1543</v>
      </c>
      <c r="L1394" t="s">
        <v>25</v>
      </c>
      <c r="M1394" s="8">
        <v>0.95199999999999996</v>
      </c>
      <c r="N1394" t="s">
        <v>26</v>
      </c>
      <c r="O1394" s="8">
        <v>0.95199999999999996</v>
      </c>
      <c r="P1394" s="8">
        <f>EXP(-1.363+3.366*LOG(O1394,10))</f>
        <v>0.23813726407794436</v>
      </c>
      <c r="Q1394" s="8">
        <f>(3602085*100)/4019599</f>
        <v>89.613043490159086</v>
      </c>
    </row>
    <row r="1395" spans="1:17" x14ac:dyDescent="0.2">
      <c r="A1395">
        <v>2014</v>
      </c>
      <c r="B1395" t="s">
        <v>1654</v>
      </c>
      <c r="C1395" t="s">
        <v>1635</v>
      </c>
      <c r="D1395" t="s">
        <v>1579</v>
      </c>
      <c r="E1395">
        <v>6</v>
      </c>
      <c r="F1395" t="s">
        <v>19</v>
      </c>
      <c r="G1395" t="s">
        <v>332</v>
      </c>
      <c r="H1395" t="s">
        <v>330</v>
      </c>
      <c r="I1395" t="s">
        <v>36</v>
      </c>
      <c r="J1395" t="s">
        <v>42</v>
      </c>
      <c r="K1395" t="s">
        <v>1543</v>
      </c>
      <c r="L1395" t="s">
        <v>25</v>
      </c>
      <c r="M1395" s="8">
        <v>1.100666667</v>
      </c>
      <c r="N1395" t="s">
        <v>26</v>
      </c>
      <c r="O1395" s="8">
        <v>1.100666667</v>
      </c>
      <c r="P1395" s="8">
        <f>EXP(-1.363+3.366*LOG(O1395,10))</f>
        <v>0.29440864465042604</v>
      </c>
      <c r="Q1395" s="8">
        <f>(3602085*100)/4019599</f>
        <v>89.613043490159086</v>
      </c>
    </row>
    <row r="1396" spans="1:17" x14ac:dyDescent="0.2">
      <c r="A1396">
        <v>2014</v>
      </c>
      <c r="B1396" t="s">
        <v>1655</v>
      </c>
      <c r="C1396" t="s">
        <v>1635</v>
      </c>
      <c r="D1396" t="s">
        <v>1579</v>
      </c>
      <c r="E1396">
        <v>6</v>
      </c>
      <c r="F1396" t="s">
        <v>19</v>
      </c>
      <c r="G1396" t="s">
        <v>352</v>
      </c>
      <c r="H1396" t="s">
        <v>623</v>
      </c>
      <c r="I1396" t="s">
        <v>22</v>
      </c>
      <c r="J1396" t="s">
        <v>42</v>
      </c>
      <c r="K1396" t="s">
        <v>1543</v>
      </c>
      <c r="L1396" t="s">
        <v>25</v>
      </c>
      <c r="M1396" s="8">
        <v>1.387</v>
      </c>
      <c r="N1396" t="s">
        <v>26</v>
      </c>
      <c r="O1396" s="8">
        <v>1.387</v>
      </c>
      <c r="P1396" s="8">
        <f>EXP(-1.363+3.366*LOG(O1396,10))</f>
        <v>0.41280884754947733</v>
      </c>
      <c r="Q1396" s="8">
        <f>(3602085*100)/4019599</f>
        <v>89.613043490159086</v>
      </c>
    </row>
    <row r="1397" spans="1:17" x14ac:dyDescent="0.2">
      <c r="A1397">
        <v>2014</v>
      </c>
      <c r="B1397" t="s">
        <v>1656</v>
      </c>
      <c r="C1397" t="s">
        <v>1635</v>
      </c>
      <c r="D1397" t="s">
        <v>1579</v>
      </c>
      <c r="E1397">
        <v>6</v>
      </c>
      <c r="F1397" t="s">
        <v>19</v>
      </c>
      <c r="G1397" t="s">
        <v>352</v>
      </c>
      <c r="H1397" t="s">
        <v>623</v>
      </c>
      <c r="I1397" t="s">
        <v>22</v>
      </c>
      <c r="J1397" t="s">
        <v>42</v>
      </c>
      <c r="K1397" t="s">
        <v>1543</v>
      </c>
      <c r="L1397" t="s">
        <v>25</v>
      </c>
      <c r="M1397" s="8">
        <v>1.387</v>
      </c>
      <c r="N1397" t="s">
        <v>26</v>
      </c>
      <c r="O1397" s="8">
        <v>1.387</v>
      </c>
      <c r="P1397" s="8">
        <f>EXP(-1.363+3.366*LOG(O1397,10))</f>
        <v>0.41280884754947733</v>
      </c>
      <c r="Q1397" s="8">
        <f>(3602085*100)/4019599</f>
        <v>89.613043490159086</v>
      </c>
    </row>
    <row r="1398" spans="1:17" x14ac:dyDescent="0.2">
      <c r="A1398">
        <v>2014</v>
      </c>
      <c r="B1398" t="s">
        <v>1658</v>
      </c>
      <c r="C1398" t="s">
        <v>1635</v>
      </c>
      <c r="D1398" t="s">
        <v>1579</v>
      </c>
      <c r="E1398">
        <v>6</v>
      </c>
      <c r="F1398" t="s">
        <v>19</v>
      </c>
      <c r="G1398" t="s">
        <v>332</v>
      </c>
      <c r="H1398" t="s">
        <v>330</v>
      </c>
      <c r="I1398" t="s">
        <v>22</v>
      </c>
      <c r="J1398" t="s">
        <v>42</v>
      </c>
      <c r="K1398" t="s">
        <v>1543</v>
      </c>
      <c r="L1398" t="s">
        <v>25</v>
      </c>
      <c r="M1398" s="8">
        <v>1.2170000000000001</v>
      </c>
      <c r="N1398" t="s">
        <v>26</v>
      </c>
      <c r="O1398" s="8">
        <v>1.2170000000000001</v>
      </c>
      <c r="P1398" s="8">
        <f>EXP(-1.363+3.366*LOG(O1398,10))</f>
        <v>0.34098666307598596</v>
      </c>
      <c r="Q1398" s="8">
        <f>(3602085*100)/4019599</f>
        <v>89.613043490159086</v>
      </c>
    </row>
    <row r="1399" spans="1:17" x14ac:dyDescent="0.2">
      <c r="A1399">
        <v>2014</v>
      </c>
      <c r="B1399" t="s">
        <v>1659</v>
      </c>
      <c r="C1399" t="s">
        <v>1635</v>
      </c>
      <c r="D1399" t="s">
        <v>1579</v>
      </c>
      <c r="E1399">
        <v>6</v>
      </c>
      <c r="F1399" t="s">
        <v>19</v>
      </c>
      <c r="G1399" t="s">
        <v>352</v>
      </c>
      <c r="H1399" t="s">
        <v>623</v>
      </c>
      <c r="I1399" t="s">
        <v>22</v>
      </c>
      <c r="J1399" t="s">
        <v>42</v>
      </c>
      <c r="K1399" t="s">
        <v>1543</v>
      </c>
      <c r="L1399" t="s">
        <v>25</v>
      </c>
      <c r="M1399" s="8">
        <v>1.387</v>
      </c>
      <c r="N1399" t="s">
        <v>26</v>
      </c>
      <c r="O1399" s="8">
        <v>1.387</v>
      </c>
      <c r="P1399" s="8">
        <f>EXP(-1.363+3.366*LOG(O1399,10))</f>
        <v>0.41280884754947733</v>
      </c>
      <c r="Q1399" s="8">
        <f>(3602085*100)/4019599</f>
        <v>89.613043490159086</v>
      </c>
    </row>
    <row r="1400" spans="1:17" x14ac:dyDescent="0.2">
      <c r="A1400">
        <v>2014</v>
      </c>
      <c r="B1400" t="s">
        <v>1660</v>
      </c>
      <c r="C1400" t="s">
        <v>1635</v>
      </c>
      <c r="D1400" t="s">
        <v>1579</v>
      </c>
      <c r="E1400">
        <v>6</v>
      </c>
      <c r="F1400" t="s">
        <v>19</v>
      </c>
      <c r="G1400" t="s">
        <v>352</v>
      </c>
      <c r="H1400" t="s">
        <v>975</v>
      </c>
      <c r="I1400" t="s">
        <v>22</v>
      </c>
      <c r="J1400" t="s">
        <v>42</v>
      </c>
      <c r="K1400" t="s">
        <v>1543</v>
      </c>
      <c r="L1400" t="s">
        <v>25</v>
      </c>
      <c r="M1400" s="8">
        <v>1.0693333330000001</v>
      </c>
      <c r="N1400" t="s">
        <v>26</v>
      </c>
      <c r="O1400" s="8">
        <v>1.0693333330000001</v>
      </c>
      <c r="P1400" s="8">
        <f>EXP(-1.363+3.366*LOG(O1400,10))</f>
        <v>0.28223780327142356</v>
      </c>
      <c r="Q1400" s="8">
        <f>(3602085*100)/4019599</f>
        <v>89.613043490159086</v>
      </c>
    </row>
    <row r="1401" spans="1:17" x14ac:dyDescent="0.2">
      <c r="A1401">
        <v>2014</v>
      </c>
      <c r="B1401" t="s">
        <v>1661</v>
      </c>
      <c r="C1401" t="s">
        <v>1635</v>
      </c>
      <c r="D1401" t="s">
        <v>1597</v>
      </c>
      <c r="E1401">
        <v>7</v>
      </c>
      <c r="F1401" t="s">
        <v>19</v>
      </c>
      <c r="G1401" t="s">
        <v>352</v>
      </c>
      <c r="H1401" t="s">
        <v>975</v>
      </c>
      <c r="I1401" t="s">
        <v>22</v>
      </c>
      <c r="J1401" t="s">
        <v>42</v>
      </c>
      <c r="K1401" t="s">
        <v>1543</v>
      </c>
      <c r="L1401" t="s">
        <v>25</v>
      </c>
      <c r="M1401" s="8">
        <v>1.0693333330000001</v>
      </c>
      <c r="N1401" t="s">
        <v>26</v>
      </c>
      <c r="O1401" s="8">
        <v>1.0693333330000001</v>
      </c>
      <c r="P1401" s="8">
        <f>EXP(-1.363+3.366*LOG(O1401,10))</f>
        <v>0.28223780327142356</v>
      </c>
      <c r="Q1401" s="8">
        <f>(3602085*100)/4019599</f>
        <v>89.613043490159086</v>
      </c>
    </row>
    <row r="1402" spans="1:17" x14ac:dyDescent="0.2">
      <c r="A1402">
        <v>2014</v>
      </c>
      <c r="B1402" t="s">
        <v>1662</v>
      </c>
      <c r="C1402" t="s">
        <v>1635</v>
      </c>
      <c r="D1402" t="s">
        <v>1597</v>
      </c>
      <c r="E1402">
        <v>7</v>
      </c>
      <c r="F1402" t="s">
        <v>19</v>
      </c>
      <c r="G1402" t="s">
        <v>352</v>
      </c>
      <c r="H1402" t="s">
        <v>975</v>
      </c>
      <c r="I1402" t="s">
        <v>22</v>
      </c>
      <c r="J1402" t="s">
        <v>42</v>
      </c>
      <c r="K1402" t="s">
        <v>1543</v>
      </c>
      <c r="L1402" t="s">
        <v>25</v>
      </c>
      <c r="M1402" s="8">
        <v>1.0693333330000001</v>
      </c>
      <c r="N1402" t="s">
        <v>26</v>
      </c>
      <c r="O1402" s="8">
        <v>1.0693333330000001</v>
      </c>
      <c r="P1402" s="8">
        <f>EXP(-1.363+3.366*LOG(O1402,10))</f>
        <v>0.28223780327142356</v>
      </c>
      <c r="Q1402" s="8">
        <f>(3602085*100)/4019599</f>
        <v>89.613043490159086</v>
      </c>
    </row>
    <row r="1403" spans="1:17" x14ac:dyDescent="0.2">
      <c r="A1403">
        <v>2014</v>
      </c>
      <c r="B1403" t="s">
        <v>1663</v>
      </c>
      <c r="C1403" t="s">
        <v>1635</v>
      </c>
      <c r="D1403" t="s">
        <v>1556</v>
      </c>
      <c r="E1403">
        <v>6</v>
      </c>
      <c r="F1403" t="s">
        <v>19</v>
      </c>
      <c r="G1403" t="s">
        <v>352</v>
      </c>
      <c r="H1403" t="s">
        <v>1142</v>
      </c>
      <c r="I1403" t="s">
        <v>22</v>
      </c>
      <c r="J1403" t="s">
        <v>42</v>
      </c>
      <c r="K1403" t="s">
        <v>1543</v>
      </c>
      <c r="L1403" t="s">
        <v>25</v>
      </c>
      <c r="M1403" s="8">
        <v>1.1423333330000001</v>
      </c>
      <c r="N1403" t="s">
        <v>26</v>
      </c>
      <c r="O1403" s="8">
        <v>1.1423333330000001</v>
      </c>
      <c r="P1403" s="8">
        <f>EXP(-1.363+3.366*LOG(O1403,10))</f>
        <v>0.31084239358261528</v>
      </c>
      <c r="Q1403" s="8">
        <f>(3602085*100)/4019599</f>
        <v>89.613043490159086</v>
      </c>
    </row>
    <row r="1404" spans="1:17" x14ac:dyDescent="0.2">
      <c r="A1404">
        <v>2014</v>
      </c>
      <c r="B1404" t="s">
        <v>1664</v>
      </c>
      <c r="C1404" t="s">
        <v>1635</v>
      </c>
      <c r="D1404" t="s">
        <v>1597</v>
      </c>
      <c r="E1404">
        <v>7</v>
      </c>
      <c r="F1404" t="s">
        <v>19</v>
      </c>
      <c r="G1404" t="s">
        <v>352</v>
      </c>
      <c r="H1404" t="s">
        <v>975</v>
      </c>
      <c r="I1404" t="s">
        <v>22</v>
      </c>
      <c r="J1404" t="s">
        <v>42</v>
      </c>
      <c r="K1404" t="s">
        <v>1543</v>
      </c>
      <c r="L1404" t="s">
        <v>25</v>
      </c>
      <c r="M1404" s="8">
        <v>1.0693333330000001</v>
      </c>
      <c r="N1404" t="s">
        <v>26</v>
      </c>
      <c r="O1404" s="8">
        <v>1.0693333330000001</v>
      </c>
      <c r="P1404" s="8">
        <f>EXP(-1.363+3.366*LOG(O1404,10))</f>
        <v>0.28223780327142356</v>
      </c>
      <c r="Q1404" s="8">
        <f>(3602085*100)/4019599</f>
        <v>89.613043490159086</v>
      </c>
    </row>
    <row r="1405" spans="1:17" x14ac:dyDescent="0.2">
      <c r="A1405">
        <v>2014</v>
      </c>
      <c r="B1405" t="s">
        <v>1665</v>
      </c>
      <c r="C1405" t="s">
        <v>1635</v>
      </c>
      <c r="D1405" t="s">
        <v>1597</v>
      </c>
      <c r="E1405">
        <v>7</v>
      </c>
      <c r="F1405" t="s">
        <v>19</v>
      </c>
      <c r="G1405" t="s">
        <v>332</v>
      </c>
      <c r="H1405" t="s">
        <v>1641</v>
      </c>
      <c r="I1405" t="s">
        <v>22</v>
      </c>
      <c r="J1405" t="s">
        <v>42</v>
      </c>
      <c r="K1405" t="s">
        <v>1543</v>
      </c>
      <c r="L1405" t="s">
        <v>26</v>
      </c>
      <c r="M1405" s="8" t="s">
        <v>26</v>
      </c>
      <c r="N1405" t="s">
        <v>26</v>
      </c>
      <c r="O1405" s="8" t="s">
        <v>26</v>
      </c>
      <c r="P1405" s="8" t="s">
        <v>26</v>
      </c>
      <c r="Q1405" s="8">
        <f>(3602085*100)/4019599</f>
        <v>89.613043490159086</v>
      </c>
    </row>
    <row r="1406" spans="1:17" x14ac:dyDescent="0.2">
      <c r="A1406">
        <v>2014</v>
      </c>
      <c r="B1406" t="s">
        <v>1666</v>
      </c>
      <c r="C1406" t="s">
        <v>1635</v>
      </c>
      <c r="D1406" t="s">
        <v>1601</v>
      </c>
      <c r="E1406">
        <v>7</v>
      </c>
      <c r="F1406" t="s">
        <v>19</v>
      </c>
      <c r="G1406" t="s">
        <v>352</v>
      </c>
      <c r="H1406" t="s">
        <v>975</v>
      </c>
      <c r="I1406" t="s">
        <v>36</v>
      </c>
      <c r="J1406" t="s">
        <v>42</v>
      </c>
      <c r="K1406" t="s">
        <v>1543</v>
      </c>
      <c r="L1406" t="s">
        <v>25</v>
      </c>
      <c r="M1406" s="8">
        <v>0.95199999999999996</v>
      </c>
      <c r="N1406" t="s">
        <v>26</v>
      </c>
      <c r="O1406" s="8">
        <v>0.95199999999999996</v>
      </c>
      <c r="P1406" s="8">
        <f>EXP(-1.363+3.366*LOG(O1406,10))</f>
        <v>0.23813726407794436</v>
      </c>
      <c r="Q1406" s="8">
        <f>(3602085*100)/4019599</f>
        <v>89.613043490159086</v>
      </c>
    </row>
    <row r="1407" spans="1:17" x14ac:dyDescent="0.2">
      <c r="A1407">
        <v>2014</v>
      </c>
      <c r="B1407" t="s">
        <v>1667</v>
      </c>
      <c r="C1407" t="s">
        <v>1635</v>
      </c>
      <c r="D1407" t="s">
        <v>1601</v>
      </c>
      <c r="E1407">
        <v>7</v>
      </c>
      <c r="F1407" t="s">
        <v>19</v>
      </c>
      <c r="G1407" t="s">
        <v>352</v>
      </c>
      <c r="H1407" t="s">
        <v>1142</v>
      </c>
      <c r="I1407" t="s">
        <v>22</v>
      </c>
      <c r="J1407" t="s">
        <v>42</v>
      </c>
      <c r="K1407" t="s">
        <v>1543</v>
      </c>
      <c r="L1407" t="s">
        <v>25</v>
      </c>
      <c r="M1407" s="8">
        <v>1.1423333330000001</v>
      </c>
      <c r="N1407" t="s">
        <v>26</v>
      </c>
      <c r="O1407" s="8">
        <v>1.1423333330000001</v>
      </c>
      <c r="P1407" s="8">
        <f>EXP(-1.363+3.366*LOG(O1407,10))</f>
        <v>0.31084239358261528</v>
      </c>
      <c r="Q1407" s="8">
        <f>(3602085*100)/4019599</f>
        <v>89.613043490159086</v>
      </c>
    </row>
    <row r="1408" spans="1:17" x14ac:dyDescent="0.2">
      <c r="A1408">
        <v>2014</v>
      </c>
      <c r="B1408" t="s">
        <v>1668</v>
      </c>
      <c r="C1408" t="s">
        <v>1635</v>
      </c>
      <c r="D1408" t="s">
        <v>1601</v>
      </c>
      <c r="E1408">
        <v>7</v>
      </c>
      <c r="F1408" t="s">
        <v>19</v>
      </c>
      <c r="G1408" t="s">
        <v>352</v>
      </c>
      <c r="H1408" t="s">
        <v>623</v>
      </c>
      <c r="I1408" t="s">
        <v>22</v>
      </c>
      <c r="J1408" t="s">
        <v>42</v>
      </c>
      <c r="K1408" t="s">
        <v>1543</v>
      </c>
      <c r="L1408" t="s">
        <v>25</v>
      </c>
      <c r="M1408" s="8">
        <v>1.387</v>
      </c>
      <c r="N1408" t="s">
        <v>26</v>
      </c>
      <c r="O1408" s="8">
        <v>1.387</v>
      </c>
      <c r="P1408" s="8">
        <f>EXP(-1.363+3.366*LOG(O1408,10))</f>
        <v>0.41280884754947733</v>
      </c>
      <c r="Q1408" s="8">
        <f>(3602085*100)/4019599</f>
        <v>89.613043490159086</v>
      </c>
    </row>
    <row r="1409" spans="1:17" x14ac:dyDescent="0.2">
      <c r="A1409">
        <v>2014</v>
      </c>
      <c r="B1409" t="s">
        <v>1669</v>
      </c>
      <c r="C1409" t="s">
        <v>1635</v>
      </c>
      <c r="D1409" t="s">
        <v>1601</v>
      </c>
      <c r="E1409">
        <v>7</v>
      </c>
      <c r="F1409" t="s">
        <v>19</v>
      </c>
      <c r="G1409" t="s">
        <v>352</v>
      </c>
      <c r="H1409" t="s">
        <v>975</v>
      </c>
      <c r="I1409" t="s">
        <v>36</v>
      </c>
      <c r="J1409" t="s">
        <v>42</v>
      </c>
      <c r="K1409" t="s">
        <v>1543</v>
      </c>
      <c r="L1409" t="s">
        <v>25</v>
      </c>
      <c r="M1409" s="8">
        <v>0.95199999999999996</v>
      </c>
      <c r="N1409" t="s">
        <v>26</v>
      </c>
      <c r="O1409" s="8">
        <v>0.95199999999999996</v>
      </c>
      <c r="P1409" s="8">
        <f>EXP(-1.363+3.366*LOG(O1409,10))</f>
        <v>0.23813726407794436</v>
      </c>
      <c r="Q1409" s="8">
        <f>(3602085*100)/4019599</f>
        <v>89.613043490159086</v>
      </c>
    </row>
    <row r="1410" spans="1:17" x14ac:dyDescent="0.2">
      <c r="A1410">
        <v>2014</v>
      </c>
      <c r="B1410" t="s">
        <v>1670</v>
      </c>
      <c r="C1410" t="s">
        <v>1635</v>
      </c>
      <c r="D1410" t="s">
        <v>1601</v>
      </c>
      <c r="E1410">
        <v>7</v>
      </c>
      <c r="F1410" t="s">
        <v>19</v>
      </c>
      <c r="G1410" t="s">
        <v>352</v>
      </c>
      <c r="H1410" t="s">
        <v>1671</v>
      </c>
      <c r="I1410" t="s">
        <v>36</v>
      </c>
      <c r="J1410" t="s">
        <v>42</v>
      </c>
      <c r="K1410" t="s">
        <v>1543</v>
      </c>
      <c r="L1410" t="s">
        <v>25</v>
      </c>
      <c r="M1410" s="8" t="s">
        <v>26</v>
      </c>
      <c r="N1410" t="s">
        <v>26</v>
      </c>
      <c r="O1410" s="8" t="s">
        <v>26</v>
      </c>
      <c r="P1410" s="8" t="s">
        <v>26</v>
      </c>
      <c r="Q1410" s="8">
        <f>(3602085*100)/4019599</f>
        <v>89.613043490159086</v>
      </c>
    </row>
    <row r="1411" spans="1:17" x14ac:dyDescent="0.2">
      <c r="A1411">
        <v>2014</v>
      </c>
      <c r="B1411" t="s">
        <v>1672</v>
      </c>
      <c r="C1411" t="s">
        <v>1635</v>
      </c>
      <c r="D1411" t="s">
        <v>1601</v>
      </c>
      <c r="E1411">
        <v>7</v>
      </c>
      <c r="F1411" t="s">
        <v>19</v>
      </c>
      <c r="G1411" t="s">
        <v>352</v>
      </c>
      <c r="H1411" t="s">
        <v>623</v>
      </c>
      <c r="I1411" t="s">
        <v>36</v>
      </c>
      <c r="J1411" t="s">
        <v>42</v>
      </c>
      <c r="K1411" t="s">
        <v>1543</v>
      </c>
      <c r="L1411" t="s">
        <v>25</v>
      </c>
      <c r="M1411" s="8">
        <v>1.1339999999999999</v>
      </c>
      <c r="N1411" t="s">
        <v>26</v>
      </c>
      <c r="O1411" s="8">
        <v>1.1339999999999999</v>
      </c>
      <c r="P1411" s="8">
        <f>EXP(-1.363+3.366*LOG(O1411,10))</f>
        <v>0.30753312979708036</v>
      </c>
      <c r="Q1411" s="8">
        <f>(3602085*100)/4019599</f>
        <v>89.613043490159086</v>
      </c>
    </row>
    <row r="1412" spans="1:17" x14ac:dyDescent="0.2">
      <c r="A1412">
        <v>2014</v>
      </c>
      <c r="B1412" t="s">
        <v>1673</v>
      </c>
      <c r="C1412" t="s">
        <v>1635</v>
      </c>
      <c r="D1412" t="s">
        <v>1603</v>
      </c>
      <c r="E1412">
        <v>7</v>
      </c>
      <c r="F1412" t="s">
        <v>19</v>
      </c>
      <c r="G1412" t="s">
        <v>352</v>
      </c>
      <c r="H1412" t="s">
        <v>975</v>
      </c>
      <c r="I1412" t="s">
        <v>22</v>
      </c>
      <c r="J1412" t="s">
        <v>42</v>
      </c>
      <c r="K1412" t="s">
        <v>1543</v>
      </c>
      <c r="L1412" t="s">
        <v>25</v>
      </c>
      <c r="M1412" s="8">
        <v>1.0693333330000001</v>
      </c>
      <c r="N1412" t="s">
        <v>26</v>
      </c>
      <c r="O1412" s="8">
        <v>1.0693333330000001</v>
      </c>
      <c r="P1412" s="8">
        <f>EXP(-1.363+3.366*LOG(O1412,10))</f>
        <v>0.28223780327142356</v>
      </c>
      <c r="Q1412" s="8">
        <f>(3602085*100)/4019599</f>
        <v>89.613043490159086</v>
      </c>
    </row>
    <row r="1413" spans="1:17" x14ac:dyDescent="0.2">
      <c r="A1413">
        <v>2014</v>
      </c>
      <c r="B1413" t="s">
        <v>1674</v>
      </c>
      <c r="C1413" t="s">
        <v>1635</v>
      </c>
      <c r="D1413" t="s">
        <v>1603</v>
      </c>
      <c r="E1413">
        <v>7</v>
      </c>
      <c r="F1413" t="s">
        <v>19</v>
      </c>
      <c r="G1413" t="s">
        <v>209</v>
      </c>
      <c r="H1413" t="s">
        <v>210</v>
      </c>
      <c r="I1413" t="s">
        <v>22</v>
      </c>
      <c r="J1413" t="s">
        <v>42</v>
      </c>
      <c r="K1413" t="s">
        <v>1543</v>
      </c>
      <c r="L1413" t="s">
        <v>187</v>
      </c>
      <c r="M1413" s="8" t="s">
        <v>26</v>
      </c>
      <c r="N1413" t="s">
        <v>26</v>
      </c>
      <c r="O1413" s="8" t="s">
        <v>26</v>
      </c>
      <c r="P1413" s="8" t="s">
        <v>26</v>
      </c>
      <c r="Q1413" s="8">
        <f>(3602085*100)/4019599</f>
        <v>89.613043490159086</v>
      </c>
    </row>
    <row r="1414" spans="1:17" x14ac:dyDescent="0.2">
      <c r="A1414">
        <v>2014</v>
      </c>
      <c r="B1414" t="s">
        <v>1675</v>
      </c>
      <c r="C1414" t="s">
        <v>1635</v>
      </c>
      <c r="D1414" t="s">
        <v>1556</v>
      </c>
      <c r="E1414">
        <v>6</v>
      </c>
      <c r="F1414" t="s">
        <v>19</v>
      </c>
      <c r="G1414" t="s">
        <v>219</v>
      </c>
      <c r="H1414" t="s">
        <v>220</v>
      </c>
      <c r="I1414" t="s">
        <v>22</v>
      </c>
      <c r="J1414" t="s">
        <v>42</v>
      </c>
      <c r="K1414" t="s">
        <v>1543</v>
      </c>
      <c r="L1414" t="s">
        <v>25</v>
      </c>
      <c r="M1414" s="8">
        <v>2.8969999999999998</v>
      </c>
      <c r="N1414" t="s">
        <v>26</v>
      </c>
      <c r="O1414" s="8">
        <v>2.8969999999999998</v>
      </c>
      <c r="P1414" s="8">
        <f>EXP(-1.363+3.366*LOG(O1414,10))</f>
        <v>1.2115719332293342</v>
      </c>
      <c r="Q1414" s="8">
        <f>(3602085*100)/4019599</f>
        <v>89.613043490159086</v>
      </c>
    </row>
    <row r="1415" spans="1:17" x14ac:dyDescent="0.2">
      <c r="A1415">
        <v>2014</v>
      </c>
      <c r="B1415" t="s">
        <v>1676</v>
      </c>
      <c r="C1415" t="s">
        <v>1635</v>
      </c>
      <c r="D1415" t="s">
        <v>1612</v>
      </c>
      <c r="E1415">
        <v>7</v>
      </c>
      <c r="F1415" t="s">
        <v>19</v>
      </c>
      <c r="G1415" t="s">
        <v>352</v>
      </c>
      <c r="H1415" t="s">
        <v>975</v>
      </c>
      <c r="I1415" t="s">
        <v>36</v>
      </c>
      <c r="J1415" t="s">
        <v>42</v>
      </c>
      <c r="K1415" t="s">
        <v>1543</v>
      </c>
      <c r="L1415" t="s">
        <v>25</v>
      </c>
      <c r="M1415" s="8">
        <v>0.95199999999999996</v>
      </c>
      <c r="N1415" t="s">
        <v>26</v>
      </c>
      <c r="O1415" s="8">
        <v>0.95199999999999996</v>
      </c>
      <c r="P1415" s="8">
        <f>EXP(-1.363+3.366*LOG(O1415,10))</f>
        <v>0.23813726407794436</v>
      </c>
      <c r="Q1415" s="8">
        <f>(3602085*100)/4019599</f>
        <v>89.613043490159086</v>
      </c>
    </row>
    <row r="1416" spans="1:17" x14ac:dyDescent="0.2">
      <c r="A1416">
        <v>2014</v>
      </c>
      <c r="B1416" t="s">
        <v>1677</v>
      </c>
      <c r="C1416" t="s">
        <v>1635</v>
      </c>
      <c r="D1416" t="s">
        <v>1556</v>
      </c>
      <c r="E1416">
        <v>6</v>
      </c>
      <c r="F1416" t="s">
        <v>19</v>
      </c>
      <c r="G1416" t="s">
        <v>219</v>
      </c>
      <c r="H1416" t="s">
        <v>220</v>
      </c>
      <c r="I1416" t="s">
        <v>22</v>
      </c>
      <c r="J1416" t="s">
        <v>42</v>
      </c>
      <c r="K1416" t="s">
        <v>1543</v>
      </c>
      <c r="L1416" t="s">
        <v>25</v>
      </c>
      <c r="M1416" s="8">
        <v>2.8969999999999998</v>
      </c>
      <c r="N1416" t="s">
        <v>26</v>
      </c>
      <c r="O1416" s="8">
        <v>2.8969999999999998</v>
      </c>
      <c r="P1416" s="8">
        <f>EXP(-1.363+3.366*LOG(O1416,10))</f>
        <v>1.2115719332293342</v>
      </c>
      <c r="Q1416" s="8">
        <f>(3602085*100)/4019599</f>
        <v>89.613043490159086</v>
      </c>
    </row>
    <row r="1417" spans="1:17" x14ac:dyDescent="0.2">
      <c r="A1417">
        <v>2014</v>
      </c>
      <c r="B1417" t="s">
        <v>1678</v>
      </c>
      <c r="C1417" t="s">
        <v>1635</v>
      </c>
      <c r="D1417" t="s">
        <v>1556</v>
      </c>
      <c r="E1417">
        <v>6</v>
      </c>
      <c r="F1417" t="s">
        <v>19</v>
      </c>
      <c r="G1417" t="s">
        <v>219</v>
      </c>
      <c r="H1417" t="s">
        <v>220</v>
      </c>
      <c r="I1417" t="s">
        <v>22</v>
      </c>
      <c r="J1417" t="s">
        <v>42</v>
      </c>
      <c r="K1417" t="s">
        <v>1543</v>
      </c>
      <c r="L1417" t="s">
        <v>25</v>
      </c>
      <c r="M1417" s="8">
        <v>2.8969999999999998</v>
      </c>
      <c r="N1417" t="s">
        <v>26</v>
      </c>
      <c r="O1417" s="8">
        <v>2.8969999999999998</v>
      </c>
      <c r="P1417" s="8">
        <f>EXP(-1.363+3.366*LOG(O1417,10))</f>
        <v>1.2115719332293342</v>
      </c>
      <c r="Q1417" s="8">
        <f>(3602085*100)/4019599</f>
        <v>89.613043490159086</v>
      </c>
    </row>
    <row r="1418" spans="1:17" x14ac:dyDescent="0.2">
      <c r="A1418">
        <v>2014</v>
      </c>
      <c r="B1418" t="s">
        <v>1679</v>
      </c>
      <c r="C1418" t="s">
        <v>1635</v>
      </c>
      <c r="D1418" t="s">
        <v>1556</v>
      </c>
      <c r="E1418">
        <v>6</v>
      </c>
      <c r="F1418" t="s">
        <v>19</v>
      </c>
      <c r="G1418" t="s">
        <v>219</v>
      </c>
      <c r="H1418" t="s">
        <v>220</v>
      </c>
      <c r="I1418" t="s">
        <v>22</v>
      </c>
      <c r="J1418" t="s">
        <v>42</v>
      </c>
      <c r="K1418" t="s">
        <v>1543</v>
      </c>
      <c r="L1418" t="s">
        <v>25</v>
      </c>
      <c r="M1418" s="8">
        <v>2.8969999999999998</v>
      </c>
      <c r="N1418" t="s">
        <v>26</v>
      </c>
      <c r="O1418" s="8">
        <v>2.8969999999999998</v>
      </c>
      <c r="P1418" s="8">
        <f>EXP(-1.363+3.366*LOG(O1418,10))</f>
        <v>1.2115719332293342</v>
      </c>
      <c r="Q1418" s="8">
        <f>(3602085*100)/4019599</f>
        <v>89.613043490159086</v>
      </c>
    </row>
    <row r="1419" spans="1:17" x14ac:dyDescent="0.2">
      <c r="A1419">
        <v>2015</v>
      </c>
      <c r="B1419" t="s">
        <v>1680</v>
      </c>
      <c r="C1419" t="s">
        <v>1540</v>
      </c>
      <c r="D1419" t="s">
        <v>1597</v>
      </c>
      <c r="E1419">
        <v>7</v>
      </c>
      <c r="F1419" t="s">
        <v>19</v>
      </c>
      <c r="G1419" t="s">
        <v>20</v>
      </c>
      <c r="H1419" t="s">
        <v>45</v>
      </c>
      <c r="I1419" t="s">
        <v>22</v>
      </c>
      <c r="J1419" t="s">
        <v>42</v>
      </c>
      <c r="K1419" t="s">
        <v>1543</v>
      </c>
      <c r="L1419" t="s">
        <v>25</v>
      </c>
      <c r="M1419" s="8">
        <v>1.903333333</v>
      </c>
      <c r="N1419" t="s">
        <v>26</v>
      </c>
      <c r="O1419" s="8">
        <v>1.903333333</v>
      </c>
      <c r="P1419" s="8">
        <f>EXP(-1.363+3.366*LOG(O1419,10))</f>
        <v>0.65563371760507783</v>
      </c>
      <c r="Q1419" s="8">
        <f>(2618262*100)/2995732</f>
        <v>87.399740697766021</v>
      </c>
    </row>
    <row r="1420" spans="1:17" x14ac:dyDescent="0.2">
      <c r="A1420">
        <v>2015</v>
      </c>
      <c r="B1420" t="s">
        <v>1681</v>
      </c>
      <c r="C1420" t="s">
        <v>1540</v>
      </c>
      <c r="D1420" t="s">
        <v>1682</v>
      </c>
      <c r="E1420">
        <v>4</v>
      </c>
      <c r="F1420" t="s">
        <v>19</v>
      </c>
      <c r="G1420" t="s">
        <v>20</v>
      </c>
      <c r="H1420" t="s">
        <v>45</v>
      </c>
      <c r="I1420" t="s">
        <v>22</v>
      </c>
      <c r="J1420" t="s">
        <v>42</v>
      </c>
      <c r="K1420" t="s">
        <v>1543</v>
      </c>
      <c r="L1420" t="s">
        <v>25</v>
      </c>
      <c r="M1420" s="8">
        <v>1.903333333</v>
      </c>
      <c r="N1420" t="s">
        <v>26</v>
      </c>
      <c r="O1420" s="8">
        <v>1.903333333</v>
      </c>
      <c r="P1420" s="8">
        <f>EXP(-1.363+3.366*LOG(O1420,10))</f>
        <v>0.65563371760507783</v>
      </c>
      <c r="Q1420" s="8">
        <f>(2618262*100)/2995732</f>
        <v>87.399740697766021</v>
      </c>
    </row>
    <row r="1421" spans="1:17" x14ac:dyDescent="0.2">
      <c r="A1421">
        <v>2015</v>
      </c>
      <c r="B1421" t="s">
        <v>1683</v>
      </c>
      <c r="C1421" t="s">
        <v>1540</v>
      </c>
      <c r="D1421" t="s">
        <v>1682</v>
      </c>
      <c r="E1421">
        <v>4</v>
      </c>
      <c r="F1421" t="s">
        <v>19</v>
      </c>
      <c r="G1421" t="s">
        <v>20</v>
      </c>
      <c r="H1421" t="s">
        <v>45</v>
      </c>
      <c r="I1421" t="s">
        <v>22</v>
      </c>
      <c r="J1421" t="s">
        <v>42</v>
      </c>
      <c r="K1421" t="s">
        <v>1543</v>
      </c>
      <c r="L1421" t="s">
        <v>25</v>
      </c>
      <c r="M1421" s="8">
        <v>1.903333333</v>
      </c>
      <c r="N1421" t="s">
        <v>26</v>
      </c>
      <c r="O1421" s="8">
        <v>1.903333333</v>
      </c>
      <c r="P1421" s="8">
        <f>EXP(-1.363+3.366*LOG(O1421,10))</f>
        <v>0.65563371760507783</v>
      </c>
      <c r="Q1421" s="8">
        <f>(2618262*100)/2995732</f>
        <v>87.399740697766021</v>
      </c>
    </row>
    <row r="1422" spans="1:17" x14ac:dyDescent="0.2">
      <c r="A1422">
        <v>2015</v>
      </c>
      <c r="B1422" t="s">
        <v>1684</v>
      </c>
      <c r="C1422" t="s">
        <v>1540</v>
      </c>
      <c r="D1422" t="s">
        <v>1682</v>
      </c>
      <c r="E1422">
        <v>4</v>
      </c>
      <c r="F1422" t="s">
        <v>19</v>
      </c>
      <c r="G1422" t="s">
        <v>20</v>
      </c>
      <c r="H1422" t="s">
        <v>45</v>
      </c>
      <c r="I1422" t="s">
        <v>22</v>
      </c>
      <c r="J1422" t="s">
        <v>42</v>
      </c>
      <c r="K1422" t="s">
        <v>1543</v>
      </c>
      <c r="L1422" t="s">
        <v>25</v>
      </c>
      <c r="M1422" s="8">
        <v>1.903333333</v>
      </c>
      <c r="N1422" t="s">
        <v>26</v>
      </c>
      <c r="O1422" s="8">
        <v>1.903333333</v>
      </c>
      <c r="P1422" s="8">
        <f>EXP(-1.363+3.366*LOG(O1422,10))</f>
        <v>0.65563371760507783</v>
      </c>
      <c r="Q1422" s="8">
        <f>(2618262*100)/2995732</f>
        <v>87.399740697766021</v>
      </c>
    </row>
    <row r="1423" spans="1:17" x14ac:dyDescent="0.2">
      <c r="A1423">
        <v>2015</v>
      </c>
      <c r="B1423" t="s">
        <v>1685</v>
      </c>
      <c r="C1423" t="s">
        <v>1547</v>
      </c>
      <c r="D1423" t="s">
        <v>1686</v>
      </c>
      <c r="E1423">
        <v>7</v>
      </c>
      <c r="F1423" t="s">
        <v>19</v>
      </c>
      <c r="G1423" t="s">
        <v>20</v>
      </c>
      <c r="H1423" t="s">
        <v>45</v>
      </c>
      <c r="I1423" t="s">
        <v>22</v>
      </c>
      <c r="J1423" t="s">
        <v>42</v>
      </c>
      <c r="K1423" t="s">
        <v>1543</v>
      </c>
      <c r="L1423" t="s">
        <v>25</v>
      </c>
      <c r="M1423" s="8">
        <v>1.903333333</v>
      </c>
      <c r="N1423" t="s">
        <v>26</v>
      </c>
      <c r="O1423" s="8">
        <v>1.903333333</v>
      </c>
      <c r="P1423" s="8">
        <f>EXP(-1.363+3.366*LOG(O1423,10))</f>
        <v>0.65563371760507783</v>
      </c>
      <c r="Q1423" s="8">
        <f>(3881584*100)/4292409</f>
        <v>90.429034139104644</v>
      </c>
    </row>
    <row r="1424" spans="1:17" x14ac:dyDescent="0.2">
      <c r="A1424">
        <v>2015</v>
      </c>
      <c r="B1424" t="s">
        <v>1687</v>
      </c>
      <c r="C1424" t="s">
        <v>1547</v>
      </c>
      <c r="D1424" t="s">
        <v>1688</v>
      </c>
      <c r="E1424">
        <v>6</v>
      </c>
      <c r="F1424" t="s">
        <v>19</v>
      </c>
      <c r="G1424" t="s">
        <v>20</v>
      </c>
      <c r="H1424" t="s">
        <v>45</v>
      </c>
      <c r="I1424" t="s">
        <v>22</v>
      </c>
      <c r="J1424" t="s">
        <v>42</v>
      </c>
      <c r="K1424" t="s">
        <v>1543</v>
      </c>
      <c r="L1424" t="s">
        <v>25</v>
      </c>
      <c r="M1424" s="8">
        <v>1.903333333</v>
      </c>
      <c r="N1424" t="s">
        <v>26</v>
      </c>
      <c r="O1424" s="8">
        <v>1.903333333</v>
      </c>
      <c r="P1424" s="8">
        <f>EXP(-1.363+3.366*LOG(O1424,10))</f>
        <v>0.65563371760507783</v>
      </c>
      <c r="Q1424" s="8">
        <f>(3881584*100)/4292409</f>
        <v>90.429034139104644</v>
      </c>
    </row>
    <row r="1425" spans="1:17" x14ac:dyDescent="0.2">
      <c r="A1425">
        <v>2015</v>
      </c>
      <c r="B1425" t="s">
        <v>1689</v>
      </c>
      <c r="C1425" t="s">
        <v>1690</v>
      </c>
      <c r="D1425" t="s">
        <v>1688</v>
      </c>
      <c r="E1425">
        <v>6</v>
      </c>
      <c r="F1425" t="s">
        <v>19</v>
      </c>
      <c r="G1425" t="s">
        <v>20</v>
      </c>
      <c r="H1425" t="s">
        <v>45</v>
      </c>
      <c r="I1425" t="s">
        <v>22</v>
      </c>
      <c r="J1425" t="s">
        <v>42</v>
      </c>
      <c r="K1425" t="s">
        <v>1543</v>
      </c>
      <c r="L1425" t="s">
        <v>25</v>
      </c>
      <c r="M1425" s="8">
        <v>1.903333333</v>
      </c>
      <c r="N1425" t="s">
        <v>26</v>
      </c>
      <c r="O1425" s="8">
        <v>1.903333333</v>
      </c>
      <c r="P1425" s="8">
        <f>EXP(-1.363+3.366*LOG(O1425,10))</f>
        <v>0.65563371760507783</v>
      </c>
      <c r="Q1425" s="8">
        <f>(2640118*100)/3023471</f>
        <v>87.320764776642477</v>
      </c>
    </row>
    <row r="1426" spans="1:17" x14ac:dyDescent="0.2">
      <c r="A1426">
        <v>2015</v>
      </c>
      <c r="B1426" t="s">
        <v>1691</v>
      </c>
      <c r="C1426" t="s">
        <v>1635</v>
      </c>
      <c r="D1426" t="s">
        <v>1692</v>
      </c>
      <c r="E1426">
        <v>5</v>
      </c>
      <c r="F1426" t="s">
        <v>19</v>
      </c>
      <c r="G1426" t="s">
        <v>20</v>
      </c>
      <c r="H1426" t="s">
        <v>45</v>
      </c>
      <c r="I1426" t="s">
        <v>22</v>
      </c>
      <c r="J1426" t="s">
        <v>42</v>
      </c>
      <c r="K1426" t="s">
        <v>1543</v>
      </c>
      <c r="L1426" t="s">
        <v>25</v>
      </c>
      <c r="M1426" s="8">
        <v>1.903333333</v>
      </c>
      <c r="N1426" t="s">
        <v>26</v>
      </c>
      <c r="O1426" s="8">
        <v>1.903333333</v>
      </c>
      <c r="P1426" s="8">
        <f>EXP(-1.363+3.366*LOG(O1426,10))</f>
        <v>0.65563371760507783</v>
      </c>
      <c r="Q1426" s="8">
        <f>(3602085*100)/4019599</f>
        <v>89.613043490159086</v>
      </c>
    </row>
    <row r="1427" spans="1:17" x14ac:dyDescent="0.2">
      <c r="A1427">
        <v>2015</v>
      </c>
      <c r="B1427" t="s">
        <v>1693</v>
      </c>
      <c r="C1427" t="s">
        <v>1690</v>
      </c>
      <c r="D1427" t="s">
        <v>1694</v>
      </c>
      <c r="E1427">
        <v>4</v>
      </c>
      <c r="F1427" t="s">
        <v>19</v>
      </c>
      <c r="G1427" t="s">
        <v>20</v>
      </c>
      <c r="H1427" t="s">
        <v>1695</v>
      </c>
      <c r="I1427" t="s">
        <v>22</v>
      </c>
      <c r="J1427" t="s">
        <v>42</v>
      </c>
      <c r="K1427" t="s">
        <v>1543</v>
      </c>
      <c r="L1427" t="s">
        <v>25</v>
      </c>
      <c r="M1427" s="8">
        <v>2.6579999999999999</v>
      </c>
      <c r="N1427" t="s">
        <v>26</v>
      </c>
      <c r="O1427" s="8">
        <v>2.6579999999999999</v>
      </c>
      <c r="P1427" s="8">
        <f>EXP(-1.363+3.366*LOG(O1427,10))</f>
        <v>1.0682823211577772</v>
      </c>
      <c r="Q1427" s="8">
        <f>(2640118*100)/3023471</f>
        <v>87.320764776642477</v>
      </c>
    </row>
    <row r="1428" spans="1:17" x14ac:dyDescent="0.2">
      <c r="A1428">
        <v>2015</v>
      </c>
      <c r="B1428" t="s">
        <v>1696</v>
      </c>
      <c r="C1428" t="s">
        <v>1547</v>
      </c>
      <c r="D1428" t="s">
        <v>1694</v>
      </c>
      <c r="E1428">
        <v>4</v>
      </c>
      <c r="F1428" t="s">
        <v>19</v>
      </c>
      <c r="G1428" t="s">
        <v>20</v>
      </c>
      <c r="H1428" t="s">
        <v>87</v>
      </c>
      <c r="I1428" t="s">
        <v>22</v>
      </c>
      <c r="J1428" t="s">
        <v>42</v>
      </c>
      <c r="K1428" t="s">
        <v>1543</v>
      </c>
      <c r="L1428" t="s">
        <v>25</v>
      </c>
      <c r="M1428" s="8">
        <v>2.9449999999999998</v>
      </c>
      <c r="N1428" t="s">
        <v>26</v>
      </c>
      <c r="O1428" s="8">
        <v>2.9449999999999998</v>
      </c>
      <c r="P1428" s="8">
        <f>EXP(-1.363+3.366*LOG(O1428,10))</f>
        <v>1.2410293011327156</v>
      </c>
      <c r="Q1428" s="8">
        <f>(3881584*100)/4292409</f>
        <v>90.429034139104644</v>
      </c>
    </row>
    <row r="1429" spans="1:17" x14ac:dyDescent="0.2">
      <c r="A1429">
        <v>2015</v>
      </c>
      <c r="B1429" t="s">
        <v>1697</v>
      </c>
      <c r="C1429" t="s">
        <v>1547</v>
      </c>
      <c r="D1429" t="s">
        <v>1698</v>
      </c>
      <c r="E1429">
        <v>4</v>
      </c>
      <c r="F1429" t="s">
        <v>19</v>
      </c>
      <c r="G1429" t="s">
        <v>20</v>
      </c>
      <c r="H1429" t="s">
        <v>87</v>
      </c>
      <c r="I1429" t="s">
        <v>36</v>
      </c>
      <c r="J1429" t="s">
        <v>42</v>
      </c>
      <c r="K1429" t="s">
        <v>1543</v>
      </c>
      <c r="L1429" t="s">
        <v>25</v>
      </c>
      <c r="M1429" s="8">
        <v>5.5119999999999996</v>
      </c>
      <c r="N1429" t="s">
        <v>26</v>
      </c>
      <c r="O1429" s="8">
        <v>5.5119999999999996</v>
      </c>
      <c r="P1429" s="8">
        <f>EXP(-1.363+3.366*LOG(O1429,10))</f>
        <v>3.1026196317879862</v>
      </c>
      <c r="Q1429" s="8">
        <f>(3881584*100)/4292409</f>
        <v>90.429034139104644</v>
      </c>
    </row>
    <row r="1430" spans="1:17" x14ac:dyDescent="0.2">
      <c r="A1430">
        <v>2015</v>
      </c>
      <c r="B1430" t="s">
        <v>1699</v>
      </c>
      <c r="C1430" t="s">
        <v>1552</v>
      </c>
      <c r="D1430" t="s">
        <v>1698</v>
      </c>
      <c r="E1430">
        <v>4</v>
      </c>
      <c r="F1430" t="s">
        <v>19</v>
      </c>
      <c r="G1430" t="s">
        <v>20</v>
      </c>
      <c r="H1430" t="s">
        <v>91</v>
      </c>
      <c r="I1430" t="s">
        <v>22</v>
      </c>
      <c r="J1430" t="s">
        <v>42</v>
      </c>
      <c r="K1430" t="s">
        <v>1543</v>
      </c>
      <c r="L1430" t="s">
        <v>25</v>
      </c>
      <c r="M1430" s="8">
        <v>2.0630000000000002</v>
      </c>
      <c r="N1430" t="s">
        <v>26</v>
      </c>
      <c r="O1430" s="8">
        <v>2.0630000000000002</v>
      </c>
      <c r="P1430" s="8">
        <f>EXP(-1.363+3.366*LOG(O1430,10))</f>
        <v>0.73756902742293162</v>
      </c>
      <c r="Q1430" s="8">
        <f>(3738946*100)/3915493</f>
        <v>95.491065875995687</v>
      </c>
    </row>
    <row r="1431" spans="1:17" x14ac:dyDescent="0.2">
      <c r="A1431">
        <v>2015</v>
      </c>
      <c r="B1431" t="s">
        <v>1700</v>
      </c>
      <c r="C1431" t="s">
        <v>1540</v>
      </c>
      <c r="D1431" t="s">
        <v>1701</v>
      </c>
      <c r="E1431">
        <v>5</v>
      </c>
      <c r="F1431" t="s">
        <v>19</v>
      </c>
      <c r="G1431" t="s">
        <v>20</v>
      </c>
      <c r="H1431" t="s">
        <v>103</v>
      </c>
      <c r="I1431" t="s">
        <v>22</v>
      </c>
      <c r="J1431" t="s">
        <v>42</v>
      </c>
      <c r="K1431" t="s">
        <v>1543</v>
      </c>
      <c r="L1431" t="s">
        <v>25</v>
      </c>
      <c r="M1431" s="8">
        <v>2.177</v>
      </c>
      <c r="N1431" t="s">
        <v>26</v>
      </c>
      <c r="O1431" s="8">
        <v>2.177</v>
      </c>
      <c r="P1431" s="8">
        <f>EXP(-1.363+3.366*LOG(O1431,10))</f>
        <v>0.79790277256387487</v>
      </c>
      <c r="Q1431" s="8">
        <f>(2618262*100)/2995732</f>
        <v>87.399740697766021</v>
      </c>
    </row>
    <row r="1432" spans="1:17" x14ac:dyDescent="0.2">
      <c r="A1432">
        <v>2015</v>
      </c>
      <c r="B1432" t="s">
        <v>1702</v>
      </c>
      <c r="C1432" t="s">
        <v>1547</v>
      </c>
      <c r="D1432" t="s">
        <v>1686</v>
      </c>
      <c r="E1432">
        <v>7</v>
      </c>
      <c r="F1432" t="s">
        <v>19</v>
      </c>
      <c r="G1432" t="s">
        <v>20</v>
      </c>
      <c r="H1432" t="s">
        <v>1703</v>
      </c>
      <c r="I1432" t="s">
        <v>22</v>
      </c>
      <c r="J1432" t="s">
        <v>42</v>
      </c>
      <c r="K1432" t="s">
        <v>1543</v>
      </c>
      <c r="L1432" t="s">
        <v>187</v>
      </c>
      <c r="M1432" s="8">
        <v>2.2745714289999999</v>
      </c>
      <c r="N1432" t="s">
        <v>26</v>
      </c>
      <c r="O1432" s="8">
        <v>2.2745714289999999</v>
      </c>
      <c r="P1432" s="8">
        <f>EXP(-1.363+3.366*LOG(O1432,10))</f>
        <v>0.8507167794611602</v>
      </c>
      <c r="Q1432" s="8">
        <f>(3881584*100)/4292409</f>
        <v>90.429034139104644</v>
      </c>
    </row>
    <row r="1433" spans="1:17" x14ac:dyDescent="0.2">
      <c r="A1433">
        <v>2015</v>
      </c>
      <c r="B1433" t="s">
        <v>1704</v>
      </c>
      <c r="C1433" t="s">
        <v>1547</v>
      </c>
      <c r="D1433" t="s">
        <v>1692</v>
      </c>
      <c r="E1433">
        <v>5</v>
      </c>
      <c r="F1433" t="s">
        <v>19</v>
      </c>
      <c r="G1433" t="s">
        <v>20</v>
      </c>
      <c r="H1433" t="s">
        <v>1703</v>
      </c>
      <c r="I1433" t="s">
        <v>22</v>
      </c>
      <c r="J1433" t="s">
        <v>42</v>
      </c>
      <c r="K1433" t="s">
        <v>1543</v>
      </c>
      <c r="L1433" t="s">
        <v>187</v>
      </c>
      <c r="M1433" s="8">
        <v>2.2745714289999999</v>
      </c>
      <c r="N1433" t="s">
        <v>26</v>
      </c>
      <c r="O1433" s="8">
        <v>2.2745714289999999</v>
      </c>
      <c r="P1433" s="8">
        <f>EXP(-1.363+3.366*LOG(O1433,10))</f>
        <v>0.8507167794611602</v>
      </c>
      <c r="Q1433" s="8">
        <f>(3881584*100)/4292409</f>
        <v>90.429034139104644</v>
      </c>
    </row>
    <row r="1434" spans="1:17" x14ac:dyDescent="0.2">
      <c r="A1434">
        <v>2015</v>
      </c>
      <c r="B1434" t="s">
        <v>1714</v>
      </c>
      <c r="C1434" t="s">
        <v>1635</v>
      </c>
      <c r="D1434" t="s">
        <v>1715</v>
      </c>
      <c r="E1434">
        <v>7</v>
      </c>
      <c r="F1434" t="s">
        <v>19</v>
      </c>
      <c r="G1434" t="s">
        <v>20</v>
      </c>
      <c r="H1434" t="s">
        <v>1703</v>
      </c>
      <c r="I1434" t="s">
        <v>36</v>
      </c>
      <c r="J1434" t="s">
        <v>42</v>
      </c>
      <c r="K1434" t="s">
        <v>1543</v>
      </c>
      <c r="L1434" t="s">
        <v>187</v>
      </c>
      <c r="M1434" s="8" t="s">
        <v>26</v>
      </c>
      <c r="N1434" t="s">
        <v>26</v>
      </c>
      <c r="O1434" s="8" t="s">
        <v>26</v>
      </c>
      <c r="P1434" s="8" t="s">
        <v>26</v>
      </c>
      <c r="Q1434" s="8">
        <f>(3602085*100)/4019599</f>
        <v>89.613043490159086</v>
      </c>
    </row>
    <row r="1435" spans="1:17" x14ac:dyDescent="0.2">
      <c r="A1435">
        <v>2015</v>
      </c>
      <c r="B1435" t="s">
        <v>1716</v>
      </c>
      <c r="C1435" t="s">
        <v>1635</v>
      </c>
      <c r="D1435" t="s">
        <v>1717</v>
      </c>
      <c r="E1435">
        <v>4</v>
      </c>
      <c r="F1435" t="s">
        <v>19</v>
      </c>
      <c r="G1435" t="s">
        <v>20</v>
      </c>
      <c r="H1435" t="s">
        <v>1703</v>
      </c>
      <c r="I1435" t="s">
        <v>22</v>
      </c>
      <c r="J1435" t="s">
        <v>42</v>
      </c>
      <c r="K1435" t="s">
        <v>1543</v>
      </c>
      <c r="L1435" t="s">
        <v>187</v>
      </c>
      <c r="M1435" s="8">
        <v>2.2745714289999999</v>
      </c>
      <c r="N1435" t="s">
        <v>26</v>
      </c>
      <c r="O1435" s="8">
        <v>2.2745714289999999</v>
      </c>
      <c r="P1435" s="8">
        <f>EXP(-1.363+3.366*LOG(O1435,10))</f>
        <v>0.8507167794611602</v>
      </c>
      <c r="Q1435" s="8">
        <f>(3602085*100)/4019599</f>
        <v>89.613043490159086</v>
      </c>
    </row>
    <row r="1436" spans="1:17" x14ac:dyDescent="0.2">
      <c r="A1436">
        <v>2015</v>
      </c>
      <c r="B1436" t="s">
        <v>1718</v>
      </c>
      <c r="C1436" t="s">
        <v>1552</v>
      </c>
      <c r="D1436" t="s">
        <v>1719</v>
      </c>
      <c r="E1436">
        <v>6</v>
      </c>
      <c r="F1436" t="s">
        <v>19</v>
      </c>
      <c r="G1436" t="s">
        <v>20</v>
      </c>
      <c r="H1436" t="s">
        <v>145</v>
      </c>
      <c r="I1436" t="s">
        <v>22</v>
      </c>
      <c r="J1436" t="s">
        <v>42</v>
      </c>
      <c r="K1436" t="s">
        <v>1543</v>
      </c>
      <c r="L1436" t="s">
        <v>25</v>
      </c>
      <c r="M1436" s="8">
        <v>2.399666667</v>
      </c>
      <c r="N1436" t="s">
        <v>26</v>
      </c>
      <c r="O1436" s="8">
        <v>2.399666667</v>
      </c>
      <c r="P1436" s="8">
        <f>EXP(-1.363+3.366*LOG(O1436,10))</f>
        <v>0.91997203423956198</v>
      </c>
      <c r="Q1436" s="8">
        <f>(3738946*100)/3915493</f>
        <v>95.491065875995687</v>
      </c>
    </row>
    <row r="1437" spans="1:17" x14ac:dyDescent="0.2">
      <c r="A1437">
        <v>2015</v>
      </c>
      <c r="B1437" t="s">
        <v>1720</v>
      </c>
      <c r="C1437" t="s">
        <v>1635</v>
      </c>
      <c r="D1437" t="s">
        <v>1698</v>
      </c>
      <c r="E1437">
        <v>4</v>
      </c>
      <c r="F1437" t="s">
        <v>19</v>
      </c>
      <c r="G1437" t="s">
        <v>20</v>
      </c>
      <c r="H1437" t="s">
        <v>171</v>
      </c>
      <c r="I1437" t="s">
        <v>22</v>
      </c>
      <c r="J1437" t="s">
        <v>42</v>
      </c>
      <c r="K1437" t="s">
        <v>1543</v>
      </c>
      <c r="L1437" t="s">
        <v>25</v>
      </c>
      <c r="M1437" s="8">
        <v>1.258</v>
      </c>
      <c r="N1437" t="s">
        <v>26</v>
      </c>
      <c r="O1437" s="8">
        <v>1.258</v>
      </c>
      <c r="P1437" s="8">
        <f>EXP(-1.363+3.366*LOG(O1437,10))</f>
        <v>0.35790955576548023</v>
      </c>
      <c r="Q1437" s="8">
        <f>(3602085*100)/4019599</f>
        <v>89.613043490159086</v>
      </c>
    </row>
    <row r="1438" spans="1:17" x14ac:dyDescent="0.2">
      <c r="A1438">
        <v>2015</v>
      </c>
      <c r="B1438" t="s">
        <v>1721</v>
      </c>
      <c r="C1438" t="s">
        <v>1540</v>
      </c>
      <c r="D1438" t="s">
        <v>1708</v>
      </c>
      <c r="E1438">
        <v>6</v>
      </c>
      <c r="F1438" t="s">
        <v>19</v>
      </c>
      <c r="G1438" t="s">
        <v>20</v>
      </c>
      <c r="H1438" t="s">
        <v>149</v>
      </c>
      <c r="I1438" t="s">
        <v>22</v>
      </c>
      <c r="J1438" t="s">
        <v>42</v>
      </c>
      <c r="K1438" t="s">
        <v>1543</v>
      </c>
      <c r="L1438" t="s">
        <v>25</v>
      </c>
      <c r="M1438" s="8">
        <v>1.45</v>
      </c>
      <c r="N1438" t="s">
        <v>26</v>
      </c>
      <c r="O1438" s="8">
        <v>1.45</v>
      </c>
      <c r="P1438" s="8">
        <f>EXP(-1.363+3.366*LOG(O1438,10))</f>
        <v>0.44050419760124854</v>
      </c>
      <c r="Q1438" s="8">
        <f>(2618262*100)/2995732</f>
        <v>87.399740697766021</v>
      </c>
    </row>
    <row r="1439" spans="1:17" x14ac:dyDescent="0.2">
      <c r="A1439">
        <v>2015</v>
      </c>
      <c r="B1439" t="s">
        <v>1722</v>
      </c>
      <c r="C1439" t="s">
        <v>1540</v>
      </c>
      <c r="D1439" t="s">
        <v>1682</v>
      </c>
      <c r="E1439">
        <v>4</v>
      </c>
      <c r="F1439" t="s">
        <v>19</v>
      </c>
      <c r="G1439" t="s">
        <v>20</v>
      </c>
      <c r="H1439" t="s">
        <v>149</v>
      </c>
      <c r="I1439" t="s">
        <v>22</v>
      </c>
      <c r="J1439" t="s">
        <v>42</v>
      </c>
      <c r="K1439" t="s">
        <v>1543</v>
      </c>
      <c r="L1439" t="s">
        <v>25</v>
      </c>
      <c r="M1439" s="8">
        <v>1.45</v>
      </c>
      <c r="N1439" t="s">
        <v>26</v>
      </c>
      <c r="O1439" s="8">
        <v>1.45</v>
      </c>
      <c r="P1439" s="8">
        <f>EXP(-1.363+3.366*LOG(O1439,10))</f>
        <v>0.44050419760124854</v>
      </c>
      <c r="Q1439" s="8">
        <f>(2618262*100)/2995732</f>
        <v>87.399740697766021</v>
      </c>
    </row>
    <row r="1440" spans="1:17" x14ac:dyDescent="0.2">
      <c r="A1440">
        <v>2015</v>
      </c>
      <c r="B1440" t="s">
        <v>1723</v>
      </c>
      <c r="C1440" t="s">
        <v>1540</v>
      </c>
      <c r="D1440" t="s">
        <v>1724</v>
      </c>
      <c r="E1440">
        <v>5</v>
      </c>
      <c r="F1440" t="s">
        <v>19</v>
      </c>
      <c r="G1440" t="s">
        <v>20</v>
      </c>
      <c r="H1440" t="s">
        <v>149</v>
      </c>
      <c r="I1440" t="s">
        <v>22</v>
      </c>
      <c r="J1440" t="s">
        <v>42</v>
      </c>
      <c r="K1440" t="s">
        <v>1543</v>
      </c>
      <c r="L1440" t="s">
        <v>25</v>
      </c>
      <c r="M1440" s="8">
        <v>1.45</v>
      </c>
      <c r="N1440" t="s">
        <v>26</v>
      </c>
      <c r="O1440" s="8">
        <v>1.45</v>
      </c>
      <c r="P1440" s="8">
        <f>EXP(-1.363+3.366*LOG(O1440,10))</f>
        <v>0.44050419760124854</v>
      </c>
      <c r="Q1440" s="8">
        <f>(2618262*100)/2995732</f>
        <v>87.399740697766021</v>
      </c>
    </row>
    <row r="1441" spans="1:17" x14ac:dyDescent="0.2">
      <c r="A1441">
        <v>2015</v>
      </c>
      <c r="B1441" t="s">
        <v>1725</v>
      </c>
      <c r="C1441" t="s">
        <v>1635</v>
      </c>
      <c r="D1441" t="s">
        <v>1726</v>
      </c>
      <c r="E1441">
        <v>6</v>
      </c>
      <c r="F1441" t="s">
        <v>19</v>
      </c>
      <c r="G1441" t="s">
        <v>20</v>
      </c>
      <c r="H1441" t="s">
        <v>149</v>
      </c>
      <c r="I1441" t="s">
        <v>22</v>
      </c>
      <c r="J1441" t="s">
        <v>42</v>
      </c>
      <c r="K1441" t="s">
        <v>1543</v>
      </c>
      <c r="L1441" t="s">
        <v>25</v>
      </c>
      <c r="M1441" s="8">
        <v>1.45</v>
      </c>
      <c r="N1441" t="s">
        <v>26</v>
      </c>
      <c r="O1441" s="8">
        <v>1.45</v>
      </c>
      <c r="P1441" s="8">
        <f>EXP(-1.363+3.366*LOG(O1441,10))</f>
        <v>0.44050419760124854</v>
      </c>
      <c r="Q1441" s="8">
        <f>(3602085*100)/4019599</f>
        <v>89.613043490159086</v>
      </c>
    </row>
    <row r="1442" spans="1:17" x14ac:dyDescent="0.2">
      <c r="A1442">
        <v>2015</v>
      </c>
      <c r="B1442" t="s">
        <v>1727</v>
      </c>
      <c r="C1442" t="s">
        <v>1540</v>
      </c>
      <c r="D1442" t="s">
        <v>1682</v>
      </c>
      <c r="E1442">
        <v>4</v>
      </c>
      <c r="F1442" t="s">
        <v>19</v>
      </c>
      <c r="G1442" t="s">
        <v>20</v>
      </c>
      <c r="H1442" t="s">
        <v>183</v>
      </c>
      <c r="I1442" t="s">
        <v>22</v>
      </c>
      <c r="J1442" t="s">
        <v>42</v>
      </c>
      <c r="K1442" t="s">
        <v>1543</v>
      </c>
      <c r="L1442" t="s">
        <v>25</v>
      </c>
      <c r="M1442" s="8">
        <v>2.7893333330000001</v>
      </c>
      <c r="N1442" t="s">
        <v>26</v>
      </c>
      <c r="O1442" s="8">
        <v>2.7893333330000001</v>
      </c>
      <c r="P1442" s="8">
        <f>EXP(-1.363+3.366*LOG(O1442,10))</f>
        <v>1.1463172389308915</v>
      </c>
      <c r="Q1442" s="8">
        <f>(2618262*100)/2995732</f>
        <v>87.399740697766021</v>
      </c>
    </row>
    <row r="1443" spans="1:17" x14ac:dyDescent="0.2">
      <c r="A1443">
        <v>2015</v>
      </c>
      <c r="B1443" t="s">
        <v>1728</v>
      </c>
      <c r="C1443" t="s">
        <v>1540</v>
      </c>
      <c r="D1443" t="s">
        <v>1682</v>
      </c>
      <c r="E1443">
        <v>4</v>
      </c>
      <c r="F1443" t="s">
        <v>19</v>
      </c>
      <c r="G1443" t="s">
        <v>20</v>
      </c>
      <c r="H1443" t="s">
        <v>183</v>
      </c>
      <c r="I1443" t="s">
        <v>22</v>
      </c>
      <c r="J1443" t="s">
        <v>42</v>
      </c>
      <c r="K1443" t="s">
        <v>1543</v>
      </c>
      <c r="L1443" t="s">
        <v>25</v>
      </c>
      <c r="M1443" s="8">
        <v>2.7893333330000001</v>
      </c>
      <c r="N1443" t="s">
        <v>26</v>
      </c>
      <c r="O1443" s="8">
        <v>2.7893333330000001</v>
      </c>
      <c r="P1443" s="8">
        <f>EXP(-1.363+3.366*LOG(O1443,10))</f>
        <v>1.1463172389308915</v>
      </c>
      <c r="Q1443" s="8">
        <f>(2618262*100)/2995732</f>
        <v>87.399740697766021</v>
      </c>
    </row>
    <row r="1444" spans="1:17" x14ac:dyDescent="0.2">
      <c r="A1444">
        <v>2015</v>
      </c>
      <c r="B1444" t="s">
        <v>1729</v>
      </c>
      <c r="C1444" t="s">
        <v>1540</v>
      </c>
      <c r="D1444" t="s">
        <v>1682</v>
      </c>
      <c r="E1444">
        <v>4</v>
      </c>
      <c r="F1444" t="s">
        <v>19</v>
      </c>
      <c r="G1444" t="s">
        <v>20</v>
      </c>
      <c r="H1444" t="s">
        <v>183</v>
      </c>
      <c r="I1444" t="s">
        <v>22</v>
      </c>
      <c r="J1444" t="s">
        <v>42</v>
      </c>
      <c r="K1444" t="s">
        <v>1543</v>
      </c>
      <c r="L1444" t="s">
        <v>25</v>
      </c>
      <c r="M1444" s="8">
        <v>2.7893333330000001</v>
      </c>
      <c r="N1444" t="s">
        <v>26</v>
      </c>
      <c r="O1444" s="8">
        <v>2.7893333330000001</v>
      </c>
      <c r="P1444" s="8">
        <f>EXP(-1.363+3.366*LOG(O1444,10))</f>
        <v>1.1463172389308915</v>
      </c>
      <c r="Q1444" s="8">
        <f>(2618262*100)/2995732</f>
        <v>87.399740697766021</v>
      </c>
    </row>
    <row r="1445" spans="1:17" x14ac:dyDescent="0.2">
      <c r="A1445">
        <v>2015</v>
      </c>
      <c r="B1445" t="s">
        <v>1730</v>
      </c>
      <c r="C1445" t="s">
        <v>1540</v>
      </c>
      <c r="D1445" t="s">
        <v>1682</v>
      </c>
      <c r="E1445">
        <v>4</v>
      </c>
      <c r="F1445" t="s">
        <v>19</v>
      </c>
      <c r="G1445" t="s">
        <v>20</v>
      </c>
      <c r="H1445" t="s">
        <v>183</v>
      </c>
      <c r="I1445" t="s">
        <v>22</v>
      </c>
      <c r="J1445" t="s">
        <v>42</v>
      </c>
      <c r="K1445" t="s">
        <v>1543</v>
      </c>
      <c r="L1445" t="s">
        <v>25</v>
      </c>
      <c r="M1445" s="8">
        <v>2.7893333330000001</v>
      </c>
      <c r="N1445" t="s">
        <v>26</v>
      </c>
      <c r="O1445" s="8">
        <v>2.7893333330000001</v>
      </c>
      <c r="P1445" s="8">
        <f>EXP(-1.363+3.366*LOG(O1445,10))</f>
        <v>1.1463172389308915</v>
      </c>
      <c r="Q1445" s="8">
        <f>(2618262*100)/2995732</f>
        <v>87.399740697766021</v>
      </c>
    </row>
    <row r="1446" spans="1:17" x14ac:dyDescent="0.2">
      <c r="A1446">
        <v>2015</v>
      </c>
      <c r="B1446" t="s">
        <v>1731</v>
      </c>
      <c r="C1446" t="s">
        <v>1690</v>
      </c>
      <c r="D1446" t="s">
        <v>1682</v>
      </c>
      <c r="E1446">
        <v>4</v>
      </c>
      <c r="F1446" t="s">
        <v>19</v>
      </c>
      <c r="G1446" t="s">
        <v>20</v>
      </c>
      <c r="H1446" t="s">
        <v>1732</v>
      </c>
      <c r="I1446" t="s">
        <v>22</v>
      </c>
      <c r="J1446" t="s">
        <v>42</v>
      </c>
      <c r="K1446" t="s">
        <v>1543</v>
      </c>
      <c r="L1446" t="s">
        <v>25</v>
      </c>
      <c r="M1446" s="8">
        <v>1.544</v>
      </c>
      <c r="N1446" t="s">
        <v>26</v>
      </c>
      <c r="O1446" s="8">
        <v>1.544</v>
      </c>
      <c r="P1446" s="8">
        <f>EXP(-1.363+3.366*LOG(O1446,10))</f>
        <v>0.48286739783554938</v>
      </c>
      <c r="Q1446" s="8">
        <f>(2640118*100)/3023471</f>
        <v>87.320764776642477</v>
      </c>
    </row>
    <row r="1447" spans="1:17" x14ac:dyDescent="0.2">
      <c r="A1447">
        <v>2015</v>
      </c>
      <c r="B1447" t="s">
        <v>1733</v>
      </c>
      <c r="C1447" t="s">
        <v>1547</v>
      </c>
      <c r="D1447" t="s">
        <v>1694</v>
      </c>
      <c r="E1447">
        <v>4</v>
      </c>
      <c r="F1447" t="s">
        <v>19</v>
      </c>
      <c r="G1447" t="s">
        <v>20</v>
      </c>
      <c r="H1447" t="s">
        <v>1695</v>
      </c>
      <c r="I1447" t="s">
        <v>22</v>
      </c>
      <c r="J1447" t="s">
        <v>42</v>
      </c>
      <c r="K1447" t="s">
        <v>1543</v>
      </c>
      <c r="L1447" t="s">
        <v>25</v>
      </c>
      <c r="M1447" s="8">
        <v>2.6579999999999999</v>
      </c>
      <c r="N1447" t="s">
        <v>26</v>
      </c>
      <c r="O1447" s="8">
        <v>2.6579999999999999</v>
      </c>
      <c r="P1447" s="8">
        <f>EXP(-1.363+3.366*LOG(O1447,10))</f>
        <v>1.0682823211577772</v>
      </c>
      <c r="Q1447" s="8">
        <f>(3881584*100)/4292409</f>
        <v>90.429034139104644</v>
      </c>
    </row>
    <row r="1448" spans="1:17" x14ac:dyDescent="0.2">
      <c r="A1448">
        <v>2015</v>
      </c>
      <c r="B1448" t="s">
        <v>1734</v>
      </c>
      <c r="C1448" t="s">
        <v>1540</v>
      </c>
      <c r="D1448" t="s">
        <v>1715</v>
      </c>
      <c r="E1448">
        <v>7</v>
      </c>
      <c r="F1448" t="s">
        <v>19</v>
      </c>
      <c r="G1448" t="s">
        <v>1735</v>
      </c>
      <c r="H1448" t="s">
        <v>1736</v>
      </c>
      <c r="I1448" t="s">
        <v>36</v>
      </c>
      <c r="J1448" t="s">
        <v>42</v>
      </c>
      <c r="K1448" t="s">
        <v>1543</v>
      </c>
      <c r="L1448" t="s">
        <v>25</v>
      </c>
      <c r="M1448" s="8">
        <v>3.8633333329999999</v>
      </c>
      <c r="N1448" t="s">
        <v>26</v>
      </c>
      <c r="O1448" s="8">
        <v>3.8633333329999999</v>
      </c>
      <c r="P1448" s="8">
        <f>EXP(-1.363+3.366*LOG(O1448,10))</f>
        <v>1.8454344092406809</v>
      </c>
      <c r="Q1448" s="8">
        <f>(2618262*100)/2995732</f>
        <v>87.399740697766021</v>
      </c>
    </row>
    <row r="1449" spans="1:17" x14ac:dyDescent="0.2">
      <c r="A1449">
        <v>2015</v>
      </c>
      <c r="B1449" t="s">
        <v>1737</v>
      </c>
      <c r="C1449" t="s">
        <v>1624</v>
      </c>
      <c r="D1449" t="s">
        <v>1698</v>
      </c>
      <c r="E1449">
        <v>4</v>
      </c>
      <c r="F1449" t="s">
        <v>19</v>
      </c>
      <c r="G1449" t="s">
        <v>1735</v>
      </c>
      <c r="H1449" t="s">
        <v>1736</v>
      </c>
      <c r="I1449" t="s">
        <v>22</v>
      </c>
      <c r="J1449" t="s">
        <v>42</v>
      </c>
      <c r="K1449" t="s">
        <v>1543</v>
      </c>
      <c r="L1449" t="s">
        <v>25</v>
      </c>
      <c r="M1449" s="8">
        <v>4.1156666670000002</v>
      </c>
      <c r="N1449" t="s">
        <v>26</v>
      </c>
      <c r="O1449" s="8">
        <v>4.1156666670000002</v>
      </c>
      <c r="P1449" s="8">
        <f>EXP(-1.363+3.366*LOG(O1449,10))</f>
        <v>2.0242630151675414</v>
      </c>
      <c r="Q1449" s="8">
        <f>(1599772*100)/1881247</f>
        <v>85.037849894245682</v>
      </c>
    </row>
    <row r="1450" spans="1:17" x14ac:dyDescent="0.2">
      <c r="A1450">
        <v>2015</v>
      </c>
      <c r="B1450" t="s">
        <v>1738</v>
      </c>
      <c r="C1450" t="s">
        <v>1540</v>
      </c>
      <c r="D1450" t="s">
        <v>1692</v>
      </c>
      <c r="E1450">
        <v>5</v>
      </c>
      <c r="F1450" t="s">
        <v>19</v>
      </c>
      <c r="G1450" t="s">
        <v>219</v>
      </c>
      <c r="H1450" t="s">
        <v>220</v>
      </c>
      <c r="I1450" t="s">
        <v>22</v>
      </c>
      <c r="J1450" t="s">
        <v>42</v>
      </c>
      <c r="K1450" t="s">
        <v>1543</v>
      </c>
      <c r="L1450" t="s">
        <v>25</v>
      </c>
      <c r="M1450" s="8">
        <v>2.8969999999999998</v>
      </c>
      <c r="N1450" t="s">
        <v>26</v>
      </c>
      <c r="O1450" s="8">
        <v>2.8969999999999998</v>
      </c>
      <c r="P1450" s="8">
        <f>EXP(-1.363+3.366*LOG(O1450,10))</f>
        <v>1.2115719332293342</v>
      </c>
      <c r="Q1450" s="8">
        <f>(2618262*100)/2995732</f>
        <v>87.399740697766021</v>
      </c>
    </row>
    <row r="1451" spans="1:17" x14ac:dyDescent="0.2">
      <c r="A1451">
        <v>2015</v>
      </c>
      <c r="B1451" t="s">
        <v>1739</v>
      </c>
      <c r="C1451" t="s">
        <v>1540</v>
      </c>
      <c r="D1451" t="s">
        <v>1724</v>
      </c>
      <c r="E1451">
        <v>5</v>
      </c>
      <c r="F1451" t="s">
        <v>19</v>
      </c>
      <c r="G1451" t="s">
        <v>219</v>
      </c>
      <c r="H1451" t="s">
        <v>220</v>
      </c>
      <c r="I1451" t="s">
        <v>22</v>
      </c>
      <c r="J1451" t="s">
        <v>42</v>
      </c>
      <c r="K1451" t="s">
        <v>1543</v>
      </c>
      <c r="L1451" t="s">
        <v>25</v>
      </c>
      <c r="M1451" s="8">
        <v>2.8969999999999998</v>
      </c>
      <c r="N1451" t="s">
        <v>26</v>
      </c>
      <c r="O1451" s="8">
        <v>2.8969999999999998</v>
      </c>
      <c r="P1451" s="8">
        <f>EXP(-1.363+3.366*LOG(O1451,10))</f>
        <v>1.2115719332293342</v>
      </c>
      <c r="Q1451" s="8">
        <f>(2618262*100)/2995732</f>
        <v>87.399740697766021</v>
      </c>
    </row>
    <row r="1452" spans="1:17" x14ac:dyDescent="0.2">
      <c r="A1452">
        <v>2015</v>
      </c>
      <c r="B1452" t="s">
        <v>1740</v>
      </c>
      <c r="C1452" t="s">
        <v>1540</v>
      </c>
      <c r="D1452" t="s">
        <v>1688</v>
      </c>
      <c r="E1452">
        <v>6</v>
      </c>
      <c r="F1452" t="s">
        <v>19</v>
      </c>
      <c r="G1452" t="s">
        <v>219</v>
      </c>
      <c r="H1452" t="s">
        <v>220</v>
      </c>
      <c r="I1452" t="s">
        <v>22</v>
      </c>
      <c r="J1452" t="s">
        <v>42</v>
      </c>
      <c r="K1452" t="s">
        <v>1543</v>
      </c>
      <c r="L1452" t="s">
        <v>25</v>
      </c>
      <c r="M1452" s="8">
        <v>2.8969999999999998</v>
      </c>
      <c r="N1452" t="s">
        <v>26</v>
      </c>
      <c r="O1452" s="8">
        <v>2.8969999999999998</v>
      </c>
      <c r="P1452" s="8">
        <f>EXP(-1.363+3.366*LOG(O1452,10))</f>
        <v>1.2115719332293342</v>
      </c>
      <c r="Q1452" s="8">
        <f>(2618262*100)/2995732</f>
        <v>87.399740697766021</v>
      </c>
    </row>
    <row r="1453" spans="1:17" x14ac:dyDescent="0.2">
      <c r="A1453">
        <v>2015</v>
      </c>
      <c r="B1453" t="s">
        <v>1741</v>
      </c>
      <c r="C1453" t="s">
        <v>1547</v>
      </c>
      <c r="D1453" t="s">
        <v>1686</v>
      </c>
      <c r="E1453">
        <v>7</v>
      </c>
      <c r="F1453" t="s">
        <v>19</v>
      </c>
      <c r="G1453" t="s">
        <v>219</v>
      </c>
      <c r="H1453" t="s">
        <v>220</v>
      </c>
      <c r="I1453" t="s">
        <v>22</v>
      </c>
      <c r="J1453" t="s">
        <v>42</v>
      </c>
      <c r="K1453" t="s">
        <v>1543</v>
      </c>
      <c r="L1453" t="s">
        <v>25</v>
      </c>
      <c r="M1453" s="8">
        <v>2.8969999999999998</v>
      </c>
      <c r="N1453" t="s">
        <v>26</v>
      </c>
      <c r="O1453" s="8">
        <v>2.8969999999999998</v>
      </c>
      <c r="P1453" s="8">
        <f>EXP(-1.363+3.366*LOG(O1453,10))</f>
        <v>1.2115719332293342</v>
      </c>
      <c r="Q1453" s="8">
        <f>(3881584*100)/4292409</f>
        <v>90.429034139104644</v>
      </c>
    </row>
    <row r="1454" spans="1:17" x14ac:dyDescent="0.2">
      <c r="A1454">
        <v>2015</v>
      </c>
      <c r="B1454" t="s">
        <v>1742</v>
      </c>
      <c r="C1454" t="s">
        <v>1547</v>
      </c>
      <c r="D1454" t="s">
        <v>1686</v>
      </c>
      <c r="E1454">
        <v>7</v>
      </c>
      <c r="F1454" t="s">
        <v>19</v>
      </c>
      <c r="G1454" t="s">
        <v>219</v>
      </c>
      <c r="H1454" t="s">
        <v>220</v>
      </c>
      <c r="I1454" t="s">
        <v>22</v>
      </c>
      <c r="J1454" t="s">
        <v>42</v>
      </c>
      <c r="K1454" t="s">
        <v>1543</v>
      </c>
      <c r="L1454" t="s">
        <v>25</v>
      </c>
      <c r="M1454" s="8">
        <v>2.8969999999999998</v>
      </c>
      <c r="N1454" t="s">
        <v>26</v>
      </c>
      <c r="O1454" s="8">
        <v>2.8969999999999998</v>
      </c>
      <c r="P1454" s="8">
        <f>EXP(-1.363+3.366*LOG(O1454,10))</f>
        <v>1.2115719332293342</v>
      </c>
      <c r="Q1454" s="8">
        <f>(3881584*100)/4292409</f>
        <v>90.429034139104644</v>
      </c>
    </row>
    <row r="1455" spans="1:17" x14ac:dyDescent="0.2">
      <c r="A1455">
        <v>2015</v>
      </c>
      <c r="B1455" t="s">
        <v>1743</v>
      </c>
      <c r="C1455" t="s">
        <v>1690</v>
      </c>
      <c r="D1455" t="s">
        <v>1686</v>
      </c>
      <c r="E1455">
        <v>7</v>
      </c>
      <c r="F1455" t="s">
        <v>19</v>
      </c>
      <c r="G1455" t="s">
        <v>219</v>
      </c>
      <c r="H1455" t="s">
        <v>220</v>
      </c>
      <c r="I1455" t="s">
        <v>22</v>
      </c>
      <c r="J1455" t="s">
        <v>42</v>
      </c>
      <c r="K1455" t="s">
        <v>1543</v>
      </c>
      <c r="L1455" t="s">
        <v>25</v>
      </c>
      <c r="M1455" s="8">
        <v>2.8969999999999998</v>
      </c>
      <c r="N1455" t="s">
        <v>26</v>
      </c>
      <c r="O1455" s="8">
        <v>2.8969999999999998</v>
      </c>
      <c r="P1455" s="8">
        <f>EXP(-1.363+3.366*LOG(O1455,10))</f>
        <v>1.2115719332293342</v>
      </c>
      <c r="Q1455" s="8">
        <f>(2640118*100)/3023471</f>
        <v>87.320764776642477</v>
      </c>
    </row>
    <row r="1456" spans="1:17" x14ac:dyDescent="0.2">
      <c r="A1456">
        <v>2015</v>
      </c>
      <c r="B1456" t="s">
        <v>1744</v>
      </c>
      <c r="C1456" t="s">
        <v>1690</v>
      </c>
      <c r="D1456" t="s">
        <v>1692</v>
      </c>
      <c r="E1456">
        <v>5</v>
      </c>
      <c r="F1456" t="s">
        <v>19</v>
      </c>
      <c r="G1456" t="s">
        <v>219</v>
      </c>
      <c r="H1456" t="s">
        <v>220</v>
      </c>
      <c r="I1456" t="s">
        <v>22</v>
      </c>
      <c r="J1456" t="s">
        <v>42</v>
      </c>
      <c r="K1456" t="s">
        <v>1543</v>
      </c>
      <c r="L1456" t="s">
        <v>25</v>
      </c>
      <c r="M1456" s="8">
        <v>2.8969999999999998</v>
      </c>
      <c r="N1456" t="s">
        <v>26</v>
      </c>
      <c r="O1456" s="8">
        <v>2.8969999999999998</v>
      </c>
      <c r="P1456" s="8">
        <f>EXP(-1.363+3.366*LOG(O1456,10))</f>
        <v>1.2115719332293342</v>
      </c>
      <c r="Q1456" s="8">
        <f>(2640118*100)/3023471</f>
        <v>87.320764776642477</v>
      </c>
    </row>
    <row r="1457" spans="1:17" x14ac:dyDescent="0.2">
      <c r="A1457">
        <v>2015</v>
      </c>
      <c r="B1457" t="s">
        <v>1745</v>
      </c>
      <c r="C1457" t="s">
        <v>1690</v>
      </c>
      <c r="D1457" t="s">
        <v>1692</v>
      </c>
      <c r="E1457">
        <v>5</v>
      </c>
      <c r="F1457" t="s">
        <v>19</v>
      </c>
      <c r="G1457" t="s">
        <v>219</v>
      </c>
      <c r="H1457" t="s">
        <v>220</v>
      </c>
      <c r="I1457" t="s">
        <v>22</v>
      </c>
      <c r="J1457" t="s">
        <v>42</v>
      </c>
      <c r="K1457" t="s">
        <v>1543</v>
      </c>
      <c r="L1457" t="s">
        <v>25</v>
      </c>
      <c r="M1457" s="8">
        <v>2.8969999999999998</v>
      </c>
      <c r="N1457" t="s">
        <v>26</v>
      </c>
      <c r="O1457" s="8">
        <v>2.8969999999999998</v>
      </c>
      <c r="P1457" s="8">
        <f>EXP(-1.363+3.366*LOG(O1457,10))</f>
        <v>1.2115719332293342</v>
      </c>
      <c r="Q1457" s="8">
        <f>(2640118*100)/3023471</f>
        <v>87.320764776642477</v>
      </c>
    </row>
    <row r="1458" spans="1:17" x14ac:dyDescent="0.2">
      <c r="A1458">
        <v>2015</v>
      </c>
      <c r="B1458" t="s">
        <v>1746</v>
      </c>
      <c r="C1458" t="s">
        <v>1690</v>
      </c>
      <c r="D1458" t="s">
        <v>1706</v>
      </c>
      <c r="E1458">
        <v>6</v>
      </c>
      <c r="F1458" t="s">
        <v>19</v>
      </c>
      <c r="G1458" t="s">
        <v>219</v>
      </c>
      <c r="H1458" t="s">
        <v>220</v>
      </c>
      <c r="I1458" t="s">
        <v>22</v>
      </c>
      <c r="J1458" t="s">
        <v>42</v>
      </c>
      <c r="K1458" t="s">
        <v>1543</v>
      </c>
      <c r="L1458" t="s">
        <v>25</v>
      </c>
      <c r="M1458" s="8">
        <v>2.8969999999999998</v>
      </c>
      <c r="N1458" t="s">
        <v>26</v>
      </c>
      <c r="O1458" s="8">
        <v>2.8969999999999998</v>
      </c>
      <c r="P1458" s="8">
        <f>EXP(-1.363+3.366*LOG(O1458,10))</f>
        <v>1.2115719332293342</v>
      </c>
      <c r="Q1458" s="8">
        <f>(2640118*100)/3023471</f>
        <v>87.320764776642477</v>
      </c>
    </row>
    <row r="1459" spans="1:17" x14ac:dyDescent="0.2">
      <c r="A1459">
        <v>2015</v>
      </c>
      <c r="B1459" t="s">
        <v>1747</v>
      </c>
      <c r="C1459" t="s">
        <v>1690</v>
      </c>
      <c r="D1459" t="s">
        <v>1706</v>
      </c>
      <c r="E1459">
        <v>6</v>
      </c>
      <c r="F1459" t="s">
        <v>19</v>
      </c>
      <c r="G1459" t="s">
        <v>219</v>
      </c>
      <c r="H1459" t="s">
        <v>220</v>
      </c>
      <c r="I1459" t="s">
        <v>22</v>
      </c>
      <c r="J1459" t="s">
        <v>42</v>
      </c>
      <c r="K1459" t="s">
        <v>1543</v>
      </c>
      <c r="L1459" t="s">
        <v>25</v>
      </c>
      <c r="M1459" s="8">
        <v>2.8969999999999998</v>
      </c>
      <c r="N1459" t="s">
        <v>26</v>
      </c>
      <c r="O1459" s="8">
        <v>2.8969999999999998</v>
      </c>
      <c r="P1459" s="8">
        <f>EXP(-1.363+3.366*LOG(O1459,10))</f>
        <v>1.2115719332293342</v>
      </c>
      <c r="Q1459" s="8">
        <f>(2640118*100)/3023471</f>
        <v>87.320764776642477</v>
      </c>
    </row>
    <row r="1460" spans="1:17" x14ac:dyDescent="0.2">
      <c r="A1460">
        <v>2015</v>
      </c>
      <c r="B1460" t="s">
        <v>1748</v>
      </c>
      <c r="C1460" t="s">
        <v>1690</v>
      </c>
      <c r="D1460" t="s">
        <v>1686</v>
      </c>
      <c r="E1460">
        <v>7</v>
      </c>
      <c r="F1460" t="s">
        <v>19</v>
      </c>
      <c r="G1460" t="s">
        <v>219</v>
      </c>
      <c r="H1460" t="s">
        <v>220</v>
      </c>
      <c r="I1460" t="s">
        <v>22</v>
      </c>
      <c r="J1460" t="s">
        <v>42</v>
      </c>
      <c r="K1460" t="s">
        <v>1543</v>
      </c>
      <c r="L1460" t="s">
        <v>25</v>
      </c>
      <c r="M1460" s="8">
        <v>2.8969999999999998</v>
      </c>
      <c r="N1460" t="s">
        <v>26</v>
      </c>
      <c r="O1460" s="8">
        <v>2.8969999999999998</v>
      </c>
      <c r="P1460" s="8">
        <f>EXP(-1.363+3.366*LOG(O1460,10))</f>
        <v>1.2115719332293342</v>
      </c>
      <c r="Q1460" s="8">
        <f>(2640118*100)/3023471</f>
        <v>87.320764776642477</v>
      </c>
    </row>
    <row r="1461" spans="1:17" x14ac:dyDescent="0.2">
      <c r="A1461">
        <v>2015</v>
      </c>
      <c r="B1461" t="s">
        <v>1749</v>
      </c>
      <c r="C1461" t="s">
        <v>1635</v>
      </c>
      <c r="D1461" t="s">
        <v>1686</v>
      </c>
      <c r="E1461">
        <v>7</v>
      </c>
      <c r="F1461" t="s">
        <v>19</v>
      </c>
      <c r="G1461" t="s">
        <v>219</v>
      </c>
      <c r="H1461" t="s">
        <v>220</v>
      </c>
      <c r="I1461" t="s">
        <v>22</v>
      </c>
      <c r="J1461" t="s">
        <v>42</v>
      </c>
      <c r="K1461" t="s">
        <v>1543</v>
      </c>
      <c r="L1461" t="s">
        <v>25</v>
      </c>
      <c r="M1461" s="8">
        <v>2.8969999999999998</v>
      </c>
      <c r="N1461" t="s">
        <v>26</v>
      </c>
      <c r="O1461" s="8">
        <v>2.8969999999999998</v>
      </c>
      <c r="P1461" s="8">
        <f>EXP(-1.363+3.366*LOG(O1461,10))</f>
        <v>1.2115719332293342</v>
      </c>
      <c r="Q1461" s="8">
        <f>(3602085*100)/4019599</f>
        <v>89.613043490159086</v>
      </c>
    </row>
    <row r="1462" spans="1:17" x14ac:dyDescent="0.2">
      <c r="A1462">
        <v>2015</v>
      </c>
      <c r="B1462" t="s">
        <v>1750</v>
      </c>
      <c r="C1462" t="s">
        <v>1635</v>
      </c>
      <c r="D1462" t="s">
        <v>1719</v>
      </c>
      <c r="E1462">
        <v>6</v>
      </c>
      <c r="F1462" t="s">
        <v>19</v>
      </c>
      <c r="G1462" t="s">
        <v>219</v>
      </c>
      <c r="H1462" t="s">
        <v>220</v>
      </c>
      <c r="I1462" t="s">
        <v>22</v>
      </c>
      <c r="J1462" t="s">
        <v>42</v>
      </c>
      <c r="K1462" t="s">
        <v>1543</v>
      </c>
      <c r="L1462" t="s">
        <v>25</v>
      </c>
      <c r="M1462" s="8">
        <v>2.8969999999999998</v>
      </c>
      <c r="N1462" t="s">
        <v>26</v>
      </c>
      <c r="O1462" s="8">
        <v>2.8969999999999998</v>
      </c>
      <c r="P1462" s="8">
        <f>EXP(-1.363+3.366*LOG(O1462,10))</f>
        <v>1.2115719332293342</v>
      </c>
      <c r="Q1462" s="8">
        <f>(3602085*100)/4019599</f>
        <v>89.613043490159086</v>
      </c>
    </row>
    <row r="1463" spans="1:17" x14ac:dyDescent="0.2">
      <c r="A1463">
        <v>2015</v>
      </c>
      <c r="B1463" t="s">
        <v>1751</v>
      </c>
      <c r="C1463" t="s">
        <v>1635</v>
      </c>
      <c r="D1463" t="s">
        <v>1688</v>
      </c>
      <c r="E1463">
        <v>6</v>
      </c>
      <c r="F1463" t="s">
        <v>19</v>
      </c>
      <c r="G1463" t="s">
        <v>219</v>
      </c>
      <c r="H1463" t="s">
        <v>220</v>
      </c>
      <c r="I1463" t="s">
        <v>22</v>
      </c>
      <c r="J1463" t="s">
        <v>42</v>
      </c>
      <c r="K1463" t="s">
        <v>1543</v>
      </c>
      <c r="L1463" t="s">
        <v>25</v>
      </c>
      <c r="M1463" s="8">
        <v>2.8969999999999998</v>
      </c>
      <c r="N1463" t="s">
        <v>26</v>
      </c>
      <c r="O1463" s="8">
        <v>2.8969999999999998</v>
      </c>
      <c r="P1463" s="8">
        <f>EXP(-1.363+3.366*LOG(O1463,10))</f>
        <v>1.2115719332293342</v>
      </c>
      <c r="Q1463" s="8">
        <f>(3602085*100)/4019599</f>
        <v>89.613043490159086</v>
      </c>
    </row>
    <row r="1464" spans="1:17" x14ac:dyDescent="0.2">
      <c r="A1464">
        <v>2015</v>
      </c>
      <c r="B1464" t="s">
        <v>1752</v>
      </c>
      <c r="C1464" t="s">
        <v>1635</v>
      </c>
      <c r="D1464" t="s">
        <v>1708</v>
      </c>
      <c r="E1464">
        <v>6</v>
      </c>
      <c r="F1464" t="s">
        <v>19</v>
      </c>
      <c r="G1464" t="s">
        <v>219</v>
      </c>
      <c r="H1464" t="s">
        <v>220</v>
      </c>
      <c r="I1464" t="s">
        <v>22</v>
      </c>
      <c r="J1464" t="s">
        <v>42</v>
      </c>
      <c r="K1464" t="s">
        <v>1543</v>
      </c>
      <c r="L1464" t="s">
        <v>25</v>
      </c>
      <c r="M1464" s="8">
        <v>2.8969999999999998</v>
      </c>
      <c r="N1464" t="s">
        <v>26</v>
      </c>
      <c r="O1464" s="8">
        <v>2.8969999999999998</v>
      </c>
      <c r="P1464" s="8">
        <f>EXP(-1.363+3.366*LOG(O1464,10))</f>
        <v>1.2115719332293342</v>
      </c>
      <c r="Q1464" s="8">
        <f>(3602085*100)/4019599</f>
        <v>89.613043490159086</v>
      </c>
    </row>
    <row r="1465" spans="1:17" x14ac:dyDescent="0.2">
      <c r="A1465">
        <v>2015</v>
      </c>
      <c r="B1465" t="s">
        <v>1753</v>
      </c>
      <c r="C1465" t="s">
        <v>1635</v>
      </c>
      <c r="D1465" t="s">
        <v>1710</v>
      </c>
      <c r="E1465">
        <v>7</v>
      </c>
      <c r="F1465" t="s">
        <v>19</v>
      </c>
      <c r="G1465" t="s">
        <v>219</v>
      </c>
      <c r="H1465" t="s">
        <v>220</v>
      </c>
      <c r="I1465" t="s">
        <v>22</v>
      </c>
      <c r="J1465" t="s">
        <v>42</v>
      </c>
      <c r="K1465" t="s">
        <v>1543</v>
      </c>
      <c r="L1465" t="s">
        <v>25</v>
      </c>
      <c r="M1465" s="8">
        <v>2.8969999999999998</v>
      </c>
      <c r="N1465" t="s">
        <v>26</v>
      </c>
      <c r="O1465" s="8">
        <v>2.8969999999999998</v>
      </c>
      <c r="P1465" s="8">
        <f>EXP(-1.363+3.366*LOG(O1465,10))</f>
        <v>1.2115719332293342</v>
      </c>
      <c r="Q1465" s="8">
        <f>(3602085*100)/4019599</f>
        <v>89.613043490159086</v>
      </c>
    </row>
    <row r="1466" spans="1:17" x14ac:dyDescent="0.2">
      <c r="A1466">
        <v>2015</v>
      </c>
      <c r="B1466" t="s">
        <v>1754</v>
      </c>
      <c r="C1466" t="s">
        <v>1635</v>
      </c>
      <c r="D1466" t="s">
        <v>1710</v>
      </c>
      <c r="E1466">
        <v>7</v>
      </c>
      <c r="F1466" t="s">
        <v>19</v>
      </c>
      <c r="G1466" t="s">
        <v>219</v>
      </c>
      <c r="H1466" t="s">
        <v>220</v>
      </c>
      <c r="I1466" t="s">
        <v>22</v>
      </c>
      <c r="J1466" t="s">
        <v>42</v>
      </c>
      <c r="K1466" t="s">
        <v>1543</v>
      </c>
      <c r="L1466" t="s">
        <v>25</v>
      </c>
      <c r="M1466" s="8">
        <v>2.8969999999999998</v>
      </c>
      <c r="N1466" t="s">
        <v>26</v>
      </c>
      <c r="O1466" s="8">
        <v>2.8969999999999998</v>
      </c>
      <c r="P1466" s="8">
        <f>EXP(-1.363+3.366*LOG(O1466,10))</f>
        <v>1.2115719332293342</v>
      </c>
      <c r="Q1466" s="8">
        <f>(3602085*100)/4019599</f>
        <v>89.613043490159086</v>
      </c>
    </row>
    <row r="1467" spans="1:17" x14ac:dyDescent="0.2">
      <c r="A1467">
        <v>2015</v>
      </c>
      <c r="B1467" t="s">
        <v>1755</v>
      </c>
      <c r="C1467" t="s">
        <v>1635</v>
      </c>
      <c r="D1467" t="s">
        <v>1686</v>
      </c>
      <c r="E1467">
        <v>7</v>
      </c>
      <c r="F1467" t="s">
        <v>19</v>
      </c>
      <c r="G1467" t="s">
        <v>219</v>
      </c>
      <c r="H1467" t="s">
        <v>220</v>
      </c>
      <c r="I1467" t="s">
        <v>22</v>
      </c>
      <c r="J1467" t="s">
        <v>42</v>
      </c>
      <c r="K1467" t="s">
        <v>1543</v>
      </c>
      <c r="L1467" t="s">
        <v>25</v>
      </c>
      <c r="M1467" s="8">
        <v>2.8969999999999998</v>
      </c>
      <c r="N1467" t="s">
        <v>26</v>
      </c>
      <c r="O1467" s="8">
        <v>2.8969999999999998</v>
      </c>
      <c r="P1467" s="8">
        <f>EXP(-1.363+3.366*LOG(O1467,10))</f>
        <v>1.2115719332293342</v>
      </c>
      <c r="Q1467" s="8">
        <f>(3602085*100)/4019599</f>
        <v>89.613043490159086</v>
      </c>
    </row>
    <row r="1468" spans="1:17" x14ac:dyDescent="0.2">
      <c r="A1468">
        <v>2015</v>
      </c>
      <c r="B1468" t="s">
        <v>1756</v>
      </c>
      <c r="C1468" t="s">
        <v>1540</v>
      </c>
      <c r="D1468" t="s">
        <v>1686</v>
      </c>
      <c r="E1468">
        <v>7</v>
      </c>
      <c r="F1468" t="s">
        <v>19</v>
      </c>
      <c r="G1468" t="s">
        <v>230</v>
      </c>
      <c r="H1468" t="s">
        <v>1757</v>
      </c>
      <c r="I1468" t="s">
        <v>22</v>
      </c>
      <c r="J1468" t="s">
        <v>42</v>
      </c>
      <c r="K1468" t="s">
        <v>1543</v>
      </c>
      <c r="L1468" t="s">
        <v>25</v>
      </c>
      <c r="M1468" s="8">
        <v>4.2283333330000001</v>
      </c>
      <c r="N1468" t="s">
        <v>26</v>
      </c>
      <c r="O1468" s="8">
        <v>4.2283333330000001</v>
      </c>
      <c r="P1468" s="8">
        <f>EXP(-1.363+3.366*LOG(O1468,10))</f>
        <v>2.1057792396965977</v>
      </c>
      <c r="Q1468" s="8">
        <f>(2618262*100)/2995732</f>
        <v>87.399740697766021</v>
      </c>
    </row>
    <row r="1469" spans="1:17" x14ac:dyDescent="0.2">
      <c r="A1469">
        <v>2015</v>
      </c>
      <c r="B1469" t="s">
        <v>1758</v>
      </c>
      <c r="C1469" t="s">
        <v>1540</v>
      </c>
      <c r="D1469" t="s">
        <v>1688</v>
      </c>
      <c r="E1469">
        <v>6</v>
      </c>
      <c r="F1469" t="s">
        <v>19</v>
      </c>
      <c r="G1469" t="s">
        <v>230</v>
      </c>
      <c r="H1469" t="s">
        <v>1757</v>
      </c>
      <c r="I1469" t="s">
        <v>22</v>
      </c>
      <c r="J1469" t="s">
        <v>42</v>
      </c>
      <c r="K1469" t="s">
        <v>1543</v>
      </c>
      <c r="L1469" t="s">
        <v>25</v>
      </c>
      <c r="M1469" s="8">
        <v>4.2283333330000001</v>
      </c>
      <c r="N1469" t="s">
        <v>26</v>
      </c>
      <c r="O1469" s="8">
        <v>4.2283333330000001</v>
      </c>
      <c r="P1469" s="8">
        <f>EXP(-1.363+3.366*LOG(O1469,10))</f>
        <v>2.1057792396965977</v>
      </c>
      <c r="Q1469" s="8">
        <f>(2618262*100)/2995732</f>
        <v>87.399740697766021</v>
      </c>
    </row>
    <row r="1470" spans="1:17" x14ac:dyDescent="0.2">
      <c r="A1470">
        <v>2015</v>
      </c>
      <c r="B1470" t="s">
        <v>1759</v>
      </c>
      <c r="C1470" t="s">
        <v>1540</v>
      </c>
      <c r="D1470" t="s">
        <v>1688</v>
      </c>
      <c r="E1470">
        <v>6</v>
      </c>
      <c r="F1470" t="s">
        <v>19</v>
      </c>
      <c r="G1470" t="s">
        <v>230</v>
      </c>
      <c r="H1470" t="s">
        <v>1757</v>
      </c>
      <c r="I1470" t="s">
        <v>22</v>
      </c>
      <c r="J1470" t="s">
        <v>42</v>
      </c>
      <c r="K1470" t="s">
        <v>1543</v>
      </c>
      <c r="L1470" t="s">
        <v>25</v>
      </c>
      <c r="M1470" s="8">
        <v>4.2283333330000001</v>
      </c>
      <c r="N1470" t="s">
        <v>26</v>
      </c>
      <c r="O1470" s="8">
        <v>4.2283333330000001</v>
      </c>
      <c r="P1470" s="8">
        <f>EXP(-1.363+3.366*LOG(O1470,10))</f>
        <v>2.1057792396965977</v>
      </c>
      <c r="Q1470" s="8">
        <f>(2618262*100)/2995732</f>
        <v>87.399740697766021</v>
      </c>
    </row>
    <row r="1471" spans="1:17" x14ac:dyDescent="0.2">
      <c r="A1471">
        <v>2015</v>
      </c>
      <c r="B1471" t="s">
        <v>1760</v>
      </c>
      <c r="C1471" t="s">
        <v>1540</v>
      </c>
      <c r="D1471" t="s">
        <v>1688</v>
      </c>
      <c r="E1471">
        <v>6</v>
      </c>
      <c r="F1471" t="s">
        <v>19</v>
      </c>
      <c r="G1471" t="s">
        <v>230</v>
      </c>
      <c r="H1471" t="s">
        <v>1757</v>
      </c>
      <c r="I1471" t="s">
        <v>22</v>
      </c>
      <c r="J1471" t="s">
        <v>42</v>
      </c>
      <c r="K1471" t="s">
        <v>1543</v>
      </c>
      <c r="L1471" t="s">
        <v>25</v>
      </c>
      <c r="M1471" s="8">
        <v>4.2283333330000001</v>
      </c>
      <c r="N1471" t="s">
        <v>26</v>
      </c>
      <c r="O1471" s="8">
        <v>4.2283333330000001</v>
      </c>
      <c r="P1471" s="8">
        <f>EXP(-1.363+3.366*LOG(O1471,10))</f>
        <v>2.1057792396965977</v>
      </c>
      <c r="Q1471" s="8">
        <f>(2618262*100)/2995732</f>
        <v>87.399740697766021</v>
      </c>
    </row>
    <row r="1472" spans="1:17" x14ac:dyDescent="0.2">
      <c r="A1472">
        <v>2015</v>
      </c>
      <c r="B1472" t="s">
        <v>1761</v>
      </c>
      <c r="C1472" t="s">
        <v>1635</v>
      </c>
      <c r="D1472" t="s">
        <v>1710</v>
      </c>
      <c r="E1472">
        <v>7</v>
      </c>
      <c r="F1472" t="s">
        <v>19</v>
      </c>
      <c r="G1472" t="s">
        <v>230</v>
      </c>
      <c r="H1472" t="s">
        <v>1757</v>
      </c>
      <c r="I1472" t="s">
        <v>22</v>
      </c>
      <c r="J1472" t="s">
        <v>42</v>
      </c>
      <c r="K1472" t="s">
        <v>1543</v>
      </c>
      <c r="L1472" t="s">
        <v>25</v>
      </c>
      <c r="M1472" s="8">
        <v>4.2283333330000001</v>
      </c>
      <c r="N1472" t="s">
        <v>26</v>
      </c>
      <c r="O1472" s="8">
        <v>4.2283333330000001</v>
      </c>
      <c r="P1472" s="8">
        <f>EXP(-1.363+3.366*LOG(O1472,10))</f>
        <v>2.1057792396965977</v>
      </c>
      <c r="Q1472" s="8">
        <f>(3602085*100)/4019599</f>
        <v>89.613043490159086</v>
      </c>
    </row>
    <row r="1473" spans="1:17" x14ac:dyDescent="0.2">
      <c r="A1473">
        <v>2015</v>
      </c>
      <c r="B1473" t="s">
        <v>1762</v>
      </c>
      <c r="C1473" t="s">
        <v>1540</v>
      </c>
      <c r="D1473" t="s">
        <v>1710</v>
      </c>
      <c r="E1473">
        <v>7</v>
      </c>
      <c r="F1473" t="s">
        <v>19</v>
      </c>
      <c r="G1473" t="s">
        <v>230</v>
      </c>
      <c r="H1473" t="s">
        <v>255</v>
      </c>
      <c r="I1473" t="s">
        <v>22</v>
      </c>
      <c r="J1473" t="s">
        <v>42</v>
      </c>
      <c r="K1473" t="s">
        <v>1543</v>
      </c>
      <c r="L1473" t="s">
        <v>25</v>
      </c>
      <c r="M1473" s="8">
        <v>3.1943333329999999</v>
      </c>
      <c r="N1473" t="s">
        <v>26</v>
      </c>
      <c r="O1473" s="8">
        <v>3.1943333329999999</v>
      </c>
      <c r="P1473" s="8">
        <f>EXP(-1.363+3.366*LOG(O1473,10))</f>
        <v>1.3975823704079444</v>
      </c>
      <c r="Q1473" s="8">
        <f>(2618262*100)/2995732</f>
        <v>87.399740697766021</v>
      </c>
    </row>
    <row r="1474" spans="1:17" x14ac:dyDescent="0.2">
      <c r="A1474">
        <v>2015</v>
      </c>
      <c r="B1474" t="s">
        <v>1763</v>
      </c>
      <c r="C1474" t="s">
        <v>1547</v>
      </c>
      <c r="D1474" t="s">
        <v>1726</v>
      </c>
      <c r="E1474">
        <v>6</v>
      </c>
      <c r="F1474" t="s">
        <v>19</v>
      </c>
      <c r="G1474" t="s">
        <v>230</v>
      </c>
      <c r="H1474" t="s">
        <v>255</v>
      </c>
      <c r="I1474" t="s">
        <v>22</v>
      </c>
      <c r="J1474" t="s">
        <v>42</v>
      </c>
      <c r="K1474" t="s">
        <v>1543</v>
      </c>
      <c r="L1474" t="s">
        <v>25</v>
      </c>
      <c r="M1474" s="8">
        <v>3.1943333329999999</v>
      </c>
      <c r="N1474" t="s">
        <v>26</v>
      </c>
      <c r="O1474" s="8">
        <v>3.1943333329999999</v>
      </c>
      <c r="P1474" s="8">
        <f>EXP(-1.363+3.366*LOG(O1474,10))</f>
        <v>1.3975823704079444</v>
      </c>
      <c r="Q1474" s="8">
        <f>(3881584*100)/4292409</f>
        <v>90.429034139104644</v>
      </c>
    </row>
    <row r="1475" spans="1:17" x14ac:dyDescent="0.2">
      <c r="A1475">
        <v>2015</v>
      </c>
      <c r="B1475" t="s">
        <v>1764</v>
      </c>
      <c r="C1475" t="s">
        <v>1547</v>
      </c>
      <c r="D1475" t="s">
        <v>1688</v>
      </c>
      <c r="E1475">
        <v>6</v>
      </c>
      <c r="F1475" t="s">
        <v>19</v>
      </c>
      <c r="G1475" t="s">
        <v>230</v>
      </c>
      <c r="H1475" t="s">
        <v>268</v>
      </c>
      <c r="I1475" t="s">
        <v>22</v>
      </c>
      <c r="J1475" t="s">
        <v>42</v>
      </c>
      <c r="K1475" t="s">
        <v>1543</v>
      </c>
      <c r="L1475" t="s">
        <v>25</v>
      </c>
      <c r="M1475" s="8">
        <v>3.5356666670000001</v>
      </c>
      <c r="N1475" t="s">
        <v>26</v>
      </c>
      <c r="O1475" s="8">
        <v>3.5356666670000001</v>
      </c>
      <c r="P1475" s="8">
        <f>EXP(-1.363+3.366*LOG(O1475,10))</f>
        <v>1.6211802664427075</v>
      </c>
      <c r="Q1475" s="8">
        <f>(3881584*100)/4292409</f>
        <v>90.429034139104644</v>
      </c>
    </row>
    <row r="1476" spans="1:17" x14ac:dyDescent="0.2">
      <c r="A1476">
        <v>2015</v>
      </c>
      <c r="B1476" t="s">
        <v>1765</v>
      </c>
      <c r="C1476" t="s">
        <v>1690</v>
      </c>
      <c r="D1476" t="s">
        <v>1686</v>
      </c>
      <c r="E1476">
        <v>7</v>
      </c>
      <c r="F1476" t="s">
        <v>19</v>
      </c>
      <c r="G1476" t="s">
        <v>1472</v>
      </c>
      <c r="H1476" t="s">
        <v>1473</v>
      </c>
      <c r="I1476" t="s">
        <v>36</v>
      </c>
      <c r="J1476" t="s">
        <v>42</v>
      </c>
      <c r="K1476" t="s">
        <v>1543</v>
      </c>
      <c r="L1476" t="s">
        <v>187</v>
      </c>
      <c r="M1476" s="8">
        <v>0.91300000000000003</v>
      </c>
      <c r="N1476" t="s">
        <v>26</v>
      </c>
      <c r="O1476" s="8">
        <v>0.91300000000000003</v>
      </c>
      <c r="P1476" s="8">
        <f>EXP(-1.363+3.366*LOG(O1476,10))</f>
        <v>0.22401206592984921</v>
      </c>
      <c r="Q1476" s="8">
        <f>(2640118*100)/3023471</f>
        <v>87.320764776642477</v>
      </c>
    </row>
    <row r="1477" spans="1:17" x14ac:dyDescent="0.2">
      <c r="A1477">
        <v>2015</v>
      </c>
      <c r="B1477" t="s">
        <v>1766</v>
      </c>
      <c r="C1477" t="s">
        <v>1690</v>
      </c>
      <c r="D1477" t="s">
        <v>1710</v>
      </c>
      <c r="E1477">
        <v>7</v>
      </c>
      <c r="F1477" t="s">
        <v>19</v>
      </c>
      <c r="G1477" t="s">
        <v>1472</v>
      </c>
      <c r="H1477" t="s">
        <v>1473</v>
      </c>
      <c r="I1477" t="s">
        <v>36</v>
      </c>
      <c r="J1477" t="s">
        <v>42</v>
      </c>
      <c r="K1477" t="s">
        <v>1543</v>
      </c>
      <c r="L1477" t="s">
        <v>187</v>
      </c>
      <c r="M1477" s="8">
        <v>0.91300000000000003</v>
      </c>
      <c r="N1477" t="s">
        <v>26</v>
      </c>
      <c r="O1477" s="8">
        <v>0.91300000000000003</v>
      </c>
      <c r="P1477" s="8">
        <f>EXP(-1.363+3.366*LOG(O1477,10))</f>
        <v>0.22401206592984921</v>
      </c>
      <c r="Q1477" s="8">
        <f>(2640118*100)/3023471</f>
        <v>87.320764776642477</v>
      </c>
    </row>
    <row r="1478" spans="1:17" x14ac:dyDescent="0.2">
      <c r="A1478">
        <v>2015</v>
      </c>
      <c r="B1478" t="s">
        <v>1767</v>
      </c>
      <c r="C1478" t="s">
        <v>1690</v>
      </c>
      <c r="D1478" t="s">
        <v>1686</v>
      </c>
      <c r="E1478">
        <v>7</v>
      </c>
      <c r="F1478" t="s">
        <v>19</v>
      </c>
      <c r="G1478" t="s">
        <v>1472</v>
      </c>
      <c r="H1478" t="s">
        <v>1473</v>
      </c>
      <c r="I1478" t="s">
        <v>36</v>
      </c>
      <c r="J1478" t="s">
        <v>42</v>
      </c>
      <c r="K1478" t="s">
        <v>1543</v>
      </c>
      <c r="L1478" t="s">
        <v>187</v>
      </c>
      <c r="M1478" s="8">
        <v>0.91300000000000003</v>
      </c>
      <c r="N1478" t="s">
        <v>26</v>
      </c>
      <c r="O1478" s="8">
        <v>0.91300000000000003</v>
      </c>
      <c r="P1478" s="8">
        <f>EXP(-1.363+3.366*LOG(O1478,10))</f>
        <v>0.22401206592984921</v>
      </c>
      <c r="Q1478" s="8">
        <f>(2640118*100)/3023471</f>
        <v>87.320764776642477</v>
      </c>
    </row>
    <row r="1479" spans="1:17" x14ac:dyDescent="0.2">
      <c r="A1479">
        <v>2015</v>
      </c>
      <c r="B1479" t="s">
        <v>1768</v>
      </c>
      <c r="C1479" t="s">
        <v>1690</v>
      </c>
      <c r="D1479" t="s">
        <v>1686</v>
      </c>
      <c r="E1479">
        <v>7</v>
      </c>
      <c r="F1479" t="s">
        <v>19</v>
      </c>
      <c r="G1479" t="s">
        <v>1472</v>
      </c>
      <c r="H1479" t="s">
        <v>1473</v>
      </c>
      <c r="I1479" t="s">
        <v>36</v>
      </c>
      <c r="J1479" t="s">
        <v>42</v>
      </c>
      <c r="K1479" t="s">
        <v>1543</v>
      </c>
      <c r="L1479" t="s">
        <v>187</v>
      </c>
      <c r="M1479" s="8">
        <v>0.91300000000000003</v>
      </c>
      <c r="N1479" t="s">
        <v>26</v>
      </c>
      <c r="O1479" s="8">
        <v>0.91300000000000003</v>
      </c>
      <c r="P1479" s="8">
        <f>EXP(-1.363+3.366*LOG(O1479,10))</f>
        <v>0.22401206592984921</v>
      </c>
      <c r="Q1479" s="8">
        <f>(2640118*100)/3023471</f>
        <v>87.320764776642477</v>
      </c>
    </row>
    <row r="1480" spans="1:17" x14ac:dyDescent="0.2">
      <c r="A1480">
        <v>2015</v>
      </c>
      <c r="B1480" t="s">
        <v>1769</v>
      </c>
      <c r="C1480" t="s">
        <v>1540</v>
      </c>
      <c r="D1480" t="s">
        <v>1715</v>
      </c>
      <c r="E1480">
        <v>7</v>
      </c>
      <c r="F1480" t="s">
        <v>19</v>
      </c>
      <c r="G1480" t="s">
        <v>362</v>
      </c>
      <c r="H1480" t="s">
        <v>421</v>
      </c>
      <c r="I1480" t="s">
        <v>22</v>
      </c>
      <c r="J1480" t="s">
        <v>42</v>
      </c>
      <c r="K1480" t="s">
        <v>1543</v>
      </c>
      <c r="L1480" t="s">
        <v>25</v>
      </c>
      <c r="M1480" s="8">
        <v>1.921333333</v>
      </c>
      <c r="N1480" t="s">
        <v>26</v>
      </c>
      <c r="O1480" s="8">
        <v>1.921333333</v>
      </c>
      <c r="P1480" s="8">
        <f>EXP(-1.363+3.366*LOG(O1480,10))</f>
        <v>0.66471742502276976</v>
      </c>
      <c r="Q1480" s="8">
        <f>(2618262*100)/2995732</f>
        <v>87.399740697766021</v>
      </c>
    </row>
    <row r="1481" spans="1:17" x14ac:dyDescent="0.2">
      <c r="A1481">
        <v>2015</v>
      </c>
      <c r="B1481" t="s">
        <v>1770</v>
      </c>
      <c r="C1481" t="s">
        <v>1540</v>
      </c>
      <c r="D1481" t="s">
        <v>1686</v>
      </c>
      <c r="E1481">
        <v>7</v>
      </c>
      <c r="F1481" t="s">
        <v>19</v>
      </c>
      <c r="G1481" t="s">
        <v>362</v>
      </c>
      <c r="H1481" t="s">
        <v>447</v>
      </c>
      <c r="I1481" t="s">
        <v>22</v>
      </c>
      <c r="J1481" t="s">
        <v>42</v>
      </c>
      <c r="K1481" t="s">
        <v>1543</v>
      </c>
      <c r="L1481" t="s">
        <v>25</v>
      </c>
      <c r="M1481" s="8">
        <v>1.421</v>
      </c>
      <c r="N1481" t="s">
        <v>26</v>
      </c>
      <c r="O1481" s="8">
        <v>1.421</v>
      </c>
      <c r="P1481" s="8">
        <f>EXP(-1.363+3.366*LOG(O1481,10))</f>
        <v>0.42768500084673816</v>
      </c>
      <c r="Q1481" s="8">
        <f>(2618262*100)/2995732</f>
        <v>87.399740697766021</v>
      </c>
    </row>
    <row r="1482" spans="1:17" x14ac:dyDescent="0.2">
      <c r="A1482">
        <v>2015</v>
      </c>
      <c r="B1482" t="s">
        <v>1771</v>
      </c>
      <c r="C1482" t="s">
        <v>1540</v>
      </c>
      <c r="D1482" t="s">
        <v>1724</v>
      </c>
      <c r="E1482">
        <v>5</v>
      </c>
      <c r="F1482" t="s">
        <v>19</v>
      </c>
      <c r="G1482" t="s">
        <v>362</v>
      </c>
      <c r="H1482" t="s">
        <v>447</v>
      </c>
      <c r="I1482" t="s">
        <v>22</v>
      </c>
      <c r="J1482" t="s">
        <v>42</v>
      </c>
      <c r="K1482" t="s">
        <v>1543</v>
      </c>
      <c r="L1482" t="s">
        <v>25</v>
      </c>
      <c r="M1482" s="8">
        <v>1.421</v>
      </c>
      <c r="N1482" t="s">
        <v>26</v>
      </c>
      <c r="O1482" s="8">
        <v>1.421</v>
      </c>
      <c r="P1482" s="8">
        <f>EXP(-1.363+3.366*LOG(O1482,10))</f>
        <v>0.42768500084673816</v>
      </c>
      <c r="Q1482" s="8">
        <f>(2618262*100)/2995732</f>
        <v>87.399740697766021</v>
      </c>
    </row>
    <row r="1483" spans="1:17" x14ac:dyDescent="0.2">
      <c r="A1483">
        <v>2015</v>
      </c>
      <c r="B1483" t="s">
        <v>1772</v>
      </c>
      <c r="C1483" t="s">
        <v>1540</v>
      </c>
      <c r="D1483" t="s">
        <v>1724</v>
      </c>
      <c r="E1483">
        <v>5</v>
      </c>
      <c r="F1483" t="s">
        <v>19</v>
      </c>
      <c r="G1483" t="s">
        <v>362</v>
      </c>
      <c r="H1483" t="s">
        <v>447</v>
      </c>
      <c r="I1483" t="s">
        <v>22</v>
      </c>
      <c r="J1483" t="s">
        <v>42</v>
      </c>
      <c r="K1483" t="s">
        <v>1543</v>
      </c>
      <c r="L1483" t="s">
        <v>25</v>
      </c>
      <c r="M1483" s="8">
        <v>1.421</v>
      </c>
      <c r="N1483" t="s">
        <v>26</v>
      </c>
      <c r="O1483" s="8">
        <v>1.421</v>
      </c>
      <c r="P1483" s="8">
        <f>EXP(-1.363+3.366*LOG(O1483,10))</f>
        <v>0.42768500084673816</v>
      </c>
      <c r="Q1483" s="8">
        <f>(2618262*100)/2995732</f>
        <v>87.399740697766021</v>
      </c>
    </row>
    <row r="1484" spans="1:17" x14ac:dyDescent="0.2">
      <c r="A1484">
        <v>2015</v>
      </c>
      <c r="B1484" t="s">
        <v>1773</v>
      </c>
      <c r="C1484" t="s">
        <v>1540</v>
      </c>
      <c r="D1484" t="s">
        <v>1706</v>
      </c>
      <c r="E1484">
        <v>6</v>
      </c>
      <c r="F1484" t="s">
        <v>19</v>
      </c>
      <c r="G1484" t="s">
        <v>362</v>
      </c>
      <c r="H1484" t="s">
        <v>447</v>
      </c>
      <c r="I1484" t="s">
        <v>22</v>
      </c>
      <c r="J1484" t="s">
        <v>42</v>
      </c>
      <c r="K1484" t="s">
        <v>1543</v>
      </c>
      <c r="L1484" t="s">
        <v>25</v>
      </c>
      <c r="M1484" s="8">
        <v>1.421</v>
      </c>
      <c r="N1484" t="s">
        <v>26</v>
      </c>
      <c r="O1484" s="8">
        <v>1.421</v>
      </c>
      <c r="P1484" s="8">
        <f>EXP(-1.363+3.366*LOG(O1484,10))</f>
        <v>0.42768500084673816</v>
      </c>
      <c r="Q1484" s="8">
        <f>(2618262*100)/2995732</f>
        <v>87.399740697766021</v>
      </c>
    </row>
    <row r="1485" spans="1:17" x14ac:dyDescent="0.2">
      <c r="A1485">
        <v>2015</v>
      </c>
      <c r="B1485" t="s">
        <v>1774</v>
      </c>
      <c r="C1485" t="s">
        <v>1540</v>
      </c>
      <c r="D1485" t="s">
        <v>1706</v>
      </c>
      <c r="E1485">
        <v>6</v>
      </c>
      <c r="F1485" t="s">
        <v>19</v>
      </c>
      <c r="G1485" t="s">
        <v>362</v>
      </c>
      <c r="H1485" t="s">
        <v>447</v>
      </c>
      <c r="I1485" t="s">
        <v>22</v>
      </c>
      <c r="J1485" t="s">
        <v>42</v>
      </c>
      <c r="K1485" t="s">
        <v>1543</v>
      </c>
      <c r="L1485" t="s">
        <v>25</v>
      </c>
      <c r="M1485" s="8">
        <v>1.421</v>
      </c>
      <c r="N1485" t="s">
        <v>26</v>
      </c>
      <c r="O1485" s="8">
        <v>1.421</v>
      </c>
      <c r="P1485" s="8">
        <f>EXP(-1.363+3.366*LOG(O1485,10))</f>
        <v>0.42768500084673816</v>
      </c>
      <c r="Q1485" s="8">
        <f>(2618262*100)/2995732</f>
        <v>87.399740697766021</v>
      </c>
    </row>
    <row r="1486" spans="1:17" x14ac:dyDescent="0.2">
      <c r="A1486">
        <v>2015</v>
      </c>
      <c r="B1486" t="s">
        <v>1775</v>
      </c>
      <c r="C1486" t="s">
        <v>1540</v>
      </c>
      <c r="D1486" t="s">
        <v>1726</v>
      </c>
      <c r="E1486">
        <v>6</v>
      </c>
      <c r="F1486" t="s">
        <v>19</v>
      </c>
      <c r="G1486" t="s">
        <v>362</v>
      </c>
      <c r="H1486" t="s">
        <v>447</v>
      </c>
      <c r="I1486" t="s">
        <v>36</v>
      </c>
      <c r="J1486" t="s">
        <v>42</v>
      </c>
      <c r="K1486" t="s">
        <v>1543</v>
      </c>
      <c r="L1486" t="s">
        <v>25</v>
      </c>
      <c r="M1486" s="8">
        <v>1.0956666669999999</v>
      </c>
      <c r="N1486" t="s">
        <v>26</v>
      </c>
      <c r="O1486" s="8">
        <v>1.0956666669999999</v>
      </c>
      <c r="P1486" s="8">
        <f>EXP(-1.363+3.366*LOG(O1486,10))</f>
        <v>0.29245562330904107</v>
      </c>
      <c r="Q1486" s="8">
        <f>(2618262*100)/2995732</f>
        <v>87.399740697766021</v>
      </c>
    </row>
    <row r="1487" spans="1:17" x14ac:dyDescent="0.2">
      <c r="A1487">
        <v>2015</v>
      </c>
      <c r="B1487" t="s">
        <v>1776</v>
      </c>
      <c r="C1487" t="s">
        <v>1552</v>
      </c>
      <c r="D1487" t="s">
        <v>1686</v>
      </c>
      <c r="E1487">
        <v>7</v>
      </c>
      <c r="F1487" t="s">
        <v>19</v>
      </c>
      <c r="G1487" t="s">
        <v>362</v>
      </c>
      <c r="H1487" t="s">
        <v>447</v>
      </c>
      <c r="I1487" t="s">
        <v>36</v>
      </c>
      <c r="J1487" t="s">
        <v>42</v>
      </c>
      <c r="K1487" t="s">
        <v>1543</v>
      </c>
      <c r="L1487" t="s">
        <v>25</v>
      </c>
      <c r="M1487" s="8">
        <v>1.0956666669999999</v>
      </c>
      <c r="N1487" t="s">
        <v>26</v>
      </c>
      <c r="O1487" s="8">
        <v>1.0956666669999999</v>
      </c>
      <c r="P1487" s="8">
        <f>EXP(-1.363+3.366*LOG(O1487,10))</f>
        <v>0.29245562330904107</v>
      </c>
      <c r="Q1487" s="8">
        <f>(3738946*100)/3915493</f>
        <v>95.491065875995687</v>
      </c>
    </row>
    <row r="1488" spans="1:17" x14ac:dyDescent="0.2">
      <c r="A1488">
        <v>2015</v>
      </c>
      <c r="B1488" t="s">
        <v>1777</v>
      </c>
      <c r="C1488" t="s">
        <v>1635</v>
      </c>
      <c r="D1488" t="s">
        <v>1715</v>
      </c>
      <c r="E1488">
        <v>7</v>
      </c>
      <c r="F1488" t="s">
        <v>19</v>
      </c>
      <c r="G1488" t="s">
        <v>362</v>
      </c>
      <c r="H1488" t="s">
        <v>447</v>
      </c>
      <c r="I1488" t="s">
        <v>22</v>
      </c>
      <c r="J1488" t="s">
        <v>42</v>
      </c>
      <c r="K1488" t="s">
        <v>1543</v>
      </c>
      <c r="L1488" t="s">
        <v>25</v>
      </c>
      <c r="M1488" s="8">
        <v>1.421</v>
      </c>
      <c r="N1488" t="s">
        <v>26</v>
      </c>
      <c r="O1488" s="8">
        <v>1.421</v>
      </c>
      <c r="P1488" s="8">
        <f>EXP(-1.363+3.366*LOG(O1488,10))</f>
        <v>0.42768500084673816</v>
      </c>
      <c r="Q1488" s="8">
        <f>(3602085*100)/4019599</f>
        <v>89.613043490159086</v>
      </c>
    </row>
    <row r="1489" spans="1:17" x14ac:dyDescent="0.2">
      <c r="A1489">
        <v>2015</v>
      </c>
      <c r="B1489" t="s">
        <v>1778</v>
      </c>
      <c r="C1489" t="s">
        <v>1540</v>
      </c>
      <c r="D1489" t="s">
        <v>1710</v>
      </c>
      <c r="E1489">
        <v>7</v>
      </c>
      <c r="F1489" t="s">
        <v>19</v>
      </c>
      <c r="G1489" t="s">
        <v>1512</v>
      </c>
      <c r="H1489" t="s">
        <v>1515</v>
      </c>
      <c r="I1489" t="s">
        <v>22</v>
      </c>
      <c r="J1489" t="s">
        <v>42</v>
      </c>
      <c r="K1489" t="s">
        <v>1543</v>
      </c>
      <c r="L1489" t="s">
        <v>187</v>
      </c>
      <c r="M1489" s="8">
        <v>1.477333333</v>
      </c>
      <c r="N1489" t="s">
        <v>26</v>
      </c>
      <c r="O1489" s="8">
        <v>1.477333333</v>
      </c>
      <c r="P1489" s="8">
        <f>EXP(-1.363+3.366*LOG(O1489,10))</f>
        <v>0.45269558398500004</v>
      </c>
      <c r="Q1489" s="8">
        <f>(2618262*100)/2995732</f>
        <v>87.399740697766021</v>
      </c>
    </row>
    <row r="1490" spans="1:17" x14ac:dyDescent="0.2">
      <c r="A1490">
        <v>2015</v>
      </c>
      <c r="B1490" t="s">
        <v>1779</v>
      </c>
      <c r="C1490" t="s">
        <v>1540</v>
      </c>
      <c r="D1490" t="s">
        <v>1688</v>
      </c>
      <c r="E1490">
        <v>6</v>
      </c>
      <c r="F1490" t="s">
        <v>19</v>
      </c>
      <c r="G1490" t="s">
        <v>332</v>
      </c>
      <c r="H1490" t="s">
        <v>1641</v>
      </c>
      <c r="I1490" t="s">
        <v>22</v>
      </c>
      <c r="J1490" t="s">
        <v>42</v>
      </c>
      <c r="K1490" t="s">
        <v>1543</v>
      </c>
      <c r="L1490" t="s">
        <v>26</v>
      </c>
      <c r="M1490" s="8" t="s">
        <v>26</v>
      </c>
      <c r="N1490" t="s">
        <v>26</v>
      </c>
      <c r="O1490" s="8" t="s">
        <v>26</v>
      </c>
      <c r="P1490" s="8" t="s">
        <v>26</v>
      </c>
      <c r="Q1490" s="8">
        <f>(2618262*100)/2995732</f>
        <v>87.399740697766021</v>
      </c>
    </row>
    <row r="1491" spans="1:17" x14ac:dyDescent="0.2">
      <c r="A1491">
        <v>2015</v>
      </c>
      <c r="B1491" t="s">
        <v>1780</v>
      </c>
      <c r="C1491" t="s">
        <v>1552</v>
      </c>
      <c r="D1491" t="s">
        <v>1686</v>
      </c>
      <c r="E1491">
        <v>7</v>
      </c>
      <c r="F1491" t="s">
        <v>19</v>
      </c>
      <c r="G1491" t="s">
        <v>352</v>
      </c>
      <c r="H1491" t="s">
        <v>494</v>
      </c>
      <c r="I1491" t="s">
        <v>22</v>
      </c>
      <c r="J1491" t="s">
        <v>42</v>
      </c>
      <c r="K1491" t="s">
        <v>1543</v>
      </c>
      <c r="L1491" t="s">
        <v>25</v>
      </c>
      <c r="M1491" s="8">
        <v>1.7226666669999999</v>
      </c>
      <c r="N1491" t="s">
        <v>26</v>
      </c>
      <c r="O1491" s="8">
        <v>1.7226666669999999</v>
      </c>
      <c r="P1491" s="8">
        <f>EXP(-1.363+3.366*LOG(O1491,10))</f>
        <v>0.56668788662759551</v>
      </c>
      <c r="Q1491" s="8">
        <f>(3738946*100)/3915493</f>
        <v>95.491065875995687</v>
      </c>
    </row>
    <row r="1492" spans="1:17" x14ac:dyDescent="0.2">
      <c r="A1492">
        <v>2015</v>
      </c>
      <c r="B1492" t="s">
        <v>1781</v>
      </c>
      <c r="C1492" t="s">
        <v>1540</v>
      </c>
      <c r="D1492" t="s">
        <v>1686</v>
      </c>
      <c r="E1492">
        <v>7</v>
      </c>
      <c r="F1492" t="s">
        <v>19</v>
      </c>
      <c r="G1492" t="s">
        <v>352</v>
      </c>
      <c r="H1492" t="s">
        <v>623</v>
      </c>
      <c r="I1492" t="s">
        <v>22</v>
      </c>
      <c r="J1492" t="s">
        <v>42</v>
      </c>
      <c r="K1492" t="s">
        <v>1543</v>
      </c>
      <c r="L1492" t="s">
        <v>25</v>
      </c>
      <c r="M1492" s="8">
        <v>1.387</v>
      </c>
      <c r="N1492" t="s">
        <v>26</v>
      </c>
      <c r="O1492" s="8">
        <v>1.387</v>
      </c>
      <c r="P1492" s="8">
        <f>EXP(-1.363+3.366*LOG(O1492,10))</f>
        <v>0.41280884754947733</v>
      </c>
      <c r="Q1492" s="8">
        <f>(2618262*100)/2995732</f>
        <v>87.399740697766021</v>
      </c>
    </row>
    <row r="1493" spans="1:17" x14ac:dyDescent="0.2">
      <c r="A1493">
        <v>2015</v>
      </c>
      <c r="B1493" t="s">
        <v>1782</v>
      </c>
      <c r="C1493" t="s">
        <v>1540</v>
      </c>
      <c r="D1493" t="s">
        <v>1682</v>
      </c>
      <c r="E1493">
        <v>4</v>
      </c>
      <c r="F1493" t="s">
        <v>19</v>
      </c>
      <c r="G1493" t="s">
        <v>352</v>
      </c>
      <c r="H1493" t="s">
        <v>623</v>
      </c>
      <c r="I1493" t="s">
        <v>22</v>
      </c>
      <c r="J1493" t="s">
        <v>42</v>
      </c>
      <c r="K1493" t="s">
        <v>1543</v>
      </c>
      <c r="L1493" t="s">
        <v>25</v>
      </c>
      <c r="M1493" s="8">
        <v>1.387</v>
      </c>
      <c r="N1493" t="s">
        <v>26</v>
      </c>
      <c r="O1493" s="8">
        <v>1.387</v>
      </c>
      <c r="P1493" s="8">
        <f>EXP(-1.363+3.366*LOG(O1493,10))</f>
        <v>0.41280884754947733</v>
      </c>
      <c r="Q1493" s="8">
        <f>(2618262*100)/2995732</f>
        <v>87.399740697766021</v>
      </c>
    </row>
    <row r="1494" spans="1:17" x14ac:dyDescent="0.2">
      <c r="A1494">
        <v>2015</v>
      </c>
      <c r="B1494" t="s">
        <v>1783</v>
      </c>
      <c r="C1494" t="s">
        <v>1540</v>
      </c>
      <c r="D1494" t="s">
        <v>1706</v>
      </c>
      <c r="E1494">
        <v>6</v>
      </c>
      <c r="F1494" t="s">
        <v>19</v>
      </c>
      <c r="G1494" t="s">
        <v>352</v>
      </c>
      <c r="H1494" t="s">
        <v>623</v>
      </c>
      <c r="I1494" t="s">
        <v>22</v>
      </c>
      <c r="J1494" t="s">
        <v>42</v>
      </c>
      <c r="K1494" t="s">
        <v>1543</v>
      </c>
      <c r="L1494" t="s">
        <v>25</v>
      </c>
      <c r="M1494" s="8">
        <v>1.387</v>
      </c>
      <c r="N1494" t="s">
        <v>26</v>
      </c>
      <c r="O1494" s="8">
        <v>1.387</v>
      </c>
      <c r="P1494" s="8">
        <f>EXP(-1.363+3.366*LOG(O1494,10))</f>
        <v>0.41280884754947733</v>
      </c>
      <c r="Q1494" s="8">
        <f>(2618262*100)/2995732</f>
        <v>87.399740697766021</v>
      </c>
    </row>
    <row r="1495" spans="1:17" x14ac:dyDescent="0.2">
      <c r="A1495">
        <v>2015</v>
      </c>
      <c r="B1495" t="s">
        <v>1784</v>
      </c>
      <c r="C1495" t="s">
        <v>1540</v>
      </c>
      <c r="D1495" t="s">
        <v>1706</v>
      </c>
      <c r="E1495">
        <v>6</v>
      </c>
      <c r="F1495" t="s">
        <v>19</v>
      </c>
      <c r="G1495" t="s">
        <v>352</v>
      </c>
      <c r="H1495" t="s">
        <v>623</v>
      </c>
      <c r="I1495" t="s">
        <v>22</v>
      </c>
      <c r="J1495" t="s">
        <v>42</v>
      </c>
      <c r="K1495" t="s">
        <v>1543</v>
      </c>
      <c r="L1495" t="s">
        <v>25</v>
      </c>
      <c r="M1495" s="8">
        <v>1.387</v>
      </c>
      <c r="N1495" t="s">
        <v>26</v>
      </c>
      <c r="O1495" s="8">
        <v>1.387</v>
      </c>
      <c r="P1495" s="8">
        <f>EXP(-1.363+3.366*LOG(O1495,10))</f>
        <v>0.41280884754947733</v>
      </c>
      <c r="Q1495" s="8">
        <f>(2618262*100)/2995732</f>
        <v>87.399740697766021</v>
      </c>
    </row>
    <row r="1496" spans="1:17" x14ac:dyDescent="0.2">
      <c r="A1496">
        <v>2015</v>
      </c>
      <c r="B1496" t="s">
        <v>1785</v>
      </c>
      <c r="C1496" t="s">
        <v>1540</v>
      </c>
      <c r="D1496" t="s">
        <v>1688</v>
      </c>
      <c r="E1496">
        <v>6</v>
      </c>
      <c r="F1496" t="s">
        <v>19</v>
      </c>
      <c r="G1496" t="s">
        <v>352</v>
      </c>
      <c r="H1496" t="s">
        <v>623</v>
      </c>
      <c r="I1496" t="s">
        <v>22</v>
      </c>
      <c r="J1496" t="s">
        <v>42</v>
      </c>
      <c r="K1496" t="s">
        <v>1543</v>
      </c>
      <c r="L1496" t="s">
        <v>25</v>
      </c>
      <c r="M1496" s="8">
        <v>1.387</v>
      </c>
      <c r="N1496" t="s">
        <v>26</v>
      </c>
      <c r="O1496" s="8">
        <v>1.387</v>
      </c>
      <c r="P1496" s="8">
        <f>EXP(-1.363+3.366*LOG(O1496,10))</f>
        <v>0.41280884754947733</v>
      </c>
      <c r="Q1496" s="8">
        <f>(2618262*100)/2995732</f>
        <v>87.399740697766021</v>
      </c>
    </row>
    <row r="1497" spans="1:17" x14ac:dyDescent="0.2">
      <c r="A1497">
        <v>2015</v>
      </c>
      <c r="B1497" t="s">
        <v>1786</v>
      </c>
      <c r="C1497" t="s">
        <v>1540</v>
      </c>
      <c r="D1497" t="s">
        <v>1688</v>
      </c>
      <c r="E1497">
        <v>6</v>
      </c>
      <c r="F1497" t="s">
        <v>19</v>
      </c>
      <c r="G1497" t="s">
        <v>352</v>
      </c>
      <c r="H1497" t="s">
        <v>623</v>
      </c>
      <c r="I1497" t="s">
        <v>22</v>
      </c>
      <c r="J1497" t="s">
        <v>42</v>
      </c>
      <c r="K1497" t="s">
        <v>1543</v>
      </c>
      <c r="L1497" t="s">
        <v>25</v>
      </c>
      <c r="M1497" s="8">
        <v>1.387</v>
      </c>
      <c r="N1497" t="s">
        <v>26</v>
      </c>
      <c r="O1497" s="8">
        <v>1.387</v>
      </c>
      <c r="P1497" s="8">
        <f>EXP(-1.363+3.366*LOG(O1497,10))</f>
        <v>0.41280884754947733</v>
      </c>
      <c r="Q1497" s="8">
        <f>(2618262*100)/2995732</f>
        <v>87.399740697766021</v>
      </c>
    </row>
    <row r="1498" spans="1:17" x14ac:dyDescent="0.2">
      <c r="A1498">
        <v>2015</v>
      </c>
      <c r="B1498" t="s">
        <v>1787</v>
      </c>
      <c r="C1498" t="s">
        <v>1540</v>
      </c>
      <c r="D1498" t="s">
        <v>1710</v>
      </c>
      <c r="E1498">
        <v>7</v>
      </c>
      <c r="F1498" t="s">
        <v>19</v>
      </c>
      <c r="G1498" t="s">
        <v>352</v>
      </c>
      <c r="H1498" t="s">
        <v>623</v>
      </c>
      <c r="I1498" t="s">
        <v>22</v>
      </c>
      <c r="J1498" t="s">
        <v>42</v>
      </c>
      <c r="K1498" t="s">
        <v>1543</v>
      </c>
      <c r="L1498" t="s">
        <v>25</v>
      </c>
      <c r="M1498" s="8">
        <v>1.387</v>
      </c>
      <c r="N1498" t="s">
        <v>26</v>
      </c>
      <c r="O1498" s="8">
        <v>1.387</v>
      </c>
      <c r="P1498" s="8">
        <f>EXP(-1.363+3.366*LOG(O1498,10))</f>
        <v>0.41280884754947733</v>
      </c>
      <c r="Q1498" s="8">
        <f>(2618262*100)/2995732</f>
        <v>87.399740697766021</v>
      </c>
    </row>
    <row r="1499" spans="1:17" x14ac:dyDescent="0.2">
      <c r="A1499">
        <v>2015</v>
      </c>
      <c r="B1499" t="s">
        <v>1788</v>
      </c>
      <c r="C1499" t="s">
        <v>1540</v>
      </c>
      <c r="D1499" t="s">
        <v>1686</v>
      </c>
      <c r="E1499">
        <v>7</v>
      </c>
      <c r="F1499" t="s">
        <v>19</v>
      </c>
      <c r="G1499" t="s">
        <v>352</v>
      </c>
      <c r="H1499" t="s">
        <v>623</v>
      </c>
      <c r="I1499" t="s">
        <v>22</v>
      </c>
      <c r="J1499" t="s">
        <v>42</v>
      </c>
      <c r="K1499" t="s">
        <v>1543</v>
      </c>
      <c r="L1499" t="s">
        <v>25</v>
      </c>
      <c r="M1499" s="8">
        <v>1.387</v>
      </c>
      <c r="N1499" t="s">
        <v>26</v>
      </c>
      <c r="O1499" s="8">
        <v>1.387</v>
      </c>
      <c r="P1499" s="8">
        <f>EXP(-1.363+3.366*LOG(O1499,10))</f>
        <v>0.41280884754947733</v>
      </c>
      <c r="Q1499" s="8">
        <f>(2618262*100)/2995732</f>
        <v>87.399740697766021</v>
      </c>
    </row>
    <row r="1500" spans="1:17" x14ac:dyDescent="0.2">
      <c r="A1500">
        <v>2015</v>
      </c>
      <c r="B1500" t="s">
        <v>1789</v>
      </c>
      <c r="C1500" t="s">
        <v>1540</v>
      </c>
      <c r="D1500" t="s">
        <v>1686</v>
      </c>
      <c r="E1500">
        <v>7</v>
      </c>
      <c r="F1500" t="s">
        <v>19</v>
      </c>
      <c r="G1500" t="s">
        <v>352</v>
      </c>
      <c r="H1500" t="s">
        <v>623</v>
      </c>
      <c r="I1500" t="s">
        <v>36</v>
      </c>
      <c r="J1500" t="s">
        <v>42</v>
      </c>
      <c r="K1500" t="s">
        <v>1543</v>
      </c>
      <c r="L1500" t="s">
        <v>25</v>
      </c>
      <c r="M1500" s="8">
        <v>1.1339999999999999</v>
      </c>
      <c r="N1500" t="s">
        <v>26</v>
      </c>
      <c r="O1500" s="8">
        <v>1.1339999999999999</v>
      </c>
      <c r="P1500" s="8">
        <f>EXP(-1.363+3.366*LOG(O1500,10))</f>
        <v>0.30753312979708036</v>
      </c>
      <c r="Q1500" s="8">
        <f>(2618262*100)/2995732</f>
        <v>87.399740697766021</v>
      </c>
    </row>
    <row r="1501" spans="1:17" x14ac:dyDescent="0.2">
      <c r="A1501">
        <v>2015</v>
      </c>
      <c r="B1501" t="s">
        <v>1790</v>
      </c>
      <c r="C1501" t="s">
        <v>1540</v>
      </c>
      <c r="D1501" t="s">
        <v>1686</v>
      </c>
      <c r="E1501">
        <v>7</v>
      </c>
      <c r="F1501" t="s">
        <v>19</v>
      </c>
      <c r="G1501" t="s">
        <v>352</v>
      </c>
      <c r="H1501" t="s">
        <v>623</v>
      </c>
      <c r="I1501" t="s">
        <v>22</v>
      </c>
      <c r="J1501" t="s">
        <v>42</v>
      </c>
      <c r="K1501" t="s">
        <v>1543</v>
      </c>
      <c r="L1501" t="s">
        <v>25</v>
      </c>
      <c r="M1501" s="8">
        <v>1.387</v>
      </c>
      <c r="N1501" t="s">
        <v>26</v>
      </c>
      <c r="O1501" s="8">
        <v>1.387</v>
      </c>
      <c r="P1501" s="8">
        <f>EXP(-1.363+3.366*LOG(O1501,10))</f>
        <v>0.41280884754947733</v>
      </c>
      <c r="Q1501" s="8">
        <f>(2618262*100)/2995732</f>
        <v>87.399740697766021</v>
      </c>
    </row>
    <row r="1502" spans="1:17" x14ac:dyDescent="0.2">
      <c r="A1502">
        <v>2015</v>
      </c>
      <c r="B1502" t="s">
        <v>1791</v>
      </c>
      <c r="C1502" t="s">
        <v>1540</v>
      </c>
      <c r="D1502" t="s">
        <v>1686</v>
      </c>
      <c r="E1502">
        <v>7</v>
      </c>
      <c r="F1502" t="s">
        <v>19</v>
      </c>
      <c r="G1502" t="s">
        <v>352</v>
      </c>
      <c r="H1502" t="s">
        <v>623</v>
      </c>
      <c r="I1502" t="s">
        <v>22</v>
      </c>
      <c r="J1502" t="s">
        <v>42</v>
      </c>
      <c r="K1502" t="s">
        <v>1543</v>
      </c>
      <c r="L1502" t="s">
        <v>25</v>
      </c>
      <c r="M1502" s="8">
        <v>1.387</v>
      </c>
      <c r="N1502" t="s">
        <v>26</v>
      </c>
      <c r="O1502" s="8">
        <v>1.387</v>
      </c>
      <c r="P1502" s="8">
        <f>EXP(-1.363+3.366*LOG(O1502,10))</f>
        <v>0.41280884754947733</v>
      </c>
      <c r="Q1502" s="8">
        <f>(2618262*100)/2995732</f>
        <v>87.399740697766021</v>
      </c>
    </row>
    <row r="1503" spans="1:17" x14ac:dyDescent="0.2">
      <c r="A1503">
        <v>2015</v>
      </c>
      <c r="B1503" t="s">
        <v>1792</v>
      </c>
      <c r="C1503" t="s">
        <v>1540</v>
      </c>
      <c r="D1503" t="s">
        <v>1686</v>
      </c>
      <c r="E1503">
        <v>7</v>
      </c>
      <c r="F1503" t="s">
        <v>19</v>
      </c>
      <c r="G1503" t="s">
        <v>352</v>
      </c>
      <c r="H1503" t="s">
        <v>623</v>
      </c>
      <c r="I1503" t="s">
        <v>22</v>
      </c>
      <c r="J1503" t="s">
        <v>42</v>
      </c>
      <c r="K1503" t="s">
        <v>1543</v>
      </c>
      <c r="L1503" t="s">
        <v>25</v>
      </c>
      <c r="M1503" s="8">
        <v>1.387</v>
      </c>
      <c r="N1503" t="s">
        <v>26</v>
      </c>
      <c r="O1503" s="8">
        <v>1.387</v>
      </c>
      <c r="P1503" s="8">
        <f>EXP(-1.363+3.366*LOG(O1503,10))</f>
        <v>0.41280884754947733</v>
      </c>
      <c r="Q1503" s="8">
        <f>(2618262*100)/2995732</f>
        <v>87.399740697766021</v>
      </c>
    </row>
    <row r="1504" spans="1:17" x14ac:dyDescent="0.2">
      <c r="A1504">
        <v>2015</v>
      </c>
      <c r="B1504" t="s">
        <v>1793</v>
      </c>
      <c r="C1504" t="s">
        <v>1540</v>
      </c>
      <c r="D1504" t="s">
        <v>1686</v>
      </c>
      <c r="E1504">
        <v>7</v>
      </c>
      <c r="F1504" t="s">
        <v>19</v>
      </c>
      <c r="G1504" t="s">
        <v>352</v>
      </c>
      <c r="H1504" t="s">
        <v>623</v>
      </c>
      <c r="I1504" t="s">
        <v>22</v>
      </c>
      <c r="J1504" t="s">
        <v>42</v>
      </c>
      <c r="K1504" t="s">
        <v>1543</v>
      </c>
      <c r="L1504" t="s">
        <v>25</v>
      </c>
      <c r="M1504" s="8">
        <v>1.387</v>
      </c>
      <c r="N1504" t="s">
        <v>26</v>
      </c>
      <c r="O1504" s="8">
        <v>1.387</v>
      </c>
      <c r="P1504" s="8">
        <f>EXP(-1.363+3.366*LOG(O1504,10))</f>
        <v>0.41280884754947733</v>
      </c>
      <c r="Q1504" s="8">
        <f>(2618262*100)/2995732</f>
        <v>87.399740697766021</v>
      </c>
    </row>
    <row r="1505" spans="1:17" x14ac:dyDescent="0.2">
      <c r="A1505">
        <v>2015</v>
      </c>
      <c r="B1505" t="s">
        <v>1794</v>
      </c>
      <c r="C1505" t="s">
        <v>1540</v>
      </c>
      <c r="D1505" t="s">
        <v>1686</v>
      </c>
      <c r="E1505">
        <v>7</v>
      </c>
      <c r="F1505" t="s">
        <v>19</v>
      </c>
      <c r="G1505" t="s">
        <v>352</v>
      </c>
      <c r="H1505" t="s">
        <v>623</v>
      </c>
      <c r="I1505" t="s">
        <v>22</v>
      </c>
      <c r="J1505" t="s">
        <v>42</v>
      </c>
      <c r="K1505" t="s">
        <v>1543</v>
      </c>
      <c r="L1505" t="s">
        <v>25</v>
      </c>
      <c r="M1505" s="8">
        <v>1.387</v>
      </c>
      <c r="N1505" t="s">
        <v>26</v>
      </c>
      <c r="O1505" s="8">
        <v>1.387</v>
      </c>
      <c r="P1505" s="8">
        <f>EXP(-1.363+3.366*LOG(O1505,10))</f>
        <v>0.41280884754947733</v>
      </c>
      <c r="Q1505" s="8">
        <f>(2618262*100)/2995732</f>
        <v>87.399740697766021</v>
      </c>
    </row>
    <row r="1506" spans="1:17" x14ac:dyDescent="0.2">
      <c r="A1506">
        <v>2015</v>
      </c>
      <c r="B1506" t="s">
        <v>1795</v>
      </c>
      <c r="C1506" t="s">
        <v>1540</v>
      </c>
      <c r="D1506" t="s">
        <v>1686</v>
      </c>
      <c r="E1506">
        <v>7</v>
      </c>
      <c r="F1506" t="s">
        <v>19</v>
      </c>
      <c r="G1506" t="s">
        <v>352</v>
      </c>
      <c r="H1506" t="s">
        <v>623</v>
      </c>
      <c r="I1506" t="s">
        <v>22</v>
      </c>
      <c r="J1506" t="s">
        <v>42</v>
      </c>
      <c r="K1506" t="s">
        <v>1543</v>
      </c>
      <c r="L1506" t="s">
        <v>25</v>
      </c>
      <c r="M1506" s="8">
        <v>1.387</v>
      </c>
      <c r="N1506" t="s">
        <v>26</v>
      </c>
      <c r="O1506" s="8">
        <v>1.387</v>
      </c>
      <c r="P1506" s="8">
        <f>EXP(-1.363+3.366*LOG(O1506,10))</f>
        <v>0.41280884754947733</v>
      </c>
      <c r="Q1506" s="8">
        <f>(2618262*100)/2995732</f>
        <v>87.399740697766021</v>
      </c>
    </row>
    <row r="1507" spans="1:17" x14ac:dyDescent="0.2">
      <c r="A1507">
        <v>2015</v>
      </c>
      <c r="B1507" t="s">
        <v>1796</v>
      </c>
      <c r="C1507" t="s">
        <v>1540</v>
      </c>
      <c r="D1507" t="s">
        <v>1686</v>
      </c>
      <c r="E1507">
        <v>7</v>
      </c>
      <c r="F1507" t="s">
        <v>19</v>
      </c>
      <c r="G1507" t="s">
        <v>352</v>
      </c>
      <c r="H1507" t="s">
        <v>623</v>
      </c>
      <c r="I1507" t="s">
        <v>22</v>
      </c>
      <c r="J1507" t="s">
        <v>42</v>
      </c>
      <c r="K1507" t="s">
        <v>1543</v>
      </c>
      <c r="L1507" t="s">
        <v>25</v>
      </c>
      <c r="M1507" s="8">
        <v>1.387</v>
      </c>
      <c r="N1507" t="s">
        <v>26</v>
      </c>
      <c r="O1507" s="8">
        <v>1.387</v>
      </c>
      <c r="P1507" s="8">
        <f>EXP(-1.363+3.366*LOG(O1507,10))</f>
        <v>0.41280884754947733</v>
      </c>
      <c r="Q1507" s="8">
        <f>(2618262*100)/2995732</f>
        <v>87.399740697766021</v>
      </c>
    </row>
    <row r="1508" spans="1:17" x14ac:dyDescent="0.2">
      <c r="A1508">
        <v>2015</v>
      </c>
      <c r="B1508" t="s">
        <v>1797</v>
      </c>
      <c r="C1508" t="s">
        <v>1540</v>
      </c>
      <c r="D1508" t="s">
        <v>1686</v>
      </c>
      <c r="E1508">
        <v>7</v>
      </c>
      <c r="F1508" t="s">
        <v>19</v>
      </c>
      <c r="G1508" t="s">
        <v>352</v>
      </c>
      <c r="H1508" t="s">
        <v>623</v>
      </c>
      <c r="I1508" t="s">
        <v>36</v>
      </c>
      <c r="J1508" t="s">
        <v>42</v>
      </c>
      <c r="K1508" t="s">
        <v>1543</v>
      </c>
      <c r="L1508" t="s">
        <v>25</v>
      </c>
      <c r="M1508" s="8">
        <v>1.1339999999999999</v>
      </c>
      <c r="N1508" t="s">
        <v>26</v>
      </c>
      <c r="O1508" s="8">
        <v>1.1339999999999999</v>
      </c>
      <c r="P1508" s="8">
        <f>EXP(-1.363+3.366*LOG(O1508,10))</f>
        <v>0.30753312979708036</v>
      </c>
      <c r="Q1508" s="8">
        <f>(2618262*100)/2995732</f>
        <v>87.399740697766021</v>
      </c>
    </row>
    <row r="1509" spans="1:17" x14ac:dyDescent="0.2">
      <c r="A1509">
        <v>2015</v>
      </c>
      <c r="B1509" t="s">
        <v>1798</v>
      </c>
      <c r="C1509" t="s">
        <v>1547</v>
      </c>
      <c r="D1509" t="s">
        <v>1686</v>
      </c>
      <c r="E1509">
        <v>7</v>
      </c>
      <c r="F1509" t="s">
        <v>19</v>
      </c>
      <c r="G1509" t="s">
        <v>352</v>
      </c>
      <c r="H1509" t="s">
        <v>623</v>
      </c>
      <c r="I1509" t="s">
        <v>36</v>
      </c>
      <c r="J1509" t="s">
        <v>42</v>
      </c>
      <c r="K1509" t="s">
        <v>1543</v>
      </c>
      <c r="L1509" t="s">
        <v>25</v>
      </c>
      <c r="M1509" s="8">
        <v>1.1339999999999999</v>
      </c>
      <c r="N1509" t="s">
        <v>26</v>
      </c>
      <c r="O1509" s="8">
        <v>1.1339999999999999</v>
      </c>
      <c r="P1509" s="8">
        <f>EXP(-1.363+3.366*LOG(O1509,10))</f>
        <v>0.30753312979708036</v>
      </c>
      <c r="Q1509" s="8">
        <f>(3881584*100)/4292409</f>
        <v>90.429034139104644</v>
      </c>
    </row>
    <row r="1510" spans="1:17" x14ac:dyDescent="0.2">
      <c r="A1510">
        <v>2015</v>
      </c>
      <c r="B1510" t="s">
        <v>1799</v>
      </c>
      <c r="C1510" t="s">
        <v>1690</v>
      </c>
      <c r="D1510" t="s">
        <v>1686</v>
      </c>
      <c r="E1510">
        <v>7</v>
      </c>
      <c r="F1510" t="s">
        <v>19</v>
      </c>
      <c r="G1510" t="s">
        <v>352</v>
      </c>
      <c r="H1510" t="s">
        <v>623</v>
      </c>
      <c r="I1510" t="s">
        <v>22</v>
      </c>
      <c r="J1510" t="s">
        <v>42</v>
      </c>
      <c r="K1510" t="s">
        <v>1543</v>
      </c>
      <c r="L1510" t="s">
        <v>25</v>
      </c>
      <c r="M1510" s="8">
        <v>1.387</v>
      </c>
      <c r="N1510" t="s">
        <v>26</v>
      </c>
      <c r="O1510" s="8">
        <v>1.387</v>
      </c>
      <c r="P1510" s="8">
        <f>EXP(-1.363+3.366*LOG(O1510,10))</f>
        <v>0.41280884754947733</v>
      </c>
      <c r="Q1510" s="8">
        <f>(2640118*100)/3023471</f>
        <v>87.320764776642477</v>
      </c>
    </row>
    <row r="1511" spans="1:17" x14ac:dyDescent="0.2">
      <c r="A1511">
        <v>2015</v>
      </c>
      <c r="B1511" t="s">
        <v>1800</v>
      </c>
      <c r="C1511" t="s">
        <v>1690</v>
      </c>
      <c r="D1511" t="s">
        <v>1801</v>
      </c>
      <c r="E1511">
        <v>6</v>
      </c>
      <c r="F1511" t="s">
        <v>19</v>
      </c>
      <c r="G1511" t="s">
        <v>352</v>
      </c>
      <c r="H1511" t="s">
        <v>623</v>
      </c>
      <c r="I1511" t="s">
        <v>36</v>
      </c>
      <c r="J1511" t="s">
        <v>42</v>
      </c>
      <c r="K1511" t="s">
        <v>1543</v>
      </c>
      <c r="L1511" t="s">
        <v>25</v>
      </c>
      <c r="M1511" s="8">
        <v>1.1339999999999999</v>
      </c>
      <c r="N1511" t="s">
        <v>26</v>
      </c>
      <c r="O1511" s="8">
        <v>1.1339999999999999</v>
      </c>
      <c r="P1511" s="8">
        <f>EXP(-1.363+3.366*LOG(O1511,10))</f>
        <v>0.30753312979708036</v>
      </c>
      <c r="Q1511" s="8">
        <f>(2640118*100)/3023471</f>
        <v>87.320764776642477</v>
      </c>
    </row>
    <row r="1512" spans="1:17" x14ac:dyDescent="0.2">
      <c r="A1512">
        <v>2015</v>
      </c>
      <c r="B1512" t="s">
        <v>1802</v>
      </c>
      <c r="C1512" t="s">
        <v>1690</v>
      </c>
      <c r="D1512" t="s">
        <v>1710</v>
      </c>
      <c r="E1512">
        <v>7</v>
      </c>
      <c r="F1512" t="s">
        <v>19</v>
      </c>
      <c r="G1512" t="s">
        <v>352</v>
      </c>
      <c r="H1512" t="s">
        <v>623</v>
      </c>
      <c r="I1512" t="s">
        <v>22</v>
      </c>
      <c r="J1512" t="s">
        <v>42</v>
      </c>
      <c r="K1512" t="s">
        <v>1543</v>
      </c>
      <c r="L1512" t="s">
        <v>25</v>
      </c>
      <c r="M1512" s="8">
        <v>1.387</v>
      </c>
      <c r="N1512" t="s">
        <v>26</v>
      </c>
      <c r="O1512" s="8">
        <v>1.387</v>
      </c>
      <c r="P1512" s="8">
        <f>EXP(-1.363+3.366*LOG(O1512,10))</f>
        <v>0.41280884754947733</v>
      </c>
      <c r="Q1512" s="8">
        <f>(2640118*100)/3023471</f>
        <v>87.320764776642477</v>
      </c>
    </row>
    <row r="1513" spans="1:17" x14ac:dyDescent="0.2">
      <c r="A1513">
        <v>2015</v>
      </c>
      <c r="B1513" t="s">
        <v>1803</v>
      </c>
      <c r="C1513" t="s">
        <v>1690</v>
      </c>
      <c r="D1513" t="s">
        <v>1686</v>
      </c>
      <c r="E1513">
        <v>7</v>
      </c>
      <c r="F1513" t="s">
        <v>19</v>
      </c>
      <c r="G1513" t="s">
        <v>352</v>
      </c>
      <c r="H1513" t="s">
        <v>623</v>
      </c>
      <c r="I1513" t="s">
        <v>36</v>
      </c>
      <c r="J1513" t="s">
        <v>42</v>
      </c>
      <c r="K1513" t="s">
        <v>1543</v>
      </c>
      <c r="L1513" t="s">
        <v>25</v>
      </c>
      <c r="M1513" s="8">
        <v>1.1339999999999999</v>
      </c>
      <c r="N1513" t="s">
        <v>26</v>
      </c>
      <c r="O1513" s="8">
        <v>1.1339999999999999</v>
      </c>
      <c r="P1513" s="8">
        <f>EXP(-1.363+3.366*LOG(O1513,10))</f>
        <v>0.30753312979708036</v>
      </c>
      <c r="Q1513" s="8">
        <f>(2640118*100)/3023471</f>
        <v>87.320764776642477</v>
      </c>
    </row>
    <row r="1514" spans="1:17" x14ac:dyDescent="0.2">
      <c r="A1514">
        <v>2015</v>
      </c>
      <c r="B1514" t="s">
        <v>1804</v>
      </c>
      <c r="C1514" t="s">
        <v>1690</v>
      </c>
      <c r="D1514" t="s">
        <v>1686</v>
      </c>
      <c r="E1514">
        <v>7</v>
      </c>
      <c r="F1514" t="s">
        <v>19</v>
      </c>
      <c r="G1514" t="s">
        <v>352</v>
      </c>
      <c r="H1514" t="s">
        <v>623</v>
      </c>
      <c r="I1514" t="s">
        <v>22</v>
      </c>
      <c r="J1514" t="s">
        <v>42</v>
      </c>
      <c r="K1514" t="s">
        <v>1543</v>
      </c>
      <c r="L1514" t="s">
        <v>25</v>
      </c>
      <c r="M1514" s="8">
        <v>1.387</v>
      </c>
      <c r="N1514" t="s">
        <v>26</v>
      </c>
      <c r="O1514" s="8">
        <v>1.387</v>
      </c>
      <c r="P1514" s="8">
        <f>EXP(-1.363+3.366*LOG(O1514,10))</f>
        <v>0.41280884754947733</v>
      </c>
      <c r="Q1514" s="8">
        <f>(2640118*100)/3023471</f>
        <v>87.320764776642477</v>
      </c>
    </row>
    <row r="1515" spans="1:17" x14ac:dyDescent="0.2">
      <c r="A1515">
        <v>2015</v>
      </c>
      <c r="B1515" t="s">
        <v>1805</v>
      </c>
      <c r="C1515" t="s">
        <v>1690</v>
      </c>
      <c r="D1515" t="s">
        <v>1686</v>
      </c>
      <c r="E1515">
        <v>7</v>
      </c>
      <c r="F1515" t="s">
        <v>19</v>
      </c>
      <c r="G1515" t="s">
        <v>352</v>
      </c>
      <c r="H1515" t="s">
        <v>623</v>
      </c>
      <c r="I1515" t="s">
        <v>36</v>
      </c>
      <c r="J1515" t="s">
        <v>42</v>
      </c>
      <c r="K1515" t="s">
        <v>1543</v>
      </c>
      <c r="L1515" t="s">
        <v>25</v>
      </c>
      <c r="M1515" s="8">
        <v>1.1339999999999999</v>
      </c>
      <c r="N1515" t="s">
        <v>26</v>
      </c>
      <c r="O1515" s="8">
        <v>1.1339999999999999</v>
      </c>
      <c r="P1515" s="8">
        <f>EXP(-1.363+3.366*LOG(O1515,10))</f>
        <v>0.30753312979708036</v>
      </c>
      <c r="Q1515" s="8">
        <f>(2640118*100)/3023471</f>
        <v>87.320764776642477</v>
      </c>
    </row>
    <row r="1516" spans="1:17" x14ac:dyDescent="0.2">
      <c r="A1516">
        <v>2015</v>
      </c>
      <c r="B1516" t="s">
        <v>1806</v>
      </c>
      <c r="C1516" t="s">
        <v>1690</v>
      </c>
      <c r="D1516" t="s">
        <v>1686</v>
      </c>
      <c r="E1516">
        <v>7</v>
      </c>
      <c r="F1516" t="s">
        <v>19</v>
      </c>
      <c r="G1516" t="s">
        <v>352</v>
      </c>
      <c r="H1516" t="s">
        <v>623</v>
      </c>
      <c r="I1516" t="s">
        <v>36</v>
      </c>
      <c r="J1516" t="s">
        <v>42</v>
      </c>
      <c r="K1516" t="s">
        <v>1543</v>
      </c>
      <c r="L1516" t="s">
        <v>25</v>
      </c>
      <c r="M1516" s="8">
        <v>1.1339999999999999</v>
      </c>
      <c r="N1516" t="s">
        <v>26</v>
      </c>
      <c r="O1516" s="8">
        <v>1.1339999999999999</v>
      </c>
      <c r="P1516" s="8">
        <f>EXP(-1.363+3.366*LOG(O1516,10))</f>
        <v>0.30753312979708036</v>
      </c>
      <c r="Q1516" s="8">
        <f>(2640118*100)/3023471</f>
        <v>87.320764776642477</v>
      </c>
    </row>
    <row r="1517" spans="1:17" x14ac:dyDescent="0.2">
      <c r="A1517">
        <v>2015</v>
      </c>
      <c r="B1517" t="s">
        <v>1807</v>
      </c>
      <c r="C1517" t="s">
        <v>1690</v>
      </c>
      <c r="D1517" t="s">
        <v>1686</v>
      </c>
      <c r="E1517">
        <v>7</v>
      </c>
      <c r="F1517" t="s">
        <v>19</v>
      </c>
      <c r="G1517" t="s">
        <v>352</v>
      </c>
      <c r="H1517" t="s">
        <v>623</v>
      </c>
      <c r="I1517" t="s">
        <v>22</v>
      </c>
      <c r="J1517" t="s">
        <v>42</v>
      </c>
      <c r="K1517" t="s">
        <v>1543</v>
      </c>
      <c r="L1517" t="s">
        <v>25</v>
      </c>
      <c r="M1517" s="8">
        <v>1.387</v>
      </c>
      <c r="N1517" t="s">
        <v>26</v>
      </c>
      <c r="O1517" s="8">
        <v>1.387</v>
      </c>
      <c r="P1517" s="8">
        <f>EXP(-1.363+3.366*LOG(O1517,10))</f>
        <v>0.41280884754947733</v>
      </c>
      <c r="Q1517" s="8">
        <f>(2640118*100)/3023471</f>
        <v>87.320764776642477</v>
      </c>
    </row>
    <row r="1518" spans="1:17" x14ac:dyDescent="0.2">
      <c r="A1518">
        <v>2015</v>
      </c>
      <c r="B1518" t="s">
        <v>1808</v>
      </c>
      <c r="C1518" t="s">
        <v>1690</v>
      </c>
      <c r="D1518" t="s">
        <v>1686</v>
      </c>
      <c r="E1518">
        <v>7</v>
      </c>
      <c r="F1518" t="s">
        <v>19</v>
      </c>
      <c r="G1518" t="s">
        <v>352</v>
      </c>
      <c r="H1518" t="s">
        <v>623</v>
      </c>
      <c r="I1518" t="s">
        <v>36</v>
      </c>
      <c r="J1518" t="s">
        <v>42</v>
      </c>
      <c r="K1518" t="s">
        <v>1543</v>
      </c>
      <c r="L1518" t="s">
        <v>25</v>
      </c>
      <c r="M1518" s="8">
        <v>1.1339999999999999</v>
      </c>
      <c r="N1518" t="s">
        <v>26</v>
      </c>
      <c r="O1518" s="8">
        <v>1.1339999999999999</v>
      </c>
      <c r="P1518" s="8">
        <f>EXP(-1.363+3.366*LOG(O1518,10))</f>
        <v>0.30753312979708036</v>
      </c>
      <c r="Q1518" s="8">
        <f>(2640118*100)/3023471</f>
        <v>87.320764776642477</v>
      </c>
    </row>
    <row r="1519" spans="1:17" x14ac:dyDescent="0.2">
      <c r="A1519">
        <v>2015</v>
      </c>
      <c r="B1519" t="s">
        <v>1809</v>
      </c>
      <c r="C1519" t="s">
        <v>1690</v>
      </c>
      <c r="D1519" t="s">
        <v>1715</v>
      </c>
      <c r="E1519">
        <v>7</v>
      </c>
      <c r="F1519" t="s">
        <v>19</v>
      </c>
      <c r="G1519" t="s">
        <v>352</v>
      </c>
      <c r="H1519" t="s">
        <v>623</v>
      </c>
      <c r="I1519" t="s">
        <v>36</v>
      </c>
      <c r="J1519" t="s">
        <v>42</v>
      </c>
      <c r="K1519" t="s">
        <v>1543</v>
      </c>
      <c r="L1519" t="s">
        <v>25</v>
      </c>
      <c r="M1519" s="8">
        <v>1.1339999999999999</v>
      </c>
      <c r="N1519" t="s">
        <v>26</v>
      </c>
      <c r="O1519" s="8">
        <v>1.1339999999999999</v>
      </c>
      <c r="P1519" s="8">
        <f>EXP(-1.363+3.366*LOG(O1519,10))</f>
        <v>0.30753312979708036</v>
      </c>
      <c r="Q1519" s="8">
        <f>(2640118*100)/3023471</f>
        <v>87.320764776642477</v>
      </c>
    </row>
    <row r="1520" spans="1:17" x14ac:dyDescent="0.2">
      <c r="A1520">
        <v>2015</v>
      </c>
      <c r="B1520" t="s">
        <v>1810</v>
      </c>
      <c r="C1520" t="s">
        <v>1624</v>
      </c>
      <c r="D1520" t="s">
        <v>1715</v>
      </c>
      <c r="E1520">
        <v>7</v>
      </c>
      <c r="F1520" t="s">
        <v>19</v>
      </c>
      <c r="G1520" t="s">
        <v>352</v>
      </c>
      <c r="H1520" t="s">
        <v>623</v>
      </c>
      <c r="I1520" t="s">
        <v>36</v>
      </c>
      <c r="J1520" t="s">
        <v>42</v>
      </c>
      <c r="K1520" t="s">
        <v>1543</v>
      </c>
      <c r="L1520" t="s">
        <v>25</v>
      </c>
      <c r="M1520" s="8">
        <v>1.1339999999999999</v>
      </c>
      <c r="N1520" t="s">
        <v>26</v>
      </c>
      <c r="O1520" s="8">
        <v>1.1339999999999999</v>
      </c>
      <c r="P1520" s="8">
        <f>EXP(-1.363+3.366*LOG(O1520,10))</f>
        <v>0.30753312979708036</v>
      </c>
      <c r="Q1520" s="8">
        <f>(1599772*100)/1881247</f>
        <v>85.037849894245682</v>
      </c>
    </row>
    <row r="1521" spans="1:17" x14ac:dyDescent="0.2">
      <c r="A1521">
        <v>2015</v>
      </c>
      <c r="B1521" t="s">
        <v>1811</v>
      </c>
      <c r="C1521" t="s">
        <v>1552</v>
      </c>
      <c r="D1521" t="s">
        <v>1686</v>
      </c>
      <c r="E1521">
        <v>7</v>
      </c>
      <c r="F1521" t="s">
        <v>19</v>
      </c>
      <c r="G1521" t="s">
        <v>352</v>
      </c>
      <c r="H1521" t="s">
        <v>623</v>
      </c>
      <c r="I1521" t="s">
        <v>22</v>
      </c>
      <c r="J1521" t="s">
        <v>42</v>
      </c>
      <c r="K1521" t="s">
        <v>1543</v>
      </c>
      <c r="L1521" t="s">
        <v>25</v>
      </c>
      <c r="M1521" s="8">
        <v>1.387</v>
      </c>
      <c r="N1521" t="s">
        <v>26</v>
      </c>
      <c r="O1521" s="8">
        <v>1.387</v>
      </c>
      <c r="P1521" s="8">
        <f>EXP(-1.363+3.366*LOG(O1521,10))</f>
        <v>0.41280884754947733</v>
      </c>
      <c r="Q1521" s="8">
        <f>(3738946*100)/3915493</f>
        <v>95.491065875995687</v>
      </c>
    </row>
    <row r="1522" spans="1:17" x14ac:dyDescent="0.2">
      <c r="A1522">
        <v>2015</v>
      </c>
      <c r="B1522" t="s">
        <v>1812</v>
      </c>
      <c r="C1522" t="s">
        <v>1552</v>
      </c>
      <c r="D1522" t="s">
        <v>1686</v>
      </c>
      <c r="E1522">
        <v>7</v>
      </c>
      <c r="F1522" t="s">
        <v>19</v>
      </c>
      <c r="G1522" t="s">
        <v>352</v>
      </c>
      <c r="H1522" t="s">
        <v>623</v>
      </c>
      <c r="I1522" t="s">
        <v>36</v>
      </c>
      <c r="J1522" t="s">
        <v>42</v>
      </c>
      <c r="K1522" t="s">
        <v>1543</v>
      </c>
      <c r="L1522" t="s">
        <v>25</v>
      </c>
      <c r="M1522" s="8">
        <v>1.1339999999999999</v>
      </c>
      <c r="N1522" t="s">
        <v>26</v>
      </c>
      <c r="O1522" s="8">
        <v>1.1339999999999999</v>
      </c>
      <c r="P1522" s="8">
        <f>EXP(-1.363+3.366*LOG(O1522,10))</f>
        <v>0.30753312979708036</v>
      </c>
      <c r="Q1522" s="8">
        <f>(3738946*100)/3915493</f>
        <v>95.491065875995687</v>
      </c>
    </row>
    <row r="1523" spans="1:17" x14ac:dyDescent="0.2">
      <c r="A1523">
        <v>2015</v>
      </c>
      <c r="B1523" t="s">
        <v>1813</v>
      </c>
      <c r="C1523" t="s">
        <v>1552</v>
      </c>
      <c r="D1523" t="s">
        <v>1686</v>
      </c>
      <c r="E1523">
        <v>7</v>
      </c>
      <c r="F1523" t="s">
        <v>19</v>
      </c>
      <c r="G1523" t="s">
        <v>352</v>
      </c>
      <c r="H1523" t="s">
        <v>623</v>
      </c>
      <c r="I1523" t="s">
        <v>36</v>
      </c>
      <c r="J1523" t="s">
        <v>42</v>
      </c>
      <c r="K1523" t="s">
        <v>1543</v>
      </c>
      <c r="L1523" t="s">
        <v>25</v>
      </c>
      <c r="M1523" s="8">
        <v>1.1339999999999999</v>
      </c>
      <c r="N1523" t="s">
        <v>26</v>
      </c>
      <c r="O1523" s="8">
        <v>1.1339999999999999</v>
      </c>
      <c r="P1523" s="8">
        <f>EXP(-1.363+3.366*LOG(O1523,10))</f>
        <v>0.30753312979708036</v>
      </c>
      <c r="Q1523" s="8">
        <f>(3738946*100)/3915493</f>
        <v>95.491065875995687</v>
      </c>
    </row>
    <row r="1524" spans="1:17" x14ac:dyDescent="0.2">
      <c r="A1524">
        <v>2015</v>
      </c>
      <c r="B1524" t="s">
        <v>1814</v>
      </c>
      <c r="C1524" t="s">
        <v>1635</v>
      </c>
      <c r="D1524" t="s">
        <v>1715</v>
      </c>
      <c r="E1524">
        <v>7</v>
      </c>
      <c r="F1524" t="s">
        <v>19</v>
      </c>
      <c r="G1524" t="s">
        <v>352</v>
      </c>
      <c r="H1524" t="s">
        <v>623</v>
      </c>
      <c r="I1524" t="s">
        <v>22</v>
      </c>
      <c r="J1524" t="s">
        <v>42</v>
      </c>
      <c r="K1524" t="s">
        <v>1543</v>
      </c>
      <c r="L1524" t="s">
        <v>25</v>
      </c>
      <c r="M1524" s="8">
        <v>1.387</v>
      </c>
      <c r="N1524" t="s">
        <v>26</v>
      </c>
      <c r="O1524" s="8">
        <v>1.387</v>
      </c>
      <c r="P1524" s="8">
        <f>EXP(-1.363+3.366*LOG(O1524,10))</f>
        <v>0.41280884754947733</v>
      </c>
      <c r="Q1524" s="8">
        <f>(3602085*100)/4019599</f>
        <v>89.613043490159086</v>
      </c>
    </row>
    <row r="1525" spans="1:17" x14ac:dyDescent="0.2">
      <c r="A1525">
        <v>2015</v>
      </c>
      <c r="B1525" t="s">
        <v>1815</v>
      </c>
      <c r="C1525" t="s">
        <v>1635</v>
      </c>
      <c r="D1525" t="s">
        <v>1682</v>
      </c>
      <c r="E1525">
        <v>4</v>
      </c>
      <c r="F1525" t="s">
        <v>19</v>
      </c>
      <c r="G1525" t="s">
        <v>352</v>
      </c>
      <c r="H1525" t="s">
        <v>623</v>
      </c>
      <c r="I1525" t="s">
        <v>22</v>
      </c>
      <c r="J1525" t="s">
        <v>42</v>
      </c>
      <c r="K1525" t="s">
        <v>1543</v>
      </c>
      <c r="L1525" t="s">
        <v>25</v>
      </c>
      <c r="M1525" s="8">
        <v>1.387</v>
      </c>
      <c r="N1525" t="s">
        <v>26</v>
      </c>
      <c r="O1525" s="8">
        <v>1.387</v>
      </c>
      <c r="P1525" s="8">
        <f>EXP(-1.363+3.366*LOG(O1525,10))</f>
        <v>0.41280884754947733</v>
      </c>
      <c r="Q1525" s="8">
        <f>(3602085*100)/4019599</f>
        <v>89.613043490159086</v>
      </c>
    </row>
    <row r="1526" spans="1:17" x14ac:dyDescent="0.2">
      <c r="A1526">
        <v>2015</v>
      </c>
      <c r="B1526" t="s">
        <v>1816</v>
      </c>
      <c r="C1526" t="s">
        <v>1635</v>
      </c>
      <c r="D1526" t="s">
        <v>1688</v>
      </c>
      <c r="E1526">
        <v>6</v>
      </c>
      <c r="F1526" t="s">
        <v>19</v>
      </c>
      <c r="G1526" t="s">
        <v>352</v>
      </c>
      <c r="H1526" t="s">
        <v>623</v>
      </c>
      <c r="I1526" t="s">
        <v>36</v>
      </c>
      <c r="J1526" t="s">
        <v>42</v>
      </c>
      <c r="K1526" t="s">
        <v>1543</v>
      </c>
      <c r="L1526" t="s">
        <v>25</v>
      </c>
      <c r="M1526" s="8">
        <v>1.1339999999999999</v>
      </c>
      <c r="N1526" t="s">
        <v>26</v>
      </c>
      <c r="O1526" s="8">
        <v>1.1339999999999999</v>
      </c>
      <c r="P1526" s="8">
        <f>EXP(-1.363+3.366*LOG(O1526,10))</f>
        <v>0.30753312979708036</v>
      </c>
      <c r="Q1526" s="8">
        <f>(3602085*100)/4019599</f>
        <v>89.613043490159086</v>
      </c>
    </row>
    <row r="1527" spans="1:17" x14ac:dyDescent="0.2">
      <c r="A1527">
        <v>2015</v>
      </c>
      <c r="B1527" t="s">
        <v>1817</v>
      </c>
      <c r="C1527" t="s">
        <v>1635</v>
      </c>
      <c r="D1527" t="s">
        <v>1686</v>
      </c>
      <c r="E1527">
        <v>7</v>
      </c>
      <c r="F1527" t="s">
        <v>19</v>
      </c>
      <c r="G1527" t="s">
        <v>352</v>
      </c>
      <c r="H1527" t="s">
        <v>623</v>
      </c>
      <c r="I1527" t="s">
        <v>22</v>
      </c>
      <c r="J1527" t="s">
        <v>42</v>
      </c>
      <c r="K1527" t="s">
        <v>1543</v>
      </c>
      <c r="L1527" t="s">
        <v>25</v>
      </c>
      <c r="M1527" s="8">
        <v>1.387</v>
      </c>
      <c r="N1527" t="s">
        <v>26</v>
      </c>
      <c r="O1527" s="8">
        <v>1.387</v>
      </c>
      <c r="P1527" s="8">
        <f>EXP(-1.363+3.366*LOG(O1527,10))</f>
        <v>0.41280884754947733</v>
      </c>
      <c r="Q1527" s="8">
        <f>(3602085*100)/4019599</f>
        <v>89.613043490159086</v>
      </c>
    </row>
    <row r="1528" spans="1:17" x14ac:dyDescent="0.2">
      <c r="A1528">
        <v>2015</v>
      </c>
      <c r="B1528" t="s">
        <v>1818</v>
      </c>
      <c r="C1528" t="s">
        <v>1635</v>
      </c>
      <c r="D1528" t="s">
        <v>1686</v>
      </c>
      <c r="E1528">
        <v>7</v>
      </c>
      <c r="F1528" t="s">
        <v>19</v>
      </c>
      <c r="G1528" t="s">
        <v>352</v>
      </c>
      <c r="H1528" t="s">
        <v>623</v>
      </c>
      <c r="I1528" t="s">
        <v>22</v>
      </c>
      <c r="J1528" t="s">
        <v>42</v>
      </c>
      <c r="K1528" t="s">
        <v>1543</v>
      </c>
      <c r="L1528" t="s">
        <v>25</v>
      </c>
      <c r="M1528" s="8">
        <v>1.387</v>
      </c>
      <c r="N1528" t="s">
        <v>26</v>
      </c>
      <c r="O1528" s="8">
        <v>1.387</v>
      </c>
      <c r="P1528" s="8">
        <f>EXP(-1.363+3.366*LOG(O1528,10))</f>
        <v>0.41280884754947733</v>
      </c>
      <c r="Q1528" s="8">
        <f>(3602085*100)/4019599</f>
        <v>89.613043490159086</v>
      </c>
    </row>
    <row r="1529" spans="1:17" x14ac:dyDescent="0.2">
      <c r="A1529">
        <v>2015</v>
      </c>
      <c r="B1529" t="s">
        <v>1819</v>
      </c>
      <c r="C1529" t="s">
        <v>1540</v>
      </c>
      <c r="D1529" t="s">
        <v>1715</v>
      </c>
      <c r="E1529">
        <v>7</v>
      </c>
      <c r="F1529" t="s">
        <v>19</v>
      </c>
      <c r="G1529" t="s">
        <v>352</v>
      </c>
      <c r="H1529" t="s">
        <v>747</v>
      </c>
      <c r="I1529" t="s">
        <v>22</v>
      </c>
      <c r="J1529" t="s">
        <v>42</v>
      </c>
      <c r="K1529" t="s">
        <v>1543</v>
      </c>
      <c r="L1529" t="s">
        <v>25</v>
      </c>
      <c r="M1529" s="8">
        <v>1.3726666670000001</v>
      </c>
      <c r="N1529" t="s">
        <v>26</v>
      </c>
      <c r="O1529" s="8">
        <v>1.3726666670000001</v>
      </c>
      <c r="P1529" s="8">
        <f>EXP(-1.363+3.366*LOG(O1529,10))</f>
        <v>0.40658758379567089</v>
      </c>
      <c r="Q1529" s="8">
        <f>(2618262*100)/2995732</f>
        <v>87.399740697766021</v>
      </c>
    </row>
    <row r="1530" spans="1:17" x14ac:dyDescent="0.2">
      <c r="A1530">
        <v>2015</v>
      </c>
      <c r="B1530" t="s">
        <v>1820</v>
      </c>
      <c r="C1530" t="s">
        <v>1540</v>
      </c>
      <c r="D1530" t="s">
        <v>1682</v>
      </c>
      <c r="E1530">
        <v>4</v>
      </c>
      <c r="F1530" t="s">
        <v>19</v>
      </c>
      <c r="G1530" t="s">
        <v>352</v>
      </c>
      <c r="H1530" t="s">
        <v>747</v>
      </c>
      <c r="I1530" t="s">
        <v>22</v>
      </c>
      <c r="J1530" t="s">
        <v>42</v>
      </c>
      <c r="K1530" t="s">
        <v>1543</v>
      </c>
      <c r="L1530" t="s">
        <v>25</v>
      </c>
      <c r="M1530" s="8">
        <v>1.3726666670000001</v>
      </c>
      <c r="N1530" t="s">
        <v>26</v>
      </c>
      <c r="O1530" s="8">
        <v>1.3726666670000001</v>
      </c>
      <c r="P1530" s="8">
        <f>EXP(-1.363+3.366*LOG(O1530,10))</f>
        <v>0.40658758379567089</v>
      </c>
      <c r="Q1530" s="8">
        <f>(2618262*100)/2995732</f>
        <v>87.399740697766021</v>
      </c>
    </row>
    <row r="1531" spans="1:17" x14ac:dyDescent="0.2">
      <c r="A1531">
        <v>2015</v>
      </c>
      <c r="B1531" t="s">
        <v>1821</v>
      </c>
      <c r="C1531" t="s">
        <v>1540</v>
      </c>
      <c r="D1531" t="s">
        <v>1682</v>
      </c>
      <c r="E1531">
        <v>4</v>
      </c>
      <c r="F1531" t="s">
        <v>19</v>
      </c>
      <c r="G1531" t="s">
        <v>352</v>
      </c>
      <c r="H1531" t="s">
        <v>747</v>
      </c>
      <c r="I1531" t="s">
        <v>22</v>
      </c>
      <c r="J1531" t="s">
        <v>42</v>
      </c>
      <c r="K1531" t="s">
        <v>1543</v>
      </c>
      <c r="L1531" t="s">
        <v>25</v>
      </c>
      <c r="M1531" s="8">
        <v>1.3726666670000001</v>
      </c>
      <c r="N1531" t="s">
        <v>26</v>
      </c>
      <c r="O1531" s="8">
        <v>1.3726666670000001</v>
      </c>
      <c r="P1531" s="8">
        <f>EXP(-1.363+3.366*LOG(O1531,10))</f>
        <v>0.40658758379567089</v>
      </c>
      <c r="Q1531" s="8">
        <f>(2618262*100)/2995732</f>
        <v>87.399740697766021</v>
      </c>
    </row>
    <row r="1532" spans="1:17" x14ac:dyDescent="0.2">
      <c r="A1532">
        <v>2015</v>
      </c>
      <c r="B1532" t="s">
        <v>1822</v>
      </c>
      <c r="C1532" t="s">
        <v>1540</v>
      </c>
      <c r="D1532" t="s">
        <v>1682</v>
      </c>
      <c r="E1532">
        <v>4</v>
      </c>
      <c r="F1532" t="s">
        <v>19</v>
      </c>
      <c r="G1532" t="s">
        <v>352</v>
      </c>
      <c r="H1532" t="s">
        <v>747</v>
      </c>
      <c r="I1532" t="s">
        <v>22</v>
      </c>
      <c r="J1532" t="s">
        <v>42</v>
      </c>
      <c r="K1532" t="s">
        <v>1543</v>
      </c>
      <c r="L1532" t="s">
        <v>25</v>
      </c>
      <c r="M1532" s="8">
        <v>1.3726666670000001</v>
      </c>
      <c r="N1532" t="s">
        <v>26</v>
      </c>
      <c r="O1532" s="8">
        <v>1.3726666670000001</v>
      </c>
      <c r="P1532" s="8">
        <f>EXP(-1.363+3.366*LOG(O1532,10))</f>
        <v>0.40658758379567089</v>
      </c>
      <c r="Q1532" s="8">
        <f>(2618262*100)/2995732</f>
        <v>87.399740697766021</v>
      </c>
    </row>
    <row r="1533" spans="1:17" x14ac:dyDescent="0.2">
      <c r="A1533">
        <v>2015</v>
      </c>
      <c r="B1533" t="s">
        <v>1823</v>
      </c>
      <c r="C1533" t="s">
        <v>1540</v>
      </c>
      <c r="D1533" t="s">
        <v>1682</v>
      </c>
      <c r="E1533">
        <v>4</v>
      </c>
      <c r="F1533" t="s">
        <v>19</v>
      </c>
      <c r="G1533" t="s">
        <v>352</v>
      </c>
      <c r="H1533" t="s">
        <v>747</v>
      </c>
      <c r="I1533" t="s">
        <v>22</v>
      </c>
      <c r="J1533" t="s">
        <v>42</v>
      </c>
      <c r="K1533" t="s">
        <v>1543</v>
      </c>
      <c r="L1533" t="s">
        <v>25</v>
      </c>
      <c r="M1533" s="8">
        <v>1.3726666670000001</v>
      </c>
      <c r="N1533" t="s">
        <v>26</v>
      </c>
      <c r="O1533" s="8">
        <v>1.3726666670000001</v>
      </c>
      <c r="P1533" s="8">
        <f>EXP(-1.363+3.366*LOG(O1533,10))</f>
        <v>0.40658758379567089</v>
      </c>
      <c r="Q1533" s="8">
        <f>(2618262*100)/2995732</f>
        <v>87.399740697766021</v>
      </c>
    </row>
    <row r="1534" spans="1:17" x14ac:dyDescent="0.2">
      <c r="A1534">
        <v>2015</v>
      </c>
      <c r="B1534" t="s">
        <v>1824</v>
      </c>
      <c r="C1534" t="s">
        <v>1540</v>
      </c>
      <c r="D1534" t="s">
        <v>1706</v>
      </c>
      <c r="E1534">
        <v>6</v>
      </c>
      <c r="F1534" t="s">
        <v>19</v>
      </c>
      <c r="G1534" t="s">
        <v>352</v>
      </c>
      <c r="H1534" t="s">
        <v>747</v>
      </c>
      <c r="I1534" t="s">
        <v>22</v>
      </c>
      <c r="J1534" t="s">
        <v>42</v>
      </c>
      <c r="K1534" t="s">
        <v>1543</v>
      </c>
      <c r="L1534" t="s">
        <v>25</v>
      </c>
      <c r="M1534" s="8">
        <v>1.3726666670000001</v>
      </c>
      <c r="N1534" t="s">
        <v>26</v>
      </c>
      <c r="O1534" s="8">
        <v>1.3726666670000001</v>
      </c>
      <c r="P1534" s="8">
        <f>EXP(-1.363+3.366*LOG(O1534,10))</f>
        <v>0.40658758379567089</v>
      </c>
      <c r="Q1534" s="8">
        <f>(2618262*100)/2995732</f>
        <v>87.399740697766021</v>
      </c>
    </row>
    <row r="1535" spans="1:17" x14ac:dyDescent="0.2">
      <c r="A1535">
        <v>2015</v>
      </c>
      <c r="B1535" t="s">
        <v>1825</v>
      </c>
      <c r="C1535" t="s">
        <v>1540</v>
      </c>
      <c r="D1535" t="s">
        <v>1706</v>
      </c>
      <c r="E1535">
        <v>6</v>
      </c>
      <c r="F1535" t="s">
        <v>19</v>
      </c>
      <c r="G1535" t="s">
        <v>352</v>
      </c>
      <c r="H1535" t="s">
        <v>747</v>
      </c>
      <c r="I1535" t="s">
        <v>22</v>
      </c>
      <c r="J1535" t="s">
        <v>42</v>
      </c>
      <c r="K1535" t="s">
        <v>1543</v>
      </c>
      <c r="L1535" t="s">
        <v>25</v>
      </c>
      <c r="M1535" s="8">
        <v>1.3726666670000001</v>
      </c>
      <c r="N1535" t="s">
        <v>26</v>
      </c>
      <c r="O1535" s="8">
        <v>1.3726666670000001</v>
      </c>
      <c r="P1535" s="8">
        <f>EXP(-1.363+3.366*LOG(O1535,10))</f>
        <v>0.40658758379567089</v>
      </c>
      <c r="Q1535" s="8">
        <f>(2618262*100)/2995732</f>
        <v>87.399740697766021</v>
      </c>
    </row>
    <row r="1536" spans="1:17" x14ac:dyDescent="0.2">
      <c r="A1536">
        <v>2015</v>
      </c>
      <c r="B1536" t="s">
        <v>1826</v>
      </c>
      <c r="C1536" t="s">
        <v>1540</v>
      </c>
      <c r="D1536" t="s">
        <v>1726</v>
      </c>
      <c r="E1536">
        <v>6</v>
      </c>
      <c r="F1536" t="s">
        <v>19</v>
      </c>
      <c r="G1536" t="s">
        <v>352</v>
      </c>
      <c r="H1536" t="s">
        <v>747</v>
      </c>
      <c r="I1536" t="s">
        <v>22</v>
      </c>
      <c r="J1536" t="s">
        <v>42</v>
      </c>
      <c r="K1536" t="s">
        <v>1543</v>
      </c>
      <c r="L1536" t="s">
        <v>25</v>
      </c>
      <c r="M1536" s="8">
        <v>1.3726666670000001</v>
      </c>
      <c r="N1536" t="s">
        <v>26</v>
      </c>
      <c r="O1536" s="8">
        <v>1.3726666670000001</v>
      </c>
      <c r="P1536" s="8">
        <f>EXP(-1.363+3.366*LOG(O1536,10))</f>
        <v>0.40658758379567089</v>
      </c>
      <c r="Q1536" s="8">
        <f>(2618262*100)/2995732</f>
        <v>87.399740697766021</v>
      </c>
    </row>
    <row r="1537" spans="1:17" x14ac:dyDescent="0.2">
      <c r="A1537">
        <v>2015</v>
      </c>
      <c r="B1537" t="s">
        <v>1827</v>
      </c>
      <c r="C1537" t="s">
        <v>1540</v>
      </c>
      <c r="D1537" t="s">
        <v>1688</v>
      </c>
      <c r="E1537">
        <v>6</v>
      </c>
      <c r="F1537" t="s">
        <v>19</v>
      </c>
      <c r="G1537" t="s">
        <v>352</v>
      </c>
      <c r="H1537" t="s">
        <v>747</v>
      </c>
      <c r="I1537" t="s">
        <v>22</v>
      </c>
      <c r="J1537" t="s">
        <v>42</v>
      </c>
      <c r="K1537" t="s">
        <v>1543</v>
      </c>
      <c r="L1537" t="s">
        <v>25</v>
      </c>
      <c r="M1537" s="8">
        <v>1.3726666670000001</v>
      </c>
      <c r="N1537" t="s">
        <v>26</v>
      </c>
      <c r="O1537" s="8">
        <v>1.3726666670000001</v>
      </c>
      <c r="P1537" s="8">
        <f>EXP(-1.363+3.366*LOG(O1537,10))</f>
        <v>0.40658758379567089</v>
      </c>
      <c r="Q1537" s="8">
        <f>(2618262*100)/2995732</f>
        <v>87.399740697766021</v>
      </c>
    </row>
    <row r="1538" spans="1:17" x14ac:dyDescent="0.2">
      <c r="A1538">
        <v>2015</v>
      </c>
      <c r="B1538" t="s">
        <v>1828</v>
      </c>
      <c r="C1538" t="s">
        <v>1540</v>
      </c>
      <c r="D1538" t="s">
        <v>1688</v>
      </c>
      <c r="E1538">
        <v>6</v>
      </c>
      <c r="F1538" t="s">
        <v>19</v>
      </c>
      <c r="G1538" t="s">
        <v>352</v>
      </c>
      <c r="H1538" t="s">
        <v>747</v>
      </c>
      <c r="I1538" t="s">
        <v>22</v>
      </c>
      <c r="J1538" t="s">
        <v>42</v>
      </c>
      <c r="K1538" t="s">
        <v>1543</v>
      </c>
      <c r="L1538" t="s">
        <v>25</v>
      </c>
      <c r="M1538" s="8">
        <v>1.3726666670000001</v>
      </c>
      <c r="N1538" t="s">
        <v>26</v>
      </c>
      <c r="O1538" s="8">
        <v>1.3726666670000001</v>
      </c>
      <c r="P1538" s="8">
        <f>EXP(-1.363+3.366*LOG(O1538,10))</f>
        <v>0.40658758379567089</v>
      </c>
      <c r="Q1538" s="8">
        <f>(2618262*100)/2995732</f>
        <v>87.399740697766021</v>
      </c>
    </row>
    <row r="1539" spans="1:17" x14ac:dyDescent="0.2">
      <c r="A1539">
        <v>2015</v>
      </c>
      <c r="B1539" t="s">
        <v>1829</v>
      </c>
      <c r="C1539" t="s">
        <v>1552</v>
      </c>
      <c r="D1539" t="s">
        <v>1708</v>
      </c>
      <c r="E1539">
        <v>6</v>
      </c>
      <c r="F1539" t="s">
        <v>19</v>
      </c>
      <c r="G1539" t="s">
        <v>352</v>
      </c>
      <c r="H1539" t="s">
        <v>747</v>
      </c>
      <c r="I1539" t="s">
        <v>22</v>
      </c>
      <c r="J1539" t="s">
        <v>42</v>
      </c>
      <c r="K1539" t="s">
        <v>1543</v>
      </c>
      <c r="L1539" t="s">
        <v>25</v>
      </c>
      <c r="M1539" s="8">
        <v>1.3726666670000001</v>
      </c>
      <c r="N1539" t="s">
        <v>26</v>
      </c>
      <c r="O1539" s="8">
        <v>1.3726666670000001</v>
      </c>
      <c r="P1539" s="8">
        <f>EXP(-1.363+3.366*LOG(O1539,10))</f>
        <v>0.40658758379567089</v>
      </c>
      <c r="Q1539" s="8">
        <f>(3738946*100)/3915493</f>
        <v>95.491065875995687</v>
      </c>
    </row>
    <row r="1540" spans="1:17" x14ac:dyDescent="0.2">
      <c r="A1540">
        <v>2015</v>
      </c>
      <c r="B1540" t="s">
        <v>1830</v>
      </c>
      <c r="C1540" t="s">
        <v>1552</v>
      </c>
      <c r="D1540" t="s">
        <v>1698</v>
      </c>
      <c r="E1540">
        <v>4</v>
      </c>
      <c r="F1540" t="s">
        <v>19</v>
      </c>
      <c r="G1540" t="s">
        <v>352</v>
      </c>
      <c r="H1540" t="s">
        <v>747</v>
      </c>
      <c r="I1540" t="s">
        <v>22</v>
      </c>
      <c r="J1540" t="s">
        <v>42</v>
      </c>
      <c r="K1540" t="s">
        <v>1543</v>
      </c>
      <c r="L1540" t="s">
        <v>25</v>
      </c>
      <c r="M1540" s="8">
        <v>1.3726666670000001</v>
      </c>
      <c r="N1540" t="s">
        <v>26</v>
      </c>
      <c r="O1540" s="8">
        <v>1.3726666670000001</v>
      </c>
      <c r="P1540" s="8">
        <f>EXP(-1.363+3.366*LOG(O1540,10))</f>
        <v>0.40658758379567089</v>
      </c>
      <c r="Q1540" s="8">
        <f>(3738946*100)/3915493</f>
        <v>95.491065875995687</v>
      </c>
    </row>
    <row r="1541" spans="1:17" x14ac:dyDescent="0.2">
      <c r="A1541">
        <v>2015</v>
      </c>
      <c r="B1541" t="s">
        <v>1831</v>
      </c>
      <c r="C1541" t="s">
        <v>1552</v>
      </c>
      <c r="D1541" t="s">
        <v>1686</v>
      </c>
      <c r="E1541">
        <v>7</v>
      </c>
      <c r="F1541" t="s">
        <v>19</v>
      </c>
      <c r="G1541" t="s">
        <v>352</v>
      </c>
      <c r="H1541" t="s">
        <v>747</v>
      </c>
      <c r="I1541" t="s">
        <v>22</v>
      </c>
      <c r="J1541" t="s">
        <v>42</v>
      </c>
      <c r="K1541" t="s">
        <v>1543</v>
      </c>
      <c r="L1541" t="s">
        <v>25</v>
      </c>
      <c r="M1541" s="8">
        <v>1.3726666670000001</v>
      </c>
      <c r="N1541" t="s">
        <v>26</v>
      </c>
      <c r="O1541" s="8">
        <v>1.3726666670000001</v>
      </c>
      <c r="P1541" s="8">
        <f>EXP(-1.363+3.366*LOG(O1541,10))</f>
        <v>0.40658758379567089</v>
      </c>
      <c r="Q1541" s="8">
        <f>(3738946*100)/3915493</f>
        <v>95.491065875995687</v>
      </c>
    </row>
    <row r="1542" spans="1:17" x14ac:dyDescent="0.2">
      <c r="A1542">
        <v>2015</v>
      </c>
      <c r="B1542" t="s">
        <v>1832</v>
      </c>
      <c r="C1542" t="s">
        <v>1552</v>
      </c>
      <c r="D1542" t="s">
        <v>1686</v>
      </c>
      <c r="E1542">
        <v>7</v>
      </c>
      <c r="F1542" t="s">
        <v>19</v>
      </c>
      <c r="G1542" t="s">
        <v>352</v>
      </c>
      <c r="H1542" t="s">
        <v>747</v>
      </c>
      <c r="I1542" t="s">
        <v>22</v>
      </c>
      <c r="J1542" t="s">
        <v>42</v>
      </c>
      <c r="K1542" t="s">
        <v>1543</v>
      </c>
      <c r="L1542" t="s">
        <v>25</v>
      </c>
      <c r="M1542" s="8">
        <v>1.3726666670000001</v>
      </c>
      <c r="N1542" t="s">
        <v>26</v>
      </c>
      <c r="O1542" s="8">
        <v>1.3726666670000001</v>
      </c>
      <c r="P1542" s="8">
        <f>EXP(-1.363+3.366*LOG(O1542,10))</f>
        <v>0.40658758379567089</v>
      </c>
      <c r="Q1542" s="8">
        <f>(3738946*100)/3915493</f>
        <v>95.491065875995687</v>
      </c>
    </row>
    <row r="1543" spans="1:17" x14ac:dyDescent="0.2">
      <c r="A1543">
        <v>2015</v>
      </c>
      <c r="B1543" t="s">
        <v>1833</v>
      </c>
      <c r="C1543" t="s">
        <v>1552</v>
      </c>
      <c r="D1543" t="s">
        <v>1686</v>
      </c>
      <c r="E1543">
        <v>7</v>
      </c>
      <c r="F1543" t="s">
        <v>19</v>
      </c>
      <c r="G1543" t="s">
        <v>352</v>
      </c>
      <c r="H1543" t="s">
        <v>747</v>
      </c>
      <c r="I1543" t="s">
        <v>22</v>
      </c>
      <c r="J1543" t="s">
        <v>42</v>
      </c>
      <c r="K1543" t="s">
        <v>1543</v>
      </c>
      <c r="L1543" t="s">
        <v>25</v>
      </c>
      <c r="M1543" s="8">
        <v>1.3726666670000001</v>
      </c>
      <c r="N1543" t="s">
        <v>26</v>
      </c>
      <c r="O1543" s="8">
        <v>1.3726666670000001</v>
      </c>
      <c r="P1543" s="8">
        <f>EXP(-1.363+3.366*LOG(O1543,10))</f>
        <v>0.40658758379567089</v>
      </c>
      <c r="Q1543" s="8">
        <f>(3738946*100)/3915493</f>
        <v>95.491065875995687</v>
      </c>
    </row>
    <row r="1544" spans="1:17" x14ac:dyDescent="0.2">
      <c r="A1544">
        <v>2015</v>
      </c>
      <c r="B1544" t="s">
        <v>1834</v>
      </c>
      <c r="C1544" t="s">
        <v>1552</v>
      </c>
      <c r="D1544" t="s">
        <v>1686</v>
      </c>
      <c r="E1544">
        <v>7</v>
      </c>
      <c r="F1544" t="s">
        <v>19</v>
      </c>
      <c r="G1544" t="s">
        <v>352</v>
      </c>
      <c r="H1544" t="s">
        <v>747</v>
      </c>
      <c r="I1544" t="s">
        <v>22</v>
      </c>
      <c r="J1544" t="s">
        <v>42</v>
      </c>
      <c r="K1544" t="s">
        <v>1543</v>
      </c>
      <c r="L1544" t="s">
        <v>25</v>
      </c>
      <c r="M1544" s="8">
        <v>1.3726666670000001</v>
      </c>
      <c r="N1544" t="s">
        <v>26</v>
      </c>
      <c r="O1544" s="8">
        <v>1.3726666670000001</v>
      </c>
      <c r="P1544" s="8">
        <f>EXP(-1.363+3.366*LOG(O1544,10))</f>
        <v>0.40658758379567089</v>
      </c>
      <c r="Q1544" s="8">
        <f>(3738946*100)/3915493</f>
        <v>95.491065875995687</v>
      </c>
    </row>
    <row r="1545" spans="1:17" x14ac:dyDescent="0.2">
      <c r="A1545">
        <v>2015</v>
      </c>
      <c r="B1545" t="s">
        <v>1835</v>
      </c>
      <c r="C1545" t="s">
        <v>1552</v>
      </c>
      <c r="D1545" t="s">
        <v>1686</v>
      </c>
      <c r="E1545">
        <v>7</v>
      </c>
      <c r="F1545" t="s">
        <v>19</v>
      </c>
      <c r="G1545" t="s">
        <v>352</v>
      </c>
      <c r="H1545" t="s">
        <v>747</v>
      </c>
      <c r="I1545" t="s">
        <v>22</v>
      </c>
      <c r="J1545" t="s">
        <v>42</v>
      </c>
      <c r="K1545" t="s">
        <v>1543</v>
      </c>
      <c r="L1545" t="s">
        <v>25</v>
      </c>
      <c r="M1545" s="8">
        <v>1.3726666670000001</v>
      </c>
      <c r="N1545" t="s">
        <v>26</v>
      </c>
      <c r="O1545" s="8">
        <v>1.3726666670000001</v>
      </c>
      <c r="P1545" s="8">
        <f>EXP(-1.363+3.366*LOG(O1545,10))</f>
        <v>0.40658758379567089</v>
      </c>
      <c r="Q1545" s="8">
        <f>(3738946*100)/3915493</f>
        <v>95.491065875995687</v>
      </c>
    </row>
    <row r="1546" spans="1:17" x14ac:dyDescent="0.2">
      <c r="A1546">
        <v>2015</v>
      </c>
      <c r="B1546" t="s">
        <v>1836</v>
      </c>
      <c r="C1546" t="s">
        <v>1540</v>
      </c>
      <c r="D1546" t="s">
        <v>1715</v>
      </c>
      <c r="E1546">
        <v>7</v>
      </c>
      <c r="F1546" t="s">
        <v>19</v>
      </c>
      <c r="G1546" t="s">
        <v>352</v>
      </c>
      <c r="H1546" t="s">
        <v>1585</v>
      </c>
      <c r="I1546" t="s">
        <v>22</v>
      </c>
      <c r="J1546" t="s">
        <v>42</v>
      </c>
      <c r="K1546" t="s">
        <v>1543</v>
      </c>
      <c r="L1546" t="s">
        <v>25</v>
      </c>
      <c r="M1546" s="8">
        <v>0.77266666699999997</v>
      </c>
      <c r="N1546" t="s">
        <v>26</v>
      </c>
      <c r="O1546" s="8">
        <v>0.77266666699999997</v>
      </c>
      <c r="P1546" s="8">
        <f>EXP(-1.363+3.366*LOG(O1546,10))</f>
        <v>0.17551718302452865</v>
      </c>
      <c r="Q1546" s="8">
        <f>(2618262*100)/2995732</f>
        <v>87.399740697766021</v>
      </c>
    </row>
    <row r="1547" spans="1:17" x14ac:dyDescent="0.2">
      <c r="A1547">
        <v>2015</v>
      </c>
      <c r="B1547" t="s">
        <v>1837</v>
      </c>
      <c r="C1547" t="s">
        <v>1547</v>
      </c>
      <c r="D1547" t="s">
        <v>1686</v>
      </c>
      <c r="E1547">
        <v>7</v>
      </c>
      <c r="F1547" t="s">
        <v>19</v>
      </c>
      <c r="G1547" t="s">
        <v>352</v>
      </c>
      <c r="H1547" t="s">
        <v>1585</v>
      </c>
      <c r="I1547" t="s">
        <v>22</v>
      </c>
      <c r="J1547" t="s">
        <v>42</v>
      </c>
      <c r="K1547" t="s">
        <v>1543</v>
      </c>
      <c r="L1547" t="s">
        <v>25</v>
      </c>
      <c r="M1547" s="8">
        <v>0.77266666699999997</v>
      </c>
      <c r="N1547" t="s">
        <v>26</v>
      </c>
      <c r="O1547" s="8">
        <v>0.77266666699999997</v>
      </c>
      <c r="P1547" s="8">
        <f>EXP(-1.363+3.366*LOG(O1547,10))</f>
        <v>0.17551718302452865</v>
      </c>
      <c r="Q1547" s="8">
        <f>(3881584*100)/4292409</f>
        <v>90.429034139104644</v>
      </c>
    </row>
    <row r="1548" spans="1:17" x14ac:dyDescent="0.2">
      <c r="A1548">
        <v>2015</v>
      </c>
      <c r="B1548" t="s">
        <v>1838</v>
      </c>
      <c r="C1548" t="s">
        <v>1540</v>
      </c>
      <c r="D1548" t="s">
        <v>1715</v>
      </c>
      <c r="E1548">
        <v>7</v>
      </c>
      <c r="F1548" t="s">
        <v>19</v>
      </c>
      <c r="G1548" t="s">
        <v>352</v>
      </c>
      <c r="H1548" t="s">
        <v>975</v>
      </c>
      <c r="I1548" t="s">
        <v>22</v>
      </c>
      <c r="J1548" t="s">
        <v>42</v>
      </c>
      <c r="K1548" t="s">
        <v>1543</v>
      </c>
      <c r="L1548" t="s">
        <v>25</v>
      </c>
      <c r="M1548" s="8">
        <v>1.0693333330000001</v>
      </c>
      <c r="N1548" t="s">
        <v>26</v>
      </c>
      <c r="O1548" s="8">
        <v>1.0693333330000001</v>
      </c>
      <c r="P1548" s="8">
        <f>EXP(-1.363+3.366*LOG(O1548,10))</f>
        <v>0.28223780327142356</v>
      </c>
      <c r="Q1548" s="8">
        <f>(2618262*100)/2995732</f>
        <v>87.399740697766021</v>
      </c>
    </row>
    <row r="1549" spans="1:17" x14ac:dyDescent="0.2">
      <c r="A1549">
        <v>2015</v>
      </c>
      <c r="B1549" t="s">
        <v>1839</v>
      </c>
      <c r="C1549" t="s">
        <v>1540</v>
      </c>
      <c r="D1549" t="s">
        <v>1706</v>
      </c>
      <c r="E1549">
        <v>6</v>
      </c>
      <c r="F1549" t="s">
        <v>19</v>
      </c>
      <c r="G1549" t="s">
        <v>352</v>
      </c>
      <c r="H1549" t="s">
        <v>975</v>
      </c>
      <c r="I1549" t="s">
        <v>22</v>
      </c>
      <c r="J1549" t="s">
        <v>42</v>
      </c>
      <c r="K1549" t="s">
        <v>1543</v>
      </c>
      <c r="L1549" t="s">
        <v>25</v>
      </c>
      <c r="M1549" s="8">
        <v>1.0693333330000001</v>
      </c>
      <c r="N1549" t="s">
        <v>26</v>
      </c>
      <c r="O1549" s="8">
        <v>1.0693333330000001</v>
      </c>
      <c r="P1549" s="8">
        <f>EXP(-1.363+3.366*LOG(O1549,10))</f>
        <v>0.28223780327142356</v>
      </c>
      <c r="Q1549" s="8">
        <f>(2618262*100)/2995732</f>
        <v>87.399740697766021</v>
      </c>
    </row>
    <row r="1550" spans="1:17" x14ac:dyDescent="0.2">
      <c r="A1550">
        <v>2015</v>
      </c>
      <c r="B1550" t="s">
        <v>1840</v>
      </c>
      <c r="C1550" t="s">
        <v>1540</v>
      </c>
      <c r="D1550" t="s">
        <v>1706</v>
      </c>
      <c r="E1550">
        <v>6</v>
      </c>
      <c r="F1550" t="s">
        <v>19</v>
      </c>
      <c r="G1550" t="s">
        <v>352</v>
      </c>
      <c r="H1550" t="s">
        <v>975</v>
      </c>
      <c r="I1550" t="s">
        <v>22</v>
      </c>
      <c r="J1550" t="s">
        <v>42</v>
      </c>
      <c r="K1550" t="s">
        <v>1543</v>
      </c>
      <c r="L1550" t="s">
        <v>25</v>
      </c>
      <c r="M1550" s="8">
        <v>1.0693333330000001</v>
      </c>
      <c r="N1550" t="s">
        <v>26</v>
      </c>
      <c r="O1550" s="8">
        <v>1.0693333330000001</v>
      </c>
      <c r="P1550" s="8">
        <f>EXP(-1.363+3.366*LOG(O1550,10))</f>
        <v>0.28223780327142356</v>
      </c>
      <c r="Q1550" s="8">
        <f>(2618262*100)/2995732</f>
        <v>87.399740697766021</v>
      </c>
    </row>
    <row r="1551" spans="1:17" x14ac:dyDescent="0.2">
      <c r="A1551">
        <v>2015</v>
      </c>
      <c r="B1551" t="s">
        <v>1841</v>
      </c>
      <c r="C1551" t="s">
        <v>1540</v>
      </c>
      <c r="D1551" t="s">
        <v>1726</v>
      </c>
      <c r="E1551">
        <v>6</v>
      </c>
      <c r="F1551" t="s">
        <v>19</v>
      </c>
      <c r="G1551" t="s">
        <v>352</v>
      </c>
      <c r="H1551" t="s">
        <v>975</v>
      </c>
      <c r="I1551" t="s">
        <v>22</v>
      </c>
      <c r="J1551" t="s">
        <v>42</v>
      </c>
      <c r="K1551" t="s">
        <v>1543</v>
      </c>
      <c r="L1551" t="s">
        <v>25</v>
      </c>
      <c r="M1551" s="8">
        <v>1.0693333330000001</v>
      </c>
      <c r="N1551" t="s">
        <v>26</v>
      </c>
      <c r="O1551" s="8">
        <v>1.0693333330000001</v>
      </c>
      <c r="P1551" s="8">
        <f>EXP(-1.363+3.366*LOG(O1551,10))</f>
        <v>0.28223780327142356</v>
      </c>
      <c r="Q1551" s="8">
        <f>(2618262*100)/2995732</f>
        <v>87.399740697766021</v>
      </c>
    </row>
    <row r="1552" spans="1:17" x14ac:dyDescent="0.2">
      <c r="A1552">
        <v>2015</v>
      </c>
      <c r="B1552" t="s">
        <v>1842</v>
      </c>
      <c r="C1552" t="s">
        <v>1540</v>
      </c>
      <c r="D1552" t="s">
        <v>1726</v>
      </c>
      <c r="E1552">
        <v>6</v>
      </c>
      <c r="F1552" t="s">
        <v>19</v>
      </c>
      <c r="G1552" t="s">
        <v>352</v>
      </c>
      <c r="H1552" t="s">
        <v>975</v>
      </c>
      <c r="I1552" t="s">
        <v>22</v>
      </c>
      <c r="J1552" t="s">
        <v>42</v>
      </c>
      <c r="K1552" t="s">
        <v>1543</v>
      </c>
      <c r="L1552" t="s">
        <v>25</v>
      </c>
      <c r="M1552" s="8">
        <v>1.0693333330000001</v>
      </c>
      <c r="N1552" t="s">
        <v>26</v>
      </c>
      <c r="O1552" s="8">
        <v>1.0693333330000001</v>
      </c>
      <c r="P1552" s="8">
        <f>EXP(-1.363+3.366*LOG(O1552,10))</f>
        <v>0.28223780327142356</v>
      </c>
      <c r="Q1552" s="8">
        <f>(2618262*100)/2995732</f>
        <v>87.399740697766021</v>
      </c>
    </row>
    <row r="1553" spans="1:17" x14ac:dyDescent="0.2">
      <c r="A1553">
        <v>2015</v>
      </c>
      <c r="B1553" t="s">
        <v>1843</v>
      </c>
      <c r="C1553" t="s">
        <v>1540</v>
      </c>
      <c r="D1553" t="s">
        <v>1688</v>
      </c>
      <c r="E1553">
        <v>6</v>
      </c>
      <c r="F1553" t="s">
        <v>19</v>
      </c>
      <c r="G1553" t="s">
        <v>352</v>
      </c>
      <c r="H1553" t="s">
        <v>975</v>
      </c>
      <c r="I1553" t="s">
        <v>22</v>
      </c>
      <c r="J1553" t="s">
        <v>42</v>
      </c>
      <c r="K1553" t="s">
        <v>1543</v>
      </c>
      <c r="L1553" t="s">
        <v>25</v>
      </c>
      <c r="M1553" s="8">
        <v>1.0693333330000001</v>
      </c>
      <c r="N1553" t="s">
        <v>26</v>
      </c>
      <c r="O1553" s="8">
        <v>1.0693333330000001</v>
      </c>
      <c r="P1553" s="8">
        <f>EXP(-1.363+3.366*LOG(O1553,10))</f>
        <v>0.28223780327142356</v>
      </c>
      <c r="Q1553" s="8">
        <f>(2618262*100)/2995732</f>
        <v>87.399740697766021</v>
      </c>
    </row>
    <row r="1554" spans="1:17" x14ac:dyDescent="0.2">
      <c r="A1554">
        <v>2015</v>
      </c>
      <c r="B1554" t="s">
        <v>1844</v>
      </c>
      <c r="C1554" t="s">
        <v>1540</v>
      </c>
      <c r="D1554" t="s">
        <v>1688</v>
      </c>
      <c r="E1554">
        <v>6</v>
      </c>
      <c r="F1554" t="s">
        <v>19</v>
      </c>
      <c r="G1554" t="s">
        <v>352</v>
      </c>
      <c r="H1554" t="s">
        <v>975</v>
      </c>
      <c r="I1554" t="s">
        <v>36</v>
      </c>
      <c r="J1554" t="s">
        <v>42</v>
      </c>
      <c r="K1554" t="s">
        <v>1543</v>
      </c>
      <c r="L1554" t="s">
        <v>25</v>
      </c>
      <c r="M1554" s="8">
        <v>0.95199999999999996</v>
      </c>
      <c r="N1554" t="s">
        <v>26</v>
      </c>
      <c r="O1554" s="8">
        <v>0.95199999999999996</v>
      </c>
      <c r="P1554" s="8">
        <f>EXP(-1.363+3.366*LOG(O1554,10))</f>
        <v>0.23813726407794436</v>
      </c>
      <c r="Q1554" s="8">
        <f>(2618262*100)/2995732</f>
        <v>87.399740697766021</v>
      </c>
    </row>
    <row r="1555" spans="1:17" x14ac:dyDescent="0.2">
      <c r="A1555">
        <v>2015</v>
      </c>
      <c r="B1555" t="s">
        <v>1845</v>
      </c>
      <c r="C1555" t="s">
        <v>1540</v>
      </c>
      <c r="D1555" t="s">
        <v>1688</v>
      </c>
      <c r="E1555">
        <v>6</v>
      </c>
      <c r="F1555" t="s">
        <v>19</v>
      </c>
      <c r="G1555" t="s">
        <v>352</v>
      </c>
      <c r="H1555" t="s">
        <v>975</v>
      </c>
      <c r="I1555" t="s">
        <v>22</v>
      </c>
      <c r="J1555" t="s">
        <v>42</v>
      </c>
      <c r="K1555" t="s">
        <v>1543</v>
      </c>
      <c r="L1555" t="s">
        <v>25</v>
      </c>
      <c r="M1555" s="8">
        <v>1.0693333330000001</v>
      </c>
      <c r="N1555" t="s">
        <v>26</v>
      </c>
      <c r="O1555" s="8">
        <v>1.0693333330000001</v>
      </c>
      <c r="P1555" s="8">
        <f>EXP(-1.363+3.366*LOG(O1555,10))</f>
        <v>0.28223780327142356</v>
      </c>
      <c r="Q1555" s="8">
        <f>(2618262*100)/2995732</f>
        <v>87.399740697766021</v>
      </c>
    </row>
    <row r="1556" spans="1:17" x14ac:dyDescent="0.2">
      <c r="A1556">
        <v>2015</v>
      </c>
      <c r="B1556" t="s">
        <v>1846</v>
      </c>
      <c r="C1556" t="s">
        <v>1540</v>
      </c>
      <c r="D1556" t="s">
        <v>1708</v>
      </c>
      <c r="E1556">
        <v>6</v>
      </c>
      <c r="F1556" t="s">
        <v>19</v>
      </c>
      <c r="G1556" t="s">
        <v>352</v>
      </c>
      <c r="H1556" t="s">
        <v>975</v>
      </c>
      <c r="I1556" t="s">
        <v>22</v>
      </c>
      <c r="J1556" t="s">
        <v>42</v>
      </c>
      <c r="K1556" t="s">
        <v>1543</v>
      </c>
      <c r="L1556" t="s">
        <v>25</v>
      </c>
      <c r="M1556" s="8">
        <v>1.0693333330000001</v>
      </c>
      <c r="N1556" t="s">
        <v>26</v>
      </c>
      <c r="O1556" s="8">
        <v>1.0693333330000001</v>
      </c>
      <c r="P1556" s="8">
        <f>EXP(-1.363+3.366*LOG(O1556,10))</f>
        <v>0.28223780327142356</v>
      </c>
      <c r="Q1556" s="8">
        <f>(2618262*100)/2995732</f>
        <v>87.399740697766021</v>
      </c>
    </row>
    <row r="1557" spans="1:17" x14ac:dyDescent="0.2">
      <c r="A1557">
        <v>2015</v>
      </c>
      <c r="B1557" t="s">
        <v>1847</v>
      </c>
      <c r="C1557" t="s">
        <v>1540</v>
      </c>
      <c r="D1557" t="s">
        <v>1708</v>
      </c>
      <c r="E1557">
        <v>6</v>
      </c>
      <c r="F1557" t="s">
        <v>19</v>
      </c>
      <c r="G1557" t="s">
        <v>352</v>
      </c>
      <c r="H1557" t="s">
        <v>975</v>
      </c>
      <c r="I1557" t="s">
        <v>22</v>
      </c>
      <c r="J1557" t="s">
        <v>42</v>
      </c>
      <c r="K1557" t="s">
        <v>1543</v>
      </c>
      <c r="L1557" t="s">
        <v>25</v>
      </c>
      <c r="M1557" s="8">
        <v>1.0693333330000001</v>
      </c>
      <c r="N1557" t="s">
        <v>26</v>
      </c>
      <c r="O1557" s="8">
        <v>1.0693333330000001</v>
      </c>
      <c r="P1557" s="8">
        <f>EXP(-1.363+3.366*LOG(O1557,10))</f>
        <v>0.28223780327142356</v>
      </c>
      <c r="Q1557" s="8">
        <f>(2618262*100)/2995732</f>
        <v>87.399740697766021</v>
      </c>
    </row>
    <row r="1558" spans="1:17" x14ac:dyDescent="0.2">
      <c r="A1558">
        <v>2015</v>
      </c>
      <c r="B1558" t="s">
        <v>1848</v>
      </c>
      <c r="C1558" t="s">
        <v>1540</v>
      </c>
      <c r="D1558" t="s">
        <v>1708</v>
      </c>
      <c r="E1558">
        <v>6</v>
      </c>
      <c r="F1558" t="s">
        <v>19</v>
      </c>
      <c r="G1558" t="s">
        <v>352</v>
      </c>
      <c r="H1558" t="s">
        <v>975</v>
      </c>
      <c r="I1558" t="s">
        <v>22</v>
      </c>
      <c r="J1558" t="s">
        <v>42</v>
      </c>
      <c r="K1558" t="s">
        <v>1543</v>
      </c>
      <c r="L1558" t="s">
        <v>25</v>
      </c>
      <c r="M1558" s="8">
        <v>1.0693333330000001</v>
      </c>
      <c r="N1558" t="s">
        <v>26</v>
      </c>
      <c r="O1558" s="8">
        <v>1.0693333330000001</v>
      </c>
      <c r="P1558" s="8">
        <f>EXP(-1.363+3.366*LOG(O1558,10))</f>
        <v>0.28223780327142356</v>
      </c>
      <c r="Q1558" s="8">
        <f>(2618262*100)/2995732</f>
        <v>87.399740697766021</v>
      </c>
    </row>
    <row r="1559" spans="1:17" x14ac:dyDescent="0.2">
      <c r="A1559">
        <v>2015</v>
      </c>
      <c r="B1559" t="s">
        <v>1849</v>
      </c>
      <c r="C1559" t="s">
        <v>1540</v>
      </c>
      <c r="D1559" t="s">
        <v>1708</v>
      </c>
      <c r="E1559">
        <v>6</v>
      </c>
      <c r="F1559" t="s">
        <v>19</v>
      </c>
      <c r="G1559" t="s">
        <v>352</v>
      </c>
      <c r="H1559" t="s">
        <v>975</v>
      </c>
      <c r="I1559" t="s">
        <v>22</v>
      </c>
      <c r="J1559" t="s">
        <v>42</v>
      </c>
      <c r="K1559" t="s">
        <v>1543</v>
      </c>
      <c r="L1559" t="s">
        <v>25</v>
      </c>
      <c r="M1559" s="8">
        <v>1.0693333330000001</v>
      </c>
      <c r="N1559" t="s">
        <v>26</v>
      </c>
      <c r="O1559" s="8">
        <v>1.0693333330000001</v>
      </c>
      <c r="P1559" s="8">
        <f>EXP(-1.363+3.366*LOG(O1559,10))</f>
        <v>0.28223780327142356</v>
      </c>
      <c r="Q1559" s="8">
        <f>(2618262*100)/2995732</f>
        <v>87.399740697766021</v>
      </c>
    </row>
    <row r="1560" spans="1:17" x14ac:dyDescent="0.2">
      <c r="A1560">
        <v>2015</v>
      </c>
      <c r="B1560" t="s">
        <v>1850</v>
      </c>
      <c r="C1560" t="s">
        <v>1540</v>
      </c>
      <c r="D1560" t="s">
        <v>1708</v>
      </c>
      <c r="E1560">
        <v>6</v>
      </c>
      <c r="F1560" t="s">
        <v>19</v>
      </c>
      <c r="G1560" t="s">
        <v>352</v>
      </c>
      <c r="H1560" t="s">
        <v>975</v>
      </c>
      <c r="I1560" t="s">
        <v>22</v>
      </c>
      <c r="J1560" t="s">
        <v>42</v>
      </c>
      <c r="K1560" t="s">
        <v>1543</v>
      </c>
      <c r="L1560" t="s">
        <v>25</v>
      </c>
      <c r="M1560" s="8">
        <v>1.0693333330000001</v>
      </c>
      <c r="N1560" t="s">
        <v>26</v>
      </c>
      <c r="O1560" s="8">
        <v>1.0693333330000001</v>
      </c>
      <c r="P1560" s="8">
        <f>EXP(-1.363+3.366*LOG(O1560,10))</f>
        <v>0.28223780327142356</v>
      </c>
      <c r="Q1560" s="8">
        <f>(2618262*100)/2995732</f>
        <v>87.399740697766021</v>
      </c>
    </row>
    <row r="1561" spans="1:17" x14ac:dyDescent="0.2">
      <c r="A1561">
        <v>2015</v>
      </c>
      <c r="B1561" t="s">
        <v>1851</v>
      </c>
      <c r="C1561" t="s">
        <v>1540</v>
      </c>
      <c r="D1561" t="s">
        <v>1710</v>
      </c>
      <c r="E1561">
        <v>7</v>
      </c>
      <c r="F1561" t="s">
        <v>19</v>
      </c>
      <c r="G1561" t="s">
        <v>352</v>
      </c>
      <c r="H1561" t="s">
        <v>975</v>
      </c>
      <c r="I1561" t="s">
        <v>22</v>
      </c>
      <c r="J1561" t="s">
        <v>42</v>
      </c>
      <c r="K1561" t="s">
        <v>1543</v>
      </c>
      <c r="L1561" t="s">
        <v>25</v>
      </c>
      <c r="M1561" s="8">
        <v>1.0693333330000001</v>
      </c>
      <c r="N1561" t="s">
        <v>26</v>
      </c>
      <c r="O1561" s="8">
        <v>1.0693333330000001</v>
      </c>
      <c r="P1561" s="8">
        <f>EXP(-1.363+3.366*LOG(O1561,10))</f>
        <v>0.28223780327142356</v>
      </c>
      <c r="Q1561" s="8">
        <f>(2618262*100)/2995732</f>
        <v>87.399740697766021</v>
      </c>
    </row>
    <row r="1562" spans="1:17" x14ac:dyDescent="0.2">
      <c r="A1562">
        <v>2015</v>
      </c>
      <c r="B1562" t="s">
        <v>1852</v>
      </c>
      <c r="C1562" t="s">
        <v>1540</v>
      </c>
      <c r="D1562" t="s">
        <v>1686</v>
      </c>
      <c r="E1562">
        <v>7</v>
      </c>
      <c r="F1562" t="s">
        <v>19</v>
      </c>
      <c r="G1562" t="s">
        <v>352</v>
      </c>
      <c r="H1562" t="s">
        <v>975</v>
      </c>
      <c r="I1562" t="s">
        <v>36</v>
      </c>
      <c r="J1562" t="s">
        <v>42</v>
      </c>
      <c r="K1562" t="s">
        <v>1543</v>
      </c>
      <c r="L1562" t="s">
        <v>25</v>
      </c>
      <c r="M1562" s="8">
        <v>0.95199999999999996</v>
      </c>
      <c r="N1562" t="s">
        <v>26</v>
      </c>
      <c r="O1562" s="8">
        <v>0.95199999999999996</v>
      </c>
      <c r="P1562" s="8">
        <f>EXP(-1.363+3.366*LOG(O1562,10))</f>
        <v>0.23813726407794436</v>
      </c>
      <c r="Q1562" s="8">
        <f>(2618262*100)/2995732</f>
        <v>87.399740697766021</v>
      </c>
    </row>
    <row r="1563" spans="1:17" x14ac:dyDescent="0.2">
      <c r="A1563">
        <v>2015</v>
      </c>
      <c r="B1563" t="s">
        <v>1853</v>
      </c>
      <c r="C1563" t="s">
        <v>1540</v>
      </c>
      <c r="D1563" t="s">
        <v>1686</v>
      </c>
      <c r="E1563">
        <v>7</v>
      </c>
      <c r="F1563" t="s">
        <v>19</v>
      </c>
      <c r="G1563" t="s">
        <v>352</v>
      </c>
      <c r="H1563" t="s">
        <v>975</v>
      </c>
      <c r="I1563" t="s">
        <v>22</v>
      </c>
      <c r="J1563" t="s">
        <v>42</v>
      </c>
      <c r="K1563" t="s">
        <v>1543</v>
      </c>
      <c r="L1563" t="s">
        <v>25</v>
      </c>
      <c r="M1563" s="8">
        <v>1.0693333330000001</v>
      </c>
      <c r="N1563" t="s">
        <v>26</v>
      </c>
      <c r="O1563" s="8">
        <v>1.0693333330000001</v>
      </c>
      <c r="P1563" s="8">
        <f>EXP(-1.363+3.366*LOG(O1563,10))</f>
        <v>0.28223780327142356</v>
      </c>
      <c r="Q1563" s="8">
        <f>(2618262*100)/2995732</f>
        <v>87.399740697766021</v>
      </c>
    </row>
    <row r="1564" spans="1:17" x14ac:dyDescent="0.2">
      <c r="A1564">
        <v>2015</v>
      </c>
      <c r="B1564" t="s">
        <v>1854</v>
      </c>
      <c r="C1564" t="s">
        <v>1540</v>
      </c>
      <c r="D1564" t="s">
        <v>1686</v>
      </c>
      <c r="E1564">
        <v>7</v>
      </c>
      <c r="F1564" t="s">
        <v>19</v>
      </c>
      <c r="G1564" t="s">
        <v>352</v>
      </c>
      <c r="H1564" t="s">
        <v>975</v>
      </c>
      <c r="I1564" t="s">
        <v>22</v>
      </c>
      <c r="J1564" t="s">
        <v>42</v>
      </c>
      <c r="K1564" t="s">
        <v>1543</v>
      </c>
      <c r="L1564" t="s">
        <v>25</v>
      </c>
      <c r="M1564" s="8">
        <v>1.0693333330000001</v>
      </c>
      <c r="N1564" t="s">
        <v>26</v>
      </c>
      <c r="O1564" s="8">
        <v>1.0693333330000001</v>
      </c>
      <c r="P1564" s="8">
        <f>EXP(-1.363+3.366*LOG(O1564,10))</f>
        <v>0.28223780327142356</v>
      </c>
      <c r="Q1564" s="8">
        <f>(2618262*100)/2995732</f>
        <v>87.399740697766021</v>
      </c>
    </row>
    <row r="1565" spans="1:17" x14ac:dyDescent="0.2">
      <c r="A1565">
        <v>2015</v>
      </c>
      <c r="B1565" t="s">
        <v>1855</v>
      </c>
      <c r="C1565" t="s">
        <v>1547</v>
      </c>
      <c r="D1565" t="s">
        <v>1701</v>
      </c>
      <c r="E1565">
        <v>5</v>
      </c>
      <c r="F1565" t="s">
        <v>19</v>
      </c>
      <c r="G1565" t="s">
        <v>352</v>
      </c>
      <c r="H1565" t="s">
        <v>975</v>
      </c>
      <c r="I1565" t="s">
        <v>22</v>
      </c>
      <c r="J1565" t="s">
        <v>42</v>
      </c>
      <c r="K1565" t="s">
        <v>1543</v>
      </c>
      <c r="L1565" t="s">
        <v>25</v>
      </c>
      <c r="M1565" s="8">
        <v>1.0693333330000001</v>
      </c>
      <c r="N1565" t="s">
        <v>26</v>
      </c>
      <c r="O1565" s="8">
        <v>1.0693333330000001</v>
      </c>
      <c r="P1565" s="8">
        <f>EXP(-1.363+3.366*LOG(O1565,10))</f>
        <v>0.28223780327142356</v>
      </c>
      <c r="Q1565" s="8">
        <f>(3881584*100)/4292409</f>
        <v>90.429034139104644</v>
      </c>
    </row>
    <row r="1566" spans="1:17" x14ac:dyDescent="0.2">
      <c r="A1566">
        <v>2015</v>
      </c>
      <c r="B1566" t="s">
        <v>1856</v>
      </c>
      <c r="C1566" t="s">
        <v>1547</v>
      </c>
      <c r="D1566" t="s">
        <v>1686</v>
      </c>
      <c r="E1566">
        <v>7</v>
      </c>
      <c r="F1566" t="s">
        <v>19</v>
      </c>
      <c r="G1566" t="s">
        <v>352</v>
      </c>
      <c r="H1566" t="s">
        <v>975</v>
      </c>
      <c r="I1566" t="s">
        <v>22</v>
      </c>
      <c r="J1566" t="s">
        <v>42</v>
      </c>
      <c r="K1566" t="s">
        <v>1543</v>
      </c>
      <c r="L1566" t="s">
        <v>25</v>
      </c>
      <c r="M1566" s="8">
        <v>1.0693333330000001</v>
      </c>
      <c r="N1566" t="s">
        <v>26</v>
      </c>
      <c r="O1566" s="8">
        <v>1.0693333330000001</v>
      </c>
      <c r="P1566" s="8">
        <f>EXP(-1.363+3.366*LOG(O1566,10))</f>
        <v>0.28223780327142356</v>
      </c>
      <c r="Q1566" s="8">
        <f>(3881584*100)/4292409</f>
        <v>90.429034139104644</v>
      </c>
    </row>
    <row r="1567" spans="1:17" x14ac:dyDescent="0.2">
      <c r="A1567">
        <v>2015</v>
      </c>
      <c r="B1567" t="s">
        <v>1857</v>
      </c>
      <c r="C1567" t="s">
        <v>1690</v>
      </c>
      <c r="D1567" t="s">
        <v>1686</v>
      </c>
      <c r="E1567">
        <v>7</v>
      </c>
      <c r="F1567" t="s">
        <v>19</v>
      </c>
      <c r="G1567" t="s">
        <v>352</v>
      </c>
      <c r="H1567" t="s">
        <v>975</v>
      </c>
      <c r="I1567" t="s">
        <v>36</v>
      </c>
      <c r="J1567" t="s">
        <v>42</v>
      </c>
      <c r="K1567" t="s">
        <v>1543</v>
      </c>
      <c r="L1567" t="s">
        <v>25</v>
      </c>
      <c r="M1567" s="8">
        <v>0.95199999999999996</v>
      </c>
      <c r="N1567" t="s">
        <v>26</v>
      </c>
      <c r="O1567" s="8">
        <v>0.95199999999999996</v>
      </c>
      <c r="P1567" s="8">
        <f>EXP(-1.363+3.366*LOG(O1567,10))</f>
        <v>0.23813726407794436</v>
      </c>
      <c r="Q1567" s="8">
        <f>(2640118*100)/3023471</f>
        <v>87.320764776642477</v>
      </c>
    </row>
    <row r="1568" spans="1:17" x14ac:dyDescent="0.2">
      <c r="A1568">
        <v>2015</v>
      </c>
      <c r="B1568" t="s">
        <v>1858</v>
      </c>
      <c r="C1568" t="s">
        <v>1690</v>
      </c>
      <c r="D1568" t="s">
        <v>1706</v>
      </c>
      <c r="E1568">
        <v>6</v>
      </c>
      <c r="F1568" t="s">
        <v>19</v>
      </c>
      <c r="G1568" t="s">
        <v>352</v>
      </c>
      <c r="H1568" t="s">
        <v>975</v>
      </c>
      <c r="I1568" t="s">
        <v>22</v>
      </c>
      <c r="J1568" t="s">
        <v>42</v>
      </c>
      <c r="K1568" t="s">
        <v>1543</v>
      </c>
      <c r="L1568" t="s">
        <v>25</v>
      </c>
      <c r="M1568" s="8">
        <v>1.0693333330000001</v>
      </c>
      <c r="N1568" t="s">
        <v>26</v>
      </c>
      <c r="O1568" s="8">
        <v>1.0693333330000001</v>
      </c>
      <c r="P1568" s="8">
        <f>EXP(-1.363+3.366*LOG(O1568,10))</f>
        <v>0.28223780327142356</v>
      </c>
      <c r="Q1568" s="8">
        <f>(2640118*100)/3023471</f>
        <v>87.320764776642477</v>
      </c>
    </row>
    <row r="1569" spans="1:17" x14ac:dyDescent="0.2">
      <c r="A1569">
        <v>2015</v>
      </c>
      <c r="B1569" t="s">
        <v>1859</v>
      </c>
      <c r="C1569" t="s">
        <v>1690</v>
      </c>
      <c r="D1569" t="s">
        <v>1686</v>
      </c>
      <c r="E1569">
        <v>7</v>
      </c>
      <c r="F1569" t="s">
        <v>19</v>
      </c>
      <c r="G1569" t="s">
        <v>352</v>
      </c>
      <c r="H1569" t="s">
        <v>975</v>
      </c>
      <c r="I1569" t="s">
        <v>22</v>
      </c>
      <c r="J1569" t="s">
        <v>42</v>
      </c>
      <c r="K1569" t="s">
        <v>1543</v>
      </c>
      <c r="L1569" t="s">
        <v>25</v>
      </c>
      <c r="M1569" s="8">
        <v>1.0693333330000001</v>
      </c>
      <c r="N1569" t="s">
        <v>26</v>
      </c>
      <c r="O1569" s="8">
        <v>1.0693333330000001</v>
      </c>
      <c r="P1569" s="8">
        <f>EXP(-1.363+3.366*LOG(O1569,10))</f>
        <v>0.28223780327142356</v>
      </c>
      <c r="Q1569" s="8">
        <f>(2640118*100)/3023471</f>
        <v>87.320764776642477</v>
      </c>
    </row>
    <row r="1570" spans="1:17" x14ac:dyDescent="0.2">
      <c r="A1570">
        <v>2015</v>
      </c>
      <c r="B1570" t="s">
        <v>1860</v>
      </c>
      <c r="C1570" t="s">
        <v>1690</v>
      </c>
      <c r="D1570" t="s">
        <v>1686</v>
      </c>
      <c r="E1570">
        <v>7</v>
      </c>
      <c r="F1570" t="s">
        <v>19</v>
      </c>
      <c r="G1570" t="s">
        <v>352</v>
      </c>
      <c r="H1570" t="s">
        <v>975</v>
      </c>
      <c r="I1570" t="s">
        <v>22</v>
      </c>
      <c r="J1570" t="s">
        <v>42</v>
      </c>
      <c r="K1570" t="s">
        <v>1543</v>
      </c>
      <c r="L1570" t="s">
        <v>25</v>
      </c>
      <c r="M1570" s="8">
        <v>1.0693333330000001</v>
      </c>
      <c r="N1570" t="s">
        <v>26</v>
      </c>
      <c r="O1570" s="8">
        <v>1.0693333330000001</v>
      </c>
      <c r="P1570" s="8">
        <f>EXP(-1.363+3.366*LOG(O1570,10))</f>
        <v>0.28223780327142356</v>
      </c>
      <c r="Q1570" s="8">
        <f>(2640118*100)/3023471</f>
        <v>87.320764776642477</v>
      </c>
    </row>
    <row r="1571" spans="1:17" x14ac:dyDescent="0.2">
      <c r="A1571">
        <v>2015</v>
      </c>
      <c r="B1571" t="s">
        <v>1861</v>
      </c>
      <c r="C1571" t="s">
        <v>1690</v>
      </c>
      <c r="D1571" t="s">
        <v>1686</v>
      </c>
      <c r="E1571">
        <v>7</v>
      </c>
      <c r="F1571" t="s">
        <v>19</v>
      </c>
      <c r="G1571" t="s">
        <v>352</v>
      </c>
      <c r="H1571" t="s">
        <v>975</v>
      </c>
      <c r="I1571" t="s">
        <v>36</v>
      </c>
      <c r="J1571" t="s">
        <v>42</v>
      </c>
      <c r="K1571" t="s">
        <v>1543</v>
      </c>
      <c r="L1571" t="s">
        <v>25</v>
      </c>
      <c r="M1571" s="8">
        <v>0.95199999999999996</v>
      </c>
      <c r="N1571" t="s">
        <v>26</v>
      </c>
      <c r="O1571" s="8">
        <v>0.95199999999999996</v>
      </c>
      <c r="P1571" s="8">
        <f>EXP(-1.363+3.366*LOG(O1571,10))</f>
        <v>0.23813726407794436</v>
      </c>
      <c r="Q1571" s="8">
        <f>(2640118*100)/3023471</f>
        <v>87.320764776642477</v>
      </c>
    </row>
    <row r="1572" spans="1:17" x14ac:dyDescent="0.2">
      <c r="A1572">
        <v>2015</v>
      </c>
      <c r="B1572" t="s">
        <v>1862</v>
      </c>
      <c r="C1572" t="s">
        <v>1690</v>
      </c>
      <c r="D1572" t="s">
        <v>1686</v>
      </c>
      <c r="E1572">
        <v>7</v>
      </c>
      <c r="F1572" t="s">
        <v>19</v>
      </c>
      <c r="G1572" t="s">
        <v>352</v>
      </c>
      <c r="H1572" t="s">
        <v>975</v>
      </c>
      <c r="I1572" t="s">
        <v>22</v>
      </c>
      <c r="J1572" t="s">
        <v>42</v>
      </c>
      <c r="K1572" t="s">
        <v>1543</v>
      </c>
      <c r="L1572" t="s">
        <v>25</v>
      </c>
      <c r="M1572" s="8">
        <v>1.0693333330000001</v>
      </c>
      <c r="N1572" t="s">
        <v>26</v>
      </c>
      <c r="O1572" s="8">
        <v>1.0693333330000001</v>
      </c>
      <c r="P1572" s="8">
        <f>EXP(-1.363+3.366*LOG(O1572,10))</f>
        <v>0.28223780327142356</v>
      </c>
      <c r="Q1572" s="8">
        <f>(2640118*100)/3023471</f>
        <v>87.320764776642477</v>
      </c>
    </row>
    <row r="1573" spans="1:17" x14ac:dyDescent="0.2">
      <c r="A1573">
        <v>2015</v>
      </c>
      <c r="B1573" t="s">
        <v>1863</v>
      </c>
      <c r="C1573" t="s">
        <v>1690</v>
      </c>
      <c r="D1573" t="s">
        <v>1715</v>
      </c>
      <c r="E1573">
        <v>7</v>
      </c>
      <c r="F1573" t="s">
        <v>19</v>
      </c>
      <c r="G1573" t="s">
        <v>352</v>
      </c>
      <c r="H1573" t="s">
        <v>975</v>
      </c>
      <c r="I1573" t="s">
        <v>22</v>
      </c>
      <c r="J1573" t="s">
        <v>42</v>
      </c>
      <c r="K1573" t="s">
        <v>1543</v>
      </c>
      <c r="L1573" t="s">
        <v>25</v>
      </c>
      <c r="M1573" s="8">
        <v>1.0693333330000001</v>
      </c>
      <c r="N1573" t="s">
        <v>26</v>
      </c>
      <c r="O1573" s="8">
        <v>1.0693333330000001</v>
      </c>
      <c r="P1573" s="8">
        <f>EXP(-1.363+3.366*LOG(O1573,10))</f>
        <v>0.28223780327142356</v>
      </c>
      <c r="Q1573" s="8">
        <f>(2640118*100)/3023471</f>
        <v>87.320764776642477</v>
      </c>
    </row>
    <row r="1574" spans="1:17" x14ac:dyDescent="0.2">
      <c r="A1574">
        <v>2015</v>
      </c>
      <c r="B1574" t="s">
        <v>1864</v>
      </c>
      <c r="C1574" t="s">
        <v>1624</v>
      </c>
      <c r="D1574" t="s">
        <v>1715</v>
      </c>
      <c r="E1574">
        <v>7</v>
      </c>
      <c r="F1574" t="s">
        <v>19</v>
      </c>
      <c r="G1574" t="s">
        <v>352</v>
      </c>
      <c r="H1574" t="s">
        <v>975</v>
      </c>
      <c r="I1574" t="s">
        <v>36</v>
      </c>
      <c r="J1574" t="s">
        <v>42</v>
      </c>
      <c r="K1574" t="s">
        <v>1543</v>
      </c>
      <c r="L1574" t="s">
        <v>25</v>
      </c>
      <c r="M1574" s="8">
        <v>0.95199999999999996</v>
      </c>
      <c r="N1574" t="s">
        <v>26</v>
      </c>
      <c r="O1574" s="8">
        <v>0.95199999999999996</v>
      </c>
      <c r="P1574" s="8">
        <f>EXP(-1.363+3.366*LOG(O1574,10))</f>
        <v>0.23813726407794436</v>
      </c>
      <c r="Q1574" s="8">
        <f>(1599772*100)/1881247</f>
        <v>85.037849894245682</v>
      </c>
    </row>
    <row r="1575" spans="1:17" x14ac:dyDescent="0.2">
      <c r="A1575">
        <v>2015</v>
      </c>
      <c r="B1575" t="s">
        <v>1865</v>
      </c>
      <c r="C1575" t="s">
        <v>1624</v>
      </c>
      <c r="D1575" t="s">
        <v>1719</v>
      </c>
      <c r="E1575">
        <v>6</v>
      </c>
      <c r="F1575" t="s">
        <v>19</v>
      </c>
      <c r="G1575" t="s">
        <v>352</v>
      </c>
      <c r="H1575" t="s">
        <v>975</v>
      </c>
      <c r="I1575" t="s">
        <v>22</v>
      </c>
      <c r="J1575" t="s">
        <v>42</v>
      </c>
      <c r="K1575" t="s">
        <v>1543</v>
      </c>
      <c r="L1575" t="s">
        <v>25</v>
      </c>
      <c r="M1575" s="8">
        <v>1.0693333330000001</v>
      </c>
      <c r="N1575" t="s">
        <v>26</v>
      </c>
      <c r="O1575" s="8">
        <v>1.0693333330000001</v>
      </c>
      <c r="P1575" s="8">
        <f>EXP(-1.363+3.366*LOG(O1575,10))</f>
        <v>0.28223780327142356</v>
      </c>
      <c r="Q1575" s="8">
        <f>(1599772*100)/1881247</f>
        <v>85.037849894245682</v>
      </c>
    </row>
    <row r="1576" spans="1:17" x14ac:dyDescent="0.2">
      <c r="A1576">
        <v>2015</v>
      </c>
      <c r="B1576" t="s">
        <v>1866</v>
      </c>
      <c r="C1576" t="s">
        <v>1610</v>
      </c>
      <c r="D1576" t="s">
        <v>1686</v>
      </c>
      <c r="E1576">
        <v>7</v>
      </c>
      <c r="F1576" t="s">
        <v>19</v>
      </c>
      <c r="G1576" t="s">
        <v>352</v>
      </c>
      <c r="H1576" t="s">
        <v>975</v>
      </c>
      <c r="I1576" t="s">
        <v>22</v>
      </c>
      <c r="J1576" t="s">
        <v>42</v>
      </c>
      <c r="K1576" t="s">
        <v>1543</v>
      </c>
      <c r="L1576" t="s">
        <v>25</v>
      </c>
      <c r="M1576" s="8">
        <v>1.0693333330000001</v>
      </c>
      <c r="N1576" t="s">
        <v>26</v>
      </c>
      <c r="O1576" s="8">
        <v>1.0693333330000001</v>
      </c>
      <c r="P1576" s="8">
        <f>EXP(-1.363+3.366*LOG(O1576,10))</f>
        <v>0.28223780327142356</v>
      </c>
      <c r="Q1576" s="8">
        <f>(2475923*100)/2844344</f>
        <v>87.047241824476927</v>
      </c>
    </row>
    <row r="1577" spans="1:17" x14ac:dyDescent="0.2">
      <c r="A1577">
        <v>2015</v>
      </c>
      <c r="B1577" t="s">
        <v>1867</v>
      </c>
      <c r="C1577" t="s">
        <v>1552</v>
      </c>
      <c r="D1577" t="s">
        <v>1801</v>
      </c>
      <c r="E1577">
        <v>6</v>
      </c>
      <c r="F1577" t="s">
        <v>19</v>
      </c>
      <c r="G1577" t="s">
        <v>352</v>
      </c>
      <c r="H1577" t="s">
        <v>975</v>
      </c>
      <c r="I1577" t="s">
        <v>22</v>
      </c>
      <c r="J1577" t="s">
        <v>42</v>
      </c>
      <c r="K1577" t="s">
        <v>1543</v>
      </c>
      <c r="L1577" t="s">
        <v>25</v>
      </c>
      <c r="M1577" s="8">
        <v>1.0693333330000001</v>
      </c>
      <c r="N1577" t="s">
        <v>26</v>
      </c>
      <c r="O1577" s="8">
        <v>1.0693333330000001</v>
      </c>
      <c r="P1577" s="8">
        <f>EXP(-1.363+3.366*LOG(O1577,10))</f>
        <v>0.28223780327142356</v>
      </c>
      <c r="Q1577" s="8">
        <f>(3738946*100)/3915493</f>
        <v>95.491065875995687</v>
      </c>
    </row>
    <row r="1578" spans="1:17" x14ac:dyDescent="0.2">
      <c r="A1578">
        <v>2015</v>
      </c>
      <c r="B1578" t="s">
        <v>1868</v>
      </c>
      <c r="C1578" t="s">
        <v>1552</v>
      </c>
      <c r="D1578" t="s">
        <v>1698</v>
      </c>
      <c r="E1578">
        <v>4</v>
      </c>
      <c r="F1578" t="s">
        <v>19</v>
      </c>
      <c r="G1578" t="s">
        <v>352</v>
      </c>
      <c r="H1578" t="s">
        <v>975</v>
      </c>
      <c r="I1578" t="s">
        <v>36</v>
      </c>
      <c r="J1578" t="s">
        <v>42</v>
      </c>
      <c r="K1578" t="s">
        <v>1543</v>
      </c>
      <c r="L1578" t="s">
        <v>25</v>
      </c>
      <c r="M1578" s="8">
        <v>0.95199999999999996</v>
      </c>
      <c r="N1578" t="s">
        <v>26</v>
      </c>
      <c r="O1578" s="8">
        <v>0.95199999999999996</v>
      </c>
      <c r="P1578" s="8">
        <f>EXP(-1.363+3.366*LOG(O1578,10))</f>
        <v>0.23813726407794436</v>
      </c>
      <c r="Q1578" s="8">
        <f>(3738946*100)/3915493</f>
        <v>95.491065875995687</v>
      </c>
    </row>
    <row r="1579" spans="1:17" x14ac:dyDescent="0.2">
      <c r="A1579">
        <v>2015</v>
      </c>
      <c r="B1579" t="s">
        <v>1869</v>
      </c>
      <c r="C1579" t="s">
        <v>1552</v>
      </c>
      <c r="D1579" t="s">
        <v>1706</v>
      </c>
      <c r="E1579">
        <v>6</v>
      </c>
      <c r="F1579" t="s">
        <v>19</v>
      </c>
      <c r="G1579" t="s">
        <v>352</v>
      </c>
      <c r="H1579" t="s">
        <v>975</v>
      </c>
      <c r="I1579" t="s">
        <v>22</v>
      </c>
      <c r="J1579" t="s">
        <v>42</v>
      </c>
      <c r="K1579" t="s">
        <v>1543</v>
      </c>
      <c r="L1579" t="s">
        <v>25</v>
      </c>
      <c r="M1579" s="8">
        <v>1.0693333330000001</v>
      </c>
      <c r="N1579" t="s">
        <v>26</v>
      </c>
      <c r="O1579" s="8">
        <v>1.0693333330000001</v>
      </c>
      <c r="P1579" s="8">
        <f>EXP(-1.363+3.366*LOG(O1579,10))</f>
        <v>0.28223780327142356</v>
      </c>
      <c r="Q1579" s="8">
        <f>(3738946*100)/3915493</f>
        <v>95.491065875995687</v>
      </c>
    </row>
    <row r="1580" spans="1:17" x14ac:dyDescent="0.2">
      <c r="A1580">
        <v>2015</v>
      </c>
      <c r="B1580" t="s">
        <v>1870</v>
      </c>
      <c r="C1580" t="s">
        <v>1552</v>
      </c>
      <c r="D1580" t="s">
        <v>1708</v>
      </c>
      <c r="E1580">
        <v>6</v>
      </c>
      <c r="F1580" t="s">
        <v>19</v>
      </c>
      <c r="G1580" t="s">
        <v>352</v>
      </c>
      <c r="H1580" t="s">
        <v>975</v>
      </c>
      <c r="I1580" t="s">
        <v>22</v>
      </c>
      <c r="J1580" t="s">
        <v>42</v>
      </c>
      <c r="K1580" t="s">
        <v>1543</v>
      </c>
      <c r="L1580" t="s">
        <v>25</v>
      </c>
      <c r="M1580" s="8">
        <v>1.0693333330000001</v>
      </c>
      <c r="N1580" t="s">
        <v>26</v>
      </c>
      <c r="O1580" s="8">
        <v>1.0693333330000001</v>
      </c>
      <c r="P1580" s="8">
        <f>EXP(-1.363+3.366*LOG(O1580,10))</f>
        <v>0.28223780327142356</v>
      </c>
      <c r="Q1580" s="8">
        <f>(3738946*100)/3915493</f>
        <v>95.491065875995687</v>
      </c>
    </row>
    <row r="1581" spans="1:17" x14ac:dyDescent="0.2">
      <c r="A1581">
        <v>2015</v>
      </c>
      <c r="B1581" t="s">
        <v>1871</v>
      </c>
      <c r="C1581" t="s">
        <v>1552</v>
      </c>
      <c r="D1581" t="s">
        <v>1686</v>
      </c>
      <c r="E1581">
        <v>7</v>
      </c>
      <c r="F1581" t="s">
        <v>19</v>
      </c>
      <c r="G1581" t="s">
        <v>352</v>
      </c>
      <c r="H1581" t="s">
        <v>975</v>
      </c>
      <c r="I1581" t="s">
        <v>22</v>
      </c>
      <c r="J1581" t="s">
        <v>42</v>
      </c>
      <c r="K1581" t="s">
        <v>1543</v>
      </c>
      <c r="L1581" t="s">
        <v>25</v>
      </c>
      <c r="M1581" s="8">
        <v>1.0693333330000001</v>
      </c>
      <c r="N1581" t="s">
        <v>26</v>
      </c>
      <c r="O1581" s="8">
        <v>1.0693333330000001</v>
      </c>
      <c r="P1581" s="8">
        <f>EXP(-1.363+3.366*LOG(O1581,10))</f>
        <v>0.28223780327142356</v>
      </c>
      <c r="Q1581" s="8">
        <f>(3738946*100)/3915493</f>
        <v>95.491065875995687</v>
      </c>
    </row>
    <row r="1582" spans="1:17" x14ac:dyDescent="0.2">
      <c r="A1582">
        <v>2015</v>
      </c>
      <c r="B1582" t="s">
        <v>1872</v>
      </c>
      <c r="C1582" t="s">
        <v>1635</v>
      </c>
      <c r="D1582" t="s">
        <v>1701</v>
      </c>
      <c r="E1582">
        <v>5</v>
      </c>
      <c r="F1582" t="s">
        <v>19</v>
      </c>
      <c r="G1582" t="s">
        <v>352</v>
      </c>
      <c r="H1582" t="s">
        <v>975</v>
      </c>
      <c r="I1582" t="s">
        <v>22</v>
      </c>
      <c r="J1582" t="s">
        <v>42</v>
      </c>
      <c r="K1582" t="s">
        <v>1543</v>
      </c>
      <c r="L1582" t="s">
        <v>25</v>
      </c>
      <c r="M1582" s="8">
        <v>1.0693333330000001</v>
      </c>
      <c r="N1582" t="s">
        <v>26</v>
      </c>
      <c r="O1582" s="8">
        <v>1.0693333330000001</v>
      </c>
      <c r="P1582" s="8">
        <f>EXP(-1.363+3.366*LOG(O1582,10))</f>
        <v>0.28223780327142356</v>
      </c>
      <c r="Q1582" s="8">
        <f>(3602085*100)/4019599</f>
        <v>89.613043490159086</v>
      </c>
    </row>
    <row r="1583" spans="1:17" x14ac:dyDescent="0.2">
      <c r="A1583">
        <v>2015</v>
      </c>
      <c r="B1583" t="s">
        <v>1873</v>
      </c>
      <c r="C1583" t="s">
        <v>1635</v>
      </c>
      <c r="D1583" t="s">
        <v>1724</v>
      </c>
      <c r="E1583">
        <v>5</v>
      </c>
      <c r="F1583" t="s">
        <v>19</v>
      </c>
      <c r="G1583" t="s">
        <v>352</v>
      </c>
      <c r="H1583" t="s">
        <v>975</v>
      </c>
      <c r="I1583" t="s">
        <v>22</v>
      </c>
      <c r="J1583" t="s">
        <v>42</v>
      </c>
      <c r="K1583" t="s">
        <v>1543</v>
      </c>
      <c r="L1583" t="s">
        <v>25</v>
      </c>
      <c r="M1583" s="8">
        <v>1.0693333330000001</v>
      </c>
      <c r="N1583" t="s">
        <v>26</v>
      </c>
      <c r="O1583" s="8">
        <v>1.0693333330000001</v>
      </c>
      <c r="P1583" s="8">
        <f>EXP(-1.363+3.366*LOG(O1583,10))</f>
        <v>0.28223780327142356</v>
      </c>
      <c r="Q1583" s="8">
        <f>(3602085*100)/4019599</f>
        <v>89.613043490159086</v>
      </c>
    </row>
    <row r="1584" spans="1:17" x14ac:dyDescent="0.2">
      <c r="A1584">
        <v>2015</v>
      </c>
      <c r="B1584" t="s">
        <v>1874</v>
      </c>
      <c r="C1584" t="s">
        <v>1635</v>
      </c>
      <c r="D1584" t="s">
        <v>1719</v>
      </c>
      <c r="E1584">
        <v>6</v>
      </c>
      <c r="F1584" t="s">
        <v>19</v>
      </c>
      <c r="G1584" t="s">
        <v>352</v>
      </c>
      <c r="H1584" t="s">
        <v>975</v>
      </c>
      <c r="I1584" t="s">
        <v>36</v>
      </c>
      <c r="J1584" t="s">
        <v>42</v>
      </c>
      <c r="K1584" t="s">
        <v>1543</v>
      </c>
      <c r="L1584" t="s">
        <v>25</v>
      </c>
      <c r="M1584" s="8">
        <v>0.95199999999999996</v>
      </c>
      <c r="N1584" t="s">
        <v>26</v>
      </c>
      <c r="O1584" s="8">
        <v>0.95199999999999996</v>
      </c>
      <c r="P1584" s="8">
        <f>EXP(-1.363+3.366*LOG(O1584,10))</f>
        <v>0.23813726407794436</v>
      </c>
      <c r="Q1584" s="8">
        <f>(3602085*100)/4019599</f>
        <v>89.613043490159086</v>
      </c>
    </row>
    <row r="1585" spans="1:17" x14ac:dyDescent="0.2">
      <c r="A1585">
        <v>2015</v>
      </c>
      <c r="B1585" t="s">
        <v>1875</v>
      </c>
      <c r="C1585" t="s">
        <v>1635</v>
      </c>
      <c r="D1585" t="s">
        <v>1719</v>
      </c>
      <c r="E1585">
        <v>6</v>
      </c>
      <c r="F1585" t="s">
        <v>19</v>
      </c>
      <c r="G1585" t="s">
        <v>352</v>
      </c>
      <c r="H1585" t="s">
        <v>975</v>
      </c>
      <c r="I1585" t="s">
        <v>22</v>
      </c>
      <c r="J1585" t="s">
        <v>42</v>
      </c>
      <c r="K1585" t="s">
        <v>1543</v>
      </c>
      <c r="L1585" t="s">
        <v>25</v>
      </c>
      <c r="M1585" s="8">
        <v>1.0693333330000001</v>
      </c>
      <c r="N1585" t="s">
        <v>26</v>
      </c>
      <c r="O1585" s="8">
        <v>1.0693333330000001</v>
      </c>
      <c r="P1585" s="8">
        <f>EXP(-1.363+3.366*LOG(O1585,10))</f>
        <v>0.28223780327142356</v>
      </c>
      <c r="Q1585" s="8">
        <f>(3602085*100)/4019599</f>
        <v>89.613043490159086</v>
      </c>
    </row>
    <row r="1586" spans="1:17" x14ac:dyDescent="0.2">
      <c r="A1586">
        <v>2015</v>
      </c>
      <c r="B1586" t="s">
        <v>1876</v>
      </c>
      <c r="C1586" t="s">
        <v>1635</v>
      </c>
      <c r="D1586" t="s">
        <v>1688</v>
      </c>
      <c r="E1586">
        <v>6</v>
      </c>
      <c r="F1586" t="s">
        <v>19</v>
      </c>
      <c r="G1586" t="s">
        <v>352</v>
      </c>
      <c r="H1586" t="s">
        <v>975</v>
      </c>
      <c r="I1586" t="s">
        <v>22</v>
      </c>
      <c r="J1586" t="s">
        <v>42</v>
      </c>
      <c r="K1586" t="s">
        <v>1543</v>
      </c>
      <c r="L1586" t="s">
        <v>25</v>
      </c>
      <c r="M1586" s="8">
        <v>1.0693333330000001</v>
      </c>
      <c r="N1586" t="s">
        <v>26</v>
      </c>
      <c r="O1586" s="8">
        <v>1.0693333330000001</v>
      </c>
      <c r="P1586" s="8">
        <f>EXP(-1.363+3.366*LOG(O1586,10))</f>
        <v>0.28223780327142356</v>
      </c>
      <c r="Q1586" s="8">
        <f>(3602085*100)/4019599</f>
        <v>89.613043490159086</v>
      </c>
    </row>
    <row r="1587" spans="1:17" x14ac:dyDescent="0.2">
      <c r="A1587">
        <v>2015</v>
      </c>
      <c r="B1587" t="s">
        <v>1877</v>
      </c>
      <c r="C1587" t="s">
        <v>1635</v>
      </c>
      <c r="D1587" t="s">
        <v>1688</v>
      </c>
      <c r="E1587">
        <v>6</v>
      </c>
      <c r="F1587" t="s">
        <v>19</v>
      </c>
      <c r="G1587" t="s">
        <v>352</v>
      </c>
      <c r="H1587" t="s">
        <v>975</v>
      </c>
      <c r="I1587" t="s">
        <v>22</v>
      </c>
      <c r="J1587" t="s">
        <v>42</v>
      </c>
      <c r="K1587" t="s">
        <v>1543</v>
      </c>
      <c r="L1587" t="s">
        <v>25</v>
      </c>
      <c r="M1587" s="8">
        <v>1.0693333330000001</v>
      </c>
      <c r="N1587" t="s">
        <v>26</v>
      </c>
      <c r="O1587" s="8">
        <v>1.0693333330000001</v>
      </c>
      <c r="P1587" s="8">
        <f>EXP(-1.363+3.366*LOG(O1587,10))</f>
        <v>0.28223780327142356</v>
      </c>
      <c r="Q1587" s="8">
        <f>(3602085*100)/4019599</f>
        <v>89.613043490159086</v>
      </c>
    </row>
    <row r="1588" spans="1:17" x14ac:dyDescent="0.2">
      <c r="A1588">
        <v>2015</v>
      </c>
      <c r="B1588" t="s">
        <v>1878</v>
      </c>
      <c r="C1588" t="s">
        <v>1635</v>
      </c>
      <c r="D1588" t="s">
        <v>1708</v>
      </c>
      <c r="E1588">
        <v>6</v>
      </c>
      <c r="F1588" t="s">
        <v>19</v>
      </c>
      <c r="G1588" t="s">
        <v>352</v>
      </c>
      <c r="H1588" t="s">
        <v>975</v>
      </c>
      <c r="I1588" t="s">
        <v>22</v>
      </c>
      <c r="J1588" t="s">
        <v>42</v>
      </c>
      <c r="K1588" t="s">
        <v>1543</v>
      </c>
      <c r="L1588" t="s">
        <v>25</v>
      </c>
      <c r="M1588" s="8">
        <v>1.0693333330000001</v>
      </c>
      <c r="N1588" t="s">
        <v>26</v>
      </c>
      <c r="O1588" s="8">
        <v>1.0693333330000001</v>
      </c>
      <c r="P1588" s="8">
        <f>EXP(-1.363+3.366*LOG(O1588,10))</f>
        <v>0.28223780327142356</v>
      </c>
      <c r="Q1588" s="8">
        <f>(3602085*100)/4019599</f>
        <v>89.613043490159086</v>
      </c>
    </row>
    <row r="1589" spans="1:17" x14ac:dyDescent="0.2">
      <c r="A1589">
        <v>2015</v>
      </c>
      <c r="B1589" t="s">
        <v>1879</v>
      </c>
      <c r="C1589" t="s">
        <v>1635</v>
      </c>
      <c r="D1589" t="s">
        <v>1708</v>
      </c>
      <c r="E1589">
        <v>6</v>
      </c>
      <c r="F1589" t="s">
        <v>19</v>
      </c>
      <c r="G1589" t="s">
        <v>352</v>
      </c>
      <c r="H1589" t="s">
        <v>975</v>
      </c>
      <c r="I1589" t="s">
        <v>22</v>
      </c>
      <c r="J1589" t="s">
        <v>42</v>
      </c>
      <c r="K1589" t="s">
        <v>1543</v>
      </c>
      <c r="L1589" t="s">
        <v>25</v>
      </c>
      <c r="M1589" s="8">
        <v>1.0693333330000001</v>
      </c>
      <c r="N1589" t="s">
        <v>26</v>
      </c>
      <c r="O1589" s="8">
        <v>1.0693333330000001</v>
      </c>
      <c r="P1589" s="8">
        <f>EXP(-1.363+3.366*LOG(O1589,10))</f>
        <v>0.28223780327142356</v>
      </c>
      <c r="Q1589" s="8">
        <f>(3602085*100)/4019599</f>
        <v>89.613043490159086</v>
      </c>
    </row>
    <row r="1590" spans="1:17" x14ac:dyDescent="0.2">
      <c r="A1590">
        <v>2015</v>
      </c>
      <c r="B1590" t="s">
        <v>1880</v>
      </c>
      <c r="C1590" t="s">
        <v>1635</v>
      </c>
      <c r="D1590" t="s">
        <v>1708</v>
      </c>
      <c r="E1590">
        <v>6</v>
      </c>
      <c r="F1590" t="s">
        <v>19</v>
      </c>
      <c r="G1590" t="s">
        <v>352</v>
      </c>
      <c r="H1590" t="s">
        <v>975</v>
      </c>
      <c r="I1590" t="s">
        <v>22</v>
      </c>
      <c r="J1590" t="s">
        <v>42</v>
      </c>
      <c r="K1590" t="s">
        <v>1543</v>
      </c>
      <c r="L1590" t="s">
        <v>25</v>
      </c>
      <c r="M1590" s="8">
        <v>1.0693333330000001</v>
      </c>
      <c r="N1590" t="s">
        <v>26</v>
      </c>
      <c r="O1590" s="8">
        <v>1.0693333330000001</v>
      </c>
      <c r="P1590" s="8">
        <f>EXP(-1.363+3.366*LOG(O1590,10))</f>
        <v>0.28223780327142356</v>
      </c>
      <c r="Q1590" s="8">
        <f>(3602085*100)/4019599</f>
        <v>89.613043490159086</v>
      </c>
    </row>
    <row r="1591" spans="1:17" x14ac:dyDescent="0.2">
      <c r="A1591">
        <v>2015</v>
      </c>
      <c r="B1591" t="s">
        <v>1881</v>
      </c>
      <c r="C1591" t="s">
        <v>1635</v>
      </c>
      <c r="D1591" t="s">
        <v>1686</v>
      </c>
      <c r="E1591">
        <v>7</v>
      </c>
      <c r="F1591" t="s">
        <v>19</v>
      </c>
      <c r="G1591" t="s">
        <v>352</v>
      </c>
      <c r="H1591" t="s">
        <v>975</v>
      </c>
      <c r="I1591" t="s">
        <v>22</v>
      </c>
      <c r="J1591" t="s">
        <v>42</v>
      </c>
      <c r="K1591" t="s">
        <v>1543</v>
      </c>
      <c r="L1591" t="s">
        <v>25</v>
      </c>
      <c r="M1591" s="8">
        <v>1.0693333330000001</v>
      </c>
      <c r="N1591" t="s">
        <v>26</v>
      </c>
      <c r="O1591" s="8">
        <v>1.0693333330000001</v>
      </c>
      <c r="P1591" s="8">
        <f>EXP(-1.363+3.366*LOG(O1591,10))</f>
        <v>0.28223780327142356</v>
      </c>
      <c r="Q1591" s="8">
        <f>(3602085*100)/4019599</f>
        <v>89.613043490159086</v>
      </c>
    </row>
    <row r="1592" spans="1:17" x14ac:dyDescent="0.2">
      <c r="A1592">
        <v>2015</v>
      </c>
      <c r="B1592" t="s">
        <v>1882</v>
      </c>
      <c r="C1592" t="s">
        <v>1635</v>
      </c>
      <c r="D1592" t="s">
        <v>1686</v>
      </c>
      <c r="E1592">
        <v>7</v>
      </c>
      <c r="F1592" t="s">
        <v>19</v>
      </c>
      <c r="G1592" t="s">
        <v>352</v>
      </c>
      <c r="H1592" t="s">
        <v>975</v>
      </c>
      <c r="I1592" t="s">
        <v>22</v>
      </c>
      <c r="J1592" t="s">
        <v>42</v>
      </c>
      <c r="K1592" t="s">
        <v>1543</v>
      </c>
      <c r="L1592" t="s">
        <v>25</v>
      </c>
      <c r="M1592" s="8">
        <v>1.0693333330000001</v>
      </c>
      <c r="N1592" t="s">
        <v>26</v>
      </c>
      <c r="O1592" s="8">
        <v>1.0693333330000001</v>
      </c>
      <c r="P1592" s="8">
        <f>EXP(-1.363+3.366*LOG(O1592,10))</f>
        <v>0.28223780327142356</v>
      </c>
      <c r="Q1592" s="8">
        <f>(3602085*100)/4019599</f>
        <v>89.613043490159086</v>
      </c>
    </row>
    <row r="1593" spans="1:17" x14ac:dyDescent="0.2">
      <c r="A1593">
        <v>2015</v>
      </c>
      <c r="B1593" t="s">
        <v>1883</v>
      </c>
      <c r="C1593" t="s">
        <v>1635</v>
      </c>
      <c r="D1593" t="s">
        <v>1715</v>
      </c>
      <c r="E1593">
        <v>7</v>
      </c>
      <c r="F1593" t="s">
        <v>19</v>
      </c>
      <c r="G1593" t="s">
        <v>352</v>
      </c>
      <c r="H1593" t="s">
        <v>975</v>
      </c>
      <c r="I1593" t="s">
        <v>22</v>
      </c>
      <c r="J1593" t="s">
        <v>42</v>
      </c>
      <c r="K1593" t="s">
        <v>1543</v>
      </c>
      <c r="L1593" t="s">
        <v>25</v>
      </c>
      <c r="M1593" s="8">
        <v>1.0693333330000001</v>
      </c>
      <c r="N1593" t="s">
        <v>26</v>
      </c>
      <c r="O1593" s="8">
        <v>1.0693333330000001</v>
      </c>
      <c r="P1593" s="8">
        <f>EXP(-1.363+3.366*LOG(O1593,10))</f>
        <v>0.28223780327142356</v>
      </c>
      <c r="Q1593" s="8">
        <f>(3602085*100)/4019599</f>
        <v>89.613043490159086</v>
      </c>
    </row>
    <row r="1594" spans="1:17" x14ac:dyDescent="0.2">
      <c r="A1594">
        <v>2015</v>
      </c>
      <c r="B1594" t="s">
        <v>1884</v>
      </c>
      <c r="C1594" t="s">
        <v>1635</v>
      </c>
      <c r="D1594" t="s">
        <v>1715</v>
      </c>
      <c r="E1594">
        <v>7</v>
      </c>
      <c r="F1594" t="s">
        <v>19</v>
      </c>
      <c r="G1594" t="s">
        <v>352</v>
      </c>
      <c r="H1594" t="s">
        <v>975</v>
      </c>
      <c r="I1594" t="s">
        <v>22</v>
      </c>
      <c r="J1594" t="s">
        <v>42</v>
      </c>
      <c r="K1594" t="s">
        <v>1543</v>
      </c>
      <c r="L1594" t="s">
        <v>25</v>
      </c>
      <c r="M1594" s="8">
        <v>1.0693333330000001</v>
      </c>
      <c r="N1594" t="s">
        <v>26</v>
      </c>
      <c r="O1594" s="8">
        <v>1.0693333330000001</v>
      </c>
      <c r="P1594" s="8">
        <f>EXP(-1.363+3.366*LOG(O1594,10))</f>
        <v>0.28223780327142356</v>
      </c>
      <c r="Q1594" s="8">
        <f>(3602085*100)/4019599</f>
        <v>89.613043490159086</v>
      </c>
    </row>
    <row r="1595" spans="1:17" x14ac:dyDescent="0.2">
      <c r="A1595">
        <v>2015</v>
      </c>
      <c r="B1595" t="s">
        <v>1885</v>
      </c>
      <c r="C1595" t="s">
        <v>1540</v>
      </c>
      <c r="D1595" t="s">
        <v>1715</v>
      </c>
      <c r="E1595">
        <v>7</v>
      </c>
      <c r="F1595" t="s">
        <v>19</v>
      </c>
      <c r="G1595" t="s">
        <v>352</v>
      </c>
      <c r="H1595" t="s">
        <v>975</v>
      </c>
      <c r="I1595" t="s">
        <v>36</v>
      </c>
      <c r="J1595" t="s">
        <v>42</v>
      </c>
      <c r="K1595" t="s">
        <v>1543</v>
      </c>
      <c r="L1595" t="s">
        <v>25</v>
      </c>
      <c r="M1595" s="8">
        <v>0.95199999999999996</v>
      </c>
      <c r="N1595" t="s">
        <v>26</v>
      </c>
      <c r="O1595" s="8">
        <v>0.95199999999999996</v>
      </c>
      <c r="P1595" s="8">
        <f>EXP(-1.363+3.366*LOG(O1595,10))</f>
        <v>0.23813726407794436</v>
      </c>
      <c r="Q1595" s="8">
        <f>(2618262*100)/2995732</f>
        <v>87.399740697766021</v>
      </c>
    </row>
    <row r="1596" spans="1:17" x14ac:dyDescent="0.2">
      <c r="A1596">
        <v>2015</v>
      </c>
      <c r="B1596" t="s">
        <v>1886</v>
      </c>
      <c r="C1596" t="s">
        <v>1690</v>
      </c>
      <c r="D1596" t="s">
        <v>1686</v>
      </c>
      <c r="E1596">
        <v>7</v>
      </c>
      <c r="F1596" t="s">
        <v>19</v>
      </c>
      <c r="G1596" t="s">
        <v>352</v>
      </c>
      <c r="H1596" t="s">
        <v>1142</v>
      </c>
      <c r="I1596" t="s">
        <v>22</v>
      </c>
      <c r="J1596" t="s">
        <v>42</v>
      </c>
      <c r="K1596" t="s">
        <v>1543</v>
      </c>
      <c r="L1596" t="s">
        <v>25</v>
      </c>
      <c r="M1596" s="8">
        <v>1.1423333330000001</v>
      </c>
      <c r="N1596" t="s">
        <v>26</v>
      </c>
      <c r="O1596" s="8">
        <v>1.1423333330000001</v>
      </c>
      <c r="P1596" s="8">
        <f>EXP(-1.363+3.366*LOG(O1596,10))</f>
        <v>0.31084239358261528</v>
      </c>
      <c r="Q1596" s="8">
        <f>(2640118*100)/3023471</f>
        <v>87.320764776642477</v>
      </c>
    </row>
    <row r="1597" spans="1:17" x14ac:dyDescent="0.2">
      <c r="A1597">
        <v>2015</v>
      </c>
      <c r="B1597" t="s">
        <v>1887</v>
      </c>
      <c r="C1597" t="s">
        <v>1690</v>
      </c>
      <c r="D1597" t="s">
        <v>1717</v>
      </c>
      <c r="E1597">
        <v>4</v>
      </c>
      <c r="F1597" t="s">
        <v>19</v>
      </c>
      <c r="G1597" t="s">
        <v>352</v>
      </c>
      <c r="H1597" t="s">
        <v>1142</v>
      </c>
      <c r="I1597" t="s">
        <v>22</v>
      </c>
      <c r="J1597" t="s">
        <v>42</v>
      </c>
      <c r="K1597" t="s">
        <v>1543</v>
      </c>
      <c r="L1597" t="s">
        <v>25</v>
      </c>
      <c r="M1597" s="8">
        <v>1.1423333330000001</v>
      </c>
      <c r="N1597" t="s">
        <v>26</v>
      </c>
      <c r="O1597" s="8">
        <v>1.1423333330000001</v>
      </c>
      <c r="P1597" s="8">
        <f>EXP(-1.363+3.366*LOG(O1597,10))</f>
        <v>0.31084239358261528</v>
      </c>
      <c r="Q1597" s="8">
        <f>(2640118*100)/3023471</f>
        <v>87.320764776642477</v>
      </c>
    </row>
    <row r="1598" spans="1:17" x14ac:dyDescent="0.2">
      <c r="A1598">
        <v>2015</v>
      </c>
      <c r="B1598" t="s">
        <v>1888</v>
      </c>
      <c r="C1598" t="s">
        <v>1690</v>
      </c>
      <c r="D1598" t="s">
        <v>1717</v>
      </c>
      <c r="E1598">
        <v>4</v>
      </c>
      <c r="F1598" t="s">
        <v>19</v>
      </c>
      <c r="G1598" t="s">
        <v>352</v>
      </c>
      <c r="H1598" t="s">
        <v>1142</v>
      </c>
      <c r="I1598" t="s">
        <v>22</v>
      </c>
      <c r="J1598" t="s">
        <v>42</v>
      </c>
      <c r="K1598" t="s">
        <v>1543</v>
      </c>
      <c r="L1598" t="s">
        <v>25</v>
      </c>
      <c r="M1598" s="8">
        <v>1.1423333330000001</v>
      </c>
      <c r="N1598" t="s">
        <v>26</v>
      </c>
      <c r="O1598" s="8">
        <v>1.1423333330000001</v>
      </c>
      <c r="P1598" s="8">
        <f>EXP(-1.363+3.366*LOG(O1598,10))</f>
        <v>0.31084239358261528</v>
      </c>
      <c r="Q1598" s="8">
        <f>(2640118*100)/3023471</f>
        <v>87.320764776642477</v>
      </c>
    </row>
    <row r="1599" spans="1:17" x14ac:dyDescent="0.2">
      <c r="A1599">
        <v>2015</v>
      </c>
      <c r="B1599" t="s">
        <v>1889</v>
      </c>
      <c r="C1599" t="s">
        <v>1690</v>
      </c>
      <c r="D1599" t="s">
        <v>1717</v>
      </c>
      <c r="E1599">
        <v>4</v>
      </c>
      <c r="F1599" t="s">
        <v>19</v>
      </c>
      <c r="G1599" t="s">
        <v>352</v>
      </c>
      <c r="H1599" t="s">
        <v>1142</v>
      </c>
      <c r="I1599" t="s">
        <v>22</v>
      </c>
      <c r="J1599" t="s">
        <v>42</v>
      </c>
      <c r="K1599" t="s">
        <v>1543</v>
      </c>
      <c r="L1599" t="s">
        <v>25</v>
      </c>
      <c r="M1599" s="8">
        <v>1.1423333330000001</v>
      </c>
      <c r="N1599" t="s">
        <v>26</v>
      </c>
      <c r="O1599" s="8">
        <v>1.1423333330000001</v>
      </c>
      <c r="P1599" s="8">
        <f>EXP(-1.363+3.366*LOG(O1599,10))</f>
        <v>0.31084239358261528</v>
      </c>
      <c r="Q1599" s="8">
        <f>(2640118*100)/3023471</f>
        <v>87.320764776642477</v>
      </c>
    </row>
    <row r="1600" spans="1:17" x14ac:dyDescent="0.2">
      <c r="A1600">
        <v>2015</v>
      </c>
      <c r="B1600" t="s">
        <v>1890</v>
      </c>
      <c r="C1600" t="s">
        <v>1690</v>
      </c>
      <c r="D1600" t="s">
        <v>1706</v>
      </c>
      <c r="E1600">
        <v>6</v>
      </c>
      <c r="F1600" t="s">
        <v>19</v>
      </c>
      <c r="G1600" t="s">
        <v>352</v>
      </c>
      <c r="H1600" t="s">
        <v>1142</v>
      </c>
      <c r="I1600" t="s">
        <v>22</v>
      </c>
      <c r="J1600" t="s">
        <v>42</v>
      </c>
      <c r="K1600" t="s">
        <v>1543</v>
      </c>
      <c r="L1600" t="s">
        <v>25</v>
      </c>
      <c r="M1600" s="8">
        <v>1.1423333330000001</v>
      </c>
      <c r="N1600" t="s">
        <v>26</v>
      </c>
      <c r="O1600" s="8">
        <v>1.1423333330000001</v>
      </c>
      <c r="P1600" s="8">
        <f>EXP(-1.363+3.366*LOG(O1600,10))</f>
        <v>0.31084239358261528</v>
      </c>
      <c r="Q1600" s="8">
        <f>(2640118*100)/3023471</f>
        <v>87.320764776642477</v>
      </c>
    </row>
    <row r="1601" spans="1:17" x14ac:dyDescent="0.2">
      <c r="A1601">
        <v>2015</v>
      </c>
      <c r="B1601" t="s">
        <v>1891</v>
      </c>
      <c r="C1601" t="s">
        <v>1690</v>
      </c>
      <c r="D1601" t="s">
        <v>1801</v>
      </c>
      <c r="E1601">
        <v>6</v>
      </c>
      <c r="F1601" t="s">
        <v>19</v>
      </c>
      <c r="G1601" t="s">
        <v>352</v>
      </c>
      <c r="H1601" t="s">
        <v>1142</v>
      </c>
      <c r="I1601" t="s">
        <v>36</v>
      </c>
      <c r="J1601" t="s">
        <v>42</v>
      </c>
      <c r="K1601" t="s">
        <v>1543</v>
      </c>
      <c r="L1601" t="s">
        <v>25</v>
      </c>
      <c r="M1601" s="8">
        <v>0.93500000000000005</v>
      </c>
      <c r="N1601" t="s">
        <v>26</v>
      </c>
      <c r="O1601" s="8">
        <v>0.93500000000000005</v>
      </c>
      <c r="P1601" s="8">
        <f>EXP(-1.363+3.366*LOG(O1601,10))</f>
        <v>0.23194659731411651</v>
      </c>
      <c r="Q1601" s="8">
        <f>(2640118*100)/3023471</f>
        <v>87.320764776642477</v>
      </c>
    </row>
    <row r="1602" spans="1:17" x14ac:dyDescent="0.2">
      <c r="A1602">
        <v>2015</v>
      </c>
      <c r="B1602" t="s">
        <v>1892</v>
      </c>
      <c r="C1602" t="s">
        <v>1690</v>
      </c>
      <c r="D1602" t="s">
        <v>1801</v>
      </c>
      <c r="E1602">
        <v>6</v>
      </c>
      <c r="F1602" t="s">
        <v>19</v>
      </c>
      <c r="G1602" t="s">
        <v>352</v>
      </c>
      <c r="H1602" t="s">
        <v>1142</v>
      </c>
      <c r="I1602" t="s">
        <v>22</v>
      </c>
      <c r="J1602" t="s">
        <v>42</v>
      </c>
      <c r="K1602" t="s">
        <v>1543</v>
      </c>
      <c r="L1602" t="s">
        <v>25</v>
      </c>
      <c r="M1602" s="8">
        <v>1.1423333330000001</v>
      </c>
      <c r="N1602" t="s">
        <v>26</v>
      </c>
      <c r="O1602" s="8">
        <v>1.1423333330000001</v>
      </c>
      <c r="P1602" s="8">
        <f>EXP(-1.363+3.366*LOG(O1602,10))</f>
        <v>0.31084239358261528</v>
      </c>
      <c r="Q1602" s="8">
        <f>(2640118*100)/3023471</f>
        <v>87.320764776642477</v>
      </c>
    </row>
    <row r="1603" spans="1:17" x14ac:dyDescent="0.2">
      <c r="A1603">
        <v>2015</v>
      </c>
      <c r="B1603" t="s">
        <v>1893</v>
      </c>
      <c r="C1603" t="s">
        <v>1690</v>
      </c>
      <c r="D1603" t="s">
        <v>1708</v>
      </c>
      <c r="E1603">
        <v>6</v>
      </c>
      <c r="F1603" t="s">
        <v>19</v>
      </c>
      <c r="G1603" t="s">
        <v>352</v>
      </c>
      <c r="H1603" t="s">
        <v>1142</v>
      </c>
      <c r="I1603" t="s">
        <v>22</v>
      </c>
      <c r="J1603" t="s">
        <v>42</v>
      </c>
      <c r="K1603" t="s">
        <v>1543</v>
      </c>
      <c r="L1603" t="s">
        <v>25</v>
      </c>
      <c r="M1603" s="8">
        <v>1.1423333330000001</v>
      </c>
      <c r="N1603" t="s">
        <v>26</v>
      </c>
      <c r="O1603" s="8">
        <v>1.1423333330000001</v>
      </c>
      <c r="P1603" s="8">
        <f>EXP(-1.363+3.366*LOG(O1603,10))</f>
        <v>0.31084239358261528</v>
      </c>
      <c r="Q1603" s="8">
        <f>(2640118*100)/3023471</f>
        <v>87.320764776642477</v>
      </c>
    </row>
    <row r="1604" spans="1:17" x14ac:dyDescent="0.2">
      <c r="A1604">
        <v>2015</v>
      </c>
      <c r="B1604" t="s">
        <v>1894</v>
      </c>
      <c r="C1604" t="s">
        <v>1690</v>
      </c>
      <c r="D1604" t="s">
        <v>1710</v>
      </c>
      <c r="E1604">
        <v>7</v>
      </c>
      <c r="F1604" t="s">
        <v>19</v>
      </c>
      <c r="G1604" t="s">
        <v>352</v>
      </c>
      <c r="H1604" t="s">
        <v>1142</v>
      </c>
      <c r="I1604" t="s">
        <v>22</v>
      </c>
      <c r="J1604" t="s">
        <v>42</v>
      </c>
      <c r="K1604" t="s">
        <v>1543</v>
      </c>
      <c r="L1604" t="s">
        <v>25</v>
      </c>
      <c r="M1604" s="8">
        <v>1.1423333330000001</v>
      </c>
      <c r="N1604" t="s">
        <v>26</v>
      </c>
      <c r="O1604" s="8">
        <v>1.1423333330000001</v>
      </c>
      <c r="P1604" s="8">
        <f>EXP(-1.363+3.366*LOG(O1604,10))</f>
        <v>0.31084239358261528</v>
      </c>
      <c r="Q1604" s="8">
        <f>(2640118*100)/3023471</f>
        <v>87.320764776642477</v>
      </c>
    </row>
    <row r="1605" spans="1:17" x14ac:dyDescent="0.2">
      <c r="A1605">
        <v>2015</v>
      </c>
      <c r="B1605" t="s">
        <v>1895</v>
      </c>
      <c r="C1605" t="s">
        <v>1690</v>
      </c>
      <c r="D1605" t="s">
        <v>1686</v>
      </c>
      <c r="E1605">
        <v>7</v>
      </c>
      <c r="F1605" t="s">
        <v>19</v>
      </c>
      <c r="G1605" t="s">
        <v>352</v>
      </c>
      <c r="H1605" t="s">
        <v>1142</v>
      </c>
      <c r="I1605" t="s">
        <v>22</v>
      </c>
      <c r="J1605" t="s">
        <v>42</v>
      </c>
      <c r="K1605" t="s">
        <v>1543</v>
      </c>
      <c r="L1605" t="s">
        <v>25</v>
      </c>
      <c r="M1605" s="8">
        <v>1.1423333330000001</v>
      </c>
      <c r="N1605" t="s">
        <v>26</v>
      </c>
      <c r="O1605" s="8">
        <v>1.1423333330000001</v>
      </c>
      <c r="P1605" s="8">
        <f>EXP(-1.363+3.366*LOG(O1605,10))</f>
        <v>0.31084239358261528</v>
      </c>
      <c r="Q1605" s="8">
        <f>(2640118*100)/3023471</f>
        <v>87.320764776642477</v>
      </c>
    </row>
    <row r="1606" spans="1:17" x14ac:dyDescent="0.2">
      <c r="A1606">
        <v>2015</v>
      </c>
      <c r="B1606" t="s">
        <v>1896</v>
      </c>
      <c r="C1606" t="s">
        <v>1624</v>
      </c>
      <c r="D1606" t="s">
        <v>1686</v>
      </c>
      <c r="E1606">
        <v>7</v>
      </c>
      <c r="F1606" t="s">
        <v>19</v>
      </c>
      <c r="G1606" t="s">
        <v>352</v>
      </c>
      <c r="H1606" t="s">
        <v>1142</v>
      </c>
      <c r="I1606" t="s">
        <v>22</v>
      </c>
      <c r="J1606" t="s">
        <v>42</v>
      </c>
      <c r="K1606" t="s">
        <v>1543</v>
      </c>
      <c r="L1606" t="s">
        <v>25</v>
      </c>
      <c r="M1606" s="8">
        <v>1.1423333330000001</v>
      </c>
      <c r="N1606" t="s">
        <v>26</v>
      </c>
      <c r="O1606" s="8">
        <v>1.1423333330000001</v>
      </c>
      <c r="P1606" s="8">
        <f>EXP(-1.363+3.366*LOG(O1606,10))</f>
        <v>0.31084239358261528</v>
      </c>
      <c r="Q1606" s="8">
        <f>(1599772*100)/1881247</f>
        <v>85.037849894245682</v>
      </c>
    </row>
    <row r="1607" spans="1:17" x14ac:dyDescent="0.2">
      <c r="A1607">
        <v>2015</v>
      </c>
      <c r="B1607" t="s">
        <v>1897</v>
      </c>
      <c r="C1607" t="s">
        <v>1624</v>
      </c>
      <c r="D1607" t="s">
        <v>1682</v>
      </c>
      <c r="E1607">
        <v>4</v>
      </c>
      <c r="F1607" t="s">
        <v>19</v>
      </c>
      <c r="G1607" t="s">
        <v>352</v>
      </c>
      <c r="H1607" t="s">
        <v>1142</v>
      </c>
      <c r="I1607" t="s">
        <v>22</v>
      </c>
      <c r="J1607" t="s">
        <v>42</v>
      </c>
      <c r="K1607" t="s">
        <v>1543</v>
      </c>
      <c r="L1607" t="s">
        <v>25</v>
      </c>
      <c r="M1607" s="8">
        <v>1.1423333330000001</v>
      </c>
      <c r="N1607" t="s">
        <v>26</v>
      </c>
      <c r="O1607" s="8">
        <v>1.1423333330000001</v>
      </c>
      <c r="P1607" s="8">
        <f>EXP(-1.363+3.366*LOG(O1607,10))</f>
        <v>0.31084239358261528</v>
      </c>
      <c r="Q1607" s="8">
        <f>(1599772*100)/1881247</f>
        <v>85.037849894245682</v>
      </c>
    </row>
    <row r="1608" spans="1:17" x14ac:dyDescent="0.2">
      <c r="A1608">
        <v>2015</v>
      </c>
      <c r="B1608" t="s">
        <v>1898</v>
      </c>
      <c r="C1608" t="s">
        <v>1624</v>
      </c>
      <c r="D1608" t="s">
        <v>1717</v>
      </c>
      <c r="E1608">
        <v>4</v>
      </c>
      <c r="F1608" t="s">
        <v>19</v>
      </c>
      <c r="G1608" t="s">
        <v>352</v>
      </c>
      <c r="H1608" t="s">
        <v>1142</v>
      </c>
      <c r="I1608" t="s">
        <v>22</v>
      </c>
      <c r="J1608" t="s">
        <v>42</v>
      </c>
      <c r="K1608" t="s">
        <v>1543</v>
      </c>
      <c r="L1608" t="s">
        <v>25</v>
      </c>
      <c r="M1608" s="8">
        <v>1.1423333330000001</v>
      </c>
      <c r="N1608" t="s">
        <v>26</v>
      </c>
      <c r="O1608" s="8">
        <v>1.1423333330000001</v>
      </c>
      <c r="P1608" s="8">
        <f>EXP(-1.363+3.366*LOG(O1608,10))</f>
        <v>0.31084239358261528</v>
      </c>
      <c r="Q1608" s="8">
        <f>(1599772*100)/1881247</f>
        <v>85.037849894245682</v>
      </c>
    </row>
    <row r="1609" spans="1:17" x14ac:dyDescent="0.2">
      <c r="A1609">
        <v>2015</v>
      </c>
      <c r="B1609" t="s">
        <v>1899</v>
      </c>
      <c r="C1609" t="s">
        <v>1624</v>
      </c>
      <c r="D1609" t="s">
        <v>1706</v>
      </c>
      <c r="E1609">
        <v>6</v>
      </c>
      <c r="F1609" t="s">
        <v>19</v>
      </c>
      <c r="G1609" t="s">
        <v>352</v>
      </c>
      <c r="H1609" t="s">
        <v>1142</v>
      </c>
      <c r="I1609" t="s">
        <v>36</v>
      </c>
      <c r="J1609" t="s">
        <v>42</v>
      </c>
      <c r="K1609" t="s">
        <v>1543</v>
      </c>
      <c r="L1609" t="s">
        <v>25</v>
      </c>
      <c r="M1609" s="8">
        <v>0.93500000000000005</v>
      </c>
      <c r="N1609" t="s">
        <v>26</v>
      </c>
      <c r="O1609" s="8">
        <v>0.93500000000000005</v>
      </c>
      <c r="P1609" s="8">
        <f>EXP(-1.363+3.366*LOG(O1609,10))</f>
        <v>0.23194659731411651</v>
      </c>
      <c r="Q1609" s="8">
        <f>(1599772*100)/1881247</f>
        <v>85.037849894245682</v>
      </c>
    </row>
    <row r="1610" spans="1:17" x14ac:dyDescent="0.2">
      <c r="A1610">
        <v>2015</v>
      </c>
      <c r="B1610" t="s">
        <v>1900</v>
      </c>
      <c r="C1610" t="s">
        <v>1624</v>
      </c>
      <c r="D1610" t="s">
        <v>1706</v>
      </c>
      <c r="E1610">
        <v>6</v>
      </c>
      <c r="F1610" t="s">
        <v>19</v>
      </c>
      <c r="G1610" t="s">
        <v>352</v>
      </c>
      <c r="H1610" t="s">
        <v>1142</v>
      </c>
      <c r="I1610" t="s">
        <v>22</v>
      </c>
      <c r="J1610" t="s">
        <v>42</v>
      </c>
      <c r="K1610" t="s">
        <v>1543</v>
      </c>
      <c r="L1610" t="s">
        <v>25</v>
      </c>
      <c r="M1610" s="8">
        <v>1.1423333330000001</v>
      </c>
      <c r="N1610" t="s">
        <v>26</v>
      </c>
      <c r="O1610" s="8">
        <v>1.1423333330000001</v>
      </c>
      <c r="P1610" s="8">
        <f>EXP(-1.363+3.366*LOG(O1610,10))</f>
        <v>0.31084239358261528</v>
      </c>
      <c r="Q1610" s="8">
        <f>(1599772*100)/1881247</f>
        <v>85.037849894245682</v>
      </c>
    </row>
    <row r="1611" spans="1:17" x14ac:dyDescent="0.2">
      <c r="A1611">
        <v>2015</v>
      </c>
      <c r="B1611" t="s">
        <v>1901</v>
      </c>
      <c r="C1611" t="s">
        <v>1624</v>
      </c>
      <c r="D1611" t="s">
        <v>1688</v>
      </c>
      <c r="E1611">
        <v>6</v>
      </c>
      <c r="F1611" t="s">
        <v>19</v>
      </c>
      <c r="G1611" t="s">
        <v>352</v>
      </c>
      <c r="H1611" t="s">
        <v>1142</v>
      </c>
      <c r="I1611" t="s">
        <v>36</v>
      </c>
      <c r="J1611" t="s">
        <v>42</v>
      </c>
      <c r="K1611" t="s">
        <v>1543</v>
      </c>
      <c r="L1611" t="s">
        <v>25</v>
      </c>
      <c r="M1611" s="8">
        <v>0.93500000000000005</v>
      </c>
      <c r="N1611" t="s">
        <v>26</v>
      </c>
      <c r="O1611" s="8">
        <v>0.93500000000000005</v>
      </c>
      <c r="P1611" s="8">
        <f>EXP(-1.363+3.366*LOG(O1611,10))</f>
        <v>0.23194659731411651</v>
      </c>
      <c r="Q1611" s="8">
        <f>(1599772*100)/1881247</f>
        <v>85.037849894245682</v>
      </c>
    </row>
    <row r="1612" spans="1:17" x14ac:dyDescent="0.2">
      <c r="A1612">
        <v>2015</v>
      </c>
      <c r="B1612" t="s">
        <v>1902</v>
      </c>
      <c r="C1612" t="s">
        <v>1624</v>
      </c>
      <c r="D1612" t="s">
        <v>1710</v>
      </c>
      <c r="E1612">
        <v>7</v>
      </c>
      <c r="F1612" t="s">
        <v>19</v>
      </c>
      <c r="G1612" t="s">
        <v>352</v>
      </c>
      <c r="H1612" t="s">
        <v>1142</v>
      </c>
      <c r="I1612" t="s">
        <v>22</v>
      </c>
      <c r="J1612" t="s">
        <v>42</v>
      </c>
      <c r="K1612" t="s">
        <v>1543</v>
      </c>
      <c r="L1612" t="s">
        <v>25</v>
      </c>
      <c r="M1612" s="8">
        <v>1.1423333330000001</v>
      </c>
      <c r="N1612" t="s">
        <v>26</v>
      </c>
      <c r="O1612" s="8">
        <v>1.1423333330000001</v>
      </c>
      <c r="P1612" s="8">
        <f>EXP(-1.363+3.366*LOG(O1612,10))</f>
        <v>0.31084239358261528</v>
      </c>
      <c r="Q1612" s="8">
        <f>(1599772*100)/1881247</f>
        <v>85.037849894245682</v>
      </c>
    </row>
    <row r="1613" spans="1:17" x14ac:dyDescent="0.2">
      <c r="A1613">
        <v>2015</v>
      </c>
      <c r="B1613" t="s">
        <v>1903</v>
      </c>
      <c r="C1613" t="s">
        <v>1610</v>
      </c>
      <c r="D1613" t="s">
        <v>1686</v>
      </c>
      <c r="E1613">
        <v>7</v>
      </c>
      <c r="F1613" t="s">
        <v>19</v>
      </c>
      <c r="G1613" t="s">
        <v>352</v>
      </c>
      <c r="H1613" t="s">
        <v>1142</v>
      </c>
      <c r="I1613" t="s">
        <v>22</v>
      </c>
      <c r="J1613" t="s">
        <v>42</v>
      </c>
      <c r="K1613" t="s">
        <v>1543</v>
      </c>
      <c r="L1613" t="s">
        <v>25</v>
      </c>
      <c r="M1613" s="8">
        <v>1.1423333330000001</v>
      </c>
      <c r="N1613" t="s">
        <v>26</v>
      </c>
      <c r="O1613" s="8">
        <v>1.1423333330000001</v>
      </c>
      <c r="P1613" s="8">
        <f>EXP(-1.363+3.366*LOG(O1613,10))</f>
        <v>0.31084239358261528</v>
      </c>
      <c r="Q1613" s="8">
        <f>(2475923*100)/2844344</f>
        <v>87.047241824476927</v>
      </c>
    </row>
    <row r="1614" spans="1:17" x14ac:dyDescent="0.2">
      <c r="A1614">
        <v>2015</v>
      </c>
      <c r="B1614" t="s">
        <v>1904</v>
      </c>
      <c r="C1614" t="s">
        <v>1610</v>
      </c>
      <c r="D1614" t="s">
        <v>1694</v>
      </c>
      <c r="E1614">
        <v>4</v>
      </c>
      <c r="F1614" t="s">
        <v>19</v>
      </c>
      <c r="G1614" t="s">
        <v>352</v>
      </c>
      <c r="H1614" t="s">
        <v>1142</v>
      </c>
      <c r="I1614" t="s">
        <v>22</v>
      </c>
      <c r="J1614" t="s">
        <v>42</v>
      </c>
      <c r="K1614" t="s">
        <v>1543</v>
      </c>
      <c r="L1614" t="s">
        <v>25</v>
      </c>
      <c r="M1614" s="8">
        <v>1.1423333330000001</v>
      </c>
      <c r="N1614" t="s">
        <v>26</v>
      </c>
      <c r="O1614" s="8">
        <v>1.1423333330000001</v>
      </c>
      <c r="P1614" s="8">
        <f>EXP(-1.363+3.366*LOG(O1614,10))</f>
        <v>0.31084239358261528</v>
      </c>
      <c r="Q1614" s="8">
        <f>(2475923*100)/2844344</f>
        <v>87.047241824476927</v>
      </c>
    </row>
    <row r="1615" spans="1:17" x14ac:dyDescent="0.2">
      <c r="A1615">
        <v>2015</v>
      </c>
      <c r="B1615" t="s">
        <v>1905</v>
      </c>
      <c r="C1615" t="s">
        <v>1610</v>
      </c>
      <c r="D1615" t="s">
        <v>1801</v>
      </c>
      <c r="E1615">
        <v>6</v>
      </c>
      <c r="F1615" t="s">
        <v>19</v>
      </c>
      <c r="G1615" t="s">
        <v>352</v>
      </c>
      <c r="H1615" t="s">
        <v>1142</v>
      </c>
      <c r="I1615" t="s">
        <v>22</v>
      </c>
      <c r="J1615" t="s">
        <v>42</v>
      </c>
      <c r="K1615" t="s">
        <v>1543</v>
      </c>
      <c r="L1615" t="s">
        <v>25</v>
      </c>
      <c r="M1615" s="8">
        <v>1.1423333330000001</v>
      </c>
      <c r="N1615" t="s">
        <v>26</v>
      </c>
      <c r="O1615" s="8">
        <v>1.1423333330000001</v>
      </c>
      <c r="P1615" s="8">
        <f>EXP(-1.363+3.366*LOG(O1615,10))</f>
        <v>0.31084239358261528</v>
      </c>
      <c r="Q1615" s="8">
        <f>(2475923*100)/2844344</f>
        <v>87.047241824476927</v>
      </c>
    </row>
    <row r="1616" spans="1:17" x14ac:dyDescent="0.2">
      <c r="A1616">
        <v>2015</v>
      </c>
      <c r="B1616" t="s">
        <v>1906</v>
      </c>
      <c r="C1616" t="s">
        <v>1610</v>
      </c>
      <c r="D1616" t="s">
        <v>1801</v>
      </c>
      <c r="E1616">
        <v>6</v>
      </c>
      <c r="F1616" t="s">
        <v>19</v>
      </c>
      <c r="G1616" t="s">
        <v>352</v>
      </c>
      <c r="H1616" t="s">
        <v>1142</v>
      </c>
      <c r="I1616" t="s">
        <v>22</v>
      </c>
      <c r="J1616" t="s">
        <v>42</v>
      </c>
      <c r="K1616" t="s">
        <v>1543</v>
      </c>
      <c r="L1616" t="s">
        <v>25</v>
      </c>
      <c r="M1616" s="8">
        <v>1.1423333330000001</v>
      </c>
      <c r="N1616" t="s">
        <v>26</v>
      </c>
      <c r="O1616" s="8">
        <v>1.1423333330000001</v>
      </c>
      <c r="P1616" s="8">
        <f>EXP(-1.363+3.366*LOG(O1616,10))</f>
        <v>0.31084239358261528</v>
      </c>
      <c r="Q1616" s="8">
        <f>(2475923*100)/2844344</f>
        <v>87.047241824476927</v>
      </c>
    </row>
    <row r="1617" spans="1:17" x14ac:dyDescent="0.2">
      <c r="A1617">
        <v>2015</v>
      </c>
      <c r="B1617" t="s">
        <v>1907</v>
      </c>
      <c r="C1617" t="s">
        <v>1610</v>
      </c>
      <c r="D1617" t="s">
        <v>1801</v>
      </c>
      <c r="E1617">
        <v>6</v>
      </c>
      <c r="F1617" t="s">
        <v>19</v>
      </c>
      <c r="G1617" t="s">
        <v>352</v>
      </c>
      <c r="H1617" t="s">
        <v>1142</v>
      </c>
      <c r="I1617" t="s">
        <v>22</v>
      </c>
      <c r="J1617" t="s">
        <v>42</v>
      </c>
      <c r="K1617" t="s">
        <v>1543</v>
      </c>
      <c r="L1617" t="s">
        <v>25</v>
      </c>
      <c r="M1617" s="8">
        <v>1.1423333330000001</v>
      </c>
      <c r="N1617" t="s">
        <v>26</v>
      </c>
      <c r="O1617" s="8">
        <v>1.1423333330000001</v>
      </c>
      <c r="P1617" s="8">
        <f>EXP(-1.363+3.366*LOG(O1617,10))</f>
        <v>0.31084239358261528</v>
      </c>
      <c r="Q1617" s="8">
        <f>(2475923*100)/2844344</f>
        <v>87.047241824476927</v>
      </c>
    </row>
    <row r="1618" spans="1:17" x14ac:dyDescent="0.2">
      <c r="A1618">
        <v>2015</v>
      </c>
      <c r="B1618" t="s">
        <v>1908</v>
      </c>
      <c r="C1618" t="s">
        <v>1610</v>
      </c>
      <c r="D1618" t="s">
        <v>1801</v>
      </c>
      <c r="E1618">
        <v>6</v>
      </c>
      <c r="F1618" t="s">
        <v>19</v>
      </c>
      <c r="G1618" t="s">
        <v>352</v>
      </c>
      <c r="H1618" t="s">
        <v>1142</v>
      </c>
      <c r="I1618" t="s">
        <v>22</v>
      </c>
      <c r="J1618" t="s">
        <v>42</v>
      </c>
      <c r="K1618" t="s">
        <v>1543</v>
      </c>
      <c r="L1618" t="s">
        <v>25</v>
      </c>
      <c r="M1618" s="8">
        <v>1.1423333330000001</v>
      </c>
      <c r="N1618" t="s">
        <v>26</v>
      </c>
      <c r="O1618" s="8">
        <v>1.1423333330000001</v>
      </c>
      <c r="P1618" s="8">
        <f>EXP(-1.363+3.366*LOG(O1618,10))</f>
        <v>0.31084239358261528</v>
      </c>
      <c r="Q1618" s="8">
        <f>(2475923*100)/2844344</f>
        <v>87.047241824476927</v>
      </c>
    </row>
    <row r="1619" spans="1:17" x14ac:dyDescent="0.2">
      <c r="A1619">
        <v>2015</v>
      </c>
      <c r="B1619" t="s">
        <v>1909</v>
      </c>
      <c r="C1619" t="s">
        <v>1610</v>
      </c>
      <c r="D1619" t="s">
        <v>1801</v>
      </c>
      <c r="E1619">
        <v>6</v>
      </c>
      <c r="F1619" t="s">
        <v>19</v>
      </c>
      <c r="G1619" t="s">
        <v>352</v>
      </c>
      <c r="H1619" t="s">
        <v>1142</v>
      </c>
      <c r="I1619" t="s">
        <v>22</v>
      </c>
      <c r="J1619" t="s">
        <v>42</v>
      </c>
      <c r="K1619" t="s">
        <v>1543</v>
      </c>
      <c r="L1619" t="s">
        <v>25</v>
      </c>
      <c r="M1619" s="8">
        <v>1.1423333330000001</v>
      </c>
      <c r="N1619" t="s">
        <v>26</v>
      </c>
      <c r="O1619" s="8">
        <v>1.1423333330000001</v>
      </c>
      <c r="P1619" s="8">
        <f>EXP(-1.363+3.366*LOG(O1619,10))</f>
        <v>0.31084239358261528</v>
      </c>
      <c r="Q1619" s="8">
        <f>(2475923*100)/2844344</f>
        <v>87.047241824476927</v>
      </c>
    </row>
    <row r="1620" spans="1:17" x14ac:dyDescent="0.2">
      <c r="A1620">
        <v>2015</v>
      </c>
      <c r="B1620" t="s">
        <v>1910</v>
      </c>
      <c r="C1620" t="s">
        <v>1610</v>
      </c>
      <c r="D1620" t="s">
        <v>1715</v>
      </c>
      <c r="E1620">
        <v>7</v>
      </c>
      <c r="F1620" t="s">
        <v>19</v>
      </c>
      <c r="G1620" t="s">
        <v>352</v>
      </c>
      <c r="H1620" t="s">
        <v>1142</v>
      </c>
      <c r="I1620" t="s">
        <v>22</v>
      </c>
      <c r="J1620" t="s">
        <v>42</v>
      </c>
      <c r="K1620" t="s">
        <v>1543</v>
      </c>
      <c r="L1620" t="s">
        <v>25</v>
      </c>
      <c r="M1620" s="8">
        <v>1.1423333330000001</v>
      </c>
      <c r="N1620" t="s">
        <v>26</v>
      </c>
      <c r="O1620" s="8">
        <v>1.1423333330000001</v>
      </c>
      <c r="P1620" s="8">
        <f>EXP(-1.363+3.366*LOG(O1620,10))</f>
        <v>0.31084239358261528</v>
      </c>
      <c r="Q1620" s="8">
        <f>(2475923*100)/2844344</f>
        <v>87.047241824476927</v>
      </c>
    </row>
    <row r="1621" spans="1:17" x14ac:dyDescent="0.2">
      <c r="A1621">
        <v>2015</v>
      </c>
      <c r="B1621" t="s">
        <v>1911</v>
      </c>
      <c r="C1621" t="s">
        <v>1552</v>
      </c>
      <c r="D1621" t="s">
        <v>1715</v>
      </c>
      <c r="E1621">
        <v>7</v>
      </c>
      <c r="F1621" t="s">
        <v>19</v>
      </c>
      <c r="G1621" t="s">
        <v>352</v>
      </c>
      <c r="H1621" t="s">
        <v>1142</v>
      </c>
      <c r="I1621" t="s">
        <v>22</v>
      </c>
      <c r="J1621" t="s">
        <v>42</v>
      </c>
      <c r="K1621" t="s">
        <v>1543</v>
      </c>
      <c r="L1621" t="s">
        <v>25</v>
      </c>
      <c r="M1621" s="8">
        <v>1.1423333330000001</v>
      </c>
      <c r="N1621" t="s">
        <v>26</v>
      </c>
      <c r="O1621" s="8">
        <v>1.1423333330000001</v>
      </c>
      <c r="P1621" s="8">
        <f>EXP(-1.363+3.366*LOG(O1621,10))</f>
        <v>0.31084239358261528</v>
      </c>
      <c r="Q1621" s="8">
        <f>(3738946*100)/3915493</f>
        <v>95.491065875995687</v>
      </c>
    </row>
    <row r="1622" spans="1:17" x14ac:dyDescent="0.2">
      <c r="A1622">
        <v>2015</v>
      </c>
      <c r="B1622" t="s">
        <v>1912</v>
      </c>
      <c r="C1622" t="s">
        <v>1635</v>
      </c>
      <c r="D1622" t="s">
        <v>1706</v>
      </c>
      <c r="E1622">
        <v>6</v>
      </c>
      <c r="F1622" t="s">
        <v>19</v>
      </c>
      <c r="G1622" t="s">
        <v>352</v>
      </c>
      <c r="H1622" t="s">
        <v>1142</v>
      </c>
      <c r="I1622" t="s">
        <v>22</v>
      </c>
      <c r="J1622" t="s">
        <v>42</v>
      </c>
      <c r="K1622" t="s">
        <v>1543</v>
      </c>
      <c r="L1622" t="s">
        <v>25</v>
      </c>
      <c r="M1622" s="8">
        <v>1.1423333330000001</v>
      </c>
      <c r="N1622" t="s">
        <v>26</v>
      </c>
      <c r="O1622" s="8">
        <v>1.1423333330000001</v>
      </c>
      <c r="P1622" s="8">
        <f>EXP(-1.363+3.366*LOG(O1622,10))</f>
        <v>0.31084239358261528</v>
      </c>
      <c r="Q1622" s="8">
        <f>(3602085*100)/4019599</f>
        <v>89.613043490159086</v>
      </c>
    </row>
    <row r="1623" spans="1:17" x14ac:dyDescent="0.2">
      <c r="A1623">
        <v>2015</v>
      </c>
      <c r="B1623" t="s">
        <v>1913</v>
      </c>
      <c r="C1623" t="s">
        <v>1635</v>
      </c>
      <c r="D1623" t="s">
        <v>1694</v>
      </c>
      <c r="E1623">
        <v>4</v>
      </c>
      <c r="F1623" t="s">
        <v>19</v>
      </c>
      <c r="G1623" t="s">
        <v>352</v>
      </c>
      <c r="H1623" t="s">
        <v>1142</v>
      </c>
      <c r="I1623" t="s">
        <v>22</v>
      </c>
      <c r="J1623" t="s">
        <v>42</v>
      </c>
      <c r="K1623" t="s">
        <v>1543</v>
      </c>
      <c r="L1623" t="s">
        <v>25</v>
      </c>
      <c r="M1623" s="8">
        <v>1.1423333330000001</v>
      </c>
      <c r="N1623" t="s">
        <v>26</v>
      </c>
      <c r="O1623" s="8">
        <v>1.1423333330000001</v>
      </c>
      <c r="P1623" s="8">
        <f>EXP(-1.363+3.366*LOG(O1623,10))</f>
        <v>0.31084239358261528</v>
      </c>
      <c r="Q1623" s="8">
        <f>(3602085*100)/4019599</f>
        <v>89.613043490159086</v>
      </c>
    </row>
    <row r="1624" spans="1:17" x14ac:dyDescent="0.2">
      <c r="A1624">
        <v>2015</v>
      </c>
      <c r="B1624" t="s">
        <v>1914</v>
      </c>
      <c r="C1624" t="s">
        <v>1540</v>
      </c>
      <c r="D1624" t="s">
        <v>1717</v>
      </c>
      <c r="E1624">
        <v>4</v>
      </c>
      <c r="F1624" t="s">
        <v>19</v>
      </c>
      <c r="G1624" t="s">
        <v>352</v>
      </c>
      <c r="H1624" t="s">
        <v>353</v>
      </c>
      <c r="I1624" t="s">
        <v>22</v>
      </c>
      <c r="J1624" t="s">
        <v>42</v>
      </c>
      <c r="K1624" t="s">
        <v>1543</v>
      </c>
      <c r="L1624" t="s">
        <v>25</v>
      </c>
      <c r="M1624" s="8">
        <v>1.1623333330000001</v>
      </c>
      <c r="N1624" t="s">
        <v>26</v>
      </c>
      <c r="O1624" s="8">
        <v>1.1623333330000001</v>
      </c>
      <c r="P1624" s="8">
        <f>EXP(-1.363+3.366*LOG(O1624,10))</f>
        <v>0.31883010989102206</v>
      </c>
      <c r="Q1624" s="8">
        <f>(2618262*100)/2995732</f>
        <v>87.399740697766021</v>
      </c>
    </row>
    <row r="1625" spans="1:17" x14ac:dyDescent="0.2">
      <c r="A1625">
        <v>2015</v>
      </c>
      <c r="B1625" t="s">
        <v>1915</v>
      </c>
      <c r="C1625" t="s">
        <v>1690</v>
      </c>
      <c r="D1625" t="s">
        <v>1724</v>
      </c>
      <c r="E1625">
        <v>5</v>
      </c>
      <c r="F1625" t="s">
        <v>19</v>
      </c>
      <c r="G1625" t="s">
        <v>352</v>
      </c>
      <c r="H1625" t="s">
        <v>1344</v>
      </c>
      <c r="I1625" t="s">
        <v>22</v>
      </c>
      <c r="J1625" t="s">
        <v>42</v>
      </c>
      <c r="K1625" t="s">
        <v>1543</v>
      </c>
      <c r="L1625" t="s">
        <v>25</v>
      </c>
      <c r="M1625" s="8">
        <v>0.91800000000000004</v>
      </c>
      <c r="N1625" t="s">
        <v>26</v>
      </c>
      <c r="O1625" s="8">
        <v>0.91800000000000004</v>
      </c>
      <c r="P1625" s="8">
        <f>EXP(-1.363+3.366*LOG(O1625,10))</f>
        <v>0.22580769814771504</v>
      </c>
      <c r="Q1625" s="8">
        <f>(2640118*100)/3023471</f>
        <v>87.320764776642477</v>
      </c>
    </row>
    <row r="1626" spans="1:17" x14ac:dyDescent="0.2">
      <c r="A1626">
        <v>2015</v>
      </c>
      <c r="B1626" t="s">
        <v>1916</v>
      </c>
      <c r="C1626" t="s">
        <v>1610</v>
      </c>
      <c r="D1626" t="s">
        <v>1801</v>
      </c>
      <c r="E1626">
        <v>6</v>
      </c>
      <c r="F1626" t="s">
        <v>19</v>
      </c>
      <c r="G1626" t="s">
        <v>352</v>
      </c>
      <c r="H1626" t="s">
        <v>1671</v>
      </c>
      <c r="I1626" t="s">
        <v>26</v>
      </c>
      <c r="J1626" t="s">
        <v>42</v>
      </c>
      <c r="K1626" t="s">
        <v>1543</v>
      </c>
      <c r="L1626" t="s">
        <v>25</v>
      </c>
      <c r="M1626" s="8" t="s">
        <v>26</v>
      </c>
      <c r="N1626" t="s">
        <v>26</v>
      </c>
      <c r="O1626" s="8" t="s">
        <v>26</v>
      </c>
      <c r="P1626" s="8" t="s">
        <v>26</v>
      </c>
      <c r="Q1626" s="8">
        <f>(2475923*100)/2844344</f>
        <v>87.047241824476927</v>
      </c>
    </row>
    <row r="1627" spans="1:17" x14ac:dyDescent="0.2">
      <c r="A1627">
        <v>2015</v>
      </c>
      <c r="B1627" t="s">
        <v>1917</v>
      </c>
      <c r="C1627" t="s">
        <v>1552</v>
      </c>
      <c r="D1627" t="s">
        <v>1706</v>
      </c>
      <c r="E1627">
        <v>6</v>
      </c>
      <c r="F1627" t="s">
        <v>19</v>
      </c>
      <c r="G1627" t="s">
        <v>352</v>
      </c>
      <c r="H1627" t="s">
        <v>1671</v>
      </c>
      <c r="I1627" t="s">
        <v>26</v>
      </c>
      <c r="J1627" t="s">
        <v>42</v>
      </c>
      <c r="K1627" t="s">
        <v>1543</v>
      </c>
      <c r="L1627" t="s">
        <v>25</v>
      </c>
      <c r="M1627" s="8" t="s">
        <v>26</v>
      </c>
      <c r="N1627" t="s">
        <v>26</v>
      </c>
      <c r="O1627" s="8" t="s">
        <v>26</v>
      </c>
      <c r="P1627" s="8" t="s">
        <v>26</v>
      </c>
      <c r="Q1627" s="8">
        <f>(3738946*100)/3915493</f>
        <v>95.491065875995687</v>
      </c>
    </row>
    <row r="1628" spans="1:17" x14ac:dyDescent="0.2">
      <c r="A1628">
        <v>2015</v>
      </c>
      <c r="B1628" t="s">
        <v>1918</v>
      </c>
      <c r="C1628" t="s">
        <v>1540</v>
      </c>
      <c r="D1628" t="s">
        <v>1708</v>
      </c>
      <c r="E1628">
        <v>6</v>
      </c>
      <c r="F1628" t="s">
        <v>19</v>
      </c>
      <c r="G1628" t="s">
        <v>352</v>
      </c>
      <c r="H1628" t="s">
        <v>447</v>
      </c>
      <c r="I1628" t="s">
        <v>22</v>
      </c>
      <c r="J1628" t="s">
        <v>42</v>
      </c>
      <c r="K1628" t="s">
        <v>1543</v>
      </c>
      <c r="L1628" t="s">
        <v>25</v>
      </c>
      <c r="M1628" s="8">
        <v>1.421</v>
      </c>
      <c r="N1628" t="s">
        <v>26</v>
      </c>
      <c r="O1628" s="8">
        <v>1.421</v>
      </c>
      <c r="P1628" s="8">
        <f>EXP(-1.363+3.366*LOG(O1628,10))</f>
        <v>0.42768500084673816</v>
      </c>
      <c r="Q1628" s="8">
        <f>(2618262*100)/2995732</f>
        <v>87.399740697766021</v>
      </c>
    </row>
    <row r="1629" spans="1:17" x14ac:dyDescent="0.2">
      <c r="A1629">
        <v>2015</v>
      </c>
      <c r="B1629" t="s">
        <v>1919</v>
      </c>
      <c r="C1629" t="s">
        <v>1540</v>
      </c>
      <c r="D1629" t="s">
        <v>1708</v>
      </c>
      <c r="E1629">
        <v>6</v>
      </c>
      <c r="F1629" t="s">
        <v>19</v>
      </c>
      <c r="G1629" t="s">
        <v>1520</v>
      </c>
      <c r="H1629" t="s">
        <v>1521</v>
      </c>
      <c r="I1629" t="s">
        <v>36</v>
      </c>
      <c r="J1629" t="s">
        <v>42</v>
      </c>
      <c r="K1629" t="s">
        <v>1543</v>
      </c>
      <c r="L1629" t="s">
        <v>25</v>
      </c>
      <c r="M1629" s="8">
        <v>2.3340000000000001</v>
      </c>
      <c r="N1629" t="s">
        <v>26</v>
      </c>
      <c r="O1629" s="8">
        <v>2.3340000000000001</v>
      </c>
      <c r="P1629" s="8">
        <f>EXP(-1.363+3.366*LOG(O1629,10))</f>
        <v>0.88340410488080767</v>
      </c>
      <c r="Q1629" s="8">
        <f>(2618262*100)/2995732</f>
        <v>87.399740697766021</v>
      </c>
    </row>
    <row r="1630" spans="1:17" x14ac:dyDescent="0.2">
      <c r="A1630">
        <v>2015</v>
      </c>
      <c r="B1630" t="s">
        <v>1920</v>
      </c>
      <c r="C1630" t="s">
        <v>1547</v>
      </c>
      <c r="D1630" t="s">
        <v>1688</v>
      </c>
      <c r="E1630">
        <v>6</v>
      </c>
      <c r="F1630" t="s">
        <v>19</v>
      </c>
      <c r="G1630" t="s">
        <v>1520</v>
      </c>
      <c r="H1630" t="s">
        <v>1521</v>
      </c>
      <c r="I1630" t="s">
        <v>36</v>
      </c>
      <c r="J1630" t="s">
        <v>42</v>
      </c>
      <c r="K1630" t="s">
        <v>1543</v>
      </c>
      <c r="L1630" t="s">
        <v>25</v>
      </c>
      <c r="M1630" s="8">
        <v>2.3340000000000001</v>
      </c>
      <c r="N1630" t="s">
        <v>26</v>
      </c>
      <c r="O1630" s="8">
        <v>2.3340000000000001</v>
      </c>
      <c r="P1630" s="8">
        <f>EXP(-1.363+3.366*LOG(O1630,10))</f>
        <v>0.88340410488080767</v>
      </c>
      <c r="Q1630" s="8">
        <f>(3881584*100)/4292409</f>
        <v>90.429034139104644</v>
      </c>
    </row>
    <row r="1631" spans="1:17" x14ac:dyDescent="0.2">
      <c r="A1631">
        <v>2015</v>
      </c>
      <c r="B1631" t="s">
        <v>1921</v>
      </c>
      <c r="C1631" t="s">
        <v>1540</v>
      </c>
      <c r="D1631" t="s">
        <v>1686</v>
      </c>
      <c r="E1631">
        <v>7</v>
      </c>
      <c r="F1631" t="s">
        <v>19</v>
      </c>
      <c r="G1631" t="s">
        <v>1520</v>
      </c>
      <c r="H1631" t="s">
        <v>1922</v>
      </c>
      <c r="I1631" t="s">
        <v>22</v>
      </c>
      <c r="J1631" t="s">
        <v>42</v>
      </c>
      <c r="K1631" t="s">
        <v>1543</v>
      </c>
      <c r="L1631" t="s">
        <v>25</v>
      </c>
      <c r="M1631" s="8" t="s">
        <v>26</v>
      </c>
      <c r="N1631" t="s">
        <v>26</v>
      </c>
      <c r="O1631" s="8" t="s">
        <v>26</v>
      </c>
      <c r="P1631" s="8" t="s">
        <v>26</v>
      </c>
      <c r="Q1631" s="8">
        <f>(2618262*100)/2995732</f>
        <v>87.399740697766021</v>
      </c>
    </row>
    <row r="1632" spans="1:17" x14ac:dyDescent="0.2">
      <c r="A1632">
        <v>2015</v>
      </c>
      <c r="B1632" t="s">
        <v>1923</v>
      </c>
      <c r="C1632" t="s">
        <v>1540</v>
      </c>
      <c r="D1632" t="s">
        <v>1686</v>
      </c>
      <c r="E1632">
        <v>7</v>
      </c>
      <c r="F1632" t="s">
        <v>19</v>
      </c>
      <c r="G1632" t="s">
        <v>1520</v>
      </c>
      <c r="H1632" t="s">
        <v>1922</v>
      </c>
      <c r="I1632" t="s">
        <v>36</v>
      </c>
      <c r="J1632" t="s">
        <v>42</v>
      </c>
      <c r="K1632" t="s">
        <v>1543</v>
      </c>
      <c r="L1632" t="s">
        <v>25</v>
      </c>
      <c r="M1632" s="8" t="s">
        <v>26</v>
      </c>
      <c r="N1632" t="s">
        <v>26</v>
      </c>
      <c r="O1632" s="8" t="s">
        <v>26</v>
      </c>
      <c r="P1632" s="8" t="s">
        <v>26</v>
      </c>
      <c r="Q1632" s="8">
        <f>(2618262*100)/2995732</f>
        <v>87.399740697766021</v>
      </c>
    </row>
    <row r="1633" spans="1:17" x14ac:dyDescent="0.2">
      <c r="A1633">
        <v>2015</v>
      </c>
      <c r="B1633" t="s">
        <v>1924</v>
      </c>
      <c r="C1633" t="s">
        <v>1540</v>
      </c>
      <c r="D1633" t="s">
        <v>1686</v>
      </c>
      <c r="E1633">
        <v>7</v>
      </c>
      <c r="F1633" t="s">
        <v>19</v>
      </c>
      <c r="G1633" t="s">
        <v>1520</v>
      </c>
      <c r="H1633" t="s">
        <v>1925</v>
      </c>
      <c r="I1633" t="s">
        <v>36</v>
      </c>
      <c r="J1633" t="s">
        <v>42</v>
      </c>
      <c r="K1633" t="s">
        <v>1543</v>
      </c>
      <c r="L1633" t="s">
        <v>25</v>
      </c>
      <c r="M1633" s="8">
        <v>2.1076666670000002</v>
      </c>
      <c r="N1633" t="s">
        <v>26</v>
      </c>
      <c r="O1633" s="8">
        <v>2.1076666670000002</v>
      </c>
      <c r="P1633" s="8">
        <f>EXP(-1.363+3.366*LOG(O1633,10))</f>
        <v>0.76102983783378542</v>
      </c>
      <c r="Q1633" s="8">
        <f>(2618262*100)/2995732</f>
        <v>87.399740697766021</v>
      </c>
    </row>
    <row r="1634" spans="1:17" x14ac:dyDescent="0.2">
      <c r="A1634">
        <v>2015</v>
      </c>
      <c r="B1634" t="s">
        <v>1926</v>
      </c>
      <c r="C1634" t="s">
        <v>1547</v>
      </c>
      <c r="D1634" t="s">
        <v>1708</v>
      </c>
      <c r="E1634">
        <v>6</v>
      </c>
      <c r="F1634" t="s">
        <v>19</v>
      </c>
      <c r="G1634" t="s">
        <v>1520</v>
      </c>
      <c r="H1634" t="s">
        <v>1925</v>
      </c>
      <c r="I1634" t="s">
        <v>36</v>
      </c>
      <c r="J1634" t="s">
        <v>42</v>
      </c>
      <c r="K1634" t="s">
        <v>1543</v>
      </c>
      <c r="L1634" t="s">
        <v>25</v>
      </c>
      <c r="M1634" s="8">
        <v>2.1076666670000002</v>
      </c>
      <c r="N1634" t="s">
        <v>26</v>
      </c>
      <c r="O1634" s="8">
        <v>2.1076666670000002</v>
      </c>
      <c r="P1634" s="8">
        <f>EXP(-1.363+3.366*LOG(O1634,10))</f>
        <v>0.76102983783378542</v>
      </c>
      <c r="Q1634" s="8">
        <f>(3881584*100)/4292409</f>
        <v>90.429034139104644</v>
      </c>
    </row>
    <row r="1635" spans="1:17" x14ac:dyDescent="0.2">
      <c r="A1635">
        <v>2015</v>
      </c>
      <c r="B1635" t="s">
        <v>1927</v>
      </c>
      <c r="C1635" t="s">
        <v>1540</v>
      </c>
      <c r="D1635" t="s">
        <v>1688</v>
      </c>
      <c r="E1635">
        <v>6</v>
      </c>
      <c r="F1635" t="s">
        <v>19</v>
      </c>
      <c r="G1635" t="s">
        <v>1520</v>
      </c>
      <c r="H1635" t="s">
        <v>1528</v>
      </c>
      <c r="I1635" t="s">
        <v>36</v>
      </c>
      <c r="J1635" t="s">
        <v>42</v>
      </c>
      <c r="K1635" t="s">
        <v>1543</v>
      </c>
      <c r="L1635" t="s">
        <v>25</v>
      </c>
      <c r="M1635" s="8">
        <v>3.3860000000000001</v>
      </c>
      <c r="N1635" t="s">
        <v>26</v>
      </c>
      <c r="O1635" s="8">
        <v>3.3860000000000001</v>
      </c>
      <c r="P1635" s="8">
        <f>EXP(-1.363+3.366*LOG(O1635,10))</f>
        <v>1.5218493704875904</v>
      </c>
      <c r="Q1635" s="8">
        <f>(2618262*100)/2995732</f>
        <v>87.399740697766021</v>
      </c>
    </row>
    <row r="1636" spans="1:17" x14ac:dyDescent="0.2">
      <c r="A1636">
        <v>2015</v>
      </c>
      <c r="B1636" t="s">
        <v>1928</v>
      </c>
      <c r="C1636" t="s">
        <v>1540</v>
      </c>
      <c r="D1636" t="s">
        <v>1726</v>
      </c>
      <c r="E1636">
        <v>6</v>
      </c>
      <c r="F1636" t="s">
        <v>19</v>
      </c>
      <c r="G1636" t="s">
        <v>1520</v>
      </c>
      <c r="H1636" t="s">
        <v>1528</v>
      </c>
      <c r="I1636" t="s">
        <v>36</v>
      </c>
      <c r="J1636" t="s">
        <v>42</v>
      </c>
      <c r="K1636" t="s">
        <v>1543</v>
      </c>
      <c r="L1636" t="s">
        <v>25</v>
      </c>
      <c r="M1636" s="8">
        <v>3.3860000000000001</v>
      </c>
      <c r="N1636" t="s">
        <v>26</v>
      </c>
      <c r="O1636" s="8">
        <v>3.3860000000000001</v>
      </c>
      <c r="P1636" s="8">
        <f>EXP(-1.363+3.366*LOG(O1636,10))</f>
        <v>1.5218493704875904</v>
      </c>
      <c r="Q1636" s="8">
        <f>(2618262*100)/2995732</f>
        <v>87.399740697766021</v>
      </c>
    </row>
    <row r="1637" spans="1:17" x14ac:dyDescent="0.2">
      <c r="A1637">
        <v>2015</v>
      </c>
      <c r="B1637" t="s">
        <v>1929</v>
      </c>
      <c r="C1637" t="s">
        <v>1690</v>
      </c>
      <c r="D1637" t="s">
        <v>1701</v>
      </c>
      <c r="E1637">
        <v>5</v>
      </c>
      <c r="F1637" t="s">
        <v>19</v>
      </c>
      <c r="G1637" t="s">
        <v>1520</v>
      </c>
      <c r="H1637" t="s">
        <v>1528</v>
      </c>
      <c r="I1637" t="s">
        <v>36</v>
      </c>
      <c r="J1637" t="s">
        <v>42</v>
      </c>
      <c r="K1637" t="s">
        <v>1543</v>
      </c>
      <c r="L1637" t="s">
        <v>25</v>
      </c>
      <c r="M1637" s="8">
        <v>3.3860000000000001</v>
      </c>
      <c r="N1637" t="s">
        <v>26</v>
      </c>
      <c r="O1637" s="8">
        <v>3.3860000000000001</v>
      </c>
      <c r="P1637" s="8">
        <f>EXP(-1.363+3.366*LOG(O1637,10))</f>
        <v>1.5218493704875904</v>
      </c>
      <c r="Q1637" s="8">
        <f>(2640118*100)/3023471</f>
        <v>87.320764776642477</v>
      </c>
    </row>
    <row r="1638" spans="1:17" x14ac:dyDescent="0.2">
      <c r="A1638">
        <v>2015</v>
      </c>
      <c r="B1638" t="s">
        <v>1930</v>
      </c>
      <c r="C1638" t="s">
        <v>1540</v>
      </c>
      <c r="D1638" t="s">
        <v>1724</v>
      </c>
      <c r="E1638">
        <v>5</v>
      </c>
      <c r="F1638" t="s">
        <v>19</v>
      </c>
      <c r="G1638" t="s">
        <v>303</v>
      </c>
      <c r="H1638" t="s">
        <v>1931</v>
      </c>
      <c r="I1638" t="s">
        <v>36</v>
      </c>
      <c r="J1638" t="s">
        <v>42</v>
      </c>
      <c r="K1638" t="s">
        <v>1543</v>
      </c>
      <c r="L1638" t="s">
        <v>305</v>
      </c>
      <c r="M1638" s="8">
        <v>1.3434999999999999</v>
      </c>
      <c r="N1638" t="s">
        <v>26</v>
      </c>
      <c r="O1638" s="8">
        <v>1.3434999999999999</v>
      </c>
      <c r="P1638" s="8">
        <f>EXP(-1.363+3.366*LOG(O1638,10))</f>
        <v>0.3940206341206498</v>
      </c>
      <c r="Q1638" s="8">
        <f>(2618262*100)/2995732</f>
        <v>87.399740697766021</v>
      </c>
    </row>
    <row r="1639" spans="1:17" x14ac:dyDescent="0.2">
      <c r="A1639">
        <v>2015</v>
      </c>
      <c r="B1639" t="s">
        <v>1932</v>
      </c>
      <c r="C1639" t="s">
        <v>1540</v>
      </c>
      <c r="D1639" t="s">
        <v>1682</v>
      </c>
      <c r="E1639">
        <v>4</v>
      </c>
      <c r="F1639" t="s">
        <v>19</v>
      </c>
      <c r="G1639" t="s">
        <v>303</v>
      </c>
      <c r="H1639" t="s">
        <v>1931</v>
      </c>
      <c r="I1639" t="s">
        <v>22</v>
      </c>
      <c r="J1639" t="s">
        <v>42</v>
      </c>
      <c r="K1639" t="s">
        <v>1543</v>
      </c>
      <c r="L1639" t="s">
        <v>305</v>
      </c>
      <c r="M1639" s="8">
        <v>1.4026666670000001</v>
      </c>
      <c r="N1639" t="s">
        <v>26</v>
      </c>
      <c r="O1639" s="8">
        <v>1.4026666670000001</v>
      </c>
      <c r="P1639" s="8">
        <f>EXP(-1.363+3.366*LOG(O1639,10))</f>
        <v>0.41964287291404917</v>
      </c>
      <c r="Q1639" s="8">
        <f>(2618262*100)/2995732</f>
        <v>87.399740697766021</v>
      </c>
    </row>
    <row r="1640" spans="1:17" x14ac:dyDescent="0.2">
      <c r="A1640">
        <v>2015</v>
      </c>
      <c r="B1640" t="s">
        <v>1933</v>
      </c>
      <c r="C1640" t="s">
        <v>1540</v>
      </c>
      <c r="D1640" t="s">
        <v>1682</v>
      </c>
      <c r="E1640">
        <v>4</v>
      </c>
      <c r="F1640" t="s">
        <v>19</v>
      </c>
      <c r="G1640" t="s">
        <v>303</v>
      </c>
      <c r="H1640" t="s">
        <v>1931</v>
      </c>
      <c r="I1640" t="s">
        <v>22</v>
      </c>
      <c r="J1640" t="s">
        <v>42</v>
      </c>
      <c r="K1640" t="s">
        <v>1543</v>
      </c>
      <c r="L1640" t="s">
        <v>305</v>
      </c>
      <c r="M1640" s="8">
        <v>1.4026666670000001</v>
      </c>
      <c r="N1640" t="s">
        <v>26</v>
      </c>
      <c r="O1640" s="8">
        <v>1.4026666670000001</v>
      </c>
      <c r="P1640" s="8">
        <f>EXP(-1.363+3.366*LOG(O1640,10))</f>
        <v>0.41964287291404917</v>
      </c>
      <c r="Q1640" s="8">
        <f>(2618262*100)/2995732</f>
        <v>87.399740697766021</v>
      </c>
    </row>
    <row r="1641" spans="1:17" x14ac:dyDescent="0.2">
      <c r="A1641">
        <v>2015</v>
      </c>
      <c r="B1641" t="s">
        <v>1934</v>
      </c>
      <c r="C1641" t="s">
        <v>1635</v>
      </c>
      <c r="D1641" t="s">
        <v>1682</v>
      </c>
      <c r="E1641">
        <v>4</v>
      </c>
      <c r="F1641" t="s">
        <v>19</v>
      </c>
      <c r="G1641" t="s">
        <v>303</v>
      </c>
      <c r="H1641" t="s">
        <v>1931</v>
      </c>
      <c r="I1641" t="s">
        <v>22</v>
      </c>
      <c r="J1641" t="s">
        <v>42</v>
      </c>
      <c r="K1641" t="s">
        <v>1543</v>
      </c>
      <c r="L1641" t="s">
        <v>305</v>
      </c>
      <c r="M1641" s="8">
        <v>1.4026666670000001</v>
      </c>
      <c r="N1641" t="s">
        <v>26</v>
      </c>
      <c r="O1641" s="8">
        <v>1.4026666670000001</v>
      </c>
      <c r="P1641" s="8">
        <f>EXP(-1.363+3.366*LOG(O1641,10))</f>
        <v>0.41964287291404917</v>
      </c>
      <c r="Q1641" s="8">
        <f>(3602085*100)/4019599</f>
        <v>89.613043490159086</v>
      </c>
    </row>
    <row r="1642" spans="1:17" x14ac:dyDescent="0.2">
      <c r="A1642">
        <v>2015</v>
      </c>
      <c r="B1642" t="s">
        <v>1935</v>
      </c>
      <c r="C1642" t="s">
        <v>1540</v>
      </c>
      <c r="D1642" t="s">
        <v>1682</v>
      </c>
      <c r="E1642">
        <v>4</v>
      </c>
      <c r="F1642" t="s">
        <v>19</v>
      </c>
      <c r="G1642" t="s">
        <v>303</v>
      </c>
      <c r="H1642" t="s">
        <v>307</v>
      </c>
      <c r="I1642" t="s">
        <v>22</v>
      </c>
      <c r="J1642" t="s">
        <v>42</v>
      </c>
      <c r="K1642" t="s">
        <v>1543</v>
      </c>
      <c r="L1642" t="s">
        <v>305</v>
      </c>
      <c r="M1642" s="8">
        <v>1.1000000000000001</v>
      </c>
      <c r="N1642" t="s">
        <v>26</v>
      </c>
      <c r="O1642" s="8">
        <v>1.1000000000000001</v>
      </c>
      <c r="P1642" s="8">
        <f>EXP(-1.363+3.366*LOG(O1642,10))</f>
        <v>0.29414800446794787</v>
      </c>
      <c r="Q1642" s="8">
        <f>(2618262*100)/2995732</f>
        <v>87.399740697766021</v>
      </c>
    </row>
    <row r="1643" spans="1:17" x14ac:dyDescent="0.2">
      <c r="A1643">
        <v>2015</v>
      </c>
      <c r="B1643" t="s">
        <v>1936</v>
      </c>
      <c r="C1643" t="s">
        <v>1635</v>
      </c>
      <c r="D1643" t="s">
        <v>1682</v>
      </c>
      <c r="E1643">
        <v>4</v>
      </c>
      <c r="F1643" t="s">
        <v>19</v>
      </c>
      <c r="G1643" t="s">
        <v>303</v>
      </c>
      <c r="H1643" t="s">
        <v>307</v>
      </c>
      <c r="I1643" t="s">
        <v>36</v>
      </c>
      <c r="J1643" t="s">
        <v>42</v>
      </c>
      <c r="K1643" t="s">
        <v>1543</v>
      </c>
      <c r="L1643" t="s">
        <v>305</v>
      </c>
      <c r="M1643" s="8">
        <v>1.01</v>
      </c>
      <c r="N1643" t="s">
        <v>26</v>
      </c>
      <c r="O1643" s="8">
        <v>1.01</v>
      </c>
      <c r="P1643" s="8">
        <f>EXP(-1.363+3.366*LOG(O1643,10))</f>
        <v>0.25964128962709732</v>
      </c>
      <c r="Q1643" s="8">
        <f>(3602085*100)/4019599</f>
        <v>89.613043490159086</v>
      </c>
    </row>
    <row r="1644" spans="1:17" x14ac:dyDescent="0.2">
      <c r="A1644">
        <v>2015</v>
      </c>
      <c r="B1644" t="s">
        <v>1937</v>
      </c>
      <c r="C1644" t="s">
        <v>1547</v>
      </c>
      <c r="D1644" t="s">
        <v>1694</v>
      </c>
      <c r="E1644">
        <v>4</v>
      </c>
      <c r="F1644" t="s">
        <v>19</v>
      </c>
      <c r="G1644" t="s">
        <v>303</v>
      </c>
      <c r="H1644" t="s">
        <v>1938</v>
      </c>
      <c r="I1644" t="s">
        <v>26</v>
      </c>
      <c r="J1644" t="s">
        <v>42</v>
      </c>
      <c r="K1644" t="s">
        <v>1543</v>
      </c>
      <c r="L1644" t="s">
        <v>305</v>
      </c>
      <c r="M1644" s="8" t="s">
        <v>26</v>
      </c>
      <c r="N1644" t="s">
        <v>26</v>
      </c>
      <c r="O1644" s="8" t="s">
        <v>26</v>
      </c>
      <c r="P1644" s="8" t="s">
        <v>26</v>
      </c>
      <c r="Q1644" s="8">
        <f>(3881584*100)/4292409</f>
        <v>90.429034139104644</v>
      </c>
    </row>
    <row r="1645" spans="1:17" x14ac:dyDescent="0.2">
      <c r="A1645" s="6">
        <v>2015</v>
      </c>
      <c r="B1645" s="6" t="s">
        <v>1939</v>
      </c>
      <c r="C1645" s="6" t="s">
        <v>1635</v>
      </c>
      <c r="D1645" s="6" t="s">
        <v>1715</v>
      </c>
      <c r="E1645" s="6">
        <v>7</v>
      </c>
      <c r="F1645" s="6" t="s">
        <v>19</v>
      </c>
      <c r="G1645" s="6" t="s">
        <v>1940</v>
      </c>
      <c r="H1645" s="6" t="s">
        <v>1941</v>
      </c>
      <c r="I1645" s="6" t="s">
        <v>36</v>
      </c>
      <c r="J1645" s="6" t="s">
        <v>42</v>
      </c>
      <c r="K1645" s="6" t="s">
        <v>1543</v>
      </c>
      <c r="L1645" s="6" t="s">
        <v>187</v>
      </c>
      <c r="M1645" s="9">
        <v>1.9430000000000001</v>
      </c>
      <c r="N1645" s="6" t="s">
        <v>26</v>
      </c>
      <c r="O1645" s="9">
        <v>1.9430000000000001</v>
      </c>
      <c r="P1645" s="9">
        <f>EXP(-1.363+3.366*LOG(O1645,10))</f>
        <v>0.67570374017396273</v>
      </c>
      <c r="Q1645" s="8">
        <f>(3602085*100)/4019599</f>
        <v>89.613043490159086</v>
      </c>
    </row>
    <row r="1646" spans="1:17" x14ac:dyDescent="0.2">
      <c r="A1646" s="6">
        <v>2015</v>
      </c>
      <c r="B1646" s="6" t="s">
        <v>1942</v>
      </c>
      <c r="C1646" s="6" t="s">
        <v>1635</v>
      </c>
      <c r="D1646" s="6" t="s">
        <v>1719</v>
      </c>
      <c r="E1646" s="6">
        <v>6</v>
      </c>
      <c r="F1646" s="6" t="s">
        <v>19</v>
      </c>
      <c r="G1646" s="6" t="s">
        <v>1940</v>
      </c>
      <c r="H1646" s="6" t="s">
        <v>1941</v>
      </c>
      <c r="I1646" s="6" t="s">
        <v>36</v>
      </c>
      <c r="J1646" s="6" t="s">
        <v>42</v>
      </c>
      <c r="K1646" s="6" t="s">
        <v>1543</v>
      </c>
      <c r="L1646" s="6" t="s">
        <v>187</v>
      </c>
      <c r="M1646" s="9">
        <v>1.9430000000000001</v>
      </c>
      <c r="N1646" s="6" t="s">
        <v>26</v>
      </c>
      <c r="O1646" s="9">
        <v>1.9430000000000001</v>
      </c>
      <c r="P1646" s="9">
        <f>EXP(-1.363+3.366*LOG(O1646,10))</f>
        <v>0.67570374017396273</v>
      </c>
      <c r="Q1646" s="8">
        <f>(3602085*100)/4019599</f>
        <v>89.613043490159086</v>
      </c>
    </row>
    <row r="1647" spans="1:17" x14ac:dyDescent="0.2">
      <c r="A1647">
        <v>2015</v>
      </c>
      <c r="B1647" t="s">
        <v>1943</v>
      </c>
      <c r="C1647" t="s">
        <v>1540</v>
      </c>
      <c r="D1647" t="s">
        <v>1719</v>
      </c>
      <c r="E1647">
        <v>6</v>
      </c>
      <c r="F1647" t="s">
        <v>19</v>
      </c>
      <c r="G1647" t="s">
        <v>1940</v>
      </c>
      <c r="H1647" t="s">
        <v>1944</v>
      </c>
      <c r="I1647" t="s">
        <v>36</v>
      </c>
      <c r="J1647" t="s">
        <v>42</v>
      </c>
      <c r="K1647" t="s">
        <v>1543</v>
      </c>
      <c r="L1647" t="s">
        <v>25</v>
      </c>
      <c r="M1647" s="8">
        <v>3.3290000000000002</v>
      </c>
      <c r="N1647" t="s">
        <v>26</v>
      </c>
      <c r="O1647" s="8">
        <v>3.3290000000000002</v>
      </c>
      <c r="P1647" s="8">
        <f>EXP(-1.363+3.366*LOG(O1647,10))</f>
        <v>1.484544861192558</v>
      </c>
      <c r="Q1647" s="8">
        <f>(2618262*100)/2995732</f>
        <v>87.399740697766021</v>
      </c>
    </row>
    <row r="1648" spans="1:17" x14ac:dyDescent="0.2">
      <c r="A1648">
        <v>2015</v>
      </c>
      <c r="B1648" t="s">
        <v>1945</v>
      </c>
      <c r="C1648" t="s">
        <v>1547</v>
      </c>
      <c r="D1648" t="s">
        <v>1682</v>
      </c>
      <c r="E1648">
        <v>4</v>
      </c>
      <c r="F1648" t="s">
        <v>19</v>
      </c>
      <c r="G1648" t="s">
        <v>1940</v>
      </c>
      <c r="H1648" t="s">
        <v>1944</v>
      </c>
      <c r="I1648" t="s">
        <v>22</v>
      </c>
      <c r="J1648" t="s">
        <v>42</v>
      </c>
      <c r="K1648" t="s">
        <v>1543</v>
      </c>
      <c r="L1648" t="s">
        <v>25</v>
      </c>
      <c r="M1648" s="8">
        <v>3.7026666669999999</v>
      </c>
      <c r="N1648" t="s">
        <v>26</v>
      </c>
      <c r="O1648" s="8">
        <v>3.7026666669999999</v>
      </c>
      <c r="P1648" s="8">
        <f>EXP(-1.363+3.366*LOG(O1648,10))</f>
        <v>1.7343283127134672</v>
      </c>
      <c r="Q1648" s="8">
        <f>(3881584*100)/4292409</f>
        <v>90.429034139104644</v>
      </c>
    </row>
    <row r="1649" spans="1:17" x14ac:dyDescent="0.2">
      <c r="A1649">
        <v>2015</v>
      </c>
      <c r="B1649" t="s">
        <v>1946</v>
      </c>
      <c r="C1649" t="s">
        <v>1635</v>
      </c>
      <c r="D1649" t="s">
        <v>1698</v>
      </c>
      <c r="E1649">
        <v>4</v>
      </c>
      <c r="F1649" t="s">
        <v>19</v>
      </c>
      <c r="G1649" t="s">
        <v>1940</v>
      </c>
      <c r="H1649" t="s">
        <v>1944</v>
      </c>
      <c r="I1649" t="s">
        <v>36</v>
      </c>
      <c r="J1649" t="s">
        <v>42</v>
      </c>
      <c r="K1649" t="s">
        <v>1543</v>
      </c>
      <c r="L1649" t="s">
        <v>25</v>
      </c>
      <c r="M1649" s="8">
        <v>3.3290000000000002</v>
      </c>
      <c r="N1649" t="s">
        <v>26</v>
      </c>
      <c r="O1649" s="8">
        <v>3.3290000000000002</v>
      </c>
      <c r="P1649" s="8">
        <f>EXP(-1.363+3.366*LOG(O1649,10))</f>
        <v>1.484544861192558</v>
      </c>
      <c r="Q1649" s="8">
        <f>(3602085*100)/4019599</f>
        <v>89.613043490159086</v>
      </c>
    </row>
    <row r="1650" spans="1:17" x14ac:dyDescent="0.2">
      <c r="A1650">
        <v>2015</v>
      </c>
      <c r="B1650" t="s">
        <v>1947</v>
      </c>
      <c r="C1650" t="s">
        <v>1635</v>
      </c>
      <c r="D1650" t="s">
        <v>1682</v>
      </c>
      <c r="E1650">
        <v>4</v>
      </c>
      <c r="F1650" t="s">
        <v>19</v>
      </c>
      <c r="G1650" t="s">
        <v>1940</v>
      </c>
      <c r="H1650" t="s">
        <v>1944</v>
      </c>
      <c r="I1650" t="s">
        <v>36</v>
      </c>
      <c r="J1650" t="s">
        <v>42</v>
      </c>
      <c r="K1650" t="s">
        <v>1543</v>
      </c>
      <c r="L1650" t="s">
        <v>25</v>
      </c>
      <c r="M1650" s="8">
        <v>3.3290000000000002</v>
      </c>
      <c r="N1650" t="s">
        <v>26</v>
      </c>
      <c r="O1650" s="8">
        <v>3.3290000000000002</v>
      </c>
      <c r="P1650" s="8">
        <f>EXP(-1.363+3.366*LOG(O1650,10))</f>
        <v>1.484544861192558</v>
      </c>
      <c r="Q1650" s="8">
        <f>(3602085*100)/4019599</f>
        <v>89.613043490159086</v>
      </c>
    </row>
    <row r="1651" spans="1:17" x14ac:dyDescent="0.2">
      <c r="A1651">
        <v>2015</v>
      </c>
      <c r="B1651" t="s">
        <v>1948</v>
      </c>
      <c r="C1651" t="s">
        <v>1635</v>
      </c>
      <c r="D1651" t="s">
        <v>1682</v>
      </c>
      <c r="E1651">
        <v>4</v>
      </c>
      <c r="F1651" t="s">
        <v>19</v>
      </c>
      <c r="G1651" t="s">
        <v>1940</v>
      </c>
      <c r="H1651" t="s">
        <v>1949</v>
      </c>
      <c r="I1651" t="s">
        <v>36</v>
      </c>
      <c r="J1651" t="s">
        <v>42</v>
      </c>
      <c r="K1651" t="s">
        <v>1543</v>
      </c>
      <c r="L1651" t="s">
        <v>187</v>
      </c>
      <c r="M1651" s="8" t="s">
        <v>26</v>
      </c>
      <c r="N1651" t="s">
        <v>26</v>
      </c>
      <c r="O1651" s="8" t="s">
        <v>26</v>
      </c>
      <c r="P1651" s="8" t="s">
        <v>26</v>
      </c>
      <c r="Q1651" s="8">
        <f>(3602085*100)/4019599</f>
        <v>89.613043490159086</v>
      </c>
    </row>
    <row r="1652" spans="1:17" x14ac:dyDescent="0.2">
      <c r="A1652">
        <v>2015</v>
      </c>
      <c r="B1652" t="s">
        <v>1950</v>
      </c>
      <c r="C1652" t="s">
        <v>1540</v>
      </c>
      <c r="D1652" t="s">
        <v>1692</v>
      </c>
      <c r="E1652">
        <v>5</v>
      </c>
      <c r="F1652" t="s">
        <v>19</v>
      </c>
      <c r="G1652" t="s">
        <v>1940</v>
      </c>
      <c r="H1652" t="s">
        <v>1533</v>
      </c>
      <c r="I1652" t="s">
        <v>36</v>
      </c>
      <c r="J1652" t="s">
        <v>42</v>
      </c>
      <c r="K1652" t="s">
        <v>1543</v>
      </c>
      <c r="L1652" t="s">
        <v>25</v>
      </c>
      <c r="M1652" s="8">
        <v>2.63</v>
      </c>
      <c r="N1652" t="s">
        <v>26</v>
      </c>
      <c r="O1652" s="8">
        <v>2.63</v>
      </c>
      <c r="P1652" s="8">
        <f>EXP(-1.363+3.366*LOG(O1652,10))</f>
        <v>1.0518715955632558</v>
      </c>
      <c r="Q1652" s="8">
        <f>(2618262*100)/2995732</f>
        <v>87.399740697766021</v>
      </c>
    </row>
    <row r="1653" spans="1:17" x14ac:dyDescent="0.2">
      <c r="A1653">
        <v>2015</v>
      </c>
      <c r="B1653" t="s">
        <v>1951</v>
      </c>
      <c r="C1653" t="s">
        <v>1540</v>
      </c>
      <c r="D1653" t="s">
        <v>1682</v>
      </c>
      <c r="E1653">
        <v>4</v>
      </c>
      <c r="F1653" t="s">
        <v>19</v>
      </c>
      <c r="G1653" t="s">
        <v>1940</v>
      </c>
      <c r="H1653" t="s">
        <v>1533</v>
      </c>
      <c r="I1653" t="s">
        <v>36</v>
      </c>
      <c r="J1653" t="s">
        <v>42</v>
      </c>
      <c r="K1653" t="s">
        <v>1543</v>
      </c>
      <c r="L1653" t="s">
        <v>25</v>
      </c>
      <c r="M1653" s="8">
        <v>2.63</v>
      </c>
      <c r="N1653" t="s">
        <v>26</v>
      </c>
      <c r="O1653" s="8">
        <v>2.63</v>
      </c>
      <c r="P1653" s="8">
        <f>EXP(-1.363+3.366*LOG(O1653,10))</f>
        <v>1.0518715955632558</v>
      </c>
      <c r="Q1653" s="8">
        <f>(2618262*100)/2995732</f>
        <v>87.399740697766021</v>
      </c>
    </row>
    <row r="1654" spans="1:17" x14ac:dyDescent="0.2">
      <c r="A1654">
        <v>2015</v>
      </c>
      <c r="B1654" t="s">
        <v>1952</v>
      </c>
      <c r="C1654" t="s">
        <v>1690</v>
      </c>
      <c r="D1654" t="s">
        <v>1682</v>
      </c>
      <c r="E1654">
        <v>4</v>
      </c>
      <c r="F1654" t="s">
        <v>19</v>
      </c>
      <c r="G1654" t="s">
        <v>1940</v>
      </c>
      <c r="H1654" t="s">
        <v>1533</v>
      </c>
      <c r="I1654" t="s">
        <v>36</v>
      </c>
      <c r="J1654" t="s">
        <v>42</v>
      </c>
      <c r="K1654" t="s">
        <v>1543</v>
      </c>
      <c r="L1654" t="s">
        <v>25</v>
      </c>
      <c r="M1654" s="8">
        <v>2.63</v>
      </c>
      <c r="N1654" t="s">
        <v>26</v>
      </c>
      <c r="O1654" s="8">
        <v>2.63</v>
      </c>
      <c r="P1654" s="8">
        <f>EXP(-1.363+3.366*LOG(O1654,10))</f>
        <v>1.0518715955632558</v>
      </c>
      <c r="Q1654" s="8">
        <f>(2640118*100)/3023471</f>
        <v>87.320764776642477</v>
      </c>
    </row>
    <row r="1655" spans="1:17" x14ac:dyDescent="0.2">
      <c r="A1655">
        <v>2015</v>
      </c>
      <c r="B1655" t="s">
        <v>1953</v>
      </c>
      <c r="C1655" t="s">
        <v>1690</v>
      </c>
      <c r="D1655" t="s">
        <v>1694</v>
      </c>
      <c r="E1655">
        <v>4</v>
      </c>
      <c r="F1655" t="s">
        <v>19</v>
      </c>
      <c r="G1655" t="s">
        <v>1940</v>
      </c>
      <c r="H1655" t="s">
        <v>1533</v>
      </c>
      <c r="I1655" t="s">
        <v>36</v>
      </c>
      <c r="J1655" t="s">
        <v>42</v>
      </c>
      <c r="K1655" t="s">
        <v>1543</v>
      </c>
      <c r="L1655" t="s">
        <v>25</v>
      </c>
      <c r="M1655" s="8">
        <v>2.63</v>
      </c>
      <c r="N1655" t="s">
        <v>26</v>
      </c>
      <c r="O1655" s="8">
        <v>2.63</v>
      </c>
      <c r="P1655" s="8">
        <f>EXP(-1.363+3.366*LOG(O1655,10))</f>
        <v>1.0518715955632558</v>
      </c>
      <c r="Q1655" s="8">
        <f>(2640118*100)/3023471</f>
        <v>87.320764776642477</v>
      </c>
    </row>
    <row r="1656" spans="1:17" x14ac:dyDescent="0.2">
      <c r="A1656">
        <v>2015</v>
      </c>
      <c r="B1656" t="s">
        <v>1954</v>
      </c>
      <c r="C1656" t="s">
        <v>1690</v>
      </c>
      <c r="D1656" t="s">
        <v>1694</v>
      </c>
      <c r="E1656">
        <v>4</v>
      </c>
      <c r="F1656" t="s">
        <v>19</v>
      </c>
      <c r="G1656" t="s">
        <v>1940</v>
      </c>
      <c r="H1656" t="s">
        <v>1533</v>
      </c>
      <c r="I1656" t="s">
        <v>36</v>
      </c>
      <c r="J1656" t="s">
        <v>42</v>
      </c>
      <c r="K1656" t="s">
        <v>1543</v>
      </c>
      <c r="L1656" t="s">
        <v>25</v>
      </c>
      <c r="M1656" s="8">
        <v>2.63</v>
      </c>
      <c r="N1656" t="s">
        <v>26</v>
      </c>
      <c r="O1656" s="8">
        <v>2.63</v>
      </c>
      <c r="P1656" s="8">
        <f>EXP(-1.363+3.366*LOG(O1656,10))</f>
        <v>1.0518715955632558</v>
      </c>
      <c r="Q1656" s="8">
        <f>(2640118*100)/3023471</f>
        <v>87.320764776642477</v>
      </c>
    </row>
    <row r="1657" spans="1:17" x14ac:dyDescent="0.2">
      <c r="A1657">
        <v>2015</v>
      </c>
      <c r="B1657" t="s">
        <v>1955</v>
      </c>
      <c r="C1657" t="s">
        <v>1690</v>
      </c>
      <c r="D1657" t="s">
        <v>1694</v>
      </c>
      <c r="E1657">
        <v>4</v>
      </c>
      <c r="F1657" t="s">
        <v>19</v>
      </c>
      <c r="G1657" t="s">
        <v>1940</v>
      </c>
      <c r="H1657" t="s">
        <v>1533</v>
      </c>
      <c r="I1657" t="s">
        <v>22</v>
      </c>
      <c r="J1657" t="s">
        <v>42</v>
      </c>
      <c r="K1657" t="s">
        <v>1543</v>
      </c>
      <c r="L1657" t="s">
        <v>25</v>
      </c>
      <c r="M1657" s="8">
        <v>3.08</v>
      </c>
      <c r="N1657" t="s">
        <v>26</v>
      </c>
      <c r="O1657" s="8">
        <v>3.08</v>
      </c>
      <c r="P1657" s="8">
        <f>EXP(-1.363+3.366*LOG(O1657,10))</f>
        <v>1.3250652609076723</v>
      </c>
      <c r="Q1657" s="8">
        <f>(2640118*100)/3023471</f>
        <v>87.320764776642477</v>
      </c>
    </row>
    <row r="1658" spans="1:17" x14ac:dyDescent="0.2">
      <c r="A1658">
        <v>2015</v>
      </c>
      <c r="B1658" t="s">
        <v>1956</v>
      </c>
      <c r="C1658" t="s">
        <v>1547</v>
      </c>
      <c r="D1658" t="s">
        <v>1694</v>
      </c>
      <c r="E1658">
        <v>4</v>
      </c>
      <c r="F1658" t="s">
        <v>19</v>
      </c>
      <c r="G1658" t="s">
        <v>209</v>
      </c>
      <c r="H1658" t="s">
        <v>212</v>
      </c>
      <c r="I1658" t="s">
        <v>36</v>
      </c>
      <c r="J1658" t="s">
        <v>42</v>
      </c>
      <c r="K1658" t="s">
        <v>1543</v>
      </c>
      <c r="L1658" t="s">
        <v>187</v>
      </c>
      <c r="M1658" s="8">
        <v>1.534</v>
      </c>
      <c r="N1658" t="s">
        <v>26</v>
      </c>
      <c r="O1658" s="8">
        <v>1.534</v>
      </c>
      <c r="P1658" s="8">
        <f>EXP(-1.363+3.366*LOG(O1658,10))</f>
        <v>0.47830252961730491</v>
      </c>
      <c r="Q1658" s="8">
        <f>(3881584*100)/4292409</f>
        <v>90.429034139104644</v>
      </c>
    </row>
    <row r="1659" spans="1:17" x14ac:dyDescent="0.2">
      <c r="A1659">
        <v>2015</v>
      </c>
      <c r="B1659" t="s">
        <v>1957</v>
      </c>
      <c r="C1659" t="s">
        <v>1635</v>
      </c>
      <c r="D1659" t="s">
        <v>1686</v>
      </c>
      <c r="E1659">
        <v>7</v>
      </c>
      <c r="F1659" t="s">
        <v>19</v>
      </c>
      <c r="G1659" t="s">
        <v>209</v>
      </c>
      <c r="H1659" t="s">
        <v>212</v>
      </c>
      <c r="I1659" t="s">
        <v>22</v>
      </c>
      <c r="J1659" t="s">
        <v>42</v>
      </c>
      <c r="K1659" t="s">
        <v>1543</v>
      </c>
      <c r="L1659" t="s">
        <v>187</v>
      </c>
      <c r="M1659" s="8">
        <v>1.6839999999999999</v>
      </c>
      <c r="N1659" t="s">
        <v>26</v>
      </c>
      <c r="O1659" s="8">
        <v>1.6839999999999999</v>
      </c>
      <c r="P1659" s="8">
        <f>EXP(-1.363+3.366*LOG(O1659,10))</f>
        <v>0.54819043975287984</v>
      </c>
      <c r="Q1659" s="8">
        <f>(3602085*100)/4019599</f>
        <v>89.613043490159086</v>
      </c>
    </row>
    <row r="1660" spans="1:17" x14ac:dyDescent="0.2">
      <c r="A1660">
        <v>2015</v>
      </c>
      <c r="B1660" t="s">
        <v>1958</v>
      </c>
      <c r="C1660" t="s">
        <v>1635</v>
      </c>
      <c r="D1660" t="s">
        <v>1715</v>
      </c>
      <c r="E1660">
        <v>7</v>
      </c>
      <c r="F1660" t="s">
        <v>19</v>
      </c>
      <c r="G1660" t="s">
        <v>1959</v>
      </c>
      <c r="H1660" t="s">
        <v>1960</v>
      </c>
      <c r="I1660" t="s">
        <v>22</v>
      </c>
      <c r="J1660" t="s">
        <v>42</v>
      </c>
      <c r="K1660" t="s">
        <v>1543</v>
      </c>
      <c r="L1660" t="s">
        <v>305</v>
      </c>
      <c r="M1660" s="8">
        <v>1.4339999999999999</v>
      </c>
      <c r="N1660" t="s">
        <v>26</v>
      </c>
      <c r="O1660" s="8">
        <v>1.4339999999999999</v>
      </c>
      <c r="P1660" s="8">
        <f>EXP(-1.363+3.366*LOG(O1660,10))</f>
        <v>0.4334167439794695</v>
      </c>
      <c r="Q1660" s="8">
        <f>(3602085*100)/4019599</f>
        <v>89.613043490159086</v>
      </c>
    </row>
    <row r="1661" spans="1:17" x14ac:dyDescent="0.2">
      <c r="A1661">
        <v>2016</v>
      </c>
      <c r="B1661" t="s">
        <v>1961</v>
      </c>
      <c r="C1661" t="s">
        <v>1540</v>
      </c>
      <c r="D1661" t="s">
        <v>1710</v>
      </c>
      <c r="E1661">
        <v>7</v>
      </c>
      <c r="F1661" t="s">
        <v>19</v>
      </c>
      <c r="G1661" t="s">
        <v>1735</v>
      </c>
      <c r="H1661" t="s">
        <v>1736</v>
      </c>
      <c r="I1661" t="s">
        <v>22</v>
      </c>
      <c r="J1661" t="s">
        <v>42</v>
      </c>
      <c r="K1661" t="s">
        <v>1543</v>
      </c>
      <c r="L1661" t="s">
        <v>25</v>
      </c>
      <c r="M1661" s="8">
        <v>4.1156666670000002</v>
      </c>
      <c r="N1661" t="s">
        <v>26</v>
      </c>
      <c r="O1661" s="8">
        <v>4.1156666670000002</v>
      </c>
      <c r="P1661" s="8">
        <f>EXP(-1.363+3.366*LOG(O1661,10))</f>
        <v>2.0242630151675414</v>
      </c>
      <c r="Q1661" s="8">
        <f>(2618262*100)/2995732</f>
        <v>87.399740697766021</v>
      </c>
    </row>
    <row r="1662" spans="1:17" x14ac:dyDescent="0.2">
      <c r="A1662">
        <v>2016</v>
      </c>
      <c r="B1662" t="s">
        <v>1962</v>
      </c>
      <c r="C1662" t="s">
        <v>1547</v>
      </c>
      <c r="D1662" t="s">
        <v>1963</v>
      </c>
      <c r="E1662">
        <v>4</v>
      </c>
      <c r="F1662" t="s">
        <v>19</v>
      </c>
      <c r="G1662" t="s">
        <v>1735</v>
      </c>
      <c r="H1662" t="s">
        <v>1736</v>
      </c>
      <c r="I1662" t="s">
        <v>22</v>
      </c>
      <c r="J1662" t="s">
        <v>42</v>
      </c>
      <c r="K1662" t="s">
        <v>1543</v>
      </c>
      <c r="L1662" t="s">
        <v>25</v>
      </c>
      <c r="M1662" s="8">
        <v>4.1156666670000002</v>
      </c>
      <c r="N1662" t="s">
        <v>26</v>
      </c>
      <c r="O1662" s="8">
        <v>4.1156666670000002</v>
      </c>
      <c r="P1662" s="8">
        <f>EXP(-1.363+3.366*LOG(O1662,10))</f>
        <v>2.0242630151675414</v>
      </c>
      <c r="Q1662" s="8">
        <f>(3881584*100)/4292409</f>
        <v>90.429034139104644</v>
      </c>
    </row>
    <row r="1663" spans="1:17" x14ac:dyDescent="0.2">
      <c r="A1663">
        <v>2016</v>
      </c>
      <c r="B1663" t="s">
        <v>1964</v>
      </c>
      <c r="C1663" t="s">
        <v>1635</v>
      </c>
      <c r="D1663" t="s">
        <v>1963</v>
      </c>
      <c r="E1663">
        <v>4</v>
      </c>
      <c r="F1663" t="s">
        <v>19</v>
      </c>
      <c r="G1663" t="s">
        <v>20</v>
      </c>
      <c r="H1663" t="s">
        <v>91</v>
      </c>
      <c r="I1663" t="s">
        <v>22</v>
      </c>
      <c r="J1663" t="s">
        <v>42</v>
      </c>
      <c r="K1663" t="s">
        <v>1543</v>
      </c>
      <c r="L1663" t="s">
        <v>25</v>
      </c>
      <c r="M1663" s="8">
        <v>2.0630000000000002</v>
      </c>
      <c r="N1663" t="s">
        <v>26</v>
      </c>
      <c r="O1663" s="8">
        <v>2.0630000000000002</v>
      </c>
      <c r="P1663" s="8">
        <f>EXP(-1.363+3.366*LOG(O1663,10))</f>
        <v>0.73756902742293162</v>
      </c>
      <c r="Q1663" s="8">
        <f>(3602085*100)/4019599</f>
        <v>89.613043490159086</v>
      </c>
    </row>
    <row r="1664" spans="1:17" x14ac:dyDescent="0.2">
      <c r="A1664">
        <v>2016</v>
      </c>
      <c r="B1664" t="s">
        <v>1965</v>
      </c>
      <c r="C1664" t="s">
        <v>1540</v>
      </c>
      <c r="D1664" t="s">
        <v>1963</v>
      </c>
      <c r="E1664">
        <v>4</v>
      </c>
      <c r="F1664" t="s">
        <v>19</v>
      </c>
      <c r="G1664" t="s">
        <v>352</v>
      </c>
      <c r="H1664" t="s">
        <v>975</v>
      </c>
      <c r="I1664" t="s">
        <v>36</v>
      </c>
      <c r="J1664" t="s">
        <v>42</v>
      </c>
      <c r="K1664" t="s">
        <v>1543</v>
      </c>
      <c r="L1664" t="s">
        <v>25</v>
      </c>
      <c r="M1664" s="8">
        <v>0.95199999999999996</v>
      </c>
      <c r="N1664" t="s">
        <v>26</v>
      </c>
      <c r="O1664" s="8">
        <v>0.95199999999999996</v>
      </c>
      <c r="P1664" s="8">
        <f>EXP(-1.363+3.366*LOG(O1664,10))</f>
        <v>0.23813726407794436</v>
      </c>
      <c r="Q1664" s="8">
        <f>(2618262*100)/2995732</f>
        <v>87.399740697766021</v>
      </c>
    </row>
    <row r="1665" spans="1:17" x14ac:dyDescent="0.2">
      <c r="A1665">
        <v>2016</v>
      </c>
      <c r="B1665" t="s">
        <v>1966</v>
      </c>
      <c r="C1665" t="s">
        <v>1540</v>
      </c>
      <c r="D1665" t="s">
        <v>1963</v>
      </c>
      <c r="E1665">
        <v>4</v>
      </c>
      <c r="F1665" t="s">
        <v>19</v>
      </c>
      <c r="G1665" t="s">
        <v>20</v>
      </c>
      <c r="H1665" t="s">
        <v>145</v>
      </c>
      <c r="I1665" t="s">
        <v>36</v>
      </c>
      <c r="J1665" t="s">
        <v>42</v>
      </c>
      <c r="K1665" t="s">
        <v>1543</v>
      </c>
      <c r="L1665" t="s">
        <v>25</v>
      </c>
      <c r="M1665" s="8">
        <v>1.9886666669999999</v>
      </c>
      <c r="N1665" t="s">
        <v>26</v>
      </c>
      <c r="O1665" s="8">
        <v>1.9886666669999999</v>
      </c>
      <c r="P1665" s="8">
        <f>EXP(-1.363+3.366*LOG(O1665,10))</f>
        <v>0.69904488411120058</v>
      </c>
      <c r="Q1665" s="8">
        <f>(2618262*100)/2995732</f>
        <v>87.399740697766021</v>
      </c>
    </row>
    <row r="1666" spans="1:17" x14ac:dyDescent="0.2">
      <c r="A1666">
        <v>2016</v>
      </c>
      <c r="B1666" t="s">
        <v>1967</v>
      </c>
      <c r="C1666" t="s">
        <v>1540</v>
      </c>
      <c r="D1666" t="s">
        <v>1963</v>
      </c>
      <c r="E1666">
        <v>4</v>
      </c>
      <c r="F1666" t="s">
        <v>19</v>
      </c>
      <c r="G1666" t="s">
        <v>20</v>
      </c>
      <c r="H1666" t="s">
        <v>145</v>
      </c>
      <c r="I1666" t="s">
        <v>36</v>
      </c>
      <c r="J1666" t="s">
        <v>42</v>
      </c>
      <c r="K1666" t="s">
        <v>1543</v>
      </c>
      <c r="L1666" t="s">
        <v>25</v>
      </c>
      <c r="M1666" s="8">
        <v>1.9886666669999999</v>
      </c>
      <c r="N1666" t="s">
        <v>26</v>
      </c>
      <c r="O1666" s="8">
        <v>1.9886666669999999</v>
      </c>
      <c r="P1666" s="8">
        <f>EXP(-1.363+3.366*LOG(O1666,10))</f>
        <v>0.69904488411120058</v>
      </c>
      <c r="Q1666" s="8">
        <f>(2618262*100)/2995732</f>
        <v>87.399740697766021</v>
      </c>
    </row>
    <row r="1667" spans="1:17" x14ac:dyDescent="0.2">
      <c r="A1667">
        <v>2016</v>
      </c>
      <c r="B1667" t="s">
        <v>1968</v>
      </c>
      <c r="C1667" t="s">
        <v>1540</v>
      </c>
      <c r="D1667" t="s">
        <v>1963</v>
      </c>
      <c r="E1667">
        <v>4</v>
      </c>
      <c r="F1667" t="s">
        <v>19</v>
      </c>
      <c r="G1667" t="s">
        <v>20</v>
      </c>
      <c r="H1667" t="s">
        <v>1969</v>
      </c>
      <c r="I1667" t="s">
        <v>36</v>
      </c>
      <c r="J1667" t="s">
        <v>42</v>
      </c>
      <c r="K1667" t="s">
        <v>1543</v>
      </c>
      <c r="L1667" t="s">
        <v>25</v>
      </c>
      <c r="M1667" s="8">
        <v>1.8129999999999999</v>
      </c>
      <c r="N1667" t="s">
        <v>26</v>
      </c>
      <c r="O1667" s="8">
        <v>1.8129999999999999</v>
      </c>
      <c r="P1667" s="8">
        <f>EXP(-1.363+3.366*LOG(O1667,10))</f>
        <v>0.61064897652124372</v>
      </c>
      <c r="Q1667" s="8">
        <f>(2618262*100)/2995732</f>
        <v>87.399740697766021</v>
      </c>
    </row>
    <row r="1668" spans="1:17" x14ac:dyDescent="0.2">
      <c r="A1668">
        <v>2016</v>
      </c>
      <c r="B1668" t="s">
        <v>1970</v>
      </c>
      <c r="C1668" t="s">
        <v>1540</v>
      </c>
      <c r="D1668" t="s">
        <v>1963</v>
      </c>
      <c r="E1668">
        <v>4</v>
      </c>
      <c r="F1668" t="s">
        <v>19</v>
      </c>
      <c r="G1668" t="s">
        <v>20</v>
      </c>
      <c r="H1668" t="s">
        <v>45</v>
      </c>
      <c r="I1668" t="s">
        <v>22</v>
      </c>
      <c r="J1668" t="s">
        <v>42</v>
      </c>
      <c r="K1668" t="s">
        <v>1543</v>
      </c>
      <c r="L1668" t="s">
        <v>25</v>
      </c>
      <c r="M1668" s="8">
        <v>1.903333333</v>
      </c>
      <c r="N1668" t="s">
        <v>26</v>
      </c>
      <c r="O1668" s="8">
        <v>1.903333333</v>
      </c>
      <c r="P1668" s="8">
        <f>EXP(-1.363+3.366*LOG(O1668,10))</f>
        <v>0.65563371760507783</v>
      </c>
      <c r="Q1668" s="8">
        <f>(2618262*100)/2995732</f>
        <v>87.399740697766021</v>
      </c>
    </row>
    <row r="1669" spans="1:17" x14ac:dyDescent="0.2">
      <c r="A1669">
        <v>2016</v>
      </c>
      <c r="B1669" t="s">
        <v>1971</v>
      </c>
      <c r="C1669" t="s">
        <v>1540</v>
      </c>
      <c r="D1669" t="s">
        <v>1963</v>
      </c>
      <c r="E1669">
        <v>4</v>
      </c>
      <c r="F1669" t="s">
        <v>19</v>
      </c>
      <c r="G1669" t="s">
        <v>20</v>
      </c>
      <c r="H1669" t="s">
        <v>1972</v>
      </c>
      <c r="I1669" t="s">
        <v>36</v>
      </c>
      <c r="J1669" t="s">
        <v>42</v>
      </c>
      <c r="K1669" t="s">
        <v>1543</v>
      </c>
      <c r="L1669" t="s">
        <v>25</v>
      </c>
      <c r="M1669" s="8">
        <v>1.482</v>
      </c>
      <c r="N1669" t="s">
        <v>26</v>
      </c>
      <c r="O1669" s="8">
        <v>1.482</v>
      </c>
      <c r="P1669" s="8">
        <f>EXP(-1.363+3.366*LOG(O1669,10))</f>
        <v>0.45478752526593097</v>
      </c>
      <c r="Q1669" s="8">
        <f>(2618262*100)/2995732</f>
        <v>87.399740697766021</v>
      </c>
    </row>
    <row r="1670" spans="1:17" x14ac:dyDescent="0.2">
      <c r="A1670">
        <v>2016</v>
      </c>
      <c r="B1670" t="s">
        <v>1973</v>
      </c>
      <c r="C1670" t="s">
        <v>1540</v>
      </c>
      <c r="D1670" t="s">
        <v>1963</v>
      </c>
      <c r="E1670">
        <v>4</v>
      </c>
      <c r="F1670" t="s">
        <v>19</v>
      </c>
      <c r="G1670" t="s">
        <v>352</v>
      </c>
      <c r="H1670" t="s">
        <v>975</v>
      </c>
      <c r="I1670" t="s">
        <v>22</v>
      </c>
      <c r="J1670" t="s">
        <v>42</v>
      </c>
      <c r="K1670" t="s">
        <v>1543</v>
      </c>
      <c r="L1670" t="s">
        <v>25</v>
      </c>
      <c r="M1670" s="8">
        <v>1.0693333330000001</v>
      </c>
      <c r="N1670" t="s">
        <v>26</v>
      </c>
      <c r="O1670" s="8">
        <v>1.0693333330000001</v>
      </c>
      <c r="P1670" s="8">
        <f>EXP(-1.363+3.366*LOG(O1670,10))</f>
        <v>0.28223780327142356</v>
      </c>
      <c r="Q1670" s="8">
        <f>(2618262*100)/2995732</f>
        <v>87.399740697766021</v>
      </c>
    </row>
    <row r="1671" spans="1:17" x14ac:dyDescent="0.2">
      <c r="A1671">
        <v>2016</v>
      </c>
      <c r="B1671" t="s">
        <v>1974</v>
      </c>
      <c r="C1671" t="s">
        <v>1540</v>
      </c>
      <c r="D1671" t="s">
        <v>1963</v>
      </c>
      <c r="E1671">
        <v>4</v>
      </c>
      <c r="F1671" t="s">
        <v>19</v>
      </c>
      <c r="G1671" t="s">
        <v>20</v>
      </c>
      <c r="H1671" t="s">
        <v>145</v>
      </c>
      <c r="I1671" t="s">
        <v>36</v>
      </c>
      <c r="J1671" t="s">
        <v>42</v>
      </c>
      <c r="K1671" t="s">
        <v>1543</v>
      </c>
      <c r="L1671" t="s">
        <v>25</v>
      </c>
      <c r="M1671" s="8">
        <v>1.9886666669999999</v>
      </c>
      <c r="N1671" t="s">
        <v>26</v>
      </c>
      <c r="O1671" s="8">
        <v>1.9886666669999999</v>
      </c>
      <c r="P1671" s="8">
        <f>EXP(-1.363+3.366*LOG(O1671,10))</f>
        <v>0.69904488411120058</v>
      </c>
      <c r="Q1671" s="8">
        <f>(2618262*100)/2995732</f>
        <v>87.399740697766021</v>
      </c>
    </row>
    <row r="1672" spans="1:17" x14ac:dyDescent="0.2">
      <c r="A1672">
        <v>2016</v>
      </c>
      <c r="B1672" t="s">
        <v>1975</v>
      </c>
      <c r="C1672" t="s">
        <v>1540</v>
      </c>
      <c r="D1672" t="s">
        <v>1963</v>
      </c>
      <c r="E1672">
        <v>4</v>
      </c>
      <c r="F1672" t="s">
        <v>19</v>
      </c>
      <c r="G1672" t="s">
        <v>20</v>
      </c>
      <c r="H1672" t="s">
        <v>45</v>
      </c>
      <c r="I1672" t="s">
        <v>22</v>
      </c>
      <c r="J1672" t="s">
        <v>42</v>
      </c>
      <c r="K1672" t="s">
        <v>1543</v>
      </c>
      <c r="L1672" t="s">
        <v>25</v>
      </c>
      <c r="M1672" s="8">
        <v>1.903333333</v>
      </c>
      <c r="N1672" t="s">
        <v>26</v>
      </c>
      <c r="O1672" s="8">
        <v>1.903333333</v>
      </c>
      <c r="P1672" s="8">
        <f>EXP(-1.363+3.366*LOG(O1672,10))</f>
        <v>0.65563371760507783</v>
      </c>
      <c r="Q1672" s="8">
        <f>(2618262*100)/2995732</f>
        <v>87.399740697766021</v>
      </c>
    </row>
    <row r="1673" spans="1:17" x14ac:dyDescent="0.2">
      <c r="A1673">
        <v>2016</v>
      </c>
      <c r="B1673" t="s">
        <v>1976</v>
      </c>
      <c r="C1673" t="s">
        <v>1540</v>
      </c>
      <c r="D1673" t="s">
        <v>1963</v>
      </c>
      <c r="E1673">
        <v>4</v>
      </c>
      <c r="F1673" t="s">
        <v>19</v>
      </c>
      <c r="G1673" t="s">
        <v>20</v>
      </c>
      <c r="H1673" t="s">
        <v>207</v>
      </c>
      <c r="I1673" t="s">
        <v>36</v>
      </c>
      <c r="J1673" t="s">
        <v>42</v>
      </c>
      <c r="K1673" t="s">
        <v>1543</v>
      </c>
      <c r="L1673" t="s">
        <v>25</v>
      </c>
      <c r="M1673" s="8">
        <v>1.08</v>
      </c>
      <c r="N1673" t="s">
        <v>26</v>
      </c>
      <c r="O1673" s="8">
        <v>1.08</v>
      </c>
      <c r="P1673" s="8">
        <f>EXP(-1.363+3.366*LOG(O1673,10))</f>
        <v>0.28636282908560973</v>
      </c>
      <c r="Q1673" s="8">
        <f>(2618262*100)/2995732</f>
        <v>87.399740697766021</v>
      </c>
    </row>
    <row r="1674" spans="1:17" x14ac:dyDescent="0.2">
      <c r="A1674">
        <v>2016</v>
      </c>
      <c r="B1674" t="s">
        <v>1977</v>
      </c>
      <c r="C1674" t="s">
        <v>1540</v>
      </c>
      <c r="D1674" t="s">
        <v>1963</v>
      </c>
      <c r="E1674">
        <v>4</v>
      </c>
      <c r="F1674" t="s">
        <v>19</v>
      </c>
      <c r="G1674" t="s">
        <v>352</v>
      </c>
      <c r="H1674" t="s">
        <v>975</v>
      </c>
      <c r="I1674" t="s">
        <v>22</v>
      </c>
      <c r="J1674" t="s">
        <v>42</v>
      </c>
      <c r="K1674" t="s">
        <v>1543</v>
      </c>
      <c r="L1674" t="s">
        <v>25</v>
      </c>
      <c r="M1674" s="8">
        <v>1.0693333330000001</v>
      </c>
      <c r="N1674" t="s">
        <v>26</v>
      </c>
      <c r="O1674" s="8">
        <v>1.0693333330000001</v>
      </c>
      <c r="P1674" s="8">
        <f>EXP(-1.363+3.366*LOG(O1674,10))</f>
        <v>0.28223780327142356</v>
      </c>
      <c r="Q1674" s="8">
        <f>(2618262*100)/2995732</f>
        <v>87.399740697766021</v>
      </c>
    </row>
    <row r="1675" spans="1:17" x14ac:dyDescent="0.2">
      <c r="A1675">
        <v>2016</v>
      </c>
      <c r="B1675" t="s">
        <v>1978</v>
      </c>
      <c r="C1675" t="s">
        <v>1540</v>
      </c>
      <c r="D1675" t="s">
        <v>1963</v>
      </c>
      <c r="E1675">
        <v>4</v>
      </c>
      <c r="F1675" t="s">
        <v>19</v>
      </c>
      <c r="G1675" t="s">
        <v>20</v>
      </c>
      <c r="H1675" t="s">
        <v>207</v>
      </c>
      <c r="I1675" t="s">
        <v>36</v>
      </c>
      <c r="J1675" t="s">
        <v>42</v>
      </c>
      <c r="K1675" t="s">
        <v>1543</v>
      </c>
      <c r="L1675" t="s">
        <v>25</v>
      </c>
      <c r="M1675" s="8">
        <v>1.08</v>
      </c>
      <c r="N1675" t="s">
        <v>26</v>
      </c>
      <c r="O1675" s="8">
        <v>1.08</v>
      </c>
      <c r="P1675" s="8">
        <f>EXP(-1.363+3.366*LOG(O1675,10))</f>
        <v>0.28636282908560973</v>
      </c>
      <c r="Q1675" s="8">
        <f>(2618262*100)/2995732</f>
        <v>87.399740697766021</v>
      </c>
    </row>
    <row r="1676" spans="1:17" x14ac:dyDescent="0.2">
      <c r="A1676">
        <v>2016</v>
      </c>
      <c r="B1676" t="s">
        <v>1979</v>
      </c>
      <c r="C1676" t="s">
        <v>1540</v>
      </c>
      <c r="D1676" t="s">
        <v>1963</v>
      </c>
      <c r="E1676">
        <v>4</v>
      </c>
      <c r="F1676" t="s">
        <v>19</v>
      </c>
      <c r="G1676" t="s">
        <v>352</v>
      </c>
      <c r="H1676" t="s">
        <v>975</v>
      </c>
      <c r="I1676" t="s">
        <v>22</v>
      </c>
      <c r="J1676" t="s">
        <v>42</v>
      </c>
      <c r="K1676" t="s">
        <v>1543</v>
      </c>
      <c r="L1676" t="s">
        <v>25</v>
      </c>
      <c r="M1676" s="8">
        <v>1.0693333330000001</v>
      </c>
      <c r="N1676" t="s">
        <v>26</v>
      </c>
      <c r="O1676" s="8">
        <v>1.0693333330000001</v>
      </c>
      <c r="P1676" s="8">
        <f>EXP(-1.363+3.366*LOG(O1676,10))</f>
        <v>0.28223780327142356</v>
      </c>
      <c r="Q1676" s="8">
        <f>(2618262*100)/2995732</f>
        <v>87.399740697766021</v>
      </c>
    </row>
    <row r="1677" spans="1:17" x14ac:dyDescent="0.2">
      <c r="A1677">
        <v>2016</v>
      </c>
      <c r="B1677" t="s">
        <v>1980</v>
      </c>
      <c r="C1677" t="s">
        <v>1540</v>
      </c>
      <c r="D1677" t="s">
        <v>1963</v>
      </c>
      <c r="E1677">
        <v>4</v>
      </c>
      <c r="F1677" t="s">
        <v>19</v>
      </c>
      <c r="G1677" t="s">
        <v>352</v>
      </c>
      <c r="H1677" t="s">
        <v>975</v>
      </c>
      <c r="I1677" t="s">
        <v>22</v>
      </c>
      <c r="J1677" t="s">
        <v>42</v>
      </c>
      <c r="K1677" t="s">
        <v>1543</v>
      </c>
      <c r="L1677" t="s">
        <v>25</v>
      </c>
      <c r="M1677" s="8">
        <v>1.0693333330000001</v>
      </c>
      <c r="N1677" t="s">
        <v>26</v>
      </c>
      <c r="O1677" s="8">
        <v>1.0693333330000001</v>
      </c>
      <c r="P1677" s="8">
        <f>EXP(-1.363+3.366*LOG(O1677,10))</f>
        <v>0.28223780327142356</v>
      </c>
      <c r="Q1677" s="8">
        <f>(2618262*100)/2995732</f>
        <v>87.399740697766021</v>
      </c>
    </row>
    <row r="1678" spans="1:17" x14ac:dyDescent="0.2">
      <c r="A1678">
        <v>2016</v>
      </c>
      <c r="B1678" t="s">
        <v>1981</v>
      </c>
      <c r="C1678" t="s">
        <v>1610</v>
      </c>
      <c r="D1678" t="s">
        <v>1963</v>
      </c>
      <c r="E1678">
        <v>4</v>
      </c>
      <c r="F1678" t="s">
        <v>19</v>
      </c>
      <c r="G1678" t="s">
        <v>1532</v>
      </c>
      <c r="H1678" t="s">
        <v>1533</v>
      </c>
      <c r="I1678" t="s">
        <v>36</v>
      </c>
      <c r="J1678" t="s">
        <v>42</v>
      </c>
      <c r="K1678" t="s">
        <v>1543</v>
      </c>
      <c r="L1678" t="s">
        <v>25</v>
      </c>
      <c r="M1678" s="8">
        <v>2.63</v>
      </c>
      <c r="N1678" t="s">
        <v>26</v>
      </c>
      <c r="O1678" s="8">
        <v>2.63</v>
      </c>
      <c r="P1678" s="8">
        <f>EXP(-1.363+3.366*LOG(O1678,10))</f>
        <v>1.0518715955632558</v>
      </c>
      <c r="Q1678" s="8">
        <f>(2475923*100)/2844344</f>
        <v>87.047241824476927</v>
      </c>
    </row>
    <row r="1679" spans="1:17" x14ac:dyDescent="0.2">
      <c r="A1679">
        <v>2016</v>
      </c>
      <c r="B1679" t="s">
        <v>1982</v>
      </c>
      <c r="C1679" t="s">
        <v>1540</v>
      </c>
      <c r="D1679" t="s">
        <v>1983</v>
      </c>
      <c r="E1679">
        <v>4</v>
      </c>
      <c r="F1679" t="s">
        <v>19</v>
      </c>
      <c r="G1679" t="s">
        <v>1735</v>
      </c>
      <c r="H1679" t="s">
        <v>1736</v>
      </c>
      <c r="I1679" t="s">
        <v>22</v>
      </c>
      <c r="J1679" t="s">
        <v>42</v>
      </c>
      <c r="K1679" t="s">
        <v>1543</v>
      </c>
      <c r="L1679" t="s">
        <v>25</v>
      </c>
      <c r="M1679" s="8">
        <v>4.1156666670000002</v>
      </c>
      <c r="N1679" t="s">
        <v>26</v>
      </c>
      <c r="O1679" s="8">
        <v>4.1156666670000002</v>
      </c>
      <c r="P1679" s="8">
        <f>EXP(-1.363+3.366*LOG(O1679,10))</f>
        <v>2.0242630151675414</v>
      </c>
      <c r="Q1679" s="8">
        <f>(2618262*100)/2995732</f>
        <v>87.399740697766021</v>
      </c>
    </row>
    <row r="1680" spans="1:17" x14ac:dyDescent="0.2">
      <c r="A1680">
        <v>2016</v>
      </c>
      <c r="B1680" t="s">
        <v>1984</v>
      </c>
      <c r="C1680" t="s">
        <v>1540</v>
      </c>
      <c r="D1680" t="s">
        <v>1983</v>
      </c>
      <c r="E1680">
        <v>4</v>
      </c>
      <c r="F1680" t="s">
        <v>19</v>
      </c>
      <c r="G1680" t="s">
        <v>352</v>
      </c>
      <c r="H1680" t="s">
        <v>975</v>
      </c>
      <c r="I1680" t="s">
        <v>36</v>
      </c>
      <c r="J1680" t="s">
        <v>42</v>
      </c>
      <c r="K1680" t="s">
        <v>1543</v>
      </c>
      <c r="L1680" t="s">
        <v>25</v>
      </c>
      <c r="M1680" s="8">
        <v>0.95199999999999996</v>
      </c>
      <c r="N1680" t="s">
        <v>26</v>
      </c>
      <c r="O1680" s="8">
        <v>0.95199999999999996</v>
      </c>
      <c r="P1680" s="8">
        <f>EXP(-1.363+3.366*LOG(O1680,10))</f>
        <v>0.23813726407794436</v>
      </c>
      <c r="Q1680" s="8">
        <f>(2618262*100)/2995732</f>
        <v>87.399740697766021</v>
      </c>
    </row>
    <row r="1681" spans="1:17" x14ac:dyDescent="0.2">
      <c r="A1681">
        <v>2016</v>
      </c>
      <c r="B1681" t="s">
        <v>1985</v>
      </c>
      <c r="C1681" t="s">
        <v>1540</v>
      </c>
      <c r="D1681" t="s">
        <v>1983</v>
      </c>
      <c r="E1681">
        <v>4</v>
      </c>
      <c r="F1681" t="s">
        <v>19</v>
      </c>
      <c r="G1681" t="s">
        <v>1532</v>
      </c>
      <c r="H1681" t="s">
        <v>1533</v>
      </c>
      <c r="I1681" t="s">
        <v>22</v>
      </c>
      <c r="J1681" t="s">
        <v>42</v>
      </c>
      <c r="K1681" t="s">
        <v>1543</v>
      </c>
      <c r="L1681" t="s">
        <v>25</v>
      </c>
      <c r="M1681" s="8">
        <v>3.08</v>
      </c>
      <c r="N1681" t="s">
        <v>26</v>
      </c>
      <c r="O1681" s="8">
        <v>3.08</v>
      </c>
      <c r="P1681" s="8">
        <f>EXP(-1.363+3.366*LOG(O1681,10))</f>
        <v>1.3250652609076723</v>
      </c>
      <c r="Q1681" s="8">
        <f>(2618262*100)/2995732</f>
        <v>87.399740697766021</v>
      </c>
    </row>
    <row r="1682" spans="1:17" x14ac:dyDescent="0.2">
      <c r="A1682">
        <v>2016</v>
      </c>
      <c r="B1682" t="s">
        <v>1986</v>
      </c>
      <c r="C1682" t="s">
        <v>1635</v>
      </c>
      <c r="D1682" t="s">
        <v>1983</v>
      </c>
      <c r="E1682">
        <v>4</v>
      </c>
      <c r="F1682" t="s">
        <v>19</v>
      </c>
      <c r="G1682" t="s">
        <v>303</v>
      </c>
      <c r="H1682" t="s">
        <v>1938</v>
      </c>
      <c r="I1682" t="s">
        <v>36</v>
      </c>
      <c r="J1682" t="s">
        <v>42</v>
      </c>
      <c r="K1682" t="s">
        <v>1543</v>
      </c>
      <c r="L1682" t="s">
        <v>305</v>
      </c>
      <c r="M1682" s="8" t="s">
        <v>26</v>
      </c>
      <c r="N1682" t="s">
        <v>26</v>
      </c>
      <c r="O1682" s="8" t="s">
        <v>26</v>
      </c>
      <c r="P1682" s="8" t="s">
        <v>26</v>
      </c>
      <c r="Q1682" s="8">
        <f>(3602085*100)/4019599</f>
        <v>89.613043490159086</v>
      </c>
    </row>
    <row r="1683" spans="1:17" x14ac:dyDescent="0.2">
      <c r="A1683">
        <v>2016</v>
      </c>
      <c r="B1683" t="s">
        <v>1987</v>
      </c>
      <c r="C1683" t="s">
        <v>1540</v>
      </c>
      <c r="D1683" t="s">
        <v>1983</v>
      </c>
      <c r="E1683">
        <v>4</v>
      </c>
      <c r="F1683" t="s">
        <v>19</v>
      </c>
      <c r="G1683" t="s">
        <v>1735</v>
      </c>
      <c r="H1683" t="s">
        <v>1736</v>
      </c>
      <c r="I1683" t="s">
        <v>36</v>
      </c>
      <c r="J1683" t="s">
        <v>42</v>
      </c>
      <c r="K1683" t="s">
        <v>1543</v>
      </c>
      <c r="L1683" t="s">
        <v>25</v>
      </c>
      <c r="M1683" s="8">
        <v>3.8633333329999999</v>
      </c>
      <c r="N1683" t="s">
        <v>26</v>
      </c>
      <c r="O1683" s="8">
        <v>3.8633333329999999</v>
      </c>
      <c r="P1683" s="8">
        <f>EXP(-1.363+3.366*LOG(O1683,10))</f>
        <v>1.8454344092406809</v>
      </c>
      <c r="Q1683" s="8">
        <f>(2618262*100)/2995732</f>
        <v>87.399740697766021</v>
      </c>
    </row>
    <row r="1684" spans="1:17" x14ac:dyDescent="0.2">
      <c r="A1684">
        <v>2016</v>
      </c>
      <c r="B1684" t="s">
        <v>1988</v>
      </c>
      <c r="C1684" t="s">
        <v>1547</v>
      </c>
      <c r="D1684" t="s">
        <v>1983</v>
      </c>
      <c r="E1684">
        <v>4</v>
      </c>
      <c r="F1684" t="s">
        <v>19</v>
      </c>
      <c r="G1684" t="s">
        <v>230</v>
      </c>
      <c r="H1684" t="s">
        <v>268</v>
      </c>
      <c r="I1684" t="s">
        <v>22</v>
      </c>
      <c r="J1684" t="s">
        <v>42</v>
      </c>
      <c r="K1684" t="s">
        <v>1543</v>
      </c>
      <c r="L1684" t="s">
        <v>25</v>
      </c>
      <c r="M1684" s="8">
        <v>3.5356666670000001</v>
      </c>
      <c r="N1684" t="s">
        <v>26</v>
      </c>
      <c r="O1684" s="8">
        <v>3.5356666670000001</v>
      </c>
      <c r="P1684" s="8">
        <f>EXP(-1.363+3.366*LOG(O1684,10))</f>
        <v>1.6211802664427075</v>
      </c>
      <c r="Q1684" s="8">
        <f>(3881584*100)/4292409</f>
        <v>90.429034139104644</v>
      </c>
    </row>
    <row r="1685" spans="1:17" x14ac:dyDescent="0.2">
      <c r="A1685">
        <v>2016</v>
      </c>
      <c r="B1685" t="s">
        <v>1989</v>
      </c>
      <c r="C1685" t="s">
        <v>1610</v>
      </c>
      <c r="D1685" t="s">
        <v>1983</v>
      </c>
      <c r="E1685">
        <v>4</v>
      </c>
      <c r="F1685" t="s">
        <v>19</v>
      </c>
      <c r="G1685" t="s">
        <v>20</v>
      </c>
      <c r="H1685" t="s">
        <v>45</v>
      </c>
      <c r="I1685" t="s">
        <v>22</v>
      </c>
      <c r="J1685" t="s">
        <v>42</v>
      </c>
      <c r="K1685" t="s">
        <v>1543</v>
      </c>
      <c r="L1685" t="s">
        <v>25</v>
      </c>
      <c r="M1685" s="8">
        <v>1.903333333</v>
      </c>
      <c r="N1685" t="s">
        <v>26</v>
      </c>
      <c r="O1685" s="8">
        <v>1.903333333</v>
      </c>
      <c r="P1685" s="8">
        <f>EXP(-1.363+3.366*LOG(O1685,10))</f>
        <v>0.65563371760507783</v>
      </c>
      <c r="Q1685" s="8">
        <f>(2475923*100)/2844344</f>
        <v>87.047241824476927</v>
      </c>
    </row>
    <row r="1686" spans="1:17" x14ac:dyDescent="0.2">
      <c r="A1686">
        <v>2016</v>
      </c>
      <c r="B1686" t="s">
        <v>1990</v>
      </c>
      <c r="C1686" t="s">
        <v>1635</v>
      </c>
      <c r="D1686" t="s">
        <v>1991</v>
      </c>
      <c r="E1686">
        <v>4</v>
      </c>
      <c r="F1686" t="s">
        <v>19</v>
      </c>
      <c r="G1686" t="s">
        <v>219</v>
      </c>
      <c r="H1686" t="s">
        <v>220</v>
      </c>
      <c r="I1686" t="s">
        <v>22</v>
      </c>
      <c r="J1686" t="s">
        <v>42</v>
      </c>
      <c r="K1686" t="s">
        <v>1543</v>
      </c>
      <c r="L1686" t="s">
        <v>25</v>
      </c>
      <c r="M1686" s="8">
        <v>2.8969999999999998</v>
      </c>
      <c r="N1686" t="s">
        <v>26</v>
      </c>
      <c r="O1686" s="8">
        <v>2.8969999999999998</v>
      </c>
      <c r="P1686" s="8">
        <f>EXP(-1.363+3.366*LOG(O1686,10))</f>
        <v>1.2115719332293342</v>
      </c>
      <c r="Q1686" s="8">
        <f>(3602085*100)/4019599</f>
        <v>89.613043490159086</v>
      </c>
    </row>
    <row r="1687" spans="1:17" x14ac:dyDescent="0.2">
      <c r="A1687">
        <v>2016</v>
      </c>
      <c r="B1687" t="s">
        <v>1992</v>
      </c>
      <c r="C1687" t="s">
        <v>1635</v>
      </c>
      <c r="D1687" t="s">
        <v>1991</v>
      </c>
      <c r="E1687">
        <v>4</v>
      </c>
      <c r="F1687" t="s">
        <v>19</v>
      </c>
      <c r="G1687" t="s">
        <v>352</v>
      </c>
      <c r="H1687" t="s">
        <v>1142</v>
      </c>
      <c r="I1687" t="s">
        <v>22</v>
      </c>
      <c r="J1687" t="s">
        <v>42</v>
      </c>
      <c r="K1687" t="s">
        <v>1543</v>
      </c>
      <c r="L1687" t="s">
        <v>25</v>
      </c>
      <c r="M1687" s="8">
        <v>1.1423333330000001</v>
      </c>
      <c r="N1687" t="s">
        <v>26</v>
      </c>
      <c r="O1687" s="8">
        <v>1.1423333330000001</v>
      </c>
      <c r="P1687" s="8">
        <f>EXP(-1.363+3.366*LOG(O1687,10))</f>
        <v>0.31084239358261528</v>
      </c>
      <c r="Q1687" s="8">
        <f>(3602085*100)/4019599</f>
        <v>89.613043490159086</v>
      </c>
    </row>
    <row r="1688" spans="1:17" x14ac:dyDescent="0.2">
      <c r="A1688">
        <v>2016</v>
      </c>
      <c r="B1688" t="s">
        <v>1993</v>
      </c>
      <c r="C1688" t="s">
        <v>1635</v>
      </c>
      <c r="D1688" t="s">
        <v>1991</v>
      </c>
      <c r="E1688">
        <v>4</v>
      </c>
      <c r="F1688" t="s">
        <v>19</v>
      </c>
      <c r="G1688" t="s">
        <v>352</v>
      </c>
      <c r="H1688" t="s">
        <v>1142</v>
      </c>
      <c r="I1688" t="s">
        <v>22</v>
      </c>
      <c r="J1688" t="s">
        <v>42</v>
      </c>
      <c r="K1688" t="s">
        <v>1543</v>
      </c>
      <c r="L1688" t="s">
        <v>25</v>
      </c>
      <c r="M1688" s="8">
        <v>1.1423333330000001</v>
      </c>
      <c r="N1688" t="s">
        <v>26</v>
      </c>
      <c r="O1688" s="8">
        <v>1.1423333330000001</v>
      </c>
      <c r="P1688" s="8">
        <f>EXP(-1.363+3.366*LOG(O1688,10))</f>
        <v>0.31084239358261528</v>
      </c>
      <c r="Q1688" s="8">
        <f>(3602085*100)/4019599</f>
        <v>89.613043490159086</v>
      </c>
    </row>
    <row r="1689" spans="1:17" x14ac:dyDescent="0.2">
      <c r="A1689">
        <v>2016</v>
      </c>
      <c r="B1689" t="s">
        <v>1994</v>
      </c>
      <c r="C1689" t="s">
        <v>1540</v>
      </c>
      <c r="D1689" t="s">
        <v>1991</v>
      </c>
      <c r="E1689">
        <v>4</v>
      </c>
      <c r="F1689" t="s">
        <v>19</v>
      </c>
      <c r="G1689" t="s">
        <v>1532</v>
      </c>
      <c r="H1689" t="s">
        <v>1995</v>
      </c>
      <c r="I1689" t="s">
        <v>36</v>
      </c>
      <c r="J1689" t="s">
        <v>42</v>
      </c>
      <c r="K1689" t="s">
        <v>1543</v>
      </c>
      <c r="L1689" t="s">
        <v>25</v>
      </c>
      <c r="M1689" s="8">
        <v>1.8935</v>
      </c>
      <c r="N1689" t="s">
        <v>26</v>
      </c>
      <c r="O1689" s="8">
        <v>1.8935</v>
      </c>
      <c r="P1689" s="8">
        <f>EXP(-1.363+3.366*LOG(O1689,10))</f>
        <v>0.65068802990639008</v>
      </c>
      <c r="Q1689" s="8">
        <f>(2618262*100)/2995732</f>
        <v>87.399740697766021</v>
      </c>
    </row>
    <row r="1690" spans="1:17" x14ac:dyDescent="0.2">
      <c r="A1690">
        <v>2016</v>
      </c>
      <c r="B1690" t="s">
        <v>1996</v>
      </c>
      <c r="C1690" t="s">
        <v>1540</v>
      </c>
      <c r="D1690" t="s">
        <v>1991</v>
      </c>
      <c r="E1690">
        <v>4</v>
      </c>
      <c r="F1690" t="s">
        <v>19</v>
      </c>
      <c r="G1690" t="s">
        <v>1532</v>
      </c>
      <c r="H1690" t="s">
        <v>1995</v>
      </c>
      <c r="I1690" t="s">
        <v>36</v>
      </c>
      <c r="J1690" t="s">
        <v>42</v>
      </c>
      <c r="K1690" t="s">
        <v>1543</v>
      </c>
      <c r="L1690" t="s">
        <v>25</v>
      </c>
      <c r="M1690" s="8">
        <v>1.8935</v>
      </c>
      <c r="N1690" t="s">
        <v>26</v>
      </c>
      <c r="O1690" s="8">
        <v>1.8935</v>
      </c>
      <c r="P1690" s="8">
        <f>EXP(-1.363+3.366*LOG(O1690,10))</f>
        <v>0.65068802990639008</v>
      </c>
      <c r="Q1690" s="8">
        <f>(2618262*100)/2995732</f>
        <v>87.399740697766021</v>
      </c>
    </row>
    <row r="1691" spans="1:17" x14ac:dyDescent="0.2">
      <c r="A1691">
        <v>2016</v>
      </c>
      <c r="B1691" t="s">
        <v>1997</v>
      </c>
      <c r="C1691" t="s">
        <v>1540</v>
      </c>
      <c r="D1691" t="s">
        <v>1991</v>
      </c>
      <c r="E1691">
        <v>4</v>
      </c>
      <c r="F1691" t="s">
        <v>19</v>
      </c>
      <c r="G1691" t="s">
        <v>362</v>
      </c>
      <c r="H1691" t="s">
        <v>447</v>
      </c>
      <c r="I1691" t="s">
        <v>22</v>
      </c>
      <c r="J1691" t="s">
        <v>42</v>
      </c>
      <c r="K1691" t="s">
        <v>1543</v>
      </c>
      <c r="L1691" t="s">
        <v>25</v>
      </c>
      <c r="M1691" s="8">
        <v>1.421</v>
      </c>
      <c r="N1691" t="s">
        <v>26</v>
      </c>
      <c r="O1691" s="8">
        <v>1.421</v>
      </c>
      <c r="P1691" s="8">
        <f>EXP(-1.363+3.366*LOG(O1691,10))</f>
        <v>0.42768500084673816</v>
      </c>
      <c r="Q1691" s="8">
        <f>(2618262*100)/2995732</f>
        <v>87.399740697766021</v>
      </c>
    </row>
    <row r="1692" spans="1:17" x14ac:dyDescent="0.2">
      <c r="A1692">
        <v>2016</v>
      </c>
      <c r="B1692" t="s">
        <v>1998</v>
      </c>
      <c r="C1692" t="s">
        <v>1540</v>
      </c>
      <c r="D1692" t="s">
        <v>1991</v>
      </c>
      <c r="E1692">
        <v>4</v>
      </c>
      <c r="F1692" t="s">
        <v>19</v>
      </c>
      <c r="G1692" t="s">
        <v>352</v>
      </c>
      <c r="H1692" t="s">
        <v>975</v>
      </c>
      <c r="I1692" t="s">
        <v>22</v>
      </c>
      <c r="J1692" t="s">
        <v>42</v>
      </c>
      <c r="K1692" t="s">
        <v>1543</v>
      </c>
      <c r="L1692" t="s">
        <v>25</v>
      </c>
      <c r="M1692" s="8">
        <v>1.0693333330000001</v>
      </c>
      <c r="N1692" t="s">
        <v>26</v>
      </c>
      <c r="O1692" s="8">
        <v>1.0693333330000001</v>
      </c>
      <c r="P1692" s="8">
        <f>EXP(-1.363+3.366*LOG(O1692,10))</f>
        <v>0.28223780327142356</v>
      </c>
      <c r="Q1692" s="8">
        <f>(2618262*100)/2995732</f>
        <v>87.399740697766021</v>
      </c>
    </row>
    <row r="1693" spans="1:17" x14ac:dyDescent="0.2">
      <c r="A1693">
        <v>2016</v>
      </c>
      <c r="B1693" t="s">
        <v>1999</v>
      </c>
      <c r="C1693" t="s">
        <v>1547</v>
      </c>
      <c r="D1693" t="s">
        <v>1991</v>
      </c>
      <c r="E1693">
        <v>4</v>
      </c>
      <c r="F1693" t="s">
        <v>19</v>
      </c>
      <c r="G1693" t="s">
        <v>352</v>
      </c>
      <c r="H1693" t="s">
        <v>1394</v>
      </c>
      <c r="I1693" t="s">
        <v>22</v>
      </c>
      <c r="J1693" t="s">
        <v>42</v>
      </c>
      <c r="K1693" t="s">
        <v>1543</v>
      </c>
      <c r="L1693" t="s">
        <v>25</v>
      </c>
      <c r="M1693" s="8">
        <v>1.2776666670000001</v>
      </c>
      <c r="N1693" t="s">
        <v>26</v>
      </c>
      <c r="O1693" s="8">
        <v>1.2776666670000001</v>
      </c>
      <c r="P1693" s="8">
        <f>EXP(-1.363+3.366*LOG(O1693,10))</f>
        <v>0.36611840850570582</v>
      </c>
      <c r="Q1693" s="8">
        <f>(3881584*100)/4292409</f>
        <v>90.429034139104644</v>
      </c>
    </row>
    <row r="1694" spans="1:17" x14ac:dyDescent="0.2">
      <c r="A1694">
        <v>2016</v>
      </c>
      <c r="B1694" t="s">
        <v>2000</v>
      </c>
      <c r="C1694" t="s">
        <v>1540</v>
      </c>
      <c r="D1694" t="s">
        <v>1991</v>
      </c>
      <c r="E1694">
        <v>4</v>
      </c>
      <c r="F1694" t="s">
        <v>19</v>
      </c>
      <c r="G1694" t="s">
        <v>1532</v>
      </c>
      <c r="H1694" t="s">
        <v>1995</v>
      </c>
      <c r="I1694" t="s">
        <v>36</v>
      </c>
      <c r="J1694" t="s">
        <v>42</v>
      </c>
      <c r="K1694" t="s">
        <v>1543</v>
      </c>
      <c r="L1694" t="s">
        <v>25</v>
      </c>
      <c r="M1694" s="8">
        <v>1.8935</v>
      </c>
      <c r="N1694" t="s">
        <v>26</v>
      </c>
      <c r="O1694" s="8">
        <v>1.8935</v>
      </c>
      <c r="P1694" s="8">
        <f>EXP(-1.363+3.366*LOG(O1694,10))</f>
        <v>0.65068802990639008</v>
      </c>
      <c r="Q1694" s="8">
        <f>(2618262*100)/2995732</f>
        <v>87.399740697766021</v>
      </c>
    </row>
    <row r="1695" spans="1:17" x14ac:dyDescent="0.2">
      <c r="A1695">
        <v>2016</v>
      </c>
      <c r="B1695" t="s">
        <v>2001</v>
      </c>
      <c r="C1695" t="s">
        <v>1540</v>
      </c>
      <c r="D1695" t="s">
        <v>2002</v>
      </c>
      <c r="E1695">
        <v>5</v>
      </c>
      <c r="F1695" t="s">
        <v>19</v>
      </c>
      <c r="G1695" t="s">
        <v>352</v>
      </c>
      <c r="H1695" t="s">
        <v>975</v>
      </c>
      <c r="I1695" t="s">
        <v>22</v>
      </c>
      <c r="J1695" t="s">
        <v>42</v>
      </c>
      <c r="K1695" t="s">
        <v>1543</v>
      </c>
      <c r="L1695" t="s">
        <v>25</v>
      </c>
      <c r="M1695" s="8">
        <v>1.0693333330000001</v>
      </c>
      <c r="N1695" t="s">
        <v>26</v>
      </c>
      <c r="O1695" s="8">
        <v>1.0693333330000001</v>
      </c>
      <c r="P1695" s="8">
        <f>EXP(-1.363+3.366*LOG(O1695,10))</f>
        <v>0.28223780327142356</v>
      </c>
      <c r="Q1695" s="8">
        <f>(2618262*100)/2995732</f>
        <v>87.399740697766021</v>
      </c>
    </row>
    <row r="1696" spans="1:17" x14ac:dyDescent="0.2">
      <c r="A1696">
        <v>2016</v>
      </c>
      <c r="B1696" t="s">
        <v>2003</v>
      </c>
      <c r="C1696" t="s">
        <v>1624</v>
      </c>
      <c r="D1696" t="s">
        <v>2002</v>
      </c>
      <c r="E1696">
        <v>5</v>
      </c>
      <c r="F1696" t="s">
        <v>19</v>
      </c>
      <c r="G1696" t="s">
        <v>352</v>
      </c>
      <c r="H1696" t="s">
        <v>1142</v>
      </c>
      <c r="I1696" t="s">
        <v>22</v>
      </c>
      <c r="J1696" t="s">
        <v>42</v>
      </c>
      <c r="K1696" t="s">
        <v>1543</v>
      </c>
      <c r="L1696" t="s">
        <v>25</v>
      </c>
      <c r="M1696" s="8">
        <v>1.1423333330000001</v>
      </c>
      <c r="N1696" t="s">
        <v>26</v>
      </c>
      <c r="O1696" s="8">
        <v>1.1423333330000001</v>
      </c>
      <c r="P1696" s="8">
        <f>EXP(-1.363+3.366*LOG(O1696,10))</f>
        <v>0.31084239358261528</v>
      </c>
      <c r="Q1696" s="8">
        <f>(1599772*100)/1881247</f>
        <v>85.037849894245682</v>
      </c>
    </row>
    <row r="1697" spans="1:17" x14ac:dyDescent="0.2">
      <c r="A1697">
        <v>2016</v>
      </c>
      <c r="B1697" t="s">
        <v>2004</v>
      </c>
      <c r="C1697" t="s">
        <v>1635</v>
      </c>
      <c r="D1697" t="s">
        <v>2002</v>
      </c>
      <c r="E1697">
        <v>5</v>
      </c>
      <c r="F1697" t="s">
        <v>19</v>
      </c>
      <c r="G1697" t="s">
        <v>352</v>
      </c>
      <c r="H1697" t="s">
        <v>1142</v>
      </c>
      <c r="I1697" t="s">
        <v>22</v>
      </c>
      <c r="J1697" t="s">
        <v>42</v>
      </c>
      <c r="K1697" t="s">
        <v>1543</v>
      </c>
      <c r="L1697" t="s">
        <v>25</v>
      </c>
      <c r="M1697" s="8">
        <v>1.1423333330000001</v>
      </c>
      <c r="N1697" t="s">
        <v>26</v>
      </c>
      <c r="O1697" s="8">
        <v>1.1423333330000001</v>
      </c>
      <c r="P1697" s="8">
        <f>EXP(-1.363+3.366*LOG(O1697,10))</f>
        <v>0.31084239358261528</v>
      </c>
      <c r="Q1697" s="8">
        <f>(3602085*100)/4019599</f>
        <v>89.613043490159086</v>
      </c>
    </row>
    <row r="1698" spans="1:17" x14ac:dyDescent="0.2">
      <c r="A1698">
        <v>2016</v>
      </c>
      <c r="B1698" t="s">
        <v>2005</v>
      </c>
      <c r="C1698" t="s">
        <v>1635</v>
      </c>
      <c r="D1698" t="s">
        <v>2002</v>
      </c>
      <c r="E1698">
        <v>5</v>
      </c>
      <c r="F1698" t="s">
        <v>19</v>
      </c>
      <c r="G1698" t="s">
        <v>352</v>
      </c>
      <c r="H1698" t="s">
        <v>975</v>
      </c>
      <c r="I1698" t="s">
        <v>22</v>
      </c>
      <c r="J1698" t="s">
        <v>42</v>
      </c>
      <c r="K1698" t="s">
        <v>1543</v>
      </c>
      <c r="L1698" t="s">
        <v>25</v>
      </c>
      <c r="M1698" s="8">
        <v>1.0693333330000001</v>
      </c>
      <c r="N1698" t="s">
        <v>26</v>
      </c>
      <c r="O1698" s="8">
        <v>1.0693333330000001</v>
      </c>
      <c r="P1698" s="8">
        <f>EXP(-1.363+3.366*LOG(O1698,10))</f>
        <v>0.28223780327142356</v>
      </c>
      <c r="Q1698" s="8">
        <f>(3602085*100)/4019599</f>
        <v>89.613043490159086</v>
      </c>
    </row>
    <row r="1699" spans="1:17" x14ac:dyDescent="0.2">
      <c r="A1699">
        <v>2016</v>
      </c>
      <c r="B1699" t="s">
        <v>2006</v>
      </c>
      <c r="C1699" t="s">
        <v>1540</v>
      </c>
      <c r="D1699" t="s">
        <v>2002</v>
      </c>
      <c r="E1699">
        <v>5</v>
      </c>
      <c r="F1699" t="s">
        <v>19</v>
      </c>
      <c r="G1699" t="s">
        <v>20</v>
      </c>
      <c r="H1699" t="s">
        <v>145</v>
      </c>
      <c r="I1699" t="s">
        <v>22</v>
      </c>
      <c r="J1699" t="s">
        <v>42</v>
      </c>
      <c r="K1699" t="s">
        <v>1543</v>
      </c>
      <c r="L1699" t="s">
        <v>25</v>
      </c>
      <c r="M1699" s="8">
        <v>2.399666667</v>
      </c>
      <c r="N1699" t="s">
        <v>26</v>
      </c>
      <c r="O1699" s="8">
        <v>2.399666667</v>
      </c>
      <c r="P1699" s="8">
        <f>EXP(-1.363+3.366*LOG(O1699,10))</f>
        <v>0.91997203423956198</v>
      </c>
      <c r="Q1699" s="8">
        <f>(2618262*100)/2995732</f>
        <v>87.399740697766021</v>
      </c>
    </row>
    <row r="1700" spans="1:17" x14ac:dyDescent="0.2">
      <c r="A1700">
        <v>2016</v>
      </c>
      <c r="B1700" t="s">
        <v>2007</v>
      </c>
      <c r="C1700" t="s">
        <v>1540</v>
      </c>
      <c r="D1700" t="s">
        <v>2008</v>
      </c>
      <c r="E1700">
        <v>5</v>
      </c>
      <c r="F1700" t="s">
        <v>19</v>
      </c>
      <c r="G1700" t="s">
        <v>352</v>
      </c>
      <c r="H1700" t="s">
        <v>494</v>
      </c>
      <c r="I1700" t="s">
        <v>22</v>
      </c>
      <c r="J1700" t="s">
        <v>42</v>
      </c>
      <c r="K1700" t="s">
        <v>1543</v>
      </c>
      <c r="L1700" t="s">
        <v>25</v>
      </c>
      <c r="M1700" s="8">
        <v>1.7226666669999999</v>
      </c>
      <c r="N1700" t="s">
        <v>26</v>
      </c>
      <c r="O1700" s="8">
        <v>1.7226666669999999</v>
      </c>
      <c r="P1700" s="8">
        <f>EXP(-1.363+3.366*LOG(O1700,10))</f>
        <v>0.56668788662759551</v>
      </c>
      <c r="Q1700" s="8">
        <f>(2618262*100)/2995732</f>
        <v>87.399740697766021</v>
      </c>
    </row>
    <row r="1701" spans="1:17" x14ac:dyDescent="0.2">
      <c r="A1701">
        <v>2016</v>
      </c>
      <c r="B1701" t="s">
        <v>2009</v>
      </c>
      <c r="C1701" t="s">
        <v>1540</v>
      </c>
      <c r="D1701" t="s">
        <v>2008</v>
      </c>
      <c r="E1701">
        <v>5</v>
      </c>
      <c r="F1701" t="s">
        <v>19</v>
      </c>
      <c r="G1701" t="s">
        <v>362</v>
      </c>
      <c r="H1701" t="s">
        <v>447</v>
      </c>
      <c r="I1701" t="s">
        <v>22</v>
      </c>
      <c r="J1701" t="s">
        <v>42</v>
      </c>
      <c r="K1701" t="s">
        <v>1543</v>
      </c>
      <c r="L1701" t="s">
        <v>25</v>
      </c>
      <c r="M1701" s="8">
        <v>1.421</v>
      </c>
      <c r="N1701" t="s">
        <v>26</v>
      </c>
      <c r="O1701" s="8">
        <v>1.421</v>
      </c>
      <c r="P1701" s="8">
        <f>EXP(-1.363+3.366*LOG(O1701,10))</f>
        <v>0.42768500084673816</v>
      </c>
      <c r="Q1701" s="8">
        <f>(2618262*100)/2995732</f>
        <v>87.399740697766021</v>
      </c>
    </row>
    <row r="1702" spans="1:17" x14ac:dyDescent="0.2">
      <c r="A1702">
        <v>2016</v>
      </c>
      <c r="B1702" t="s">
        <v>2010</v>
      </c>
      <c r="C1702" t="s">
        <v>1540</v>
      </c>
      <c r="D1702" t="s">
        <v>2011</v>
      </c>
      <c r="E1702">
        <v>5</v>
      </c>
      <c r="F1702" t="s">
        <v>19</v>
      </c>
      <c r="G1702" t="s">
        <v>352</v>
      </c>
      <c r="H1702" t="s">
        <v>975</v>
      </c>
      <c r="I1702" t="s">
        <v>22</v>
      </c>
      <c r="J1702" t="s">
        <v>42</v>
      </c>
      <c r="K1702" t="s">
        <v>1543</v>
      </c>
      <c r="L1702" t="s">
        <v>25</v>
      </c>
      <c r="M1702" s="8">
        <v>1.0693333330000001</v>
      </c>
      <c r="N1702" t="s">
        <v>26</v>
      </c>
      <c r="O1702" s="8">
        <v>1.0693333330000001</v>
      </c>
      <c r="P1702" s="8">
        <f>EXP(-1.363+3.366*LOG(O1702,10))</f>
        <v>0.28223780327142356</v>
      </c>
      <c r="Q1702" s="8">
        <f>(2618262*100)/2995732</f>
        <v>87.399740697766021</v>
      </c>
    </row>
    <row r="1703" spans="1:17" x14ac:dyDescent="0.2">
      <c r="A1703">
        <v>2016</v>
      </c>
      <c r="B1703" t="s">
        <v>2012</v>
      </c>
      <c r="C1703" t="s">
        <v>1540</v>
      </c>
      <c r="D1703" t="s">
        <v>2011</v>
      </c>
      <c r="E1703">
        <v>5</v>
      </c>
      <c r="F1703" t="s">
        <v>19</v>
      </c>
      <c r="G1703" t="s">
        <v>1520</v>
      </c>
      <c r="H1703" t="s">
        <v>1528</v>
      </c>
      <c r="I1703" t="s">
        <v>36</v>
      </c>
      <c r="J1703" t="s">
        <v>42</v>
      </c>
      <c r="K1703" t="s">
        <v>1543</v>
      </c>
      <c r="L1703" t="s">
        <v>25</v>
      </c>
      <c r="M1703" s="8">
        <v>3.3860000000000001</v>
      </c>
      <c r="N1703" t="s">
        <v>26</v>
      </c>
      <c r="O1703" s="8">
        <v>3.3860000000000001</v>
      </c>
      <c r="P1703" s="8">
        <f>EXP(-1.363+3.366*LOG(O1703,10))</f>
        <v>1.5218493704875904</v>
      </c>
      <c r="Q1703" s="8">
        <f>(2618262*100)/2995732</f>
        <v>87.399740697766021</v>
      </c>
    </row>
    <row r="1704" spans="1:17" x14ac:dyDescent="0.2">
      <c r="A1704">
        <v>2016</v>
      </c>
      <c r="B1704" t="s">
        <v>2013</v>
      </c>
      <c r="C1704" t="s">
        <v>1540</v>
      </c>
      <c r="D1704" t="s">
        <v>2011</v>
      </c>
      <c r="E1704">
        <v>5</v>
      </c>
      <c r="F1704" t="s">
        <v>19</v>
      </c>
      <c r="G1704" t="s">
        <v>362</v>
      </c>
      <c r="H1704" t="s">
        <v>447</v>
      </c>
      <c r="I1704" t="s">
        <v>22</v>
      </c>
      <c r="J1704" t="s">
        <v>42</v>
      </c>
      <c r="K1704" t="s">
        <v>1543</v>
      </c>
      <c r="L1704" t="s">
        <v>25</v>
      </c>
      <c r="M1704" s="8">
        <v>1.421</v>
      </c>
      <c r="N1704" t="s">
        <v>26</v>
      </c>
      <c r="O1704" s="8">
        <v>1.421</v>
      </c>
      <c r="P1704" s="8">
        <f>EXP(-1.363+3.366*LOG(O1704,10))</f>
        <v>0.42768500084673816</v>
      </c>
      <c r="Q1704" s="8">
        <f>(2618262*100)/2995732</f>
        <v>87.399740697766021</v>
      </c>
    </row>
    <row r="1705" spans="1:17" x14ac:dyDescent="0.2">
      <c r="A1705">
        <v>2016</v>
      </c>
      <c r="B1705" t="s">
        <v>2014</v>
      </c>
      <c r="C1705" t="s">
        <v>1540</v>
      </c>
      <c r="D1705" t="s">
        <v>2011</v>
      </c>
      <c r="E1705">
        <v>5</v>
      </c>
      <c r="F1705" t="s">
        <v>19</v>
      </c>
      <c r="G1705" t="s">
        <v>352</v>
      </c>
      <c r="H1705" t="s">
        <v>1459</v>
      </c>
      <c r="I1705" t="s">
        <v>22</v>
      </c>
      <c r="J1705" t="s">
        <v>42</v>
      </c>
      <c r="K1705" t="s">
        <v>1543</v>
      </c>
      <c r="L1705" t="s">
        <v>25</v>
      </c>
      <c r="M1705" s="8">
        <v>1.1910000000000001</v>
      </c>
      <c r="N1705" t="s">
        <v>26</v>
      </c>
      <c r="O1705" s="8">
        <v>1.1910000000000001</v>
      </c>
      <c r="P1705" s="8">
        <f>EXP(-1.363+3.366*LOG(O1705,10))</f>
        <v>0.33039016297752993</v>
      </c>
      <c r="Q1705" s="8">
        <f>(2618262*100)/2995732</f>
        <v>87.399740697766021</v>
      </c>
    </row>
    <row r="1706" spans="1:17" x14ac:dyDescent="0.2">
      <c r="A1706">
        <v>2016</v>
      </c>
      <c r="B1706" t="s">
        <v>2015</v>
      </c>
      <c r="C1706" t="s">
        <v>1540</v>
      </c>
      <c r="D1706" t="s">
        <v>2011</v>
      </c>
      <c r="E1706">
        <v>5</v>
      </c>
      <c r="F1706" t="s">
        <v>19</v>
      </c>
      <c r="G1706" t="s">
        <v>20</v>
      </c>
      <c r="H1706" t="s">
        <v>149</v>
      </c>
      <c r="I1706" t="s">
        <v>22</v>
      </c>
      <c r="J1706" t="s">
        <v>42</v>
      </c>
      <c r="K1706" t="s">
        <v>1543</v>
      </c>
      <c r="L1706" t="s">
        <v>25</v>
      </c>
      <c r="M1706" s="8">
        <v>1.45</v>
      </c>
      <c r="N1706" t="s">
        <v>26</v>
      </c>
      <c r="O1706" s="8">
        <v>1.45</v>
      </c>
      <c r="P1706" s="8">
        <f>EXP(-1.363+3.366*LOG(O1706,10))</f>
        <v>0.44050419760124854</v>
      </c>
      <c r="Q1706" s="8">
        <f>(2618262*100)/2995732</f>
        <v>87.399740697766021</v>
      </c>
    </row>
    <row r="1707" spans="1:17" x14ac:dyDescent="0.2">
      <c r="A1707">
        <v>2016</v>
      </c>
      <c r="B1707" t="s">
        <v>2016</v>
      </c>
      <c r="C1707" t="s">
        <v>1540</v>
      </c>
      <c r="D1707" t="s">
        <v>2011</v>
      </c>
      <c r="E1707">
        <v>5</v>
      </c>
      <c r="F1707" t="s">
        <v>19</v>
      </c>
      <c r="G1707" t="s">
        <v>362</v>
      </c>
      <c r="H1707" t="s">
        <v>447</v>
      </c>
      <c r="I1707" t="s">
        <v>22</v>
      </c>
      <c r="J1707" t="s">
        <v>42</v>
      </c>
      <c r="K1707" t="s">
        <v>1543</v>
      </c>
      <c r="L1707" t="s">
        <v>25</v>
      </c>
      <c r="M1707" s="8">
        <v>1.421</v>
      </c>
      <c r="N1707" t="s">
        <v>26</v>
      </c>
      <c r="O1707" s="8">
        <v>1.421</v>
      </c>
      <c r="P1707" s="8">
        <f>EXP(-1.363+3.366*LOG(O1707,10))</f>
        <v>0.42768500084673816</v>
      </c>
      <c r="Q1707" s="8">
        <f>(2618262*100)/2995732</f>
        <v>87.399740697766021</v>
      </c>
    </row>
    <row r="1708" spans="1:17" x14ac:dyDescent="0.2">
      <c r="A1708">
        <v>2016</v>
      </c>
      <c r="B1708" t="s">
        <v>2017</v>
      </c>
      <c r="C1708" t="s">
        <v>1540</v>
      </c>
      <c r="D1708" t="s">
        <v>2011</v>
      </c>
      <c r="E1708">
        <v>5</v>
      </c>
      <c r="F1708" t="s">
        <v>19</v>
      </c>
      <c r="G1708" t="s">
        <v>352</v>
      </c>
      <c r="H1708" t="s">
        <v>1142</v>
      </c>
      <c r="I1708" t="s">
        <v>22</v>
      </c>
      <c r="J1708" t="s">
        <v>42</v>
      </c>
      <c r="K1708" t="s">
        <v>1543</v>
      </c>
      <c r="L1708" t="s">
        <v>25</v>
      </c>
      <c r="M1708" s="8">
        <v>1.1423333330000001</v>
      </c>
      <c r="N1708" t="s">
        <v>26</v>
      </c>
      <c r="O1708" s="8">
        <v>1.1423333330000001</v>
      </c>
      <c r="P1708" s="8">
        <f>EXP(-1.363+3.366*LOG(O1708,10))</f>
        <v>0.31084239358261528</v>
      </c>
      <c r="Q1708" s="8">
        <f>(2618262*100)/2995732</f>
        <v>87.399740697766021</v>
      </c>
    </row>
    <row r="1709" spans="1:17" x14ac:dyDescent="0.2">
      <c r="A1709">
        <v>2016</v>
      </c>
      <c r="B1709" t="s">
        <v>2018</v>
      </c>
      <c r="C1709" t="s">
        <v>1540</v>
      </c>
      <c r="D1709" t="s">
        <v>2011</v>
      </c>
      <c r="E1709">
        <v>5</v>
      </c>
      <c r="F1709" t="s">
        <v>19</v>
      </c>
      <c r="G1709" t="s">
        <v>362</v>
      </c>
      <c r="H1709" t="s">
        <v>447</v>
      </c>
      <c r="I1709" t="s">
        <v>22</v>
      </c>
      <c r="J1709" t="s">
        <v>42</v>
      </c>
      <c r="K1709" t="s">
        <v>1543</v>
      </c>
      <c r="L1709" t="s">
        <v>25</v>
      </c>
      <c r="M1709" s="8">
        <v>1.421</v>
      </c>
      <c r="N1709" t="s">
        <v>26</v>
      </c>
      <c r="O1709" s="8">
        <v>1.421</v>
      </c>
      <c r="P1709" s="8">
        <f>EXP(-1.363+3.366*LOG(O1709,10))</f>
        <v>0.42768500084673816</v>
      </c>
      <c r="Q1709" s="8">
        <f>(2618262*100)/2995732</f>
        <v>87.399740697766021</v>
      </c>
    </row>
    <row r="1710" spans="1:17" x14ac:dyDescent="0.2">
      <c r="A1710">
        <v>2016</v>
      </c>
      <c r="B1710" t="s">
        <v>2019</v>
      </c>
      <c r="C1710" t="s">
        <v>1540</v>
      </c>
      <c r="D1710" t="s">
        <v>2011</v>
      </c>
      <c r="E1710">
        <v>5</v>
      </c>
      <c r="F1710" t="s">
        <v>19</v>
      </c>
      <c r="G1710" t="s">
        <v>1532</v>
      </c>
      <c r="H1710" t="s">
        <v>1533</v>
      </c>
      <c r="I1710" t="s">
        <v>36</v>
      </c>
      <c r="J1710" t="s">
        <v>42</v>
      </c>
      <c r="K1710" t="s">
        <v>1543</v>
      </c>
      <c r="L1710" t="s">
        <v>25</v>
      </c>
      <c r="M1710" s="8">
        <v>2.63</v>
      </c>
      <c r="N1710" t="s">
        <v>26</v>
      </c>
      <c r="O1710" s="8">
        <v>2.63</v>
      </c>
      <c r="P1710" s="8">
        <f>EXP(-1.363+3.366*LOG(O1710,10))</f>
        <v>1.0518715955632558</v>
      </c>
      <c r="Q1710" s="8">
        <f>(2618262*100)/2995732</f>
        <v>87.399740697766021</v>
      </c>
    </row>
    <row r="1711" spans="1:17" s="6" customFormat="1" x14ac:dyDescent="0.2">
      <c r="A1711">
        <v>2016</v>
      </c>
      <c r="B1711" t="s">
        <v>2020</v>
      </c>
      <c r="C1711" t="s">
        <v>1540</v>
      </c>
      <c r="D1711" t="s">
        <v>2011</v>
      </c>
      <c r="E1711">
        <v>5</v>
      </c>
      <c r="F1711" t="s">
        <v>19</v>
      </c>
      <c r="G1711" t="s">
        <v>362</v>
      </c>
      <c r="H1711" t="s">
        <v>447</v>
      </c>
      <c r="I1711" t="s">
        <v>22</v>
      </c>
      <c r="J1711" t="s">
        <v>42</v>
      </c>
      <c r="K1711" t="s">
        <v>1543</v>
      </c>
      <c r="L1711" t="s">
        <v>25</v>
      </c>
      <c r="M1711" s="8">
        <v>1.421</v>
      </c>
      <c r="N1711" t="s">
        <v>26</v>
      </c>
      <c r="O1711" s="8">
        <v>1.421</v>
      </c>
      <c r="P1711" s="8">
        <f>EXP(-1.363+3.366*LOG(O1711,10))</f>
        <v>0.42768500084673816</v>
      </c>
      <c r="Q1711" s="8">
        <f>(2618262*100)/2995732</f>
        <v>87.399740697766021</v>
      </c>
    </row>
    <row r="1712" spans="1:17" s="6" customFormat="1" x14ac:dyDescent="0.2">
      <c r="A1712">
        <v>2016</v>
      </c>
      <c r="B1712" t="s">
        <v>2021</v>
      </c>
      <c r="C1712" t="s">
        <v>1547</v>
      </c>
      <c r="D1712" t="s">
        <v>2022</v>
      </c>
      <c r="E1712">
        <v>5</v>
      </c>
      <c r="F1712" t="s">
        <v>19</v>
      </c>
      <c r="G1712" t="s">
        <v>20</v>
      </c>
      <c r="H1712" t="s">
        <v>1575</v>
      </c>
      <c r="I1712" t="s">
        <v>22</v>
      </c>
      <c r="J1712" t="s">
        <v>42</v>
      </c>
      <c r="K1712" t="s">
        <v>1543</v>
      </c>
      <c r="L1712" t="s">
        <v>26</v>
      </c>
      <c r="M1712" s="8" t="s">
        <v>26</v>
      </c>
      <c r="N1712" t="s">
        <v>26</v>
      </c>
      <c r="O1712" s="8" t="s">
        <v>26</v>
      </c>
      <c r="P1712" s="8" t="s">
        <v>26</v>
      </c>
      <c r="Q1712" s="8">
        <f>(3881584*100)/4292409</f>
        <v>90.429034139104644</v>
      </c>
    </row>
    <row r="1713" spans="1:17" x14ac:dyDescent="0.2">
      <c r="A1713">
        <v>2016</v>
      </c>
      <c r="B1713" t="s">
        <v>2023</v>
      </c>
      <c r="C1713" t="s">
        <v>1540</v>
      </c>
      <c r="D1713" t="s">
        <v>2022</v>
      </c>
      <c r="E1713">
        <v>5</v>
      </c>
      <c r="F1713" t="s">
        <v>19</v>
      </c>
      <c r="G1713" t="s">
        <v>352</v>
      </c>
      <c r="H1713" t="s">
        <v>1459</v>
      </c>
      <c r="I1713" t="s">
        <v>22</v>
      </c>
      <c r="J1713" t="s">
        <v>42</v>
      </c>
      <c r="K1713" t="s">
        <v>1543</v>
      </c>
      <c r="L1713" t="s">
        <v>25</v>
      </c>
      <c r="M1713" s="8">
        <v>1.1910000000000001</v>
      </c>
      <c r="N1713" t="s">
        <v>26</v>
      </c>
      <c r="O1713" s="8">
        <v>1.1910000000000001</v>
      </c>
      <c r="P1713" s="8">
        <f>EXP(-1.363+3.366*LOG(O1713,10))</f>
        <v>0.33039016297752993</v>
      </c>
      <c r="Q1713" s="8">
        <f>(2618262*100)/2995732</f>
        <v>87.399740697766021</v>
      </c>
    </row>
    <row r="1714" spans="1:17" x14ac:dyDescent="0.2">
      <c r="A1714">
        <v>2016</v>
      </c>
      <c r="B1714" t="s">
        <v>2024</v>
      </c>
      <c r="C1714" t="s">
        <v>1540</v>
      </c>
      <c r="D1714" t="s">
        <v>2022</v>
      </c>
      <c r="E1714">
        <v>5</v>
      </c>
      <c r="F1714" t="s">
        <v>19</v>
      </c>
      <c r="G1714" t="s">
        <v>352</v>
      </c>
      <c r="H1714" t="s">
        <v>1459</v>
      </c>
      <c r="I1714" t="s">
        <v>36</v>
      </c>
      <c r="J1714" t="s">
        <v>42</v>
      </c>
      <c r="K1714" t="s">
        <v>1543</v>
      </c>
      <c r="L1714" t="s">
        <v>25</v>
      </c>
      <c r="M1714" s="8">
        <v>1.0913333329999999</v>
      </c>
      <c r="N1714" t="s">
        <v>26</v>
      </c>
      <c r="O1714" s="8">
        <v>1.0913333329999999</v>
      </c>
      <c r="P1714" s="8">
        <f>EXP(-1.363+3.366*LOG(O1714,10))</f>
        <v>0.29076633015787234</v>
      </c>
      <c r="Q1714" s="8">
        <f>(2618262*100)/2995732</f>
        <v>87.399740697766021</v>
      </c>
    </row>
    <row r="1715" spans="1:17" x14ac:dyDescent="0.2">
      <c r="A1715">
        <v>2016</v>
      </c>
      <c r="B1715" t="s">
        <v>2025</v>
      </c>
      <c r="C1715" t="s">
        <v>1540</v>
      </c>
      <c r="D1715" t="s">
        <v>2022</v>
      </c>
      <c r="E1715">
        <v>5</v>
      </c>
      <c r="F1715" t="s">
        <v>19</v>
      </c>
      <c r="G1715" t="s">
        <v>1520</v>
      </c>
      <c r="H1715" t="s">
        <v>1521</v>
      </c>
      <c r="I1715" t="s">
        <v>36</v>
      </c>
      <c r="J1715" t="s">
        <v>42</v>
      </c>
      <c r="K1715" t="s">
        <v>1543</v>
      </c>
      <c r="L1715" t="s">
        <v>25</v>
      </c>
      <c r="M1715" s="8">
        <v>2.3340000000000001</v>
      </c>
      <c r="N1715" t="s">
        <v>26</v>
      </c>
      <c r="O1715" s="8">
        <v>2.3340000000000001</v>
      </c>
      <c r="P1715" s="8">
        <f>EXP(-1.363+3.366*LOG(O1715,10))</f>
        <v>0.88340410488080767</v>
      </c>
      <c r="Q1715" s="8">
        <f>(2618262*100)/2995732</f>
        <v>87.399740697766021</v>
      </c>
    </row>
    <row r="1716" spans="1:17" x14ac:dyDescent="0.2">
      <c r="A1716">
        <v>2016</v>
      </c>
      <c r="B1716" t="s">
        <v>2026</v>
      </c>
      <c r="C1716" t="s">
        <v>1624</v>
      </c>
      <c r="D1716" t="s">
        <v>2027</v>
      </c>
      <c r="E1716">
        <v>6</v>
      </c>
      <c r="F1716" t="s">
        <v>19</v>
      </c>
      <c r="G1716" t="s">
        <v>352</v>
      </c>
      <c r="H1716" t="s">
        <v>1142</v>
      </c>
      <c r="I1716" t="s">
        <v>22</v>
      </c>
      <c r="J1716" t="s">
        <v>42</v>
      </c>
      <c r="K1716" t="s">
        <v>1543</v>
      </c>
      <c r="L1716" t="s">
        <v>25</v>
      </c>
      <c r="M1716" s="8">
        <v>1.1423333330000001</v>
      </c>
      <c r="N1716" t="s">
        <v>26</v>
      </c>
      <c r="O1716" s="8">
        <v>1.1423333330000001</v>
      </c>
      <c r="P1716" s="8">
        <f>EXP(-1.363+3.366*LOG(O1716,10))</f>
        <v>0.31084239358261528</v>
      </c>
      <c r="Q1716" s="8">
        <f>(1599772*100)/1881247</f>
        <v>85.037849894245682</v>
      </c>
    </row>
    <row r="1717" spans="1:17" x14ac:dyDescent="0.2">
      <c r="A1717">
        <v>2016</v>
      </c>
      <c r="B1717" t="s">
        <v>2028</v>
      </c>
      <c r="C1717" t="s">
        <v>1635</v>
      </c>
      <c r="D1717" t="s">
        <v>2027</v>
      </c>
      <c r="E1717">
        <v>6</v>
      </c>
      <c r="F1717" t="s">
        <v>19</v>
      </c>
      <c r="G1717" t="s">
        <v>352</v>
      </c>
      <c r="H1717" t="s">
        <v>975</v>
      </c>
      <c r="I1717" t="s">
        <v>22</v>
      </c>
      <c r="J1717" t="s">
        <v>42</v>
      </c>
      <c r="K1717" t="s">
        <v>1543</v>
      </c>
      <c r="L1717" t="s">
        <v>25</v>
      </c>
      <c r="M1717" s="8">
        <v>1.0693333330000001</v>
      </c>
      <c r="N1717" t="s">
        <v>26</v>
      </c>
      <c r="O1717" s="8">
        <v>1.0693333330000001</v>
      </c>
      <c r="P1717" s="8">
        <f>EXP(-1.363+3.366*LOG(O1717,10))</f>
        <v>0.28223780327142356</v>
      </c>
      <c r="Q1717" s="8">
        <f>(3602085*100)/4019599</f>
        <v>89.613043490159086</v>
      </c>
    </row>
    <row r="1718" spans="1:17" x14ac:dyDescent="0.2">
      <c r="A1718">
        <v>2016</v>
      </c>
      <c r="B1718" t="s">
        <v>2029</v>
      </c>
      <c r="C1718" t="s">
        <v>1624</v>
      </c>
      <c r="D1718" t="s">
        <v>2027</v>
      </c>
      <c r="E1718">
        <v>6</v>
      </c>
      <c r="F1718" t="s">
        <v>19</v>
      </c>
      <c r="G1718" t="s">
        <v>362</v>
      </c>
      <c r="H1718" t="s">
        <v>2030</v>
      </c>
      <c r="I1718" t="s">
        <v>22</v>
      </c>
      <c r="J1718" t="s">
        <v>42</v>
      </c>
      <c r="K1718" t="s">
        <v>1543</v>
      </c>
      <c r="L1718" t="s">
        <v>25</v>
      </c>
      <c r="M1718" s="8">
        <v>1.4923333329999999</v>
      </c>
      <c r="N1718" t="s">
        <v>26</v>
      </c>
      <c r="O1718" s="8">
        <v>1.4923333329999999</v>
      </c>
      <c r="P1718" s="8">
        <f>EXP(-1.363+3.366*LOG(O1718,10))</f>
        <v>0.45943050733617752</v>
      </c>
      <c r="Q1718" s="8">
        <f>(1599772*100)/1881247</f>
        <v>85.037849894245682</v>
      </c>
    </row>
    <row r="1719" spans="1:17" x14ac:dyDescent="0.2">
      <c r="A1719">
        <v>2016</v>
      </c>
      <c r="B1719" t="s">
        <v>2031</v>
      </c>
      <c r="C1719" t="s">
        <v>1690</v>
      </c>
      <c r="D1719" t="s">
        <v>2032</v>
      </c>
      <c r="E1719">
        <v>6</v>
      </c>
      <c r="F1719" t="s">
        <v>19</v>
      </c>
      <c r="G1719" t="s">
        <v>352</v>
      </c>
      <c r="H1719" t="s">
        <v>1142</v>
      </c>
      <c r="I1719" t="s">
        <v>22</v>
      </c>
      <c r="J1719" t="s">
        <v>42</v>
      </c>
      <c r="K1719" t="s">
        <v>1543</v>
      </c>
      <c r="L1719" t="s">
        <v>25</v>
      </c>
      <c r="M1719" s="8">
        <v>1.1423333330000001</v>
      </c>
      <c r="N1719" t="s">
        <v>26</v>
      </c>
      <c r="O1719" s="8">
        <v>1.1423333330000001</v>
      </c>
      <c r="P1719" s="8">
        <f>EXP(-1.363+3.366*LOG(O1719,10))</f>
        <v>0.31084239358261528</v>
      </c>
      <c r="Q1719" s="8">
        <f>(2640118*100)/3023471</f>
        <v>87.320764776642477</v>
      </c>
    </row>
    <row r="1720" spans="1:17" x14ac:dyDescent="0.2">
      <c r="A1720">
        <v>2016</v>
      </c>
      <c r="B1720" t="s">
        <v>2033</v>
      </c>
      <c r="C1720" t="s">
        <v>1635</v>
      </c>
      <c r="D1720" t="s">
        <v>2032</v>
      </c>
      <c r="E1720">
        <v>6</v>
      </c>
      <c r="F1720" t="s">
        <v>19</v>
      </c>
      <c r="G1720" t="s">
        <v>332</v>
      </c>
      <c r="H1720" t="s">
        <v>2034</v>
      </c>
      <c r="I1720" t="s">
        <v>36</v>
      </c>
      <c r="J1720" t="s">
        <v>42</v>
      </c>
      <c r="K1720" t="s">
        <v>1543</v>
      </c>
      <c r="L1720" t="s">
        <v>25</v>
      </c>
      <c r="M1720" s="8">
        <v>0.81599999999999995</v>
      </c>
      <c r="N1720" t="s">
        <v>26</v>
      </c>
      <c r="O1720" s="8">
        <v>0.81599999999999995</v>
      </c>
      <c r="P1720" s="8">
        <f>EXP(-1.363+3.366*LOG(O1720,10))</f>
        <v>0.19009127534271844</v>
      </c>
      <c r="Q1720" s="8">
        <f>(3602085*100)/4019599</f>
        <v>89.613043490159086</v>
      </c>
    </row>
    <row r="1721" spans="1:17" x14ac:dyDescent="0.2">
      <c r="A1721">
        <v>2016</v>
      </c>
      <c r="B1721" t="s">
        <v>2035</v>
      </c>
      <c r="C1721" t="s">
        <v>1540</v>
      </c>
      <c r="D1721" t="s">
        <v>2032</v>
      </c>
      <c r="E1721">
        <v>6</v>
      </c>
      <c r="F1721" t="s">
        <v>19</v>
      </c>
      <c r="G1721" t="s">
        <v>1520</v>
      </c>
      <c r="H1721" t="s">
        <v>1528</v>
      </c>
      <c r="I1721" t="s">
        <v>22</v>
      </c>
      <c r="J1721" t="s">
        <v>42</v>
      </c>
      <c r="K1721" t="s">
        <v>1543</v>
      </c>
      <c r="L1721" t="s">
        <v>25</v>
      </c>
      <c r="M1721" s="8">
        <v>3.624333333</v>
      </c>
      <c r="N1721" t="s">
        <v>26</v>
      </c>
      <c r="O1721" s="8">
        <v>3.624333333</v>
      </c>
      <c r="P1721" s="8">
        <f>EXP(-1.363+3.366*LOG(O1721,10))</f>
        <v>1.6809546844949765</v>
      </c>
      <c r="Q1721" s="8">
        <f>(2618262*100)/2995732</f>
        <v>87.399740697766021</v>
      </c>
    </row>
    <row r="1722" spans="1:17" x14ac:dyDescent="0.2">
      <c r="A1722">
        <v>2016</v>
      </c>
      <c r="B1722" t="s">
        <v>2036</v>
      </c>
      <c r="C1722" t="s">
        <v>1552</v>
      </c>
      <c r="D1722" t="s">
        <v>2032</v>
      </c>
      <c r="E1722">
        <v>6</v>
      </c>
      <c r="F1722" t="s">
        <v>19</v>
      </c>
      <c r="G1722" t="s">
        <v>230</v>
      </c>
      <c r="H1722" t="s">
        <v>1757</v>
      </c>
      <c r="I1722" t="s">
        <v>22</v>
      </c>
      <c r="J1722" t="s">
        <v>42</v>
      </c>
      <c r="K1722" t="s">
        <v>1543</v>
      </c>
      <c r="L1722" t="s">
        <v>25</v>
      </c>
      <c r="M1722" s="8">
        <v>4.2283333330000001</v>
      </c>
      <c r="N1722" t="s">
        <v>26</v>
      </c>
      <c r="O1722" s="8">
        <v>4.2283333330000001</v>
      </c>
      <c r="P1722" s="8">
        <f>EXP(-1.363+3.366*LOG(O1722,10))</f>
        <v>2.1057792396965977</v>
      </c>
      <c r="Q1722" s="8">
        <f>(3738946*100)/3915493</f>
        <v>95.491065875995687</v>
      </c>
    </row>
    <row r="1723" spans="1:17" x14ac:dyDescent="0.2">
      <c r="A1723">
        <v>2016</v>
      </c>
      <c r="B1723" t="s">
        <v>2037</v>
      </c>
      <c r="C1723" t="s">
        <v>1540</v>
      </c>
      <c r="D1723" t="s">
        <v>2038</v>
      </c>
      <c r="E1723">
        <v>6</v>
      </c>
      <c r="F1723" t="s">
        <v>19</v>
      </c>
      <c r="G1723" t="s">
        <v>230</v>
      </c>
      <c r="H1723" t="s">
        <v>1757</v>
      </c>
      <c r="I1723" t="s">
        <v>22</v>
      </c>
      <c r="J1723" t="s">
        <v>42</v>
      </c>
      <c r="K1723" t="s">
        <v>1543</v>
      </c>
      <c r="L1723" t="s">
        <v>25</v>
      </c>
      <c r="M1723" s="8">
        <v>4.2283333330000001</v>
      </c>
      <c r="N1723" t="s">
        <v>26</v>
      </c>
      <c r="O1723" s="8">
        <v>4.2283333330000001</v>
      </c>
      <c r="P1723" s="8">
        <f>EXP(-1.363+3.366*LOG(O1723,10))</f>
        <v>2.1057792396965977</v>
      </c>
      <c r="Q1723" s="8">
        <f>(2618262*100)/2995732</f>
        <v>87.399740697766021</v>
      </c>
    </row>
    <row r="1724" spans="1:17" x14ac:dyDescent="0.2">
      <c r="A1724">
        <v>2016</v>
      </c>
      <c r="B1724" t="s">
        <v>2039</v>
      </c>
      <c r="C1724" t="s">
        <v>1540</v>
      </c>
      <c r="D1724" t="s">
        <v>2038</v>
      </c>
      <c r="E1724">
        <v>6</v>
      </c>
      <c r="F1724" t="s">
        <v>19</v>
      </c>
      <c r="G1724" t="s">
        <v>352</v>
      </c>
      <c r="H1724" t="s">
        <v>747</v>
      </c>
      <c r="I1724" t="s">
        <v>22</v>
      </c>
      <c r="J1724" t="s">
        <v>42</v>
      </c>
      <c r="K1724" t="s">
        <v>1543</v>
      </c>
      <c r="L1724" t="s">
        <v>25</v>
      </c>
      <c r="M1724" s="8">
        <v>1.3726666670000001</v>
      </c>
      <c r="N1724" t="s">
        <v>26</v>
      </c>
      <c r="O1724" s="8">
        <v>1.3726666670000001</v>
      </c>
      <c r="P1724" s="8">
        <f>EXP(-1.363+3.366*LOG(O1724,10))</f>
        <v>0.40658758379567089</v>
      </c>
      <c r="Q1724" s="8">
        <f>(2618262*100)/2995732</f>
        <v>87.399740697766021</v>
      </c>
    </row>
    <row r="1725" spans="1:17" x14ac:dyDescent="0.2">
      <c r="A1725">
        <v>2016</v>
      </c>
      <c r="B1725" t="s">
        <v>2040</v>
      </c>
      <c r="C1725" t="s">
        <v>1552</v>
      </c>
      <c r="D1725" t="s">
        <v>2038</v>
      </c>
      <c r="E1725">
        <v>6</v>
      </c>
      <c r="F1725" t="s">
        <v>19</v>
      </c>
      <c r="G1725" t="s">
        <v>209</v>
      </c>
      <c r="H1725" t="s">
        <v>212</v>
      </c>
      <c r="I1725" t="s">
        <v>36</v>
      </c>
      <c r="J1725" t="s">
        <v>42</v>
      </c>
      <c r="K1725" t="s">
        <v>1543</v>
      </c>
      <c r="L1725" t="s">
        <v>187</v>
      </c>
      <c r="M1725" s="8">
        <v>1.534</v>
      </c>
      <c r="N1725" t="s">
        <v>26</v>
      </c>
      <c r="O1725" s="8">
        <v>1.534</v>
      </c>
      <c r="P1725" s="8">
        <f>EXP(-1.363+3.366*LOG(O1725,10))</f>
        <v>0.47830252961730491</v>
      </c>
      <c r="Q1725" s="8">
        <f>(3738946*100)/3915493</f>
        <v>95.491065875995687</v>
      </c>
    </row>
    <row r="1726" spans="1:17" x14ac:dyDescent="0.2">
      <c r="A1726">
        <v>2016</v>
      </c>
      <c r="B1726" t="s">
        <v>2041</v>
      </c>
      <c r="C1726" t="s">
        <v>1540</v>
      </c>
      <c r="D1726" t="s">
        <v>2038</v>
      </c>
      <c r="E1726">
        <v>6</v>
      </c>
      <c r="F1726" t="s">
        <v>19</v>
      </c>
      <c r="G1726" t="s">
        <v>362</v>
      </c>
      <c r="H1726" t="s">
        <v>447</v>
      </c>
      <c r="I1726" t="s">
        <v>22</v>
      </c>
      <c r="J1726" t="s">
        <v>42</v>
      </c>
      <c r="K1726" t="s">
        <v>1543</v>
      </c>
      <c r="L1726" t="s">
        <v>25</v>
      </c>
      <c r="M1726" s="8">
        <v>1.421</v>
      </c>
      <c r="N1726" t="s">
        <v>26</v>
      </c>
      <c r="O1726" s="8">
        <v>1.421</v>
      </c>
      <c r="P1726" s="8">
        <f>EXP(-1.363+3.366*LOG(O1726,10))</f>
        <v>0.42768500084673816</v>
      </c>
      <c r="Q1726" s="8">
        <f>(2618262*100)/2995732</f>
        <v>87.399740697766021</v>
      </c>
    </row>
    <row r="1727" spans="1:17" x14ac:dyDescent="0.2">
      <c r="A1727">
        <v>2016</v>
      </c>
      <c r="B1727" t="s">
        <v>2042</v>
      </c>
      <c r="C1727" t="s">
        <v>1540</v>
      </c>
      <c r="D1727" t="s">
        <v>2038</v>
      </c>
      <c r="E1727">
        <v>6</v>
      </c>
      <c r="F1727" t="s">
        <v>19</v>
      </c>
      <c r="G1727" t="s">
        <v>352</v>
      </c>
      <c r="H1727" t="s">
        <v>975</v>
      </c>
      <c r="I1727" t="s">
        <v>22</v>
      </c>
      <c r="J1727" t="s">
        <v>42</v>
      </c>
      <c r="K1727" t="s">
        <v>1543</v>
      </c>
      <c r="L1727" t="s">
        <v>25</v>
      </c>
      <c r="M1727" s="8">
        <v>1.0693333330000001</v>
      </c>
      <c r="N1727" t="s">
        <v>26</v>
      </c>
      <c r="O1727" s="8">
        <v>1.0693333330000001</v>
      </c>
      <c r="P1727" s="8">
        <f>EXP(-1.363+3.366*LOG(O1727,10))</f>
        <v>0.28223780327142356</v>
      </c>
      <c r="Q1727" s="8">
        <f>(2618262*100)/2995732</f>
        <v>87.399740697766021</v>
      </c>
    </row>
    <row r="1728" spans="1:17" x14ac:dyDescent="0.2">
      <c r="A1728" s="6">
        <v>2016</v>
      </c>
      <c r="B1728" s="6" t="s">
        <v>2043</v>
      </c>
      <c r="C1728" s="6" t="s">
        <v>1540</v>
      </c>
      <c r="D1728" s="6" t="s">
        <v>2038</v>
      </c>
      <c r="E1728" s="6">
        <v>6</v>
      </c>
      <c r="F1728" s="6" t="s">
        <v>19</v>
      </c>
      <c r="G1728" s="6" t="s">
        <v>362</v>
      </c>
      <c r="H1728" s="6" t="s">
        <v>623</v>
      </c>
      <c r="I1728" s="6" t="s">
        <v>22</v>
      </c>
      <c r="J1728" s="6" t="s">
        <v>42</v>
      </c>
      <c r="K1728" s="6" t="s">
        <v>1543</v>
      </c>
      <c r="L1728" s="6" t="s">
        <v>25</v>
      </c>
      <c r="M1728" s="9">
        <v>1.387</v>
      </c>
      <c r="N1728" s="6" t="s">
        <v>26</v>
      </c>
      <c r="O1728" s="9">
        <v>1.387</v>
      </c>
      <c r="P1728" s="9">
        <f>EXP(-1.363+3.366*LOG(O1728,10))</f>
        <v>0.41280884754947733</v>
      </c>
      <c r="Q1728" s="8">
        <f>(2618262*100)/2995732</f>
        <v>87.399740697766021</v>
      </c>
    </row>
    <row r="1729" spans="1:17" x14ac:dyDescent="0.2">
      <c r="A1729">
        <v>2016</v>
      </c>
      <c r="B1729" t="s">
        <v>2044</v>
      </c>
      <c r="C1729" t="s">
        <v>1624</v>
      </c>
      <c r="D1729" t="s">
        <v>2038</v>
      </c>
      <c r="E1729">
        <v>6</v>
      </c>
      <c r="F1729" t="s">
        <v>19</v>
      </c>
      <c r="G1729" t="s">
        <v>1520</v>
      </c>
      <c r="H1729" t="s">
        <v>1521</v>
      </c>
      <c r="I1729" t="s">
        <v>36</v>
      </c>
      <c r="J1729" t="s">
        <v>42</v>
      </c>
      <c r="K1729" t="s">
        <v>1543</v>
      </c>
      <c r="L1729" t="s">
        <v>25</v>
      </c>
      <c r="M1729" s="8">
        <v>2.3340000000000001</v>
      </c>
      <c r="N1729" t="s">
        <v>26</v>
      </c>
      <c r="O1729" s="8">
        <v>2.3340000000000001</v>
      </c>
      <c r="P1729" s="8">
        <f>EXP(-1.363+3.366*LOG(O1729,10))</f>
        <v>0.88340410488080767</v>
      </c>
      <c r="Q1729" s="8">
        <f>(1599772*100)/1881247</f>
        <v>85.037849894245682</v>
      </c>
    </row>
    <row r="1730" spans="1:17" x14ac:dyDescent="0.2">
      <c r="A1730">
        <v>2016</v>
      </c>
      <c r="B1730" t="s">
        <v>2045</v>
      </c>
      <c r="C1730" t="s">
        <v>1540</v>
      </c>
      <c r="D1730" t="s">
        <v>2038</v>
      </c>
      <c r="E1730">
        <v>6</v>
      </c>
      <c r="F1730" t="s">
        <v>19</v>
      </c>
      <c r="G1730" t="s">
        <v>352</v>
      </c>
      <c r="H1730" t="s">
        <v>1585</v>
      </c>
      <c r="I1730" t="s">
        <v>36</v>
      </c>
      <c r="J1730" t="s">
        <v>42</v>
      </c>
      <c r="K1730" t="s">
        <v>1543</v>
      </c>
      <c r="L1730" t="s">
        <v>25</v>
      </c>
      <c r="M1730" s="8">
        <v>0.73566666700000005</v>
      </c>
      <c r="N1730" t="s">
        <v>26</v>
      </c>
      <c r="O1730" s="8">
        <v>0.73566666700000005</v>
      </c>
      <c r="P1730" s="8">
        <f>EXP(-1.363+3.366*LOG(O1730,10))</f>
        <v>0.16336774920850081</v>
      </c>
      <c r="Q1730" s="8">
        <f>(2618262*100)/2995732</f>
        <v>87.399740697766021</v>
      </c>
    </row>
    <row r="1731" spans="1:17" x14ac:dyDescent="0.2">
      <c r="A1731">
        <v>2016</v>
      </c>
      <c r="B1731" t="s">
        <v>2046</v>
      </c>
      <c r="C1731" t="s">
        <v>1540</v>
      </c>
      <c r="D1731" t="s">
        <v>2038</v>
      </c>
      <c r="E1731">
        <v>6</v>
      </c>
      <c r="F1731" t="s">
        <v>19</v>
      </c>
      <c r="G1731" t="s">
        <v>1520</v>
      </c>
      <c r="H1731" t="s">
        <v>1528</v>
      </c>
      <c r="I1731" t="s">
        <v>36</v>
      </c>
      <c r="J1731" t="s">
        <v>42</v>
      </c>
      <c r="K1731" t="s">
        <v>1543</v>
      </c>
      <c r="L1731" t="s">
        <v>25</v>
      </c>
      <c r="M1731" s="8">
        <v>3.3860000000000001</v>
      </c>
      <c r="N1731" t="s">
        <v>26</v>
      </c>
      <c r="O1731" s="8">
        <v>3.3860000000000001</v>
      </c>
      <c r="P1731" s="8">
        <f>EXP(-1.363+3.366*LOG(O1731,10))</f>
        <v>1.5218493704875904</v>
      </c>
      <c r="Q1731" s="8">
        <f>(2618262*100)/2995732</f>
        <v>87.399740697766021</v>
      </c>
    </row>
    <row r="1732" spans="1:17" x14ac:dyDescent="0.2">
      <c r="A1732">
        <v>2016</v>
      </c>
      <c r="B1732" t="s">
        <v>2047</v>
      </c>
      <c r="C1732" t="s">
        <v>1540</v>
      </c>
      <c r="D1732" t="s">
        <v>2038</v>
      </c>
      <c r="E1732">
        <v>6</v>
      </c>
      <c r="F1732" t="s">
        <v>19</v>
      </c>
      <c r="G1732" t="s">
        <v>352</v>
      </c>
      <c r="H1732" t="s">
        <v>975</v>
      </c>
      <c r="I1732" t="s">
        <v>22</v>
      </c>
      <c r="J1732" t="s">
        <v>42</v>
      </c>
      <c r="K1732" t="s">
        <v>1543</v>
      </c>
      <c r="L1732" t="s">
        <v>25</v>
      </c>
      <c r="M1732" s="8">
        <v>1.0693333330000001</v>
      </c>
      <c r="N1732" t="s">
        <v>26</v>
      </c>
      <c r="O1732" s="8">
        <v>1.0693333330000001</v>
      </c>
      <c r="P1732" s="8">
        <f>EXP(-1.363+3.366*LOG(O1732,10))</f>
        <v>0.28223780327142356</v>
      </c>
      <c r="Q1732" s="8">
        <f>(2618262*100)/2995732</f>
        <v>87.399740697766021</v>
      </c>
    </row>
    <row r="1733" spans="1:17" x14ac:dyDescent="0.2">
      <c r="A1733">
        <v>2016</v>
      </c>
      <c r="B1733" t="s">
        <v>2048</v>
      </c>
      <c r="C1733" t="s">
        <v>1635</v>
      </c>
      <c r="D1733" t="s">
        <v>2038</v>
      </c>
      <c r="E1733">
        <v>6</v>
      </c>
      <c r="F1733" t="s">
        <v>19</v>
      </c>
      <c r="G1733" t="s">
        <v>352</v>
      </c>
      <c r="H1733" t="s">
        <v>728</v>
      </c>
      <c r="I1733" t="s">
        <v>22</v>
      </c>
      <c r="J1733" t="s">
        <v>42</v>
      </c>
      <c r="K1733" t="s">
        <v>1543</v>
      </c>
      <c r="L1733" t="s">
        <v>187</v>
      </c>
      <c r="M1733" s="8">
        <v>1.8093333330000001</v>
      </c>
      <c r="N1733" t="s">
        <v>26</v>
      </c>
      <c r="O1733" s="8">
        <v>1.8093333330000001</v>
      </c>
      <c r="P1733" s="8">
        <f>EXP(-1.363+3.366*LOG(O1733,10))</f>
        <v>0.6088444603462565</v>
      </c>
      <c r="Q1733" s="8">
        <f>(3602085*100)/4019599</f>
        <v>89.613043490159086</v>
      </c>
    </row>
    <row r="1734" spans="1:17" x14ac:dyDescent="0.2">
      <c r="A1734">
        <v>2016</v>
      </c>
      <c r="B1734" t="s">
        <v>2049</v>
      </c>
      <c r="C1734" t="s">
        <v>1635</v>
      </c>
      <c r="D1734" t="s">
        <v>2038</v>
      </c>
      <c r="E1734">
        <v>6</v>
      </c>
      <c r="F1734" t="s">
        <v>19</v>
      </c>
      <c r="G1734" t="s">
        <v>352</v>
      </c>
      <c r="H1734" t="s">
        <v>1142</v>
      </c>
      <c r="I1734" t="s">
        <v>22</v>
      </c>
      <c r="J1734" t="s">
        <v>42</v>
      </c>
      <c r="K1734" t="s">
        <v>1543</v>
      </c>
      <c r="L1734" t="s">
        <v>25</v>
      </c>
      <c r="M1734" s="8">
        <v>1.1423333330000001</v>
      </c>
      <c r="N1734" t="s">
        <v>26</v>
      </c>
      <c r="O1734" s="8">
        <v>1.1423333330000001</v>
      </c>
      <c r="P1734" s="8">
        <f>EXP(-1.363+3.366*LOG(O1734,10))</f>
        <v>0.31084239358261528</v>
      </c>
      <c r="Q1734" s="8">
        <f>(3602085*100)/4019599</f>
        <v>89.613043490159086</v>
      </c>
    </row>
    <row r="1735" spans="1:17" x14ac:dyDescent="0.2">
      <c r="A1735">
        <v>2016</v>
      </c>
      <c r="B1735" t="s">
        <v>2050</v>
      </c>
      <c r="C1735" t="s">
        <v>1635</v>
      </c>
      <c r="D1735" t="s">
        <v>2038</v>
      </c>
      <c r="E1735">
        <v>6</v>
      </c>
      <c r="F1735" t="s">
        <v>19</v>
      </c>
      <c r="G1735" t="s">
        <v>352</v>
      </c>
      <c r="H1735" t="s">
        <v>1142</v>
      </c>
      <c r="I1735" t="s">
        <v>22</v>
      </c>
      <c r="J1735" t="s">
        <v>42</v>
      </c>
      <c r="K1735" t="s">
        <v>1543</v>
      </c>
      <c r="L1735" t="s">
        <v>25</v>
      </c>
      <c r="M1735" s="8">
        <v>1.1423333330000001</v>
      </c>
      <c r="N1735" t="s">
        <v>26</v>
      </c>
      <c r="O1735" s="8">
        <v>1.1423333330000001</v>
      </c>
      <c r="P1735" s="8">
        <f>EXP(-1.363+3.366*LOG(O1735,10))</f>
        <v>0.31084239358261528</v>
      </c>
      <c r="Q1735" s="8">
        <f>(3602085*100)/4019599</f>
        <v>89.613043490159086</v>
      </c>
    </row>
    <row r="1736" spans="1:17" x14ac:dyDescent="0.2">
      <c r="A1736">
        <v>2016</v>
      </c>
      <c r="B1736" t="s">
        <v>2051</v>
      </c>
      <c r="C1736" t="s">
        <v>1635</v>
      </c>
      <c r="D1736" t="s">
        <v>2038</v>
      </c>
      <c r="E1736">
        <v>6</v>
      </c>
      <c r="F1736" t="s">
        <v>19</v>
      </c>
      <c r="G1736" t="s">
        <v>352</v>
      </c>
      <c r="H1736" t="s">
        <v>1142</v>
      </c>
      <c r="I1736" t="s">
        <v>22</v>
      </c>
      <c r="J1736" t="s">
        <v>42</v>
      </c>
      <c r="K1736" t="s">
        <v>1543</v>
      </c>
      <c r="L1736" t="s">
        <v>25</v>
      </c>
      <c r="M1736" s="8">
        <v>1.1423333330000001</v>
      </c>
      <c r="N1736" t="s">
        <v>26</v>
      </c>
      <c r="O1736" s="8">
        <v>1.1423333330000001</v>
      </c>
      <c r="P1736" s="8">
        <f>EXP(-1.363+3.366*LOG(O1736,10))</f>
        <v>0.31084239358261528</v>
      </c>
      <c r="Q1736" s="8">
        <f>(3602085*100)/4019599</f>
        <v>89.613043490159086</v>
      </c>
    </row>
    <row r="1737" spans="1:17" x14ac:dyDescent="0.2">
      <c r="A1737">
        <v>2016</v>
      </c>
      <c r="B1737" t="s">
        <v>2052</v>
      </c>
      <c r="C1737" t="s">
        <v>1635</v>
      </c>
      <c r="D1737" t="s">
        <v>2038</v>
      </c>
      <c r="E1737">
        <v>6</v>
      </c>
      <c r="F1737" t="s">
        <v>19</v>
      </c>
      <c r="G1737" t="s">
        <v>352</v>
      </c>
      <c r="H1737" t="s">
        <v>975</v>
      </c>
      <c r="I1737" t="s">
        <v>36</v>
      </c>
      <c r="J1737" t="s">
        <v>42</v>
      </c>
      <c r="K1737" t="s">
        <v>1543</v>
      </c>
      <c r="L1737" t="s">
        <v>25</v>
      </c>
      <c r="M1737" s="8">
        <v>0.95199999999999996</v>
      </c>
      <c r="N1737" t="s">
        <v>26</v>
      </c>
      <c r="O1737" s="8">
        <v>0.95199999999999996</v>
      </c>
      <c r="P1737" s="8">
        <f>EXP(-1.363+3.366*LOG(O1737,10))</f>
        <v>0.23813726407794436</v>
      </c>
      <c r="Q1737" s="8">
        <f>(3602085*100)/4019599</f>
        <v>89.613043490159086</v>
      </c>
    </row>
    <row r="1738" spans="1:17" x14ac:dyDescent="0.2">
      <c r="A1738">
        <v>2016</v>
      </c>
      <c r="B1738" t="s">
        <v>2053</v>
      </c>
      <c r="C1738" t="s">
        <v>1635</v>
      </c>
      <c r="D1738" t="s">
        <v>2038</v>
      </c>
      <c r="E1738">
        <v>6</v>
      </c>
      <c r="F1738" t="s">
        <v>19</v>
      </c>
      <c r="G1738" t="s">
        <v>332</v>
      </c>
      <c r="H1738" t="s">
        <v>330</v>
      </c>
      <c r="I1738" t="s">
        <v>36</v>
      </c>
      <c r="J1738" t="s">
        <v>42</v>
      </c>
      <c r="K1738" t="s">
        <v>1543</v>
      </c>
      <c r="L1738" t="s">
        <v>25</v>
      </c>
      <c r="M1738" s="8">
        <v>1.100666667</v>
      </c>
      <c r="N1738" t="s">
        <v>26</v>
      </c>
      <c r="O1738" s="8">
        <v>1.100666667</v>
      </c>
      <c r="P1738" s="8">
        <f>EXP(-1.363+3.366*LOG(O1738,10))</f>
        <v>0.29440864465042604</v>
      </c>
      <c r="Q1738" s="8">
        <f>(3602085*100)/4019599</f>
        <v>89.613043490159086</v>
      </c>
    </row>
    <row r="1739" spans="1:17" x14ac:dyDescent="0.2">
      <c r="A1739">
        <v>2016</v>
      </c>
      <c r="B1739" t="s">
        <v>2054</v>
      </c>
      <c r="C1739" t="s">
        <v>1635</v>
      </c>
      <c r="D1739" t="s">
        <v>2038</v>
      </c>
      <c r="E1739">
        <v>6</v>
      </c>
      <c r="F1739" t="s">
        <v>19</v>
      </c>
      <c r="G1739" t="s">
        <v>1472</v>
      </c>
      <c r="H1739" t="s">
        <v>1473</v>
      </c>
      <c r="I1739" t="s">
        <v>22</v>
      </c>
      <c r="J1739" t="s">
        <v>42</v>
      </c>
      <c r="K1739" t="s">
        <v>1543</v>
      </c>
      <c r="L1739" t="s">
        <v>187</v>
      </c>
      <c r="M1739" s="8">
        <v>0.72499999999999998</v>
      </c>
      <c r="N1739" t="s">
        <v>26</v>
      </c>
      <c r="O1739" s="8">
        <v>0.72499999999999998</v>
      </c>
      <c r="P1739" s="8">
        <f>EXP(-1.363+3.366*LOG(O1739,10))</f>
        <v>0.15991669271395978</v>
      </c>
      <c r="Q1739" s="8">
        <f>(3602085*100)/4019599</f>
        <v>89.613043490159086</v>
      </c>
    </row>
    <row r="1740" spans="1:17" x14ac:dyDescent="0.2">
      <c r="A1740">
        <v>2016</v>
      </c>
      <c r="B1740" t="s">
        <v>2055</v>
      </c>
      <c r="C1740" t="s">
        <v>1547</v>
      </c>
      <c r="D1740" t="s">
        <v>2038</v>
      </c>
      <c r="E1740">
        <v>6</v>
      </c>
      <c r="F1740" t="s">
        <v>19</v>
      </c>
      <c r="G1740" t="s">
        <v>352</v>
      </c>
      <c r="H1740" t="s">
        <v>494</v>
      </c>
      <c r="I1740" t="s">
        <v>22</v>
      </c>
      <c r="J1740" t="s">
        <v>42</v>
      </c>
      <c r="K1740" t="s">
        <v>1543</v>
      </c>
      <c r="L1740" t="s">
        <v>25</v>
      </c>
      <c r="M1740" s="8">
        <v>1.7226666669999999</v>
      </c>
      <c r="N1740" t="s">
        <v>26</v>
      </c>
      <c r="O1740" s="8">
        <v>1.7226666669999999</v>
      </c>
      <c r="P1740" s="8">
        <f>EXP(-1.363+3.366*LOG(O1740,10))</f>
        <v>0.56668788662759551</v>
      </c>
      <c r="Q1740" s="8">
        <f>(3881584*100)/4292409</f>
        <v>90.429034139104644</v>
      </c>
    </row>
    <row r="1741" spans="1:17" x14ac:dyDescent="0.2">
      <c r="A1741">
        <v>2016</v>
      </c>
      <c r="B1741" t="s">
        <v>2056</v>
      </c>
      <c r="C1741" t="s">
        <v>1552</v>
      </c>
      <c r="D1741" t="s">
        <v>2057</v>
      </c>
      <c r="E1741">
        <v>7</v>
      </c>
      <c r="F1741" t="s">
        <v>19</v>
      </c>
      <c r="G1741" t="s">
        <v>352</v>
      </c>
      <c r="H1741" t="s">
        <v>1459</v>
      </c>
      <c r="I1741" t="s">
        <v>36</v>
      </c>
      <c r="J1741" t="s">
        <v>42</v>
      </c>
      <c r="K1741" t="s">
        <v>1543</v>
      </c>
      <c r="L1741" t="s">
        <v>25</v>
      </c>
      <c r="M1741" s="8">
        <v>1.0913333329999999</v>
      </c>
      <c r="N1741" t="s">
        <v>26</v>
      </c>
      <c r="O1741" s="8">
        <v>1.0913333329999999</v>
      </c>
      <c r="P1741" s="8">
        <f>EXP(-1.363+3.366*LOG(O1741,10))</f>
        <v>0.29076633015787234</v>
      </c>
      <c r="Q1741" s="8">
        <f>(3738946*100)/3915493</f>
        <v>95.491065875995687</v>
      </c>
    </row>
    <row r="1742" spans="1:17" x14ac:dyDescent="0.2">
      <c r="A1742">
        <v>2016</v>
      </c>
      <c r="B1742" t="s">
        <v>2058</v>
      </c>
      <c r="C1742" t="s">
        <v>1610</v>
      </c>
      <c r="D1742" t="s">
        <v>2057</v>
      </c>
      <c r="E1742">
        <v>7</v>
      </c>
      <c r="F1742" t="s">
        <v>19</v>
      </c>
      <c r="G1742" t="s">
        <v>352</v>
      </c>
      <c r="H1742" t="s">
        <v>1142</v>
      </c>
      <c r="I1742" t="s">
        <v>22</v>
      </c>
      <c r="J1742" t="s">
        <v>42</v>
      </c>
      <c r="K1742" t="s">
        <v>1543</v>
      </c>
      <c r="L1742" t="s">
        <v>25</v>
      </c>
      <c r="M1742" s="8">
        <v>1.1423333330000001</v>
      </c>
      <c r="N1742" t="s">
        <v>26</v>
      </c>
      <c r="O1742" s="8">
        <v>1.1423333330000001</v>
      </c>
      <c r="P1742" s="8">
        <f>EXP(-1.363+3.366*LOG(O1742,10))</f>
        <v>0.31084239358261528</v>
      </c>
      <c r="Q1742" s="8">
        <f>(2475923*100)/2844344</f>
        <v>87.047241824476927</v>
      </c>
    </row>
    <row r="1743" spans="1:17" x14ac:dyDescent="0.2">
      <c r="A1743">
        <v>2016</v>
      </c>
      <c r="B1743" t="s">
        <v>2059</v>
      </c>
      <c r="C1743" t="s">
        <v>1624</v>
      </c>
      <c r="D1743" t="s">
        <v>2057</v>
      </c>
      <c r="E1743">
        <v>7</v>
      </c>
      <c r="F1743" t="s">
        <v>19</v>
      </c>
      <c r="G1743" t="s">
        <v>352</v>
      </c>
      <c r="H1743" t="s">
        <v>975</v>
      </c>
      <c r="I1743" t="s">
        <v>22</v>
      </c>
      <c r="J1743" t="s">
        <v>42</v>
      </c>
      <c r="K1743" t="s">
        <v>1543</v>
      </c>
      <c r="L1743" t="s">
        <v>25</v>
      </c>
      <c r="M1743" s="8">
        <v>1.0693333330000001</v>
      </c>
      <c r="N1743" t="s">
        <v>26</v>
      </c>
      <c r="O1743" s="8">
        <v>1.0693333330000001</v>
      </c>
      <c r="P1743" s="8">
        <f>EXP(-1.363+3.366*LOG(O1743,10))</f>
        <v>0.28223780327142356</v>
      </c>
      <c r="Q1743" s="8">
        <f>(1599772*100)/1881247</f>
        <v>85.037849894245682</v>
      </c>
    </row>
    <row r="1744" spans="1:17" x14ac:dyDescent="0.2">
      <c r="A1744">
        <v>2016</v>
      </c>
      <c r="B1744" t="s">
        <v>2060</v>
      </c>
      <c r="C1744" t="s">
        <v>1624</v>
      </c>
      <c r="D1744" t="s">
        <v>2057</v>
      </c>
      <c r="E1744">
        <v>7</v>
      </c>
      <c r="F1744" t="s">
        <v>19</v>
      </c>
      <c r="G1744" t="s">
        <v>352</v>
      </c>
      <c r="H1744" t="s">
        <v>975</v>
      </c>
      <c r="I1744" t="s">
        <v>36</v>
      </c>
      <c r="J1744" t="s">
        <v>42</v>
      </c>
      <c r="K1744" t="s">
        <v>1543</v>
      </c>
      <c r="L1744" t="s">
        <v>25</v>
      </c>
      <c r="M1744" s="8">
        <v>0.95199999999999996</v>
      </c>
      <c r="N1744" t="s">
        <v>26</v>
      </c>
      <c r="O1744" s="8">
        <v>0.95199999999999996</v>
      </c>
      <c r="P1744" s="8">
        <f>EXP(-1.363+3.366*LOG(O1744,10))</f>
        <v>0.23813726407794436</v>
      </c>
      <c r="Q1744" s="8">
        <f>(1599772*100)/1881247</f>
        <v>85.037849894245682</v>
      </c>
    </row>
    <row r="1745" spans="1:17" x14ac:dyDescent="0.2">
      <c r="A1745">
        <v>2016</v>
      </c>
      <c r="B1745" t="s">
        <v>2061</v>
      </c>
      <c r="C1745" t="s">
        <v>1624</v>
      </c>
      <c r="D1745" t="s">
        <v>2057</v>
      </c>
      <c r="E1745">
        <v>7</v>
      </c>
      <c r="F1745" t="s">
        <v>19</v>
      </c>
      <c r="G1745" t="s">
        <v>352</v>
      </c>
      <c r="H1745" t="s">
        <v>975</v>
      </c>
      <c r="I1745" t="s">
        <v>22</v>
      </c>
      <c r="J1745" t="s">
        <v>42</v>
      </c>
      <c r="K1745" t="s">
        <v>1543</v>
      </c>
      <c r="L1745" t="s">
        <v>25</v>
      </c>
      <c r="M1745" s="8">
        <v>1.0693333330000001</v>
      </c>
      <c r="N1745" t="s">
        <v>26</v>
      </c>
      <c r="O1745" s="8">
        <v>1.0693333330000001</v>
      </c>
      <c r="P1745" s="8">
        <f>EXP(-1.363+3.366*LOG(O1745,10))</f>
        <v>0.28223780327142356</v>
      </c>
      <c r="Q1745" s="8">
        <f>(1599772*100)/1881247</f>
        <v>85.037849894245682</v>
      </c>
    </row>
    <row r="1746" spans="1:17" x14ac:dyDescent="0.2">
      <c r="A1746">
        <v>2016</v>
      </c>
      <c r="B1746" t="s">
        <v>2062</v>
      </c>
      <c r="C1746" t="s">
        <v>1624</v>
      </c>
      <c r="D1746" t="s">
        <v>2057</v>
      </c>
      <c r="E1746">
        <v>7</v>
      </c>
      <c r="F1746" t="s">
        <v>19</v>
      </c>
      <c r="G1746" t="s">
        <v>1520</v>
      </c>
      <c r="H1746" t="s">
        <v>1528</v>
      </c>
      <c r="I1746" t="s">
        <v>22</v>
      </c>
      <c r="J1746" t="s">
        <v>42</v>
      </c>
      <c r="K1746" t="s">
        <v>1543</v>
      </c>
      <c r="L1746" t="s">
        <v>25</v>
      </c>
      <c r="M1746" s="8">
        <v>3.624333333</v>
      </c>
      <c r="N1746" t="s">
        <v>26</v>
      </c>
      <c r="O1746" s="8">
        <v>3.624333333</v>
      </c>
      <c r="P1746" s="8">
        <f>EXP(-1.363+3.366*LOG(O1746,10))</f>
        <v>1.6809546844949765</v>
      </c>
      <c r="Q1746" s="8">
        <f>(1599772*100)/1881247</f>
        <v>85.037849894245682</v>
      </c>
    </row>
    <row r="1747" spans="1:17" x14ac:dyDescent="0.2">
      <c r="A1747">
        <v>2016</v>
      </c>
      <c r="B1747" t="s">
        <v>2063</v>
      </c>
      <c r="C1747" t="s">
        <v>1624</v>
      </c>
      <c r="D1747" t="s">
        <v>2057</v>
      </c>
      <c r="E1747">
        <v>7</v>
      </c>
      <c r="F1747" t="s">
        <v>19</v>
      </c>
      <c r="G1747" t="s">
        <v>352</v>
      </c>
      <c r="H1747" t="s">
        <v>975</v>
      </c>
      <c r="I1747" t="s">
        <v>36</v>
      </c>
      <c r="J1747" t="s">
        <v>42</v>
      </c>
      <c r="K1747" t="s">
        <v>1543</v>
      </c>
      <c r="L1747" t="s">
        <v>25</v>
      </c>
      <c r="M1747" s="8">
        <v>0.95199999999999996</v>
      </c>
      <c r="N1747" t="s">
        <v>26</v>
      </c>
      <c r="O1747" s="8">
        <v>0.95199999999999996</v>
      </c>
      <c r="P1747" s="8">
        <f>EXP(-1.363+3.366*LOG(O1747,10))</f>
        <v>0.23813726407794436</v>
      </c>
      <c r="Q1747" s="8">
        <f>(1599772*100)/1881247</f>
        <v>85.037849894245682</v>
      </c>
    </row>
    <row r="1748" spans="1:17" x14ac:dyDescent="0.2">
      <c r="A1748">
        <v>2016</v>
      </c>
      <c r="B1748" t="s">
        <v>2064</v>
      </c>
      <c r="C1748" t="s">
        <v>1624</v>
      </c>
      <c r="D1748" t="s">
        <v>2057</v>
      </c>
      <c r="E1748">
        <v>7</v>
      </c>
      <c r="F1748" t="s">
        <v>19</v>
      </c>
      <c r="G1748" t="s">
        <v>352</v>
      </c>
      <c r="H1748" t="s">
        <v>975</v>
      </c>
      <c r="I1748" t="s">
        <v>22</v>
      </c>
      <c r="J1748" t="s">
        <v>42</v>
      </c>
      <c r="K1748" t="s">
        <v>1543</v>
      </c>
      <c r="L1748" t="s">
        <v>25</v>
      </c>
      <c r="M1748" s="8">
        <v>1.0693333330000001</v>
      </c>
      <c r="N1748" t="s">
        <v>26</v>
      </c>
      <c r="O1748" s="8">
        <v>1.0693333330000001</v>
      </c>
      <c r="P1748" s="8">
        <f>EXP(-1.363+3.366*LOG(O1748,10))</f>
        <v>0.28223780327142356</v>
      </c>
      <c r="Q1748" s="8">
        <f>(1599772*100)/1881247</f>
        <v>85.037849894245682</v>
      </c>
    </row>
    <row r="1749" spans="1:17" x14ac:dyDescent="0.2">
      <c r="A1749">
        <v>2016</v>
      </c>
      <c r="B1749" t="s">
        <v>2065</v>
      </c>
      <c r="C1749" t="s">
        <v>1690</v>
      </c>
      <c r="D1749" t="s">
        <v>2057</v>
      </c>
      <c r="E1749">
        <v>7</v>
      </c>
      <c r="F1749" t="s">
        <v>19</v>
      </c>
      <c r="G1749" t="s">
        <v>20</v>
      </c>
      <c r="H1749" t="s">
        <v>45</v>
      </c>
      <c r="I1749" t="s">
        <v>36</v>
      </c>
      <c r="J1749" t="s">
        <v>42</v>
      </c>
      <c r="K1749" t="s">
        <v>1543</v>
      </c>
      <c r="L1749" t="s">
        <v>25</v>
      </c>
      <c r="M1749" s="8">
        <v>1.5053333330000001</v>
      </c>
      <c r="N1749" t="s">
        <v>26</v>
      </c>
      <c r="O1749" s="8">
        <v>1.5053333330000001</v>
      </c>
      <c r="P1749" s="8">
        <f>EXP(-1.363+3.366*LOG(O1749,10))</f>
        <v>0.46529279523463329</v>
      </c>
      <c r="Q1749" s="8">
        <f>(2640118*100)/3023471</f>
        <v>87.320764776642477</v>
      </c>
    </row>
    <row r="1750" spans="1:17" x14ac:dyDescent="0.2">
      <c r="A1750">
        <v>2016</v>
      </c>
      <c r="B1750" t="s">
        <v>2066</v>
      </c>
      <c r="C1750" t="s">
        <v>1540</v>
      </c>
      <c r="D1750" t="s">
        <v>2057</v>
      </c>
      <c r="E1750">
        <v>7</v>
      </c>
      <c r="F1750" t="s">
        <v>19</v>
      </c>
      <c r="G1750" t="s">
        <v>352</v>
      </c>
      <c r="H1750" t="s">
        <v>447</v>
      </c>
      <c r="I1750" t="s">
        <v>22</v>
      </c>
      <c r="J1750" t="s">
        <v>42</v>
      </c>
      <c r="K1750" t="s">
        <v>1543</v>
      </c>
      <c r="L1750" t="s">
        <v>25</v>
      </c>
      <c r="M1750" s="8">
        <v>1.421</v>
      </c>
      <c r="N1750" t="s">
        <v>26</v>
      </c>
      <c r="O1750" s="8">
        <v>1.421</v>
      </c>
      <c r="P1750" s="8">
        <f>EXP(-1.363+3.366*LOG(O1750,10))</f>
        <v>0.42768500084673816</v>
      </c>
      <c r="Q1750" s="8">
        <f>(2618262*100)/2995732</f>
        <v>87.399740697766021</v>
      </c>
    </row>
    <row r="1751" spans="1:17" x14ac:dyDescent="0.2">
      <c r="A1751">
        <v>2016</v>
      </c>
      <c r="B1751" t="s">
        <v>2067</v>
      </c>
      <c r="C1751" t="s">
        <v>1540</v>
      </c>
      <c r="D1751" t="s">
        <v>2057</v>
      </c>
      <c r="E1751">
        <v>7</v>
      </c>
      <c r="F1751" t="s">
        <v>19</v>
      </c>
      <c r="G1751" t="s">
        <v>352</v>
      </c>
      <c r="H1751" t="s">
        <v>975</v>
      </c>
      <c r="I1751" t="s">
        <v>22</v>
      </c>
      <c r="J1751" t="s">
        <v>42</v>
      </c>
      <c r="K1751" t="s">
        <v>1543</v>
      </c>
      <c r="L1751" t="s">
        <v>25</v>
      </c>
      <c r="M1751" s="8">
        <v>1.0693333330000001</v>
      </c>
      <c r="N1751" t="s">
        <v>26</v>
      </c>
      <c r="O1751" s="8">
        <v>1.0693333330000001</v>
      </c>
      <c r="P1751" s="8">
        <f>EXP(-1.363+3.366*LOG(O1751,10))</f>
        <v>0.28223780327142356</v>
      </c>
      <c r="Q1751" s="8">
        <f>(2618262*100)/2995732</f>
        <v>87.399740697766021</v>
      </c>
    </row>
    <row r="1752" spans="1:17" x14ac:dyDescent="0.2">
      <c r="A1752">
        <v>2016</v>
      </c>
      <c r="B1752" t="s">
        <v>2068</v>
      </c>
      <c r="C1752" t="s">
        <v>1635</v>
      </c>
      <c r="D1752" t="s">
        <v>2057</v>
      </c>
      <c r="E1752">
        <v>7</v>
      </c>
      <c r="F1752" t="s">
        <v>19</v>
      </c>
      <c r="G1752" t="s">
        <v>352</v>
      </c>
      <c r="H1752" t="s">
        <v>1142</v>
      </c>
      <c r="I1752" t="s">
        <v>22</v>
      </c>
      <c r="J1752" t="s">
        <v>42</v>
      </c>
      <c r="K1752" t="s">
        <v>1543</v>
      </c>
      <c r="L1752" t="s">
        <v>25</v>
      </c>
      <c r="M1752" s="8">
        <v>1.1423333330000001</v>
      </c>
      <c r="N1752" t="s">
        <v>26</v>
      </c>
      <c r="O1752" s="8">
        <v>1.1423333330000001</v>
      </c>
      <c r="P1752" s="8">
        <f>EXP(-1.363+3.366*LOG(O1752,10))</f>
        <v>0.31084239358261528</v>
      </c>
      <c r="Q1752" s="8">
        <f>(3602085*100)/4019599</f>
        <v>89.613043490159086</v>
      </c>
    </row>
    <row r="1753" spans="1:17" x14ac:dyDescent="0.2">
      <c r="A1753">
        <v>2016</v>
      </c>
      <c r="B1753" t="s">
        <v>2069</v>
      </c>
      <c r="C1753" t="s">
        <v>1635</v>
      </c>
      <c r="D1753" t="s">
        <v>2070</v>
      </c>
      <c r="E1753">
        <v>7</v>
      </c>
      <c r="F1753" t="s">
        <v>19</v>
      </c>
      <c r="G1753" t="s">
        <v>332</v>
      </c>
      <c r="H1753" t="s">
        <v>330</v>
      </c>
      <c r="I1753" t="s">
        <v>22</v>
      </c>
      <c r="J1753" t="s">
        <v>42</v>
      </c>
      <c r="K1753" t="s">
        <v>1543</v>
      </c>
      <c r="L1753" t="s">
        <v>25</v>
      </c>
      <c r="M1753" s="8">
        <v>1.2170000000000001</v>
      </c>
      <c r="N1753" t="s">
        <v>26</v>
      </c>
      <c r="O1753" s="8">
        <v>1.2170000000000001</v>
      </c>
      <c r="P1753" s="8">
        <f>EXP(-1.363+3.366*LOG(O1753,10))</f>
        <v>0.34098666307598596</v>
      </c>
      <c r="Q1753" s="8">
        <f>(3602085*100)/4019599</f>
        <v>89.613043490159086</v>
      </c>
    </row>
    <row r="1754" spans="1:17" x14ac:dyDescent="0.2">
      <c r="A1754">
        <v>2016</v>
      </c>
      <c r="B1754" t="s">
        <v>2071</v>
      </c>
      <c r="C1754" t="s">
        <v>1690</v>
      </c>
      <c r="D1754" t="s">
        <v>2070</v>
      </c>
      <c r="E1754">
        <v>7</v>
      </c>
      <c r="F1754" t="s">
        <v>19</v>
      </c>
      <c r="G1754" t="s">
        <v>352</v>
      </c>
      <c r="H1754" t="s">
        <v>975</v>
      </c>
      <c r="I1754" t="s">
        <v>36</v>
      </c>
      <c r="J1754" t="s">
        <v>42</v>
      </c>
      <c r="K1754" t="s">
        <v>1543</v>
      </c>
      <c r="L1754" t="s">
        <v>25</v>
      </c>
      <c r="M1754" s="8">
        <v>0.95199999999999996</v>
      </c>
      <c r="N1754" t="s">
        <v>26</v>
      </c>
      <c r="O1754" s="8">
        <v>0.95199999999999996</v>
      </c>
      <c r="P1754" s="8">
        <f>EXP(-1.363+3.366*LOG(O1754,10))</f>
        <v>0.23813726407794436</v>
      </c>
      <c r="Q1754" s="8">
        <f>(2640118*100)/3023471</f>
        <v>87.320764776642477</v>
      </c>
    </row>
    <row r="1755" spans="1:17" x14ac:dyDescent="0.2">
      <c r="A1755">
        <v>2016</v>
      </c>
      <c r="B1755" t="s">
        <v>2072</v>
      </c>
      <c r="C1755" t="s">
        <v>1690</v>
      </c>
      <c r="D1755" t="s">
        <v>2070</v>
      </c>
      <c r="E1755">
        <v>7</v>
      </c>
      <c r="F1755" t="s">
        <v>19</v>
      </c>
      <c r="G1755" t="s">
        <v>352</v>
      </c>
      <c r="H1755" t="s">
        <v>975</v>
      </c>
      <c r="I1755" t="s">
        <v>36</v>
      </c>
      <c r="J1755" t="s">
        <v>42</v>
      </c>
      <c r="K1755" t="s">
        <v>1543</v>
      </c>
      <c r="L1755" t="s">
        <v>25</v>
      </c>
      <c r="M1755" s="8">
        <v>0.95199999999999996</v>
      </c>
      <c r="N1755" t="s">
        <v>26</v>
      </c>
      <c r="O1755" s="8">
        <v>0.95199999999999996</v>
      </c>
      <c r="P1755" s="8">
        <f>EXP(-1.363+3.366*LOG(O1755,10))</f>
        <v>0.23813726407794436</v>
      </c>
      <c r="Q1755" s="8">
        <f>(2640118*100)/3023471</f>
        <v>87.320764776642477</v>
      </c>
    </row>
    <row r="1756" spans="1:17" x14ac:dyDescent="0.2">
      <c r="A1756">
        <v>2016</v>
      </c>
      <c r="B1756" t="s">
        <v>2073</v>
      </c>
      <c r="C1756" t="s">
        <v>1690</v>
      </c>
      <c r="D1756" t="s">
        <v>2070</v>
      </c>
      <c r="E1756">
        <v>7</v>
      </c>
      <c r="F1756" t="s">
        <v>19</v>
      </c>
      <c r="G1756" t="s">
        <v>352</v>
      </c>
      <c r="H1756" t="s">
        <v>1142</v>
      </c>
      <c r="I1756" t="s">
        <v>22</v>
      </c>
      <c r="J1756" t="s">
        <v>42</v>
      </c>
      <c r="K1756" t="s">
        <v>1543</v>
      </c>
      <c r="L1756" t="s">
        <v>25</v>
      </c>
      <c r="M1756" s="8">
        <v>1.1423333330000001</v>
      </c>
      <c r="N1756" t="s">
        <v>26</v>
      </c>
      <c r="O1756" s="8">
        <v>1.1423333330000001</v>
      </c>
      <c r="P1756" s="8">
        <f>EXP(-1.363+3.366*LOG(O1756,10))</f>
        <v>0.31084239358261528</v>
      </c>
      <c r="Q1756" s="8">
        <f>(2640118*100)/3023471</f>
        <v>87.320764776642477</v>
      </c>
    </row>
    <row r="1757" spans="1:17" x14ac:dyDescent="0.2">
      <c r="A1757">
        <v>2016</v>
      </c>
      <c r="B1757" t="s">
        <v>2074</v>
      </c>
      <c r="C1757" t="s">
        <v>1690</v>
      </c>
      <c r="D1757" t="s">
        <v>2070</v>
      </c>
      <c r="E1757">
        <v>7</v>
      </c>
      <c r="F1757" t="s">
        <v>19</v>
      </c>
      <c r="G1757" t="s">
        <v>352</v>
      </c>
      <c r="H1757" t="s">
        <v>1142</v>
      </c>
      <c r="I1757" t="s">
        <v>22</v>
      </c>
      <c r="J1757" t="s">
        <v>42</v>
      </c>
      <c r="K1757" t="s">
        <v>1543</v>
      </c>
      <c r="L1757" t="s">
        <v>25</v>
      </c>
      <c r="M1757" s="8">
        <v>1.1423333330000001</v>
      </c>
      <c r="N1757" t="s">
        <v>26</v>
      </c>
      <c r="O1757" s="8">
        <v>1.1423333330000001</v>
      </c>
      <c r="P1757" s="8">
        <f>EXP(-1.363+3.366*LOG(O1757,10))</f>
        <v>0.31084239358261528</v>
      </c>
      <c r="Q1757" s="8">
        <f>(2640118*100)/3023471</f>
        <v>87.320764776642477</v>
      </c>
    </row>
    <row r="1758" spans="1:17" x14ac:dyDescent="0.2">
      <c r="A1758">
        <v>2016</v>
      </c>
      <c r="B1758" t="s">
        <v>2075</v>
      </c>
      <c r="C1758" t="s">
        <v>1690</v>
      </c>
      <c r="D1758" t="s">
        <v>2070</v>
      </c>
      <c r="E1758">
        <v>7</v>
      </c>
      <c r="F1758" t="s">
        <v>19</v>
      </c>
      <c r="G1758" t="s">
        <v>352</v>
      </c>
      <c r="H1758" t="s">
        <v>1142</v>
      </c>
      <c r="I1758" t="s">
        <v>22</v>
      </c>
      <c r="J1758" t="s">
        <v>42</v>
      </c>
      <c r="K1758" t="s">
        <v>1543</v>
      </c>
      <c r="L1758" t="s">
        <v>25</v>
      </c>
      <c r="M1758" s="8">
        <v>1.1423333330000001</v>
      </c>
      <c r="N1758" t="s">
        <v>26</v>
      </c>
      <c r="O1758" s="8">
        <v>1.1423333330000001</v>
      </c>
      <c r="P1758" s="8">
        <f>EXP(-1.363+3.366*LOG(O1758,10))</f>
        <v>0.31084239358261528</v>
      </c>
      <c r="Q1758" s="8">
        <f>(2640118*100)/3023471</f>
        <v>87.320764776642477</v>
      </c>
    </row>
    <row r="1759" spans="1:17" x14ac:dyDescent="0.2">
      <c r="A1759">
        <v>2016</v>
      </c>
      <c r="B1759" t="s">
        <v>2076</v>
      </c>
      <c r="C1759" t="s">
        <v>1624</v>
      </c>
      <c r="D1759" t="s">
        <v>2070</v>
      </c>
      <c r="E1759">
        <v>7</v>
      </c>
      <c r="F1759" t="s">
        <v>19</v>
      </c>
      <c r="G1759" t="s">
        <v>352</v>
      </c>
      <c r="H1759" t="s">
        <v>1142</v>
      </c>
      <c r="I1759" t="s">
        <v>36</v>
      </c>
      <c r="J1759" t="s">
        <v>42</v>
      </c>
      <c r="K1759" t="s">
        <v>1543</v>
      </c>
      <c r="L1759" t="s">
        <v>25</v>
      </c>
      <c r="M1759" s="8">
        <v>0.93500000000000005</v>
      </c>
      <c r="N1759" t="s">
        <v>26</v>
      </c>
      <c r="O1759" s="8">
        <v>0.93500000000000005</v>
      </c>
      <c r="P1759" s="8">
        <f>EXP(-1.363+3.366*LOG(O1759,10))</f>
        <v>0.23194659731411651</v>
      </c>
      <c r="Q1759" s="8">
        <f>(1599772*100)/1881247</f>
        <v>85.037849894245682</v>
      </c>
    </row>
    <row r="1760" spans="1:17" x14ac:dyDescent="0.2">
      <c r="A1760">
        <v>2016</v>
      </c>
      <c r="B1760" t="s">
        <v>2077</v>
      </c>
      <c r="C1760" t="s">
        <v>1690</v>
      </c>
      <c r="D1760" t="s">
        <v>2070</v>
      </c>
      <c r="E1760">
        <v>7</v>
      </c>
      <c r="F1760" t="s">
        <v>19</v>
      </c>
      <c r="G1760" t="s">
        <v>352</v>
      </c>
      <c r="H1760" t="s">
        <v>1142</v>
      </c>
      <c r="I1760" t="s">
        <v>22</v>
      </c>
      <c r="J1760" t="s">
        <v>42</v>
      </c>
      <c r="K1760" t="s">
        <v>1543</v>
      </c>
      <c r="L1760" t="s">
        <v>25</v>
      </c>
      <c r="M1760" s="8">
        <v>1.1423333330000001</v>
      </c>
      <c r="N1760" t="s">
        <v>26</v>
      </c>
      <c r="O1760" s="8">
        <v>1.1423333330000001</v>
      </c>
      <c r="P1760" s="8">
        <f>EXP(-1.363+3.366*LOG(O1760,10))</f>
        <v>0.31084239358261528</v>
      </c>
      <c r="Q1760" s="8">
        <f>(2640118*100)/3023471</f>
        <v>87.320764776642477</v>
      </c>
    </row>
    <row r="1761" spans="1:17" x14ac:dyDescent="0.2">
      <c r="A1761">
        <v>2016</v>
      </c>
      <c r="B1761" t="s">
        <v>2078</v>
      </c>
      <c r="C1761" t="s">
        <v>1690</v>
      </c>
      <c r="D1761" t="s">
        <v>2070</v>
      </c>
      <c r="E1761">
        <v>7</v>
      </c>
      <c r="F1761" t="s">
        <v>19</v>
      </c>
      <c r="G1761" t="s">
        <v>352</v>
      </c>
      <c r="H1761" t="s">
        <v>1142</v>
      </c>
      <c r="I1761" t="s">
        <v>22</v>
      </c>
      <c r="J1761" t="s">
        <v>42</v>
      </c>
      <c r="K1761" t="s">
        <v>1543</v>
      </c>
      <c r="L1761" t="s">
        <v>25</v>
      </c>
      <c r="M1761" s="8">
        <v>1.1423333330000001</v>
      </c>
      <c r="N1761" t="s">
        <v>26</v>
      </c>
      <c r="O1761" s="8">
        <v>1.1423333330000001</v>
      </c>
      <c r="P1761" s="8">
        <f>EXP(-1.363+3.366*LOG(O1761,10))</f>
        <v>0.31084239358261528</v>
      </c>
      <c r="Q1761" s="8">
        <f>(2640118*100)/3023471</f>
        <v>87.320764776642477</v>
      </c>
    </row>
    <row r="1762" spans="1:17" x14ac:dyDescent="0.2">
      <c r="A1762">
        <v>2016</v>
      </c>
      <c r="B1762" t="s">
        <v>2079</v>
      </c>
      <c r="C1762" t="s">
        <v>1690</v>
      </c>
      <c r="D1762" t="s">
        <v>2070</v>
      </c>
      <c r="E1762">
        <v>7</v>
      </c>
      <c r="F1762" t="s">
        <v>19</v>
      </c>
      <c r="G1762" t="s">
        <v>352</v>
      </c>
      <c r="H1762" t="s">
        <v>1142</v>
      </c>
      <c r="I1762" t="s">
        <v>22</v>
      </c>
      <c r="J1762" t="s">
        <v>42</v>
      </c>
      <c r="K1762" t="s">
        <v>1543</v>
      </c>
      <c r="L1762" t="s">
        <v>25</v>
      </c>
      <c r="M1762" s="8">
        <v>1.1423333330000001</v>
      </c>
      <c r="N1762" t="s">
        <v>26</v>
      </c>
      <c r="O1762" s="8">
        <v>1.1423333330000001</v>
      </c>
      <c r="P1762" s="8">
        <f>EXP(-1.363+3.366*LOG(O1762,10))</f>
        <v>0.31084239358261528</v>
      </c>
      <c r="Q1762" s="8">
        <f>(2640118*100)/3023471</f>
        <v>87.320764776642477</v>
      </c>
    </row>
    <row r="1763" spans="1:17" x14ac:dyDescent="0.2">
      <c r="A1763">
        <v>2016</v>
      </c>
      <c r="B1763" t="s">
        <v>2080</v>
      </c>
      <c r="C1763" t="s">
        <v>1690</v>
      </c>
      <c r="D1763" t="s">
        <v>2070</v>
      </c>
      <c r="E1763">
        <v>7</v>
      </c>
      <c r="F1763" t="s">
        <v>19</v>
      </c>
      <c r="G1763" t="s">
        <v>352</v>
      </c>
      <c r="H1763" t="s">
        <v>1142</v>
      </c>
      <c r="I1763" t="s">
        <v>22</v>
      </c>
      <c r="J1763" t="s">
        <v>42</v>
      </c>
      <c r="K1763" t="s">
        <v>1543</v>
      </c>
      <c r="L1763" t="s">
        <v>25</v>
      </c>
      <c r="M1763" s="8">
        <v>1.1423333330000001</v>
      </c>
      <c r="N1763" t="s">
        <v>26</v>
      </c>
      <c r="O1763" s="8">
        <v>1.1423333330000001</v>
      </c>
      <c r="P1763" s="8">
        <f>EXP(-1.363+3.366*LOG(O1763,10))</f>
        <v>0.31084239358261528</v>
      </c>
      <c r="Q1763" s="8">
        <f>(2640118*100)/3023471</f>
        <v>87.320764776642477</v>
      </c>
    </row>
    <row r="1764" spans="1:17" x14ac:dyDescent="0.2">
      <c r="A1764">
        <v>2016</v>
      </c>
      <c r="B1764" t="s">
        <v>2081</v>
      </c>
      <c r="C1764" t="s">
        <v>1690</v>
      </c>
      <c r="D1764" t="s">
        <v>2070</v>
      </c>
      <c r="E1764">
        <v>7</v>
      </c>
      <c r="F1764" t="s">
        <v>19</v>
      </c>
      <c r="G1764" t="s">
        <v>1472</v>
      </c>
      <c r="H1764" t="s">
        <v>1473</v>
      </c>
      <c r="I1764" t="s">
        <v>36</v>
      </c>
      <c r="J1764" t="s">
        <v>42</v>
      </c>
      <c r="K1764" t="s">
        <v>1543</v>
      </c>
      <c r="L1764" t="s">
        <v>187</v>
      </c>
      <c r="M1764" s="8">
        <v>0.91300000000000003</v>
      </c>
      <c r="N1764" t="s">
        <v>26</v>
      </c>
      <c r="O1764" s="8">
        <v>0.91300000000000003</v>
      </c>
      <c r="P1764" s="8">
        <f>EXP(-1.363+3.366*LOG(O1764,10))</f>
        <v>0.22401206592984921</v>
      </c>
      <c r="Q1764" s="8">
        <f>(2640118*100)/3023471</f>
        <v>87.320764776642477</v>
      </c>
    </row>
    <row r="1765" spans="1:17" x14ac:dyDescent="0.2">
      <c r="A1765">
        <v>2016</v>
      </c>
      <c r="B1765" t="s">
        <v>2082</v>
      </c>
      <c r="C1765" t="s">
        <v>1690</v>
      </c>
      <c r="D1765" t="s">
        <v>2070</v>
      </c>
      <c r="E1765">
        <v>7</v>
      </c>
      <c r="F1765" t="s">
        <v>19</v>
      </c>
      <c r="G1765" t="s">
        <v>1472</v>
      </c>
      <c r="H1765" t="s">
        <v>1473</v>
      </c>
      <c r="I1765" t="s">
        <v>36</v>
      </c>
      <c r="J1765" t="s">
        <v>42</v>
      </c>
      <c r="K1765" t="s">
        <v>1543</v>
      </c>
      <c r="L1765" t="s">
        <v>187</v>
      </c>
      <c r="M1765" s="8">
        <v>0.91300000000000003</v>
      </c>
      <c r="N1765" t="s">
        <v>26</v>
      </c>
      <c r="O1765" s="8">
        <v>0.91300000000000003</v>
      </c>
      <c r="P1765" s="8">
        <f>EXP(-1.363+3.366*LOG(O1765,10))</f>
        <v>0.22401206592984921</v>
      </c>
      <c r="Q1765" s="8">
        <f>(2640118*100)/3023471</f>
        <v>87.320764776642477</v>
      </c>
    </row>
    <row r="1766" spans="1:17" x14ac:dyDescent="0.2">
      <c r="A1766">
        <v>2016</v>
      </c>
      <c r="B1766" t="s">
        <v>2083</v>
      </c>
      <c r="C1766" t="s">
        <v>1540</v>
      </c>
      <c r="D1766" t="s">
        <v>2070</v>
      </c>
      <c r="E1766">
        <v>7</v>
      </c>
      <c r="F1766" t="s">
        <v>19</v>
      </c>
      <c r="G1766" t="s">
        <v>352</v>
      </c>
      <c r="H1766" t="s">
        <v>975</v>
      </c>
      <c r="I1766" t="s">
        <v>22</v>
      </c>
      <c r="J1766" t="s">
        <v>42</v>
      </c>
      <c r="K1766" t="s">
        <v>1543</v>
      </c>
      <c r="L1766" t="s">
        <v>25</v>
      </c>
      <c r="M1766" s="8">
        <v>1.0693333330000001</v>
      </c>
      <c r="N1766" t="s">
        <v>26</v>
      </c>
      <c r="O1766" s="8">
        <v>1.0693333330000001</v>
      </c>
      <c r="P1766" s="8">
        <f>EXP(-1.363+3.366*LOG(O1766,10))</f>
        <v>0.28223780327142356</v>
      </c>
      <c r="Q1766" s="8">
        <f>(2618262*100)/2995732</f>
        <v>87.399740697766021</v>
      </c>
    </row>
    <row r="1767" spans="1:17" x14ac:dyDescent="0.2">
      <c r="A1767">
        <v>2016</v>
      </c>
      <c r="B1767" t="s">
        <v>2084</v>
      </c>
      <c r="C1767" t="s">
        <v>1540</v>
      </c>
      <c r="D1767" t="s">
        <v>2070</v>
      </c>
      <c r="E1767">
        <v>7</v>
      </c>
      <c r="F1767" t="s">
        <v>19</v>
      </c>
      <c r="G1767" t="s">
        <v>1520</v>
      </c>
      <c r="H1767" t="s">
        <v>1521</v>
      </c>
      <c r="I1767" t="s">
        <v>36</v>
      </c>
      <c r="J1767" t="s">
        <v>42</v>
      </c>
      <c r="K1767" t="s">
        <v>1543</v>
      </c>
      <c r="L1767" t="s">
        <v>25</v>
      </c>
      <c r="M1767" s="8">
        <v>2.3340000000000001</v>
      </c>
      <c r="N1767" t="s">
        <v>26</v>
      </c>
      <c r="O1767" s="8">
        <v>2.3340000000000001</v>
      </c>
      <c r="P1767" s="8">
        <f>EXP(-1.363+3.366*LOG(O1767,10))</f>
        <v>0.88340410488080767</v>
      </c>
      <c r="Q1767" s="8">
        <f>(2618262*100)/2995732</f>
        <v>87.399740697766021</v>
      </c>
    </row>
    <row r="1768" spans="1:17" x14ac:dyDescent="0.2">
      <c r="A1768">
        <v>2016</v>
      </c>
      <c r="B1768" t="s">
        <v>2085</v>
      </c>
      <c r="C1768" t="s">
        <v>1540</v>
      </c>
      <c r="D1768" t="s">
        <v>2070</v>
      </c>
      <c r="E1768">
        <v>7</v>
      </c>
      <c r="F1768" t="s">
        <v>19</v>
      </c>
      <c r="G1768" t="s">
        <v>352</v>
      </c>
      <c r="H1768" t="s">
        <v>975</v>
      </c>
      <c r="I1768" t="s">
        <v>22</v>
      </c>
      <c r="J1768" t="s">
        <v>42</v>
      </c>
      <c r="K1768" t="s">
        <v>1543</v>
      </c>
      <c r="L1768" t="s">
        <v>25</v>
      </c>
      <c r="M1768" s="8">
        <v>1.0693333330000001</v>
      </c>
      <c r="N1768" t="s">
        <v>26</v>
      </c>
      <c r="O1768" s="8">
        <v>1.0693333330000001</v>
      </c>
      <c r="P1768" s="8">
        <f>EXP(-1.363+3.366*LOG(O1768,10))</f>
        <v>0.28223780327142356</v>
      </c>
      <c r="Q1768" s="8">
        <f>(2618262*100)/2995732</f>
        <v>87.399740697766021</v>
      </c>
    </row>
    <row r="1769" spans="1:17" x14ac:dyDescent="0.2">
      <c r="A1769">
        <v>2016</v>
      </c>
      <c r="B1769" t="s">
        <v>2086</v>
      </c>
      <c r="C1769" t="s">
        <v>1540</v>
      </c>
      <c r="D1769" t="s">
        <v>2070</v>
      </c>
      <c r="E1769">
        <v>7</v>
      </c>
      <c r="F1769" t="s">
        <v>19</v>
      </c>
      <c r="G1769" t="s">
        <v>352</v>
      </c>
      <c r="H1769" t="s">
        <v>353</v>
      </c>
      <c r="I1769" t="s">
        <v>22</v>
      </c>
      <c r="J1769" t="s">
        <v>42</v>
      </c>
      <c r="K1769" t="s">
        <v>1543</v>
      </c>
      <c r="L1769" t="s">
        <v>25</v>
      </c>
      <c r="M1769" s="8">
        <v>1.1623333330000001</v>
      </c>
      <c r="N1769" t="s">
        <v>26</v>
      </c>
      <c r="O1769" s="8">
        <v>1.1623333330000001</v>
      </c>
      <c r="P1769" s="8">
        <f>EXP(-1.363+3.366*LOG(O1769,10))</f>
        <v>0.31883010989102206</v>
      </c>
      <c r="Q1769" s="8">
        <f>(2618262*100)/2995732</f>
        <v>87.399740697766021</v>
      </c>
    </row>
    <row r="1770" spans="1:17" x14ac:dyDescent="0.2">
      <c r="A1770">
        <v>2016</v>
      </c>
      <c r="B1770" t="s">
        <v>2087</v>
      </c>
      <c r="C1770" t="s">
        <v>1540</v>
      </c>
      <c r="D1770" t="s">
        <v>2070</v>
      </c>
      <c r="E1770">
        <v>7</v>
      </c>
      <c r="F1770" t="s">
        <v>19</v>
      </c>
      <c r="G1770" t="s">
        <v>352</v>
      </c>
      <c r="H1770" t="s">
        <v>494</v>
      </c>
      <c r="I1770" t="s">
        <v>22</v>
      </c>
      <c r="J1770" t="s">
        <v>42</v>
      </c>
      <c r="K1770" t="s">
        <v>1543</v>
      </c>
      <c r="L1770" t="s">
        <v>25</v>
      </c>
      <c r="M1770" s="8">
        <v>1.7226666669999999</v>
      </c>
      <c r="N1770" t="s">
        <v>26</v>
      </c>
      <c r="O1770" s="8">
        <v>1.7226666669999999</v>
      </c>
      <c r="P1770" s="8">
        <f>EXP(-1.363+3.366*LOG(O1770,10))</f>
        <v>0.56668788662759551</v>
      </c>
      <c r="Q1770" s="8">
        <f>(2618262*100)/2995732</f>
        <v>87.399740697766021</v>
      </c>
    </row>
    <row r="1771" spans="1:17" x14ac:dyDescent="0.2">
      <c r="A1771">
        <v>2016</v>
      </c>
      <c r="B1771" t="s">
        <v>2088</v>
      </c>
      <c r="C1771" t="s">
        <v>1540</v>
      </c>
      <c r="D1771" t="s">
        <v>2070</v>
      </c>
      <c r="E1771">
        <v>7</v>
      </c>
      <c r="F1771" t="s">
        <v>19</v>
      </c>
      <c r="G1771" t="s">
        <v>20</v>
      </c>
      <c r="H1771" t="s">
        <v>1575</v>
      </c>
      <c r="I1771" t="s">
        <v>36</v>
      </c>
      <c r="J1771" t="s">
        <v>42</v>
      </c>
      <c r="K1771" t="s">
        <v>1543</v>
      </c>
      <c r="L1771" t="s">
        <v>26</v>
      </c>
      <c r="M1771" s="8" t="s">
        <v>26</v>
      </c>
      <c r="N1771" t="s">
        <v>26</v>
      </c>
      <c r="O1771" s="8" t="s">
        <v>26</v>
      </c>
      <c r="P1771" s="8" t="s">
        <v>26</v>
      </c>
      <c r="Q1771" s="8">
        <f>(2618262*100)/2995732</f>
        <v>87.399740697766021</v>
      </c>
    </row>
    <row r="1772" spans="1:17" x14ac:dyDescent="0.2">
      <c r="A1772">
        <v>2016</v>
      </c>
      <c r="B1772" t="s">
        <v>2089</v>
      </c>
      <c r="C1772" t="s">
        <v>1540</v>
      </c>
      <c r="D1772" t="s">
        <v>2070</v>
      </c>
      <c r="E1772">
        <v>7</v>
      </c>
      <c r="F1772" t="s">
        <v>19</v>
      </c>
      <c r="G1772" t="s">
        <v>230</v>
      </c>
      <c r="H1772" t="s">
        <v>1757</v>
      </c>
      <c r="I1772" t="s">
        <v>36</v>
      </c>
      <c r="J1772" t="s">
        <v>42</v>
      </c>
      <c r="K1772" t="s">
        <v>1543</v>
      </c>
      <c r="L1772" t="s">
        <v>25</v>
      </c>
      <c r="M1772" s="8">
        <v>4.7453333329999996</v>
      </c>
      <c r="N1772" t="s">
        <v>26</v>
      </c>
      <c r="O1772" s="8">
        <v>4.7453333329999996</v>
      </c>
      <c r="P1772" s="8">
        <f>EXP(-1.363+3.366*LOG(O1772,10))</f>
        <v>2.4925687243766257</v>
      </c>
      <c r="Q1772" s="8">
        <f>(2618262*100)/2995732</f>
        <v>87.399740697766021</v>
      </c>
    </row>
    <row r="1773" spans="1:17" x14ac:dyDescent="0.2">
      <c r="A1773">
        <v>2016</v>
      </c>
      <c r="B1773" t="s">
        <v>2090</v>
      </c>
      <c r="C1773" t="s">
        <v>1540</v>
      </c>
      <c r="D1773" t="s">
        <v>2057</v>
      </c>
      <c r="E1773">
        <v>7</v>
      </c>
      <c r="F1773" t="s">
        <v>19</v>
      </c>
      <c r="G1773" t="s">
        <v>362</v>
      </c>
      <c r="H1773" t="s">
        <v>447</v>
      </c>
      <c r="I1773" t="s">
        <v>22</v>
      </c>
      <c r="J1773" t="s">
        <v>42</v>
      </c>
      <c r="K1773" t="s">
        <v>1543</v>
      </c>
      <c r="L1773" t="s">
        <v>25</v>
      </c>
      <c r="M1773" s="8">
        <v>1.421</v>
      </c>
      <c r="N1773" t="s">
        <v>26</v>
      </c>
      <c r="O1773" s="8">
        <v>1.421</v>
      </c>
      <c r="P1773" s="8">
        <f>EXP(-1.363+3.366*LOG(O1773,10))</f>
        <v>0.42768500084673816</v>
      </c>
      <c r="Q1773" s="8">
        <f>(2618262*100)/2995732</f>
        <v>87.399740697766021</v>
      </c>
    </row>
    <row r="1774" spans="1:17" x14ac:dyDescent="0.2">
      <c r="A1774">
        <v>2016</v>
      </c>
      <c r="B1774" t="s">
        <v>2091</v>
      </c>
      <c r="C1774" t="s">
        <v>1540</v>
      </c>
      <c r="D1774" t="s">
        <v>2057</v>
      </c>
      <c r="E1774">
        <v>7</v>
      </c>
      <c r="F1774" t="s">
        <v>19</v>
      </c>
      <c r="G1774" t="s">
        <v>352</v>
      </c>
      <c r="H1774" t="s">
        <v>1671</v>
      </c>
      <c r="I1774" t="s">
        <v>22</v>
      </c>
      <c r="J1774" t="s">
        <v>42</v>
      </c>
      <c r="K1774" t="s">
        <v>1543</v>
      </c>
      <c r="L1774" t="s">
        <v>25</v>
      </c>
      <c r="M1774" s="8" t="s">
        <v>26</v>
      </c>
      <c r="N1774" t="s">
        <v>26</v>
      </c>
      <c r="O1774" s="8" t="s">
        <v>26</v>
      </c>
      <c r="P1774" s="8" t="s">
        <v>26</v>
      </c>
      <c r="Q1774" s="8">
        <f>(2618262*100)/2995732</f>
        <v>87.399740697766021</v>
      </c>
    </row>
    <row r="1775" spans="1:17" x14ac:dyDescent="0.2">
      <c r="A1775">
        <v>2016</v>
      </c>
      <c r="B1775" t="s">
        <v>2092</v>
      </c>
      <c r="C1775" t="s">
        <v>1540</v>
      </c>
      <c r="D1775" t="s">
        <v>2057</v>
      </c>
      <c r="E1775">
        <v>7</v>
      </c>
      <c r="F1775" t="s">
        <v>19</v>
      </c>
      <c r="G1775" t="s">
        <v>362</v>
      </c>
      <c r="H1775" t="s">
        <v>447</v>
      </c>
      <c r="I1775" t="s">
        <v>22</v>
      </c>
      <c r="J1775" t="s">
        <v>42</v>
      </c>
      <c r="K1775" t="s">
        <v>1543</v>
      </c>
      <c r="L1775" t="s">
        <v>25</v>
      </c>
      <c r="M1775" s="8">
        <v>1.421</v>
      </c>
      <c r="N1775" t="s">
        <v>26</v>
      </c>
      <c r="O1775" s="8">
        <v>1.421</v>
      </c>
      <c r="P1775" s="8">
        <f>EXP(-1.363+3.366*LOG(O1775,10))</f>
        <v>0.42768500084673816</v>
      </c>
      <c r="Q1775" s="8">
        <f>(2618262*100)/2995732</f>
        <v>87.399740697766021</v>
      </c>
    </row>
    <row r="1776" spans="1:17" x14ac:dyDescent="0.2">
      <c r="A1776">
        <v>2016</v>
      </c>
      <c r="B1776" t="s">
        <v>2093</v>
      </c>
      <c r="C1776" t="s">
        <v>1540</v>
      </c>
      <c r="D1776" t="s">
        <v>2057</v>
      </c>
      <c r="E1776">
        <v>7</v>
      </c>
      <c r="F1776" t="s">
        <v>19</v>
      </c>
      <c r="G1776" t="s">
        <v>352</v>
      </c>
      <c r="H1776" t="s">
        <v>728</v>
      </c>
      <c r="I1776" t="s">
        <v>22</v>
      </c>
      <c r="J1776" t="s">
        <v>42</v>
      </c>
      <c r="K1776" t="s">
        <v>1543</v>
      </c>
      <c r="L1776" t="s">
        <v>187</v>
      </c>
      <c r="M1776" s="8">
        <v>1.8093333330000001</v>
      </c>
      <c r="N1776" t="s">
        <v>26</v>
      </c>
      <c r="O1776" s="8">
        <v>1.8093333330000001</v>
      </c>
      <c r="P1776" s="8">
        <f>EXP(-1.363+3.366*LOG(O1776,10))</f>
        <v>0.6088444603462565</v>
      </c>
      <c r="Q1776" s="8">
        <f>(2618262*100)/2995732</f>
        <v>87.399740697766021</v>
      </c>
    </row>
    <row r="1777" spans="1:17" x14ac:dyDescent="0.2">
      <c r="A1777">
        <v>2016</v>
      </c>
      <c r="B1777" t="s">
        <v>2094</v>
      </c>
      <c r="C1777" t="s">
        <v>1540</v>
      </c>
      <c r="D1777" t="s">
        <v>2057</v>
      </c>
      <c r="E1777">
        <v>7</v>
      </c>
      <c r="F1777" t="s">
        <v>19</v>
      </c>
      <c r="G1777" t="s">
        <v>352</v>
      </c>
      <c r="H1777" t="s">
        <v>975</v>
      </c>
      <c r="I1777" t="s">
        <v>36</v>
      </c>
      <c r="J1777" t="s">
        <v>42</v>
      </c>
      <c r="K1777" t="s">
        <v>1543</v>
      </c>
      <c r="L1777" t="s">
        <v>25</v>
      </c>
      <c r="M1777" s="8">
        <v>0.95199999999999996</v>
      </c>
      <c r="N1777" t="s">
        <v>26</v>
      </c>
      <c r="O1777" s="8">
        <v>0.95199999999999996</v>
      </c>
      <c r="P1777" s="8">
        <f>EXP(-1.363+3.366*LOG(O1777,10))</f>
        <v>0.23813726407794436</v>
      </c>
      <c r="Q1777" s="8">
        <f>(2618262*100)/2995732</f>
        <v>87.399740697766021</v>
      </c>
    </row>
    <row r="1778" spans="1:17" x14ac:dyDescent="0.2">
      <c r="A1778">
        <v>2016</v>
      </c>
      <c r="B1778" t="s">
        <v>2095</v>
      </c>
      <c r="C1778" t="s">
        <v>1540</v>
      </c>
      <c r="D1778" t="s">
        <v>2057</v>
      </c>
      <c r="E1778">
        <v>7</v>
      </c>
      <c r="F1778" t="s">
        <v>19</v>
      </c>
      <c r="G1778" t="s">
        <v>362</v>
      </c>
      <c r="H1778" t="s">
        <v>447</v>
      </c>
      <c r="I1778" t="s">
        <v>22</v>
      </c>
      <c r="J1778" t="s">
        <v>42</v>
      </c>
      <c r="K1778" t="s">
        <v>1543</v>
      </c>
      <c r="L1778" t="s">
        <v>25</v>
      </c>
      <c r="M1778" s="8">
        <v>1.421</v>
      </c>
      <c r="N1778" t="s">
        <v>26</v>
      </c>
      <c r="O1778" s="8">
        <v>1.421</v>
      </c>
      <c r="P1778" s="8">
        <f>EXP(-1.363+3.366*LOG(O1778,10))</f>
        <v>0.42768500084673816</v>
      </c>
      <c r="Q1778" s="8">
        <f>(2618262*100)/2995732</f>
        <v>87.399740697766021</v>
      </c>
    </row>
    <row r="1779" spans="1:17" x14ac:dyDescent="0.2">
      <c r="A1779">
        <v>2016</v>
      </c>
      <c r="B1779" t="s">
        <v>2096</v>
      </c>
      <c r="C1779" t="s">
        <v>1540</v>
      </c>
      <c r="D1779" t="s">
        <v>2057</v>
      </c>
      <c r="E1779">
        <v>7</v>
      </c>
      <c r="F1779" t="s">
        <v>19</v>
      </c>
      <c r="G1779" t="s">
        <v>362</v>
      </c>
      <c r="H1779" t="s">
        <v>447</v>
      </c>
      <c r="I1779" t="s">
        <v>22</v>
      </c>
      <c r="J1779" t="s">
        <v>42</v>
      </c>
      <c r="K1779" t="s">
        <v>1543</v>
      </c>
      <c r="L1779" t="s">
        <v>25</v>
      </c>
      <c r="M1779" s="8">
        <v>1.421</v>
      </c>
      <c r="N1779" t="s">
        <v>26</v>
      </c>
      <c r="O1779" s="8">
        <v>1.421</v>
      </c>
      <c r="P1779" s="8">
        <f>EXP(-1.363+3.366*LOG(O1779,10))</f>
        <v>0.42768500084673816</v>
      </c>
      <c r="Q1779" s="8">
        <f>(2618262*100)/2995732</f>
        <v>87.399740697766021</v>
      </c>
    </row>
    <row r="1780" spans="1:17" x14ac:dyDescent="0.2">
      <c r="A1780">
        <v>2016</v>
      </c>
      <c r="B1780" t="s">
        <v>2097</v>
      </c>
      <c r="C1780" t="s">
        <v>1552</v>
      </c>
      <c r="D1780" t="s">
        <v>2057</v>
      </c>
      <c r="E1780">
        <v>7</v>
      </c>
      <c r="F1780" t="s">
        <v>2098</v>
      </c>
      <c r="G1780" t="s">
        <v>1735</v>
      </c>
      <c r="H1780" t="s">
        <v>1736</v>
      </c>
      <c r="I1780" t="s">
        <v>36</v>
      </c>
      <c r="J1780" t="s">
        <v>42</v>
      </c>
      <c r="K1780" t="s">
        <v>1543</v>
      </c>
      <c r="L1780" t="s">
        <v>25</v>
      </c>
      <c r="M1780" s="8">
        <v>3.8633333329999999</v>
      </c>
      <c r="N1780" t="s">
        <v>26</v>
      </c>
      <c r="O1780" s="8">
        <v>3.8633333329999999</v>
      </c>
      <c r="P1780" s="8">
        <f>EXP(-1.363+3.366*LOG(O1780,10))</f>
        <v>1.8454344092406809</v>
      </c>
      <c r="Q1780" s="8">
        <f>(3738946*100)/3915493</f>
        <v>95.491065875995687</v>
      </c>
    </row>
    <row r="1781" spans="1:17" x14ac:dyDescent="0.2">
      <c r="A1781">
        <v>2016</v>
      </c>
      <c r="B1781" t="s">
        <v>2099</v>
      </c>
      <c r="C1781" t="s">
        <v>1552</v>
      </c>
      <c r="D1781" t="s">
        <v>2100</v>
      </c>
      <c r="E1781">
        <v>4</v>
      </c>
      <c r="F1781" t="s">
        <v>2098</v>
      </c>
      <c r="G1781" t="s">
        <v>1735</v>
      </c>
      <c r="H1781" t="s">
        <v>1736</v>
      </c>
      <c r="I1781" t="s">
        <v>36</v>
      </c>
      <c r="J1781" t="s">
        <v>42</v>
      </c>
      <c r="K1781" t="s">
        <v>1543</v>
      </c>
      <c r="L1781" t="s">
        <v>25</v>
      </c>
      <c r="M1781" s="8">
        <v>3.8633333329999999</v>
      </c>
      <c r="N1781" t="s">
        <v>26</v>
      </c>
      <c r="O1781" s="8">
        <v>3.8633333329999999</v>
      </c>
      <c r="P1781" s="8">
        <f>EXP(-1.363+3.366*LOG(O1781,10))</f>
        <v>1.8454344092406809</v>
      </c>
      <c r="Q1781" s="8">
        <f>(3738946*100)/3915493</f>
        <v>95.491065875995687</v>
      </c>
    </row>
    <row r="1782" spans="1:17" x14ac:dyDescent="0.2">
      <c r="A1782">
        <v>2016</v>
      </c>
      <c r="B1782" t="s">
        <v>2101</v>
      </c>
      <c r="C1782" t="s">
        <v>1552</v>
      </c>
      <c r="D1782" t="s">
        <v>2100</v>
      </c>
      <c r="E1782">
        <v>4</v>
      </c>
      <c r="F1782" t="s">
        <v>2098</v>
      </c>
      <c r="G1782" t="s">
        <v>20</v>
      </c>
      <c r="H1782" t="s">
        <v>145</v>
      </c>
      <c r="I1782" t="s">
        <v>36</v>
      </c>
      <c r="J1782" t="s">
        <v>42</v>
      </c>
      <c r="K1782" t="s">
        <v>1543</v>
      </c>
      <c r="L1782" t="s">
        <v>25</v>
      </c>
      <c r="M1782" s="8">
        <v>1.9886666669999999</v>
      </c>
      <c r="N1782" t="s">
        <v>26</v>
      </c>
      <c r="O1782" s="8">
        <v>1.9886666669999999</v>
      </c>
      <c r="P1782" s="8">
        <f>EXP(-1.363+3.366*LOG(O1782,10))</f>
        <v>0.69904488411120058</v>
      </c>
      <c r="Q1782" s="8">
        <f>(3738946*100)/3915493</f>
        <v>95.491065875995687</v>
      </c>
    </row>
    <row r="1783" spans="1:17" x14ac:dyDescent="0.2">
      <c r="A1783">
        <v>2016</v>
      </c>
      <c r="B1783" t="s">
        <v>2102</v>
      </c>
      <c r="C1783" t="s">
        <v>1624</v>
      </c>
      <c r="D1783" t="s">
        <v>2100</v>
      </c>
      <c r="E1783">
        <v>4</v>
      </c>
      <c r="F1783" t="s">
        <v>2098</v>
      </c>
      <c r="G1783" t="s">
        <v>1735</v>
      </c>
      <c r="H1783" t="s">
        <v>1736</v>
      </c>
      <c r="I1783" t="s">
        <v>36</v>
      </c>
      <c r="J1783" t="s">
        <v>42</v>
      </c>
      <c r="K1783" t="s">
        <v>1543</v>
      </c>
      <c r="L1783" t="s">
        <v>25</v>
      </c>
      <c r="M1783" s="8">
        <v>3.8633333329999999</v>
      </c>
      <c r="N1783" t="s">
        <v>26</v>
      </c>
      <c r="O1783" s="8">
        <v>3.8633333329999999</v>
      </c>
      <c r="P1783" s="8">
        <f>EXP(-1.363+3.366*LOG(O1783,10))</f>
        <v>1.8454344092406809</v>
      </c>
      <c r="Q1783" s="8">
        <f>(1599772*100)/1881247</f>
        <v>85.037849894245682</v>
      </c>
    </row>
    <row r="1784" spans="1:17" x14ac:dyDescent="0.2">
      <c r="A1784">
        <v>2016</v>
      </c>
      <c r="B1784" t="s">
        <v>2103</v>
      </c>
      <c r="C1784" t="s">
        <v>1624</v>
      </c>
      <c r="D1784" t="s">
        <v>2100</v>
      </c>
      <c r="E1784">
        <v>4</v>
      </c>
      <c r="F1784" t="s">
        <v>2098</v>
      </c>
      <c r="G1784" t="s">
        <v>1735</v>
      </c>
      <c r="H1784" t="s">
        <v>1736</v>
      </c>
      <c r="I1784" t="s">
        <v>36</v>
      </c>
      <c r="J1784" t="s">
        <v>42</v>
      </c>
      <c r="K1784" t="s">
        <v>1543</v>
      </c>
      <c r="L1784" t="s">
        <v>25</v>
      </c>
      <c r="M1784" s="8">
        <v>3.8633333329999999</v>
      </c>
      <c r="N1784" t="s">
        <v>26</v>
      </c>
      <c r="O1784" s="8">
        <v>3.8633333329999999</v>
      </c>
      <c r="P1784" s="8">
        <f>EXP(-1.363+3.366*LOG(O1784,10))</f>
        <v>1.8454344092406809</v>
      </c>
      <c r="Q1784" s="8">
        <f>(1599772*100)/1881247</f>
        <v>85.037849894245682</v>
      </c>
    </row>
    <row r="1785" spans="1:17" x14ac:dyDescent="0.2">
      <c r="A1785">
        <v>2016</v>
      </c>
      <c r="B1785" t="s">
        <v>2104</v>
      </c>
      <c r="C1785" t="s">
        <v>1624</v>
      </c>
      <c r="D1785" t="s">
        <v>2100</v>
      </c>
      <c r="E1785">
        <v>4</v>
      </c>
      <c r="F1785" t="s">
        <v>2098</v>
      </c>
      <c r="G1785" t="s">
        <v>219</v>
      </c>
      <c r="H1785" t="s">
        <v>220</v>
      </c>
      <c r="I1785" t="s">
        <v>22</v>
      </c>
      <c r="J1785" t="s">
        <v>42</v>
      </c>
      <c r="K1785" t="s">
        <v>1543</v>
      </c>
      <c r="L1785" t="s">
        <v>25</v>
      </c>
      <c r="M1785" s="8">
        <v>2.8969999999999998</v>
      </c>
      <c r="N1785" t="s">
        <v>26</v>
      </c>
      <c r="O1785" s="8">
        <v>2.8969999999999998</v>
      </c>
      <c r="P1785" s="8">
        <f>EXP(-1.363+3.366*LOG(O1785,10))</f>
        <v>1.2115719332293342</v>
      </c>
      <c r="Q1785" s="8">
        <f>(1599772*100)/1881247</f>
        <v>85.037849894245682</v>
      </c>
    </row>
    <row r="1786" spans="1:17" x14ac:dyDescent="0.2">
      <c r="A1786">
        <v>2016</v>
      </c>
      <c r="B1786" t="s">
        <v>2105</v>
      </c>
      <c r="C1786" t="s">
        <v>1540</v>
      </c>
      <c r="D1786" t="s">
        <v>2100</v>
      </c>
      <c r="E1786">
        <v>4</v>
      </c>
      <c r="F1786" t="s">
        <v>2098</v>
      </c>
      <c r="G1786" t="s">
        <v>1735</v>
      </c>
      <c r="H1786" t="s">
        <v>1736</v>
      </c>
      <c r="I1786" t="s">
        <v>36</v>
      </c>
      <c r="J1786" t="s">
        <v>42</v>
      </c>
      <c r="K1786" t="s">
        <v>1543</v>
      </c>
      <c r="L1786" t="s">
        <v>25</v>
      </c>
      <c r="M1786" s="8">
        <v>3.8633333329999999</v>
      </c>
      <c r="N1786" t="s">
        <v>26</v>
      </c>
      <c r="O1786" s="8">
        <v>3.8633333329999999</v>
      </c>
      <c r="P1786" s="8">
        <f>EXP(-1.363+3.366*LOG(O1786,10))</f>
        <v>1.8454344092406809</v>
      </c>
      <c r="Q1786" s="8">
        <f>(2618262*100)/2995732</f>
        <v>87.399740697766021</v>
      </c>
    </row>
    <row r="1787" spans="1:17" x14ac:dyDescent="0.2">
      <c r="A1787">
        <v>2016</v>
      </c>
      <c r="B1787" t="s">
        <v>2106</v>
      </c>
      <c r="C1787" t="s">
        <v>1547</v>
      </c>
      <c r="D1787" t="s">
        <v>2100</v>
      </c>
      <c r="E1787">
        <v>4</v>
      </c>
      <c r="F1787" t="s">
        <v>2098</v>
      </c>
      <c r="G1787" t="s">
        <v>1735</v>
      </c>
      <c r="H1787" t="s">
        <v>1736</v>
      </c>
      <c r="I1787" t="s">
        <v>36</v>
      </c>
      <c r="J1787" t="s">
        <v>42</v>
      </c>
      <c r="K1787" t="s">
        <v>1543</v>
      </c>
      <c r="L1787" t="s">
        <v>25</v>
      </c>
      <c r="M1787" s="8">
        <v>3.8633333329999999</v>
      </c>
      <c r="N1787" t="s">
        <v>26</v>
      </c>
      <c r="O1787" s="8">
        <v>3.8633333329999999</v>
      </c>
      <c r="P1787" s="8">
        <f>EXP(-1.363+3.366*LOG(O1787,10))</f>
        <v>1.8454344092406809</v>
      </c>
      <c r="Q1787" s="8">
        <f>(3881584*100)/4292409</f>
        <v>90.429034139104644</v>
      </c>
    </row>
    <row r="1788" spans="1:17" x14ac:dyDescent="0.2">
      <c r="A1788">
        <v>2016</v>
      </c>
      <c r="B1788" t="s">
        <v>2107</v>
      </c>
      <c r="C1788" t="s">
        <v>1540</v>
      </c>
      <c r="D1788" t="s">
        <v>2100</v>
      </c>
      <c r="E1788">
        <v>4</v>
      </c>
      <c r="F1788" t="s">
        <v>2098</v>
      </c>
      <c r="G1788" t="s">
        <v>1735</v>
      </c>
      <c r="H1788" t="s">
        <v>1736</v>
      </c>
      <c r="I1788" t="s">
        <v>22</v>
      </c>
      <c r="J1788" t="s">
        <v>42</v>
      </c>
      <c r="K1788" t="s">
        <v>1543</v>
      </c>
      <c r="L1788" t="s">
        <v>25</v>
      </c>
      <c r="M1788" s="8">
        <v>4.1156666670000002</v>
      </c>
      <c r="N1788" t="s">
        <v>26</v>
      </c>
      <c r="O1788" s="8">
        <v>4.1156666670000002</v>
      </c>
      <c r="P1788" s="8">
        <f>EXP(-1.363+3.366*LOG(O1788,10))</f>
        <v>2.0242630151675414</v>
      </c>
      <c r="Q1788" s="8">
        <f>(2618262*100)/2995732</f>
        <v>87.399740697766021</v>
      </c>
    </row>
    <row r="1789" spans="1:17" x14ac:dyDescent="0.2">
      <c r="A1789">
        <v>2016</v>
      </c>
      <c r="B1789" t="s">
        <v>2108</v>
      </c>
      <c r="C1789" t="s">
        <v>1540</v>
      </c>
      <c r="D1789" t="s">
        <v>2109</v>
      </c>
      <c r="E1789">
        <v>4</v>
      </c>
      <c r="F1789" t="s">
        <v>2098</v>
      </c>
      <c r="G1789" t="s">
        <v>1735</v>
      </c>
      <c r="H1789" t="s">
        <v>1736</v>
      </c>
      <c r="I1789" t="s">
        <v>36</v>
      </c>
      <c r="J1789" t="s">
        <v>42</v>
      </c>
      <c r="K1789" t="s">
        <v>1543</v>
      </c>
      <c r="L1789" t="s">
        <v>25</v>
      </c>
      <c r="M1789" s="8">
        <v>3.8633333329999999</v>
      </c>
      <c r="N1789" t="s">
        <v>26</v>
      </c>
      <c r="O1789" s="8">
        <v>3.8633333329999999</v>
      </c>
      <c r="P1789" s="8">
        <f>EXP(-1.363+3.366*LOG(O1789,10))</f>
        <v>1.8454344092406809</v>
      </c>
      <c r="Q1789" s="8">
        <f>(2618262*100)/2995732</f>
        <v>87.399740697766021</v>
      </c>
    </row>
    <row r="1790" spans="1:17" x14ac:dyDescent="0.2">
      <c r="A1790">
        <v>2016</v>
      </c>
      <c r="B1790" t="s">
        <v>2110</v>
      </c>
      <c r="C1790" t="s">
        <v>1540</v>
      </c>
      <c r="D1790" t="s">
        <v>2109</v>
      </c>
      <c r="E1790">
        <v>4</v>
      </c>
      <c r="F1790" t="s">
        <v>2098</v>
      </c>
      <c r="G1790" t="s">
        <v>362</v>
      </c>
      <c r="H1790" t="s">
        <v>447</v>
      </c>
      <c r="I1790" t="s">
        <v>22</v>
      </c>
      <c r="J1790" t="s">
        <v>42</v>
      </c>
      <c r="K1790" t="s">
        <v>1543</v>
      </c>
      <c r="L1790" t="s">
        <v>25</v>
      </c>
      <c r="M1790" s="8">
        <v>1.421</v>
      </c>
      <c r="N1790" t="s">
        <v>26</v>
      </c>
      <c r="O1790" s="8">
        <v>1.421</v>
      </c>
      <c r="P1790" s="8">
        <f>EXP(-1.363+3.366*LOG(O1790,10))</f>
        <v>0.42768500084673816</v>
      </c>
      <c r="Q1790" s="8">
        <f>(2618262*100)/2995732</f>
        <v>87.399740697766021</v>
      </c>
    </row>
    <row r="1791" spans="1:17" x14ac:dyDescent="0.2">
      <c r="A1791">
        <v>2016</v>
      </c>
      <c r="B1791" t="s">
        <v>2111</v>
      </c>
      <c r="C1791" t="s">
        <v>1624</v>
      </c>
      <c r="D1791" t="s">
        <v>2109</v>
      </c>
      <c r="E1791">
        <v>4</v>
      </c>
      <c r="F1791" t="s">
        <v>2098</v>
      </c>
      <c r="G1791" t="s">
        <v>1532</v>
      </c>
      <c r="H1791" t="s">
        <v>1944</v>
      </c>
      <c r="I1791" t="s">
        <v>22</v>
      </c>
      <c r="J1791" t="s">
        <v>42</v>
      </c>
      <c r="K1791" t="s">
        <v>1543</v>
      </c>
      <c r="L1791" t="s">
        <v>25</v>
      </c>
      <c r="M1791" s="8">
        <v>3.7026666669999999</v>
      </c>
      <c r="N1791" t="s">
        <v>26</v>
      </c>
      <c r="O1791" s="8">
        <v>3.7026666669999999</v>
      </c>
      <c r="P1791" s="8">
        <f>EXP(-1.363+3.366*LOG(O1791,10))</f>
        <v>1.7343283127134672</v>
      </c>
      <c r="Q1791" s="8">
        <f>(1599772*100)/1881247</f>
        <v>85.037849894245682</v>
      </c>
    </row>
    <row r="1792" spans="1:17" x14ac:dyDescent="0.2">
      <c r="A1792">
        <v>2016</v>
      </c>
      <c r="B1792" t="s">
        <v>2112</v>
      </c>
      <c r="C1792" t="s">
        <v>1690</v>
      </c>
      <c r="D1792" t="s">
        <v>2109</v>
      </c>
      <c r="E1792">
        <v>4</v>
      </c>
      <c r="F1792" t="s">
        <v>2098</v>
      </c>
      <c r="G1792" t="s">
        <v>1735</v>
      </c>
      <c r="H1792" t="s">
        <v>1736</v>
      </c>
      <c r="I1792" t="s">
        <v>36</v>
      </c>
      <c r="J1792" t="s">
        <v>42</v>
      </c>
      <c r="K1792" t="s">
        <v>1543</v>
      </c>
      <c r="L1792" t="s">
        <v>25</v>
      </c>
      <c r="M1792" s="8">
        <v>3.8633333329999999</v>
      </c>
      <c r="N1792" t="s">
        <v>26</v>
      </c>
      <c r="O1792" s="8">
        <v>3.8633333329999999</v>
      </c>
      <c r="P1792" s="8">
        <f>EXP(-1.363+3.366*LOG(O1792,10))</f>
        <v>1.8454344092406809</v>
      </c>
      <c r="Q1792" s="8">
        <f>(2640118*100)/3023471</f>
        <v>87.320764776642477</v>
      </c>
    </row>
    <row r="1793" spans="1:17" x14ac:dyDescent="0.2">
      <c r="A1793">
        <v>2016</v>
      </c>
      <c r="B1793" t="s">
        <v>2113</v>
      </c>
      <c r="C1793" t="s">
        <v>1690</v>
      </c>
      <c r="D1793" t="s">
        <v>2109</v>
      </c>
      <c r="E1793">
        <v>4</v>
      </c>
      <c r="F1793" t="s">
        <v>2098</v>
      </c>
      <c r="G1793" t="s">
        <v>1735</v>
      </c>
      <c r="H1793" t="s">
        <v>1736</v>
      </c>
      <c r="I1793" t="s">
        <v>36</v>
      </c>
      <c r="J1793" t="s">
        <v>42</v>
      </c>
      <c r="K1793" t="s">
        <v>1543</v>
      </c>
      <c r="L1793" t="s">
        <v>25</v>
      </c>
      <c r="M1793" s="8">
        <v>3.8633333329999999</v>
      </c>
      <c r="N1793" t="s">
        <v>26</v>
      </c>
      <c r="O1793" s="8">
        <v>3.8633333329999999</v>
      </c>
      <c r="P1793" s="8">
        <f>EXP(-1.363+3.366*LOG(O1793,10))</f>
        <v>1.8454344092406809</v>
      </c>
      <c r="Q1793" s="8">
        <f>(2640118*100)/3023471</f>
        <v>87.320764776642477</v>
      </c>
    </row>
    <row r="1794" spans="1:17" s="6" customFormat="1" x14ac:dyDescent="0.2">
      <c r="A1794">
        <v>2016</v>
      </c>
      <c r="B1794" t="s">
        <v>2114</v>
      </c>
      <c r="C1794" t="s">
        <v>1690</v>
      </c>
      <c r="D1794" t="s">
        <v>2109</v>
      </c>
      <c r="E1794">
        <v>4</v>
      </c>
      <c r="F1794" t="s">
        <v>2098</v>
      </c>
      <c r="G1794" t="s">
        <v>1735</v>
      </c>
      <c r="H1794" t="s">
        <v>1736</v>
      </c>
      <c r="I1794" t="s">
        <v>36</v>
      </c>
      <c r="J1794" t="s">
        <v>42</v>
      </c>
      <c r="K1794" t="s">
        <v>1543</v>
      </c>
      <c r="L1794" t="s">
        <v>25</v>
      </c>
      <c r="M1794" s="8">
        <v>3.8633333329999999</v>
      </c>
      <c r="N1794" t="s">
        <v>26</v>
      </c>
      <c r="O1794" s="8">
        <v>3.8633333329999999</v>
      </c>
      <c r="P1794" s="8">
        <f>EXP(-1.363+3.366*LOG(O1794,10))</f>
        <v>1.8454344092406809</v>
      </c>
      <c r="Q1794" s="8">
        <f>(2640118*100)/3023471</f>
        <v>87.320764776642477</v>
      </c>
    </row>
    <row r="1795" spans="1:17" x14ac:dyDescent="0.2">
      <c r="A1795">
        <v>2016</v>
      </c>
      <c r="B1795" t="s">
        <v>2115</v>
      </c>
      <c r="C1795" t="s">
        <v>1690</v>
      </c>
      <c r="D1795" t="s">
        <v>2109</v>
      </c>
      <c r="E1795">
        <v>4</v>
      </c>
      <c r="F1795" t="s">
        <v>2098</v>
      </c>
      <c r="G1795" t="s">
        <v>1532</v>
      </c>
      <c r="H1795" t="s">
        <v>1533</v>
      </c>
      <c r="I1795" t="s">
        <v>36</v>
      </c>
      <c r="J1795" t="s">
        <v>42</v>
      </c>
      <c r="K1795" t="s">
        <v>1543</v>
      </c>
      <c r="L1795" t="s">
        <v>25</v>
      </c>
      <c r="M1795" s="8">
        <v>2.63</v>
      </c>
      <c r="N1795" t="s">
        <v>26</v>
      </c>
      <c r="O1795" s="8">
        <v>2.63</v>
      </c>
      <c r="P1795" s="8">
        <f>EXP(-1.363+3.366*LOG(O1795,10))</f>
        <v>1.0518715955632558</v>
      </c>
      <c r="Q1795" s="8">
        <f>(2640118*100)/3023471</f>
        <v>87.320764776642477</v>
      </c>
    </row>
    <row r="1796" spans="1:17" x14ac:dyDescent="0.2">
      <c r="A1796">
        <v>2016</v>
      </c>
      <c r="B1796" t="s">
        <v>2116</v>
      </c>
      <c r="C1796" t="s">
        <v>1690</v>
      </c>
      <c r="D1796" t="s">
        <v>2109</v>
      </c>
      <c r="E1796">
        <v>4</v>
      </c>
      <c r="F1796" t="s">
        <v>2098</v>
      </c>
      <c r="G1796" t="s">
        <v>1532</v>
      </c>
      <c r="H1796" t="s">
        <v>1533</v>
      </c>
      <c r="I1796" t="s">
        <v>36</v>
      </c>
      <c r="J1796" t="s">
        <v>42</v>
      </c>
      <c r="K1796" t="s">
        <v>1543</v>
      </c>
      <c r="L1796" t="s">
        <v>25</v>
      </c>
      <c r="M1796" s="8">
        <v>2.63</v>
      </c>
      <c r="N1796" t="s">
        <v>26</v>
      </c>
      <c r="O1796" s="8">
        <v>2.63</v>
      </c>
      <c r="P1796" s="8">
        <f>EXP(-1.363+3.366*LOG(O1796,10))</f>
        <v>1.0518715955632558</v>
      </c>
      <c r="Q1796" s="8">
        <f>(2640118*100)/3023471</f>
        <v>87.320764776642477</v>
      </c>
    </row>
    <row r="1797" spans="1:17" x14ac:dyDescent="0.2">
      <c r="A1797">
        <v>2016</v>
      </c>
      <c r="B1797" t="s">
        <v>2117</v>
      </c>
      <c r="C1797" t="s">
        <v>1552</v>
      </c>
      <c r="D1797" t="s">
        <v>2109</v>
      </c>
      <c r="E1797">
        <v>4</v>
      </c>
      <c r="F1797" t="s">
        <v>2098</v>
      </c>
      <c r="G1797" t="s">
        <v>230</v>
      </c>
      <c r="H1797" t="s">
        <v>268</v>
      </c>
      <c r="I1797" t="s">
        <v>22</v>
      </c>
      <c r="J1797" t="s">
        <v>42</v>
      </c>
      <c r="K1797" t="s">
        <v>1543</v>
      </c>
      <c r="L1797" t="s">
        <v>25</v>
      </c>
      <c r="M1797" s="8">
        <v>3.5356666670000001</v>
      </c>
      <c r="N1797" t="s">
        <v>26</v>
      </c>
      <c r="O1797" s="8">
        <v>3.5356666670000001</v>
      </c>
      <c r="P1797" s="8">
        <f>EXP(-1.363+3.366*LOG(O1797,10))</f>
        <v>1.6211802664427075</v>
      </c>
      <c r="Q1797" s="8">
        <f>(3738946*100)/3915493</f>
        <v>95.491065875995687</v>
      </c>
    </row>
    <row r="1798" spans="1:17" x14ac:dyDescent="0.2">
      <c r="A1798">
        <v>2016</v>
      </c>
      <c r="B1798" t="s">
        <v>2118</v>
      </c>
      <c r="C1798" t="s">
        <v>1552</v>
      </c>
      <c r="D1798" t="s">
        <v>2109</v>
      </c>
      <c r="E1798">
        <v>4</v>
      </c>
      <c r="F1798" t="s">
        <v>2098</v>
      </c>
      <c r="G1798" t="s">
        <v>1735</v>
      </c>
      <c r="H1798" t="s">
        <v>1736</v>
      </c>
      <c r="I1798" t="s">
        <v>36</v>
      </c>
      <c r="J1798" t="s">
        <v>42</v>
      </c>
      <c r="K1798" t="s">
        <v>1543</v>
      </c>
      <c r="L1798" t="s">
        <v>25</v>
      </c>
      <c r="M1798" s="8">
        <v>3.8633333329999999</v>
      </c>
      <c r="N1798" t="s">
        <v>26</v>
      </c>
      <c r="O1798" s="8">
        <v>3.8633333329999999</v>
      </c>
      <c r="P1798" s="8">
        <f>EXP(-1.363+3.366*LOG(O1798,10))</f>
        <v>1.8454344092406809</v>
      </c>
      <c r="Q1798" s="8">
        <f>(3738946*100)/3915493</f>
        <v>95.491065875995687</v>
      </c>
    </row>
    <row r="1799" spans="1:17" x14ac:dyDescent="0.2">
      <c r="A1799">
        <v>2016</v>
      </c>
      <c r="B1799" t="s">
        <v>2119</v>
      </c>
      <c r="C1799" t="s">
        <v>1552</v>
      </c>
      <c r="D1799" t="s">
        <v>2109</v>
      </c>
      <c r="E1799">
        <v>4</v>
      </c>
      <c r="F1799" t="s">
        <v>2098</v>
      </c>
      <c r="G1799" t="s">
        <v>1735</v>
      </c>
      <c r="H1799" t="s">
        <v>1736</v>
      </c>
      <c r="I1799" t="s">
        <v>22</v>
      </c>
      <c r="J1799" t="s">
        <v>42</v>
      </c>
      <c r="K1799" t="s">
        <v>1543</v>
      </c>
      <c r="L1799" t="s">
        <v>25</v>
      </c>
      <c r="M1799" s="8">
        <v>4.1156666670000002</v>
      </c>
      <c r="N1799" t="s">
        <v>26</v>
      </c>
      <c r="O1799" s="8">
        <v>4.1156666670000002</v>
      </c>
      <c r="P1799" s="8">
        <f>EXP(-1.363+3.366*LOG(O1799,10))</f>
        <v>2.0242630151675414</v>
      </c>
      <c r="Q1799" s="8">
        <f>(3738946*100)/3915493</f>
        <v>95.491065875995687</v>
      </c>
    </row>
    <row r="1800" spans="1:17" x14ac:dyDescent="0.2">
      <c r="A1800">
        <v>2016</v>
      </c>
      <c r="B1800" t="s">
        <v>2120</v>
      </c>
      <c r="C1800" t="s">
        <v>1635</v>
      </c>
      <c r="D1800" t="s">
        <v>2109</v>
      </c>
      <c r="E1800">
        <v>4</v>
      </c>
      <c r="F1800" t="s">
        <v>2098</v>
      </c>
      <c r="G1800" t="s">
        <v>1735</v>
      </c>
      <c r="H1800" t="s">
        <v>1736</v>
      </c>
      <c r="I1800" t="s">
        <v>36</v>
      </c>
      <c r="J1800" t="s">
        <v>42</v>
      </c>
      <c r="K1800" t="s">
        <v>1543</v>
      </c>
      <c r="L1800" t="s">
        <v>25</v>
      </c>
      <c r="M1800" s="8">
        <v>3.8633333329999999</v>
      </c>
      <c r="N1800" t="s">
        <v>26</v>
      </c>
      <c r="O1800" s="8">
        <v>3.8633333329999999</v>
      </c>
      <c r="P1800" s="8">
        <f>EXP(-1.363+3.366*LOG(O1800,10))</f>
        <v>1.8454344092406809</v>
      </c>
      <c r="Q1800" s="8">
        <f>(3602085*100)/4019599</f>
        <v>89.613043490159086</v>
      </c>
    </row>
    <row r="1801" spans="1:17" x14ac:dyDescent="0.2">
      <c r="A1801">
        <v>2016</v>
      </c>
      <c r="B1801" t="s">
        <v>2121</v>
      </c>
      <c r="C1801" t="s">
        <v>1635</v>
      </c>
      <c r="D1801" t="s">
        <v>2109</v>
      </c>
      <c r="E1801">
        <v>4</v>
      </c>
      <c r="F1801" t="s">
        <v>2098</v>
      </c>
      <c r="G1801" t="s">
        <v>219</v>
      </c>
      <c r="H1801" t="s">
        <v>220</v>
      </c>
      <c r="I1801" t="s">
        <v>22</v>
      </c>
      <c r="J1801" t="s">
        <v>42</v>
      </c>
      <c r="K1801" t="s">
        <v>1543</v>
      </c>
      <c r="L1801" t="s">
        <v>25</v>
      </c>
      <c r="M1801" s="8">
        <v>2.8969999999999998</v>
      </c>
      <c r="N1801" t="s">
        <v>26</v>
      </c>
      <c r="O1801" s="8">
        <v>2.8969999999999998</v>
      </c>
      <c r="P1801" s="8">
        <f>EXP(-1.363+3.366*LOG(O1801,10))</f>
        <v>1.2115719332293342</v>
      </c>
      <c r="Q1801" s="8">
        <f>(3602085*100)/4019599</f>
        <v>89.613043490159086</v>
      </c>
    </row>
    <row r="1802" spans="1:17" x14ac:dyDescent="0.2">
      <c r="A1802">
        <v>2016</v>
      </c>
      <c r="B1802" t="s">
        <v>2122</v>
      </c>
      <c r="C1802" t="s">
        <v>1547</v>
      </c>
      <c r="D1802" t="s">
        <v>2109</v>
      </c>
      <c r="E1802">
        <v>4</v>
      </c>
      <c r="F1802" t="s">
        <v>2098</v>
      </c>
      <c r="G1802" t="s">
        <v>230</v>
      </c>
      <c r="H1802" t="s">
        <v>268</v>
      </c>
      <c r="I1802" t="s">
        <v>22</v>
      </c>
      <c r="J1802" t="s">
        <v>42</v>
      </c>
      <c r="K1802" t="s">
        <v>1543</v>
      </c>
      <c r="L1802" t="s">
        <v>25</v>
      </c>
      <c r="M1802" s="8">
        <v>3.5356666670000001</v>
      </c>
      <c r="N1802" t="s">
        <v>26</v>
      </c>
      <c r="O1802" s="8">
        <v>3.5356666670000001</v>
      </c>
      <c r="P1802" s="8">
        <f>EXP(-1.363+3.366*LOG(O1802,10))</f>
        <v>1.6211802664427075</v>
      </c>
      <c r="Q1802" s="8">
        <f>(3881584*100)/4292409</f>
        <v>90.429034139104644</v>
      </c>
    </row>
    <row r="1803" spans="1:17" x14ac:dyDescent="0.2">
      <c r="A1803">
        <v>2016</v>
      </c>
      <c r="B1803" t="s">
        <v>2123</v>
      </c>
      <c r="C1803" t="s">
        <v>1610</v>
      </c>
      <c r="D1803" t="s">
        <v>2109</v>
      </c>
      <c r="E1803">
        <v>4</v>
      </c>
      <c r="F1803" t="s">
        <v>2098</v>
      </c>
      <c r="G1803" t="s">
        <v>1532</v>
      </c>
      <c r="H1803" t="s">
        <v>1533</v>
      </c>
      <c r="I1803" t="s">
        <v>36</v>
      </c>
      <c r="J1803" t="s">
        <v>42</v>
      </c>
      <c r="K1803" t="s">
        <v>1543</v>
      </c>
      <c r="L1803" t="s">
        <v>25</v>
      </c>
      <c r="M1803" s="8">
        <v>2.63</v>
      </c>
      <c r="N1803" t="s">
        <v>26</v>
      </c>
      <c r="O1803" s="8">
        <v>2.63</v>
      </c>
      <c r="P1803" s="8">
        <f>EXP(-1.363+3.366*LOG(O1803,10))</f>
        <v>1.0518715955632558</v>
      </c>
      <c r="Q1803" s="8">
        <f>(2475923*100)/2844344</f>
        <v>87.047241824476927</v>
      </c>
    </row>
    <row r="1804" spans="1:17" x14ac:dyDescent="0.2">
      <c r="A1804">
        <v>2016</v>
      </c>
      <c r="B1804" t="s">
        <v>2124</v>
      </c>
      <c r="C1804" t="s">
        <v>1610</v>
      </c>
      <c r="D1804" t="s">
        <v>2125</v>
      </c>
      <c r="E1804">
        <v>4</v>
      </c>
      <c r="F1804" t="s">
        <v>2098</v>
      </c>
      <c r="G1804" t="s">
        <v>1532</v>
      </c>
      <c r="H1804" t="s">
        <v>1533</v>
      </c>
      <c r="I1804" t="s">
        <v>36</v>
      </c>
      <c r="J1804" t="s">
        <v>42</v>
      </c>
      <c r="K1804" t="s">
        <v>1543</v>
      </c>
      <c r="L1804" t="s">
        <v>25</v>
      </c>
      <c r="M1804" s="8">
        <v>2.63</v>
      </c>
      <c r="N1804" t="s">
        <v>26</v>
      </c>
      <c r="O1804" s="8">
        <v>2.63</v>
      </c>
      <c r="P1804" s="8">
        <f>EXP(-1.363+3.366*LOG(O1804,10))</f>
        <v>1.0518715955632558</v>
      </c>
      <c r="Q1804" s="8">
        <f>(2475923*100)/2844344</f>
        <v>87.047241824476927</v>
      </c>
    </row>
    <row r="1805" spans="1:17" x14ac:dyDescent="0.2">
      <c r="A1805">
        <v>2016</v>
      </c>
      <c r="B1805" t="s">
        <v>2126</v>
      </c>
      <c r="C1805" t="s">
        <v>1610</v>
      </c>
      <c r="D1805" t="s">
        <v>2125</v>
      </c>
      <c r="E1805">
        <v>4</v>
      </c>
      <c r="F1805" t="s">
        <v>2098</v>
      </c>
      <c r="G1805" t="s">
        <v>1735</v>
      </c>
      <c r="H1805" t="s">
        <v>1736</v>
      </c>
      <c r="I1805" t="s">
        <v>36</v>
      </c>
      <c r="J1805" t="s">
        <v>42</v>
      </c>
      <c r="K1805" t="s">
        <v>1543</v>
      </c>
      <c r="L1805" t="s">
        <v>25</v>
      </c>
      <c r="M1805" s="8">
        <v>3.8633333329999999</v>
      </c>
      <c r="N1805" t="s">
        <v>26</v>
      </c>
      <c r="O1805" s="8">
        <v>3.8633333329999999</v>
      </c>
      <c r="P1805" s="8">
        <f>EXP(-1.363+3.366*LOG(O1805,10))</f>
        <v>1.8454344092406809</v>
      </c>
      <c r="Q1805" s="8">
        <f>(2475923*100)/2844344</f>
        <v>87.047241824476927</v>
      </c>
    </row>
    <row r="1806" spans="1:17" x14ac:dyDescent="0.2">
      <c r="A1806">
        <v>2016</v>
      </c>
      <c r="B1806" t="s">
        <v>2127</v>
      </c>
      <c r="C1806" t="s">
        <v>1610</v>
      </c>
      <c r="D1806" t="s">
        <v>2125</v>
      </c>
      <c r="E1806">
        <v>4</v>
      </c>
      <c r="F1806" t="s">
        <v>2098</v>
      </c>
      <c r="G1806" t="s">
        <v>1735</v>
      </c>
      <c r="H1806" t="s">
        <v>1736</v>
      </c>
      <c r="I1806" t="s">
        <v>36</v>
      </c>
      <c r="J1806" t="s">
        <v>42</v>
      </c>
      <c r="K1806" t="s">
        <v>1543</v>
      </c>
      <c r="L1806" t="s">
        <v>25</v>
      </c>
      <c r="M1806" s="8">
        <v>3.8633333329999999</v>
      </c>
      <c r="N1806" t="s">
        <v>26</v>
      </c>
      <c r="O1806" s="8">
        <v>3.8633333329999999</v>
      </c>
      <c r="P1806" s="8">
        <f>EXP(-1.363+3.366*LOG(O1806,10))</f>
        <v>1.8454344092406809</v>
      </c>
      <c r="Q1806" s="8">
        <f>(2475923*100)/2844344</f>
        <v>87.047241824476927</v>
      </c>
    </row>
    <row r="1807" spans="1:17" x14ac:dyDescent="0.2">
      <c r="A1807">
        <v>2016</v>
      </c>
      <c r="B1807" t="s">
        <v>2128</v>
      </c>
      <c r="C1807" t="s">
        <v>1610</v>
      </c>
      <c r="D1807" t="s">
        <v>2125</v>
      </c>
      <c r="E1807">
        <v>4</v>
      </c>
      <c r="F1807" t="s">
        <v>2098</v>
      </c>
      <c r="G1807" t="s">
        <v>1735</v>
      </c>
      <c r="H1807" t="s">
        <v>1736</v>
      </c>
      <c r="I1807" t="s">
        <v>22</v>
      </c>
      <c r="J1807" t="s">
        <v>42</v>
      </c>
      <c r="K1807" t="s">
        <v>1543</v>
      </c>
      <c r="L1807" t="s">
        <v>25</v>
      </c>
      <c r="M1807" s="8">
        <v>4.1156666670000002</v>
      </c>
      <c r="N1807" t="s">
        <v>26</v>
      </c>
      <c r="O1807" s="8">
        <v>4.1156666670000002</v>
      </c>
      <c r="P1807" s="8">
        <f>EXP(-1.363+3.366*LOG(O1807,10))</f>
        <v>2.0242630151675414</v>
      </c>
      <c r="Q1807" s="8">
        <f>(2475923*100)/2844344</f>
        <v>87.047241824476927</v>
      </c>
    </row>
    <row r="1808" spans="1:17" x14ac:dyDescent="0.2">
      <c r="A1808">
        <v>2016</v>
      </c>
      <c r="B1808" t="s">
        <v>2129</v>
      </c>
      <c r="C1808" t="s">
        <v>1690</v>
      </c>
      <c r="D1808" t="s">
        <v>2125</v>
      </c>
      <c r="E1808">
        <v>4</v>
      </c>
      <c r="F1808" t="s">
        <v>2098</v>
      </c>
      <c r="G1808" t="s">
        <v>1532</v>
      </c>
      <c r="H1808" t="s">
        <v>1533</v>
      </c>
      <c r="I1808" t="s">
        <v>36</v>
      </c>
      <c r="J1808" t="s">
        <v>42</v>
      </c>
      <c r="K1808" t="s">
        <v>1543</v>
      </c>
      <c r="L1808" t="s">
        <v>25</v>
      </c>
      <c r="M1808" s="8">
        <v>2.63</v>
      </c>
      <c r="N1808" t="s">
        <v>26</v>
      </c>
      <c r="O1808" s="8">
        <v>2.63</v>
      </c>
      <c r="P1808" s="8">
        <f>EXP(-1.363+3.366*LOG(O1808,10))</f>
        <v>1.0518715955632558</v>
      </c>
      <c r="Q1808" s="8">
        <f>(2640118*100)/3023471</f>
        <v>87.320764776642477</v>
      </c>
    </row>
    <row r="1809" spans="1:17" x14ac:dyDescent="0.2">
      <c r="A1809">
        <v>2016</v>
      </c>
      <c r="B1809" t="s">
        <v>2130</v>
      </c>
      <c r="C1809" t="s">
        <v>1690</v>
      </c>
      <c r="D1809" t="s">
        <v>2125</v>
      </c>
      <c r="E1809">
        <v>4</v>
      </c>
      <c r="F1809" t="s">
        <v>2098</v>
      </c>
      <c r="G1809" t="s">
        <v>1735</v>
      </c>
      <c r="H1809" t="s">
        <v>1736</v>
      </c>
      <c r="I1809" t="s">
        <v>36</v>
      </c>
      <c r="J1809" t="s">
        <v>42</v>
      </c>
      <c r="K1809" t="s">
        <v>1543</v>
      </c>
      <c r="L1809" t="s">
        <v>25</v>
      </c>
      <c r="M1809" s="8">
        <v>3.8633333329999999</v>
      </c>
      <c r="N1809" t="s">
        <v>26</v>
      </c>
      <c r="O1809" s="8">
        <v>3.8633333329999999</v>
      </c>
      <c r="P1809" s="8">
        <f>EXP(-1.363+3.366*LOG(O1809,10))</f>
        <v>1.8454344092406809</v>
      </c>
      <c r="Q1809" s="8">
        <f>(2640118*100)/3023471</f>
        <v>87.320764776642477</v>
      </c>
    </row>
    <row r="1810" spans="1:17" x14ac:dyDescent="0.2">
      <c r="A1810">
        <v>2016</v>
      </c>
      <c r="B1810" t="s">
        <v>2131</v>
      </c>
      <c r="C1810" t="s">
        <v>1690</v>
      </c>
      <c r="D1810" t="s">
        <v>2125</v>
      </c>
      <c r="E1810">
        <v>4</v>
      </c>
      <c r="F1810" t="s">
        <v>2098</v>
      </c>
      <c r="G1810" t="s">
        <v>1532</v>
      </c>
      <c r="H1810" t="s">
        <v>1533</v>
      </c>
      <c r="I1810" t="s">
        <v>36</v>
      </c>
      <c r="J1810" t="s">
        <v>42</v>
      </c>
      <c r="K1810" t="s">
        <v>1543</v>
      </c>
      <c r="L1810" t="s">
        <v>25</v>
      </c>
      <c r="M1810" s="8">
        <v>2.63</v>
      </c>
      <c r="N1810" t="s">
        <v>26</v>
      </c>
      <c r="O1810" s="8">
        <v>2.63</v>
      </c>
      <c r="P1810" s="8">
        <f>EXP(-1.363+3.366*LOG(O1810,10))</f>
        <v>1.0518715955632558</v>
      </c>
      <c r="Q1810" s="8">
        <f>(2640118*100)/3023471</f>
        <v>87.320764776642477</v>
      </c>
    </row>
    <row r="1811" spans="1:17" x14ac:dyDescent="0.2">
      <c r="A1811">
        <v>2016</v>
      </c>
      <c r="B1811" t="s">
        <v>2132</v>
      </c>
      <c r="C1811" t="s">
        <v>1624</v>
      </c>
      <c r="D1811" t="s">
        <v>2125</v>
      </c>
      <c r="E1811">
        <v>4</v>
      </c>
      <c r="F1811" t="s">
        <v>2098</v>
      </c>
      <c r="G1811" t="s">
        <v>303</v>
      </c>
      <c r="H1811" t="s">
        <v>2133</v>
      </c>
      <c r="I1811" t="s">
        <v>22</v>
      </c>
      <c r="J1811" t="s">
        <v>42</v>
      </c>
      <c r="K1811" t="s">
        <v>1543</v>
      </c>
      <c r="L1811" t="s">
        <v>305</v>
      </c>
      <c r="M1811" s="8">
        <v>2.121</v>
      </c>
      <c r="N1811" t="s">
        <v>26</v>
      </c>
      <c r="O1811" s="8">
        <v>2.121</v>
      </c>
      <c r="P1811" s="8">
        <f>EXP(-1.363+3.366*LOG(O1811,10))</f>
        <v>0.7680779068462259</v>
      </c>
      <c r="Q1811" s="8">
        <f>(1599772*100)/1881247</f>
        <v>85.037849894245682</v>
      </c>
    </row>
    <row r="1812" spans="1:17" x14ac:dyDescent="0.2">
      <c r="A1812">
        <v>2016</v>
      </c>
      <c r="B1812" t="s">
        <v>2134</v>
      </c>
      <c r="C1812" t="s">
        <v>1624</v>
      </c>
      <c r="D1812" t="s">
        <v>2125</v>
      </c>
      <c r="E1812">
        <v>4</v>
      </c>
      <c r="F1812" t="s">
        <v>2098</v>
      </c>
      <c r="G1812" t="s">
        <v>352</v>
      </c>
      <c r="H1812" t="s">
        <v>1344</v>
      </c>
      <c r="I1812" t="s">
        <v>22</v>
      </c>
      <c r="J1812" t="s">
        <v>42</v>
      </c>
      <c r="K1812" t="s">
        <v>1543</v>
      </c>
      <c r="L1812" t="s">
        <v>25</v>
      </c>
      <c r="M1812" s="8">
        <v>0.91800000000000004</v>
      </c>
      <c r="N1812" t="s">
        <v>26</v>
      </c>
      <c r="O1812" s="8">
        <v>0.91800000000000004</v>
      </c>
      <c r="P1812" s="8">
        <f>EXP(-1.363+3.366*LOG(O1812,10))</f>
        <v>0.22580769814771504</v>
      </c>
      <c r="Q1812" s="8">
        <f>(1599772*100)/1881247</f>
        <v>85.037849894245682</v>
      </c>
    </row>
    <row r="1813" spans="1:17" x14ac:dyDescent="0.2">
      <c r="A1813">
        <v>2016</v>
      </c>
      <c r="B1813" t="s">
        <v>2135</v>
      </c>
      <c r="C1813" t="s">
        <v>1624</v>
      </c>
      <c r="D1813" t="s">
        <v>2125</v>
      </c>
      <c r="E1813">
        <v>4</v>
      </c>
      <c r="F1813" t="s">
        <v>2098</v>
      </c>
      <c r="G1813" t="s">
        <v>352</v>
      </c>
      <c r="H1813" t="s">
        <v>494</v>
      </c>
      <c r="I1813" t="s">
        <v>22</v>
      </c>
      <c r="J1813" t="s">
        <v>42</v>
      </c>
      <c r="K1813" t="s">
        <v>1543</v>
      </c>
      <c r="L1813" t="s">
        <v>25</v>
      </c>
      <c r="M1813" s="8">
        <v>1.7226666669999999</v>
      </c>
      <c r="N1813" t="s">
        <v>26</v>
      </c>
      <c r="O1813" s="8">
        <v>1.7226666669999999</v>
      </c>
      <c r="P1813" s="8">
        <f>EXP(-1.363+3.366*LOG(O1813,10))</f>
        <v>0.56668788662759551</v>
      </c>
      <c r="Q1813" s="8">
        <f>(1599772*100)/1881247</f>
        <v>85.037849894245682</v>
      </c>
    </row>
    <row r="1814" spans="1:17" x14ac:dyDescent="0.2">
      <c r="A1814">
        <v>2016</v>
      </c>
      <c r="B1814" t="s">
        <v>2136</v>
      </c>
      <c r="C1814" t="s">
        <v>1552</v>
      </c>
      <c r="D1814" t="s">
        <v>2125</v>
      </c>
      <c r="E1814">
        <v>4</v>
      </c>
      <c r="F1814" t="s">
        <v>2098</v>
      </c>
      <c r="G1814" t="s">
        <v>1532</v>
      </c>
      <c r="H1814" t="s">
        <v>1533</v>
      </c>
      <c r="I1814" t="s">
        <v>36</v>
      </c>
      <c r="J1814" t="s">
        <v>42</v>
      </c>
      <c r="K1814" t="s">
        <v>1543</v>
      </c>
      <c r="L1814" t="s">
        <v>25</v>
      </c>
      <c r="M1814" s="8">
        <v>2.63</v>
      </c>
      <c r="N1814" t="s">
        <v>26</v>
      </c>
      <c r="O1814" s="8">
        <v>2.63</v>
      </c>
      <c r="P1814" s="8">
        <f>EXP(-1.363+3.366*LOG(O1814,10))</f>
        <v>1.0518715955632558</v>
      </c>
      <c r="Q1814" s="8">
        <f>(3738946*100)/3915493</f>
        <v>95.491065875995687</v>
      </c>
    </row>
    <row r="1815" spans="1:17" x14ac:dyDescent="0.2">
      <c r="A1815">
        <v>2016</v>
      </c>
      <c r="B1815" t="s">
        <v>2137</v>
      </c>
      <c r="C1815" t="s">
        <v>1552</v>
      </c>
      <c r="D1815" t="s">
        <v>2125</v>
      </c>
      <c r="E1815">
        <v>4</v>
      </c>
      <c r="F1815" t="s">
        <v>2098</v>
      </c>
      <c r="G1815" t="s">
        <v>1735</v>
      </c>
      <c r="H1815" t="s">
        <v>1736</v>
      </c>
      <c r="I1815" t="s">
        <v>36</v>
      </c>
      <c r="J1815" t="s">
        <v>42</v>
      </c>
      <c r="K1815" t="s">
        <v>1543</v>
      </c>
      <c r="L1815" t="s">
        <v>25</v>
      </c>
      <c r="M1815" s="8">
        <v>3.8633333329999999</v>
      </c>
      <c r="N1815" t="s">
        <v>26</v>
      </c>
      <c r="O1815" s="8">
        <v>3.8633333329999999</v>
      </c>
      <c r="P1815" s="8">
        <f>EXP(-1.363+3.366*LOG(O1815,10))</f>
        <v>1.8454344092406809</v>
      </c>
      <c r="Q1815" s="8">
        <f>(3738946*100)/3915493</f>
        <v>95.491065875995687</v>
      </c>
    </row>
    <row r="1816" spans="1:17" x14ac:dyDescent="0.2">
      <c r="A1816">
        <v>2016</v>
      </c>
      <c r="B1816" t="s">
        <v>2138</v>
      </c>
      <c r="C1816" t="s">
        <v>1552</v>
      </c>
      <c r="D1816" t="s">
        <v>2125</v>
      </c>
      <c r="E1816">
        <v>4</v>
      </c>
      <c r="F1816" t="s">
        <v>2098</v>
      </c>
      <c r="G1816" t="s">
        <v>1532</v>
      </c>
      <c r="H1816" t="s">
        <v>1944</v>
      </c>
      <c r="I1816" t="s">
        <v>22</v>
      </c>
      <c r="J1816" t="s">
        <v>42</v>
      </c>
      <c r="K1816" t="s">
        <v>1543</v>
      </c>
      <c r="L1816" t="s">
        <v>25</v>
      </c>
      <c r="M1816" s="8">
        <v>3.7026666669999999</v>
      </c>
      <c r="N1816" t="s">
        <v>26</v>
      </c>
      <c r="O1816" s="8">
        <v>3.7026666669999999</v>
      </c>
      <c r="P1816" s="8">
        <f>EXP(-1.363+3.366*LOG(O1816,10))</f>
        <v>1.7343283127134672</v>
      </c>
      <c r="Q1816" s="8">
        <f>(3738946*100)/3915493</f>
        <v>95.491065875995687</v>
      </c>
    </row>
    <row r="1817" spans="1:17" x14ac:dyDescent="0.2">
      <c r="A1817">
        <v>2016</v>
      </c>
      <c r="B1817" t="s">
        <v>2140</v>
      </c>
      <c r="C1817" t="s">
        <v>1540</v>
      </c>
      <c r="D1817" t="s">
        <v>2141</v>
      </c>
      <c r="E1817">
        <v>5</v>
      </c>
      <c r="F1817" t="s">
        <v>2098</v>
      </c>
      <c r="G1817" t="s">
        <v>1735</v>
      </c>
      <c r="H1817" t="s">
        <v>1736</v>
      </c>
      <c r="I1817" t="s">
        <v>36</v>
      </c>
      <c r="J1817" t="s">
        <v>42</v>
      </c>
      <c r="K1817" t="s">
        <v>1543</v>
      </c>
      <c r="L1817" t="s">
        <v>25</v>
      </c>
      <c r="M1817" s="8">
        <v>3.8633333329999999</v>
      </c>
      <c r="N1817" t="s">
        <v>26</v>
      </c>
      <c r="O1817" s="8">
        <v>3.8633333329999999</v>
      </c>
      <c r="P1817" s="8">
        <f>EXP(-1.363+3.366*LOG(O1817,10))</f>
        <v>1.8454344092406809</v>
      </c>
      <c r="Q1817" s="8">
        <f>(2618262*100)/2995732</f>
        <v>87.399740697766021</v>
      </c>
    </row>
    <row r="1818" spans="1:17" x14ac:dyDescent="0.2">
      <c r="A1818">
        <v>2016</v>
      </c>
      <c r="B1818" t="s">
        <v>2142</v>
      </c>
      <c r="C1818" t="s">
        <v>1552</v>
      </c>
      <c r="D1818" t="s">
        <v>2141</v>
      </c>
      <c r="E1818">
        <v>5</v>
      </c>
      <c r="F1818" t="s">
        <v>2098</v>
      </c>
      <c r="G1818" t="s">
        <v>1532</v>
      </c>
      <c r="H1818" t="s">
        <v>1533</v>
      </c>
      <c r="I1818" t="s">
        <v>36</v>
      </c>
      <c r="J1818" t="s">
        <v>42</v>
      </c>
      <c r="K1818" t="s">
        <v>1543</v>
      </c>
      <c r="L1818" t="s">
        <v>25</v>
      </c>
      <c r="M1818" s="8">
        <v>2.63</v>
      </c>
      <c r="N1818" t="s">
        <v>26</v>
      </c>
      <c r="O1818" s="8">
        <v>2.63</v>
      </c>
      <c r="P1818" s="8">
        <f>EXP(-1.363+3.366*LOG(O1818,10))</f>
        <v>1.0518715955632558</v>
      </c>
      <c r="Q1818" s="8">
        <f>(3738946*100)/3915493</f>
        <v>95.491065875995687</v>
      </c>
    </row>
    <row r="1819" spans="1:17" x14ac:dyDescent="0.2">
      <c r="A1819">
        <v>2016</v>
      </c>
      <c r="B1819" t="s">
        <v>2143</v>
      </c>
      <c r="C1819" t="s">
        <v>1610</v>
      </c>
      <c r="D1819" t="s">
        <v>2144</v>
      </c>
      <c r="E1819">
        <v>5</v>
      </c>
      <c r="F1819" t="s">
        <v>2098</v>
      </c>
      <c r="G1819" t="s">
        <v>1735</v>
      </c>
      <c r="H1819" t="s">
        <v>1736</v>
      </c>
      <c r="I1819" t="s">
        <v>22</v>
      </c>
      <c r="J1819" t="s">
        <v>42</v>
      </c>
      <c r="K1819" t="s">
        <v>1543</v>
      </c>
      <c r="L1819" t="s">
        <v>25</v>
      </c>
      <c r="M1819" s="8">
        <v>4.1156666670000002</v>
      </c>
      <c r="N1819" t="s">
        <v>26</v>
      </c>
      <c r="O1819" s="8">
        <v>4.1156666670000002</v>
      </c>
      <c r="P1819" s="8">
        <f>EXP(-1.363+3.366*LOG(O1819,10))</f>
        <v>2.0242630151675414</v>
      </c>
      <c r="Q1819" s="8">
        <f>(2475923*100)/2844344</f>
        <v>87.047241824476927</v>
      </c>
    </row>
    <row r="1820" spans="1:17" x14ac:dyDescent="0.2">
      <c r="A1820">
        <v>2016</v>
      </c>
      <c r="B1820" t="s">
        <v>2145</v>
      </c>
      <c r="C1820" t="s">
        <v>1610</v>
      </c>
      <c r="D1820" t="s">
        <v>2146</v>
      </c>
      <c r="E1820">
        <v>5</v>
      </c>
      <c r="F1820" t="s">
        <v>2098</v>
      </c>
      <c r="G1820" t="s">
        <v>1532</v>
      </c>
      <c r="H1820" t="s">
        <v>1533</v>
      </c>
      <c r="I1820" t="s">
        <v>36</v>
      </c>
      <c r="J1820" t="s">
        <v>42</v>
      </c>
      <c r="K1820" t="s">
        <v>1543</v>
      </c>
      <c r="L1820" t="s">
        <v>25</v>
      </c>
      <c r="M1820" s="8">
        <v>2.63</v>
      </c>
      <c r="N1820" t="s">
        <v>26</v>
      </c>
      <c r="O1820" s="8">
        <v>2.63</v>
      </c>
      <c r="P1820" s="8">
        <f>EXP(-1.363+3.366*LOG(O1820,10))</f>
        <v>1.0518715955632558</v>
      </c>
      <c r="Q1820" s="8">
        <f>(2475923*100)/2844344</f>
        <v>87.047241824476927</v>
      </c>
    </row>
    <row r="1821" spans="1:17" x14ac:dyDescent="0.2">
      <c r="A1821">
        <v>2016</v>
      </c>
      <c r="B1821" t="s">
        <v>2147</v>
      </c>
      <c r="C1821" t="s">
        <v>1690</v>
      </c>
      <c r="D1821" t="s">
        <v>2146</v>
      </c>
      <c r="E1821">
        <v>5</v>
      </c>
      <c r="F1821" t="s">
        <v>2098</v>
      </c>
      <c r="G1821" t="s">
        <v>1735</v>
      </c>
      <c r="H1821" t="s">
        <v>1736</v>
      </c>
      <c r="I1821" t="s">
        <v>22</v>
      </c>
      <c r="J1821" t="s">
        <v>42</v>
      </c>
      <c r="K1821" t="s">
        <v>1543</v>
      </c>
      <c r="L1821" t="s">
        <v>25</v>
      </c>
      <c r="M1821" s="8">
        <v>4.1156666670000002</v>
      </c>
      <c r="N1821" t="s">
        <v>26</v>
      </c>
      <c r="O1821" s="8">
        <v>4.1156666670000002</v>
      </c>
      <c r="P1821" s="8">
        <f>EXP(-1.363+3.366*LOG(O1821,10))</f>
        <v>2.0242630151675414</v>
      </c>
      <c r="Q1821" s="8">
        <f>(2640118*100)/3023471</f>
        <v>87.320764776642477</v>
      </c>
    </row>
    <row r="1822" spans="1:17" x14ac:dyDescent="0.2">
      <c r="A1822">
        <v>2016</v>
      </c>
      <c r="B1822" t="s">
        <v>2148</v>
      </c>
      <c r="C1822" t="s">
        <v>1635</v>
      </c>
      <c r="D1822" t="s">
        <v>2146</v>
      </c>
      <c r="E1822">
        <v>5</v>
      </c>
      <c r="F1822" t="s">
        <v>2098</v>
      </c>
      <c r="G1822" t="s">
        <v>1735</v>
      </c>
      <c r="H1822" t="s">
        <v>2149</v>
      </c>
      <c r="I1822" t="s">
        <v>36</v>
      </c>
      <c r="J1822" t="s">
        <v>42</v>
      </c>
      <c r="K1822" t="s">
        <v>1543</v>
      </c>
      <c r="L1822" t="s">
        <v>25</v>
      </c>
      <c r="M1822" s="8">
        <v>2.8763333329999998</v>
      </c>
      <c r="N1822" t="s">
        <v>26</v>
      </c>
      <c r="O1822" s="8">
        <v>2.8763333329999998</v>
      </c>
      <c r="P1822" s="8">
        <f>EXP(-1.363+3.366*LOG(O1822,10))</f>
        <v>1.1989579386384013</v>
      </c>
      <c r="Q1822" s="8">
        <f>(3602085*100)/4019599</f>
        <v>89.613043490159086</v>
      </c>
    </row>
    <row r="1823" spans="1:17" x14ac:dyDescent="0.2">
      <c r="A1823">
        <v>2016</v>
      </c>
      <c r="B1823" t="s">
        <v>2150</v>
      </c>
      <c r="C1823" t="s">
        <v>1635</v>
      </c>
      <c r="D1823" t="s">
        <v>2146</v>
      </c>
      <c r="E1823">
        <v>5</v>
      </c>
      <c r="F1823" t="s">
        <v>2098</v>
      </c>
      <c r="G1823" t="s">
        <v>1735</v>
      </c>
      <c r="H1823" t="s">
        <v>2149</v>
      </c>
      <c r="I1823" t="s">
        <v>36</v>
      </c>
      <c r="J1823" t="s">
        <v>42</v>
      </c>
      <c r="K1823" t="s">
        <v>1543</v>
      </c>
      <c r="L1823" t="s">
        <v>25</v>
      </c>
      <c r="M1823" s="8">
        <v>2.8763333329999998</v>
      </c>
      <c r="N1823" t="s">
        <v>26</v>
      </c>
      <c r="O1823" s="8">
        <v>2.8763333329999998</v>
      </c>
      <c r="P1823" s="8">
        <f>EXP(-1.363+3.366*LOG(O1823,10))</f>
        <v>1.1989579386384013</v>
      </c>
      <c r="Q1823" s="8">
        <f>(3602085*100)/4019599</f>
        <v>89.613043490159086</v>
      </c>
    </row>
    <row r="1824" spans="1:17" x14ac:dyDescent="0.2">
      <c r="A1824">
        <v>2016</v>
      </c>
      <c r="B1824" t="s">
        <v>2151</v>
      </c>
      <c r="C1824" t="s">
        <v>1635</v>
      </c>
      <c r="D1824" t="s">
        <v>2146</v>
      </c>
      <c r="E1824">
        <v>5</v>
      </c>
      <c r="F1824" t="s">
        <v>2098</v>
      </c>
      <c r="G1824" t="s">
        <v>362</v>
      </c>
      <c r="H1824" t="s">
        <v>447</v>
      </c>
      <c r="I1824" t="s">
        <v>22</v>
      </c>
      <c r="J1824" t="s">
        <v>42</v>
      </c>
      <c r="K1824" t="s">
        <v>1543</v>
      </c>
      <c r="L1824" t="s">
        <v>25</v>
      </c>
      <c r="M1824" s="8">
        <v>1.421</v>
      </c>
      <c r="N1824" t="s">
        <v>26</v>
      </c>
      <c r="O1824" s="8">
        <v>1.421</v>
      </c>
      <c r="P1824" s="8">
        <f>EXP(-1.363+3.366*LOG(O1824,10))</f>
        <v>0.42768500084673816</v>
      </c>
      <c r="Q1824" s="8">
        <f>(3602085*100)/4019599</f>
        <v>89.613043490159086</v>
      </c>
    </row>
    <row r="1825" spans="1:17" x14ac:dyDescent="0.2">
      <c r="A1825">
        <v>2016</v>
      </c>
      <c r="B1825" t="s">
        <v>2152</v>
      </c>
      <c r="C1825" t="s">
        <v>1635</v>
      </c>
      <c r="D1825" t="s">
        <v>2146</v>
      </c>
      <c r="E1825">
        <v>5</v>
      </c>
      <c r="F1825" t="s">
        <v>2098</v>
      </c>
      <c r="G1825" t="s">
        <v>352</v>
      </c>
      <c r="H1825" t="s">
        <v>975</v>
      </c>
      <c r="I1825" t="s">
        <v>22</v>
      </c>
      <c r="J1825" t="s">
        <v>42</v>
      </c>
      <c r="K1825" t="s">
        <v>1543</v>
      </c>
      <c r="L1825" t="s">
        <v>25</v>
      </c>
      <c r="M1825" s="8">
        <v>1.0693333330000001</v>
      </c>
      <c r="N1825" t="s">
        <v>26</v>
      </c>
      <c r="O1825" s="8">
        <v>1.0693333330000001</v>
      </c>
      <c r="P1825" s="8">
        <f>EXP(-1.363+3.366*LOG(O1825,10))</f>
        <v>0.28223780327142356</v>
      </c>
      <c r="Q1825" s="8">
        <f>(3602085*100)/4019599</f>
        <v>89.613043490159086</v>
      </c>
    </row>
    <row r="1826" spans="1:17" x14ac:dyDescent="0.2">
      <c r="A1826">
        <v>2016</v>
      </c>
      <c r="B1826" t="s">
        <v>2153</v>
      </c>
      <c r="C1826" t="s">
        <v>1552</v>
      </c>
      <c r="D1826" t="s">
        <v>2146</v>
      </c>
      <c r="E1826">
        <v>5</v>
      </c>
      <c r="F1826" t="s">
        <v>2098</v>
      </c>
      <c r="G1826" t="s">
        <v>1532</v>
      </c>
      <c r="H1826" t="s">
        <v>1533</v>
      </c>
      <c r="I1826" t="s">
        <v>36</v>
      </c>
      <c r="J1826" t="s">
        <v>42</v>
      </c>
      <c r="K1826" t="s">
        <v>1543</v>
      </c>
      <c r="L1826" t="s">
        <v>25</v>
      </c>
      <c r="M1826" s="8">
        <v>2.63</v>
      </c>
      <c r="N1826" t="s">
        <v>26</v>
      </c>
      <c r="O1826" s="8">
        <v>2.63</v>
      </c>
      <c r="P1826" s="8">
        <f>EXP(-1.363+3.366*LOG(O1826,10))</f>
        <v>1.0518715955632558</v>
      </c>
      <c r="Q1826" s="8">
        <f>(3738946*100)/3915493</f>
        <v>95.491065875995687</v>
      </c>
    </row>
    <row r="1827" spans="1:17" x14ac:dyDescent="0.2">
      <c r="A1827">
        <v>2016</v>
      </c>
      <c r="B1827" t="s">
        <v>2154</v>
      </c>
      <c r="C1827" t="s">
        <v>1552</v>
      </c>
      <c r="D1827" t="s">
        <v>2146</v>
      </c>
      <c r="E1827">
        <v>5</v>
      </c>
      <c r="F1827" t="s">
        <v>2098</v>
      </c>
      <c r="G1827" t="s">
        <v>1532</v>
      </c>
      <c r="H1827" t="s">
        <v>1533</v>
      </c>
      <c r="I1827" t="s">
        <v>36</v>
      </c>
      <c r="J1827" t="s">
        <v>42</v>
      </c>
      <c r="K1827" t="s">
        <v>1543</v>
      </c>
      <c r="L1827" t="s">
        <v>25</v>
      </c>
      <c r="M1827" s="8">
        <v>2.63</v>
      </c>
      <c r="N1827" t="s">
        <v>26</v>
      </c>
      <c r="O1827" s="8">
        <v>2.63</v>
      </c>
      <c r="P1827" s="8">
        <f>EXP(-1.363+3.366*LOG(O1827,10))</f>
        <v>1.0518715955632558</v>
      </c>
      <c r="Q1827" s="8">
        <f>(3738946*100)/3915493</f>
        <v>95.491065875995687</v>
      </c>
    </row>
    <row r="1828" spans="1:17" x14ac:dyDescent="0.2">
      <c r="A1828">
        <v>2016</v>
      </c>
      <c r="B1828" t="s">
        <v>2155</v>
      </c>
      <c r="C1828" t="s">
        <v>1552</v>
      </c>
      <c r="D1828" t="s">
        <v>2146</v>
      </c>
      <c r="E1828">
        <v>5</v>
      </c>
      <c r="F1828" t="s">
        <v>2098</v>
      </c>
      <c r="G1828" t="s">
        <v>1532</v>
      </c>
      <c r="H1828" t="s">
        <v>1533</v>
      </c>
      <c r="I1828" t="s">
        <v>36</v>
      </c>
      <c r="J1828" t="s">
        <v>42</v>
      </c>
      <c r="K1828" t="s">
        <v>1543</v>
      </c>
      <c r="L1828" t="s">
        <v>25</v>
      </c>
      <c r="M1828" s="8">
        <v>2.63</v>
      </c>
      <c r="N1828" t="s">
        <v>26</v>
      </c>
      <c r="O1828" s="8">
        <v>2.63</v>
      </c>
      <c r="P1828" s="8">
        <f>EXP(-1.363+3.366*LOG(O1828,10))</f>
        <v>1.0518715955632558</v>
      </c>
      <c r="Q1828" s="8">
        <f>(3738946*100)/3915493</f>
        <v>95.491065875995687</v>
      </c>
    </row>
    <row r="1829" spans="1:17" x14ac:dyDescent="0.2">
      <c r="A1829">
        <v>2016</v>
      </c>
      <c r="B1829" t="s">
        <v>2156</v>
      </c>
      <c r="C1829" t="s">
        <v>1552</v>
      </c>
      <c r="D1829" t="s">
        <v>2146</v>
      </c>
      <c r="E1829">
        <v>5</v>
      </c>
      <c r="F1829" t="s">
        <v>2098</v>
      </c>
      <c r="G1829" t="s">
        <v>1532</v>
      </c>
      <c r="H1829" t="s">
        <v>1533</v>
      </c>
      <c r="I1829" t="s">
        <v>36</v>
      </c>
      <c r="J1829" t="s">
        <v>42</v>
      </c>
      <c r="K1829" t="s">
        <v>1543</v>
      </c>
      <c r="L1829" t="s">
        <v>25</v>
      </c>
      <c r="M1829" s="8">
        <v>2.63</v>
      </c>
      <c r="N1829" t="s">
        <v>26</v>
      </c>
      <c r="O1829" s="8">
        <v>2.63</v>
      </c>
      <c r="P1829" s="8">
        <f>EXP(-1.363+3.366*LOG(O1829,10))</f>
        <v>1.0518715955632558</v>
      </c>
      <c r="Q1829" s="8">
        <f>(3738946*100)/3915493</f>
        <v>95.491065875995687</v>
      </c>
    </row>
    <row r="1830" spans="1:17" x14ac:dyDescent="0.2">
      <c r="A1830">
        <v>2016</v>
      </c>
      <c r="B1830" t="s">
        <v>2157</v>
      </c>
      <c r="C1830" t="s">
        <v>1552</v>
      </c>
      <c r="D1830" t="s">
        <v>2146</v>
      </c>
      <c r="E1830">
        <v>5</v>
      </c>
      <c r="F1830" t="s">
        <v>2098</v>
      </c>
      <c r="G1830" t="s">
        <v>362</v>
      </c>
      <c r="H1830" t="s">
        <v>393</v>
      </c>
      <c r="I1830" t="s">
        <v>22</v>
      </c>
      <c r="J1830" t="s">
        <v>42</v>
      </c>
      <c r="K1830" t="s">
        <v>1543</v>
      </c>
      <c r="L1830" t="s">
        <v>25</v>
      </c>
      <c r="M1830" s="8">
        <v>2.4239999999999999</v>
      </c>
      <c r="N1830" t="s">
        <v>26</v>
      </c>
      <c r="O1830" s="8">
        <v>2.4239999999999999</v>
      </c>
      <c r="P1830" s="8">
        <f>EXP(-1.363+3.366*LOG(O1830,10))</f>
        <v>0.93364106227732868</v>
      </c>
      <c r="Q1830" s="8">
        <f>(3738946*100)/3915493</f>
        <v>95.491065875995687</v>
      </c>
    </row>
    <row r="1831" spans="1:17" x14ac:dyDescent="0.2">
      <c r="A1831">
        <v>2016</v>
      </c>
      <c r="B1831" t="s">
        <v>2158</v>
      </c>
      <c r="C1831" t="s">
        <v>1552</v>
      </c>
      <c r="D1831" t="s">
        <v>2146</v>
      </c>
      <c r="E1831">
        <v>5</v>
      </c>
      <c r="F1831" t="s">
        <v>2098</v>
      </c>
      <c r="G1831" t="s">
        <v>1532</v>
      </c>
      <c r="H1831" t="s">
        <v>1533</v>
      </c>
      <c r="I1831" t="s">
        <v>36</v>
      </c>
      <c r="J1831" t="s">
        <v>42</v>
      </c>
      <c r="K1831" t="s">
        <v>1543</v>
      </c>
      <c r="L1831" t="s">
        <v>25</v>
      </c>
      <c r="M1831" s="8">
        <v>2.63</v>
      </c>
      <c r="N1831" t="s">
        <v>26</v>
      </c>
      <c r="O1831" s="8">
        <v>2.63</v>
      </c>
      <c r="P1831" s="8">
        <f>EXP(-1.363+3.366*LOG(O1831,10))</f>
        <v>1.0518715955632558</v>
      </c>
      <c r="Q1831" s="8">
        <f>(3738946*100)/3915493</f>
        <v>95.491065875995687</v>
      </c>
    </row>
    <row r="1832" spans="1:17" x14ac:dyDescent="0.2">
      <c r="A1832">
        <v>2016</v>
      </c>
      <c r="B1832" t="s">
        <v>2159</v>
      </c>
      <c r="C1832" t="s">
        <v>1552</v>
      </c>
      <c r="D1832" t="s">
        <v>2146</v>
      </c>
      <c r="E1832">
        <v>5</v>
      </c>
      <c r="F1832" t="s">
        <v>2098</v>
      </c>
      <c r="G1832" t="s">
        <v>352</v>
      </c>
      <c r="H1832" t="s">
        <v>1459</v>
      </c>
      <c r="I1832" t="s">
        <v>22</v>
      </c>
      <c r="J1832" t="s">
        <v>42</v>
      </c>
      <c r="K1832" t="s">
        <v>1543</v>
      </c>
      <c r="L1832" t="s">
        <v>25</v>
      </c>
      <c r="M1832" s="8">
        <v>1.1910000000000001</v>
      </c>
      <c r="N1832" t="s">
        <v>26</v>
      </c>
      <c r="O1832" s="8">
        <v>1.1910000000000001</v>
      </c>
      <c r="P1832" s="8">
        <f>EXP(-1.363+3.366*LOG(O1832,10))</f>
        <v>0.33039016297752993</v>
      </c>
      <c r="Q1832" s="8">
        <f>(3738946*100)/3915493</f>
        <v>95.491065875995687</v>
      </c>
    </row>
    <row r="1833" spans="1:17" x14ac:dyDescent="0.2">
      <c r="A1833">
        <v>2016</v>
      </c>
      <c r="B1833" t="s">
        <v>2160</v>
      </c>
      <c r="C1833" t="s">
        <v>1624</v>
      </c>
      <c r="D1833" t="s">
        <v>2146</v>
      </c>
      <c r="E1833">
        <v>5</v>
      </c>
      <c r="F1833" t="s">
        <v>2098</v>
      </c>
      <c r="G1833" t="s">
        <v>1532</v>
      </c>
      <c r="H1833" t="s">
        <v>1533</v>
      </c>
      <c r="I1833" t="s">
        <v>22</v>
      </c>
      <c r="J1833" t="s">
        <v>42</v>
      </c>
      <c r="K1833" t="s">
        <v>1543</v>
      </c>
      <c r="L1833" t="s">
        <v>25</v>
      </c>
      <c r="M1833" s="8">
        <v>3.08</v>
      </c>
      <c r="N1833" t="s">
        <v>26</v>
      </c>
      <c r="O1833" s="8">
        <v>3.08</v>
      </c>
      <c r="P1833" s="8">
        <f>EXP(-1.363+3.366*LOG(O1833,10))</f>
        <v>1.3250652609076723</v>
      </c>
      <c r="Q1833" s="8">
        <f>(1599772*100)/1881247</f>
        <v>85.037849894245682</v>
      </c>
    </row>
    <row r="1834" spans="1:17" x14ac:dyDescent="0.2">
      <c r="A1834">
        <v>2016</v>
      </c>
      <c r="B1834" t="s">
        <v>2161</v>
      </c>
      <c r="C1834" t="s">
        <v>1624</v>
      </c>
      <c r="D1834" t="s">
        <v>2146</v>
      </c>
      <c r="E1834">
        <v>5</v>
      </c>
      <c r="F1834" t="s">
        <v>2098</v>
      </c>
      <c r="G1834" t="s">
        <v>362</v>
      </c>
      <c r="H1834" t="s">
        <v>2030</v>
      </c>
      <c r="I1834" t="s">
        <v>22</v>
      </c>
      <c r="J1834" t="s">
        <v>42</v>
      </c>
      <c r="K1834" t="s">
        <v>1543</v>
      </c>
      <c r="L1834" t="s">
        <v>25</v>
      </c>
      <c r="M1834" s="8">
        <v>1.4923333329999999</v>
      </c>
      <c r="N1834" t="s">
        <v>26</v>
      </c>
      <c r="O1834" s="8">
        <v>1.4923333329999999</v>
      </c>
      <c r="P1834" s="8">
        <f>EXP(-1.363+3.366*LOG(O1834,10))</f>
        <v>0.45943050733617752</v>
      </c>
      <c r="Q1834" s="8">
        <f>(1599772*100)/1881247</f>
        <v>85.037849894245682</v>
      </c>
    </row>
    <row r="1835" spans="1:17" x14ac:dyDescent="0.2">
      <c r="A1835">
        <v>2016</v>
      </c>
      <c r="B1835" t="s">
        <v>2162</v>
      </c>
      <c r="C1835" t="s">
        <v>1547</v>
      </c>
      <c r="D1835" t="s">
        <v>2146</v>
      </c>
      <c r="E1835">
        <v>5</v>
      </c>
      <c r="F1835" t="s">
        <v>2098</v>
      </c>
      <c r="G1835" t="s">
        <v>1532</v>
      </c>
      <c r="H1835" t="s">
        <v>1533</v>
      </c>
      <c r="I1835" t="s">
        <v>36</v>
      </c>
      <c r="J1835" t="s">
        <v>42</v>
      </c>
      <c r="K1835" t="s">
        <v>1543</v>
      </c>
      <c r="L1835" t="s">
        <v>25</v>
      </c>
      <c r="M1835" s="8">
        <v>2.63</v>
      </c>
      <c r="N1835" t="s">
        <v>26</v>
      </c>
      <c r="O1835" s="8">
        <v>2.63</v>
      </c>
      <c r="P1835" s="8">
        <f>EXP(-1.363+3.366*LOG(O1835,10))</f>
        <v>1.0518715955632558</v>
      </c>
      <c r="Q1835" s="8">
        <f>(3881584*100)/4292409</f>
        <v>90.429034139104644</v>
      </c>
    </row>
    <row r="1836" spans="1:17" x14ac:dyDescent="0.2">
      <c r="A1836">
        <v>2016</v>
      </c>
      <c r="B1836" t="s">
        <v>2163</v>
      </c>
      <c r="C1836" t="s">
        <v>1552</v>
      </c>
      <c r="D1836" t="s">
        <v>2164</v>
      </c>
      <c r="E1836">
        <v>5</v>
      </c>
      <c r="F1836" t="s">
        <v>2098</v>
      </c>
      <c r="G1836" t="s">
        <v>1532</v>
      </c>
      <c r="H1836" t="s">
        <v>1995</v>
      </c>
      <c r="I1836" t="s">
        <v>36</v>
      </c>
      <c r="J1836" t="s">
        <v>42</v>
      </c>
      <c r="K1836" t="s">
        <v>1543</v>
      </c>
      <c r="L1836" t="s">
        <v>25</v>
      </c>
      <c r="M1836" s="8">
        <v>1.8935</v>
      </c>
      <c r="N1836" t="s">
        <v>26</v>
      </c>
      <c r="O1836" s="8">
        <v>1.8935</v>
      </c>
      <c r="P1836" s="8">
        <f>EXP(-1.363+3.366*LOG(O1836,10))</f>
        <v>0.65068802990639008</v>
      </c>
      <c r="Q1836" s="8">
        <f>(3738946*100)/3915493</f>
        <v>95.491065875995687</v>
      </c>
    </row>
    <row r="1837" spans="1:17" x14ac:dyDescent="0.2">
      <c r="A1837">
        <v>2016</v>
      </c>
      <c r="B1837" t="s">
        <v>2165</v>
      </c>
      <c r="C1837" t="s">
        <v>1624</v>
      </c>
      <c r="D1837" t="s">
        <v>2164</v>
      </c>
      <c r="E1837">
        <v>5</v>
      </c>
      <c r="F1837" t="s">
        <v>2098</v>
      </c>
      <c r="G1837" t="s">
        <v>20</v>
      </c>
      <c r="H1837" t="s">
        <v>175</v>
      </c>
      <c r="I1837" t="s">
        <v>22</v>
      </c>
      <c r="J1837" t="s">
        <v>42</v>
      </c>
      <c r="K1837" t="s">
        <v>1543</v>
      </c>
      <c r="L1837" t="s">
        <v>25</v>
      </c>
      <c r="M1837" s="8">
        <v>2.826333333</v>
      </c>
      <c r="N1837" t="s">
        <v>26</v>
      </c>
      <c r="O1837" s="8">
        <v>2.826333333</v>
      </c>
      <c r="P1837" s="8">
        <f>EXP(-1.363+3.366*LOG(O1837,10))</f>
        <v>1.1686133777472321</v>
      </c>
      <c r="Q1837" s="8">
        <f>(1599772*100)/1881247</f>
        <v>85.037849894245682</v>
      </c>
    </row>
    <row r="1838" spans="1:17" x14ac:dyDescent="0.2">
      <c r="A1838">
        <v>2016</v>
      </c>
      <c r="B1838" t="s">
        <v>2166</v>
      </c>
      <c r="C1838" t="s">
        <v>1624</v>
      </c>
      <c r="D1838" t="s">
        <v>2164</v>
      </c>
      <c r="E1838">
        <v>5</v>
      </c>
      <c r="F1838" t="s">
        <v>2098</v>
      </c>
      <c r="G1838" t="s">
        <v>352</v>
      </c>
      <c r="H1838" t="s">
        <v>2167</v>
      </c>
      <c r="I1838" t="s">
        <v>22</v>
      </c>
      <c r="J1838" t="s">
        <v>42</v>
      </c>
      <c r="K1838" t="s">
        <v>1543</v>
      </c>
      <c r="L1838" t="s">
        <v>25</v>
      </c>
      <c r="M1838" s="8">
        <v>1.2443333329999999</v>
      </c>
      <c r="N1838" t="s">
        <v>26</v>
      </c>
      <c r="O1838" s="8">
        <v>1.2443333329999999</v>
      </c>
      <c r="P1838" s="8">
        <f>EXP(-1.363+3.366*LOG(O1838,10))</f>
        <v>0.35223984777902306</v>
      </c>
      <c r="Q1838" s="8">
        <f>(1599772*100)/1881247</f>
        <v>85.037849894245682</v>
      </c>
    </row>
    <row r="1839" spans="1:17" x14ac:dyDescent="0.2">
      <c r="A1839">
        <v>2016</v>
      </c>
      <c r="B1839" t="s">
        <v>2168</v>
      </c>
      <c r="C1839" t="s">
        <v>1624</v>
      </c>
      <c r="D1839" t="s">
        <v>2164</v>
      </c>
      <c r="E1839">
        <v>5</v>
      </c>
      <c r="F1839" t="s">
        <v>2098</v>
      </c>
      <c r="G1839" t="s">
        <v>352</v>
      </c>
      <c r="H1839" t="s">
        <v>2167</v>
      </c>
      <c r="I1839" t="s">
        <v>22</v>
      </c>
      <c r="J1839" t="s">
        <v>42</v>
      </c>
      <c r="K1839" t="s">
        <v>1543</v>
      </c>
      <c r="L1839" t="s">
        <v>25</v>
      </c>
      <c r="M1839" s="8">
        <v>1.2443333329999999</v>
      </c>
      <c r="N1839" t="s">
        <v>26</v>
      </c>
      <c r="O1839" s="8">
        <v>1.2443333329999999</v>
      </c>
      <c r="P1839" s="8">
        <f>EXP(-1.363+3.366*LOG(O1839,10))</f>
        <v>0.35223984777902306</v>
      </c>
      <c r="Q1839" s="8">
        <f>(1599772*100)/1881247</f>
        <v>85.037849894245682</v>
      </c>
    </row>
    <row r="1840" spans="1:17" x14ac:dyDescent="0.2">
      <c r="A1840">
        <v>2016</v>
      </c>
      <c r="B1840" t="s">
        <v>2169</v>
      </c>
      <c r="C1840" t="s">
        <v>1624</v>
      </c>
      <c r="D1840" t="s">
        <v>2164</v>
      </c>
      <c r="E1840">
        <v>5</v>
      </c>
      <c r="F1840" t="s">
        <v>2098</v>
      </c>
      <c r="G1840" t="s">
        <v>352</v>
      </c>
      <c r="H1840" t="s">
        <v>2167</v>
      </c>
      <c r="I1840" t="s">
        <v>22</v>
      </c>
      <c r="J1840" t="s">
        <v>42</v>
      </c>
      <c r="K1840" t="s">
        <v>1543</v>
      </c>
      <c r="L1840" t="s">
        <v>25</v>
      </c>
      <c r="M1840" s="8">
        <v>1.2443333329999999</v>
      </c>
      <c r="N1840" t="s">
        <v>26</v>
      </c>
      <c r="O1840" s="8">
        <v>1.2443333329999999</v>
      </c>
      <c r="P1840" s="8">
        <f>EXP(-1.363+3.366*LOG(O1840,10))</f>
        <v>0.35223984777902306</v>
      </c>
      <c r="Q1840" s="8">
        <f>(1599772*100)/1881247</f>
        <v>85.037849894245682</v>
      </c>
    </row>
    <row r="1841" spans="1:17" x14ac:dyDescent="0.2">
      <c r="A1841">
        <v>2016</v>
      </c>
      <c r="B1841" t="s">
        <v>2170</v>
      </c>
      <c r="C1841" t="s">
        <v>1624</v>
      </c>
      <c r="D1841" t="s">
        <v>2164</v>
      </c>
      <c r="E1841">
        <v>5</v>
      </c>
      <c r="F1841" t="s">
        <v>2098</v>
      </c>
      <c r="G1841" t="s">
        <v>352</v>
      </c>
      <c r="H1841" t="s">
        <v>623</v>
      </c>
      <c r="I1841" t="s">
        <v>22</v>
      </c>
      <c r="J1841" t="s">
        <v>42</v>
      </c>
      <c r="K1841" t="s">
        <v>1543</v>
      </c>
      <c r="L1841" t="s">
        <v>25</v>
      </c>
      <c r="M1841" s="8">
        <v>1.387</v>
      </c>
      <c r="N1841" t="s">
        <v>26</v>
      </c>
      <c r="O1841" s="8">
        <v>1.387</v>
      </c>
      <c r="P1841" s="8">
        <f>EXP(-1.363+3.366*LOG(O1841,10))</f>
        <v>0.41280884754947733</v>
      </c>
      <c r="Q1841" s="8">
        <f>(1599772*100)/1881247</f>
        <v>85.037849894245682</v>
      </c>
    </row>
    <row r="1842" spans="1:17" x14ac:dyDescent="0.2">
      <c r="A1842">
        <v>2016</v>
      </c>
      <c r="B1842" t="s">
        <v>2171</v>
      </c>
      <c r="C1842" t="s">
        <v>1540</v>
      </c>
      <c r="D1842" t="s">
        <v>2164</v>
      </c>
      <c r="E1842">
        <v>5</v>
      </c>
      <c r="F1842" t="s">
        <v>2098</v>
      </c>
      <c r="G1842" t="s">
        <v>1532</v>
      </c>
      <c r="H1842" t="s">
        <v>1533</v>
      </c>
      <c r="I1842" t="s">
        <v>36</v>
      </c>
      <c r="J1842" t="s">
        <v>42</v>
      </c>
      <c r="K1842" t="s">
        <v>1543</v>
      </c>
      <c r="L1842" t="s">
        <v>25</v>
      </c>
      <c r="M1842" s="8">
        <v>2.63</v>
      </c>
      <c r="N1842" t="s">
        <v>26</v>
      </c>
      <c r="O1842" s="8">
        <v>2.63</v>
      </c>
      <c r="P1842" s="8">
        <f>EXP(-1.363+3.366*LOG(O1842,10))</f>
        <v>1.0518715955632558</v>
      </c>
      <c r="Q1842" s="8">
        <f>(2618262*100)/2995732</f>
        <v>87.399740697766021</v>
      </c>
    </row>
    <row r="1843" spans="1:17" x14ac:dyDescent="0.2">
      <c r="A1843">
        <v>2016</v>
      </c>
      <c r="B1843" t="s">
        <v>2172</v>
      </c>
      <c r="C1843" t="s">
        <v>1540</v>
      </c>
      <c r="D1843" t="s">
        <v>2164</v>
      </c>
      <c r="E1843">
        <v>5</v>
      </c>
      <c r="F1843" t="s">
        <v>2098</v>
      </c>
      <c r="G1843" t="s">
        <v>1735</v>
      </c>
      <c r="H1843" t="s">
        <v>1736</v>
      </c>
      <c r="I1843" t="s">
        <v>22</v>
      </c>
      <c r="J1843" t="s">
        <v>42</v>
      </c>
      <c r="K1843" t="s">
        <v>1543</v>
      </c>
      <c r="L1843" t="s">
        <v>25</v>
      </c>
      <c r="M1843" s="8">
        <v>4.1156666670000002</v>
      </c>
      <c r="N1843" t="s">
        <v>26</v>
      </c>
      <c r="O1843" s="8">
        <v>4.1156666670000002</v>
      </c>
      <c r="P1843" s="8">
        <f>EXP(-1.363+3.366*LOG(O1843,10))</f>
        <v>2.0242630151675414</v>
      </c>
      <c r="Q1843" s="8">
        <f>(2618262*100)/2995732</f>
        <v>87.399740697766021</v>
      </c>
    </row>
    <row r="1844" spans="1:17" x14ac:dyDescent="0.2">
      <c r="A1844">
        <v>2016</v>
      </c>
      <c r="B1844" t="s">
        <v>2173</v>
      </c>
      <c r="C1844" t="s">
        <v>1540</v>
      </c>
      <c r="D1844" t="s">
        <v>2164</v>
      </c>
      <c r="E1844">
        <v>5</v>
      </c>
      <c r="F1844" t="s">
        <v>2098</v>
      </c>
      <c r="G1844" t="s">
        <v>230</v>
      </c>
      <c r="H1844" t="s">
        <v>268</v>
      </c>
      <c r="I1844" t="s">
        <v>22</v>
      </c>
      <c r="J1844" t="s">
        <v>42</v>
      </c>
      <c r="K1844" t="s">
        <v>1543</v>
      </c>
      <c r="L1844" t="s">
        <v>25</v>
      </c>
      <c r="M1844" s="8">
        <v>3.5356666670000001</v>
      </c>
      <c r="N1844" t="s">
        <v>26</v>
      </c>
      <c r="O1844" s="8">
        <v>3.5356666670000001</v>
      </c>
      <c r="P1844" s="8">
        <f>EXP(-1.363+3.366*LOG(O1844,10))</f>
        <v>1.6211802664427075</v>
      </c>
      <c r="Q1844" s="8">
        <f>(2618262*100)/2995732</f>
        <v>87.399740697766021</v>
      </c>
    </row>
    <row r="1845" spans="1:17" x14ac:dyDescent="0.2">
      <c r="A1845">
        <v>2016</v>
      </c>
      <c r="B1845" t="s">
        <v>2174</v>
      </c>
      <c r="C1845" t="s">
        <v>1552</v>
      </c>
      <c r="D1845" t="s">
        <v>2175</v>
      </c>
      <c r="E1845">
        <v>6</v>
      </c>
      <c r="F1845" t="s">
        <v>2098</v>
      </c>
      <c r="G1845" t="s">
        <v>230</v>
      </c>
      <c r="H1845" t="s">
        <v>268</v>
      </c>
      <c r="I1845" t="s">
        <v>22</v>
      </c>
      <c r="J1845" t="s">
        <v>42</v>
      </c>
      <c r="K1845" t="s">
        <v>1543</v>
      </c>
      <c r="L1845" t="s">
        <v>25</v>
      </c>
      <c r="M1845" s="8">
        <v>3.5356666670000001</v>
      </c>
      <c r="N1845" t="s">
        <v>26</v>
      </c>
      <c r="O1845" s="8">
        <v>3.5356666670000001</v>
      </c>
      <c r="P1845" s="8">
        <f>EXP(-1.363+3.366*LOG(O1845,10))</f>
        <v>1.6211802664427075</v>
      </c>
      <c r="Q1845" s="8">
        <f>(3738946*100)/3915493</f>
        <v>95.491065875995687</v>
      </c>
    </row>
    <row r="1846" spans="1:17" x14ac:dyDescent="0.2">
      <c r="A1846">
        <v>2016</v>
      </c>
      <c r="B1846" t="s">
        <v>2176</v>
      </c>
      <c r="C1846" t="s">
        <v>1552</v>
      </c>
      <c r="D1846" t="s">
        <v>2175</v>
      </c>
      <c r="E1846">
        <v>6</v>
      </c>
      <c r="F1846" t="s">
        <v>2098</v>
      </c>
      <c r="G1846" t="s">
        <v>230</v>
      </c>
      <c r="H1846" t="s">
        <v>268</v>
      </c>
      <c r="I1846" t="s">
        <v>36</v>
      </c>
      <c r="J1846" t="s">
        <v>42</v>
      </c>
      <c r="K1846" t="s">
        <v>1543</v>
      </c>
      <c r="L1846" t="s">
        <v>25</v>
      </c>
      <c r="M1846" s="8">
        <v>3.3683333329999998</v>
      </c>
      <c r="N1846" t="s">
        <v>26</v>
      </c>
      <c r="O1846" s="8">
        <v>3.3683333329999998</v>
      </c>
      <c r="P1846" s="8">
        <f>EXP(-1.363+3.366*LOG(O1846,10))</f>
        <v>1.510255893489963</v>
      </c>
      <c r="Q1846" s="8">
        <f>(3738946*100)/3915493</f>
        <v>95.491065875995687</v>
      </c>
    </row>
    <row r="1847" spans="1:17" x14ac:dyDescent="0.2">
      <c r="A1847">
        <v>2016</v>
      </c>
      <c r="B1847" t="s">
        <v>2177</v>
      </c>
      <c r="C1847" t="s">
        <v>1552</v>
      </c>
      <c r="D1847" t="s">
        <v>2175</v>
      </c>
      <c r="E1847">
        <v>6</v>
      </c>
      <c r="F1847" t="s">
        <v>2098</v>
      </c>
      <c r="G1847" t="s">
        <v>230</v>
      </c>
      <c r="H1847" t="s">
        <v>268</v>
      </c>
      <c r="I1847" t="s">
        <v>22</v>
      </c>
      <c r="J1847" t="s">
        <v>42</v>
      </c>
      <c r="K1847" t="s">
        <v>1543</v>
      </c>
      <c r="L1847" t="s">
        <v>25</v>
      </c>
      <c r="M1847" s="8">
        <v>3.5356666670000001</v>
      </c>
      <c r="N1847" t="s">
        <v>26</v>
      </c>
      <c r="O1847" s="8">
        <v>3.5356666670000001</v>
      </c>
      <c r="P1847" s="8">
        <f>EXP(-1.363+3.366*LOG(O1847,10))</f>
        <v>1.6211802664427075</v>
      </c>
      <c r="Q1847" s="8">
        <f>(3738946*100)/3915493</f>
        <v>95.491065875995687</v>
      </c>
    </row>
    <row r="1848" spans="1:17" x14ac:dyDescent="0.2">
      <c r="A1848">
        <v>2016</v>
      </c>
      <c r="B1848" t="s">
        <v>2178</v>
      </c>
      <c r="C1848" t="s">
        <v>1552</v>
      </c>
      <c r="D1848" t="s">
        <v>2175</v>
      </c>
      <c r="E1848">
        <v>6</v>
      </c>
      <c r="F1848" t="s">
        <v>2098</v>
      </c>
      <c r="G1848" t="s">
        <v>230</v>
      </c>
      <c r="H1848" t="s">
        <v>268</v>
      </c>
      <c r="I1848" t="s">
        <v>22</v>
      </c>
      <c r="J1848" t="s">
        <v>42</v>
      </c>
      <c r="K1848" t="s">
        <v>1543</v>
      </c>
      <c r="L1848" t="s">
        <v>25</v>
      </c>
      <c r="M1848" s="8">
        <v>3.5356666670000001</v>
      </c>
      <c r="N1848" t="s">
        <v>26</v>
      </c>
      <c r="O1848" s="8">
        <v>3.5356666670000001</v>
      </c>
      <c r="P1848" s="8">
        <f>EXP(-1.363+3.366*LOG(O1848,10))</f>
        <v>1.6211802664427075</v>
      </c>
      <c r="Q1848" s="8">
        <f>(3738946*100)/3915493</f>
        <v>95.491065875995687</v>
      </c>
    </row>
    <row r="1849" spans="1:17" x14ac:dyDescent="0.2">
      <c r="A1849">
        <v>2016</v>
      </c>
      <c r="B1849" t="s">
        <v>2179</v>
      </c>
      <c r="C1849" t="s">
        <v>1540</v>
      </c>
      <c r="D1849" t="s">
        <v>2175</v>
      </c>
      <c r="E1849">
        <v>6</v>
      </c>
      <c r="F1849" t="s">
        <v>2098</v>
      </c>
      <c r="G1849" t="s">
        <v>318</v>
      </c>
      <c r="H1849" t="s">
        <v>319</v>
      </c>
      <c r="I1849" t="s">
        <v>36</v>
      </c>
      <c r="J1849" t="s">
        <v>42</v>
      </c>
      <c r="K1849" t="s">
        <v>1543</v>
      </c>
      <c r="L1849" t="s">
        <v>25</v>
      </c>
      <c r="M1849" s="8">
        <v>5.5119999999999996</v>
      </c>
      <c r="N1849" t="s">
        <v>26</v>
      </c>
      <c r="O1849" s="8">
        <v>5.5119999999999996</v>
      </c>
      <c r="P1849" s="8">
        <f>EXP(-1.363+3.366*LOG(O1849,10))</f>
        <v>3.1026196317879862</v>
      </c>
      <c r="Q1849" s="8">
        <f>(2618262*100)/2995732</f>
        <v>87.399740697766021</v>
      </c>
    </row>
    <row r="1850" spans="1:17" x14ac:dyDescent="0.2">
      <c r="A1850">
        <v>2016</v>
      </c>
      <c r="B1850" t="s">
        <v>2180</v>
      </c>
      <c r="C1850" t="s">
        <v>1624</v>
      </c>
      <c r="D1850" t="s">
        <v>2175</v>
      </c>
      <c r="E1850">
        <v>6</v>
      </c>
      <c r="F1850" t="s">
        <v>2098</v>
      </c>
      <c r="G1850" t="s">
        <v>230</v>
      </c>
      <c r="H1850" t="s">
        <v>1757</v>
      </c>
      <c r="I1850" t="s">
        <v>22</v>
      </c>
      <c r="J1850" t="s">
        <v>42</v>
      </c>
      <c r="K1850" t="s">
        <v>1543</v>
      </c>
      <c r="L1850" t="s">
        <v>25</v>
      </c>
      <c r="M1850" s="8">
        <v>4.2283333330000001</v>
      </c>
      <c r="N1850" t="s">
        <v>26</v>
      </c>
      <c r="O1850" s="8">
        <v>4.2283333330000001</v>
      </c>
      <c r="P1850" s="8">
        <f>EXP(-1.363+3.366*LOG(O1850,10))</f>
        <v>2.1057792396965977</v>
      </c>
      <c r="Q1850" s="8">
        <f>(1599772*100)/1881247</f>
        <v>85.037849894245682</v>
      </c>
    </row>
    <row r="1851" spans="1:17" x14ac:dyDescent="0.2">
      <c r="A1851">
        <v>2016</v>
      </c>
      <c r="B1851" t="s">
        <v>2182</v>
      </c>
      <c r="C1851" t="s">
        <v>1624</v>
      </c>
      <c r="D1851" t="s">
        <v>2175</v>
      </c>
      <c r="E1851">
        <v>6</v>
      </c>
      <c r="F1851" t="s">
        <v>2098</v>
      </c>
      <c r="G1851" t="s">
        <v>20</v>
      </c>
      <c r="H1851" t="s">
        <v>198</v>
      </c>
      <c r="I1851" t="s">
        <v>22</v>
      </c>
      <c r="J1851" t="s">
        <v>42</v>
      </c>
      <c r="K1851" t="s">
        <v>1543</v>
      </c>
      <c r="L1851" t="s">
        <v>187</v>
      </c>
      <c r="M1851" s="8">
        <v>1.7889999999999999</v>
      </c>
      <c r="N1851" t="s">
        <v>26</v>
      </c>
      <c r="O1851" s="8">
        <v>1.7889999999999999</v>
      </c>
      <c r="P1851" s="8">
        <f>EXP(-1.363+3.366*LOG(O1851,10))</f>
        <v>0.59886828672590986</v>
      </c>
      <c r="Q1851" s="8">
        <f>(1599772*100)/1881247</f>
        <v>85.037849894245682</v>
      </c>
    </row>
    <row r="1852" spans="1:17" x14ac:dyDescent="0.2">
      <c r="A1852">
        <v>2016</v>
      </c>
      <c r="B1852" t="s">
        <v>2183</v>
      </c>
      <c r="C1852" t="s">
        <v>1635</v>
      </c>
      <c r="D1852" t="s">
        <v>2175</v>
      </c>
      <c r="E1852">
        <v>6</v>
      </c>
      <c r="F1852" t="s">
        <v>2098</v>
      </c>
      <c r="G1852" t="s">
        <v>230</v>
      </c>
      <c r="H1852" t="s">
        <v>268</v>
      </c>
      <c r="I1852" t="s">
        <v>22</v>
      </c>
      <c r="J1852" t="s">
        <v>42</v>
      </c>
      <c r="K1852" t="s">
        <v>1543</v>
      </c>
      <c r="L1852" t="s">
        <v>25</v>
      </c>
      <c r="M1852" s="8">
        <v>3.5356666670000001</v>
      </c>
      <c r="N1852" t="s">
        <v>26</v>
      </c>
      <c r="O1852" s="8">
        <v>3.5356666670000001</v>
      </c>
      <c r="P1852" s="8">
        <f>EXP(-1.363+3.366*LOG(O1852,10))</f>
        <v>1.6211802664427075</v>
      </c>
      <c r="Q1852" s="8">
        <f>(3602085*100)/4019599</f>
        <v>89.613043490159086</v>
      </c>
    </row>
    <row r="1853" spans="1:17" x14ac:dyDescent="0.2">
      <c r="A1853">
        <v>2016</v>
      </c>
      <c r="B1853" t="s">
        <v>2184</v>
      </c>
      <c r="C1853" t="s">
        <v>1610</v>
      </c>
      <c r="D1853" t="s">
        <v>2175</v>
      </c>
      <c r="E1853">
        <v>6</v>
      </c>
      <c r="F1853" t="s">
        <v>2098</v>
      </c>
      <c r="G1853" t="s">
        <v>332</v>
      </c>
      <c r="H1853" t="s">
        <v>330</v>
      </c>
      <c r="I1853" t="s">
        <v>36</v>
      </c>
      <c r="J1853" t="s">
        <v>42</v>
      </c>
      <c r="K1853" t="s">
        <v>1543</v>
      </c>
      <c r="L1853" t="s">
        <v>25</v>
      </c>
      <c r="M1853" s="8">
        <v>1.100666667</v>
      </c>
      <c r="N1853" t="s">
        <v>26</v>
      </c>
      <c r="O1853" s="8">
        <v>1.100666667</v>
      </c>
      <c r="P1853" s="8">
        <f>EXP(-1.363+3.366*LOG(O1853,10))</f>
        <v>0.29440864465042604</v>
      </c>
      <c r="Q1853" s="8">
        <f>(2475923*100)/2844344</f>
        <v>87.047241824476927</v>
      </c>
    </row>
    <row r="1854" spans="1:17" x14ac:dyDescent="0.2">
      <c r="A1854">
        <v>2016</v>
      </c>
      <c r="B1854" t="s">
        <v>2185</v>
      </c>
      <c r="C1854" t="s">
        <v>1610</v>
      </c>
      <c r="D1854" t="s">
        <v>2175</v>
      </c>
      <c r="E1854">
        <v>6</v>
      </c>
      <c r="F1854" t="s">
        <v>2098</v>
      </c>
      <c r="G1854" t="s">
        <v>332</v>
      </c>
      <c r="H1854" t="s">
        <v>327</v>
      </c>
      <c r="I1854" t="s">
        <v>36</v>
      </c>
      <c r="J1854" t="s">
        <v>42</v>
      </c>
      <c r="K1854" t="s">
        <v>1543</v>
      </c>
      <c r="L1854" t="s">
        <v>25</v>
      </c>
      <c r="M1854" s="8">
        <v>1.0693333330000001</v>
      </c>
      <c r="N1854" t="s">
        <v>26</v>
      </c>
      <c r="O1854" s="8">
        <v>1.0693333330000001</v>
      </c>
      <c r="P1854" s="8">
        <f>EXP(-1.363+3.366*LOG(O1854,10))</f>
        <v>0.28223780327142356</v>
      </c>
      <c r="Q1854" s="8">
        <f>(2475923*100)/2844344</f>
        <v>87.047241824476927</v>
      </c>
    </row>
    <row r="1855" spans="1:17" x14ac:dyDescent="0.2">
      <c r="A1855">
        <v>2016</v>
      </c>
      <c r="B1855" t="s">
        <v>2186</v>
      </c>
      <c r="C1855" t="s">
        <v>1690</v>
      </c>
      <c r="D1855" t="s">
        <v>2175</v>
      </c>
      <c r="E1855">
        <v>6</v>
      </c>
      <c r="F1855" t="s">
        <v>2098</v>
      </c>
      <c r="G1855" t="s">
        <v>332</v>
      </c>
      <c r="H1855" t="s">
        <v>330</v>
      </c>
      <c r="I1855" t="s">
        <v>36</v>
      </c>
      <c r="J1855" t="s">
        <v>42</v>
      </c>
      <c r="K1855" t="s">
        <v>1543</v>
      </c>
      <c r="L1855" t="s">
        <v>25</v>
      </c>
      <c r="M1855" s="8">
        <v>1.100666667</v>
      </c>
      <c r="N1855" t="s">
        <v>26</v>
      </c>
      <c r="O1855" s="8">
        <v>1.100666667</v>
      </c>
      <c r="P1855" s="8">
        <f>EXP(-1.363+3.366*LOG(O1855,10))</f>
        <v>0.29440864465042604</v>
      </c>
      <c r="Q1855" s="8">
        <f>(2640118*100)/3023471</f>
        <v>87.320764776642477</v>
      </c>
    </row>
    <row r="1856" spans="1:17" x14ac:dyDescent="0.2">
      <c r="A1856">
        <v>2016</v>
      </c>
      <c r="B1856" t="s">
        <v>2187</v>
      </c>
      <c r="C1856" t="s">
        <v>1540</v>
      </c>
      <c r="D1856" t="s">
        <v>2175</v>
      </c>
      <c r="E1856">
        <v>6</v>
      </c>
      <c r="F1856" t="s">
        <v>2098</v>
      </c>
      <c r="G1856" t="s">
        <v>1520</v>
      </c>
      <c r="H1856" t="s">
        <v>1528</v>
      </c>
      <c r="I1856" t="s">
        <v>22</v>
      </c>
      <c r="J1856" t="s">
        <v>42</v>
      </c>
      <c r="K1856" t="s">
        <v>1543</v>
      </c>
      <c r="L1856" t="s">
        <v>25</v>
      </c>
      <c r="M1856" s="8">
        <v>3.624333333</v>
      </c>
      <c r="N1856" t="s">
        <v>26</v>
      </c>
      <c r="O1856" s="8">
        <v>3.624333333</v>
      </c>
      <c r="P1856" s="8">
        <f>EXP(-1.363+3.366*LOG(O1856,10))</f>
        <v>1.6809546844949765</v>
      </c>
      <c r="Q1856" s="8">
        <f>(2618262*100)/2995732</f>
        <v>87.399740697766021</v>
      </c>
    </row>
    <row r="1857" spans="1:17" x14ac:dyDescent="0.2">
      <c r="A1857">
        <v>2016</v>
      </c>
      <c r="B1857" t="s">
        <v>2188</v>
      </c>
      <c r="C1857" t="s">
        <v>1540</v>
      </c>
      <c r="D1857" t="s">
        <v>2189</v>
      </c>
      <c r="E1857">
        <v>6</v>
      </c>
      <c r="F1857" t="s">
        <v>2098</v>
      </c>
      <c r="G1857" t="s">
        <v>1520</v>
      </c>
      <c r="H1857" t="s">
        <v>1528</v>
      </c>
      <c r="I1857" t="s">
        <v>22</v>
      </c>
      <c r="J1857" t="s">
        <v>42</v>
      </c>
      <c r="K1857" t="s">
        <v>1543</v>
      </c>
      <c r="L1857" t="s">
        <v>25</v>
      </c>
      <c r="M1857" s="8">
        <v>3.624333333</v>
      </c>
      <c r="N1857" t="s">
        <v>26</v>
      </c>
      <c r="O1857" s="8">
        <v>3.624333333</v>
      </c>
      <c r="P1857" s="8">
        <f>EXP(-1.363+3.366*LOG(O1857,10))</f>
        <v>1.6809546844949765</v>
      </c>
      <c r="Q1857" s="8">
        <f>(2618262*100)/2995732</f>
        <v>87.399740697766021</v>
      </c>
    </row>
    <row r="1858" spans="1:17" x14ac:dyDescent="0.2">
      <c r="A1858">
        <v>2016</v>
      </c>
      <c r="B1858" t="s">
        <v>2190</v>
      </c>
      <c r="C1858" t="s">
        <v>1552</v>
      </c>
      <c r="D1858" t="s">
        <v>2189</v>
      </c>
      <c r="E1858">
        <v>6</v>
      </c>
      <c r="F1858" t="s">
        <v>2098</v>
      </c>
      <c r="G1858" t="s">
        <v>1520</v>
      </c>
      <c r="H1858" t="s">
        <v>1528</v>
      </c>
      <c r="I1858" t="s">
        <v>36</v>
      </c>
      <c r="J1858" t="s">
        <v>42</v>
      </c>
      <c r="K1858" t="s">
        <v>1543</v>
      </c>
      <c r="L1858" t="s">
        <v>25</v>
      </c>
      <c r="M1858" s="8">
        <v>3.3860000000000001</v>
      </c>
      <c r="N1858" t="s">
        <v>26</v>
      </c>
      <c r="O1858" s="8">
        <v>3.3860000000000001</v>
      </c>
      <c r="P1858" s="8">
        <f>EXP(-1.363+3.366*LOG(O1858,10))</f>
        <v>1.5218493704875904</v>
      </c>
      <c r="Q1858" s="8">
        <f>(3738946*100)/3915493</f>
        <v>95.491065875995687</v>
      </c>
    </row>
    <row r="1859" spans="1:17" x14ac:dyDescent="0.2">
      <c r="A1859">
        <v>2016</v>
      </c>
      <c r="B1859" t="s">
        <v>2191</v>
      </c>
      <c r="C1859" t="s">
        <v>1552</v>
      </c>
      <c r="D1859" t="s">
        <v>2189</v>
      </c>
      <c r="E1859">
        <v>6</v>
      </c>
      <c r="F1859" t="s">
        <v>2098</v>
      </c>
      <c r="G1859" t="s">
        <v>1520</v>
      </c>
      <c r="H1859" t="s">
        <v>1528</v>
      </c>
      <c r="I1859" t="s">
        <v>22</v>
      </c>
      <c r="J1859" t="s">
        <v>42</v>
      </c>
      <c r="K1859" t="s">
        <v>1543</v>
      </c>
      <c r="L1859" t="s">
        <v>25</v>
      </c>
      <c r="M1859" s="8">
        <v>3.624333333</v>
      </c>
      <c r="N1859" t="s">
        <v>26</v>
      </c>
      <c r="O1859" s="8">
        <v>3.624333333</v>
      </c>
      <c r="P1859" s="8">
        <f>EXP(-1.363+3.366*LOG(O1859,10))</f>
        <v>1.6809546844949765</v>
      </c>
      <c r="Q1859" s="8">
        <f>(3738946*100)/3915493</f>
        <v>95.491065875995687</v>
      </c>
    </row>
    <row r="1860" spans="1:17" x14ac:dyDescent="0.2">
      <c r="A1860">
        <v>2016</v>
      </c>
      <c r="B1860" t="s">
        <v>2192</v>
      </c>
      <c r="C1860" t="s">
        <v>1552</v>
      </c>
      <c r="D1860" t="s">
        <v>2189</v>
      </c>
      <c r="E1860">
        <v>6</v>
      </c>
      <c r="F1860" t="s">
        <v>2098</v>
      </c>
      <c r="G1860" t="s">
        <v>1520</v>
      </c>
      <c r="H1860" t="s">
        <v>1528</v>
      </c>
      <c r="I1860" t="s">
        <v>22</v>
      </c>
      <c r="J1860" t="s">
        <v>42</v>
      </c>
      <c r="K1860" t="s">
        <v>1543</v>
      </c>
      <c r="L1860" t="s">
        <v>25</v>
      </c>
      <c r="M1860" s="8">
        <v>3.624333333</v>
      </c>
      <c r="N1860" t="s">
        <v>26</v>
      </c>
      <c r="O1860" s="8">
        <v>3.624333333</v>
      </c>
      <c r="P1860" s="8">
        <f>EXP(-1.363+3.366*LOG(O1860,10))</f>
        <v>1.6809546844949765</v>
      </c>
      <c r="Q1860" s="8">
        <f>(3738946*100)/3915493</f>
        <v>95.491065875995687</v>
      </c>
    </row>
    <row r="1861" spans="1:17" x14ac:dyDescent="0.2">
      <c r="A1861">
        <v>2016</v>
      </c>
      <c r="B1861" t="s">
        <v>2193</v>
      </c>
      <c r="C1861" t="s">
        <v>1552</v>
      </c>
      <c r="D1861" t="s">
        <v>2189</v>
      </c>
      <c r="E1861">
        <v>6</v>
      </c>
      <c r="F1861" t="s">
        <v>2098</v>
      </c>
      <c r="G1861" t="s">
        <v>1520</v>
      </c>
      <c r="H1861" t="s">
        <v>1925</v>
      </c>
      <c r="I1861" t="s">
        <v>36</v>
      </c>
      <c r="J1861" t="s">
        <v>42</v>
      </c>
      <c r="K1861" t="s">
        <v>1543</v>
      </c>
      <c r="L1861" t="s">
        <v>25</v>
      </c>
      <c r="M1861" s="8">
        <v>2.1076666670000002</v>
      </c>
      <c r="N1861" t="s">
        <v>26</v>
      </c>
      <c r="O1861" s="8">
        <v>2.1076666670000002</v>
      </c>
      <c r="P1861" s="8">
        <f>EXP(-1.363+3.366*LOG(O1861,10))</f>
        <v>0.76102983783378542</v>
      </c>
      <c r="Q1861" s="8">
        <f>(3738946*100)/3915493</f>
        <v>95.491065875995687</v>
      </c>
    </row>
    <row r="1862" spans="1:17" x14ac:dyDescent="0.2">
      <c r="A1862">
        <v>2016</v>
      </c>
      <c r="B1862" t="s">
        <v>2194</v>
      </c>
      <c r="C1862" t="s">
        <v>1610</v>
      </c>
      <c r="D1862" t="s">
        <v>2189</v>
      </c>
      <c r="E1862">
        <v>6</v>
      </c>
      <c r="F1862" t="s">
        <v>2098</v>
      </c>
      <c r="G1862" t="s">
        <v>332</v>
      </c>
      <c r="H1862" t="s">
        <v>330</v>
      </c>
      <c r="I1862" t="s">
        <v>36</v>
      </c>
      <c r="J1862" t="s">
        <v>42</v>
      </c>
      <c r="K1862" t="s">
        <v>1543</v>
      </c>
      <c r="L1862" t="s">
        <v>25</v>
      </c>
      <c r="M1862" s="8">
        <v>1.100666667</v>
      </c>
      <c r="N1862" t="s">
        <v>26</v>
      </c>
      <c r="O1862" s="8">
        <v>1.100666667</v>
      </c>
      <c r="P1862" s="8">
        <f>EXP(-1.363+3.366*LOG(O1862,10))</f>
        <v>0.29440864465042604</v>
      </c>
      <c r="Q1862" s="8">
        <f>(2475923*100)/2844344</f>
        <v>87.047241824476927</v>
      </c>
    </row>
    <row r="1863" spans="1:17" x14ac:dyDescent="0.2">
      <c r="A1863">
        <v>2016</v>
      </c>
      <c r="B1863" t="s">
        <v>2195</v>
      </c>
      <c r="C1863" t="s">
        <v>1610</v>
      </c>
      <c r="D1863" t="s">
        <v>2189</v>
      </c>
      <c r="E1863">
        <v>6</v>
      </c>
      <c r="F1863" t="s">
        <v>2098</v>
      </c>
      <c r="G1863" t="s">
        <v>332</v>
      </c>
      <c r="H1863" t="s">
        <v>330</v>
      </c>
      <c r="I1863" t="s">
        <v>22</v>
      </c>
      <c r="J1863" t="s">
        <v>42</v>
      </c>
      <c r="K1863" t="s">
        <v>1543</v>
      </c>
      <c r="L1863" t="s">
        <v>25</v>
      </c>
      <c r="M1863" s="8">
        <v>1.2170000000000001</v>
      </c>
      <c r="N1863" t="s">
        <v>26</v>
      </c>
      <c r="O1863" s="8">
        <v>1.2170000000000001</v>
      </c>
      <c r="P1863" s="8">
        <f>EXP(-1.363+3.366*LOG(O1863,10))</f>
        <v>0.34098666307598596</v>
      </c>
      <c r="Q1863" s="8">
        <f>(2475923*100)/2844344</f>
        <v>87.047241824476927</v>
      </c>
    </row>
    <row r="1864" spans="1:17" x14ac:dyDescent="0.2">
      <c r="A1864">
        <v>2016</v>
      </c>
      <c r="B1864" t="s">
        <v>2196</v>
      </c>
      <c r="C1864" t="s">
        <v>1610</v>
      </c>
      <c r="D1864" t="s">
        <v>2189</v>
      </c>
      <c r="E1864">
        <v>6</v>
      </c>
      <c r="F1864" t="s">
        <v>2098</v>
      </c>
      <c r="G1864" t="s">
        <v>332</v>
      </c>
      <c r="H1864" t="s">
        <v>330</v>
      </c>
      <c r="I1864" t="s">
        <v>36</v>
      </c>
      <c r="J1864" t="s">
        <v>42</v>
      </c>
      <c r="K1864" t="s">
        <v>1543</v>
      </c>
      <c r="L1864" t="s">
        <v>25</v>
      </c>
      <c r="M1864" s="8">
        <v>1.100666667</v>
      </c>
      <c r="N1864" t="s">
        <v>26</v>
      </c>
      <c r="O1864" s="8">
        <v>1.100666667</v>
      </c>
      <c r="P1864" s="8">
        <f>EXP(-1.363+3.366*LOG(O1864,10))</f>
        <v>0.29440864465042604</v>
      </c>
      <c r="Q1864" s="8">
        <f>(2475923*100)/2844344</f>
        <v>87.047241824476927</v>
      </c>
    </row>
    <row r="1865" spans="1:17" x14ac:dyDescent="0.2">
      <c r="A1865">
        <v>2016</v>
      </c>
      <c r="B1865" t="s">
        <v>2197</v>
      </c>
      <c r="C1865" t="s">
        <v>1610</v>
      </c>
      <c r="D1865" t="s">
        <v>2189</v>
      </c>
      <c r="E1865">
        <v>6</v>
      </c>
      <c r="F1865" t="s">
        <v>2098</v>
      </c>
      <c r="G1865" t="s">
        <v>332</v>
      </c>
      <c r="H1865" t="s">
        <v>330</v>
      </c>
      <c r="I1865" t="s">
        <v>22</v>
      </c>
      <c r="J1865" t="s">
        <v>42</v>
      </c>
      <c r="K1865" t="s">
        <v>1543</v>
      </c>
      <c r="L1865" t="s">
        <v>25</v>
      </c>
      <c r="M1865" s="8">
        <v>1.2170000000000001</v>
      </c>
      <c r="N1865" t="s">
        <v>26</v>
      </c>
      <c r="O1865" s="8">
        <v>1.2170000000000001</v>
      </c>
      <c r="P1865" s="8">
        <f>EXP(-1.363+3.366*LOG(O1865,10))</f>
        <v>0.34098666307598596</v>
      </c>
      <c r="Q1865" s="8">
        <f>(2475923*100)/2844344</f>
        <v>87.047241824476927</v>
      </c>
    </row>
    <row r="1866" spans="1:17" x14ac:dyDescent="0.2">
      <c r="A1866">
        <v>2016</v>
      </c>
      <c r="B1866" t="s">
        <v>2198</v>
      </c>
      <c r="C1866" t="s">
        <v>1610</v>
      </c>
      <c r="D1866" t="s">
        <v>2189</v>
      </c>
      <c r="E1866">
        <v>6</v>
      </c>
      <c r="F1866" t="s">
        <v>2098</v>
      </c>
      <c r="G1866" t="s">
        <v>332</v>
      </c>
      <c r="H1866" t="s">
        <v>330</v>
      </c>
      <c r="I1866" t="s">
        <v>22</v>
      </c>
      <c r="J1866" t="s">
        <v>42</v>
      </c>
      <c r="K1866" t="s">
        <v>1543</v>
      </c>
      <c r="L1866" t="s">
        <v>25</v>
      </c>
      <c r="M1866" s="8">
        <v>1.2170000000000001</v>
      </c>
      <c r="N1866" t="s">
        <v>26</v>
      </c>
      <c r="O1866" s="8">
        <v>1.2170000000000001</v>
      </c>
      <c r="P1866" s="8">
        <f>EXP(-1.363+3.366*LOG(O1866,10))</f>
        <v>0.34098666307598596</v>
      </c>
      <c r="Q1866" s="8">
        <f>(2475923*100)/2844344</f>
        <v>87.047241824476927</v>
      </c>
    </row>
    <row r="1867" spans="1:17" x14ac:dyDescent="0.2">
      <c r="A1867">
        <v>2016</v>
      </c>
      <c r="B1867" t="s">
        <v>2199</v>
      </c>
      <c r="C1867" t="s">
        <v>1610</v>
      </c>
      <c r="D1867" t="s">
        <v>2189</v>
      </c>
      <c r="E1867">
        <v>6</v>
      </c>
      <c r="F1867" t="s">
        <v>2098</v>
      </c>
      <c r="G1867" t="s">
        <v>352</v>
      </c>
      <c r="H1867" t="s">
        <v>1142</v>
      </c>
      <c r="I1867" t="s">
        <v>22</v>
      </c>
      <c r="J1867" t="s">
        <v>42</v>
      </c>
      <c r="K1867" t="s">
        <v>1543</v>
      </c>
      <c r="L1867" t="s">
        <v>25</v>
      </c>
      <c r="M1867" s="8">
        <v>1.1423333330000001</v>
      </c>
      <c r="N1867" t="s">
        <v>26</v>
      </c>
      <c r="O1867" s="8">
        <v>1.1423333330000001</v>
      </c>
      <c r="P1867" s="8">
        <f>EXP(-1.363+3.366*LOG(O1867,10))</f>
        <v>0.31084239358261528</v>
      </c>
      <c r="Q1867" s="8">
        <f>(2475923*100)/2844344</f>
        <v>87.047241824476927</v>
      </c>
    </row>
    <row r="1868" spans="1:17" x14ac:dyDescent="0.2">
      <c r="A1868">
        <v>2016</v>
      </c>
      <c r="B1868" t="s">
        <v>2200</v>
      </c>
      <c r="C1868" t="s">
        <v>1610</v>
      </c>
      <c r="D1868" t="s">
        <v>2189</v>
      </c>
      <c r="E1868">
        <v>6</v>
      </c>
      <c r="F1868" t="s">
        <v>2098</v>
      </c>
      <c r="G1868" t="s">
        <v>1472</v>
      </c>
      <c r="H1868" t="s">
        <v>1509</v>
      </c>
      <c r="I1868" t="s">
        <v>36</v>
      </c>
      <c r="J1868" t="s">
        <v>42</v>
      </c>
      <c r="K1868" t="s">
        <v>1543</v>
      </c>
      <c r="L1868" t="s">
        <v>187</v>
      </c>
      <c r="M1868" s="8">
        <v>1.6445000000000001</v>
      </c>
      <c r="N1868" t="s">
        <v>26</v>
      </c>
      <c r="O1868" s="8">
        <v>1.6445000000000001</v>
      </c>
      <c r="P1868" s="8">
        <f>EXP(-1.363+3.366*LOG(O1868,10))</f>
        <v>0.52949584168250452</v>
      </c>
      <c r="Q1868" s="8">
        <f>(2475923*100)/2844344</f>
        <v>87.047241824476927</v>
      </c>
    </row>
    <row r="1869" spans="1:17" x14ac:dyDescent="0.2">
      <c r="A1869">
        <v>2016</v>
      </c>
      <c r="B1869" t="s">
        <v>2201</v>
      </c>
      <c r="C1869" t="s">
        <v>1624</v>
      </c>
      <c r="D1869" t="s">
        <v>2189</v>
      </c>
      <c r="E1869">
        <v>6</v>
      </c>
      <c r="F1869" t="s">
        <v>2098</v>
      </c>
      <c r="G1869" t="s">
        <v>230</v>
      </c>
      <c r="H1869" t="s">
        <v>268</v>
      </c>
      <c r="I1869" t="s">
        <v>22</v>
      </c>
      <c r="J1869" t="s">
        <v>42</v>
      </c>
      <c r="K1869" t="s">
        <v>1543</v>
      </c>
      <c r="L1869" t="s">
        <v>25</v>
      </c>
      <c r="M1869" s="8">
        <v>3.5356666670000001</v>
      </c>
      <c r="N1869" t="s">
        <v>26</v>
      </c>
      <c r="O1869" s="8">
        <v>3.5356666670000001</v>
      </c>
      <c r="P1869" s="8">
        <f>EXP(-1.363+3.366*LOG(O1869,10))</f>
        <v>1.6211802664427075</v>
      </c>
      <c r="Q1869" s="8">
        <f>(1599772*100)/1881247</f>
        <v>85.037849894245682</v>
      </c>
    </row>
    <row r="1870" spans="1:17" x14ac:dyDescent="0.2">
      <c r="A1870">
        <v>2016</v>
      </c>
      <c r="B1870" t="s">
        <v>2202</v>
      </c>
      <c r="C1870" t="s">
        <v>1624</v>
      </c>
      <c r="D1870" t="s">
        <v>2189</v>
      </c>
      <c r="E1870">
        <v>6</v>
      </c>
      <c r="F1870" t="s">
        <v>2098</v>
      </c>
      <c r="G1870" t="s">
        <v>1735</v>
      </c>
      <c r="H1870" t="s">
        <v>2149</v>
      </c>
      <c r="I1870" t="s">
        <v>22</v>
      </c>
      <c r="J1870" t="s">
        <v>42</v>
      </c>
      <c r="K1870" t="s">
        <v>1543</v>
      </c>
      <c r="L1870" t="s">
        <v>25</v>
      </c>
      <c r="M1870" s="8">
        <v>2.9416666669999998</v>
      </c>
      <c r="N1870" t="s">
        <v>26</v>
      </c>
      <c r="O1870" s="8">
        <v>2.9416666669999998</v>
      </c>
      <c r="P1870" s="8">
        <f>EXP(-1.363+3.366*LOG(O1870,10))</f>
        <v>1.2389764364980187</v>
      </c>
      <c r="Q1870" s="8">
        <f>(1599772*100)/1881247</f>
        <v>85.037849894245682</v>
      </c>
    </row>
    <row r="1871" spans="1:17" x14ac:dyDescent="0.2">
      <c r="A1871">
        <v>2016</v>
      </c>
      <c r="B1871" t="s">
        <v>2203</v>
      </c>
      <c r="C1871" t="s">
        <v>1624</v>
      </c>
      <c r="D1871" t="s">
        <v>2189</v>
      </c>
      <c r="E1871">
        <v>6</v>
      </c>
      <c r="F1871" t="s">
        <v>2098</v>
      </c>
      <c r="G1871" t="s">
        <v>1520</v>
      </c>
      <c r="H1871" t="s">
        <v>1524</v>
      </c>
      <c r="I1871" t="s">
        <v>36</v>
      </c>
      <c r="J1871" t="s">
        <v>42</v>
      </c>
      <c r="K1871" t="s">
        <v>1543</v>
      </c>
      <c r="L1871" t="s">
        <v>187</v>
      </c>
      <c r="M1871" s="8">
        <v>3.0609999999999999</v>
      </c>
      <c r="N1871" t="s">
        <v>26</v>
      </c>
      <c r="O1871" s="8">
        <v>3.0609999999999999</v>
      </c>
      <c r="P1871" s="8">
        <f>EXP(-1.363+3.366*LOG(O1871,10))</f>
        <v>1.3131331083191324</v>
      </c>
      <c r="Q1871" s="8">
        <f>(1599772*100)/1881247</f>
        <v>85.037849894245682</v>
      </c>
    </row>
    <row r="1872" spans="1:17" x14ac:dyDescent="0.2">
      <c r="A1872">
        <v>2016</v>
      </c>
      <c r="B1872" t="s">
        <v>2204</v>
      </c>
      <c r="C1872" t="s">
        <v>1624</v>
      </c>
      <c r="D1872" t="s">
        <v>2189</v>
      </c>
      <c r="E1872">
        <v>6</v>
      </c>
      <c r="F1872" t="s">
        <v>2098</v>
      </c>
      <c r="G1872" t="s">
        <v>230</v>
      </c>
      <c r="H1872" t="s">
        <v>268</v>
      </c>
      <c r="I1872" t="s">
        <v>22</v>
      </c>
      <c r="J1872" t="s">
        <v>42</v>
      </c>
      <c r="K1872" t="s">
        <v>1543</v>
      </c>
      <c r="L1872" t="s">
        <v>25</v>
      </c>
      <c r="M1872" s="8">
        <v>3.5356666670000001</v>
      </c>
      <c r="N1872" t="s">
        <v>26</v>
      </c>
      <c r="O1872" s="8">
        <v>3.5356666670000001</v>
      </c>
      <c r="P1872" s="8">
        <f>EXP(-1.363+3.366*LOG(O1872,10))</f>
        <v>1.6211802664427075</v>
      </c>
      <c r="Q1872" s="8">
        <f>(1599772*100)/1881247</f>
        <v>85.037849894245682</v>
      </c>
    </row>
    <row r="1873" spans="1:17" x14ac:dyDescent="0.2">
      <c r="A1873">
        <v>2016</v>
      </c>
      <c r="B1873" t="s">
        <v>2205</v>
      </c>
      <c r="C1873" t="s">
        <v>1624</v>
      </c>
      <c r="D1873" t="s">
        <v>2189</v>
      </c>
      <c r="E1873">
        <v>6</v>
      </c>
      <c r="F1873" t="s">
        <v>2098</v>
      </c>
      <c r="G1873" t="s">
        <v>2206</v>
      </c>
      <c r="H1873" t="s">
        <v>2207</v>
      </c>
      <c r="I1873" t="s">
        <v>36</v>
      </c>
      <c r="J1873" t="s">
        <v>42</v>
      </c>
      <c r="K1873" t="s">
        <v>1543</v>
      </c>
      <c r="L1873" t="s">
        <v>25</v>
      </c>
      <c r="M1873" s="8">
        <v>3.6386666669999999</v>
      </c>
      <c r="N1873" t="s">
        <v>26</v>
      </c>
      <c r="O1873" s="8">
        <v>3.6386666669999999</v>
      </c>
      <c r="P1873" s="8">
        <f>EXP(-1.363+3.366*LOG(O1873,10))</f>
        <v>1.6906814772344552</v>
      </c>
      <c r="Q1873" s="8">
        <f>(1599772*100)/1881247</f>
        <v>85.037849894245682</v>
      </c>
    </row>
    <row r="1874" spans="1:17" x14ac:dyDescent="0.2">
      <c r="A1874">
        <v>2016</v>
      </c>
      <c r="B1874" t="s">
        <v>2208</v>
      </c>
      <c r="C1874" t="s">
        <v>1624</v>
      </c>
      <c r="D1874" t="s">
        <v>2189</v>
      </c>
      <c r="E1874">
        <v>6</v>
      </c>
      <c r="F1874" t="s">
        <v>2098</v>
      </c>
      <c r="G1874" t="s">
        <v>2206</v>
      </c>
      <c r="H1874" t="s">
        <v>2207</v>
      </c>
      <c r="I1874" t="s">
        <v>22</v>
      </c>
      <c r="J1874" t="s">
        <v>42</v>
      </c>
      <c r="K1874" t="s">
        <v>1543</v>
      </c>
      <c r="L1874" t="s">
        <v>25</v>
      </c>
      <c r="M1874" s="8">
        <v>3.249333333</v>
      </c>
      <c r="N1874" t="s">
        <v>26</v>
      </c>
      <c r="O1874" s="8">
        <v>3.249333333</v>
      </c>
      <c r="P1874" s="8">
        <f>EXP(-1.363+3.366*LOG(O1874,10))</f>
        <v>1.4328987616438449</v>
      </c>
      <c r="Q1874" s="8">
        <f>(1599772*100)/1881247</f>
        <v>85.037849894245682</v>
      </c>
    </row>
    <row r="1875" spans="1:17" x14ac:dyDescent="0.2">
      <c r="A1875" s="6">
        <v>2016</v>
      </c>
      <c r="B1875" s="6" t="s">
        <v>2209</v>
      </c>
      <c r="C1875" s="6" t="s">
        <v>1624</v>
      </c>
      <c r="D1875" s="6" t="s">
        <v>2189</v>
      </c>
      <c r="E1875" s="6">
        <v>6</v>
      </c>
      <c r="F1875" s="6" t="s">
        <v>2098</v>
      </c>
      <c r="G1875" s="6" t="s">
        <v>2210</v>
      </c>
      <c r="H1875" s="6" t="s">
        <v>1941</v>
      </c>
      <c r="I1875" s="6" t="s">
        <v>36</v>
      </c>
      <c r="J1875" s="6" t="s">
        <v>42</v>
      </c>
      <c r="K1875" s="6" t="s">
        <v>1543</v>
      </c>
      <c r="L1875" s="6" t="s">
        <v>187</v>
      </c>
      <c r="M1875" s="9">
        <v>1.9430000000000001</v>
      </c>
      <c r="N1875" s="6" t="s">
        <v>26</v>
      </c>
      <c r="O1875" s="9">
        <v>1.9430000000000001</v>
      </c>
      <c r="P1875" s="9">
        <f>EXP(-1.363+3.366*LOG(O1875,10))</f>
        <v>0.67570374017396273</v>
      </c>
      <c r="Q1875" s="8">
        <f>(1599772*100)/1881247</f>
        <v>85.037849894245682</v>
      </c>
    </row>
    <row r="1876" spans="1:17" x14ac:dyDescent="0.2">
      <c r="A1876">
        <v>2016</v>
      </c>
      <c r="B1876" t="s">
        <v>2211</v>
      </c>
      <c r="C1876" t="s">
        <v>1540</v>
      </c>
      <c r="D1876" t="s">
        <v>2189</v>
      </c>
      <c r="E1876">
        <v>6</v>
      </c>
      <c r="F1876" t="s">
        <v>2098</v>
      </c>
      <c r="G1876" t="s">
        <v>1520</v>
      </c>
      <c r="H1876" t="s">
        <v>1528</v>
      </c>
      <c r="I1876" t="s">
        <v>22</v>
      </c>
      <c r="J1876" t="s">
        <v>42</v>
      </c>
      <c r="K1876" t="s">
        <v>1543</v>
      </c>
      <c r="L1876" t="s">
        <v>25</v>
      </c>
      <c r="M1876" s="8">
        <v>3.624333333</v>
      </c>
      <c r="N1876" t="s">
        <v>26</v>
      </c>
      <c r="O1876" s="8">
        <v>3.624333333</v>
      </c>
      <c r="P1876" s="8">
        <f>EXP(-1.363+3.366*LOG(O1876,10))</f>
        <v>1.6809546844949765</v>
      </c>
      <c r="Q1876" s="8">
        <f>(2618262*100)/2995732</f>
        <v>87.399740697766021</v>
      </c>
    </row>
    <row r="1877" spans="1:17" x14ac:dyDescent="0.2">
      <c r="A1877">
        <v>2016</v>
      </c>
      <c r="B1877" t="s">
        <v>2212</v>
      </c>
      <c r="C1877" t="s">
        <v>1690</v>
      </c>
      <c r="D1877" t="s">
        <v>2213</v>
      </c>
      <c r="E1877">
        <v>6</v>
      </c>
      <c r="F1877" t="s">
        <v>2098</v>
      </c>
      <c r="G1877" t="s">
        <v>332</v>
      </c>
      <c r="H1877" t="s">
        <v>330</v>
      </c>
      <c r="I1877" t="s">
        <v>36</v>
      </c>
      <c r="J1877" t="s">
        <v>42</v>
      </c>
      <c r="K1877" t="s">
        <v>1543</v>
      </c>
      <c r="L1877" t="s">
        <v>25</v>
      </c>
      <c r="M1877" s="8">
        <v>1.100666667</v>
      </c>
      <c r="N1877" t="s">
        <v>26</v>
      </c>
      <c r="O1877" s="8">
        <v>1.100666667</v>
      </c>
      <c r="P1877" s="8">
        <f>EXP(-1.363+3.366*LOG(O1877,10))</f>
        <v>0.29440864465042604</v>
      </c>
      <c r="Q1877" s="8">
        <f>(2640118*100)/3023471</f>
        <v>87.320764776642477</v>
      </c>
    </row>
    <row r="1878" spans="1:17" x14ac:dyDescent="0.2">
      <c r="A1878">
        <v>2016</v>
      </c>
      <c r="B1878" t="s">
        <v>2214</v>
      </c>
      <c r="C1878" t="s">
        <v>1690</v>
      </c>
      <c r="D1878" t="s">
        <v>2213</v>
      </c>
      <c r="E1878">
        <v>6</v>
      </c>
      <c r="F1878" t="s">
        <v>2098</v>
      </c>
      <c r="G1878" t="s">
        <v>332</v>
      </c>
      <c r="H1878" t="s">
        <v>330</v>
      </c>
      <c r="I1878" t="s">
        <v>36</v>
      </c>
      <c r="J1878" t="s">
        <v>42</v>
      </c>
      <c r="K1878" t="s">
        <v>1543</v>
      </c>
      <c r="L1878" t="s">
        <v>25</v>
      </c>
      <c r="M1878" s="8">
        <v>1.100666667</v>
      </c>
      <c r="N1878" t="s">
        <v>26</v>
      </c>
      <c r="O1878" s="8">
        <v>1.100666667</v>
      </c>
      <c r="P1878" s="8">
        <f>EXP(-1.363+3.366*LOG(O1878,10))</f>
        <v>0.29440864465042604</v>
      </c>
      <c r="Q1878" s="8">
        <f>(2640118*100)/3023471</f>
        <v>87.320764776642477</v>
      </c>
    </row>
    <row r="1879" spans="1:17" x14ac:dyDescent="0.2">
      <c r="A1879">
        <v>2016</v>
      </c>
      <c r="B1879" t="s">
        <v>2215</v>
      </c>
      <c r="C1879" t="s">
        <v>1610</v>
      </c>
      <c r="D1879" t="s">
        <v>2213</v>
      </c>
      <c r="E1879">
        <v>6</v>
      </c>
      <c r="F1879" t="s">
        <v>2098</v>
      </c>
      <c r="G1879" t="s">
        <v>230</v>
      </c>
      <c r="H1879" t="s">
        <v>1757</v>
      </c>
      <c r="I1879" t="s">
        <v>22</v>
      </c>
      <c r="J1879" t="s">
        <v>42</v>
      </c>
      <c r="K1879" t="s">
        <v>1543</v>
      </c>
      <c r="L1879" t="s">
        <v>25</v>
      </c>
      <c r="M1879" s="8">
        <v>4.2283333330000001</v>
      </c>
      <c r="N1879" t="s">
        <v>26</v>
      </c>
      <c r="O1879" s="8">
        <v>4.2283333330000001</v>
      </c>
      <c r="P1879" s="8">
        <f>EXP(-1.363+3.366*LOG(O1879,10))</f>
        <v>2.1057792396965977</v>
      </c>
      <c r="Q1879" s="8">
        <f>(2475923*100)/2844344</f>
        <v>87.047241824476927</v>
      </c>
    </row>
    <row r="1880" spans="1:17" x14ac:dyDescent="0.2">
      <c r="A1880">
        <v>2016</v>
      </c>
      <c r="B1880" t="s">
        <v>2216</v>
      </c>
      <c r="C1880" t="s">
        <v>1610</v>
      </c>
      <c r="D1880" t="s">
        <v>2213</v>
      </c>
      <c r="E1880">
        <v>6</v>
      </c>
      <c r="F1880" t="s">
        <v>2098</v>
      </c>
      <c r="G1880" t="s">
        <v>1520</v>
      </c>
      <c r="H1880" t="s">
        <v>1528</v>
      </c>
      <c r="I1880" t="s">
        <v>22</v>
      </c>
      <c r="J1880" t="s">
        <v>42</v>
      </c>
      <c r="K1880" t="s">
        <v>1543</v>
      </c>
      <c r="L1880" t="s">
        <v>25</v>
      </c>
      <c r="M1880" s="8">
        <v>3.624333333</v>
      </c>
      <c r="N1880" t="s">
        <v>26</v>
      </c>
      <c r="O1880" s="8">
        <v>3.624333333</v>
      </c>
      <c r="P1880" s="8">
        <f>EXP(-1.363+3.366*LOG(O1880,10))</f>
        <v>1.6809546844949765</v>
      </c>
      <c r="Q1880" s="8">
        <f>(2475923*100)/2844344</f>
        <v>87.047241824476927</v>
      </c>
    </row>
    <row r="1881" spans="1:17" x14ac:dyDescent="0.2">
      <c r="A1881">
        <v>2016</v>
      </c>
      <c r="B1881" t="s">
        <v>2217</v>
      </c>
      <c r="C1881" t="s">
        <v>1540</v>
      </c>
      <c r="D1881" t="s">
        <v>2213</v>
      </c>
      <c r="E1881">
        <v>6</v>
      </c>
      <c r="F1881" t="s">
        <v>2098</v>
      </c>
      <c r="G1881" t="s">
        <v>20</v>
      </c>
      <c r="H1881" t="s">
        <v>1703</v>
      </c>
      <c r="I1881" t="s">
        <v>22</v>
      </c>
      <c r="J1881" t="s">
        <v>42</v>
      </c>
      <c r="K1881" t="s">
        <v>1543</v>
      </c>
      <c r="L1881" t="s">
        <v>187</v>
      </c>
      <c r="M1881" s="8">
        <v>2.2745714289999999</v>
      </c>
      <c r="N1881" t="s">
        <v>26</v>
      </c>
      <c r="O1881" s="8">
        <v>2.2745714289999999</v>
      </c>
      <c r="P1881" s="8">
        <f>EXP(-1.363+3.366*LOG(O1881,10))</f>
        <v>0.8507167794611602</v>
      </c>
      <c r="Q1881" s="8">
        <f>(2618262*100)/2995732</f>
        <v>87.399740697766021</v>
      </c>
    </row>
    <row r="1882" spans="1:17" x14ac:dyDescent="0.2">
      <c r="A1882">
        <v>2016</v>
      </c>
      <c r="B1882" t="s">
        <v>2218</v>
      </c>
      <c r="C1882" t="s">
        <v>1552</v>
      </c>
      <c r="D1882" t="s">
        <v>2213</v>
      </c>
      <c r="E1882">
        <v>6</v>
      </c>
      <c r="F1882" t="s">
        <v>2098</v>
      </c>
      <c r="G1882" t="s">
        <v>230</v>
      </c>
      <c r="H1882" t="s">
        <v>268</v>
      </c>
      <c r="I1882" t="s">
        <v>22</v>
      </c>
      <c r="J1882" t="s">
        <v>42</v>
      </c>
      <c r="K1882" t="s">
        <v>1543</v>
      </c>
      <c r="L1882" t="s">
        <v>25</v>
      </c>
      <c r="M1882" s="8">
        <v>3.5356666670000001</v>
      </c>
      <c r="N1882" t="s">
        <v>26</v>
      </c>
      <c r="O1882" s="8">
        <v>3.5356666670000001</v>
      </c>
      <c r="P1882" s="8">
        <f>EXP(-1.363+3.366*LOG(O1882,10))</f>
        <v>1.6211802664427075</v>
      </c>
      <c r="Q1882" s="8">
        <f>(3738946*100)/3915493</f>
        <v>95.491065875995687</v>
      </c>
    </row>
    <row r="1883" spans="1:17" x14ac:dyDescent="0.2">
      <c r="A1883">
        <v>2016</v>
      </c>
      <c r="B1883" t="s">
        <v>2219</v>
      </c>
      <c r="C1883" t="s">
        <v>1540</v>
      </c>
      <c r="D1883" t="s">
        <v>2213</v>
      </c>
      <c r="E1883">
        <v>6</v>
      </c>
      <c r="F1883" t="s">
        <v>2098</v>
      </c>
      <c r="G1883" t="s">
        <v>352</v>
      </c>
      <c r="H1883" t="s">
        <v>1459</v>
      </c>
      <c r="I1883" t="s">
        <v>22</v>
      </c>
      <c r="J1883" t="s">
        <v>42</v>
      </c>
      <c r="K1883" t="s">
        <v>1543</v>
      </c>
      <c r="L1883" t="s">
        <v>25</v>
      </c>
      <c r="M1883" s="8">
        <v>1.1910000000000001</v>
      </c>
      <c r="N1883" t="s">
        <v>26</v>
      </c>
      <c r="O1883" s="8">
        <v>1.1910000000000001</v>
      </c>
      <c r="P1883" s="8">
        <f>EXP(-1.363+3.366*LOG(O1883,10))</f>
        <v>0.33039016297752993</v>
      </c>
      <c r="Q1883" s="8">
        <f>(2618262*100)/2995732</f>
        <v>87.399740697766021</v>
      </c>
    </row>
    <row r="1884" spans="1:17" x14ac:dyDescent="0.2">
      <c r="A1884">
        <v>2016</v>
      </c>
      <c r="B1884" t="s">
        <v>2220</v>
      </c>
      <c r="C1884" t="s">
        <v>1540</v>
      </c>
      <c r="D1884" t="s">
        <v>2213</v>
      </c>
      <c r="E1884">
        <v>6</v>
      </c>
      <c r="F1884" t="s">
        <v>2098</v>
      </c>
      <c r="G1884" t="s">
        <v>230</v>
      </c>
      <c r="H1884" t="s">
        <v>268</v>
      </c>
      <c r="I1884" t="s">
        <v>22</v>
      </c>
      <c r="J1884" t="s">
        <v>42</v>
      </c>
      <c r="K1884" t="s">
        <v>1543</v>
      </c>
      <c r="L1884" t="s">
        <v>25</v>
      </c>
      <c r="M1884" s="8">
        <v>3.5356666670000001</v>
      </c>
      <c r="N1884" t="s">
        <v>26</v>
      </c>
      <c r="O1884" s="8">
        <v>3.5356666670000001</v>
      </c>
      <c r="P1884" s="8">
        <f>EXP(-1.363+3.366*LOG(O1884,10))</f>
        <v>1.6211802664427075</v>
      </c>
      <c r="Q1884" s="8">
        <f>(2618262*100)/2995732</f>
        <v>87.399740697766021</v>
      </c>
    </row>
    <row r="1885" spans="1:17" x14ac:dyDescent="0.2">
      <c r="A1885">
        <v>2016</v>
      </c>
      <c r="B1885" t="s">
        <v>2223</v>
      </c>
      <c r="C1885" t="s">
        <v>1624</v>
      </c>
      <c r="D1885" t="s">
        <v>2213</v>
      </c>
      <c r="E1885">
        <v>6</v>
      </c>
      <c r="F1885" t="s">
        <v>2098</v>
      </c>
      <c r="G1885" t="s">
        <v>230</v>
      </c>
      <c r="H1885" t="s">
        <v>268</v>
      </c>
      <c r="I1885" t="s">
        <v>22</v>
      </c>
      <c r="J1885" t="s">
        <v>42</v>
      </c>
      <c r="K1885" t="s">
        <v>1543</v>
      </c>
      <c r="L1885" t="s">
        <v>25</v>
      </c>
      <c r="M1885" s="8">
        <v>3.5356666670000001</v>
      </c>
      <c r="N1885" t="s">
        <v>26</v>
      </c>
      <c r="O1885" s="8">
        <v>3.5356666670000001</v>
      </c>
      <c r="P1885" s="8">
        <f>EXP(-1.363+3.366*LOG(O1885,10))</f>
        <v>1.6211802664427075</v>
      </c>
      <c r="Q1885" s="8">
        <f>(1599772*100)/1881247</f>
        <v>85.037849894245682</v>
      </c>
    </row>
    <row r="1886" spans="1:17" x14ac:dyDescent="0.2">
      <c r="A1886">
        <v>2016</v>
      </c>
      <c r="B1886" t="s">
        <v>2224</v>
      </c>
      <c r="C1886" t="s">
        <v>1624</v>
      </c>
      <c r="D1886" t="s">
        <v>2213</v>
      </c>
      <c r="E1886">
        <v>6</v>
      </c>
      <c r="F1886" t="s">
        <v>2098</v>
      </c>
      <c r="G1886" t="s">
        <v>230</v>
      </c>
      <c r="H1886" t="s">
        <v>268</v>
      </c>
      <c r="I1886" t="s">
        <v>22</v>
      </c>
      <c r="J1886" t="s">
        <v>42</v>
      </c>
      <c r="K1886" t="s">
        <v>1543</v>
      </c>
      <c r="L1886" t="s">
        <v>25</v>
      </c>
      <c r="M1886" s="8">
        <v>3.5356666670000001</v>
      </c>
      <c r="N1886" t="s">
        <v>26</v>
      </c>
      <c r="O1886" s="8">
        <v>3.5356666670000001</v>
      </c>
      <c r="P1886" s="8">
        <f>EXP(-1.363+3.366*LOG(O1886,10))</f>
        <v>1.6211802664427075</v>
      </c>
      <c r="Q1886" s="8">
        <f>(1599772*100)/1881247</f>
        <v>85.037849894245682</v>
      </c>
    </row>
    <row r="1887" spans="1:17" x14ac:dyDescent="0.2">
      <c r="A1887">
        <v>2016</v>
      </c>
      <c r="B1887" t="s">
        <v>2225</v>
      </c>
      <c r="C1887" t="s">
        <v>1624</v>
      </c>
      <c r="D1887" t="s">
        <v>2213</v>
      </c>
      <c r="E1887">
        <v>6</v>
      </c>
      <c r="F1887" t="s">
        <v>2098</v>
      </c>
      <c r="G1887" t="s">
        <v>230</v>
      </c>
      <c r="H1887" t="s">
        <v>268</v>
      </c>
      <c r="I1887" t="s">
        <v>22</v>
      </c>
      <c r="J1887" t="s">
        <v>42</v>
      </c>
      <c r="K1887" t="s">
        <v>1543</v>
      </c>
      <c r="L1887" t="s">
        <v>25</v>
      </c>
      <c r="M1887" s="8">
        <v>3.5356666670000001</v>
      </c>
      <c r="N1887" t="s">
        <v>26</v>
      </c>
      <c r="O1887" s="8">
        <v>3.5356666670000001</v>
      </c>
      <c r="P1887" s="8">
        <f>EXP(-1.363+3.366*LOG(O1887,10))</f>
        <v>1.6211802664427075</v>
      </c>
      <c r="Q1887" s="8">
        <f>(1599772*100)/1881247</f>
        <v>85.037849894245682</v>
      </c>
    </row>
    <row r="1888" spans="1:17" x14ac:dyDescent="0.2">
      <c r="A1888">
        <v>2016</v>
      </c>
      <c r="B1888" t="s">
        <v>2226</v>
      </c>
      <c r="C1888" t="s">
        <v>1610</v>
      </c>
      <c r="D1888" t="s">
        <v>2213</v>
      </c>
      <c r="E1888">
        <v>6</v>
      </c>
      <c r="F1888" t="s">
        <v>2098</v>
      </c>
      <c r="G1888" t="s">
        <v>332</v>
      </c>
      <c r="H1888" t="s">
        <v>330</v>
      </c>
      <c r="I1888" t="s">
        <v>36</v>
      </c>
      <c r="J1888" t="s">
        <v>42</v>
      </c>
      <c r="K1888" t="s">
        <v>1543</v>
      </c>
      <c r="L1888" t="s">
        <v>25</v>
      </c>
      <c r="M1888" s="8">
        <v>1.100666667</v>
      </c>
      <c r="N1888" t="s">
        <v>26</v>
      </c>
      <c r="O1888" s="8">
        <v>1.100666667</v>
      </c>
      <c r="P1888" s="8">
        <f>EXP(-1.363+3.366*LOG(O1888,10))</f>
        <v>0.29440864465042604</v>
      </c>
      <c r="Q1888" s="8">
        <f>(2475923*100)/2844344</f>
        <v>87.047241824476927</v>
      </c>
    </row>
    <row r="1889" spans="1:17" x14ac:dyDescent="0.2">
      <c r="A1889">
        <v>2016</v>
      </c>
      <c r="B1889" t="s">
        <v>2227</v>
      </c>
      <c r="C1889" t="s">
        <v>1610</v>
      </c>
      <c r="D1889" t="s">
        <v>2213</v>
      </c>
      <c r="E1889">
        <v>6</v>
      </c>
      <c r="F1889" t="s">
        <v>2098</v>
      </c>
      <c r="G1889" t="s">
        <v>332</v>
      </c>
      <c r="H1889" t="s">
        <v>330</v>
      </c>
      <c r="I1889" t="s">
        <v>22</v>
      </c>
      <c r="J1889" t="s">
        <v>42</v>
      </c>
      <c r="K1889" t="s">
        <v>1543</v>
      </c>
      <c r="L1889" t="s">
        <v>25</v>
      </c>
      <c r="M1889" s="8">
        <v>1.2170000000000001</v>
      </c>
      <c r="N1889" t="s">
        <v>26</v>
      </c>
      <c r="O1889" s="8">
        <v>1.2170000000000001</v>
      </c>
      <c r="P1889" s="8">
        <f>EXP(-1.363+3.366*LOG(O1889,10))</f>
        <v>0.34098666307598596</v>
      </c>
      <c r="Q1889" s="8">
        <f>(2475923*100)/2844344</f>
        <v>87.047241824476927</v>
      </c>
    </row>
    <row r="1890" spans="1:17" x14ac:dyDescent="0.2">
      <c r="A1890">
        <v>2016</v>
      </c>
      <c r="B1890" t="s">
        <v>2228</v>
      </c>
      <c r="C1890" t="s">
        <v>1610</v>
      </c>
      <c r="D1890" t="s">
        <v>2213</v>
      </c>
      <c r="E1890">
        <v>6</v>
      </c>
      <c r="F1890" t="s">
        <v>2098</v>
      </c>
      <c r="G1890" t="s">
        <v>332</v>
      </c>
      <c r="H1890" t="s">
        <v>330</v>
      </c>
      <c r="I1890" t="s">
        <v>36</v>
      </c>
      <c r="J1890" t="s">
        <v>42</v>
      </c>
      <c r="K1890" t="s">
        <v>1543</v>
      </c>
      <c r="L1890" t="s">
        <v>25</v>
      </c>
      <c r="M1890" s="8">
        <v>1.100666667</v>
      </c>
      <c r="N1890" t="s">
        <v>26</v>
      </c>
      <c r="O1890" s="8">
        <v>1.100666667</v>
      </c>
      <c r="P1890" s="8">
        <f>EXP(-1.363+3.366*LOG(O1890,10))</f>
        <v>0.29440864465042604</v>
      </c>
      <c r="Q1890" s="8">
        <f>(2475923*100)/2844344</f>
        <v>87.047241824476927</v>
      </c>
    </row>
    <row r="1891" spans="1:17" x14ac:dyDescent="0.2">
      <c r="A1891">
        <v>2016</v>
      </c>
      <c r="B1891" t="s">
        <v>2229</v>
      </c>
      <c r="C1891" t="s">
        <v>1547</v>
      </c>
      <c r="D1891" t="s">
        <v>2213</v>
      </c>
      <c r="E1891">
        <v>6</v>
      </c>
      <c r="F1891" t="s">
        <v>2098</v>
      </c>
      <c r="G1891" t="s">
        <v>230</v>
      </c>
      <c r="H1891" t="s">
        <v>268</v>
      </c>
      <c r="I1891" t="s">
        <v>22</v>
      </c>
      <c r="J1891" t="s">
        <v>42</v>
      </c>
      <c r="K1891" t="s">
        <v>1543</v>
      </c>
      <c r="L1891" t="s">
        <v>25</v>
      </c>
      <c r="M1891" s="8">
        <v>3.5356666670000001</v>
      </c>
      <c r="N1891" t="s">
        <v>26</v>
      </c>
      <c r="O1891" s="8">
        <v>3.5356666670000001</v>
      </c>
      <c r="P1891" s="8">
        <f>EXP(-1.363+3.366*LOG(O1891,10))</f>
        <v>1.6211802664427075</v>
      </c>
      <c r="Q1891" s="8">
        <f>(3881584*100)/4292409</f>
        <v>90.429034139104644</v>
      </c>
    </row>
    <row r="1892" spans="1:17" x14ac:dyDescent="0.2">
      <c r="A1892">
        <v>2016</v>
      </c>
      <c r="B1892" t="s">
        <v>2230</v>
      </c>
      <c r="C1892" t="s">
        <v>1690</v>
      </c>
      <c r="D1892" t="s">
        <v>2231</v>
      </c>
      <c r="E1892">
        <v>7</v>
      </c>
      <c r="F1892" t="s">
        <v>2098</v>
      </c>
      <c r="G1892" t="s">
        <v>1520</v>
      </c>
      <c r="H1892" t="s">
        <v>1528</v>
      </c>
      <c r="I1892" t="s">
        <v>36</v>
      </c>
      <c r="J1892" t="s">
        <v>42</v>
      </c>
      <c r="K1892" t="s">
        <v>1543</v>
      </c>
      <c r="L1892" t="s">
        <v>25</v>
      </c>
      <c r="M1892" s="8">
        <v>3.3860000000000001</v>
      </c>
      <c r="N1892" t="s">
        <v>26</v>
      </c>
      <c r="O1892" s="8">
        <v>3.3860000000000001</v>
      </c>
      <c r="P1892" s="8">
        <f>EXP(-1.363+3.366*LOG(O1892,10))</f>
        <v>1.5218493704875904</v>
      </c>
      <c r="Q1892" s="8">
        <f>(2640118*100)/3023471</f>
        <v>87.320764776642477</v>
      </c>
    </row>
    <row r="1893" spans="1:17" x14ac:dyDescent="0.2">
      <c r="A1893">
        <v>2016</v>
      </c>
      <c r="B1893" t="s">
        <v>2232</v>
      </c>
      <c r="C1893" t="s">
        <v>1690</v>
      </c>
      <c r="D1893" t="s">
        <v>2231</v>
      </c>
      <c r="E1893">
        <v>7</v>
      </c>
      <c r="F1893" t="s">
        <v>2098</v>
      </c>
      <c r="G1893" t="s">
        <v>230</v>
      </c>
      <c r="H1893" t="s">
        <v>268</v>
      </c>
      <c r="I1893" t="s">
        <v>22</v>
      </c>
      <c r="J1893" t="s">
        <v>42</v>
      </c>
      <c r="K1893" t="s">
        <v>1543</v>
      </c>
      <c r="L1893" t="s">
        <v>25</v>
      </c>
      <c r="M1893" s="8">
        <v>3.5356666670000001</v>
      </c>
      <c r="N1893" t="s">
        <v>26</v>
      </c>
      <c r="O1893" s="8">
        <v>3.5356666670000001</v>
      </c>
      <c r="P1893" s="8">
        <f>EXP(-1.363+3.366*LOG(O1893,10))</f>
        <v>1.6211802664427075</v>
      </c>
      <c r="Q1893" s="8">
        <f>(2640118*100)/3023471</f>
        <v>87.320764776642477</v>
      </c>
    </row>
    <row r="1894" spans="1:17" x14ac:dyDescent="0.2">
      <c r="A1894">
        <v>2016</v>
      </c>
      <c r="B1894" t="s">
        <v>2233</v>
      </c>
      <c r="C1894" t="s">
        <v>1690</v>
      </c>
      <c r="D1894" t="s">
        <v>2231</v>
      </c>
      <c r="E1894">
        <v>7</v>
      </c>
      <c r="F1894" t="s">
        <v>2098</v>
      </c>
      <c r="G1894" t="s">
        <v>352</v>
      </c>
      <c r="H1894" t="s">
        <v>975</v>
      </c>
      <c r="I1894" t="s">
        <v>36</v>
      </c>
      <c r="J1894" t="s">
        <v>42</v>
      </c>
      <c r="K1894" t="s">
        <v>1543</v>
      </c>
      <c r="L1894" t="s">
        <v>25</v>
      </c>
      <c r="M1894" s="8">
        <v>0.95199999999999996</v>
      </c>
      <c r="N1894" t="s">
        <v>26</v>
      </c>
      <c r="O1894" s="8">
        <v>0.95199999999999996</v>
      </c>
      <c r="P1894" s="8">
        <f>EXP(-1.363+3.366*LOG(O1894,10))</f>
        <v>0.23813726407794436</v>
      </c>
      <c r="Q1894" s="8">
        <f>(2640118*100)/3023471</f>
        <v>87.320764776642477</v>
      </c>
    </row>
    <row r="1895" spans="1:17" x14ac:dyDescent="0.2">
      <c r="A1895">
        <v>2016</v>
      </c>
      <c r="B1895" t="s">
        <v>2234</v>
      </c>
      <c r="C1895" t="s">
        <v>1540</v>
      </c>
      <c r="D1895" t="s">
        <v>2231</v>
      </c>
      <c r="E1895">
        <v>7</v>
      </c>
      <c r="F1895" t="s">
        <v>2098</v>
      </c>
      <c r="G1895" t="s">
        <v>1520</v>
      </c>
      <c r="H1895" t="s">
        <v>1528</v>
      </c>
      <c r="I1895" t="s">
        <v>36</v>
      </c>
      <c r="J1895" t="s">
        <v>42</v>
      </c>
      <c r="K1895" t="s">
        <v>1543</v>
      </c>
      <c r="L1895" t="s">
        <v>25</v>
      </c>
      <c r="M1895" s="8">
        <v>3.3860000000000001</v>
      </c>
      <c r="N1895" t="s">
        <v>26</v>
      </c>
      <c r="O1895" s="8">
        <v>3.3860000000000001</v>
      </c>
      <c r="P1895" s="8">
        <f>EXP(-1.363+3.366*LOG(O1895,10))</f>
        <v>1.5218493704875904</v>
      </c>
      <c r="Q1895" s="8">
        <f>(2618262*100)/2995732</f>
        <v>87.399740697766021</v>
      </c>
    </row>
    <row r="1896" spans="1:17" x14ac:dyDescent="0.2">
      <c r="A1896">
        <v>2016</v>
      </c>
      <c r="B1896" t="s">
        <v>2235</v>
      </c>
      <c r="C1896" t="s">
        <v>1540</v>
      </c>
      <c r="D1896" t="s">
        <v>2231</v>
      </c>
      <c r="E1896">
        <v>7</v>
      </c>
      <c r="F1896" t="s">
        <v>2098</v>
      </c>
      <c r="G1896" t="s">
        <v>362</v>
      </c>
      <c r="H1896" t="s">
        <v>447</v>
      </c>
      <c r="I1896" t="s">
        <v>22</v>
      </c>
      <c r="J1896" t="s">
        <v>42</v>
      </c>
      <c r="K1896" t="s">
        <v>1543</v>
      </c>
      <c r="L1896" t="s">
        <v>25</v>
      </c>
      <c r="M1896" s="8">
        <v>1.421</v>
      </c>
      <c r="N1896" t="s">
        <v>26</v>
      </c>
      <c r="O1896" s="8">
        <v>1.421</v>
      </c>
      <c r="P1896" s="8">
        <f>EXP(-1.363+3.366*LOG(O1896,10))</f>
        <v>0.42768500084673816</v>
      </c>
      <c r="Q1896" s="8">
        <f>(2618262*100)/2995732</f>
        <v>87.399740697766021</v>
      </c>
    </row>
    <row r="1897" spans="1:17" x14ac:dyDescent="0.2">
      <c r="A1897">
        <v>2016</v>
      </c>
      <c r="B1897" t="s">
        <v>2236</v>
      </c>
      <c r="C1897" t="s">
        <v>1540</v>
      </c>
      <c r="D1897" t="s">
        <v>2231</v>
      </c>
      <c r="E1897">
        <v>7</v>
      </c>
      <c r="F1897" t="s">
        <v>2098</v>
      </c>
      <c r="G1897" t="s">
        <v>362</v>
      </c>
      <c r="H1897" t="s">
        <v>447</v>
      </c>
      <c r="I1897" t="s">
        <v>22</v>
      </c>
      <c r="J1897" t="s">
        <v>42</v>
      </c>
      <c r="K1897" t="s">
        <v>1543</v>
      </c>
      <c r="L1897" t="s">
        <v>25</v>
      </c>
      <c r="M1897" s="8">
        <v>1.421</v>
      </c>
      <c r="N1897" t="s">
        <v>26</v>
      </c>
      <c r="O1897" s="8">
        <v>1.421</v>
      </c>
      <c r="P1897" s="8">
        <f>EXP(-1.363+3.366*LOG(O1897,10))</f>
        <v>0.42768500084673816</v>
      </c>
      <c r="Q1897" s="8">
        <f>(2618262*100)/2995732</f>
        <v>87.399740697766021</v>
      </c>
    </row>
    <row r="1898" spans="1:17" x14ac:dyDescent="0.2">
      <c r="A1898">
        <v>2016</v>
      </c>
      <c r="B1898" t="s">
        <v>2237</v>
      </c>
      <c r="C1898" t="s">
        <v>1540</v>
      </c>
      <c r="D1898" t="s">
        <v>2231</v>
      </c>
      <c r="E1898">
        <v>7</v>
      </c>
      <c r="F1898" t="s">
        <v>2098</v>
      </c>
      <c r="G1898" t="s">
        <v>1538</v>
      </c>
      <c r="H1898" t="s">
        <v>2238</v>
      </c>
      <c r="I1898" t="s">
        <v>36</v>
      </c>
      <c r="J1898" t="s">
        <v>42</v>
      </c>
      <c r="K1898" t="s">
        <v>1543</v>
      </c>
      <c r="L1898" t="s">
        <v>187</v>
      </c>
      <c r="M1898" s="8">
        <v>2.2810000000000001</v>
      </c>
      <c r="N1898" t="s">
        <v>26</v>
      </c>
      <c r="O1898" s="8">
        <v>2.2810000000000001</v>
      </c>
      <c r="P1898" s="8">
        <f>EXP(-1.363+3.366*LOG(O1898,10))</f>
        <v>0.8542338533138143</v>
      </c>
      <c r="Q1898" s="8">
        <f>(2618262*100)/2995732</f>
        <v>87.399740697766021</v>
      </c>
    </row>
    <row r="1899" spans="1:17" x14ac:dyDescent="0.2">
      <c r="A1899">
        <v>2016</v>
      </c>
      <c r="B1899" t="s">
        <v>2239</v>
      </c>
      <c r="C1899" t="s">
        <v>1552</v>
      </c>
      <c r="D1899" t="s">
        <v>2231</v>
      </c>
      <c r="E1899">
        <v>7</v>
      </c>
      <c r="F1899" t="s">
        <v>2098</v>
      </c>
      <c r="G1899" t="s">
        <v>1520</v>
      </c>
      <c r="H1899" t="s">
        <v>1528</v>
      </c>
      <c r="I1899" t="s">
        <v>22</v>
      </c>
      <c r="J1899" t="s">
        <v>42</v>
      </c>
      <c r="K1899" t="s">
        <v>1543</v>
      </c>
      <c r="L1899" t="s">
        <v>25</v>
      </c>
      <c r="M1899" s="8">
        <v>3.624333333</v>
      </c>
      <c r="N1899" t="s">
        <v>26</v>
      </c>
      <c r="O1899" s="8">
        <v>3.624333333</v>
      </c>
      <c r="P1899" s="8">
        <f>EXP(-1.363+3.366*LOG(O1899,10))</f>
        <v>1.6809546844949765</v>
      </c>
      <c r="Q1899" s="8">
        <f>(3738946*100)/3915493</f>
        <v>95.491065875995687</v>
      </c>
    </row>
    <row r="1900" spans="1:17" x14ac:dyDescent="0.2">
      <c r="A1900">
        <v>2016</v>
      </c>
      <c r="B1900" t="s">
        <v>2240</v>
      </c>
      <c r="C1900" t="s">
        <v>1552</v>
      </c>
      <c r="D1900" t="s">
        <v>2231</v>
      </c>
      <c r="E1900">
        <v>7</v>
      </c>
      <c r="F1900" t="s">
        <v>2098</v>
      </c>
      <c r="G1900" t="s">
        <v>230</v>
      </c>
      <c r="H1900" t="s">
        <v>268</v>
      </c>
      <c r="I1900" t="s">
        <v>22</v>
      </c>
      <c r="J1900" t="s">
        <v>42</v>
      </c>
      <c r="K1900" t="s">
        <v>1543</v>
      </c>
      <c r="L1900" t="s">
        <v>25</v>
      </c>
      <c r="M1900" s="8">
        <v>3.5356666670000001</v>
      </c>
      <c r="N1900" t="s">
        <v>26</v>
      </c>
      <c r="O1900" s="8">
        <v>3.5356666670000001</v>
      </c>
      <c r="P1900" s="8">
        <f>EXP(-1.363+3.366*LOG(O1900,10))</f>
        <v>1.6211802664427075</v>
      </c>
      <c r="Q1900" s="8">
        <f>(3738946*100)/3915493</f>
        <v>95.491065875995687</v>
      </c>
    </row>
    <row r="1901" spans="1:17" x14ac:dyDescent="0.2">
      <c r="A1901">
        <v>2016</v>
      </c>
      <c r="B1901" t="s">
        <v>2241</v>
      </c>
      <c r="C1901" t="s">
        <v>1552</v>
      </c>
      <c r="D1901" t="s">
        <v>2231</v>
      </c>
      <c r="E1901">
        <v>7</v>
      </c>
      <c r="F1901" t="s">
        <v>2098</v>
      </c>
      <c r="G1901" t="s">
        <v>230</v>
      </c>
      <c r="H1901" t="s">
        <v>268</v>
      </c>
      <c r="I1901" t="s">
        <v>22</v>
      </c>
      <c r="J1901" t="s">
        <v>42</v>
      </c>
      <c r="K1901" t="s">
        <v>1543</v>
      </c>
      <c r="L1901" t="s">
        <v>25</v>
      </c>
      <c r="M1901" s="8">
        <v>3.5356666670000001</v>
      </c>
      <c r="N1901" t="s">
        <v>26</v>
      </c>
      <c r="O1901" s="8">
        <v>3.5356666670000001</v>
      </c>
      <c r="P1901" s="8">
        <f>EXP(-1.363+3.366*LOG(O1901,10))</f>
        <v>1.6211802664427075</v>
      </c>
      <c r="Q1901" s="8">
        <f>(3738946*100)/3915493</f>
        <v>95.491065875995687</v>
      </c>
    </row>
    <row r="1902" spans="1:17" x14ac:dyDescent="0.2">
      <c r="A1902">
        <v>2016</v>
      </c>
      <c r="B1902" t="s">
        <v>2242</v>
      </c>
      <c r="C1902" t="s">
        <v>1552</v>
      </c>
      <c r="D1902" t="s">
        <v>2231</v>
      </c>
      <c r="E1902">
        <v>7</v>
      </c>
      <c r="F1902" t="s">
        <v>2098</v>
      </c>
      <c r="G1902" t="s">
        <v>1520</v>
      </c>
      <c r="H1902" t="s">
        <v>1528</v>
      </c>
      <c r="I1902" t="s">
        <v>36</v>
      </c>
      <c r="J1902" t="s">
        <v>42</v>
      </c>
      <c r="K1902" t="s">
        <v>1543</v>
      </c>
      <c r="L1902" t="s">
        <v>25</v>
      </c>
      <c r="M1902" s="8">
        <v>3.3860000000000001</v>
      </c>
      <c r="N1902" t="s">
        <v>26</v>
      </c>
      <c r="O1902" s="8">
        <v>3.3860000000000001</v>
      </c>
      <c r="P1902" s="8">
        <f>EXP(-1.363+3.366*LOG(O1902,10))</f>
        <v>1.5218493704875904</v>
      </c>
      <c r="Q1902" s="8">
        <f>(3738946*100)/3915493</f>
        <v>95.491065875995687</v>
      </c>
    </row>
    <row r="1903" spans="1:17" x14ac:dyDescent="0.2">
      <c r="A1903">
        <v>2016</v>
      </c>
      <c r="B1903" t="s">
        <v>2243</v>
      </c>
      <c r="C1903" t="s">
        <v>1552</v>
      </c>
      <c r="D1903" t="s">
        <v>2231</v>
      </c>
      <c r="E1903">
        <v>7</v>
      </c>
      <c r="F1903" t="s">
        <v>2098</v>
      </c>
      <c r="G1903" t="s">
        <v>230</v>
      </c>
      <c r="H1903" t="s">
        <v>268</v>
      </c>
      <c r="I1903" t="s">
        <v>22</v>
      </c>
      <c r="J1903" t="s">
        <v>42</v>
      </c>
      <c r="K1903" t="s">
        <v>1543</v>
      </c>
      <c r="L1903" t="s">
        <v>25</v>
      </c>
      <c r="M1903" s="8">
        <v>3.5356666670000001</v>
      </c>
      <c r="N1903" t="s">
        <v>26</v>
      </c>
      <c r="O1903" s="8">
        <v>3.5356666670000001</v>
      </c>
      <c r="P1903" s="8">
        <f>EXP(-1.363+3.366*LOG(O1903,10))</f>
        <v>1.6211802664427075</v>
      </c>
      <c r="Q1903" s="8">
        <f>(3738946*100)/3915493</f>
        <v>95.491065875995687</v>
      </c>
    </row>
    <row r="1904" spans="1:17" x14ac:dyDescent="0.2">
      <c r="A1904">
        <v>2016</v>
      </c>
      <c r="B1904" t="s">
        <v>2244</v>
      </c>
      <c r="C1904" t="s">
        <v>1552</v>
      </c>
      <c r="D1904" t="s">
        <v>2231</v>
      </c>
      <c r="E1904">
        <v>7</v>
      </c>
      <c r="F1904" t="s">
        <v>2098</v>
      </c>
      <c r="G1904" t="s">
        <v>352</v>
      </c>
      <c r="H1904" t="s">
        <v>975</v>
      </c>
      <c r="I1904" t="s">
        <v>22</v>
      </c>
      <c r="J1904" t="s">
        <v>42</v>
      </c>
      <c r="K1904" t="s">
        <v>1543</v>
      </c>
      <c r="L1904" t="s">
        <v>25</v>
      </c>
      <c r="M1904" s="8">
        <v>1.0693333330000001</v>
      </c>
      <c r="N1904" t="s">
        <v>26</v>
      </c>
      <c r="O1904" s="8">
        <v>1.0693333330000001</v>
      </c>
      <c r="P1904" s="8">
        <f>EXP(-1.363+3.366*LOG(O1904,10))</f>
        <v>0.28223780327142356</v>
      </c>
      <c r="Q1904" s="8">
        <f>(3738946*100)/3915493</f>
        <v>95.491065875995687</v>
      </c>
    </row>
    <row r="1905" spans="1:17" x14ac:dyDescent="0.2">
      <c r="A1905">
        <v>2016</v>
      </c>
      <c r="B1905" t="s">
        <v>2245</v>
      </c>
      <c r="C1905" t="s">
        <v>1552</v>
      </c>
      <c r="D1905" t="s">
        <v>2231</v>
      </c>
      <c r="E1905">
        <v>7</v>
      </c>
      <c r="F1905" t="s">
        <v>2098</v>
      </c>
      <c r="G1905" t="s">
        <v>352</v>
      </c>
      <c r="H1905" t="s">
        <v>975</v>
      </c>
      <c r="I1905" t="s">
        <v>22</v>
      </c>
      <c r="J1905" t="s">
        <v>42</v>
      </c>
      <c r="K1905" t="s">
        <v>1543</v>
      </c>
      <c r="L1905" t="s">
        <v>25</v>
      </c>
      <c r="M1905" s="8">
        <v>1.0693333330000001</v>
      </c>
      <c r="N1905" t="s">
        <v>26</v>
      </c>
      <c r="O1905" s="8">
        <v>1.0693333330000001</v>
      </c>
      <c r="P1905" s="8">
        <f>EXP(-1.363+3.366*LOG(O1905,10))</f>
        <v>0.28223780327142356</v>
      </c>
      <c r="Q1905" s="8">
        <f>(3738946*100)/3915493</f>
        <v>95.491065875995687</v>
      </c>
    </row>
    <row r="1906" spans="1:17" x14ac:dyDescent="0.2">
      <c r="A1906">
        <v>2016</v>
      </c>
      <c r="B1906" t="s">
        <v>2246</v>
      </c>
      <c r="C1906" t="s">
        <v>1624</v>
      </c>
      <c r="D1906" t="s">
        <v>2231</v>
      </c>
      <c r="E1906">
        <v>7</v>
      </c>
      <c r="F1906" t="s">
        <v>2098</v>
      </c>
      <c r="G1906" t="s">
        <v>1520</v>
      </c>
      <c r="H1906" t="s">
        <v>1528</v>
      </c>
      <c r="I1906" t="s">
        <v>22</v>
      </c>
      <c r="J1906" t="s">
        <v>42</v>
      </c>
      <c r="K1906" t="s">
        <v>1543</v>
      </c>
      <c r="L1906" t="s">
        <v>25</v>
      </c>
      <c r="M1906" s="8">
        <v>3.624333333</v>
      </c>
      <c r="N1906" t="s">
        <v>26</v>
      </c>
      <c r="O1906" s="8">
        <v>3.624333333</v>
      </c>
      <c r="P1906" s="8">
        <f>EXP(-1.363+3.366*LOG(O1906,10))</f>
        <v>1.6809546844949765</v>
      </c>
      <c r="Q1906" s="8">
        <f>(1599772*100)/1881247</f>
        <v>85.037849894245682</v>
      </c>
    </row>
    <row r="1907" spans="1:17" x14ac:dyDescent="0.2">
      <c r="A1907">
        <v>2016</v>
      </c>
      <c r="B1907" t="s">
        <v>2247</v>
      </c>
      <c r="C1907" t="s">
        <v>1624</v>
      </c>
      <c r="D1907" t="s">
        <v>2231</v>
      </c>
      <c r="E1907">
        <v>7</v>
      </c>
      <c r="F1907" t="s">
        <v>2098</v>
      </c>
      <c r="G1907" t="s">
        <v>332</v>
      </c>
      <c r="H1907" t="s">
        <v>2248</v>
      </c>
      <c r="I1907" t="s">
        <v>22</v>
      </c>
      <c r="J1907" t="s">
        <v>42</v>
      </c>
      <c r="K1907" t="s">
        <v>1543</v>
      </c>
      <c r="L1907" t="s">
        <v>25</v>
      </c>
      <c r="M1907" s="8" t="s">
        <v>26</v>
      </c>
      <c r="N1907" t="s">
        <v>26</v>
      </c>
      <c r="O1907" s="8" t="s">
        <v>26</v>
      </c>
      <c r="P1907" s="8" t="s">
        <v>26</v>
      </c>
      <c r="Q1907" s="8">
        <f>(1599772*100)/1881247</f>
        <v>85.037849894245682</v>
      </c>
    </row>
    <row r="1908" spans="1:17" x14ac:dyDescent="0.2">
      <c r="A1908">
        <v>2016</v>
      </c>
      <c r="B1908" t="s">
        <v>2249</v>
      </c>
      <c r="C1908" t="s">
        <v>1624</v>
      </c>
      <c r="D1908" t="s">
        <v>2231</v>
      </c>
      <c r="E1908">
        <v>7</v>
      </c>
      <c r="F1908" t="s">
        <v>2098</v>
      </c>
      <c r="G1908" t="s">
        <v>352</v>
      </c>
      <c r="H1908" t="s">
        <v>975</v>
      </c>
      <c r="I1908" t="s">
        <v>36</v>
      </c>
      <c r="J1908" t="s">
        <v>42</v>
      </c>
      <c r="K1908" t="s">
        <v>1543</v>
      </c>
      <c r="L1908" t="s">
        <v>25</v>
      </c>
      <c r="M1908" s="8">
        <v>0.95199999999999996</v>
      </c>
      <c r="N1908" t="s">
        <v>26</v>
      </c>
      <c r="O1908" s="8">
        <v>0.95199999999999996</v>
      </c>
      <c r="P1908" s="8">
        <f>EXP(-1.363+3.366*LOG(O1908,10))</f>
        <v>0.23813726407794436</v>
      </c>
      <c r="Q1908" s="8">
        <f>(1599772*100)/1881247</f>
        <v>85.037849894245682</v>
      </c>
    </row>
    <row r="1909" spans="1:17" x14ac:dyDescent="0.2">
      <c r="A1909">
        <v>2016</v>
      </c>
      <c r="B1909" t="s">
        <v>2250</v>
      </c>
      <c r="C1909" t="s">
        <v>1624</v>
      </c>
      <c r="D1909" t="s">
        <v>2231</v>
      </c>
      <c r="E1909">
        <v>7</v>
      </c>
      <c r="F1909" t="s">
        <v>2098</v>
      </c>
      <c r="G1909" t="s">
        <v>332</v>
      </c>
      <c r="H1909" t="s">
        <v>330</v>
      </c>
      <c r="I1909" t="s">
        <v>22</v>
      </c>
      <c r="J1909" t="s">
        <v>42</v>
      </c>
      <c r="K1909" t="s">
        <v>1543</v>
      </c>
      <c r="L1909" t="s">
        <v>25</v>
      </c>
      <c r="M1909" s="8">
        <v>1.2170000000000001</v>
      </c>
      <c r="N1909" t="s">
        <v>26</v>
      </c>
      <c r="O1909" s="8">
        <v>1.2170000000000001</v>
      </c>
      <c r="P1909" s="8">
        <f>EXP(-1.363+3.366*LOG(O1909,10))</f>
        <v>0.34098666307598596</v>
      </c>
      <c r="Q1909" s="8">
        <f>(1599772*100)/1881247</f>
        <v>85.037849894245682</v>
      </c>
    </row>
    <row r="1910" spans="1:17" x14ac:dyDescent="0.2">
      <c r="A1910">
        <v>2016</v>
      </c>
      <c r="B1910" t="s">
        <v>2251</v>
      </c>
      <c r="C1910" t="s">
        <v>1624</v>
      </c>
      <c r="D1910" t="s">
        <v>2231</v>
      </c>
      <c r="E1910">
        <v>7</v>
      </c>
      <c r="F1910" t="s">
        <v>2098</v>
      </c>
      <c r="G1910" t="s">
        <v>332</v>
      </c>
      <c r="H1910" t="s">
        <v>330</v>
      </c>
      <c r="I1910" t="s">
        <v>22</v>
      </c>
      <c r="J1910" t="s">
        <v>42</v>
      </c>
      <c r="K1910" t="s">
        <v>1543</v>
      </c>
      <c r="L1910" t="s">
        <v>25</v>
      </c>
      <c r="M1910" s="8">
        <v>1.2170000000000001</v>
      </c>
      <c r="N1910" t="s">
        <v>26</v>
      </c>
      <c r="O1910" s="8">
        <v>1.2170000000000001</v>
      </c>
      <c r="P1910" s="8">
        <f>EXP(-1.363+3.366*LOG(O1910,10))</f>
        <v>0.34098666307598596</v>
      </c>
      <c r="Q1910" s="8">
        <f>(1599772*100)/1881247</f>
        <v>85.037849894245682</v>
      </c>
    </row>
    <row r="1911" spans="1:17" x14ac:dyDescent="0.2">
      <c r="A1911">
        <v>2016</v>
      </c>
      <c r="B1911" t="s">
        <v>2252</v>
      </c>
      <c r="C1911" t="s">
        <v>1624</v>
      </c>
      <c r="D1911" t="s">
        <v>2231</v>
      </c>
      <c r="E1911">
        <v>7</v>
      </c>
      <c r="F1911" t="s">
        <v>2098</v>
      </c>
      <c r="G1911" t="s">
        <v>1472</v>
      </c>
      <c r="H1911" t="s">
        <v>1509</v>
      </c>
      <c r="I1911" t="s">
        <v>36</v>
      </c>
      <c r="J1911" t="s">
        <v>42</v>
      </c>
      <c r="K1911" t="s">
        <v>1543</v>
      </c>
      <c r="L1911" t="s">
        <v>187</v>
      </c>
      <c r="M1911" s="8">
        <v>1.6445000000000001</v>
      </c>
      <c r="N1911" t="s">
        <v>26</v>
      </c>
      <c r="O1911" s="8">
        <v>1.6445000000000001</v>
      </c>
      <c r="P1911" s="8">
        <f>EXP(-1.363+3.366*LOG(O1911,10))</f>
        <v>0.52949584168250452</v>
      </c>
      <c r="Q1911" s="8">
        <f>(1599772*100)/1881247</f>
        <v>85.037849894245682</v>
      </c>
    </row>
    <row r="1912" spans="1:17" x14ac:dyDescent="0.2">
      <c r="A1912">
        <v>2016</v>
      </c>
      <c r="B1912" t="s">
        <v>2253</v>
      </c>
      <c r="C1912" t="s">
        <v>1635</v>
      </c>
      <c r="D1912" t="s">
        <v>2231</v>
      </c>
      <c r="E1912">
        <v>7</v>
      </c>
      <c r="F1912" t="s">
        <v>2098</v>
      </c>
      <c r="G1912" t="s">
        <v>332</v>
      </c>
      <c r="H1912" t="s">
        <v>330</v>
      </c>
      <c r="I1912" t="s">
        <v>36</v>
      </c>
      <c r="J1912" t="s">
        <v>42</v>
      </c>
      <c r="K1912" t="s">
        <v>1543</v>
      </c>
      <c r="L1912" t="s">
        <v>25</v>
      </c>
      <c r="M1912" s="8">
        <v>1.100666667</v>
      </c>
      <c r="N1912" t="s">
        <v>26</v>
      </c>
      <c r="O1912" s="8">
        <v>1.100666667</v>
      </c>
      <c r="P1912" s="8">
        <f>EXP(-1.363+3.366*LOG(O1912,10))</f>
        <v>0.29440864465042604</v>
      </c>
      <c r="Q1912" s="8">
        <f>(3602085*100)/4019599</f>
        <v>89.613043490159086</v>
      </c>
    </row>
    <row r="1913" spans="1:17" x14ac:dyDescent="0.2">
      <c r="A1913">
        <v>2016</v>
      </c>
      <c r="B1913" t="s">
        <v>2254</v>
      </c>
      <c r="C1913" t="s">
        <v>1635</v>
      </c>
      <c r="D1913" t="s">
        <v>2231</v>
      </c>
      <c r="E1913">
        <v>7</v>
      </c>
      <c r="F1913" t="s">
        <v>2098</v>
      </c>
      <c r="G1913" t="s">
        <v>352</v>
      </c>
      <c r="H1913" t="s">
        <v>1142</v>
      </c>
      <c r="I1913" t="s">
        <v>22</v>
      </c>
      <c r="J1913" t="s">
        <v>42</v>
      </c>
      <c r="K1913" t="s">
        <v>1543</v>
      </c>
      <c r="L1913" t="s">
        <v>25</v>
      </c>
      <c r="M1913" s="8">
        <v>1.1423333330000001</v>
      </c>
      <c r="N1913" t="s">
        <v>26</v>
      </c>
      <c r="O1913" s="8">
        <v>1.1423333330000001</v>
      </c>
      <c r="P1913" s="8">
        <f>EXP(-1.363+3.366*LOG(O1913,10))</f>
        <v>0.31084239358261528</v>
      </c>
      <c r="Q1913" s="8">
        <f>(3602085*100)/4019599</f>
        <v>89.613043490159086</v>
      </c>
    </row>
    <row r="1914" spans="1:17" x14ac:dyDescent="0.2">
      <c r="A1914">
        <v>2016</v>
      </c>
      <c r="B1914" t="s">
        <v>2255</v>
      </c>
      <c r="C1914" t="s">
        <v>1635</v>
      </c>
      <c r="D1914" t="s">
        <v>2231</v>
      </c>
      <c r="E1914">
        <v>7</v>
      </c>
      <c r="F1914" t="s">
        <v>2098</v>
      </c>
      <c r="G1914" t="s">
        <v>332</v>
      </c>
      <c r="H1914" t="s">
        <v>330</v>
      </c>
      <c r="I1914" t="s">
        <v>36</v>
      </c>
      <c r="J1914" t="s">
        <v>42</v>
      </c>
      <c r="K1914" t="s">
        <v>1543</v>
      </c>
      <c r="L1914" t="s">
        <v>25</v>
      </c>
      <c r="M1914" s="8">
        <v>1.100666667</v>
      </c>
      <c r="N1914" t="s">
        <v>26</v>
      </c>
      <c r="O1914" s="8">
        <v>1.100666667</v>
      </c>
      <c r="P1914" s="8">
        <f>EXP(-1.363+3.366*LOG(O1914,10))</f>
        <v>0.29440864465042604</v>
      </c>
      <c r="Q1914" s="8">
        <f>(3602085*100)/4019599</f>
        <v>89.613043490159086</v>
      </c>
    </row>
    <row r="1915" spans="1:17" x14ac:dyDescent="0.2">
      <c r="A1915">
        <v>2016</v>
      </c>
      <c r="B1915" t="s">
        <v>2256</v>
      </c>
      <c r="C1915" t="s">
        <v>1635</v>
      </c>
      <c r="D1915" t="s">
        <v>2231</v>
      </c>
      <c r="E1915">
        <v>7</v>
      </c>
      <c r="F1915" t="s">
        <v>2098</v>
      </c>
      <c r="G1915" t="s">
        <v>332</v>
      </c>
      <c r="H1915" t="s">
        <v>330</v>
      </c>
      <c r="I1915" t="s">
        <v>36</v>
      </c>
      <c r="J1915" t="s">
        <v>42</v>
      </c>
      <c r="K1915" t="s">
        <v>1543</v>
      </c>
      <c r="L1915" t="s">
        <v>25</v>
      </c>
      <c r="M1915" s="8">
        <v>1.100666667</v>
      </c>
      <c r="N1915" t="s">
        <v>26</v>
      </c>
      <c r="O1915" s="8">
        <v>1.100666667</v>
      </c>
      <c r="P1915" s="8">
        <f>EXP(-1.363+3.366*LOG(O1915,10))</f>
        <v>0.29440864465042604</v>
      </c>
      <c r="Q1915" s="8">
        <f>(3602085*100)/4019599</f>
        <v>89.613043490159086</v>
      </c>
    </row>
    <row r="1916" spans="1:17" x14ac:dyDescent="0.2">
      <c r="A1916">
        <v>2016</v>
      </c>
      <c r="B1916" t="s">
        <v>2257</v>
      </c>
      <c r="C1916" t="s">
        <v>1690</v>
      </c>
      <c r="D1916" t="s">
        <v>2231</v>
      </c>
      <c r="E1916">
        <v>7</v>
      </c>
      <c r="F1916" t="s">
        <v>2098</v>
      </c>
      <c r="G1916" t="s">
        <v>1520</v>
      </c>
      <c r="H1916" t="s">
        <v>1528</v>
      </c>
      <c r="I1916" t="s">
        <v>22</v>
      </c>
      <c r="J1916" t="s">
        <v>42</v>
      </c>
      <c r="K1916" t="s">
        <v>1543</v>
      </c>
      <c r="L1916" t="s">
        <v>25</v>
      </c>
      <c r="M1916" s="8">
        <v>3.624333333</v>
      </c>
      <c r="N1916" t="s">
        <v>26</v>
      </c>
      <c r="O1916" s="8">
        <v>3.624333333</v>
      </c>
      <c r="P1916" s="8">
        <f>EXP(-1.363+3.366*LOG(O1916,10))</f>
        <v>1.6809546844949765</v>
      </c>
      <c r="Q1916" s="8">
        <f>(2640118*100)/3023471</f>
        <v>87.320764776642477</v>
      </c>
    </row>
    <row r="1917" spans="1:17" x14ac:dyDescent="0.2">
      <c r="A1917">
        <v>2016</v>
      </c>
      <c r="B1917" t="s">
        <v>2258</v>
      </c>
      <c r="C1917" t="s">
        <v>1540</v>
      </c>
      <c r="D1917" t="s">
        <v>2259</v>
      </c>
      <c r="E1917">
        <v>7</v>
      </c>
      <c r="F1917" t="s">
        <v>2098</v>
      </c>
      <c r="G1917" t="s">
        <v>230</v>
      </c>
      <c r="H1917" t="s">
        <v>2260</v>
      </c>
      <c r="I1917" t="s">
        <v>36</v>
      </c>
      <c r="J1917" t="s">
        <v>42</v>
      </c>
      <c r="K1917" t="s">
        <v>1543</v>
      </c>
      <c r="L1917" t="s">
        <v>305</v>
      </c>
      <c r="M1917" s="8">
        <v>3.9023333330000001</v>
      </c>
      <c r="N1917" t="s">
        <v>26</v>
      </c>
      <c r="O1917" s="8">
        <v>3.9023333330000001</v>
      </c>
      <c r="P1917" s="8">
        <f>EXP(-1.363+3.366*LOG(O1917,10))</f>
        <v>1.8727310273101283</v>
      </c>
      <c r="Q1917" s="8">
        <f>(2618262*100)/2995732</f>
        <v>87.399740697766021</v>
      </c>
    </row>
    <row r="1918" spans="1:17" x14ac:dyDescent="0.2">
      <c r="A1918">
        <v>2016</v>
      </c>
      <c r="B1918" t="s">
        <v>2261</v>
      </c>
      <c r="C1918" t="s">
        <v>1635</v>
      </c>
      <c r="D1918" t="s">
        <v>2259</v>
      </c>
      <c r="E1918">
        <v>7</v>
      </c>
      <c r="F1918" t="s">
        <v>2098</v>
      </c>
      <c r="G1918" t="s">
        <v>230</v>
      </c>
      <c r="H1918" t="s">
        <v>1757</v>
      </c>
      <c r="I1918" t="s">
        <v>36</v>
      </c>
      <c r="J1918" t="s">
        <v>42</v>
      </c>
      <c r="K1918" t="s">
        <v>1543</v>
      </c>
      <c r="L1918" t="s">
        <v>25</v>
      </c>
      <c r="M1918" s="8">
        <v>4.7453333329999996</v>
      </c>
      <c r="N1918" t="s">
        <v>26</v>
      </c>
      <c r="O1918" s="8">
        <v>4.7453333329999996</v>
      </c>
      <c r="P1918" s="8">
        <f>EXP(-1.363+3.366*LOG(O1918,10))</f>
        <v>2.4925687243766257</v>
      </c>
      <c r="Q1918" s="8">
        <f>(3602085*100)/4019599</f>
        <v>89.613043490159086</v>
      </c>
    </row>
    <row r="1919" spans="1:17" x14ac:dyDescent="0.2">
      <c r="A1919">
        <v>2016</v>
      </c>
      <c r="B1919" t="s">
        <v>2262</v>
      </c>
      <c r="C1919" t="s">
        <v>1635</v>
      </c>
      <c r="D1919" t="s">
        <v>2259</v>
      </c>
      <c r="E1919">
        <v>7</v>
      </c>
      <c r="F1919" t="s">
        <v>2098</v>
      </c>
      <c r="G1919" t="s">
        <v>2206</v>
      </c>
      <c r="H1919" t="s">
        <v>2263</v>
      </c>
      <c r="I1919" t="s">
        <v>22</v>
      </c>
      <c r="J1919" t="s">
        <v>42</v>
      </c>
      <c r="K1919" t="s">
        <v>1543</v>
      </c>
      <c r="L1919" t="s">
        <v>25</v>
      </c>
      <c r="M1919" s="8">
        <v>3.7376666670000001</v>
      </c>
      <c r="N1919" t="s">
        <v>26</v>
      </c>
      <c r="O1919" s="8">
        <v>3.7376666670000001</v>
      </c>
      <c r="P1919" s="8">
        <f>EXP(-1.363+3.366*LOG(O1919,10))</f>
        <v>1.7583458516827115</v>
      </c>
      <c r="Q1919" s="8">
        <f>(3602085*100)/4019599</f>
        <v>89.613043490159086</v>
      </c>
    </row>
    <row r="1920" spans="1:17" x14ac:dyDescent="0.2">
      <c r="A1920">
        <v>2016</v>
      </c>
      <c r="B1920" t="s">
        <v>2264</v>
      </c>
      <c r="C1920" t="s">
        <v>1624</v>
      </c>
      <c r="D1920" t="s">
        <v>2259</v>
      </c>
      <c r="E1920">
        <v>7</v>
      </c>
      <c r="F1920" t="s">
        <v>2098</v>
      </c>
      <c r="G1920" t="s">
        <v>230</v>
      </c>
      <c r="H1920" t="s">
        <v>2260</v>
      </c>
      <c r="I1920" t="s">
        <v>36</v>
      </c>
      <c r="J1920" t="s">
        <v>42</v>
      </c>
      <c r="K1920" t="s">
        <v>1543</v>
      </c>
      <c r="L1920" t="s">
        <v>305</v>
      </c>
      <c r="M1920" s="8">
        <v>3.9023333330000001</v>
      </c>
      <c r="N1920" t="s">
        <v>26</v>
      </c>
      <c r="O1920" s="8">
        <v>3.9023333330000001</v>
      </c>
      <c r="P1920" s="8">
        <f>EXP(-1.363+3.366*LOG(O1920,10))</f>
        <v>1.8727310273101283</v>
      </c>
      <c r="Q1920" s="8">
        <f>(1599772*100)/1881247</f>
        <v>85.037849894245682</v>
      </c>
    </row>
    <row r="1921" spans="1:17" x14ac:dyDescent="0.2">
      <c r="A1921">
        <v>2016</v>
      </c>
      <c r="B1921" t="s">
        <v>2265</v>
      </c>
      <c r="C1921" t="s">
        <v>1624</v>
      </c>
      <c r="D1921" t="s">
        <v>2259</v>
      </c>
      <c r="E1921">
        <v>7</v>
      </c>
      <c r="F1921" t="s">
        <v>2098</v>
      </c>
      <c r="G1921" t="s">
        <v>230</v>
      </c>
      <c r="H1921" t="s">
        <v>2260</v>
      </c>
      <c r="I1921" t="s">
        <v>36</v>
      </c>
      <c r="J1921" t="s">
        <v>42</v>
      </c>
      <c r="K1921" t="s">
        <v>1543</v>
      </c>
      <c r="L1921" t="s">
        <v>305</v>
      </c>
      <c r="M1921" s="8">
        <v>3.9023333330000001</v>
      </c>
      <c r="N1921" t="s">
        <v>26</v>
      </c>
      <c r="O1921" s="8">
        <v>3.9023333330000001</v>
      </c>
      <c r="P1921" s="8">
        <f>EXP(-1.363+3.366*LOG(O1921,10))</f>
        <v>1.8727310273101283</v>
      </c>
      <c r="Q1921" s="8">
        <f>(1599772*100)/1881247</f>
        <v>85.037849894245682</v>
      </c>
    </row>
    <row r="1922" spans="1:17" x14ac:dyDescent="0.2">
      <c r="A1922">
        <v>2016</v>
      </c>
      <c r="B1922" t="s">
        <v>2266</v>
      </c>
      <c r="C1922" t="s">
        <v>1624</v>
      </c>
      <c r="D1922" t="s">
        <v>2259</v>
      </c>
      <c r="E1922">
        <v>7</v>
      </c>
      <c r="F1922" t="s">
        <v>2098</v>
      </c>
      <c r="G1922" t="s">
        <v>230</v>
      </c>
      <c r="H1922" t="s">
        <v>268</v>
      </c>
      <c r="I1922" t="s">
        <v>22</v>
      </c>
      <c r="J1922" t="s">
        <v>42</v>
      </c>
      <c r="K1922" t="s">
        <v>1543</v>
      </c>
      <c r="L1922" t="s">
        <v>25</v>
      </c>
      <c r="M1922" s="8">
        <v>3.5356666670000001</v>
      </c>
      <c r="N1922" t="s">
        <v>26</v>
      </c>
      <c r="O1922" s="8">
        <v>3.5356666670000001</v>
      </c>
      <c r="P1922" s="8">
        <f>EXP(-1.363+3.366*LOG(O1922,10))</f>
        <v>1.6211802664427075</v>
      </c>
      <c r="Q1922" s="8">
        <f>(1599772*100)/1881247</f>
        <v>85.037849894245682</v>
      </c>
    </row>
    <row r="1923" spans="1:17" x14ac:dyDescent="0.2">
      <c r="A1923">
        <v>2016</v>
      </c>
      <c r="B1923" t="s">
        <v>2267</v>
      </c>
      <c r="C1923" t="s">
        <v>1624</v>
      </c>
      <c r="D1923" t="s">
        <v>2259</v>
      </c>
      <c r="E1923">
        <v>7</v>
      </c>
      <c r="F1923" t="s">
        <v>2098</v>
      </c>
      <c r="G1923" t="s">
        <v>1520</v>
      </c>
      <c r="H1923" t="s">
        <v>2268</v>
      </c>
      <c r="I1923" t="s">
        <v>36</v>
      </c>
      <c r="J1923" t="s">
        <v>42</v>
      </c>
      <c r="K1923" t="s">
        <v>1543</v>
      </c>
      <c r="L1923" t="s">
        <v>25</v>
      </c>
      <c r="M1923" s="8">
        <v>3.8523333329999998</v>
      </c>
      <c r="N1923" t="s">
        <v>26</v>
      </c>
      <c r="O1923" s="8">
        <v>3.8523333329999998</v>
      </c>
      <c r="P1923" s="8">
        <f>EXP(-1.363+3.366*LOG(O1923,10))</f>
        <v>1.837758289200395</v>
      </c>
      <c r="Q1923" s="8">
        <f>(1599772*100)/1881247</f>
        <v>85.037849894245682</v>
      </c>
    </row>
    <row r="1924" spans="1:17" x14ac:dyDescent="0.2">
      <c r="A1924">
        <v>2016</v>
      </c>
      <c r="B1924" t="s">
        <v>2269</v>
      </c>
      <c r="C1924" t="s">
        <v>1624</v>
      </c>
      <c r="D1924" t="s">
        <v>2259</v>
      </c>
      <c r="E1924">
        <v>7</v>
      </c>
      <c r="F1924" t="s">
        <v>2098</v>
      </c>
      <c r="G1924" t="s">
        <v>1520</v>
      </c>
      <c r="H1924" t="s">
        <v>2268</v>
      </c>
      <c r="I1924" t="s">
        <v>22</v>
      </c>
      <c r="J1924" t="s">
        <v>42</v>
      </c>
      <c r="K1924" t="s">
        <v>1543</v>
      </c>
      <c r="L1924" t="s">
        <v>25</v>
      </c>
      <c r="M1924" s="8">
        <v>4.3073333329999999</v>
      </c>
      <c r="N1924" t="s">
        <v>26</v>
      </c>
      <c r="O1924" s="8">
        <v>4.3073333329999999</v>
      </c>
      <c r="P1924" s="8">
        <f>EXP(-1.363+3.366*LOG(O1924,10))</f>
        <v>2.1635399592704152</v>
      </c>
      <c r="Q1924" s="8">
        <f>(1599772*100)/1881247</f>
        <v>85.037849894245682</v>
      </c>
    </row>
    <row r="1925" spans="1:17" x14ac:dyDescent="0.2">
      <c r="A1925">
        <v>2016</v>
      </c>
      <c r="B1925" t="s">
        <v>2270</v>
      </c>
      <c r="C1925" t="s">
        <v>1624</v>
      </c>
      <c r="D1925" t="s">
        <v>2259</v>
      </c>
      <c r="E1925">
        <v>7</v>
      </c>
      <c r="F1925" t="s">
        <v>2098</v>
      </c>
      <c r="G1925" t="s">
        <v>352</v>
      </c>
      <c r="H1925" t="s">
        <v>623</v>
      </c>
      <c r="I1925" t="s">
        <v>22</v>
      </c>
      <c r="J1925" t="s">
        <v>42</v>
      </c>
      <c r="K1925" t="s">
        <v>1543</v>
      </c>
      <c r="L1925" t="s">
        <v>25</v>
      </c>
      <c r="M1925" s="8">
        <v>1.387</v>
      </c>
      <c r="N1925" t="s">
        <v>26</v>
      </c>
      <c r="O1925" s="8">
        <v>1.387</v>
      </c>
      <c r="P1925" s="8">
        <f>EXP(-1.363+3.366*LOG(O1925,10))</f>
        <v>0.41280884754947733</v>
      </c>
      <c r="Q1925" s="8">
        <f>(1599772*100)/1881247</f>
        <v>85.037849894245682</v>
      </c>
    </row>
    <row r="1926" spans="1:17" x14ac:dyDescent="0.2">
      <c r="A1926">
        <v>2016</v>
      </c>
      <c r="B1926" t="s">
        <v>2271</v>
      </c>
      <c r="C1926" t="s">
        <v>1635</v>
      </c>
      <c r="D1926" t="s">
        <v>2259</v>
      </c>
      <c r="E1926">
        <v>7</v>
      </c>
      <c r="F1926" t="s">
        <v>2098</v>
      </c>
      <c r="G1926" t="s">
        <v>230</v>
      </c>
      <c r="H1926" t="s">
        <v>1757</v>
      </c>
      <c r="I1926" t="s">
        <v>36</v>
      </c>
      <c r="J1926" t="s">
        <v>42</v>
      </c>
      <c r="K1926" t="s">
        <v>1543</v>
      </c>
      <c r="L1926" t="s">
        <v>25</v>
      </c>
      <c r="M1926" s="8">
        <v>4.7453333329999996</v>
      </c>
      <c r="N1926" t="s">
        <v>26</v>
      </c>
      <c r="O1926" s="8">
        <v>4.7453333329999996</v>
      </c>
      <c r="P1926" s="8">
        <f>EXP(-1.363+3.366*LOG(O1926,10))</f>
        <v>2.4925687243766257</v>
      </c>
      <c r="Q1926" s="8">
        <f>(3602085*100)/4019599</f>
        <v>89.613043490159086</v>
      </c>
    </row>
    <row r="1927" spans="1:17" x14ac:dyDescent="0.2">
      <c r="A1927">
        <v>2016</v>
      </c>
      <c r="B1927" t="s">
        <v>2272</v>
      </c>
      <c r="C1927" t="s">
        <v>1635</v>
      </c>
      <c r="D1927" t="s">
        <v>2259</v>
      </c>
      <c r="E1927">
        <v>7</v>
      </c>
      <c r="F1927" t="s">
        <v>2098</v>
      </c>
      <c r="G1927" t="s">
        <v>1735</v>
      </c>
      <c r="H1927" t="s">
        <v>2149</v>
      </c>
      <c r="I1927" t="s">
        <v>36</v>
      </c>
      <c r="J1927" t="s">
        <v>42</v>
      </c>
      <c r="K1927" t="s">
        <v>1543</v>
      </c>
      <c r="L1927" t="s">
        <v>25</v>
      </c>
      <c r="M1927" s="8">
        <v>2.8763333329999998</v>
      </c>
      <c r="N1927" t="s">
        <v>26</v>
      </c>
      <c r="O1927" s="8">
        <v>2.8763333329999998</v>
      </c>
      <c r="P1927" s="8">
        <f>EXP(-1.363+3.366*LOG(O1927,10))</f>
        <v>1.1989579386384013</v>
      </c>
      <c r="Q1927" s="8">
        <f>(3602085*100)/4019599</f>
        <v>89.613043490159086</v>
      </c>
    </row>
    <row r="1928" spans="1:17" x14ac:dyDescent="0.2">
      <c r="A1928">
        <v>2016</v>
      </c>
      <c r="B1928" t="s">
        <v>2273</v>
      </c>
      <c r="C1928" t="s">
        <v>1624</v>
      </c>
      <c r="D1928" t="s">
        <v>2259</v>
      </c>
      <c r="E1928">
        <v>7</v>
      </c>
      <c r="F1928" t="s">
        <v>2098</v>
      </c>
      <c r="G1928" t="s">
        <v>230</v>
      </c>
      <c r="H1928" t="s">
        <v>268</v>
      </c>
      <c r="I1928" t="s">
        <v>22</v>
      </c>
      <c r="J1928" t="s">
        <v>42</v>
      </c>
      <c r="K1928" t="s">
        <v>1543</v>
      </c>
      <c r="L1928" t="s">
        <v>25</v>
      </c>
      <c r="M1928" s="8">
        <v>3.5356666670000001</v>
      </c>
      <c r="N1928" t="s">
        <v>26</v>
      </c>
      <c r="O1928" s="8">
        <v>3.5356666670000001</v>
      </c>
      <c r="P1928" s="8">
        <f>EXP(-1.363+3.366*LOG(O1928,10))</f>
        <v>1.6211802664427075</v>
      </c>
      <c r="Q1928" s="8">
        <f>(1599772*100)/1881247</f>
        <v>85.037849894245682</v>
      </c>
    </row>
    <row r="1929" spans="1:17" x14ac:dyDescent="0.2">
      <c r="A1929">
        <v>2016</v>
      </c>
      <c r="B1929" t="s">
        <v>2274</v>
      </c>
      <c r="C1929" t="s">
        <v>1552</v>
      </c>
      <c r="D1929" t="s">
        <v>2259</v>
      </c>
      <c r="E1929">
        <v>7</v>
      </c>
      <c r="F1929" t="s">
        <v>2098</v>
      </c>
      <c r="G1929" t="s">
        <v>332</v>
      </c>
      <c r="H1929" t="s">
        <v>327</v>
      </c>
      <c r="I1929" t="s">
        <v>22</v>
      </c>
      <c r="J1929" t="s">
        <v>42</v>
      </c>
      <c r="K1929" t="s">
        <v>1543</v>
      </c>
      <c r="L1929" t="s">
        <v>25</v>
      </c>
      <c r="M1929" s="8">
        <v>1.239333333</v>
      </c>
      <c r="N1929" t="s">
        <v>26</v>
      </c>
      <c r="O1929" s="8">
        <v>1.239333333</v>
      </c>
      <c r="P1929" s="8">
        <f>EXP(-1.363+3.366*LOG(O1929,10))</f>
        <v>0.35017272283851147</v>
      </c>
      <c r="Q1929" s="8">
        <f>(3738946*100)/3915493</f>
        <v>95.491065875995687</v>
      </c>
    </row>
    <row r="1930" spans="1:17" x14ac:dyDescent="0.2">
      <c r="A1930">
        <v>2016</v>
      </c>
      <c r="B1930" t="s">
        <v>2275</v>
      </c>
      <c r="C1930" t="s">
        <v>1552</v>
      </c>
      <c r="D1930" t="s">
        <v>2259</v>
      </c>
      <c r="E1930">
        <v>7</v>
      </c>
      <c r="F1930" t="s">
        <v>2098</v>
      </c>
      <c r="G1930" t="s">
        <v>1520</v>
      </c>
      <c r="H1930" t="s">
        <v>1925</v>
      </c>
      <c r="I1930" t="s">
        <v>36</v>
      </c>
      <c r="J1930" t="s">
        <v>42</v>
      </c>
      <c r="K1930" t="s">
        <v>1543</v>
      </c>
      <c r="L1930" t="s">
        <v>25</v>
      </c>
      <c r="M1930" s="8">
        <v>2.1076666670000002</v>
      </c>
      <c r="N1930" t="s">
        <v>26</v>
      </c>
      <c r="O1930" s="8">
        <v>2.1076666670000002</v>
      </c>
      <c r="P1930" s="8">
        <f>EXP(-1.363+3.366*LOG(O1930,10))</f>
        <v>0.76102983783378542</v>
      </c>
      <c r="Q1930" s="8">
        <f>(3738946*100)/3915493</f>
        <v>95.491065875995687</v>
      </c>
    </row>
    <row r="1931" spans="1:17" x14ac:dyDescent="0.2">
      <c r="A1931">
        <v>2016</v>
      </c>
      <c r="B1931" t="s">
        <v>2276</v>
      </c>
      <c r="C1931" t="s">
        <v>1552</v>
      </c>
      <c r="D1931" t="s">
        <v>2259</v>
      </c>
      <c r="E1931">
        <v>7</v>
      </c>
      <c r="F1931" t="s">
        <v>2098</v>
      </c>
      <c r="G1931" t="s">
        <v>1520</v>
      </c>
      <c r="H1931" t="s">
        <v>1925</v>
      </c>
      <c r="I1931" t="s">
        <v>36</v>
      </c>
      <c r="J1931" t="s">
        <v>42</v>
      </c>
      <c r="K1931" t="s">
        <v>1543</v>
      </c>
      <c r="L1931" t="s">
        <v>25</v>
      </c>
      <c r="M1931" s="8">
        <v>2.1076666670000002</v>
      </c>
      <c r="N1931" t="s">
        <v>26</v>
      </c>
      <c r="O1931" s="8">
        <v>2.1076666670000002</v>
      </c>
      <c r="P1931" s="8">
        <f>EXP(-1.363+3.366*LOG(O1931,10))</f>
        <v>0.76102983783378542</v>
      </c>
      <c r="Q1931" s="8">
        <f>(3738946*100)/3915493</f>
        <v>95.491065875995687</v>
      </c>
    </row>
    <row r="1932" spans="1:17" x14ac:dyDescent="0.2">
      <c r="A1932">
        <v>2016</v>
      </c>
      <c r="B1932" t="s">
        <v>2277</v>
      </c>
      <c r="C1932" t="s">
        <v>1552</v>
      </c>
      <c r="D1932" t="s">
        <v>2259</v>
      </c>
      <c r="E1932">
        <v>7</v>
      </c>
      <c r="F1932" t="s">
        <v>2098</v>
      </c>
      <c r="G1932" t="s">
        <v>1520</v>
      </c>
      <c r="H1932" t="s">
        <v>1925</v>
      </c>
      <c r="I1932" t="s">
        <v>36</v>
      </c>
      <c r="J1932" t="s">
        <v>42</v>
      </c>
      <c r="K1932" t="s">
        <v>1543</v>
      </c>
      <c r="L1932" t="s">
        <v>25</v>
      </c>
      <c r="M1932" s="8">
        <v>2.1076666670000002</v>
      </c>
      <c r="N1932" t="s">
        <v>26</v>
      </c>
      <c r="O1932" s="8">
        <v>2.1076666670000002</v>
      </c>
      <c r="P1932" s="8">
        <f>EXP(-1.363+3.366*LOG(O1932,10))</f>
        <v>0.76102983783378542</v>
      </c>
      <c r="Q1932" s="8">
        <f>(3738946*100)/3915493</f>
        <v>95.491065875995687</v>
      </c>
    </row>
    <row r="1933" spans="1:17" x14ac:dyDescent="0.2">
      <c r="A1933">
        <v>2016</v>
      </c>
      <c r="B1933" t="s">
        <v>2278</v>
      </c>
      <c r="C1933" t="s">
        <v>1552</v>
      </c>
      <c r="D1933" t="s">
        <v>2259</v>
      </c>
      <c r="E1933">
        <v>7</v>
      </c>
      <c r="F1933" t="s">
        <v>2098</v>
      </c>
      <c r="G1933" t="s">
        <v>352</v>
      </c>
      <c r="H1933" t="s">
        <v>975</v>
      </c>
      <c r="I1933" t="s">
        <v>36</v>
      </c>
      <c r="J1933" t="s">
        <v>42</v>
      </c>
      <c r="K1933" t="s">
        <v>1543</v>
      </c>
      <c r="L1933" t="s">
        <v>25</v>
      </c>
      <c r="M1933" s="8">
        <v>0.95199999999999996</v>
      </c>
      <c r="N1933" t="s">
        <v>26</v>
      </c>
      <c r="O1933" s="8">
        <v>0.95199999999999996</v>
      </c>
      <c r="P1933" s="8">
        <f>EXP(-1.363+3.366*LOG(O1933,10))</f>
        <v>0.23813726407794436</v>
      </c>
      <c r="Q1933" s="8">
        <f>(3738946*100)/3915493</f>
        <v>95.491065875995687</v>
      </c>
    </row>
    <row r="1934" spans="1:17" x14ac:dyDescent="0.2">
      <c r="A1934">
        <v>2016</v>
      </c>
      <c r="B1934" t="s">
        <v>2279</v>
      </c>
      <c r="C1934" t="s">
        <v>1624</v>
      </c>
      <c r="D1934" t="s">
        <v>2259</v>
      </c>
      <c r="E1934">
        <v>7</v>
      </c>
      <c r="F1934" t="s">
        <v>2098</v>
      </c>
      <c r="G1934" t="s">
        <v>1520</v>
      </c>
      <c r="H1934" t="s">
        <v>2268</v>
      </c>
      <c r="I1934" t="s">
        <v>36</v>
      </c>
      <c r="J1934" t="s">
        <v>42</v>
      </c>
      <c r="K1934" t="s">
        <v>1543</v>
      </c>
      <c r="L1934" t="s">
        <v>25</v>
      </c>
      <c r="M1934" s="8">
        <v>3.8523333329999998</v>
      </c>
      <c r="N1934" t="s">
        <v>26</v>
      </c>
      <c r="O1934" s="8">
        <v>3.8523333329999998</v>
      </c>
      <c r="P1934" s="8">
        <f>EXP(-1.363+3.366*LOG(O1934,10))</f>
        <v>1.837758289200395</v>
      </c>
      <c r="Q1934" s="8">
        <f>(1599772*100)/1881247</f>
        <v>85.037849894245682</v>
      </c>
    </row>
    <row r="1935" spans="1:17" x14ac:dyDescent="0.2">
      <c r="A1935">
        <v>2016</v>
      </c>
      <c r="B1935" t="s">
        <v>2280</v>
      </c>
      <c r="C1935" t="s">
        <v>1624</v>
      </c>
      <c r="D1935" t="s">
        <v>2259</v>
      </c>
      <c r="E1935">
        <v>7</v>
      </c>
      <c r="F1935" t="s">
        <v>2098</v>
      </c>
      <c r="G1935" t="s">
        <v>230</v>
      </c>
      <c r="H1935" t="s">
        <v>255</v>
      </c>
      <c r="I1935" t="s">
        <v>36</v>
      </c>
      <c r="J1935" t="s">
        <v>42</v>
      </c>
      <c r="K1935" t="s">
        <v>1543</v>
      </c>
      <c r="L1935" t="s">
        <v>25</v>
      </c>
      <c r="M1935" s="8">
        <v>4.1180000000000003</v>
      </c>
      <c r="N1935" t="s">
        <v>26</v>
      </c>
      <c r="O1935" s="8">
        <v>4.1180000000000003</v>
      </c>
      <c r="P1935" s="8">
        <f>EXP(-1.363+3.366*LOG(O1935,10))</f>
        <v>2.0259408868315871</v>
      </c>
      <c r="Q1935" s="8">
        <f>(1599772*100)/1881247</f>
        <v>85.037849894245682</v>
      </c>
    </row>
    <row r="1936" spans="1:17" x14ac:dyDescent="0.2">
      <c r="A1936">
        <v>2016</v>
      </c>
      <c r="B1936" t="s">
        <v>2281</v>
      </c>
      <c r="C1936" t="s">
        <v>1610</v>
      </c>
      <c r="D1936" t="s">
        <v>2259</v>
      </c>
      <c r="E1936">
        <v>7</v>
      </c>
      <c r="F1936" t="s">
        <v>2098</v>
      </c>
      <c r="G1936" t="s">
        <v>352</v>
      </c>
      <c r="H1936" t="s">
        <v>1142</v>
      </c>
      <c r="I1936" t="s">
        <v>22</v>
      </c>
      <c r="J1936" t="s">
        <v>42</v>
      </c>
      <c r="K1936" t="s">
        <v>1543</v>
      </c>
      <c r="L1936" t="s">
        <v>25</v>
      </c>
      <c r="M1936" s="8">
        <v>1.1423333330000001</v>
      </c>
      <c r="N1936" t="s">
        <v>26</v>
      </c>
      <c r="O1936" s="8">
        <v>1.1423333330000001</v>
      </c>
      <c r="P1936" s="8">
        <f>EXP(-1.363+3.366*LOG(O1936,10))</f>
        <v>0.31084239358261528</v>
      </c>
      <c r="Q1936" s="8">
        <f>(2475923*100)/2844344</f>
        <v>87.047241824476927</v>
      </c>
    </row>
    <row r="1937" spans="1:17" x14ac:dyDescent="0.2">
      <c r="A1937">
        <v>2018</v>
      </c>
      <c r="B1937" t="s">
        <v>2588</v>
      </c>
      <c r="C1937" t="s">
        <v>1635</v>
      </c>
      <c r="D1937" t="s">
        <v>2589</v>
      </c>
      <c r="E1937">
        <v>3</v>
      </c>
      <c r="F1937" t="s">
        <v>2284</v>
      </c>
      <c r="G1937" t="s">
        <v>20</v>
      </c>
      <c r="H1937" t="s">
        <v>1575</v>
      </c>
      <c r="I1937" t="s">
        <v>22</v>
      </c>
      <c r="J1937" t="s">
        <v>42</v>
      </c>
      <c r="K1937" t="s">
        <v>2285</v>
      </c>
      <c r="L1937" t="s">
        <v>26</v>
      </c>
      <c r="M1937" s="8" t="s">
        <v>26</v>
      </c>
      <c r="N1937" t="s">
        <v>26</v>
      </c>
      <c r="O1937" s="8" t="s">
        <v>26</v>
      </c>
      <c r="P1937" s="8" t="s">
        <v>26</v>
      </c>
      <c r="Q1937" s="8">
        <f>(3602085*100)/4019599</f>
        <v>89.613043490159086</v>
      </c>
    </row>
    <row r="1938" spans="1:17" x14ac:dyDescent="0.2">
      <c r="A1938">
        <v>2011</v>
      </c>
      <c r="B1938" t="s">
        <v>2997</v>
      </c>
      <c r="C1938" t="s">
        <v>94</v>
      </c>
      <c r="D1938" t="s">
        <v>321</v>
      </c>
      <c r="E1938">
        <v>4</v>
      </c>
      <c r="F1938" t="s">
        <v>19</v>
      </c>
      <c r="G1938" t="s">
        <v>352</v>
      </c>
      <c r="H1938" t="s">
        <v>2998</v>
      </c>
      <c r="I1938" t="s">
        <v>22</v>
      </c>
      <c r="J1938" t="s">
        <v>66</v>
      </c>
      <c r="K1938" t="s">
        <v>24</v>
      </c>
      <c r="L1938" t="s">
        <v>26</v>
      </c>
      <c r="M1938" s="8" t="s">
        <v>26</v>
      </c>
      <c r="N1938" t="s">
        <v>26</v>
      </c>
      <c r="O1938" s="8" t="s">
        <v>26</v>
      </c>
      <c r="P1938" s="8" t="s">
        <v>26</v>
      </c>
      <c r="Q1938" s="8">
        <f>(46623.23*100)/15165196</f>
        <v>0.30743572321782059</v>
      </c>
    </row>
    <row r="1939" spans="1:17" x14ac:dyDescent="0.2">
      <c r="A1939">
        <v>2011</v>
      </c>
      <c r="B1939" t="s">
        <v>2999</v>
      </c>
      <c r="C1939" t="s">
        <v>94</v>
      </c>
      <c r="D1939" t="s">
        <v>321</v>
      </c>
      <c r="E1939">
        <v>4</v>
      </c>
      <c r="F1939" t="s">
        <v>19</v>
      </c>
      <c r="G1939" t="s">
        <v>352</v>
      </c>
      <c r="H1939" t="s">
        <v>2998</v>
      </c>
      <c r="I1939" t="s">
        <v>22</v>
      </c>
      <c r="J1939" t="s">
        <v>66</v>
      </c>
      <c r="K1939" t="s">
        <v>24</v>
      </c>
      <c r="L1939" t="s">
        <v>26</v>
      </c>
      <c r="M1939" s="8" t="s">
        <v>26</v>
      </c>
      <c r="N1939" t="s">
        <v>26</v>
      </c>
      <c r="O1939" s="8" t="s">
        <v>26</v>
      </c>
      <c r="P1939" s="8" t="s">
        <v>26</v>
      </c>
      <c r="Q1939" s="8">
        <f>(46623.23*100)/15165196</f>
        <v>0.30743572321782059</v>
      </c>
    </row>
    <row r="1940" spans="1:17" x14ac:dyDescent="0.2">
      <c r="A1940">
        <v>2011</v>
      </c>
      <c r="B1940" t="s">
        <v>3000</v>
      </c>
      <c r="C1940" t="s">
        <v>120</v>
      </c>
      <c r="D1940" t="s">
        <v>108</v>
      </c>
      <c r="E1940">
        <v>4</v>
      </c>
      <c r="F1940" t="s">
        <v>19</v>
      </c>
      <c r="G1940" t="s">
        <v>352</v>
      </c>
      <c r="H1940" t="s">
        <v>2998</v>
      </c>
      <c r="I1940" t="s">
        <v>22</v>
      </c>
      <c r="J1940" t="s">
        <v>23</v>
      </c>
      <c r="K1940" t="s">
        <v>24</v>
      </c>
      <c r="L1940" t="s">
        <v>26</v>
      </c>
      <c r="M1940" s="8" t="s">
        <v>26</v>
      </c>
      <c r="N1940" t="s">
        <v>26</v>
      </c>
      <c r="O1940" s="8" t="s">
        <v>26</v>
      </c>
      <c r="P1940" s="8" t="s">
        <v>26</v>
      </c>
      <c r="Q1940" s="8">
        <f>(2256192*100)/6055896</f>
        <v>37.256121967748456</v>
      </c>
    </row>
    <row r="1941" spans="1:17" x14ac:dyDescent="0.2">
      <c r="A1941">
        <v>2011</v>
      </c>
      <c r="B1941" t="s">
        <v>3001</v>
      </c>
      <c r="C1941" t="s">
        <v>30</v>
      </c>
      <c r="D1941" t="s">
        <v>18</v>
      </c>
      <c r="E1941">
        <v>5</v>
      </c>
      <c r="F1941" t="s">
        <v>19</v>
      </c>
      <c r="G1941" t="s">
        <v>352</v>
      </c>
      <c r="H1941" t="s">
        <v>2998</v>
      </c>
      <c r="I1941" t="s">
        <v>22</v>
      </c>
      <c r="J1941" t="s">
        <v>31</v>
      </c>
      <c r="K1941" t="s">
        <v>24</v>
      </c>
      <c r="L1941" t="s">
        <v>26</v>
      </c>
      <c r="M1941" s="8" t="s">
        <v>26</v>
      </c>
      <c r="N1941" t="s">
        <v>26</v>
      </c>
      <c r="O1941" s="8" t="s">
        <v>26</v>
      </c>
      <c r="P1941" s="8" t="s">
        <v>26</v>
      </c>
      <c r="Q1941" s="8">
        <f>(34897.31*100)/4728180</f>
        <v>0.73807067412831151</v>
      </c>
    </row>
    <row r="1942" spans="1:17" x14ac:dyDescent="0.2">
      <c r="A1942">
        <v>2011</v>
      </c>
      <c r="B1942" t="s">
        <v>3002</v>
      </c>
      <c r="C1942" t="s">
        <v>52</v>
      </c>
      <c r="D1942" t="s">
        <v>76</v>
      </c>
      <c r="E1942">
        <v>5</v>
      </c>
      <c r="F1942" t="s">
        <v>19</v>
      </c>
      <c r="G1942" t="s">
        <v>352</v>
      </c>
      <c r="H1942" t="s">
        <v>2998</v>
      </c>
      <c r="I1942" t="s">
        <v>22</v>
      </c>
      <c r="J1942" t="s">
        <v>42</v>
      </c>
      <c r="K1942" t="s">
        <v>24</v>
      </c>
      <c r="L1942" t="s">
        <v>26</v>
      </c>
      <c r="M1942" s="8" t="s">
        <v>26</v>
      </c>
      <c r="N1942" t="s">
        <v>26</v>
      </c>
      <c r="O1942" s="8" t="s">
        <v>26</v>
      </c>
      <c r="P1942" s="8" t="s">
        <v>26</v>
      </c>
      <c r="Q1942" s="8">
        <f>(1626350*100)/1973941</f>
        <v>82.391013713175823</v>
      </c>
    </row>
    <row r="1943" spans="1:17" s="6" customFormat="1" x14ac:dyDescent="0.2">
      <c r="A1943">
        <v>2011</v>
      </c>
      <c r="B1943" t="s">
        <v>3003</v>
      </c>
      <c r="C1943" t="s">
        <v>52</v>
      </c>
      <c r="D1943" t="s">
        <v>76</v>
      </c>
      <c r="E1943">
        <v>5</v>
      </c>
      <c r="F1943" t="s">
        <v>19</v>
      </c>
      <c r="G1943" t="s">
        <v>352</v>
      </c>
      <c r="H1943" t="s">
        <v>2998</v>
      </c>
      <c r="I1943" t="s">
        <v>22</v>
      </c>
      <c r="J1943" t="s">
        <v>42</v>
      </c>
      <c r="K1943" t="s">
        <v>24</v>
      </c>
      <c r="L1943" t="s">
        <v>26</v>
      </c>
      <c r="M1943" s="8" t="s">
        <v>26</v>
      </c>
      <c r="N1943" t="s">
        <v>26</v>
      </c>
      <c r="O1943" s="8" t="s">
        <v>26</v>
      </c>
      <c r="P1943" s="8" t="s">
        <v>26</v>
      </c>
      <c r="Q1943" s="8">
        <f>(1626350*100)/1973941</f>
        <v>82.391013713175823</v>
      </c>
    </row>
    <row r="1944" spans="1:17" x14ac:dyDescent="0.2">
      <c r="A1944">
        <v>2011</v>
      </c>
      <c r="B1944" t="s">
        <v>3004</v>
      </c>
      <c r="C1944" t="s">
        <v>89</v>
      </c>
      <c r="D1944" t="s">
        <v>53</v>
      </c>
      <c r="E1944">
        <v>6</v>
      </c>
      <c r="F1944" t="s">
        <v>19</v>
      </c>
      <c r="G1944" t="s">
        <v>352</v>
      </c>
      <c r="H1944" t="s">
        <v>2998</v>
      </c>
      <c r="I1944" t="s">
        <v>22</v>
      </c>
      <c r="J1944" t="s">
        <v>66</v>
      </c>
      <c r="K1944" t="s">
        <v>24</v>
      </c>
      <c r="L1944" t="s">
        <v>26</v>
      </c>
      <c r="M1944" s="8" t="s">
        <v>26</v>
      </c>
      <c r="N1944" t="s">
        <v>26</v>
      </c>
      <c r="O1944" s="8" t="s">
        <v>26</v>
      </c>
      <c r="P1944" s="8" t="s">
        <v>26</v>
      </c>
      <c r="Q1944" s="8">
        <f>(61997.93*100)/7298102</f>
        <v>0.84950758430068529</v>
      </c>
    </row>
    <row r="1945" spans="1:17" x14ac:dyDescent="0.2">
      <c r="A1945">
        <v>2011</v>
      </c>
      <c r="B1945" t="s">
        <v>3005</v>
      </c>
      <c r="C1945" t="s">
        <v>57</v>
      </c>
      <c r="D1945" t="s">
        <v>71</v>
      </c>
      <c r="E1945">
        <v>7</v>
      </c>
      <c r="F1945" t="s">
        <v>19</v>
      </c>
      <c r="G1945" t="s">
        <v>352</v>
      </c>
      <c r="H1945" t="s">
        <v>2998</v>
      </c>
      <c r="I1945" t="s">
        <v>22</v>
      </c>
      <c r="J1945" t="s">
        <v>104</v>
      </c>
      <c r="K1945" t="s">
        <v>24</v>
      </c>
      <c r="L1945" t="s">
        <v>26</v>
      </c>
      <c r="M1945" s="8" t="s">
        <v>26</v>
      </c>
      <c r="N1945" t="s">
        <v>26</v>
      </c>
      <c r="O1945" s="8" t="s">
        <v>26</v>
      </c>
      <c r="P1945" s="8" t="s">
        <v>26</v>
      </c>
      <c r="Q1945" s="8">
        <f>(321151.3*100)/5927002</f>
        <v>5.4184442657518925</v>
      </c>
    </row>
    <row r="1946" spans="1:17" x14ac:dyDescent="0.2">
      <c r="A1946">
        <v>2011</v>
      </c>
      <c r="B1946" t="s">
        <v>3006</v>
      </c>
      <c r="C1946" t="s">
        <v>57</v>
      </c>
      <c r="D1946" t="s">
        <v>71</v>
      </c>
      <c r="E1946">
        <v>7</v>
      </c>
      <c r="F1946" t="s">
        <v>19</v>
      </c>
      <c r="G1946" t="s">
        <v>352</v>
      </c>
      <c r="H1946" t="s">
        <v>2998</v>
      </c>
      <c r="I1946" t="s">
        <v>22</v>
      </c>
      <c r="J1946" t="s">
        <v>104</v>
      </c>
      <c r="K1946" t="s">
        <v>24</v>
      </c>
      <c r="L1946" t="s">
        <v>26</v>
      </c>
      <c r="M1946" s="8" t="s">
        <v>26</v>
      </c>
      <c r="N1946" t="s">
        <v>26</v>
      </c>
      <c r="O1946" s="8" t="s">
        <v>26</v>
      </c>
      <c r="P1946" s="8" t="s">
        <v>26</v>
      </c>
      <c r="Q1946" s="8">
        <f>(321151.3*100)/5927002</f>
        <v>5.4184442657518925</v>
      </c>
    </row>
    <row r="1947" spans="1:17" x14ac:dyDescent="0.2">
      <c r="A1947">
        <v>2011</v>
      </c>
      <c r="B1947" t="s">
        <v>3007</v>
      </c>
      <c r="C1947" t="s">
        <v>57</v>
      </c>
      <c r="D1947" t="s">
        <v>71</v>
      </c>
      <c r="E1947">
        <v>7</v>
      </c>
      <c r="F1947" t="s">
        <v>19</v>
      </c>
      <c r="G1947" t="s">
        <v>352</v>
      </c>
      <c r="H1947" t="s">
        <v>2998</v>
      </c>
      <c r="I1947" t="s">
        <v>22</v>
      </c>
      <c r="J1947" t="s">
        <v>31</v>
      </c>
      <c r="K1947" t="s">
        <v>24</v>
      </c>
      <c r="L1947" t="s">
        <v>26</v>
      </c>
      <c r="M1947" s="8" t="s">
        <v>26</v>
      </c>
      <c r="N1947" t="s">
        <v>26</v>
      </c>
      <c r="O1947" s="8" t="s">
        <v>26</v>
      </c>
      <c r="P1947" s="8" t="s">
        <v>26</v>
      </c>
      <c r="Q1947" s="8">
        <f>(321151.3*100)/5927002</f>
        <v>5.4184442657518925</v>
      </c>
    </row>
    <row r="1948" spans="1:17" x14ac:dyDescent="0.2">
      <c r="A1948">
        <v>2011</v>
      </c>
      <c r="B1948" t="s">
        <v>3008</v>
      </c>
      <c r="C1948" t="s">
        <v>57</v>
      </c>
      <c r="D1948" t="s">
        <v>71</v>
      </c>
      <c r="E1948">
        <v>7</v>
      </c>
      <c r="F1948" t="s">
        <v>19</v>
      </c>
      <c r="G1948" t="s">
        <v>352</v>
      </c>
      <c r="H1948" t="s">
        <v>2998</v>
      </c>
      <c r="I1948" t="s">
        <v>22</v>
      </c>
      <c r="J1948" t="s">
        <v>31</v>
      </c>
      <c r="K1948" t="s">
        <v>24</v>
      </c>
      <c r="L1948" t="s">
        <v>26</v>
      </c>
      <c r="M1948" s="8" t="s">
        <v>26</v>
      </c>
      <c r="N1948" t="s">
        <v>26</v>
      </c>
      <c r="O1948" s="8" t="s">
        <v>26</v>
      </c>
      <c r="P1948" s="8" t="s">
        <v>26</v>
      </c>
      <c r="Q1948" s="8">
        <f>(321151.3*100)/5927002</f>
        <v>5.4184442657518925</v>
      </c>
    </row>
    <row r="1949" spans="1:17" x14ac:dyDescent="0.2">
      <c r="A1949">
        <v>2011</v>
      </c>
      <c r="B1949" t="s">
        <v>3009</v>
      </c>
      <c r="C1949" t="s">
        <v>65</v>
      </c>
      <c r="D1949" t="s">
        <v>71</v>
      </c>
      <c r="E1949">
        <v>7</v>
      </c>
      <c r="F1949" t="s">
        <v>19</v>
      </c>
      <c r="G1949" t="s">
        <v>352</v>
      </c>
      <c r="H1949" t="s">
        <v>2998</v>
      </c>
      <c r="I1949" t="s">
        <v>22</v>
      </c>
      <c r="J1949" t="s">
        <v>66</v>
      </c>
      <c r="K1949" t="s">
        <v>24</v>
      </c>
      <c r="L1949" t="s">
        <v>26</v>
      </c>
      <c r="M1949" s="8" t="s">
        <v>26</v>
      </c>
      <c r="N1949" t="s">
        <v>26</v>
      </c>
      <c r="O1949" s="8" t="s">
        <v>26</v>
      </c>
      <c r="P1949" s="8" t="s">
        <v>26</v>
      </c>
      <c r="Q1949" s="8">
        <f>(1788886*100)/6788946</f>
        <v>26.349981278389901</v>
      </c>
    </row>
    <row r="1950" spans="1:17" x14ac:dyDescent="0.2">
      <c r="A1950">
        <v>2011</v>
      </c>
      <c r="B1950" t="s">
        <v>3010</v>
      </c>
      <c r="C1950" t="s">
        <v>65</v>
      </c>
      <c r="D1950" t="s">
        <v>71</v>
      </c>
      <c r="E1950">
        <v>7</v>
      </c>
      <c r="F1950" t="s">
        <v>19</v>
      </c>
      <c r="G1950" t="s">
        <v>352</v>
      </c>
      <c r="H1950" t="s">
        <v>2998</v>
      </c>
      <c r="I1950" t="s">
        <v>22</v>
      </c>
      <c r="J1950" t="s">
        <v>66</v>
      </c>
      <c r="K1950" t="s">
        <v>24</v>
      </c>
      <c r="L1950" t="s">
        <v>26</v>
      </c>
      <c r="M1950" s="8" t="s">
        <v>26</v>
      </c>
      <c r="N1950" t="s">
        <v>26</v>
      </c>
      <c r="O1950" s="8" t="s">
        <v>26</v>
      </c>
      <c r="P1950" s="8" t="s">
        <v>26</v>
      </c>
      <c r="Q1950" s="8">
        <f>(1788886*100)/6788946</f>
        <v>26.349981278389901</v>
      </c>
    </row>
    <row r="1951" spans="1:17" x14ac:dyDescent="0.2">
      <c r="A1951">
        <v>2011</v>
      </c>
      <c r="B1951" t="s">
        <v>3011</v>
      </c>
      <c r="C1951" t="s">
        <v>57</v>
      </c>
      <c r="D1951" t="s">
        <v>71</v>
      </c>
      <c r="E1951">
        <v>7</v>
      </c>
      <c r="F1951" t="s">
        <v>19</v>
      </c>
      <c r="G1951" t="s">
        <v>352</v>
      </c>
      <c r="H1951" t="s">
        <v>2998</v>
      </c>
      <c r="I1951" t="s">
        <v>22</v>
      </c>
      <c r="J1951" t="s">
        <v>31</v>
      </c>
      <c r="K1951" t="s">
        <v>24</v>
      </c>
      <c r="L1951" t="s">
        <v>26</v>
      </c>
      <c r="M1951" s="8" t="s">
        <v>26</v>
      </c>
      <c r="N1951" t="s">
        <v>26</v>
      </c>
      <c r="O1951" s="8" t="s">
        <v>26</v>
      </c>
      <c r="P1951" s="8" t="s">
        <v>26</v>
      </c>
      <c r="Q1951" s="8">
        <f>(321151.3*100)/5927002</f>
        <v>5.4184442657518925</v>
      </c>
    </row>
    <row r="1952" spans="1:17" x14ac:dyDescent="0.2">
      <c r="A1952">
        <v>2011</v>
      </c>
      <c r="B1952" t="s">
        <v>3012</v>
      </c>
      <c r="C1952" t="s">
        <v>57</v>
      </c>
      <c r="D1952" t="s">
        <v>71</v>
      </c>
      <c r="E1952">
        <v>7</v>
      </c>
      <c r="F1952" t="s">
        <v>19</v>
      </c>
      <c r="G1952" t="s">
        <v>352</v>
      </c>
      <c r="H1952" t="s">
        <v>2998</v>
      </c>
      <c r="I1952" t="s">
        <v>22</v>
      </c>
      <c r="J1952" t="s">
        <v>31</v>
      </c>
      <c r="K1952" t="s">
        <v>24</v>
      </c>
      <c r="L1952" t="s">
        <v>26</v>
      </c>
      <c r="M1952" s="8" t="s">
        <v>26</v>
      </c>
      <c r="N1952" t="s">
        <v>26</v>
      </c>
      <c r="O1952" s="8" t="s">
        <v>26</v>
      </c>
      <c r="P1952" s="8" t="s">
        <v>26</v>
      </c>
      <c r="Q1952" s="8">
        <f>(321151.3*100)/5927002</f>
        <v>5.4184442657518925</v>
      </c>
    </row>
    <row r="1953" spans="1:17" x14ac:dyDescent="0.2">
      <c r="A1953">
        <v>2011</v>
      </c>
      <c r="B1953" t="s">
        <v>3013</v>
      </c>
      <c r="C1953" t="s">
        <v>30</v>
      </c>
      <c r="D1953" t="s">
        <v>63</v>
      </c>
      <c r="E1953">
        <v>6</v>
      </c>
      <c r="F1953" t="s">
        <v>19</v>
      </c>
      <c r="G1953" t="s">
        <v>352</v>
      </c>
      <c r="H1953" t="s">
        <v>2998</v>
      </c>
      <c r="I1953" t="s">
        <v>22</v>
      </c>
      <c r="J1953" t="s">
        <v>31</v>
      </c>
      <c r="K1953" t="s">
        <v>24</v>
      </c>
      <c r="L1953" t="s">
        <v>26</v>
      </c>
      <c r="M1953" s="8" t="s">
        <v>26</v>
      </c>
      <c r="N1953" t="s">
        <v>26</v>
      </c>
      <c r="O1953" s="8" t="s">
        <v>26</v>
      </c>
      <c r="P1953" s="8" t="s">
        <v>26</v>
      </c>
      <c r="Q1953" s="8">
        <f>(34897.31*100)/4728180</f>
        <v>0.73807067412831151</v>
      </c>
    </row>
    <row r="1954" spans="1:17" x14ac:dyDescent="0.2">
      <c r="A1954">
        <v>2011</v>
      </c>
      <c r="B1954" t="s">
        <v>3014</v>
      </c>
      <c r="C1954" t="s">
        <v>94</v>
      </c>
      <c r="D1954" t="s">
        <v>18</v>
      </c>
      <c r="E1954">
        <v>5</v>
      </c>
      <c r="F1954" t="s">
        <v>19</v>
      </c>
      <c r="G1954" t="s">
        <v>352</v>
      </c>
      <c r="H1954" t="s">
        <v>2998</v>
      </c>
      <c r="I1954" t="s">
        <v>36</v>
      </c>
      <c r="J1954" t="s">
        <v>66</v>
      </c>
      <c r="K1954" t="s">
        <v>24</v>
      </c>
      <c r="L1954" t="s">
        <v>26</v>
      </c>
      <c r="M1954" s="8" t="s">
        <v>26</v>
      </c>
      <c r="N1954" t="s">
        <v>26</v>
      </c>
      <c r="O1954" s="8" t="s">
        <v>26</v>
      </c>
      <c r="P1954" s="8" t="s">
        <v>26</v>
      </c>
      <c r="Q1954" s="8">
        <f>(46623.23*100)/15165196</f>
        <v>0.30743572321782059</v>
      </c>
    </row>
    <row r="1955" spans="1:17" x14ac:dyDescent="0.2">
      <c r="A1955">
        <v>2011</v>
      </c>
      <c r="B1955" t="s">
        <v>3015</v>
      </c>
      <c r="C1955" t="s">
        <v>52</v>
      </c>
      <c r="D1955" t="s">
        <v>76</v>
      </c>
      <c r="E1955">
        <v>5</v>
      </c>
      <c r="F1955" t="s">
        <v>19</v>
      </c>
      <c r="G1955" t="s">
        <v>352</v>
      </c>
      <c r="H1955" t="s">
        <v>2998</v>
      </c>
      <c r="I1955" t="s">
        <v>36</v>
      </c>
      <c r="J1955" t="s">
        <v>42</v>
      </c>
      <c r="K1955" t="s">
        <v>24</v>
      </c>
      <c r="L1955" t="s">
        <v>26</v>
      </c>
      <c r="M1955" s="8" t="s">
        <v>26</v>
      </c>
      <c r="N1955" t="s">
        <v>26</v>
      </c>
      <c r="O1955" s="8" t="s">
        <v>26</v>
      </c>
      <c r="P1955" s="8" t="s">
        <v>26</v>
      </c>
      <c r="Q1955" s="8">
        <f>(1626350*100)/1973941</f>
        <v>82.391013713175823</v>
      </c>
    </row>
    <row r="1956" spans="1:17" x14ac:dyDescent="0.2">
      <c r="A1956">
        <f>YEAR(D1956)</f>
        <v>2019</v>
      </c>
      <c r="B1956" t="s">
        <v>26</v>
      </c>
      <c r="C1956" s="2" t="s">
        <v>3018</v>
      </c>
      <c r="D1956" s="1">
        <v>43529</v>
      </c>
      <c r="E1956">
        <f>MONTH(D1956)</f>
        <v>3</v>
      </c>
      <c r="F1956" s="2" t="s">
        <v>19</v>
      </c>
      <c r="G1956" t="s">
        <v>20</v>
      </c>
      <c r="H1956" t="s">
        <v>149</v>
      </c>
      <c r="I1956" t="s">
        <v>22</v>
      </c>
      <c r="J1956" s="2" t="s">
        <v>42</v>
      </c>
      <c r="K1956" s="2" t="s">
        <v>3019</v>
      </c>
      <c r="L1956" t="s">
        <v>25</v>
      </c>
      <c r="M1956" s="8">
        <v>1.45</v>
      </c>
      <c r="N1956" t="s">
        <v>26</v>
      </c>
      <c r="O1956" s="8">
        <v>1.45</v>
      </c>
      <c r="P1956" s="8">
        <f>EXP(-1.363+3.366*LOG(O1956,10))</f>
        <v>0.44050419760124854</v>
      </c>
      <c r="Q1956" s="8">
        <f>(5996898*100)/6073515</f>
        <v>98.738506449724753</v>
      </c>
    </row>
    <row r="1957" spans="1:17" x14ac:dyDescent="0.2">
      <c r="A1957">
        <f>YEAR(D1957)</f>
        <v>2019</v>
      </c>
      <c r="B1957" t="s">
        <v>26</v>
      </c>
      <c r="C1957" s="2" t="s">
        <v>3018</v>
      </c>
      <c r="D1957" s="1">
        <v>43529</v>
      </c>
      <c r="E1957">
        <f>MONTH(D1957)</f>
        <v>3</v>
      </c>
      <c r="F1957" s="2" t="s">
        <v>19</v>
      </c>
      <c r="G1957" t="s">
        <v>1532</v>
      </c>
      <c r="H1957" t="s">
        <v>1944</v>
      </c>
      <c r="I1957" t="s">
        <v>36</v>
      </c>
      <c r="J1957" s="2" t="s">
        <v>42</v>
      </c>
      <c r="K1957" s="2" t="s">
        <v>3019</v>
      </c>
      <c r="L1957" t="s">
        <v>25</v>
      </c>
      <c r="M1957" s="8">
        <v>3.3290000000000002</v>
      </c>
      <c r="N1957" t="s">
        <v>26</v>
      </c>
      <c r="O1957" s="8">
        <v>3.3290000000000002</v>
      </c>
      <c r="P1957" s="8">
        <f>EXP(-1.363+3.366*LOG(O1957,10))</f>
        <v>1.484544861192558</v>
      </c>
      <c r="Q1957" s="8">
        <f>(5996898*100)/6073515</f>
        <v>98.738506449724753</v>
      </c>
    </row>
    <row r="1958" spans="1:17" x14ac:dyDescent="0.2">
      <c r="A1958">
        <f>YEAR(D1958)</f>
        <v>2019</v>
      </c>
      <c r="B1958" t="s">
        <v>26</v>
      </c>
      <c r="C1958" s="2" t="s">
        <v>3020</v>
      </c>
      <c r="D1958" s="1">
        <v>43531</v>
      </c>
      <c r="E1958">
        <f>MONTH(D1958)</f>
        <v>3</v>
      </c>
      <c r="F1958" s="2" t="s">
        <v>19</v>
      </c>
      <c r="G1958" s="2" t="s">
        <v>20</v>
      </c>
      <c r="H1958" t="s">
        <v>45</v>
      </c>
      <c r="I1958" t="s">
        <v>36</v>
      </c>
      <c r="J1958" s="2" t="s">
        <v>42</v>
      </c>
      <c r="K1958" s="2" t="s">
        <v>3019</v>
      </c>
      <c r="L1958" t="s">
        <v>25</v>
      </c>
      <c r="M1958" s="8">
        <v>1.5053333330000001</v>
      </c>
      <c r="N1958" t="s">
        <v>26</v>
      </c>
      <c r="O1958" s="8">
        <v>1.5053333330000001</v>
      </c>
      <c r="P1958" s="8">
        <f>EXP(-1.363+3.366*LOG(O1958,10))</f>
        <v>0.46529279523463329</v>
      </c>
      <c r="Q1958" s="8">
        <f>(3359412*100)/3462762</f>
        <v>97.015388294084318</v>
      </c>
    </row>
    <row r="1959" spans="1:17" x14ac:dyDescent="0.2">
      <c r="A1959">
        <f>YEAR(D1959)</f>
        <v>2019</v>
      </c>
      <c r="B1959" t="s">
        <v>26</v>
      </c>
      <c r="C1959" s="2" t="s">
        <v>3020</v>
      </c>
      <c r="D1959" s="1">
        <v>43531</v>
      </c>
      <c r="E1959">
        <f>MONTH(D1959)</f>
        <v>3</v>
      </c>
      <c r="F1959" s="2" t="s">
        <v>19</v>
      </c>
      <c r="G1959" s="2" t="s">
        <v>20</v>
      </c>
      <c r="H1959" t="s">
        <v>45</v>
      </c>
      <c r="I1959" t="s">
        <v>22</v>
      </c>
      <c r="J1959" s="2" t="s">
        <v>42</v>
      </c>
      <c r="K1959" s="2" t="s">
        <v>3019</v>
      </c>
      <c r="L1959" t="s">
        <v>25</v>
      </c>
      <c r="M1959" s="8">
        <v>1.903333333</v>
      </c>
      <c r="N1959" t="s">
        <v>26</v>
      </c>
      <c r="O1959" s="8">
        <v>1.903333333</v>
      </c>
      <c r="P1959" s="8">
        <f>EXP(-1.363+3.366*LOG(O1959,10))</f>
        <v>0.65563371760507783</v>
      </c>
      <c r="Q1959" s="8">
        <f>(3359412*100)/3462762</f>
        <v>97.015388294084318</v>
      </c>
    </row>
    <row r="1960" spans="1:17" x14ac:dyDescent="0.2">
      <c r="A1960">
        <f>YEAR(D1960)</f>
        <v>2019</v>
      </c>
      <c r="B1960" t="s">
        <v>26</v>
      </c>
      <c r="C1960" s="2" t="s">
        <v>3020</v>
      </c>
      <c r="D1960" s="1">
        <v>43531</v>
      </c>
      <c r="E1960">
        <f>MONTH(D1960)</f>
        <v>3</v>
      </c>
      <c r="F1960" s="2" t="s">
        <v>19</v>
      </c>
      <c r="G1960" t="s">
        <v>219</v>
      </c>
      <c r="H1960" t="s">
        <v>220</v>
      </c>
      <c r="I1960" t="s">
        <v>22</v>
      </c>
      <c r="J1960" s="2" t="s">
        <v>42</v>
      </c>
      <c r="K1960" s="2" t="s">
        <v>3019</v>
      </c>
      <c r="L1960" t="s">
        <v>25</v>
      </c>
      <c r="M1960" s="10" t="s">
        <v>26</v>
      </c>
      <c r="N1960" t="s">
        <v>26</v>
      </c>
      <c r="O1960" s="10" t="s">
        <v>26</v>
      </c>
      <c r="P1960" s="8" t="s">
        <v>26</v>
      </c>
      <c r="Q1960" s="8">
        <f>(3359412*100)/3462762</f>
        <v>97.015388294084318</v>
      </c>
    </row>
    <row r="1961" spans="1:17" x14ac:dyDescent="0.2">
      <c r="A1961">
        <f>YEAR(D1961)</f>
        <v>2019</v>
      </c>
      <c r="B1961" t="s">
        <v>26</v>
      </c>
      <c r="C1961" s="2" t="s">
        <v>3020</v>
      </c>
      <c r="D1961" s="1">
        <v>43531</v>
      </c>
      <c r="E1961">
        <f>MONTH(D1961)</f>
        <v>3</v>
      </c>
      <c r="F1961" s="2" t="s">
        <v>19</v>
      </c>
      <c r="G1961" t="s">
        <v>20</v>
      </c>
      <c r="H1961" t="s">
        <v>149</v>
      </c>
      <c r="I1961" t="s">
        <v>36</v>
      </c>
      <c r="J1961" s="2" t="s">
        <v>42</v>
      </c>
      <c r="K1961" s="2" t="s">
        <v>3019</v>
      </c>
      <c r="L1961" t="s">
        <v>25</v>
      </c>
      <c r="M1961" s="8">
        <v>1.032666667</v>
      </c>
      <c r="N1961" t="s">
        <v>26</v>
      </c>
      <c r="O1961" s="8">
        <v>1.032666667</v>
      </c>
      <c r="P1961" s="8">
        <f>EXP(-1.363+3.366*LOG(O1961,10))</f>
        <v>0.26820327281159584</v>
      </c>
      <c r="Q1961" s="8">
        <f>(3359412*100)/3462762</f>
        <v>97.015388294084318</v>
      </c>
    </row>
    <row r="1962" spans="1:17" x14ac:dyDescent="0.2">
      <c r="A1962">
        <f>YEAR(D1962)</f>
        <v>2019</v>
      </c>
      <c r="B1962" t="s">
        <v>26</v>
      </c>
      <c r="C1962" s="2" t="s">
        <v>3020</v>
      </c>
      <c r="D1962" s="1">
        <v>43531</v>
      </c>
      <c r="E1962">
        <f>MONTH(D1962)</f>
        <v>3</v>
      </c>
      <c r="F1962" s="2" t="s">
        <v>19</v>
      </c>
      <c r="G1962" s="2" t="s">
        <v>20</v>
      </c>
      <c r="H1962" t="s">
        <v>45</v>
      </c>
      <c r="I1962" t="s">
        <v>22</v>
      </c>
      <c r="J1962" s="2" t="s">
        <v>42</v>
      </c>
      <c r="K1962" s="2" t="s">
        <v>3019</v>
      </c>
      <c r="L1962" t="s">
        <v>25</v>
      </c>
      <c r="M1962" s="8">
        <v>1.903333333</v>
      </c>
      <c r="N1962" t="s">
        <v>26</v>
      </c>
      <c r="O1962" s="8">
        <v>1.903333333</v>
      </c>
      <c r="P1962" s="8">
        <f>EXP(-1.363+3.366*LOG(O1962,10))</f>
        <v>0.65563371760507783</v>
      </c>
      <c r="Q1962" s="8">
        <f>(3359412*100)/3462762</f>
        <v>97.015388294084318</v>
      </c>
    </row>
    <row r="1963" spans="1:17" x14ac:dyDescent="0.2">
      <c r="A1963">
        <f>YEAR(D1963)</f>
        <v>2019</v>
      </c>
      <c r="B1963" t="s">
        <v>26</v>
      </c>
      <c r="C1963" s="2" t="s">
        <v>3021</v>
      </c>
      <c r="D1963" s="1">
        <v>43531</v>
      </c>
      <c r="E1963">
        <f>MONTH(D1963)</f>
        <v>3</v>
      </c>
      <c r="F1963" s="2" t="s">
        <v>19</v>
      </c>
      <c r="G1963" t="s">
        <v>352</v>
      </c>
      <c r="H1963" t="s">
        <v>623</v>
      </c>
      <c r="I1963" t="s">
        <v>22</v>
      </c>
      <c r="J1963" s="2" t="s">
        <v>42</v>
      </c>
      <c r="K1963" s="2" t="s">
        <v>3019</v>
      </c>
      <c r="L1963" t="s">
        <v>25</v>
      </c>
      <c r="M1963" s="8">
        <v>1.387</v>
      </c>
      <c r="N1963" t="s">
        <v>26</v>
      </c>
      <c r="O1963" s="8">
        <v>1.387</v>
      </c>
      <c r="P1963" s="8">
        <f>EXP(-1.363+3.366*LOG(O1963,10))</f>
        <v>0.41280884754947733</v>
      </c>
      <c r="Q1963" s="8">
        <f>(1845879*100)/1946364</f>
        <v>94.837296620775973</v>
      </c>
    </row>
    <row r="1964" spans="1:17" x14ac:dyDescent="0.2">
      <c r="A1964">
        <f>YEAR(D1964)</f>
        <v>2019</v>
      </c>
      <c r="B1964" t="s">
        <v>26</v>
      </c>
      <c r="C1964" s="2" t="s">
        <v>3021</v>
      </c>
      <c r="D1964" s="1">
        <v>43531</v>
      </c>
      <c r="E1964">
        <f>MONTH(D1964)</f>
        <v>3</v>
      </c>
      <c r="F1964" s="2" t="s">
        <v>19</v>
      </c>
      <c r="G1964" t="s">
        <v>352</v>
      </c>
      <c r="H1964" t="s">
        <v>623</v>
      </c>
      <c r="I1964" t="s">
        <v>22</v>
      </c>
      <c r="J1964" s="2" t="s">
        <v>42</v>
      </c>
      <c r="K1964" s="2" t="s">
        <v>3019</v>
      </c>
      <c r="L1964" t="s">
        <v>25</v>
      </c>
      <c r="M1964" s="8">
        <v>1.387</v>
      </c>
      <c r="N1964" t="s">
        <v>26</v>
      </c>
      <c r="O1964" s="8">
        <v>1.387</v>
      </c>
      <c r="P1964" s="8">
        <f>EXP(-1.363+3.366*LOG(O1964,10))</f>
        <v>0.41280884754947733</v>
      </c>
      <c r="Q1964" s="8">
        <f>(1845879*100)/1946364</f>
        <v>94.837296620775973</v>
      </c>
    </row>
    <row r="1965" spans="1:17" x14ac:dyDescent="0.2">
      <c r="A1965">
        <f>YEAR(D1965)</f>
        <v>2019</v>
      </c>
      <c r="B1965" t="s">
        <v>26</v>
      </c>
      <c r="C1965" s="2" t="s">
        <v>3022</v>
      </c>
      <c r="D1965" s="1">
        <v>43532</v>
      </c>
      <c r="E1965">
        <f>MONTH(D1965)</f>
        <v>3</v>
      </c>
      <c r="F1965" s="2" t="s">
        <v>2098</v>
      </c>
      <c r="G1965" t="s">
        <v>219</v>
      </c>
      <c r="H1965" t="s">
        <v>220</v>
      </c>
      <c r="I1965" t="s">
        <v>22</v>
      </c>
      <c r="J1965" s="2" t="s">
        <v>42</v>
      </c>
      <c r="K1965" s="2" t="s">
        <v>3019</v>
      </c>
      <c r="L1965" t="s">
        <v>25</v>
      </c>
      <c r="M1965" s="10" t="s">
        <v>26</v>
      </c>
      <c r="N1965" t="s">
        <v>26</v>
      </c>
      <c r="O1965" s="10" t="s">
        <v>26</v>
      </c>
      <c r="P1965" s="8" t="s">
        <v>26</v>
      </c>
      <c r="Q1965" s="8">
        <f>(4437920*100)/4638971</f>
        <v>95.666043180696747</v>
      </c>
    </row>
    <row r="1966" spans="1:17" x14ac:dyDescent="0.2">
      <c r="A1966">
        <f>YEAR(D1966)</f>
        <v>2019</v>
      </c>
      <c r="B1966" t="s">
        <v>26</v>
      </c>
      <c r="C1966" s="2" t="s">
        <v>3022</v>
      </c>
      <c r="D1966" s="1">
        <v>43532</v>
      </c>
      <c r="E1966">
        <f>MONTH(D1966)</f>
        <v>3</v>
      </c>
      <c r="F1966" s="2" t="s">
        <v>19</v>
      </c>
      <c r="G1966" s="2" t="s">
        <v>20</v>
      </c>
      <c r="H1966" t="s">
        <v>45</v>
      </c>
      <c r="I1966" t="s">
        <v>22</v>
      </c>
      <c r="J1966" s="2" t="s">
        <v>42</v>
      </c>
      <c r="K1966" s="2" t="s">
        <v>3019</v>
      </c>
      <c r="L1966" t="s">
        <v>25</v>
      </c>
      <c r="M1966" s="8">
        <v>1.903333333</v>
      </c>
      <c r="N1966" t="s">
        <v>26</v>
      </c>
      <c r="O1966" s="8">
        <v>1.903333333</v>
      </c>
      <c r="P1966" s="8">
        <f>EXP(-1.363+3.366*LOG(O1966,10))</f>
        <v>0.65563371760507783</v>
      </c>
      <c r="Q1966" s="8">
        <f>(4437920*100)/4638971</f>
        <v>95.666043180696747</v>
      </c>
    </row>
    <row r="1967" spans="1:17" x14ac:dyDescent="0.2">
      <c r="A1967">
        <f>YEAR(D1967)</f>
        <v>2019</v>
      </c>
      <c r="B1967" t="s">
        <v>26</v>
      </c>
      <c r="C1967" s="2" t="s">
        <v>3022</v>
      </c>
      <c r="D1967" s="1">
        <v>43532</v>
      </c>
      <c r="E1967">
        <f>MONTH(D1967)</f>
        <v>3</v>
      </c>
      <c r="F1967" s="2" t="s">
        <v>19</v>
      </c>
      <c r="G1967" t="s">
        <v>1532</v>
      </c>
      <c r="H1967" t="s">
        <v>1944</v>
      </c>
      <c r="I1967" t="s">
        <v>36</v>
      </c>
      <c r="J1967" s="2" t="s">
        <v>42</v>
      </c>
      <c r="K1967" s="2" t="s">
        <v>3019</v>
      </c>
      <c r="L1967" t="s">
        <v>25</v>
      </c>
      <c r="M1967" s="8">
        <v>3.3290000000000002</v>
      </c>
      <c r="N1967" t="s">
        <v>26</v>
      </c>
      <c r="O1967" s="8">
        <v>3.3290000000000002</v>
      </c>
      <c r="P1967" s="8">
        <f>EXP(-1.363+3.366*LOG(O1967,10))</f>
        <v>1.484544861192558</v>
      </c>
      <c r="Q1967" s="8">
        <f>(4437920*100)/4638971</f>
        <v>95.666043180696747</v>
      </c>
    </row>
    <row r="1968" spans="1:17" x14ac:dyDescent="0.2">
      <c r="A1968">
        <f>YEAR(D1968)</f>
        <v>2019</v>
      </c>
      <c r="B1968" t="s">
        <v>26</v>
      </c>
      <c r="C1968" s="2" t="s">
        <v>3022</v>
      </c>
      <c r="D1968" s="1">
        <v>43532</v>
      </c>
      <c r="E1968">
        <f>MONTH(D1968)</f>
        <v>3</v>
      </c>
      <c r="F1968" s="2" t="s">
        <v>19</v>
      </c>
      <c r="G1968" t="s">
        <v>20</v>
      </c>
      <c r="H1968" t="s">
        <v>149</v>
      </c>
      <c r="I1968" t="s">
        <v>36</v>
      </c>
      <c r="J1968" s="2" t="s">
        <v>42</v>
      </c>
      <c r="K1968" s="2" t="s">
        <v>3019</v>
      </c>
      <c r="L1968" t="s">
        <v>25</v>
      </c>
      <c r="M1968" s="8">
        <v>1.032666667</v>
      </c>
      <c r="N1968" t="s">
        <v>26</v>
      </c>
      <c r="O1968" s="8">
        <v>1.032666667</v>
      </c>
      <c r="P1968" s="8">
        <f>EXP(-1.363+3.366*LOG(O1968,10))</f>
        <v>0.26820327281159584</v>
      </c>
      <c r="Q1968" s="8">
        <f>(4437920*100)/4638971</f>
        <v>95.666043180696747</v>
      </c>
    </row>
    <row r="1969" spans="1:17" x14ac:dyDescent="0.2">
      <c r="A1969">
        <f>YEAR(D1969)</f>
        <v>2019</v>
      </c>
      <c r="B1969" t="s">
        <v>26</v>
      </c>
      <c r="C1969" s="2" t="s">
        <v>3022</v>
      </c>
      <c r="D1969" s="1">
        <v>43532</v>
      </c>
      <c r="E1969">
        <f>MONTH(D1969)</f>
        <v>3</v>
      </c>
      <c r="F1969" s="2" t="s">
        <v>19</v>
      </c>
      <c r="G1969" t="s">
        <v>352</v>
      </c>
      <c r="H1969" t="s">
        <v>623</v>
      </c>
      <c r="I1969" t="s">
        <v>22</v>
      </c>
      <c r="J1969" s="2" t="s">
        <v>42</v>
      </c>
      <c r="K1969" s="2" t="s">
        <v>3019</v>
      </c>
      <c r="L1969" t="s">
        <v>25</v>
      </c>
      <c r="M1969" s="8">
        <v>1.387</v>
      </c>
      <c r="N1969" t="s">
        <v>26</v>
      </c>
      <c r="O1969" s="8">
        <v>1.387</v>
      </c>
      <c r="P1969" s="8">
        <f>EXP(-1.363+3.366*LOG(O1969,10))</f>
        <v>0.41280884754947733</v>
      </c>
      <c r="Q1969" s="8">
        <f>(4437920*100)/4638971</f>
        <v>95.666043180696747</v>
      </c>
    </row>
    <row r="1970" spans="1:17" x14ac:dyDescent="0.2">
      <c r="A1970">
        <f>YEAR(D1970)</f>
        <v>2019</v>
      </c>
      <c r="B1970" t="s">
        <v>26</v>
      </c>
      <c r="C1970" s="2" t="s">
        <v>3022</v>
      </c>
      <c r="D1970" s="1">
        <v>43532</v>
      </c>
      <c r="E1970">
        <f>MONTH(D1970)</f>
        <v>3</v>
      </c>
      <c r="F1970" s="2" t="s">
        <v>19</v>
      </c>
      <c r="G1970" s="2" t="s">
        <v>20</v>
      </c>
      <c r="H1970" t="s">
        <v>45</v>
      </c>
      <c r="I1970" t="s">
        <v>36</v>
      </c>
      <c r="J1970" s="2" t="s">
        <v>42</v>
      </c>
      <c r="K1970" s="2" t="s">
        <v>3019</v>
      </c>
      <c r="L1970" t="s">
        <v>25</v>
      </c>
      <c r="M1970" s="8">
        <v>1.5053333330000001</v>
      </c>
      <c r="N1970" t="s">
        <v>26</v>
      </c>
      <c r="O1970" s="8">
        <v>1.5053333330000001</v>
      </c>
      <c r="P1970" s="8">
        <f>EXP(-1.363+3.366*LOG(O1970,10))</f>
        <v>0.46529279523463329</v>
      </c>
      <c r="Q1970" s="8">
        <f>(4437920*100)/4638971</f>
        <v>95.666043180696747</v>
      </c>
    </row>
    <row r="1971" spans="1:17" x14ac:dyDescent="0.2">
      <c r="A1971">
        <f>YEAR(D1971)</f>
        <v>2019</v>
      </c>
      <c r="B1971" t="s">
        <v>26</v>
      </c>
      <c r="C1971" s="2" t="s">
        <v>3022</v>
      </c>
      <c r="D1971" s="1">
        <v>43532</v>
      </c>
      <c r="E1971">
        <f>MONTH(D1971)</f>
        <v>3</v>
      </c>
      <c r="F1971" s="2" t="s">
        <v>19</v>
      </c>
      <c r="G1971" t="s">
        <v>20</v>
      </c>
      <c r="H1971" t="s">
        <v>149</v>
      </c>
      <c r="I1971" t="s">
        <v>36</v>
      </c>
      <c r="J1971" s="2" t="s">
        <v>42</v>
      </c>
      <c r="K1971" s="2" t="s">
        <v>3019</v>
      </c>
      <c r="L1971" t="s">
        <v>25</v>
      </c>
      <c r="M1971" s="8">
        <v>1.032666667</v>
      </c>
      <c r="N1971" t="s">
        <v>26</v>
      </c>
      <c r="O1971" s="8">
        <v>1.032666667</v>
      </c>
      <c r="P1971" s="8">
        <f>EXP(-1.363+3.366*LOG(O1971,10))</f>
        <v>0.26820327281159584</v>
      </c>
      <c r="Q1971" s="8">
        <f>(4437920*100)/4638971</f>
        <v>95.666043180696747</v>
      </c>
    </row>
    <row r="1972" spans="1:17" x14ac:dyDescent="0.2">
      <c r="A1972">
        <f>YEAR(D1972)</f>
        <v>2019</v>
      </c>
      <c r="B1972" t="s">
        <v>26</v>
      </c>
      <c r="C1972" s="2" t="s">
        <v>3022</v>
      </c>
      <c r="D1972" s="1">
        <v>43532</v>
      </c>
      <c r="E1972">
        <f>MONTH(D1972)</f>
        <v>3</v>
      </c>
      <c r="F1972" s="2" t="s">
        <v>19</v>
      </c>
      <c r="G1972" t="s">
        <v>20</v>
      </c>
      <c r="H1972" t="s">
        <v>149</v>
      </c>
      <c r="I1972" t="s">
        <v>22</v>
      </c>
      <c r="J1972" s="2" t="s">
        <v>42</v>
      </c>
      <c r="K1972" s="2" t="s">
        <v>3019</v>
      </c>
      <c r="L1972" t="s">
        <v>25</v>
      </c>
      <c r="M1972" s="8">
        <v>1.45</v>
      </c>
      <c r="N1972" t="s">
        <v>26</v>
      </c>
      <c r="O1972" s="8">
        <v>1.45</v>
      </c>
      <c r="P1972" s="8">
        <f>EXP(-1.363+3.366*LOG(O1972,10))</f>
        <v>0.44050419760124854</v>
      </c>
      <c r="Q1972" s="8">
        <f>(4437920*100)/4638971</f>
        <v>95.666043180696747</v>
      </c>
    </row>
    <row r="1973" spans="1:17" x14ac:dyDescent="0.2">
      <c r="A1973">
        <f>YEAR(D1973)</f>
        <v>2019</v>
      </c>
      <c r="B1973" t="s">
        <v>26</v>
      </c>
      <c r="C1973" s="2" t="s">
        <v>3022</v>
      </c>
      <c r="D1973" s="1">
        <v>43532</v>
      </c>
      <c r="E1973">
        <f>MONTH(D1973)</f>
        <v>3</v>
      </c>
      <c r="F1973" s="2" t="s">
        <v>19</v>
      </c>
      <c r="G1973" s="2" t="s">
        <v>20</v>
      </c>
      <c r="H1973" t="s">
        <v>45</v>
      </c>
      <c r="I1973" t="s">
        <v>22</v>
      </c>
      <c r="J1973" s="2" t="s">
        <v>42</v>
      </c>
      <c r="K1973" s="2" t="s">
        <v>3019</v>
      </c>
      <c r="L1973" t="s">
        <v>25</v>
      </c>
      <c r="M1973" s="8">
        <v>1.903333333</v>
      </c>
      <c r="N1973" t="s">
        <v>26</v>
      </c>
      <c r="O1973" s="8">
        <v>1.903333333</v>
      </c>
      <c r="P1973" s="8">
        <f>EXP(-1.363+3.366*LOG(O1973,10))</f>
        <v>0.65563371760507783</v>
      </c>
      <c r="Q1973" s="8">
        <f>(4437920*100)/4638971</f>
        <v>95.666043180696747</v>
      </c>
    </row>
    <row r="1974" spans="1:17" x14ac:dyDescent="0.2">
      <c r="A1974">
        <f>YEAR(D1974)</f>
        <v>2019</v>
      </c>
      <c r="B1974" t="s">
        <v>26</v>
      </c>
      <c r="C1974" s="2" t="s">
        <v>3022</v>
      </c>
      <c r="D1974" s="1">
        <v>43532</v>
      </c>
      <c r="E1974">
        <f>MONTH(D1974)</f>
        <v>3</v>
      </c>
      <c r="F1974" s="2" t="s">
        <v>19</v>
      </c>
      <c r="G1974" t="s">
        <v>303</v>
      </c>
      <c r="H1974" t="s">
        <v>1931</v>
      </c>
      <c r="I1974" t="s">
        <v>22</v>
      </c>
      <c r="J1974" s="2" t="s">
        <v>42</v>
      </c>
      <c r="K1974" s="2" t="s">
        <v>3019</v>
      </c>
      <c r="L1974" t="s">
        <v>305</v>
      </c>
      <c r="M1974" s="8">
        <v>1.4026666670000001</v>
      </c>
      <c r="N1974" t="s">
        <v>26</v>
      </c>
      <c r="O1974" s="8">
        <v>1.4026666670000001</v>
      </c>
      <c r="P1974" s="8">
        <f>EXP(-1.363+3.366*LOG(O1974,10))</f>
        <v>0.41964287291404917</v>
      </c>
      <c r="Q1974" s="8">
        <f>(4437920*100)/4638971</f>
        <v>95.666043180696747</v>
      </c>
    </row>
    <row r="1975" spans="1:17" x14ac:dyDescent="0.2">
      <c r="A1975">
        <f>YEAR(D1975)</f>
        <v>2019</v>
      </c>
      <c r="B1975" t="s">
        <v>26</v>
      </c>
      <c r="C1975" s="2" t="s">
        <v>3022</v>
      </c>
      <c r="D1975" s="1">
        <v>43532</v>
      </c>
      <c r="E1975">
        <f>MONTH(D1975)</f>
        <v>3</v>
      </c>
      <c r="F1975" s="2" t="s">
        <v>19</v>
      </c>
      <c r="G1975" s="2" t="s">
        <v>20</v>
      </c>
      <c r="H1975" t="s">
        <v>45</v>
      </c>
      <c r="I1975" t="s">
        <v>36</v>
      </c>
      <c r="J1975" s="2" t="s">
        <v>42</v>
      </c>
      <c r="K1975" s="2" t="s">
        <v>3019</v>
      </c>
      <c r="L1975" t="s">
        <v>25</v>
      </c>
      <c r="M1975" s="8">
        <v>1.5053333330000001</v>
      </c>
      <c r="N1975" t="s">
        <v>26</v>
      </c>
      <c r="O1975" s="8">
        <v>1.5053333330000001</v>
      </c>
      <c r="P1975" s="8">
        <f>EXP(-1.363+3.366*LOG(O1975,10))</f>
        <v>0.46529279523463329</v>
      </c>
      <c r="Q1975" s="8">
        <f>(4437920*100)/4638971</f>
        <v>95.666043180696747</v>
      </c>
    </row>
    <row r="1976" spans="1:17" x14ac:dyDescent="0.2">
      <c r="A1976">
        <f>YEAR(D1976)</f>
        <v>2019</v>
      </c>
      <c r="B1976" t="s">
        <v>26</v>
      </c>
      <c r="C1976" s="2" t="s">
        <v>3022</v>
      </c>
      <c r="D1976" s="1">
        <v>43532</v>
      </c>
      <c r="E1976">
        <f>MONTH(D1976)</f>
        <v>3</v>
      </c>
      <c r="F1976" s="2" t="s">
        <v>19</v>
      </c>
      <c r="G1976" s="2" t="s">
        <v>20</v>
      </c>
      <c r="H1976" t="s">
        <v>45</v>
      </c>
      <c r="I1976" t="s">
        <v>36</v>
      </c>
      <c r="J1976" s="2" t="s">
        <v>42</v>
      </c>
      <c r="K1976" s="2" t="s">
        <v>3019</v>
      </c>
      <c r="L1976" t="s">
        <v>25</v>
      </c>
      <c r="M1976" s="8">
        <v>1.5053333330000001</v>
      </c>
      <c r="N1976" t="s">
        <v>26</v>
      </c>
      <c r="O1976" s="8">
        <v>1.5053333330000001</v>
      </c>
      <c r="P1976" s="8">
        <f>EXP(-1.363+3.366*LOG(O1976,10))</f>
        <v>0.46529279523463329</v>
      </c>
      <c r="Q1976" s="8">
        <f>(4437920*100)/4638971</f>
        <v>95.666043180696747</v>
      </c>
    </row>
    <row r="1977" spans="1:17" x14ac:dyDescent="0.2">
      <c r="A1977">
        <f>YEAR(D1977)</f>
        <v>2019</v>
      </c>
      <c r="B1977" t="s">
        <v>26</v>
      </c>
      <c r="C1977" s="2" t="s">
        <v>3023</v>
      </c>
      <c r="D1977" s="1">
        <v>43532</v>
      </c>
      <c r="E1977">
        <f>MONTH(D1977)</f>
        <v>3</v>
      </c>
      <c r="F1977" s="2" t="s">
        <v>19</v>
      </c>
      <c r="G1977" t="s">
        <v>20</v>
      </c>
      <c r="H1977" t="s">
        <v>149</v>
      </c>
      <c r="I1977" t="s">
        <v>36</v>
      </c>
      <c r="J1977" s="2" t="s">
        <v>42</v>
      </c>
      <c r="K1977" s="2" t="s">
        <v>3019</v>
      </c>
      <c r="L1977" t="s">
        <v>25</v>
      </c>
      <c r="M1977" s="8">
        <v>1.032666667</v>
      </c>
      <c r="N1977" t="s">
        <v>26</v>
      </c>
      <c r="O1977" s="8">
        <v>1.032666667</v>
      </c>
      <c r="P1977" s="8">
        <f>EXP(-1.363+3.366*LOG(O1977,10))</f>
        <v>0.26820327281159584</v>
      </c>
      <c r="Q1977" s="8">
        <f>(8197453*100)/8541008</f>
        <v>95.977582505484136</v>
      </c>
    </row>
    <row r="1978" spans="1:17" x14ac:dyDescent="0.2">
      <c r="A1978">
        <f>YEAR(D1978)</f>
        <v>2019</v>
      </c>
      <c r="B1978" t="s">
        <v>26</v>
      </c>
      <c r="C1978" s="2" t="s">
        <v>3023</v>
      </c>
      <c r="D1978" s="1">
        <v>43532</v>
      </c>
      <c r="E1978">
        <f>MONTH(D1978)</f>
        <v>3</v>
      </c>
      <c r="F1978" s="2" t="s">
        <v>19</v>
      </c>
      <c r="G1978" t="s">
        <v>20</v>
      </c>
      <c r="H1978" t="s">
        <v>149</v>
      </c>
      <c r="I1978" t="s">
        <v>36</v>
      </c>
      <c r="J1978" s="2" t="s">
        <v>42</v>
      </c>
      <c r="K1978" s="2" t="s">
        <v>3019</v>
      </c>
      <c r="L1978" t="s">
        <v>25</v>
      </c>
      <c r="M1978" s="8">
        <v>1.032666667</v>
      </c>
      <c r="N1978" t="s">
        <v>26</v>
      </c>
      <c r="O1978" s="8">
        <v>1.032666667</v>
      </c>
      <c r="P1978" s="8">
        <f>EXP(-1.363+3.366*LOG(O1978,10))</f>
        <v>0.26820327281159584</v>
      </c>
      <c r="Q1978" s="8">
        <f>(8197453*100)/8541008</f>
        <v>95.977582505484136</v>
      </c>
    </row>
    <row r="1979" spans="1:17" x14ac:dyDescent="0.2">
      <c r="A1979">
        <f>YEAR(D1979)</f>
        <v>2019</v>
      </c>
      <c r="B1979" t="s">
        <v>26</v>
      </c>
      <c r="C1979" s="2" t="s">
        <v>3023</v>
      </c>
      <c r="D1979" s="1">
        <v>43532</v>
      </c>
      <c r="E1979">
        <f>MONTH(D1979)</f>
        <v>3</v>
      </c>
      <c r="F1979" s="2" t="s">
        <v>19</v>
      </c>
      <c r="G1979" s="2" t="s">
        <v>20</v>
      </c>
      <c r="H1979" t="s">
        <v>45</v>
      </c>
      <c r="I1979" t="s">
        <v>36</v>
      </c>
      <c r="J1979" s="2" t="s">
        <v>42</v>
      </c>
      <c r="K1979" s="2" t="s">
        <v>3019</v>
      </c>
      <c r="L1979" t="s">
        <v>25</v>
      </c>
      <c r="M1979" s="8">
        <v>1.5053333330000001</v>
      </c>
      <c r="N1979" t="s">
        <v>26</v>
      </c>
      <c r="O1979" s="8">
        <v>1.5053333330000001</v>
      </c>
      <c r="P1979" s="8">
        <f>EXP(-1.363+3.366*LOG(O1979,10))</f>
        <v>0.46529279523463329</v>
      </c>
      <c r="Q1979" s="8">
        <f>(8197453*100)/8541008</f>
        <v>95.977582505484136</v>
      </c>
    </row>
    <row r="1980" spans="1:17" x14ac:dyDescent="0.2">
      <c r="A1980">
        <f>YEAR(D1980)</f>
        <v>2019</v>
      </c>
      <c r="B1980" t="s">
        <v>26</v>
      </c>
      <c r="C1980" s="2" t="s">
        <v>3023</v>
      </c>
      <c r="D1980" s="1">
        <v>43532</v>
      </c>
      <c r="E1980">
        <f>MONTH(D1980)</f>
        <v>3</v>
      </c>
      <c r="F1980" s="2" t="s">
        <v>19</v>
      </c>
      <c r="G1980" t="s">
        <v>20</v>
      </c>
      <c r="H1980" t="s">
        <v>2295</v>
      </c>
      <c r="I1980" t="s">
        <v>36</v>
      </c>
      <c r="J1980" s="2" t="s">
        <v>42</v>
      </c>
      <c r="K1980" s="2" t="s">
        <v>3019</v>
      </c>
      <c r="L1980" t="s">
        <v>25</v>
      </c>
      <c r="M1980" s="8">
        <v>1.0436666670000001</v>
      </c>
      <c r="N1980" t="s">
        <v>26</v>
      </c>
      <c r="O1980" s="8">
        <v>1.0436666670000001</v>
      </c>
      <c r="P1980" s="8">
        <f>EXP(-1.363+3.366*LOG(O1980,10))</f>
        <v>0.27238985802470567</v>
      </c>
      <c r="Q1980" s="8">
        <f>(8197453*100)/8541008</f>
        <v>95.977582505484136</v>
      </c>
    </row>
    <row r="1981" spans="1:17" x14ac:dyDescent="0.2">
      <c r="A1981">
        <f>YEAR(D1981)</f>
        <v>2019</v>
      </c>
      <c r="B1981" t="s">
        <v>26</v>
      </c>
      <c r="C1981" s="2" t="s">
        <v>3023</v>
      </c>
      <c r="D1981" s="1">
        <v>43532</v>
      </c>
      <c r="E1981">
        <f>MONTH(D1981)</f>
        <v>3</v>
      </c>
      <c r="F1981" s="2" t="s">
        <v>19</v>
      </c>
      <c r="G1981" t="s">
        <v>20</v>
      </c>
      <c r="H1981" t="s">
        <v>2295</v>
      </c>
      <c r="I1981" t="s">
        <v>36</v>
      </c>
      <c r="J1981" s="2" t="s">
        <v>42</v>
      </c>
      <c r="K1981" s="2" t="s">
        <v>3019</v>
      </c>
      <c r="L1981" t="s">
        <v>25</v>
      </c>
      <c r="M1981" s="8">
        <v>1.0436666670000001</v>
      </c>
      <c r="N1981" t="s">
        <v>26</v>
      </c>
      <c r="O1981" s="8">
        <v>1.0436666670000001</v>
      </c>
      <c r="P1981" s="8">
        <f>EXP(-1.363+3.366*LOG(O1981,10))</f>
        <v>0.27238985802470567</v>
      </c>
      <c r="Q1981" s="8">
        <f>(8197453*100)/8541008</f>
        <v>95.977582505484136</v>
      </c>
    </row>
    <row r="1982" spans="1:17" x14ac:dyDescent="0.2">
      <c r="A1982">
        <f>YEAR(D1982)</f>
        <v>2019</v>
      </c>
      <c r="B1982" t="s">
        <v>26</v>
      </c>
      <c r="C1982" s="2" t="s">
        <v>3023</v>
      </c>
      <c r="D1982" s="1">
        <v>43532</v>
      </c>
      <c r="E1982">
        <f>MONTH(D1982)</f>
        <v>3</v>
      </c>
      <c r="F1982" s="2" t="s">
        <v>19</v>
      </c>
      <c r="G1982" t="s">
        <v>20</v>
      </c>
      <c r="H1982" t="s">
        <v>149</v>
      </c>
      <c r="I1982" t="s">
        <v>22</v>
      </c>
      <c r="J1982" s="2" t="s">
        <v>42</v>
      </c>
      <c r="K1982" s="2" t="s">
        <v>3019</v>
      </c>
      <c r="L1982" t="s">
        <v>25</v>
      </c>
      <c r="M1982" s="8">
        <v>1.45</v>
      </c>
      <c r="N1982" t="s">
        <v>26</v>
      </c>
      <c r="O1982" s="8">
        <v>1.45</v>
      </c>
      <c r="P1982" s="8">
        <f>EXP(-1.363+3.366*LOG(O1982,10))</f>
        <v>0.44050419760124854</v>
      </c>
      <c r="Q1982" s="8">
        <f>(8197453*100)/8541008</f>
        <v>95.977582505484136</v>
      </c>
    </row>
    <row r="1983" spans="1:17" x14ac:dyDescent="0.2">
      <c r="A1983">
        <f>YEAR(D1983)</f>
        <v>2019</v>
      </c>
      <c r="B1983" t="s">
        <v>26</v>
      </c>
      <c r="C1983" s="2" t="s">
        <v>3023</v>
      </c>
      <c r="D1983" s="1">
        <v>43532</v>
      </c>
      <c r="E1983">
        <f>MONTH(D1983)</f>
        <v>3</v>
      </c>
      <c r="F1983" s="2" t="s">
        <v>19</v>
      </c>
      <c r="G1983" t="s">
        <v>352</v>
      </c>
      <c r="H1983" t="s">
        <v>747</v>
      </c>
      <c r="I1983" t="s">
        <v>22</v>
      </c>
      <c r="J1983" s="2" t="s">
        <v>42</v>
      </c>
      <c r="K1983" s="2" t="s">
        <v>3019</v>
      </c>
      <c r="L1983" t="s">
        <v>25</v>
      </c>
      <c r="M1983" s="8">
        <v>1.3726666670000001</v>
      </c>
      <c r="N1983" t="s">
        <v>26</v>
      </c>
      <c r="O1983" s="8">
        <v>1.3726666670000001</v>
      </c>
      <c r="P1983" s="8">
        <f>EXP(-1.363+3.366*LOG(O1983,10))</f>
        <v>0.40658758379567089</v>
      </c>
      <c r="Q1983" s="8">
        <f>(8197453*100)/8541008</f>
        <v>95.977582505484136</v>
      </c>
    </row>
    <row r="1984" spans="1:17" x14ac:dyDescent="0.2">
      <c r="A1984">
        <f>YEAR(D1984)</f>
        <v>2019</v>
      </c>
      <c r="B1984" t="s">
        <v>26</v>
      </c>
      <c r="C1984" s="2" t="s">
        <v>3023</v>
      </c>
      <c r="D1984" s="1">
        <v>43532</v>
      </c>
      <c r="E1984">
        <f>MONTH(D1984)</f>
        <v>3</v>
      </c>
      <c r="F1984" s="2" t="s">
        <v>19</v>
      </c>
      <c r="G1984" t="s">
        <v>352</v>
      </c>
      <c r="H1984" t="s">
        <v>747</v>
      </c>
      <c r="I1984" t="s">
        <v>22</v>
      </c>
      <c r="J1984" s="2" t="s">
        <v>42</v>
      </c>
      <c r="K1984" s="2" t="s">
        <v>3019</v>
      </c>
      <c r="L1984" t="s">
        <v>25</v>
      </c>
      <c r="M1984" s="8">
        <v>1.3726666670000001</v>
      </c>
      <c r="N1984" t="s">
        <v>26</v>
      </c>
      <c r="O1984" s="8">
        <v>1.3726666670000001</v>
      </c>
      <c r="P1984" s="8">
        <f>EXP(-1.363+3.366*LOG(O1984,10))</f>
        <v>0.40658758379567089</v>
      </c>
      <c r="Q1984" s="8">
        <f>(8197453*100)/8541008</f>
        <v>95.977582505484136</v>
      </c>
    </row>
    <row r="1985" spans="1:17" x14ac:dyDescent="0.2">
      <c r="A1985">
        <f>YEAR(D1985)</f>
        <v>2019</v>
      </c>
      <c r="B1985" t="s">
        <v>26</v>
      </c>
      <c r="C1985" s="2" t="s">
        <v>3023</v>
      </c>
      <c r="D1985" s="1">
        <v>43532</v>
      </c>
      <c r="E1985">
        <f>MONTH(D1985)</f>
        <v>3</v>
      </c>
      <c r="F1985" s="2" t="s">
        <v>19</v>
      </c>
      <c r="G1985" t="s">
        <v>20</v>
      </c>
      <c r="H1985" t="s">
        <v>149</v>
      </c>
      <c r="I1985" t="s">
        <v>36</v>
      </c>
      <c r="J1985" s="2" t="s">
        <v>42</v>
      </c>
      <c r="K1985" s="2" t="s">
        <v>3019</v>
      </c>
      <c r="L1985" t="s">
        <v>25</v>
      </c>
      <c r="M1985" s="8">
        <v>1.032666667</v>
      </c>
      <c r="N1985" t="s">
        <v>26</v>
      </c>
      <c r="O1985" s="8">
        <v>1.032666667</v>
      </c>
      <c r="P1985" s="8">
        <f>EXP(-1.363+3.366*LOG(O1985,10))</f>
        <v>0.26820327281159584</v>
      </c>
      <c r="Q1985" s="8">
        <f>(8197453*100)/8541008</f>
        <v>95.977582505484136</v>
      </c>
    </row>
    <row r="1986" spans="1:17" x14ac:dyDescent="0.2">
      <c r="A1986">
        <f>YEAR(D1986)</f>
        <v>2019</v>
      </c>
      <c r="B1986" t="s">
        <v>26</v>
      </c>
      <c r="C1986" s="2" t="s">
        <v>3023</v>
      </c>
      <c r="D1986" s="1">
        <v>43532</v>
      </c>
      <c r="E1986">
        <f>MONTH(D1986)</f>
        <v>3</v>
      </c>
      <c r="F1986" s="2" t="s">
        <v>19</v>
      </c>
      <c r="G1986" t="s">
        <v>20</v>
      </c>
      <c r="H1986" t="s">
        <v>149</v>
      </c>
      <c r="I1986" t="s">
        <v>36</v>
      </c>
      <c r="J1986" s="2" t="s">
        <v>42</v>
      </c>
      <c r="K1986" s="2" t="s">
        <v>3019</v>
      </c>
      <c r="L1986" t="s">
        <v>25</v>
      </c>
      <c r="M1986" s="8">
        <v>1.032666667</v>
      </c>
      <c r="N1986" t="s">
        <v>26</v>
      </c>
      <c r="O1986" s="8">
        <v>1.032666667</v>
      </c>
      <c r="P1986" s="8">
        <f>EXP(-1.363+3.366*LOG(O1986,10))</f>
        <v>0.26820327281159584</v>
      </c>
      <c r="Q1986" s="8">
        <f>(8197453*100)/8541008</f>
        <v>95.977582505484136</v>
      </c>
    </row>
    <row r="1987" spans="1:17" x14ac:dyDescent="0.2">
      <c r="A1987">
        <f>YEAR(D1987)</f>
        <v>2019</v>
      </c>
      <c r="B1987" t="s">
        <v>26</v>
      </c>
      <c r="C1987" s="2" t="s">
        <v>3023</v>
      </c>
      <c r="D1987" s="1">
        <v>43532</v>
      </c>
      <c r="E1987">
        <f>MONTH(D1987)</f>
        <v>3</v>
      </c>
      <c r="F1987" s="2" t="s">
        <v>19</v>
      </c>
      <c r="G1987" t="s">
        <v>20</v>
      </c>
      <c r="H1987" t="s">
        <v>149</v>
      </c>
      <c r="I1987" t="s">
        <v>36</v>
      </c>
      <c r="J1987" s="2" t="s">
        <v>42</v>
      </c>
      <c r="K1987" s="2" t="s">
        <v>3019</v>
      </c>
      <c r="L1987" t="s">
        <v>25</v>
      </c>
      <c r="M1987" s="8">
        <v>1.032666667</v>
      </c>
      <c r="N1987" t="s">
        <v>26</v>
      </c>
      <c r="O1987" s="8">
        <v>1.032666667</v>
      </c>
      <c r="P1987" s="8">
        <f>EXP(-1.363+3.366*LOG(O1987,10))</f>
        <v>0.26820327281159584</v>
      </c>
      <c r="Q1987" s="8">
        <f>(8197453*100)/8541008</f>
        <v>95.977582505484136</v>
      </c>
    </row>
    <row r="1988" spans="1:17" x14ac:dyDescent="0.2">
      <c r="A1988">
        <f>YEAR(D1988)</f>
        <v>2019</v>
      </c>
      <c r="B1988" t="s">
        <v>26</v>
      </c>
      <c r="C1988" s="2" t="s">
        <v>3023</v>
      </c>
      <c r="D1988" s="1">
        <v>43532</v>
      </c>
      <c r="E1988">
        <f>MONTH(D1988)</f>
        <v>3</v>
      </c>
      <c r="F1988" s="2" t="s">
        <v>19</v>
      </c>
      <c r="G1988" t="s">
        <v>20</v>
      </c>
      <c r="H1988" t="s">
        <v>149</v>
      </c>
      <c r="I1988" t="s">
        <v>22</v>
      </c>
      <c r="J1988" s="2" t="s">
        <v>42</v>
      </c>
      <c r="K1988" s="2" t="s">
        <v>3019</v>
      </c>
      <c r="L1988" t="s">
        <v>25</v>
      </c>
      <c r="M1988" s="8">
        <v>1.45</v>
      </c>
      <c r="N1988" t="s">
        <v>26</v>
      </c>
      <c r="O1988" s="8">
        <v>1.45</v>
      </c>
      <c r="P1988" s="8">
        <f>EXP(-1.363+3.366*LOG(O1988,10))</f>
        <v>0.44050419760124854</v>
      </c>
      <c r="Q1988" s="8">
        <f>(8197453*100)/8541008</f>
        <v>95.977582505484136</v>
      </c>
    </row>
    <row r="1989" spans="1:17" x14ac:dyDescent="0.2">
      <c r="A1989">
        <f>YEAR(D1989)</f>
        <v>2019</v>
      </c>
      <c r="B1989" t="s">
        <v>26</v>
      </c>
      <c r="C1989" s="2" t="s">
        <v>3023</v>
      </c>
      <c r="D1989" s="1">
        <v>43532</v>
      </c>
      <c r="E1989">
        <f>MONTH(D1989)</f>
        <v>3</v>
      </c>
      <c r="F1989" s="2" t="s">
        <v>19</v>
      </c>
      <c r="G1989" t="s">
        <v>20</v>
      </c>
      <c r="H1989" t="s">
        <v>149</v>
      </c>
      <c r="I1989" t="s">
        <v>36</v>
      </c>
      <c r="J1989" s="2" t="s">
        <v>42</v>
      </c>
      <c r="K1989" s="2" t="s">
        <v>3019</v>
      </c>
      <c r="L1989" t="s">
        <v>25</v>
      </c>
      <c r="M1989" s="8">
        <v>1.032666667</v>
      </c>
      <c r="N1989" t="s">
        <v>26</v>
      </c>
      <c r="O1989" s="8">
        <v>1.032666667</v>
      </c>
      <c r="P1989" s="8">
        <f>EXP(-1.363+3.366*LOG(O1989,10))</f>
        <v>0.26820327281159584</v>
      </c>
      <c r="Q1989" s="8">
        <f>(8197453*100)/8541008</f>
        <v>95.977582505484136</v>
      </c>
    </row>
    <row r="1990" spans="1:17" x14ac:dyDescent="0.2">
      <c r="A1990">
        <f>YEAR(D1990)</f>
        <v>2019</v>
      </c>
      <c r="B1990" t="s">
        <v>26</v>
      </c>
      <c r="C1990" s="2" t="s">
        <v>50</v>
      </c>
      <c r="D1990" s="1">
        <v>43535</v>
      </c>
      <c r="E1990">
        <f>MONTH(D1990)</f>
        <v>3</v>
      </c>
      <c r="F1990" s="2" t="s">
        <v>19</v>
      </c>
      <c r="G1990" t="s">
        <v>20</v>
      </c>
      <c r="H1990" t="s">
        <v>149</v>
      </c>
      <c r="I1990" t="s">
        <v>36</v>
      </c>
      <c r="J1990" t="s">
        <v>42</v>
      </c>
      <c r="K1990" s="2" t="s">
        <v>3019</v>
      </c>
      <c r="L1990" t="s">
        <v>25</v>
      </c>
      <c r="M1990" s="8">
        <v>1.032666667</v>
      </c>
      <c r="N1990" t="s">
        <v>26</v>
      </c>
      <c r="O1990" s="8">
        <v>1.032666667</v>
      </c>
      <c r="P1990" s="8">
        <f>EXP(-1.363+3.366*LOG(O1990,10))</f>
        <v>0.26820327281159584</v>
      </c>
      <c r="Q1990" s="8">
        <f>(4488342*100)/4914798</f>
        <v>91.323020803703429</v>
      </c>
    </row>
    <row r="1991" spans="1:17" x14ac:dyDescent="0.2">
      <c r="A1991">
        <f>YEAR(D1991)</f>
        <v>2019</v>
      </c>
      <c r="B1991" t="s">
        <v>26</v>
      </c>
      <c r="C1991" s="2" t="s">
        <v>50</v>
      </c>
      <c r="D1991" s="1">
        <v>43535</v>
      </c>
      <c r="E1991">
        <f>MONTH(D1991)</f>
        <v>3</v>
      </c>
      <c r="F1991" s="2" t="s">
        <v>19</v>
      </c>
      <c r="G1991" t="s">
        <v>20</v>
      </c>
      <c r="H1991" t="s">
        <v>149</v>
      </c>
      <c r="I1991" t="s">
        <v>36</v>
      </c>
      <c r="J1991" t="s">
        <v>42</v>
      </c>
      <c r="K1991" s="2" t="s">
        <v>3019</v>
      </c>
      <c r="L1991" t="s">
        <v>25</v>
      </c>
      <c r="M1991" s="8">
        <v>1.032666667</v>
      </c>
      <c r="N1991" t="s">
        <v>26</v>
      </c>
      <c r="O1991" s="8">
        <v>1.032666667</v>
      </c>
      <c r="P1991" s="8">
        <f>EXP(-1.363+3.366*LOG(O1991,10))</f>
        <v>0.26820327281159584</v>
      </c>
      <c r="Q1991" s="8">
        <f>(4488342*100)/4914798</f>
        <v>91.323020803703429</v>
      </c>
    </row>
    <row r="1992" spans="1:17" x14ac:dyDescent="0.2">
      <c r="A1992">
        <f>YEAR(D1992)</f>
        <v>2019</v>
      </c>
      <c r="B1992" t="s">
        <v>26</v>
      </c>
      <c r="C1992" s="2" t="s">
        <v>50</v>
      </c>
      <c r="D1992" s="1">
        <v>43535</v>
      </c>
      <c r="E1992">
        <f>MONTH(D1992)</f>
        <v>3</v>
      </c>
      <c r="F1992" s="2" t="s">
        <v>19</v>
      </c>
      <c r="G1992" t="s">
        <v>20</v>
      </c>
      <c r="H1992" t="s">
        <v>149</v>
      </c>
      <c r="I1992" t="s">
        <v>36</v>
      </c>
      <c r="J1992" t="s">
        <v>42</v>
      </c>
      <c r="K1992" s="2" t="s">
        <v>3019</v>
      </c>
      <c r="L1992" t="s">
        <v>25</v>
      </c>
      <c r="M1992" s="8">
        <v>1.032666667</v>
      </c>
      <c r="N1992" t="s">
        <v>26</v>
      </c>
      <c r="O1992" s="8">
        <v>1.032666667</v>
      </c>
      <c r="P1992" s="8">
        <f>EXP(-1.363+3.366*LOG(O1992,10))</f>
        <v>0.26820327281159584</v>
      </c>
      <c r="Q1992" s="8">
        <f>(4488342*100)/4914798</f>
        <v>91.323020803703429</v>
      </c>
    </row>
    <row r="1993" spans="1:17" x14ac:dyDescent="0.2">
      <c r="A1993">
        <f>YEAR(D1993)</f>
        <v>2019</v>
      </c>
      <c r="B1993" t="s">
        <v>26</v>
      </c>
      <c r="C1993" s="2" t="s">
        <v>50</v>
      </c>
      <c r="D1993" s="1">
        <v>43535</v>
      </c>
      <c r="E1993">
        <f>MONTH(D1993)</f>
        <v>3</v>
      </c>
      <c r="F1993" s="2" t="s">
        <v>2098</v>
      </c>
      <c r="G1993" t="s">
        <v>352</v>
      </c>
      <c r="H1993" t="s">
        <v>623</v>
      </c>
      <c r="I1993" t="s">
        <v>22</v>
      </c>
      <c r="J1993" t="s">
        <v>42</v>
      </c>
      <c r="K1993" s="2" t="s">
        <v>3019</v>
      </c>
      <c r="L1993" t="s">
        <v>25</v>
      </c>
      <c r="M1993" s="8">
        <v>1.387</v>
      </c>
      <c r="N1993" t="s">
        <v>26</v>
      </c>
      <c r="O1993" s="8">
        <v>1.387</v>
      </c>
      <c r="P1993" s="8">
        <f>EXP(-1.363+3.366*LOG(O1993,10))</f>
        <v>0.41280884754947733</v>
      </c>
      <c r="Q1993" s="8">
        <f>(4488342*100)/4914798</f>
        <v>91.323020803703429</v>
      </c>
    </row>
    <row r="1994" spans="1:17" x14ac:dyDescent="0.2">
      <c r="A1994">
        <f>YEAR(D1994)</f>
        <v>2019</v>
      </c>
      <c r="B1994" t="s">
        <v>26</v>
      </c>
      <c r="C1994" s="2" t="s">
        <v>50</v>
      </c>
      <c r="D1994" s="1">
        <v>43535</v>
      </c>
      <c r="E1994">
        <f>MONTH(D1994)</f>
        <v>3</v>
      </c>
      <c r="F1994" s="2" t="s">
        <v>19</v>
      </c>
      <c r="G1994" s="2" t="s">
        <v>20</v>
      </c>
      <c r="H1994" t="s">
        <v>45</v>
      </c>
      <c r="I1994" t="s">
        <v>22</v>
      </c>
      <c r="J1994" t="s">
        <v>42</v>
      </c>
      <c r="K1994" s="2" t="s">
        <v>3019</v>
      </c>
      <c r="L1994" t="s">
        <v>25</v>
      </c>
      <c r="M1994" s="8">
        <v>1.903333333</v>
      </c>
      <c r="N1994" t="s">
        <v>26</v>
      </c>
      <c r="O1994" s="8">
        <v>1.903333333</v>
      </c>
      <c r="P1994" s="8">
        <f>EXP(-1.363+3.366*LOG(O1994,10))</f>
        <v>0.65563371760507783</v>
      </c>
      <c r="Q1994" s="8">
        <f>(4488342*100)/4914798</f>
        <v>91.323020803703429</v>
      </c>
    </row>
    <row r="1995" spans="1:17" x14ac:dyDescent="0.2">
      <c r="A1995">
        <f>YEAR(D1995)</f>
        <v>2019</v>
      </c>
      <c r="B1995" t="s">
        <v>26</v>
      </c>
      <c r="C1995" s="2" t="s">
        <v>50</v>
      </c>
      <c r="D1995" s="1">
        <v>43535</v>
      </c>
      <c r="E1995">
        <f>MONTH(D1995)</f>
        <v>3</v>
      </c>
      <c r="F1995" s="2" t="s">
        <v>19</v>
      </c>
      <c r="G1995" t="s">
        <v>20</v>
      </c>
      <c r="H1995" t="s">
        <v>149</v>
      </c>
      <c r="I1995" t="s">
        <v>36</v>
      </c>
      <c r="J1995" t="s">
        <v>42</v>
      </c>
      <c r="K1995" s="2" t="s">
        <v>3019</v>
      </c>
      <c r="L1995" t="s">
        <v>25</v>
      </c>
      <c r="M1995" s="8">
        <v>1.032666667</v>
      </c>
      <c r="N1995" t="s">
        <v>26</v>
      </c>
      <c r="O1995" s="8">
        <v>1.032666667</v>
      </c>
      <c r="P1995" s="8">
        <f>EXP(-1.363+3.366*LOG(O1995,10))</f>
        <v>0.26820327281159584</v>
      </c>
      <c r="Q1995" s="8">
        <f>(4488342*100)/4914798</f>
        <v>91.323020803703429</v>
      </c>
    </row>
    <row r="1996" spans="1:17" x14ac:dyDescent="0.2">
      <c r="A1996">
        <f>YEAR(D1996)</f>
        <v>2019</v>
      </c>
      <c r="B1996" t="s">
        <v>26</v>
      </c>
      <c r="C1996" s="2" t="s">
        <v>50</v>
      </c>
      <c r="D1996" s="1">
        <v>43535</v>
      </c>
      <c r="E1996">
        <f>MONTH(D1996)</f>
        <v>3</v>
      </c>
      <c r="F1996" s="2" t="s">
        <v>19</v>
      </c>
      <c r="G1996" t="s">
        <v>20</v>
      </c>
      <c r="H1996" t="s">
        <v>149</v>
      </c>
      <c r="I1996" t="s">
        <v>36</v>
      </c>
      <c r="J1996" t="s">
        <v>42</v>
      </c>
      <c r="K1996" s="2" t="s">
        <v>3019</v>
      </c>
      <c r="L1996" t="s">
        <v>25</v>
      </c>
      <c r="M1996" s="8">
        <v>1.032666667</v>
      </c>
      <c r="N1996" t="s">
        <v>26</v>
      </c>
      <c r="O1996" s="8">
        <v>1.032666667</v>
      </c>
      <c r="P1996" s="8">
        <f>EXP(-1.363+3.366*LOG(O1996,10))</f>
        <v>0.26820327281159584</v>
      </c>
      <c r="Q1996" s="8">
        <f>(4488342*100)/4914798</f>
        <v>91.323020803703429</v>
      </c>
    </row>
    <row r="1997" spans="1:17" x14ac:dyDescent="0.2">
      <c r="A1997">
        <f>YEAR(D1997)</f>
        <v>2019</v>
      </c>
      <c r="B1997" t="s">
        <v>26</v>
      </c>
      <c r="C1997" s="2" t="s">
        <v>50</v>
      </c>
      <c r="D1997" s="1">
        <v>43535</v>
      </c>
      <c r="E1997">
        <f>MONTH(D1997)</f>
        <v>3</v>
      </c>
      <c r="F1997" s="2" t="s">
        <v>19</v>
      </c>
      <c r="G1997" t="s">
        <v>20</v>
      </c>
      <c r="H1997" t="s">
        <v>149</v>
      </c>
      <c r="I1997" t="s">
        <v>36</v>
      </c>
      <c r="J1997" t="s">
        <v>42</v>
      </c>
      <c r="K1997" s="2" t="s">
        <v>3019</v>
      </c>
      <c r="L1997" t="s">
        <v>25</v>
      </c>
      <c r="M1997" s="8">
        <v>1.032666667</v>
      </c>
      <c r="N1997" t="s">
        <v>26</v>
      </c>
      <c r="O1997" s="8">
        <v>1.032666667</v>
      </c>
      <c r="P1997" s="8">
        <f>EXP(-1.363+3.366*LOG(O1997,10))</f>
        <v>0.26820327281159584</v>
      </c>
      <c r="Q1997" s="8">
        <f>(4488342*100)/4914798</f>
        <v>91.323020803703429</v>
      </c>
    </row>
    <row r="1998" spans="1:17" x14ac:dyDescent="0.2">
      <c r="A1998">
        <f>YEAR(D1998)</f>
        <v>2019</v>
      </c>
      <c r="B1998" t="s">
        <v>26</v>
      </c>
      <c r="C1998" s="2" t="s">
        <v>50</v>
      </c>
      <c r="D1998" s="1">
        <v>43535</v>
      </c>
      <c r="E1998">
        <f>MONTH(D1998)</f>
        <v>3</v>
      </c>
      <c r="F1998" s="2" t="s">
        <v>19</v>
      </c>
      <c r="G1998" t="s">
        <v>20</v>
      </c>
      <c r="H1998" t="s">
        <v>149</v>
      </c>
      <c r="I1998" t="s">
        <v>22</v>
      </c>
      <c r="J1998" t="s">
        <v>42</v>
      </c>
      <c r="K1998" s="2" t="s">
        <v>3019</v>
      </c>
      <c r="L1998" t="s">
        <v>25</v>
      </c>
      <c r="M1998" s="8">
        <v>1.45</v>
      </c>
      <c r="N1998" t="s">
        <v>26</v>
      </c>
      <c r="O1998" s="8">
        <v>1.45</v>
      </c>
      <c r="P1998" s="8">
        <f>EXP(-1.363+3.366*LOG(O1998,10))</f>
        <v>0.44050419760124854</v>
      </c>
      <c r="Q1998" s="8">
        <f>(4488342*100)/4914798</f>
        <v>91.323020803703429</v>
      </c>
    </row>
    <row r="1999" spans="1:17" x14ac:dyDescent="0.2">
      <c r="A1999">
        <f>YEAR(D1999)</f>
        <v>2019</v>
      </c>
      <c r="B1999" t="s">
        <v>26</v>
      </c>
      <c r="C1999" s="2" t="s">
        <v>50</v>
      </c>
      <c r="D1999" s="1">
        <v>43535</v>
      </c>
      <c r="E1999">
        <f>MONTH(D1999)</f>
        <v>3</v>
      </c>
      <c r="F1999" s="2" t="s">
        <v>19</v>
      </c>
      <c r="G1999" t="s">
        <v>20</v>
      </c>
      <c r="H1999" t="s">
        <v>149</v>
      </c>
      <c r="I1999" t="s">
        <v>22</v>
      </c>
      <c r="J1999" t="s">
        <v>42</v>
      </c>
      <c r="K1999" s="2" t="s">
        <v>3019</v>
      </c>
      <c r="L1999" t="s">
        <v>25</v>
      </c>
      <c r="M1999" s="8">
        <v>1.45</v>
      </c>
      <c r="N1999" t="s">
        <v>26</v>
      </c>
      <c r="O1999" s="8">
        <v>1.45</v>
      </c>
      <c r="P1999" s="8">
        <f>EXP(-1.363+3.366*LOG(O1999,10))</f>
        <v>0.44050419760124854</v>
      </c>
      <c r="Q1999" s="8">
        <f>(4488342*100)/4914798</f>
        <v>91.323020803703429</v>
      </c>
    </row>
    <row r="2000" spans="1:17" x14ac:dyDescent="0.2">
      <c r="A2000">
        <f>YEAR(D2000)</f>
        <v>2019</v>
      </c>
      <c r="B2000" t="s">
        <v>26</v>
      </c>
      <c r="C2000" s="2" t="s">
        <v>50</v>
      </c>
      <c r="D2000" s="1">
        <v>43535</v>
      </c>
      <c r="E2000">
        <f>MONTH(D2000)</f>
        <v>3</v>
      </c>
      <c r="F2000" s="2" t="s">
        <v>19</v>
      </c>
      <c r="G2000" t="s">
        <v>352</v>
      </c>
      <c r="H2000" t="s">
        <v>747</v>
      </c>
      <c r="I2000" t="s">
        <v>22</v>
      </c>
      <c r="J2000" t="s">
        <v>42</v>
      </c>
      <c r="K2000" s="2" t="s">
        <v>3019</v>
      </c>
      <c r="L2000" t="s">
        <v>25</v>
      </c>
      <c r="M2000" s="8">
        <v>1.3726666670000001</v>
      </c>
      <c r="N2000" t="s">
        <v>26</v>
      </c>
      <c r="O2000" s="8">
        <v>1.3726666670000001</v>
      </c>
      <c r="P2000" s="8">
        <f>EXP(-1.363+3.366*LOG(O2000,10))</f>
        <v>0.40658758379567089</v>
      </c>
      <c r="Q2000" s="8">
        <f>(4488342*100)/4914798</f>
        <v>91.323020803703429</v>
      </c>
    </row>
    <row r="2001" spans="1:17" x14ac:dyDescent="0.2">
      <c r="A2001">
        <f>YEAR(D2001)</f>
        <v>2019</v>
      </c>
      <c r="B2001" t="s">
        <v>26</v>
      </c>
      <c r="C2001" s="2" t="s">
        <v>50</v>
      </c>
      <c r="D2001" s="1">
        <v>43535</v>
      </c>
      <c r="E2001">
        <f>MONTH(D2001)</f>
        <v>3</v>
      </c>
      <c r="F2001" s="2" t="s">
        <v>19</v>
      </c>
      <c r="G2001" t="s">
        <v>20</v>
      </c>
      <c r="H2001" t="s">
        <v>149</v>
      </c>
      <c r="I2001" t="s">
        <v>22</v>
      </c>
      <c r="J2001" t="s">
        <v>42</v>
      </c>
      <c r="K2001" s="2" t="s">
        <v>3019</v>
      </c>
      <c r="L2001" t="s">
        <v>25</v>
      </c>
      <c r="M2001" s="8">
        <v>1.45</v>
      </c>
      <c r="N2001" t="s">
        <v>26</v>
      </c>
      <c r="O2001" s="8">
        <v>1.45</v>
      </c>
      <c r="P2001" s="8">
        <f>EXP(-1.363+3.366*LOG(O2001,10))</f>
        <v>0.44050419760124854</v>
      </c>
      <c r="Q2001" s="8">
        <f>(4488342*100)/4914798</f>
        <v>91.323020803703429</v>
      </c>
    </row>
    <row r="2002" spans="1:17" x14ac:dyDescent="0.2">
      <c r="A2002">
        <f>YEAR(D2002)</f>
        <v>2019</v>
      </c>
      <c r="B2002" t="s">
        <v>26</v>
      </c>
      <c r="C2002" s="2" t="s">
        <v>50</v>
      </c>
      <c r="D2002" s="1">
        <v>43535</v>
      </c>
      <c r="E2002">
        <f>MONTH(D2002)</f>
        <v>3</v>
      </c>
      <c r="F2002" s="2" t="s">
        <v>19</v>
      </c>
      <c r="G2002" t="s">
        <v>20</v>
      </c>
      <c r="H2002" t="s">
        <v>149</v>
      </c>
      <c r="I2002" t="s">
        <v>36</v>
      </c>
      <c r="J2002" t="s">
        <v>42</v>
      </c>
      <c r="K2002" s="2" t="s">
        <v>3019</v>
      </c>
      <c r="L2002" t="s">
        <v>25</v>
      </c>
      <c r="M2002" s="8">
        <v>1.032666667</v>
      </c>
      <c r="N2002" t="s">
        <v>26</v>
      </c>
      <c r="O2002" s="8">
        <v>1.032666667</v>
      </c>
      <c r="P2002" s="8">
        <f>EXP(-1.363+3.366*LOG(O2002,10))</f>
        <v>0.26820327281159584</v>
      </c>
      <c r="Q2002" s="8">
        <f>(4488342*100)/4914798</f>
        <v>91.323020803703429</v>
      </c>
    </row>
    <row r="2003" spans="1:17" x14ac:dyDescent="0.2">
      <c r="A2003">
        <f>YEAR(D2003)</f>
        <v>2019</v>
      </c>
      <c r="B2003" t="s">
        <v>26</v>
      </c>
      <c r="C2003" s="2" t="s">
        <v>50</v>
      </c>
      <c r="D2003" s="1">
        <v>43535</v>
      </c>
      <c r="E2003">
        <f>MONTH(D2003)</f>
        <v>3</v>
      </c>
      <c r="F2003" s="2" t="s">
        <v>19</v>
      </c>
      <c r="G2003" t="s">
        <v>20</v>
      </c>
      <c r="H2003" t="s">
        <v>149</v>
      </c>
      <c r="I2003" t="s">
        <v>36</v>
      </c>
      <c r="J2003" t="s">
        <v>42</v>
      </c>
      <c r="K2003" s="2" t="s">
        <v>3019</v>
      </c>
      <c r="L2003" t="s">
        <v>25</v>
      </c>
      <c r="M2003" s="8">
        <v>1.032666667</v>
      </c>
      <c r="N2003" t="s">
        <v>26</v>
      </c>
      <c r="O2003" s="8">
        <v>1.032666667</v>
      </c>
      <c r="P2003" s="8">
        <f>EXP(-1.363+3.366*LOG(O2003,10))</f>
        <v>0.26820327281159584</v>
      </c>
      <c r="Q2003" s="8">
        <f>(4488342*100)/4914798</f>
        <v>91.323020803703429</v>
      </c>
    </row>
    <row r="2004" spans="1:17" x14ac:dyDescent="0.2">
      <c r="A2004">
        <f>YEAR(D2004)</f>
        <v>2019</v>
      </c>
      <c r="B2004" t="s">
        <v>26</v>
      </c>
      <c r="C2004" s="2" t="s">
        <v>50</v>
      </c>
      <c r="D2004" s="1">
        <v>43535</v>
      </c>
      <c r="E2004">
        <f>MONTH(D2004)</f>
        <v>3</v>
      </c>
      <c r="F2004" s="2" t="s">
        <v>19</v>
      </c>
      <c r="G2004" t="s">
        <v>20</v>
      </c>
      <c r="H2004" t="s">
        <v>149</v>
      </c>
      <c r="I2004" t="s">
        <v>36</v>
      </c>
      <c r="J2004" t="s">
        <v>42</v>
      </c>
      <c r="K2004" s="2" t="s">
        <v>3019</v>
      </c>
      <c r="L2004" t="s">
        <v>25</v>
      </c>
      <c r="M2004" s="8">
        <v>1.032666667</v>
      </c>
      <c r="N2004" t="s">
        <v>26</v>
      </c>
      <c r="O2004" s="8">
        <v>1.032666667</v>
      </c>
      <c r="P2004" s="8">
        <f>EXP(-1.363+3.366*LOG(O2004,10))</f>
        <v>0.26820327281159584</v>
      </c>
      <c r="Q2004" s="8">
        <f>(4488342*100)/4914798</f>
        <v>91.323020803703429</v>
      </c>
    </row>
    <row r="2005" spans="1:17" x14ac:dyDescent="0.2">
      <c r="A2005">
        <f>YEAR(D2005)</f>
        <v>2019</v>
      </c>
      <c r="B2005" t="s">
        <v>26</v>
      </c>
      <c r="C2005" s="2" t="s">
        <v>50</v>
      </c>
      <c r="D2005" s="1">
        <v>43535</v>
      </c>
      <c r="E2005">
        <f>MONTH(D2005)</f>
        <v>3</v>
      </c>
      <c r="F2005" s="2" t="s">
        <v>19</v>
      </c>
      <c r="G2005" t="s">
        <v>20</v>
      </c>
      <c r="H2005" t="s">
        <v>1732</v>
      </c>
      <c r="I2005" t="s">
        <v>36</v>
      </c>
      <c r="J2005" t="s">
        <v>42</v>
      </c>
      <c r="K2005" s="2" t="s">
        <v>3019</v>
      </c>
      <c r="L2005" t="s">
        <v>25</v>
      </c>
      <c r="M2005" s="8">
        <v>1.234</v>
      </c>
      <c r="N2005" t="s">
        <v>26</v>
      </c>
      <c r="O2005" s="8">
        <v>1.234</v>
      </c>
      <c r="P2005" s="8">
        <f>EXP(-1.363+3.366*LOG(O2005,10))</f>
        <v>0.34797203123246861</v>
      </c>
      <c r="Q2005" s="8">
        <f>(4488342*100)/4914798</f>
        <v>91.323020803703429</v>
      </c>
    </row>
    <row r="2006" spans="1:17" x14ac:dyDescent="0.2">
      <c r="A2006">
        <f>YEAR(D2006)</f>
        <v>2019</v>
      </c>
      <c r="B2006" t="s">
        <v>26</v>
      </c>
      <c r="C2006" s="2" t="s">
        <v>50</v>
      </c>
      <c r="D2006" s="1">
        <v>43535</v>
      </c>
      <c r="E2006">
        <f>MONTH(D2006)</f>
        <v>3</v>
      </c>
      <c r="F2006" s="2" t="s">
        <v>19</v>
      </c>
      <c r="G2006" t="s">
        <v>20</v>
      </c>
      <c r="H2006" t="s">
        <v>149</v>
      </c>
      <c r="I2006" t="s">
        <v>36</v>
      </c>
      <c r="J2006" t="s">
        <v>42</v>
      </c>
      <c r="K2006" s="2" t="s">
        <v>3019</v>
      </c>
      <c r="L2006" t="s">
        <v>25</v>
      </c>
      <c r="M2006" s="8">
        <v>1.032666667</v>
      </c>
      <c r="N2006" t="s">
        <v>26</v>
      </c>
      <c r="O2006" s="8">
        <v>1.032666667</v>
      </c>
      <c r="P2006" s="8">
        <f>EXP(-1.363+3.366*LOG(O2006,10))</f>
        <v>0.26820327281159584</v>
      </c>
      <c r="Q2006" s="8">
        <f>(4488342*100)/4914798</f>
        <v>91.323020803703429</v>
      </c>
    </row>
    <row r="2007" spans="1:17" x14ac:dyDescent="0.2">
      <c r="A2007">
        <f>YEAR(D2007)</f>
        <v>2019</v>
      </c>
      <c r="B2007" t="s">
        <v>26</v>
      </c>
      <c r="C2007" s="2" t="s">
        <v>50</v>
      </c>
      <c r="D2007" s="1">
        <v>43535</v>
      </c>
      <c r="E2007">
        <f>MONTH(D2007)</f>
        <v>3</v>
      </c>
      <c r="F2007" s="2" t="s">
        <v>19</v>
      </c>
      <c r="G2007" t="s">
        <v>20</v>
      </c>
      <c r="H2007" t="s">
        <v>149</v>
      </c>
      <c r="I2007" t="s">
        <v>36</v>
      </c>
      <c r="J2007" t="s">
        <v>42</v>
      </c>
      <c r="K2007" s="2" t="s">
        <v>3019</v>
      </c>
      <c r="L2007" t="s">
        <v>25</v>
      </c>
      <c r="M2007" s="8">
        <v>1.032666667</v>
      </c>
      <c r="N2007" t="s">
        <v>26</v>
      </c>
      <c r="O2007" s="8">
        <v>1.032666667</v>
      </c>
      <c r="P2007" s="8">
        <f>EXP(-1.363+3.366*LOG(O2007,10))</f>
        <v>0.26820327281159584</v>
      </c>
      <c r="Q2007" s="8">
        <f>(4488342*100)/4914798</f>
        <v>91.323020803703429</v>
      </c>
    </row>
    <row r="2008" spans="1:17" x14ac:dyDescent="0.2">
      <c r="A2008">
        <f>YEAR(D2008)</f>
        <v>2019</v>
      </c>
      <c r="B2008" t="s">
        <v>26</v>
      </c>
      <c r="C2008" s="2" t="s">
        <v>50</v>
      </c>
      <c r="D2008" s="1">
        <v>43535</v>
      </c>
      <c r="E2008">
        <f>MONTH(D2008)</f>
        <v>3</v>
      </c>
      <c r="F2008" s="2" t="s">
        <v>19</v>
      </c>
      <c r="G2008" s="2" t="s">
        <v>20</v>
      </c>
      <c r="H2008" t="s">
        <v>45</v>
      </c>
      <c r="I2008" t="s">
        <v>36</v>
      </c>
      <c r="J2008" t="s">
        <v>42</v>
      </c>
      <c r="K2008" s="2" t="s">
        <v>3019</v>
      </c>
      <c r="L2008" t="s">
        <v>25</v>
      </c>
      <c r="M2008" s="8">
        <v>1.5053333330000001</v>
      </c>
      <c r="N2008" t="s">
        <v>26</v>
      </c>
      <c r="O2008" s="8">
        <v>1.5053333330000001</v>
      </c>
      <c r="P2008" s="8">
        <f>EXP(-1.363+3.366*LOG(O2008,10))</f>
        <v>0.46529279523463329</v>
      </c>
      <c r="Q2008" s="8">
        <f>(4488342*100)/4914798</f>
        <v>91.323020803703429</v>
      </c>
    </row>
    <row r="2009" spans="1:17" x14ac:dyDescent="0.2">
      <c r="A2009">
        <f>YEAR(D2009)</f>
        <v>2019</v>
      </c>
      <c r="B2009" t="s">
        <v>26</v>
      </c>
      <c r="C2009" s="2" t="s">
        <v>50</v>
      </c>
      <c r="D2009" s="1">
        <v>43535</v>
      </c>
      <c r="E2009">
        <f>MONTH(D2009)</f>
        <v>3</v>
      </c>
      <c r="F2009" s="2" t="s">
        <v>19</v>
      </c>
      <c r="G2009" s="2" t="s">
        <v>20</v>
      </c>
      <c r="H2009" t="s">
        <v>45</v>
      </c>
      <c r="I2009" t="s">
        <v>22</v>
      </c>
      <c r="J2009" t="s">
        <v>42</v>
      </c>
      <c r="K2009" s="2" t="s">
        <v>3019</v>
      </c>
      <c r="L2009" t="s">
        <v>25</v>
      </c>
      <c r="M2009" s="8">
        <v>1.903333333</v>
      </c>
      <c r="N2009" t="s">
        <v>26</v>
      </c>
      <c r="O2009" s="8">
        <v>1.903333333</v>
      </c>
      <c r="P2009" s="8">
        <f>EXP(-1.363+3.366*LOG(O2009,10))</f>
        <v>0.65563371760507783</v>
      </c>
      <c r="Q2009" s="8">
        <f>(4488342*100)/4914798</f>
        <v>91.323020803703429</v>
      </c>
    </row>
    <row r="2010" spans="1:17" x14ac:dyDescent="0.2">
      <c r="A2010">
        <f>YEAR(D2010)</f>
        <v>2019</v>
      </c>
      <c r="B2010" t="s">
        <v>26</v>
      </c>
      <c r="C2010" s="2" t="s">
        <v>50</v>
      </c>
      <c r="D2010" s="1">
        <v>43535</v>
      </c>
      <c r="E2010">
        <f>MONTH(D2010)</f>
        <v>3</v>
      </c>
      <c r="F2010" s="2" t="s">
        <v>19</v>
      </c>
      <c r="G2010" s="2" t="s">
        <v>20</v>
      </c>
      <c r="H2010" t="s">
        <v>45</v>
      </c>
      <c r="I2010" t="s">
        <v>22</v>
      </c>
      <c r="J2010" t="s">
        <v>42</v>
      </c>
      <c r="K2010" s="2" t="s">
        <v>3019</v>
      </c>
      <c r="L2010" t="s">
        <v>25</v>
      </c>
      <c r="M2010" s="8">
        <v>1.903333333</v>
      </c>
      <c r="N2010" t="s">
        <v>26</v>
      </c>
      <c r="O2010" s="8">
        <v>1.903333333</v>
      </c>
      <c r="P2010" s="8">
        <f>EXP(-1.363+3.366*LOG(O2010,10))</f>
        <v>0.65563371760507783</v>
      </c>
      <c r="Q2010" s="8">
        <f>(4488342*100)/4914798</f>
        <v>91.323020803703429</v>
      </c>
    </row>
    <row r="2011" spans="1:17" x14ac:dyDescent="0.2">
      <c r="A2011">
        <f>YEAR(D2011)</f>
        <v>2019</v>
      </c>
      <c r="B2011" t="s">
        <v>26</v>
      </c>
      <c r="C2011" s="2" t="s">
        <v>50</v>
      </c>
      <c r="D2011" s="1">
        <v>43535</v>
      </c>
      <c r="E2011">
        <f>MONTH(D2011)</f>
        <v>3</v>
      </c>
      <c r="F2011" s="2" t="s">
        <v>19</v>
      </c>
      <c r="G2011" s="2" t="s">
        <v>20</v>
      </c>
      <c r="H2011" t="s">
        <v>45</v>
      </c>
      <c r="I2011" t="s">
        <v>22</v>
      </c>
      <c r="J2011" t="s">
        <v>42</v>
      </c>
      <c r="K2011" s="2" t="s">
        <v>3019</v>
      </c>
      <c r="L2011" t="s">
        <v>25</v>
      </c>
      <c r="M2011" s="8">
        <v>1.903333333</v>
      </c>
      <c r="N2011" t="s">
        <v>26</v>
      </c>
      <c r="O2011" s="8">
        <v>1.903333333</v>
      </c>
      <c r="P2011" s="8">
        <f>EXP(-1.363+3.366*LOG(O2011,10))</f>
        <v>0.65563371760507783</v>
      </c>
      <c r="Q2011" s="8">
        <f>(4488342*100)/4914798</f>
        <v>91.323020803703429</v>
      </c>
    </row>
    <row r="2012" spans="1:17" x14ac:dyDescent="0.2">
      <c r="A2012">
        <f>YEAR(D2012)</f>
        <v>2019</v>
      </c>
      <c r="B2012" t="s">
        <v>26</v>
      </c>
      <c r="C2012" s="2" t="s">
        <v>50</v>
      </c>
      <c r="D2012" s="1">
        <v>43535</v>
      </c>
      <c r="E2012">
        <f>MONTH(D2012)</f>
        <v>3</v>
      </c>
      <c r="F2012" s="2" t="s">
        <v>19</v>
      </c>
      <c r="G2012" s="2" t="s">
        <v>20</v>
      </c>
      <c r="H2012" t="s">
        <v>45</v>
      </c>
      <c r="I2012" t="s">
        <v>36</v>
      </c>
      <c r="J2012" t="s">
        <v>42</v>
      </c>
      <c r="K2012" s="2" t="s">
        <v>3019</v>
      </c>
      <c r="L2012" t="s">
        <v>25</v>
      </c>
      <c r="M2012" s="8">
        <v>1.5053333330000001</v>
      </c>
      <c r="N2012" t="s">
        <v>26</v>
      </c>
      <c r="O2012" s="8">
        <v>1.5053333330000001</v>
      </c>
      <c r="P2012" s="8">
        <f>EXP(-1.363+3.366*LOG(O2012,10))</f>
        <v>0.46529279523463329</v>
      </c>
      <c r="Q2012" s="8">
        <f>(4488342*100)/4914798</f>
        <v>91.323020803703429</v>
      </c>
    </row>
    <row r="2013" spans="1:17" x14ac:dyDescent="0.2">
      <c r="A2013">
        <f>YEAR(D2013)</f>
        <v>2019</v>
      </c>
      <c r="B2013" t="s">
        <v>26</v>
      </c>
      <c r="C2013" s="2" t="s">
        <v>50</v>
      </c>
      <c r="D2013" s="1">
        <v>43535</v>
      </c>
      <c r="E2013">
        <f>MONTH(D2013)</f>
        <v>3</v>
      </c>
      <c r="F2013" s="2" t="s">
        <v>19</v>
      </c>
      <c r="G2013" s="2" t="s">
        <v>20</v>
      </c>
      <c r="H2013" t="s">
        <v>45</v>
      </c>
      <c r="I2013" t="s">
        <v>36</v>
      </c>
      <c r="J2013" t="s">
        <v>42</v>
      </c>
      <c r="K2013" s="2" t="s">
        <v>3019</v>
      </c>
      <c r="L2013" t="s">
        <v>25</v>
      </c>
      <c r="M2013" s="8">
        <v>1.5053333330000001</v>
      </c>
      <c r="N2013" t="s">
        <v>26</v>
      </c>
      <c r="O2013" s="8">
        <v>1.5053333330000001</v>
      </c>
      <c r="P2013" s="8">
        <f>EXP(-1.363+3.366*LOG(O2013,10))</f>
        <v>0.46529279523463329</v>
      </c>
      <c r="Q2013" s="8">
        <f>(4488342*100)/4914798</f>
        <v>91.323020803703429</v>
      </c>
    </row>
    <row r="2014" spans="1:17" x14ac:dyDescent="0.2">
      <c r="A2014">
        <f>YEAR(D2014)</f>
        <v>2019</v>
      </c>
      <c r="B2014" t="s">
        <v>26</v>
      </c>
      <c r="C2014" s="2" t="s">
        <v>50</v>
      </c>
      <c r="D2014" s="1">
        <v>43535</v>
      </c>
      <c r="E2014">
        <f>MONTH(D2014)</f>
        <v>3</v>
      </c>
      <c r="F2014" s="2" t="s">
        <v>19</v>
      </c>
      <c r="G2014" t="s">
        <v>20</v>
      </c>
      <c r="H2014" t="s">
        <v>149</v>
      </c>
      <c r="I2014" t="s">
        <v>22</v>
      </c>
      <c r="J2014" t="s">
        <v>42</v>
      </c>
      <c r="K2014" s="2" t="s">
        <v>3019</v>
      </c>
      <c r="L2014" t="s">
        <v>25</v>
      </c>
      <c r="M2014" s="8">
        <v>1.45</v>
      </c>
      <c r="N2014" t="s">
        <v>26</v>
      </c>
      <c r="O2014" s="8">
        <v>1.45</v>
      </c>
      <c r="P2014" s="8">
        <f>EXP(-1.363+3.366*LOG(O2014,10))</f>
        <v>0.44050419760124854</v>
      </c>
      <c r="Q2014" s="8">
        <f>(4488342*100)/4914798</f>
        <v>91.323020803703429</v>
      </c>
    </row>
    <row r="2015" spans="1:17" x14ac:dyDescent="0.2">
      <c r="A2015">
        <f>YEAR(D2015)</f>
        <v>2019</v>
      </c>
      <c r="B2015" t="s">
        <v>26</v>
      </c>
      <c r="C2015" s="2" t="s">
        <v>50</v>
      </c>
      <c r="D2015" s="1">
        <v>43535</v>
      </c>
      <c r="E2015">
        <f>MONTH(D2015)</f>
        <v>3</v>
      </c>
      <c r="F2015" s="2" t="s">
        <v>19</v>
      </c>
      <c r="G2015" t="s">
        <v>20</v>
      </c>
      <c r="H2015" t="s">
        <v>149</v>
      </c>
      <c r="I2015" t="s">
        <v>36</v>
      </c>
      <c r="J2015" t="s">
        <v>42</v>
      </c>
      <c r="K2015" s="2" t="s">
        <v>3019</v>
      </c>
      <c r="L2015" t="s">
        <v>25</v>
      </c>
      <c r="M2015" s="8">
        <v>1.032666667</v>
      </c>
      <c r="N2015" t="s">
        <v>26</v>
      </c>
      <c r="O2015" s="8">
        <v>1.032666667</v>
      </c>
      <c r="P2015" s="8">
        <f>EXP(-1.363+3.366*LOG(O2015,10))</f>
        <v>0.26820327281159584</v>
      </c>
      <c r="Q2015" s="8">
        <f>(4488342*100)/4914798</f>
        <v>91.323020803703429</v>
      </c>
    </row>
    <row r="2016" spans="1:17" x14ac:dyDescent="0.2">
      <c r="A2016">
        <f>YEAR(D2016)</f>
        <v>2019</v>
      </c>
      <c r="B2016" t="s">
        <v>26</v>
      </c>
      <c r="C2016" s="2" t="s">
        <v>50</v>
      </c>
      <c r="D2016" s="1">
        <v>43535</v>
      </c>
      <c r="E2016">
        <f>MONTH(D2016)</f>
        <v>3</v>
      </c>
      <c r="F2016" s="2" t="s">
        <v>19</v>
      </c>
      <c r="G2016" t="s">
        <v>352</v>
      </c>
      <c r="H2016" t="s">
        <v>623</v>
      </c>
      <c r="I2016" t="s">
        <v>22</v>
      </c>
      <c r="J2016" t="s">
        <v>42</v>
      </c>
      <c r="K2016" s="2" t="s">
        <v>3019</v>
      </c>
      <c r="L2016" t="s">
        <v>25</v>
      </c>
      <c r="M2016" s="8">
        <v>1.387</v>
      </c>
      <c r="N2016" t="s">
        <v>26</v>
      </c>
      <c r="O2016" s="8">
        <v>1.387</v>
      </c>
      <c r="P2016" s="8">
        <f>EXP(-1.363+3.366*LOG(O2016,10))</f>
        <v>0.41280884754947733</v>
      </c>
      <c r="Q2016" s="8">
        <f>(4488342*100)/4914798</f>
        <v>91.323020803703429</v>
      </c>
    </row>
    <row r="2017" spans="1:17" x14ac:dyDescent="0.2">
      <c r="A2017">
        <f>YEAR(D2017)</f>
        <v>2019</v>
      </c>
      <c r="B2017" t="s">
        <v>26</v>
      </c>
      <c r="C2017" s="2" t="s">
        <v>50</v>
      </c>
      <c r="D2017" s="1">
        <v>43535</v>
      </c>
      <c r="E2017">
        <f>MONTH(D2017)</f>
        <v>3</v>
      </c>
      <c r="F2017" s="2" t="s">
        <v>19</v>
      </c>
      <c r="G2017" t="s">
        <v>20</v>
      </c>
      <c r="H2017" t="s">
        <v>149</v>
      </c>
      <c r="I2017" t="s">
        <v>36</v>
      </c>
      <c r="J2017" t="s">
        <v>42</v>
      </c>
      <c r="K2017" s="2" t="s">
        <v>3019</v>
      </c>
      <c r="L2017" t="s">
        <v>25</v>
      </c>
      <c r="M2017" s="8">
        <v>1.032666667</v>
      </c>
      <c r="N2017" t="s">
        <v>26</v>
      </c>
      <c r="O2017" s="8">
        <v>1.032666667</v>
      </c>
      <c r="P2017" s="8">
        <f>EXP(-1.363+3.366*LOG(O2017,10))</f>
        <v>0.26820327281159584</v>
      </c>
      <c r="Q2017" s="8">
        <f>(4488342*100)/4914798</f>
        <v>91.323020803703429</v>
      </c>
    </row>
    <row r="2018" spans="1:17" x14ac:dyDescent="0.2">
      <c r="A2018">
        <f>YEAR(D2018)</f>
        <v>2019</v>
      </c>
      <c r="B2018" t="s">
        <v>26</v>
      </c>
      <c r="C2018" s="2" t="s">
        <v>50</v>
      </c>
      <c r="D2018" s="1">
        <v>43535</v>
      </c>
      <c r="E2018">
        <f>MONTH(D2018)</f>
        <v>3</v>
      </c>
      <c r="F2018" s="2" t="s">
        <v>19</v>
      </c>
      <c r="G2018" t="s">
        <v>352</v>
      </c>
      <c r="H2018" t="s">
        <v>623</v>
      </c>
      <c r="I2018" t="s">
        <v>22</v>
      </c>
      <c r="J2018" t="s">
        <v>42</v>
      </c>
      <c r="K2018" s="2" t="s">
        <v>3019</v>
      </c>
      <c r="L2018" t="s">
        <v>25</v>
      </c>
      <c r="M2018" s="8">
        <v>1.387</v>
      </c>
      <c r="N2018" t="s">
        <v>26</v>
      </c>
      <c r="O2018" s="8">
        <v>1.387</v>
      </c>
      <c r="P2018" s="8">
        <f>EXP(-1.363+3.366*LOG(O2018,10))</f>
        <v>0.41280884754947733</v>
      </c>
      <c r="Q2018" s="8">
        <f>(4488342*100)/4914798</f>
        <v>91.323020803703429</v>
      </c>
    </row>
    <row r="2019" spans="1:17" x14ac:dyDescent="0.2">
      <c r="A2019">
        <f>YEAR(D2019)</f>
        <v>2019</v>
      </c>
      <c r="B2019" t="s">
        <v>26</v>
      </c>
      <c r="C2019" s="2" t="s">
        <v>50</v>
      </c>
      <c r="D2019" s="1">
        <v>43535</v>
      </c>
      <c r="E2019">
        <f>MONTH(D2019)</f>
        <v>3</v>
      </c>
      <c r="F2019" s="2" t="s">
        <v>19</v>
      </c>
      <c r="G2019" t="s">
        <v>20</v>
      </c>
      <c r="H2019" t="s">
        <v>149</v>
      </c>
      <c r="I2019" t="s">
        <v>36</v>
      </c>
      <c r="J2019" t="s">
        <v>42</v>
      </c>
      <c r="K2019" s="2" t="s">
        <v>3019</v>
      </c>
      <c r="L2019" t="s">
        <v>25</v>
      </c>
      <c r="M2019" s="8">
        <v>1.032666667</v>
      </c>
      <c r="N2019" t="s">
        <v>26</v>
      </c>
      <c r="O2019" s="8">
        <v>1.032666667</v>
      </c>
      <c r="P2019" s="8">
        <f>EXP(-1.363+3.366*LOG(O2019,10))</f>
        <v>0.26820327281159584</v>
      </c>
      <c r="Q2019" s="8">
        <f>(4488342*100)/4914798</f>
        <v>91.323020803703429</v>
      </c>
    </row>
    <row r="2020" spans="1:17" x14ac:dyDescent="0.2">
      <c r="A2020">
        <f>YEAR(D2020)</f>
        <v>2019</v>
      </c>
      <c r="B2020" t="s">
        <v>26</v>
      </c>
      <c r="C2020" s="2" t="s">
        <v>50</v>
      </c>
      <c r="D2020" s="1">
        <v>43535</v>
      </c>
      <c r="E2020">
        <f>MONTH(D2020)</f>
        <v>3</v>
      </c>
      <c r="F2020" s="2" t="s">
        <v>19</v>
      </c>
      <c r="G2020" t="s">
        <v>1532</v>
      </c>
      <c r="H2020" t="s">
        <v>1944</v>
      </c>
      <c r="I2020" t="s">
        <v>36</v>
      </c>
      <c r="J2020" t="s">
        <v>42</v>
      </c>
      <c r="K2020" s="2" t="s">
        <v>3019</v>
      </c>
      <c r="L2020" t="s">
        <v>25</v>
      </c>
      <c r="M2020" s="8">
        <v>3.3290000000000002</v>
      </c>
      <c r="N2020" t="s">
        <v>26</v>
      </c>
      <c r="O2020" s="8">
        <v>3.3290000000000002</v>
      </c>
      <c r="P2020" s="8">
        <f>EXP(-1.363+3.366*LOG(O2020,10))</f>
        <v>1.484544861192558</v>
      </c>
      <c r="Q2020" s="8">
        <f>(4488342*100)/4914798</f>
        <v>91.323020803703429</v>
      </c>
    </row>
    <row r="2021" spans="1:17" x14ac:dyDescent="0.2">
      <c r="A2021">
        <f>YEAR(D2021)</f>
        <v>2019</v>
      </c>
      <c r="B2021" t="s">
        <v>26</v>
      </c>
      <c r="C2021" s="2" t="s">
        <v>50</v>
      </c>
      <c r="D2021" s="1">
        <v>43535</v>
      </c>
      <c r="E2021">
        <f>MONTH(D2021)</f>
        <v>3</v>
      </c>
      <c r="F2021" s="2" t="s">
        <v>19</v>
      </c>
      <c r="G2021" t="s">
        <v>20</v>
      </c>
      <c r="H2021" t="s">
        <v>149</v>
      </c>
      <c r="I2021" t="s">
        <v>22</v>
      </c>
      <c r="J2021" t="s">
        <v>42</v>
      </c>
      <c r="K2021" s="2" t="s">
        <v>3019</v>
      </c>
      <c r="L2021" t="s">
        <v>25</v>
      </c>
      <c r="M2021" s="8">
        <v>1.45</v>
      </c>
      <c r="N2021" t="s">
        <v>26</v>
      </c>
      <c r="O2021" s="8">
        <v>1.45</v>
      </c>
      <c r="P2021" s="8">
        <f>EXP(-1.363+3.366*LOG(O2021,10))</f>
        <v>0.44050419760124854</v>
      </c>
      <c r="Q2021" s="8">
        <f>(4488342*100)/4914798</f>
        <v>91.323020803703429</v>
      </c>
    </row>
    <row r="2022" spans="1:17" x14ac:dyDescent="0.2">
      <c r="A2022">
        <f>YEAR(D2022)</f>
        <v>2019</v>
      </c>
      <c r="B2022" t="s">
        <v>26</v>
      </c>
      <c r="C2022" s="2" t="s">
        <v>50</v>
      </c>
      <c r="D2022" s="1">
        <v>43535</v>
      </c>
      <c r="E2022">
        <f>MONTH(D2022)</f>
        <v>3</v>
      </c>
      <c r="F2022" s="2" t="s">
        <v>19</v>
      </c>
      <c r="G2022" t="s">
        <v>1532</v>
      </c>
      <c r="H2022" t="s">
        <v>1944</v>
      </c>
      <c r="I2022" t="s">
        <v>22</v>
      </c>
      <c r="J2022" t="s">
        <v>42</v>
      </c>
      <c r="K2022" s="2" t="s">
        <v>3019</v>
      </c>
      <c r="L2022" t="s">
        <v>25</v>
      </c>
      <c r="M2022" s="8">
        <v>3.7026666669999999</v>
      </c>
      <c r="N2022" t="s">
        <v>26</v>
      </c>
      <c r="O2022" s="8">
        <v>3.7026666669999999</v>
      </c>
      <c r="P2022" s="8">
        <f>EXP(-1.363+3.366*LOG(O2022,10))</f>
        <v>1.7343283127134672</v>
      </c>
      <c r="Q2022" s="8">
        <f>(4488342*100)/4914798</f>
        <v>91.323020803703429</v>
      </c>
    </row>
    <row r="2023" spans="1:17" x14ac:dyDescent="0.2">
      <c r="A2023">
        <f>YEAR(D2023)</f>
        <v>2019</v>
      </c>
      <c r="B2023" t="s">
        <v>26</v>
      </c>
      <c r="C2023" s="2" t="s">
        <v>50</v>
      </c>
      <c r="D2023" s="1">
        <v>43535</v>
      </c>
      <c r="E2023">
        <f>MONTH(D2023)</f>
        <v>3</v>
      </c>
      <c r="F2023" s="2" t="s">
        <v>19</v>
      </c>
      <c r="G2023" t="s">
        <v>1532</v>
      </c>
      <c r="H2023" t="s">
        <v>1944</v>
      </c>
      <c r="I2023" t="s">
        <v>36</v>
      </c>
      <c r="J2023" t="s">
        <v>42</v>
      </c>
      <c r="K2023" s="2" t="s">
        <v>3019</v>
      </c>
      <c r="L2023" t="s">
        <v>25</v>
      </c>
      <c r="M2023" s="8">
        <v>3.3290000000000002</v>
      </c>
      <c r="N2023" t="s">
        <v>26</v>
      </c>
      <c r="O2023" s="8">
        <v>3.3290000000000002</v>
      </c>
      <c r="P2023" s="8">
        <f>EXP(-1.363+3.366*LOG(O2023,10))</f>
        <v>1.484544861192558</v>
      </c>
      <c r="Q2023" s="8">
        <f>(4488342*100)/4914798</f>
        <v>91.323020803703429</v>
      </c>
    </row>
    <row r="2024" spans="1:17" x14ac:dyDescent="0.2">
      <c r="A2024">
        <f>YEAR(D2024)</f>
        <v>2019</v>
      </c>
      <c r="B2024" t="s">
        <v>26</v>
      </c>
      <c r="C2024" s="2" t="s">
        <v>1552</v>
      </c>
      <c r="D2024" s="1">
        <v>43536</v>
      </c>
      <c r="E2024">
        <f>MONTH(D2024)</f>
        <v>3</v>
      </c>
      <c r="F2024" s="2" t="s">
        <v>19</v>
      </c>
      <c r="G2024" t="s">
        <v>1532</v>
      </c>
      <c r="H2024" t="s">
        <v>1944</v>
      </c>
      <c r="I2024" t="s">
        <v>36</v>
      </c>
      <c r="J2024" t="s">
        <v>42</v>
      </c>
      <c r="K2024" s="2" t="s">
        <v>3019</v>
      </c>
      <c r="L2024" t="s">
        <v>25</v>
      </c>
      <c r="M2024" s="8">
        <v>3.3290000000000002</v>
      </c>
      <c r="N2024" t="s">
        <v>26</v>
      </c>
      <c r="O2024" s="8">
        <v>3.3290000000000002</v>
      </c>
      <c r="P2024" s="8">
        <f>EXP(-1.363+3.366*LOG(O2024,10))</f>
        <v>1.484544861192558</v>
      </c>
      <c r="Q2024" s="8">
        <f>(3738946*100)/3915493</f>
        <v>95.491065875995687</v>
      </c>
    </row>
    <row r="2025" spans="1:17" x14ac:dyDescent="0.2">
      <c r="A2025">
        <f>YEAR(D2025)</f>
        <v>2019</v>
      </c>
      <c r="B2025" t="s">
        <v>26</v>
      </c>
      <c r="C2025" s="2" t="s">
        <v>1552</v>
      </c>
      <c r="D2025" s="1">
        <v>43536</v>
      </c>
      <c r="E2025">
        <f>MONTH(D2025)</f>
        <v>3</v>
      </c>
      <c r="F2025" s="2" t="s">
        <v>19</v>
      </c>
      <c r="G2025" t="s">
        <v>20</v>
      </c>
      <c r="H2025" t="s">
        <v>149</v>
      </c>
      <c r="I2025" t="s">
        <v>36</v>
      </c>
      <c r="J2025" t="s">
        <v>42</v>
      </c>
      <c r="K2025" s="2" t="s">
        <v>3019</v>
      </c>
      <c r="L2025" t="s">
        <v>25</v>
      </c>
      <c r="M2025" s="8">
        <v>1.032666667</v>
      </c>
      <c r="N2025" t="s">
        <v>26</v>
      </c>
      <c r="O2025" s="8">
        <v>1.032666667</v>
      </c>
      <c r="P2025" s="8">
        <f>EXP(-1.363+3.366*LOG(O2025,10))</f>
        <v>0.26820327281159584</v>
      </c>
      <c r="Q2025" s="8">
        <f>(3738946*100)/3915493</f>
        <v>95.491065875995687</v>
      </c>
    </row>
    <row r="2026" spans="1:17" x14ac:dyDescent="0.2">
      <c r="A2026">
        <f>YEAR(D2026)</f>
        <v>2019</v>
      </c>
      <c r="B2026" t="s">
        <v>26</v>
      </c>
      <c r="C2026" s="2" t="s">
        <v>1552</v>
      </c>
      <c r="D2026" s="1">
        <v>43536</v>
      </c>
      <c r="E2026">
        <f>MONTH(D2026)</f>
        <v>3</v>
      </c>
      <c r="F2026" s="2" t="s">
        <v>19</v>
      </c>
      <c r="G2026" s="2" t="s">
        <v>20</v>
      </c>
      <c r="H2026" t="s">
        <v>45</v>
      </c>
      <c r="I2026" t="s">
        <v>36</v>
      </c>
      <c r="J2026" t="s">
        <v>42</v>
      </c>
      <c r="K2026" s="2" t="s">
        <v>3019</v>
      </c>
      <c r="L2026" t="s">
        <v>25</v>
      </c>
      <c r="M2026" s="8">
        <v>1.5053333330000001</v>
      </c>
      <c r="N2026" t="s">
        <v>26</v>
      </c>
      <c r="O2026" s="8">
        <v>1.5053333330000001</v>
      </c>
      <c r="P2026" s="8">
        <f>EXP(-1.363+3.366*LOG(O2026,10))</f>
        <v>0.46529279523463329</v>
      </c>
      <c r="Q2026" s="8">
        <f>(3738946*100)/3915493</f>
        <v>95.491065875995687</v>
      </c>
    </row>
    <row r="2027" spans="1:17" x14ac:dyDescent="0.2">
      <c r="A2027">
        <f>YEAR(D2027)</f>
        <v>2019</v>
      </c>
      <c r="B2027" t="s">
        <v>26</v>
      </c>
      <c r="C2027" s="2" t="s">
        <v>1552</v>
      </c>
      <c r="D2027" s="1">
        <v>43536</v>
      </c>
      <c r="E2027">
        <f>MONTH(D2027)</f>
        <v>3</v>
      </c>
      <c r="F2027" s="2" t="s">
        <v>19</v>
      </c>
      <c r="G2027" s="2" t="s">
        <v>20</v>
      </c>
      <c r="H2027" t="s">
        <v>45</v>
      </c>
      <c r="I2027" t="s">
        <v>22</v>
      </c>
      <c r="J2027" t="s">
        <v>42</v>
      </c>
      <c r="K2027" s="2" t="s">
        <v>3019</v>
      </c>
      <c r="L2027" t="s">
        <v>25</v>
      </c>
      <c r="M2027" s="8">
        <v>1.903333333</v>
      </c>
      <c r="N2027" t="s">
        <v>26</v>
      </c>
      <c r="O2027" s="8">
        <v>1.903333333</v>
      </c>
      <c r="P2027" s="8">
        <f>EXP(-1.363+3.366*LOG(O2027,10))</f>
        <v>0.65563371760507783</v>
      </c>
      <c r="Q2027" s="8">
        <f>(3738946*100)/3915493</f>
        <v>95.491065875995687</v>
      </c>
    </row>
    <row r="2028" spans="1:17" x14ac:dyDescent="0.2">
      <c r="A2028">
        <f>YEAR(D2028)</f>
        <v>2019</v>
      </c>
      <c r="B2028" t="s">
        <v>26</v>
      </c>
      <c r="C2028" s="2" t="s">
        <v>1552</v>
      </c>
      <c r="D2028" s="1">
        <v>43536</v>
      </c>
      <c r="E2028">
        <f>MONTH(D2028)</f>
        <v>3</v>
      </c>
      <c r="F2028" s="2" t="s">
        <v>19</v>
      </c>
      <c r="G2028" t="s">
        <v>303</v>
      </c>
      <c r="H2028" t="s">
        <v>1931</v>
      </c>
      <c r="I2028" t="s">
        <v>36</v>
      </c>
      <c r="J2028" t="s">
        <v>42</v>
      </c>
      <c r="K2028" s="2" t="s">
        <v>3019</v>
      </c>
      <c r="L2028" t="s">
        <v>305</v>
      </c>
      <c r="M2028" s="8">
        <v>1.3434999999999999</v>
      </c>
      <c r="N2028" t="s">
        <v>26</v>
      </c>
      <c r="O2028" s="8">
        <v>1.3434999999999999</v>
      </c>
      <c r="P2028" s="8">
        <f>EXP(-1.363+3.366*LOG(O2028,10))</f>
        <v>0.3940206341206498</v>
      </c>
      <c r="Q2028" s="8">
        <f>(3738946*100)/3915493</f>
        <v>95.491065875995687</v>
      </c>
    </row>
    <row r="2029" spans="1:17" x14ac:dyDescent="0.2">
      <c r="A2029">
        <f>YEAR(D2029)</f>
        <v>2019</v>
      </c>
      <c r="B2029" t="s">
        <v>26</v>
      </c>
      <c r="C2029" s="2" t="s">
        <v>1552</v>
      </c>
      <c r="D2029" s="1">
        <v>43536</v>
      </c>
      <c r="E2029">
        <f>MONTH(D2029)</f>
        <v>3</v>
      </c>
      <c r="F2029" s="2" t="s">
        <v>19</v>
      </c>
      <c r="G2029" t="s">
        <v>219</v>
      </c>
      <c r="H2029" t="s">
        <v>220</v>
      </c>
      <c r="I2029" t="s">
        <v>22</v>
      </c>
      <c r="J2029" t="s">
        <v>42</v>
      </c>
      <c r="K2029" s="2" t="s">
        <v>3019</v>
      </c>
      <c r="L2029" t="s">
        <v>25</v>
      </c>
      <c r="M2029" s="10" t="s">
        <v>26</v>
      </c>
      <c r="N2029" t="s">
        <v>26</v>
      </c>
      <c r="O2029" s="10" t="s">
        <v>26</v>
      </c>
      <c r="P2029" s="8" t="s">
        <v>26</v>
      </c>
      <c r="Q2029" s="8">
        <f>(3738946*100)/3915493</f>
        <v>95.491065875995687</v>
      </c>
    </row>
    <row r="2030" spans="1:17" x14ac:dyDescent="0.2">
      <c r="A2030">
        <f>YEAR(D2030)</f>
        <v>2019</v>
      </c>
      <c r="B2030" t="s">
        <v>26</v>
      </c>
      <c r="C2030" s="2" t="s">
        <v>1552</v>
      </c>
      <c r="D2030" s="1">
        <v>43536</v>
      </c>
      <c r="E2030">
        <f>MONTH(D2030)</f>
        <v>3</v>
      </c>
      <c r="F2030" s="2" t="s">
        <v>19</v>
      </c>
      <c r="G2030" t="s">
        <v>1532</v>
      </c>
      <c r="H2030" t="s">
        <v>1533</v>
      </c>
      <c r="I2030" t="s">
        <v>36</v>
      </c>
      <c r="J2030" t="s">
        <v>42</v>
      </c>
      <c r="K2030" s="2" t="s">
        <v>3019</v>
      </c>
      <c r="L2030" t="s">
        <v>25</v>
      </c>
      <c r="M2030" s="8">
        <v>2.63</v>
      </c>
      <c r="N2030" t="s">
        <v>26</v>
      </c>
      <c r="O2030" s="8">
        <v>2.63</v>
      </c>
      <c r="P2030" s="8">
        <f>EXP(-1.363+3.366*LOG(O2030,10))</f>
        <v>1.0518715955632558</v>
      </c>
      <c r="Q2030" s="8">
        <f>(3738946*100)/3915493</f>
        <v>95.491065875995687</v>
      </c>
    </row>
    <row r="2031" spans="1:17" x14ac:dyDescent="0.2">
      <c r="A2031">
        <f>YEAR(D2031)</f>
        <v>2019</v>
      </c>
      <c r="B2031" t="s">
        <v>26</v>
      </c>
      <c r="C2031" s="2" t="s">
        <v>3024</v>
      </c>
      <c r="D2031" s="1">
        <v>43543</v>
      </c>
      <c r="E2031">
        <f>MONTH(D2031)</f>
        <v>3</v>
      </c>
      <c r="F2031" s="2" t="s">
        <v>2098</v>
      </c>
      <c r="G2031" t="s">
        <v>219</v>
      </c>
      <c r="H2031" t="s">
        <v>220</v>
      </c>
      <c r="I2031" t="s">
        <v>22</v>
      </c>
      <c r="J2031" s="2" t="s">
        <v>42</v>
      </c>
      <c r="K2031" s="2" t="s">
        <v>3019</v>
      </c>
      <c r="L2031" t="s">
        <v>25</v>
      </c>
      <c r="M2031" s="10" t="s">
        <v>26</v>
      </c>
      <c r="N2031" t="s">
        <v>26</v>
      </c>
      <c r="O2031" s="10" t="s">
        <v>26</v>
      </c>
      <c r="P2031" s="8" t="s">
        <v>26</v>
      </c>
      <c r="Q2031" s="8">
        <f>(2412691*100)/2623642</f>
        <v>91.959611867777696</v>
      </c>
    </row>
    <row r="2032" spans="1:17" x14ac:dyDescent="0.2">
      <c r="A2032">
        <f>YEAR(D2032)</f>
        <v>2019</v>
      </c>
      <c r="B2032" t="s">
        <v>26</v>
      </c>
      <c r="C2032" s="2" t="s">
        <v>3024</v>
      </c>
      <c r="D2032" s="1">
        <v>43543</v>
      </c>
      <c r="E2032">
        <f>MONTH(D2032)</f>
        <v>3</v>
      </c>
      <c r="F2032" s="2" t="s">
        <v>2098</v>
      </c>
      <c r="G2032" t="s">
        <v>352</v>
      </c>
      <c r="H2032" t="s">
        <v>1142</v>
      </c>
      <c r="I2032" t="s">
        <v>22</v>
      </c>
      <c r="J2032" s="2" t="s">
        <v>42</v>
      </c>
      <c r="K2032" s="2" t="s">
        <v>3019</v>
      </c>
      <c r="L2032" t="s">
        <v>25</v>
      </c>
      <c r="M2032" s="8">
        <v>1.1423333330000001</v>
      </c>
      <c r="N2032" t="s">
        <v>26</v>
      </c>
      <c r="O2032" s="8">
        <v>1.1423333330000001</v>
      </c>
      <c r="P2032" s="8">
        <f>EXP(-1.363+3.366*LOG(O2032,10))</f>
        <v>0.31084239358261528</v>
      </c>
      <c r="Q2032" s="8">
        <f>(2412691*100)/2623642</f>
        <v>91.959611867777696</v>
      </c>
    </row>
    <row r="2033" spans="1:17" x14ac:dyDescent="0.2">
      <c r="A2033">
        <f>YEAR(D2033)</f>
        <v>2019</v>
      </c>
      <c r="B2033" t="s">
        <v>26</v>
      </c>
      <c r="C2033" s="2" t="s">
        <v>3024</v>
      </c>
      <c r="D2033" s="1">
        <v>43543</v>
      </c>
      <c r="E2033">
        <f>MONTH(D2033)</f>
        <v>3</v>
      </c>
      <c r="F2033" s="2" t="s">
        <v>2098</v>
      </c>
      <c r="G2033" t="s">
        <v>219</v>
      </c>
      <c r="H2033" t="s">
        <v>220</v>
      </c>
      <c r="I2033" t="s">
        <v>22</v>
      </c>
      <c r="J2033" s="2" t="s">
        <v>42</v>
      </c>
      <c r="K2033" s="2" t="s">
        <v>3019</v>
      </c>
      <c r="L2033" t="s">
        <v>25</v>
      </c>
      <c r="M2033" s="10" t="s">
        <v>26</v>
      </c>
      <c r="N2033" t="s">
        <v>26</v>
      </c>
      <c r="O2033" s="10" t="s">
        <v>26</v>
      </c>
      <c r="P2033" s="8" t="s">
        <v>26</v>
      </c>
      <c r="Q2033" s="8">
        <f>(2412691*100)/2623642</f>
        <v>91.959611867777696</v>
      </c>
    </row>
    <row r="2034" spans="1:17" x14ac:dyDescent="0.2">
      <c r="A2034">
        <f>YEAR(D2034)</f>
        <v>2019</v>
      </c>
      <c r="B2034" t="s">
        <v>26</v>
      </c>
      <c r="C2034" s="2" t="s">
        <v>3024</v>
      </c>
      <c r="D2034" s="1">
        <v>43543</v>
      </c>
      <c r="E2034">
        <f>MONTH(D2034)</f>
        <v>3</v>
      </c>
      <c r="F2034" s="2" t="s">
        <v>19</v>
      </c>
      <c r="G2034" t="s">
        <v>352</v>
      </c>
      <c r="H2034" t="s">
        <v>747</v>
      </c>
      <c r="I2034" t="s">
        <v>22</v>
      </c>
      <c r="J2034" s="2" t="s">
        <v>42</v>
      </c>
      <c r="K2034" s="2" t="s">
        <v>3019</v>
      </c>
      <c r="L2034" t="s">
        <v>25</v>
      </c>
      <c r="M2034" s="8">
        <v>1.3726666670000001</v>
      </c>
      <c r="N2034" t="s">
        <v>26</v>
      </c>
      <c r="O2034" s="8">
        <v>1.3726666670000001</v>
      </c>
      <c r="P2034" s="8">
        <f>EXP(-1.363+3.366*LOG(O2034,10))</f>
        <v>0.40658758379567089</v>
      </c>
      <c r="Q2034" s="8">
        <f>(2412691*100)/2623642</f>
        <v>91.959611867777696</v>
      </c>
    </row>
    <row r="2035" spans="1:17" x14ac:dyDescent="0.2">
      <c r="A2035">
        <f>YEAR(D2035)</f>
        <v>2019</v>
      </c>
      <c r="B2035" t="s">
        <v>26</v>
      </c>
      <c r="C2035" s="2" t="s">
        <v>3024</v>
      </c>
      <c r="D2035" s="1">
        <v>43543</v>
      </c>
      <c r="E2035">
        <f>MONTH(D2035)</f>
        <v>3</v>
      </c>
      <c r="F2035" s="2" t="s">
        <v>19</v>
      </c>
      <c r="G2035" t="s">
        <v>20</v>
      </c>
      <c r="H2035" t="s">
        <v>149</v>
      </c>
      <c r="I2035" t="s">
        <v>22</v>
      </c>
      <c r="J2035" s="2" t="s">
        <v>42</v>
      </c>
      <c r="K2035" s="2" t="s">
        <v>3019</v>
      </c>
      <c r="L2035" t="s">
        <v>25</v>
      </c>
      <c r="M2035" s="8">
        <v>1.45</v>
      </c>
      <c r="N2035" t="s">
        <v>26</v>
      </c>
      <c r="O2035" s="8">
        <v>1.45</v>
      </c>
      <c r="P2035" s="8">
        <f>EXP(-1.363+3.366*LOG(O2035,10))</f>
        <v>0.44050419760124854</v>
      </c>
      <c r="Q2035" s="8">
        <f>(2412691*100)/2623642</f>
        <v>91.959611867777696</v>
      </c>
    </row>
    <row r="2036" spans="1:17" x14ac:dyDescent="0.2">
      <c r="A2036">
        <f>YEAR(D2036)</f>
        <v>2019</v>
      </c>
      <c r="B2036" t="s">
        <v>26</v>
      </c>
      <c r="C2036" s="2" t="s">
        <v>3024</v>
      </c>
      <c r="D2036" s="1">
        <v>43543</v>
      </c>
      <c r="E2036">
        <f>MONTH(D2036)</f>
        <v>3</v>
      </c>
      <c r="F2036" s="2" t="s">
        <v>19</v>
      </c>
      <c r="G2036" t="s">
        <v>303</v>
      </c>
      <c r="H2036" t="s">
        <v>1931</v>
      </c>
      <c r="I2036" t="s">
        <v>22</v>
      </c>
      <c r="J2036" s="2" t="s">
        <v>42</v>
      </c>
      <c r="K2036" s="2" t="s">
        <v>3019</v>
      </c>
      <c r="L2036" t="s">
        <v>305</v>
      </c>
      <c r="M2036" s="8">
        <v>1.4026666670000001</v>
      </c>
      <c r="N2036" t="s">
        <v>26</v>
      </c>
      <c r="O2036" s="8">
        <v>1.4026666670000001</v>
      </c>
      <c r="P2036" s="8">
        <f>EXP(-1.363+3.366*LOG(O2036,10))</f>
        <v>0.41964287291404917</v>
      </c>
      <c r="Q2036" s="8">
        <f>(2412691*100)/2623642</f>
        <v>91.959611867777696</v>
      </c>
    </row>
    <row r="2037" spans="1:17" x14ac:dyDescent="0.2">
      <c r="A2037">
        <f>YEAR(D2037)</f>
        <v>2019</v>
      </c>
      <c r="B2037" t="s">
        <v>26</v>
      </c>
      <c r="C2037" s="2" t="s">
        <v>3024</v>
      </c>
      <c r="D2037" s="1">
        <v>43543</v>
      </c>
      <c r="E2037">
        <f>MONTH(D2037)</f>
        <v>3</v>
      </c>
      <c r="F2037" s="2" t="s">
        <v>19</v>
      </c>
      <c r="G2037" t="s">
        <v>219</v>
      </c>
      <c r="H2037" t="s">
        <v>220</v>
      </c>
      <c r="I2037" t="s">
        <v>22</v>
      </c>
      <c r="J2037" s="2" t="s">
        <v>42</v>
      </c>
      <c r="K2037" s="2" t="s">
        <v>3019</v>
      </c>
      <c r="L2037" t="s">
        <v>25</v>
      </c>
      <c r="M2037" s="10" t="s">
        <v>26</v>
      </c>
      <c r="N2037" t="s">
        <v>26</v>
      </c>
      <c r="O2037" s="10" t="s">
        <v>26</v>
      </c>
      <c r="P2037" s="8" t="s">
        <v>26</v>
      </c>
      <c r="Q2037" s="8">
        <f>(2412691*100)/2623642</f>
        <v>91.959611867777696</v>
      </c>
    </row>
    <row r="2038" spans="1:17" x14ac:dyDescent="0.2">
      <c r="A2038">
        <f>YEAR(D2038)</f>
        <v>2019</v>
      </c>
      <c r="B2038" t="e">
        <f>CONCATENATE(K2038,#REF!)</f>
        <v>#REF!</v>
      </c>
      <c r="C2038" s="2" t="s">
        <v>3024</v>
      </c>
      <c r="D2038" s="1">
        <v>43543</v>
      </c>
      <c r="E2038">
        <f>MONTH(D2038)</f>
        <v>3</v>
      </c>
      <c r="F2038" s="2" t="s">
        <v>19</v>
      </c>
      <c r="G2038" s="2" t="s">
        <v>20</v>
      </c>
      <c r="H2038" t="s">
        <v>103</v>
      </c>
      <c r="I2038" t="s">
        <v>36</v>
      </c>
      <c r="J2038" s="2" t="s">
        <v>42</v>
      </c>
      <c r="K2038" s="2" t="s">
        <v>3019</v>
      </c>
      <c r="L2038" t="s">
        <v>25</v>
      </c>
      <c r="M2038" s="8">
        <v>1.856666667</v>
      </c>
      <c r="N2038" t="s">
        <v>26</v>
      </c>
      <c r="O2038" s="8">
        <v>1.856666667</v>
      </c>
      <c r="P2038" s="8">
        <f>EXP(-1.363+3.366*LOG(O2038,10))</f>
        <v>0.63226823262235543</v>
      </c>
      <c r="Q2038" s="8">
        <f>(2412691*100)/2623642</f>
        <v>91.959611867777696</v>
      </c>
    </row>
    <row r="2039" spans="1:17" x14ac:dyDescent="0.2">
      <c r="A2039">
        <f>YEAR(D2039)</f>
        <v>2019</v>
      </c>
      <c r="B2039" t="s">
        <v>26</v>
      </c>
      <c r="C2039" s="2" t="s">
        <v>1540</v>
      </c>
      <c r="D2039" s="1">
        <v>43543</v>
      </c>
      <c r="E2039">
        <f>MONTH(D2039)</f>
        <v>3</v>
      </c>
      <c r="F2039" s="2" t="s">
        <v>19</v>
      </c>
      <c r="G2039" t="s">
        <v>303</v>
      </c>
      <c r="H2039" t="s">
        <v>307</v>
      </c>
      <c r="I2039" t="s">
        <v>36</v>
      </c>
      <c r="J2039" t="s">
        <v>42</v>
      </c>
      <c r="K2039" s="2" t="s">
        <v>3019</v>
      </c>
      <c r="L2039" t="s">
        <v>305</v>
      </c>
      <c r="M2039" s="8">
        <v>1.01</v>
      </c>
      <c r="N2039" t="s">
        <v>26</v>
      </c>
      <c r="O2039" s="8">
        <v>1.01</v>
      </c>
      <c r="P2039" s="8">
        <f>EXP(-1.363+3.366*LOG(O2039,10))</f>
        <v>0.25964128962709732</v>
      </c>
      <c r="Q2039" s="8">
        <f>(2618262*100)/2995732</f>
        <v>87.399740697766021</v>
      </c>
    </row>
    <row r="2040" spans="1:17" x14ac:dyDescent="0.2">
      <c r="A2040">
        <f>YEAR(D2040)</f>
        <v>2019</v>
      </c>
      <c r="B2040" t="s">
        <v>26</v>
      </c>
      <c r="C2040" s="2" t="s">
        <v>1540</v>
      </c>
      <c r="D2040" s="1">
        <v>43543</v>
      </c>
      <c r="E2040">
        <f>MONTH(D2040)</f>
        <v>3</v>
      </c>
      <c r="F2040" s="2" t="s">
        <v>19</v>
      </c>
      <c r="G2040" s="2" t="s">
        <v>20</v>
      </c>
      <c r="H2040" t="s">
        <v>45</v>
      </c>
      <c r="I2040" t="s">
        <v>36</v>
      </c>
      <c r="J2040" t="s">
        <v>42</v>
      </c>
      <c r="K2040" s="2" t="s">
        <v>3019</v>
      </c>
      <c r="L2040" t="s">
        <v>25</v>
      </c>
      <c r="M2040" s="8">
        <v>1.5053333330000001</v>
      </c>
      <c r="N2040" t="s">
        <v>26</v>
      </c>
      <c r="O2040" s="8">
        <v>1.5053333330000001</v>
      </c>
      <c r="P2040" s="8">
        <f>EXP(-1.363+3.366*LOG(O2040,10))</f>
        <v>0.46529279523463329</v>
      </c>
      <c r="Q2040" s="8">
        <f>(2618262*100)/2995732</f>
        <v>87.399740697766021</v>
      </c>
    </row>
    <row r="2041" spans="1:17" x14ac:dyDescent="0.2">
      <c r="A2041">
        <f>YEAR(D2041)</f>
        <v>2019</v>
      </c>
      <c r="B2041" t="s">
        <v>26</v>
      </c>
      <c r="C2041" s="2" t="s">
        <v>1540</v>
      </c>
      <c r="D2041" s="1">
        <v>43543</v>
      </c>
      <c r="E2041">
        <f>MONTH(D2041)</f>
        <v>3</v>
      </c>
      <c r="F2041" s="2" t="s">
        <v>19</v>
      </c>
      <c r="G2041" s="2" t="s">
        <v>20</v>
      </c>
      <c r="H2041" t="s">
        <v>45</v>
      </c>
      <c r="I2041" t="s">
        <v>36</v>
      </c>
      <c r="J2041" t="s">
        <v>42</v>
      </c>
      <c r="K2041" s="2" t="s">
        <v>3019</v>
      </c>
      <c r="L2041" t="s">
        <v>25</v>
      </c>
      <c r="M2041" s="8">
        <v>1.5053333330000001</v>
      </c>
      <c r="N2041" t="s">
        <v>26</v>
      </c>
      <c r="O2041" s="8">
        <v>1.5053333330000001</v>
      </c>
      <c r="P2041" s="8">
        <f>EXP(-1.363+3.366*LOG(O2041,10))</f>
        <v>0.46529279523463329</v>
      </c>
      <c r="Q2041" s="8">
        <f>(2618262*100)/2995732</f>
        <v>87.399740697766021</v>
      </c>
    </row>
    <row r="2042" spans="1:17" x14ac:dyDescent="0.2">
      <c r="A2042">
        <f>YEAR(D2042)</f>
        <v>2019</v>
      </c>
      <c r="B2042" t="s">
        <v>26</v>
      </c>
      <c r="C2042" s="2" t="s">
        <v>1540</v>
      </c>
      <c r="D2042" s="1">
        <v>43543</v>
      </c>
      <c r="E2042">
        <f>MONTH(D2042)</f>
        <v>3</v>
      </c>
      <c r="F2042" s="2" t="s">
        <v>19</v>
      </c>
      <c r="G2042" t="s">
        <v>303</v>
      </c>
      <c r="H2042" t="s">
        <v>307</v>
      </c>
      <c r="I2042" t="s">
        <v>36</v>
      </c>
      <c r="J2042" t="s">
        <v>42</v>
      </c>
      <c r="K2042" s="2" t="s">
        <v>3019</v>
      </c>
      <c r="L2042" t="s">
        <v>305</v>
      </c>
      <c r="M2042" s="8">
        <v>1.01</v>
      </c>
      <c r="N2042" t="s">
        <v>26</v>
      </c>
      <c r="O2042" s="8">
        <v>1.01</v>
      </c>
      <c r="P2042" s="8">
        <f>EXP(-1.363+3.366*LOG(O2042,10))</f>
        <v>0.25964128962709732</v>
      </c>
      <c r="Q2042" s="8">
        <f>(2618262*100)/2995732</f>
        <v>87.399740697766021</v>
      </c>
    </row>
    <row r="2043" spans="1:17" x14ac:dyDescent="0.2">
      <c r="A2043">
        <f>YEAR(D2043)</f>
        <v>2019</v>
      </c>
      <c r="B2043" t="s">
        <v>26</v>
      </c>
      <c r="C2043" s="2" t="s">
        <v>1540</v>
      </c>
      <c r="D2043" s="1">
        <v>43543</v>
      </c>
      <c r="E2043">
        <f>MONTH(D2043)</f>
        <v>3</v>
      </c>
      <c r="F2043" s="2" t="s">
        <v>19</v>
      </c>
      <c r="G2043" t="s">
        <v>303</v>
      </c>
      <c r="H2043" t="s">
        <v>307</v>
      </c>
      <c r="I2043" t="s">
        <v>36</v>
      </c>
      <c r="J2043" t="s">
        <v>42</v>
      </c>
      <c r="K2043" s="2" t="s">
        <v>3019</v>
      </c>
      <c r="L2043" t="s">
        <v>305</v>
      </c>
      <c r="M2043" s="8">
        <v>1.01</v>
      </c>
      <c r="N2043" t="s">
        <v>26</v>
      </c>
      <c r="O2043" s="8">
        <v>1.01</v>
      </c>
      <c r="P2043" s="8">
        <f>EXP(-1.363+3.366*LOG(O2043,10))</f>
        <v>0.25964128962709732</v>
      </c>
      <c r="Q2043" s="8">
        <f>(2618262*100)/2995732</f>
        <v>87.399740697766021</v>
      </c>
    </row>
    <row r="2044" spans="1:17" x14ac:dyDescent="0.2">
      <c r="A2044">
        <f>YEAR(D2044)</f>
        <v>2019</v>
      </c>
      <c r="B2044" t="s">
        <v>26</v>
      </c>
      <c r="C2044" s="2" t="s">
        <v>1540</v>
      </c>
      <c r="D2044" s="1">
        <v>43543</v>
      </c>
      <c r="E2044">
        <f>MONTH(D2044)</f>
        <v>3</v>
      </c>
      <c r="F2044" s="2" t="s">
        <v>19</v>
      </c>
      <c r="G2044" t="s">
        <v>352</v>
      </c>
      <c r="H2044" t="s">
        <v>623</v>
      </c>
      <c r="I2044" t="s">
        <v>22</v>
      </c>
      <c r="J2044" t="s">
        <v>42</v>
      </c>
      <c r="K2044" s="2" t="s">
        <v>3019</v>
      </c>
      <c r="L2044" t="s">
        <v>25</v>
      </c>
      <c r="M2044" s="8">
        <v>1.387</v>
      </c>
      <c r="N2044" t="s">
        <v>26</v>
      </c>
      <c r="O2044" s="8">
        <v>1.387</v>
      </c>
      <c r="P2044" s="8">
        <f>EXP(-1.363+3.366*LOG(O2044,10))</f>
        <v>0.41280884754947733</v>
      </c>
      <c r="Q2044" s="8">
        <f>(2618262*100)/2995732</f>
        <v>87.399740697766021</v>
      </c>
    </row>
    <row r="2045" spans="1:17" x14ac:dyDescent="0.2">
      <c r="A2045">
        <f>YEAR(D2045)</f>
        <v>2019</v>
      </c>
      <c r="B2045" t="s">
        <v>26</v>
      </c>
      <c r="C2045" s="2" t="s">
        <v>1540</v>
      </c>
      <c r="D2045" s="1">
        <v>43543</v>
      </c>
      <c r="E2045">
        <f>MONTH(D2045)</f>
        <v>3</v>
      </c>
      <c r="F2045" s="2" t="s">
        <v>19</v>
      </c>
      <c r="G2045" t="s">
        <v>352</v>
      </c>
      <c r="H2045" t="s">
        <v>1459</v>
      </c>
      <c r="I2045" t="s">
        <v>22</v>
      </c>
      <c r="J2045" t="s">
        <v>42</v>
      </c>
      <c r="K2045" s="2" t="s">
        <v>3019</v>
      </c>
      <c r="L2045" t="s">
        <v>25</v>
      </c>
      <c r="M2045" s="8">
        <v>1.1910000000000001</v>
      </c>
      <c r="N2045" t="s">
        <v>26</v>
      </c>
      <c r="O2045" s="8">
        <v>1.1910000000000001</v>
      </c>
      <c r="P2045" s="8">
        <f>EXP(-1.363+3.366*LOG(O2045,10))</f>
        <v>0.33039016297752993</v>
      </c>
      <c r="Q2045" s="8">
        <f>(2618262*100)/2995732</f>
        <v>87.399740697766021</v>
      </c>
    </row>
    <row r="2046" spans="1:17" x14ac:dyDescent="0.2">
      <c r="A2046">
        <f>YEAR(D2046)</f>
        <v>2019</v>
      </c>
      <c r="B2046" t="s">
        <v>26</v>
      </c>
      <c r="C2046" s="2" t="s">
        <v>1540</v>
      </c>
      <c r="D2046" s="1">
        <v>43543</v>
      </c>
      <c r="E2046">
        <f>MONTH(D2046)</f>
        <v>3</v>
      </c>
      <c r="F2046" s="2" t="s">
        <v>19</v>
      </c>
      <c r="G2046" t="s">
        <v>352</v>
      </c>
      <c r="H2046" t="s">
        <v>623</v>
      </c>
      <c r="I2046" t="s">
        <v>22</v>
      </c>
      <c r="J2046" t="s">
        <v>42</v>
      </c>
      <c r="K2046" s="2" t="s">
        <v>3019</v>
      </c>
      <c r="L2046" t="s">
        <v>25</v>
      </c>
      <c r="M2046" s="8">
        <v>1.387</v>
      </c>
      <c r="N2046" t="s">
        <v>26</v>
      </c>
      <c r="O2046" s="8">
        <v>1.387</v>
      </c>
      <c r="P2046" s="8">
        <f>EXP(-1.363+3.366*LOG(O2046,10))</f>
        <v>0.41280884754947733</v>
      </c>
      <c r="Q2046" s="8">
        <f>(2618262*100)/2995732</f>
        <v>87.399740697766021</v>
      </c>
    </row>
    <row r="2047" spans="1:17" x14ac:dyDescent="0.2">
      <c r="A2047">
        <f>YEAR(D2047)</f>
        <v>2019</v>
      </c>
      <c r="B2047" t="s">
        <v>26</v>
      </c>
      <c r="C2047" s="2" t="s">
        <v>1540</v>
      </c>
      <c r="D2047" s="1">
        <v>43543</v>
      </c>
      <c r="E2047">
        <f>MONTH(D2047)</f>
        <v>3</v>
      </c>
      <c r="F2047" s="2" t="s">
        <v>19</v>
      </c>
      <c r="G2047" t="s">
        <v>303</v>
      </c>
      <c r="H2047" t="s">
        <v>307</v>
      </c>
      <c r="I2047" t="s">
        <v>36</v>
      </c>
      <c r="J2047" t="s">
        <v>42</v>
      </c>
      <c r="K2047" s="2" t="s">
        <v>3019</v>
      </c>
      <c r="L2047" t="s">
        <v>305</v>
      </c>
      <c r="M2047" s="8">
        <v>1.01</v>
      </c>
      <c r="N2047" t="s">
        <v>26</v>
      </c>
      <c r="O2047" s="8">
        <v>1.01</v>
      </c>
      <c r="P2047" s="8">
        <f>EXP(-1.363+3.366*LOG(O2047,10))</f>
        <v>0.25964128962709732</v>
      </c>
      <c r="Q2047" s="8">
        <f>(2618262*100)/2995732</f>
        <v>87.399740697766021</v>
      </c>
    </row>
    <row r="2048" spans="1:17" x14ac:dyDescent="0.2">
      <c r="A2048">
        <f>YEAR(D2048)</f>
        <v>2019</v>
      </c>
      <c r="B2048" t="s">
        <v>26</v>
      </c>
      <c r="C2048" s="2" t="s">
        <v>1540</v>
      </c>
      <c r="D2048" s="1">
        <v>43543</v>
      </c>
      <c r="E2048">
        <f>MONTH(D2048)</f>
        <v>3</v>
      </c>
      <c r="F2048" s="2" t="s">
        <v>19</v>
      </c>
      <c r="G2048" t="s">
        <v>352</v>
      </c>
      <c r="H2048" t="s">
        <v>1409</v>
      </c>
      <c r="I2048" t="s">
        <v>22</v>
      </c>
      <c r="J2048" t="s">
        <v>42</v>
      </c>
      <c r="K2048" s="2" t="s">
        <v>3019</v>
      </c>
      <c r="L2048" t="s">
        <v>25</v>
      </c>
      <c r="M2048" s="8">
        <v>1.284</v>
      </c>
      <c r="N2048" t="s">
        <v>26</v>
      </c>
      <c r="O2048" s="8">
        <v>1.284</v>
      </c>
      <c r="P2048" s="8">
        <f>EXP(-1.363+3.366*LOG(O2048,10))</f>
        <v>0.36877442725626702</v>
      </c>
      <c r="Q2048" s="8">
        <f>(2618262*100)/2995732</f>
        <v>87.399740697766021</v>
      </c>
    </row>
    <row r="2049" spans="1:17" x14ac:dyDescent="0.2">
      <c r="A2049">
        <f>YEAR(D2049)</f>
        <v>2019</v>
      </c>
      <c r="B2049" t="s">
        <v>26</v>
      </c>
      <c r="C2049" s="2" t="s">
        <v>1540</v>
      </c>
      <c r="D2049" s="1">
        <v>43543</v>
      </c>
      <c r="E2049">
        <f>MONTH(D2049)</f>
        <v>3</v>
      </c>
      <c r="F2049" s="2" t="s">
        <v>19</v>
      </c>
      <c r="G2049" t="s">
        <v>1532</v>
      </c>
      <c r="H2049" t="s">
        <v>1533</v>
      </c>
      <c r="I2049" t="s">
        <v>36</v>
      </c>
      <c r="J2049" t="s">
        <v>42</v>
      </c>
      <c r="K2049" s="2" t="s">
        <v>3019</v>
      </c>
      <c r="L2049" t="s">
        <v>25</v>
      </c>
      <c r="M2049" s="8">
        <v>2.63</v>
      </c>
      <c r="N2049" t="s">
        <v>26</v>
      </c>
      <c r="O2049" s="8">
        <v>2.63</v>
      </c>
      <c r="P2049" s="8">
        <f>EXP(-1.363+3.366*LOG(O2049,10))</f>
        <v>1.0518715955632558</v>
      </c>
      <c r="Q2049" s="8">
        <f>(2618262*100)/2995732</f>
        <v>87.399740697766021</v>
      </c>
    </row>
    <row r="2050" spans="1:17" x14ac:dyDescent="0.2">
      <c r="A2050">
        <f>YEAR(D2050)</f>
        <v>2019</v>
      </c>
      <c r="B2050" t="s">
        <v>26</v>
      </c>
      <c r="C2050" s="2" t="s">
        <v>1540</v>
      </c>
      <c r="D2050" s="1">
        <v>43543</v>
      </c>
      <c r="E2050">
        <f>MONTH(D2050)</f>
        <v>3</v>
      </c>
      <c r="F2050" s="2" t="s">
        <v>19</v>
      </c>
      <c r="G2050" t="s">
        <v>303</v>
      </c>
      <c r="H2050" t="s">
        <v>307</v>
      </c>
      <c r="I2050" t="s">
        <v>36</v>
      </c>
      <c r="J2050" t="s">
        <v>42</v>
      </c>
      <c r="K2050" s="2" t="s">
        <v>3019</v>
      </c>
      <c r="L2050" t="s">
        <v>305</v>
      </c>
      <c r="M2050" s="8">
        <v>1.01</v>
      </c>
      <c r="N2050" t="s">
        <v>26</v>
      </c>
      <c r="O2050" s="8">
        <v>1.01</v>
      </c>
      <c r="P2050" s="8">
        <f>EXP(-1.363+3.366*LOG(O2050,10))</f>
        <v>0.25964128962709732</v>
      </c>
      <c r="Q2050" s="8">
        <f>(2618262*100)/2995732</f>
        <v>87.399740697766021</v>
      </c>
    </row>
    <row r="2051" spans="1:17" x14ac:dyDescent="0.2">
      <c r="A2051">
        <f>YEAR(D2051)</f>
        <v>2019</v>
      </c>
      <c r="B2051" t="s">
        <v>26</v>
      </c>
      <c r="C2051" s="2" t="s">
        <v>1540</v>
      </c>
      <c r="D2051" s="1">
        <v>43543</v>
      </c>
      <c r="E2051">
        <f>MONTH(D2051)</f>
        <v>3</v>
      </c>
      <c r="F2051" s="2" t="s">
        <v>19</v>
      </c>
      <c r="G2051" t="s">
        <v>303</v>
      </c>
      <c r="H2051" t="s">
        <v>307</v>
      </c>
      <c r="I2051" t="s">
        <v>36</v>
      </c>
      <c r="J2051" t="s">
        <v>42</v>
      </c>
      <c r="K2051" s="2" t="s">
        <v>3019</v>
      </c>
      <c r="L2051" t="s">
        <v>305</v>
      </c>
      <c r="M2051" s="8">
        <v>1.01</v>
      </c>
      <c r="N2051" t="s">
        <v>26</v>
      </c>
      <c r="O2051" s="8">
        <v>1.01</v>
      </c>
      <c r="P2051" s="8">
        <f>EXP(-1.363+3.366*LOG(O2051,10))</f>
        <v>0.25964128962709732</v>
      </c>
      <c r="Q2051" s="8">
        <f>(2618262*100)/2995732</f>
        <v>87.399740697766021</v>
      </c>
    </row>
    <row r="2052" spans="1:17" x14ac:dyDescent="0.2">
      <c r="A2052">
        <f>YEAR(D2052)</f>
        <v>2019</v>
      </c>
      <c r="B2052" t="s">
        <v>26</v>
      </c>
      <c r="C2052" s="2" t="s">
        <v>1540</v>
      </c>
      <c r="D2052" s="1">
        <v>43543</v>
      </c>
      <c r="E2052">
        <f>MONTH(D2052)</f>
        <v>3</v>
      </c>
      <c r="F2052" s="2" t="s">
        <v>19</v>
      </c>
      <c r="G2052" t="s">
        <v>303</v>
      </c>
      <c r="H2052" t="s">
        <v>307</v>
      </c>
      <c r="I2052" t="s">
        <v>36</v>
      </c>
      <c r="J2052" t="s">
        <v>42</v>
      </c>
      <c r="K2052" s="2" t="s">
        <v>3019</v>
      </c>
      <c r="L2052" t="s">
        <v>305</v>
      </c>
      <c r="M2052" s="8">
        <v>1.01</v>
      </c>
      <c r="N2052" t="s">
        <v>26</v>
      </c>
      <c r="O2052" s="8">
        <v>1.01</v>
      </c>
      <c r="P2052" s="8">
        <f>EXP(-1.363+3.366*LOG(O2052,10))</f>
        <v>0.25964128962709732</v>
      </c>
      <c r="Q2052" s="8">
        <f>(2618262*100)/2995732</f>
        <v>87.399740697766021</v>
      </c>
    </row>
    <row r="2053" spans="1:17" x14ac:dyDescent="0.2">
      <c r="A2053">
        <f>YEAR(D2053)</f>
        <v>2019</v>
      </c>
      <c r="B2053" t="s">
        <v>26</v>
      </c>
      <c r="C2053" s="2" t="s">
        <v>1540</v>
      </c>
      <c r="D2053" s="1">
        <v>43543</v>
      </c>
      <c r="E2053">
        <f>MONTH(D2053)</f>
        <v>3</v>
      </c>
      <c r="F2053" s="2" t="s">
        <v>19</v>
      </c>
      <c r="G2053" t="s">
        <v>303</v>
      </c>
      <c r="H2053" t="s">
        <v>307</v>
      </c>
      <c r="I2053" t="s">
        <v>36</v>
      </c>
      <c r="J2053" t="s">
        <v>42</v>
      </c>
      <c r="K2053" s="2" t="s">
        <v>3019</v>
      </c>
      <c r="L2053" t="s">
        <v>305</v>
      </c>
      <c r="M2053" s="8">
        <v>1.01</v>
      </c>
      <c r="N2053" t="s">
        <v>26</v>
      </c>
      <c r="O2053" s="8">
        <v>1.01</v>
      </c>
      <c r="P2053" s="8">
        <f>EXP(-1.363+3.366*LOG(O2053,10))</f>
        <v>0.25964128962709732</v>
      </c>
      <c r="Q2053" s="8">
        <f>(2618262*100)/2995732</f>
        <v>87.399740697766021</v>
      </c>
    </row>
    <row r="2054" spans="1:17" x14ac:dyDescent="0.2">
      <c r="A2054">
        <f>YEAR(D2054)</f>
        <v>2019</v>
      </c>
      <c r="B2054" t="s">
        <v>26</v>
      </c>
      <c r="C2054" s="2" t="s">
        <v>1540</v>
      </c>
      <c r="D2054" s="1">
        <v>43543</v>
      </c>
      <c r="E2054">
        <f>MONTH(D2054)</f>
        <v>3</v>
      </c>
      <c r="F2054" s="2" t="s">
        <v>19</v>
      </c>
      <c r="G2054" t="s">
        <v>20</v>
      </c>
      <c r="H2054" t="s">
        <v>149</v>
      </c>
      <c r="I2054" t="s">
        <v>22</v>
      </c>
      <c r="J2054" t="s">
        <v>42</v>
      </c>
      <c r="K2054" s="2" t="s">
        <v>3019</v>
      </c>
      <c r="L2054" t="s">
        <v>25</v>
      </c>
      <c r="M2054" s="8">
        <v>1.45</v>
      </c>
      <c r="N2054" t="s">
        <v>26</v>
      </c>
      <c r="O2054" s="8">
        <v>1.45</v>
      </c>
      <c r="P2054" s="8">
        <f>EXP(-1.363+3.366*LOG(O2054,10))</f>
        <v>0.44050419760124854</v>
      </c>
      <c r="Q2054" s="8">
        <f>(2618262*100)/2995732</f>
        <v>87.399740697766021</v>
      </c>
    </row>
    <row r="2055" spans="1:17" x14ac:dyDescent="0.2">
      <c r="A2055">
        <f>YEAR(D2055)</f>
        <v>2019</v>
      </c>
      <c r="B2055" t="s">
        <v>26</v>
      </c>
      <c r="C2055" s="2" t="s">
        <v>1540</v>
      </c>
      <c r="D2055" s="1">
        <v>43543</v>
      </c>
      <c r="E2055">
        <f>MONTH(D2055)</f>
        <v>3</v>
      </c>
      <c r="F2055" s="2" t="s">
        <v>19</v>
      </c>
      <c r="G2055" t="s">
        <v>20</v>
      </c>
      <c r="H2055" t="s">
        <v>2295</v>
      </c>
      <c r="I2055" t="s">
        <v>36</v>
      </c>
      <c r="J2055" t="s">
        <v>42</v>
      </c>
      <c r="K2055" s="2" t="s">
        <v>3019</v>
      </c>
      <c r="L2055" t="s">
        <v>25</v>
      </c>
      <c r="M2055" s="8">
        <v>1.0436666670000001</v>
      </c>
      <c r="N2055" t="s">
        <v>26</v>
      </c>
      <c r="O2055" s="8">
        <v>1.0436666670000001</v>
      </c>
      <c r="P2055" s="8">
        <f>EXP(-1.363+3.366*LOG(O2055,10))</f>
        <v>0.27238985802470567</v>
      </c>
      <c r="Q2055" s="8">
        <f>(2618262*100)/2995732</f>
        <v>87.399740697766021</v>
      </c>
    </row>
    <row r="2056" spans="1:17" x14ac:dyDescent="0.2">
      <c r="A2056">
        <f>YEAR(D2056)</f>
        <v>2019</v>
      </c>
      <c r="B2056" t="s">
        <v>26</v>
      </c>
      <c r="C2056" s="2" t="s">
        <v>1540</v>
      </c>
      <c r="D2056" s="1">
        <v>43543</v>
      </c>
      <c r="E2056">
        <f>MONTH(D2056)</f>
        <v>3</v>
      </c>
      <c r="F2056" s="2" t="s">
        <v>19</v>
      </c>
      <c r="G2056" t="s">
        <v>20</v>
      </c>
      <c r="H2056" t="s">
        <v>2295</v>
      </c>
      <c r="I2056" t="s">
        <v>22</v>
      </c>
      <c r="J2056" t="s">
        <v>42</v>
      </c>
      <c r="K2056" s="2" t="s">
        <v>3019</v>
      </c>
      <c r="L2056" t="s">
        <v>25</v>
      </c>
      <c r="M2056" s="8">
        <v>1.1566666670000001</v>
      </c>
      <c r="N2056" t="s">
        <v>26</v>
      </c>
      <c r="O2056" s="8">
        <v>1.1566666670000001</v>
      </c>
      <c r="P2056" s="8">
        <f>EXP(-1.363+3.366*LOG(O2056,10))</f>
        <v>0.31656042770005527</v>
      </c>
      <c r="Q2056" s="8">
        <f>(2618262*100)/2995732</f>
        <v>87.399740697766021</v>
      </c>
    </row>
    <row r="2057" spans="1:17" x14ac:dyDescent="0.2">
      <c r="A2057">
        <f>YEAR(D2057)</f>
        <v>2019</v>
      </c>
      <c r="B2057" t="s">
        <v>26</v>
      </c>
      <c r="C2057" s="2" t="s">
        <v>1540</v>
      </c>
      <c r="D2057" s="1">
        <v>43543</v>
      </c>
      <c r="E2057">
        <f>MONTH(D2057)</f>
        <v>3</v>
      </c>
      <c r="F2057" s="2" t="s">
        <v>19</v>
      </c>
      <c r="G2057" t="s">
        <v>20</v>
      </c>
      <c r="H2057" t="s">
        <v>149</v>
      </c>
      <c r="I2057" t="s">
        <v>22</v>
      </c>
      <c r="J2057" t="s">
        <v>42</v>
      </c>
      <c r="K2057" s="2" t="s">
        <v>3019</v>
      </c>
      <c r="L2057" t="s">
        <v>25</v>
      </c>
      <c r="M2057" s="8">
        <v>1.45</v>
      </c>
      <c r="N2057" t="s">
        <v>26</v>
      </c>
      <c r="O2057" s="8">
        <v>1.45</v>
      </c>
      <c r="P2057" s="8">
        <f>EXP(-1.363+3.366*LOG(O2057,10))</f>
        <v>0.44050419760124854</v>
      </c>
      <c r="Q2057" s="8">
        <f>(2618262*100)/2995732</f>
        <v>87.399740697766021</v>
      </c>
    </row>
    <row r="2058" spans="1:17" x14ac:dyDescent="0.2">
      <c r="A2058">
        <f>YEAR(D2058)</f>
        <v>2019</v>
      </c>
      <c r="B2058" t="s">
        <v>26</v>
      </c>
      <c r="C2058" s="2" t="s">
        <v>1540</v>
      </c>
      <c r="D2058" s="1">
        <v>43543</v>
      </c>
      <c r="E2058">
        <f>MONTH(D2058)</f>
        <v>3</v>
      </c>
      <c r="F2058" s="2" t="s">
        <v>19</v>
      </c>
      <c r="G2058" t="s">
        <v>352</v>
      </c>
      <c r="H2058" t="s">
        <v>623</v>
      </c>
      <c r="I2058" t="s">
        <v>22</v>
      </c>
      <c r="J2058" t="s">
        <v>42</v>
      </c>
      <c r="K2058" s="2" t="s">
        <v>3019</v>
      </c>
      <c r="L2058" t="s">
        <v>25</v>
      </c>
      <c r="M2058" s="8">
        <v>1.387</v>
      </c>
      <c r="N2058" t="s">
        <v>26</v>
      </c>
      <c r="O2058" s="8">
        <v>1.387</v>
      </c>
      <c r="P2058" s="8">
        <f>EXP(-1.363+3.366*LOG(O2058,10))</f>
        <v>0.41280884754947733</v>
      </c>
      <c r="Q2058" s="8">
        <f>(2618262*100)/2995732</f>
        <v>87.399740697766021</v>
      </c>
    </row>
    <row r="2059" spans="1:17" x14ac:dyDescent="0.2">
      <c r="A2059">
        <f>YEAR(D2059)</f>
        <v>2019</v>
      </c>
      <c r="B2059" t="s">
        <v>26</v>
      </c>
      <c r="C2059" s="2" t="s">
        <v>1540</v>
      </c>
      <c r="D2059" s="1">
        <v>43543</v>
      </c>
      <c r="E2059">
        <f>MONTH(D2059)</f>
        <v>3</v>
      </c>
      <c r="F2059" s="2" t="s">
        <v>19</v>
      </c>
      <c r="G2059" t="s">
        <v>303</v>
      </c>
      <c r="H2059" t="s">
        <v>307</v>
      </c>
      <c r="I2059" t="s">
        <v>22</v>
      </c>
      <c r="J2059" t="s">
        <v>42</v>
      </c>
      <c r="K2059" s="2" t="s">
        <v>3019</v>
      </c>
      <c r="L2059" t="s">
        <v>305</v>
      </c>
      <c r="M2059" s="8">
        <v>1.1000000000000001</v>
      </c>
      <c r="N2059" t="s">
        <v>26</v>
      </c>
      <c r="O2059" s="8">
        <v>1.1000000000000001</v>
      </c>
      <c r="P2059" s="8">
        <f>EXP(-1.363+3.366*LOG(O2059,10))</f>
        <v>0.29414800446794787</v>
      </c>
      <c r="Q2059" s="8">
        <f>(2618262*100)/2995732</f>
        <v>87.399740697766021</v>
      </c>
    </row>
    <row r="2060" spans="1:17" x14ac:dyDescent="0.2">
      <c r="A2060">
        <f>YEAR(D2060)</f>
        <v>2019</v>
      </c>
      <c r="B2060" t="s">
        <v>26</v>
      </c>
      <c r="C2060" s="2" t="s">
        <v>1540</v>
      </c>
      <c r="D2060" s="1">
        <v>43543</v>
      </c>
      <c r="E2060">
        <f>MONTH(D2060)</f>
        <v>3</v>
      </c>
      <c r="F2060" s="2" t="s">
        <v>19</v>
      </c>
      <c r="G2060" s="2" t="s">
        <v>20</v>
      </c>
      <c r="H2060" t="s">
        <v>45</v>
      </c>
      <c r="I2060" t="s">
        <v>22</v>
      </c>
      <c r="J2060" t="s">
        <v>42</v>
      </c>
      <c r="K2060" s="2" t="s">
        <v>3019</v>
      </c>
      <c r="L2060" t="s">
        <v>25</v>
      </c>
      <c r="M2060" s="8">
        <v>1.903333333</v>
      </c>
      <c r="N2060" t="s">
        <v>26</v>
      </c>
      <c r="O2060" s="8">
        <v>1.903333333</v>
      </c>
      <c r="P2060" s="8">
        <f>EXP(-1.363+3.366*LOG(O2060,10))</f>
        <v>0.65563371760507783</v>
      </c>
      <c r="Q2060" s="8">
        <f>(2618262*100)/2995732</f>
        <v>87.399740697766021</v>
      </c>
    </row>
    <row r="2061" spans="1:17" x14ac:dyDescent="0.2">
      <c r="A2061">
        <f>YEAR(D2061)</f>
        <v>2019</v>
      </c>
      <c r="B2061" t="s">
        <v>26</v>
      </c>
      <c r="C2061" s="2" t="s">
        <v>1540</v>
      </c>
      <c r="D2061" s="1">
        <v>43543</v>
      </c>
      <c r="E2061">
        <f>MONTH(D2061)</f>
        <v>3</v>
      </c>
      <c r="F2061" s="2" t="s">
        <v>19</v>
      </c>
      <c r="G2061" s="2" t="s">
        <v>20</v>
      </c>
      <c r="H2061" t="s">
        <v>91</v>
      </c>
      <c r="I2061" t="s">
        <v>22</v>
      </c>
      <c r="J2061" t="s">
        <v>42</v>
      </c>
      <c r="K2061" s="2" t="s">
        <v>3019</v>
      </c>
      <c r="L2061" t="s">
        <v>25</v>
      </c>
      <c r="M2061" s="8">
        <v>2.0630000000000002</v>
      </c>
      <c r="N2061" t="s">
        <v>26</v>
      </c>
      <c r="O2061" s="8">
        <v>2.0630000000000002</v>
      </c>
      <c r="P2061" s="8">
        <f>EXP(-1.363+3.366*LOG(O2061,10))</f>
        <v>0.73756902742293162</v>
      </c>
      <c r="Q2061" s="8">
        <f>(2618262*100)/2995732</f>
        <v>87.399740697766021</v>
      </c>
    </row>
    <row r="2062" spans="1:17" x14ac:dyDescent="0.2">
      <c r="A2062">
        <f>YEAR(D2062)</f>
        <v>2019</v>
      </c>
      <c r="B2062" t="s">
        <v>26</v>
      </c>
      <c r="C2062" s="2" t="s">
        <v>1540</v>
      </c>
      <c r="D2062" s="1">
        <v>43543</v>
      </c>
      <c r="E2062">
        <f>MONTH(D2062)</f>
        <v>3</v>
      </c>
      <c r="F2062" s="2" t="s">
        <v>19</v>
      </c>
      <c r="G2062" t="s">
        <v>20</v>
      </c>
      <c r="H2062" t="s">
        <v>149</v>
      </c>
      <c r="I2062" t="s">
        <v>22</v>
      </c>
      <c r="J2062" t="s">
        <v>42</v>
      </c>
      <c r="K2062" s="2" t="s">
        <v>3019</v>
      </c>
      <c r="L2062" t="s">
        <v>25</v>
      </c>
      <c r="M2062" s="8">
        <v>1.45</v>
      </c>
      <c r="N2062" t="s">
        <v>26</v>
      </c>
      <c r="O2062" s="8">
        <v>1.45</v>
      </c>
      <c r="P2062" s="8">
        <f>EXP(-1.363+3.366*LOG(O2062,10))</f>
        <v>0.44050419760124854</v>
      </c>
      <c r="Q2062" s="8">
        <f>(2618262*100)/2995732</f>
        <v>87.399740697766021</v>
      </c>
    </row>
    <row r="2063" spans="1:17" x14ac:dyDescent="0.2">
      <c r="A2063">
        <f>YEAR(D2063)</f>
        <v>2019</v>
      </c>
      <c r="B2063" t="s">
        <v>26</v>
      </c>
      <c r="C2063" s="2" t="s">
        <v>1540</v>
      </c>
      <c r="D2063" s="1">
        <v>43543</v>
      </c>
      <c r="E2063">
        <f>MONTH(D2063)</f>
        <v>3</v>
      </c>
      <c r="F2063" s="2" t="s">
        <v>19</v>
      </c>
      <c r="G2063" t="s">
        <v>303</v>
      </c>
      <c r="H2063" t="s">
        <v>307</v>
      </c>
      <c r="I2063" t="s">
        <v>36</v>
      </c>
      <c r="J2063" t="s">
        <v>42</v>
      </c>
      <c r="K2063" s="2" t="s">
        <v>3019</v>
      </c>
      <c r="L2063" t="s">
        <v>305</v>
      </c>
      <c r="M2063" s="8">
        <v>1.01</v>
      </c>
      <c r="N2063" t="s">
        <v>26</v>
      </c>
      <c r="O2063" s="8">
        <v>1.01</v>
      </c>
      <c r="P2063" s="8">
        <f>EXP(-1.363+3.366*LOG(O2063,10))</f>
        <v>0.25964128962709732</v>
      </c>
      <c r="Q2063" s="8">
        <f>(2618262*100)/2995732</f>
        <v>87.399740697766021</v>
      </c>
    </row>
    <row r="2064" spans="1:17" x14ac:dyDescent="0.2">
      <c r="A2064">
        <f>YEAR(D2064)</f>
        <v>2019</v>
      </c>
      <c r="B2064" t="s">
        <v>26</v>
      </c>
      <c r="C2064" s="2" t="s">
        <v>1540</v>
      </c>
      <c r="D2064" s="1">
        <v>43543</v>
      </c>
      <c r="E2064">
        <f>MONTH(D2064)</f>
        <v>3</v>
      </c>
      <c r="F2064" s="2" t="s">
        <v>19</v>
      </c>
      <c r="G2064" t="s">
        <v>303</v>
      </c>
      <c r="H2064" t="s">
        <v>307</v>
      </c>
      <c r="I2064" t="s">
        <v>36</v>
      </c>
      <c r="J2064" t="s">
        <v>42</v>
      </c>
      <c r="K2064" s="2" t="s">
        <v>3019</v>
      </c>
      <c r="L2064" t="s">
        <v>305</v>
      </c>
      <c r="M2064" s="8">
        <v>1.01</v>
      </c>
      <c r="N2064" t="s">
        <v>26</v>
      </c>
      <c r="O2064" s="8">
        <v>1.01</v>
      </c>
      <c r="P2064" s="8">
        <f>EXP(-1.363+3.366*LOG(O2064,10))</f>
        <v>0.25964128962709732</v>
      </c>
      <c r="Q2064" s="8">
        <f>(2618262*100)/2995732</f>
        <v>87.399740697766021</v>
      </c>
    </row>
    <row r="2065" spans="1:17" x14ac:dyDescent="0.2">
      <c r="A2065">
        <f>YEAR(D2065)</f>
        <v>2019</v>
      </c>
      <c r="B2065" t="s">
        <v>26</v>
      </c>
      <c r="C2065" s="2" t="s">
        <v>1540</v>
      </c>
      <c r="D2065" s="1">
        <v>43543</v>
      </c>
      <c r="E2065">
        <f>MONTH(D2065)</f>
        <v>3</v>
      </c>
      <c r="F2065" s="2" t="s">
        <v>19</v>
      </c>
      <c r="G2065" t="s">
        <v>303</v>
      </c>
      <c r="H2065" t="s">
        <v>307</v>
      </c>
      <c r="I2065" t="s">
        <v>36</v>
      </c>
      <c r="J2065" t="s">
        <v>42</v>
      </c>
      <c r="K2065" s="2" t="s">
        <v>3019</v>
      </c>
      <c r="L2065" t="s">
        <v>305</v>
      </c>
      <c r="M2065" s="8">
        <v>1.01</v>
      </c>
      <c r="N2065" t="s">
        <v>26</v>
      </c>
      <c r="O2065" s="8">
        <v>1.01</v>
      </c>
      <c r="P2065" s="8">
        <f>EXP(-1.363+3.366*LOG(O2065,10))</f>
        <v>0.25964128962709732</v>
      </c>
      <c r="Q2065" s="8">
        <f>(2618262*100)/2995732</f>
        <v>87.399740697766021</v>
      </c>
    </row>
    <row r="2066" spans="1:17" x14ac:dyDescent="0.2">
      <c r="A2066">
        <f>YEAR(D2066)</f>
        <v>2019</v>
      </c>
      <c r="B2066" t="s">
        <v>26</v>
      </c>
      <c r="C2066" s="2" t="s">
        <v>1540</v>
      </c>
      <c r="D2066" s="1">
        <v>43543</v>
      </c>
      <c r="E2066">
        <f>MONTH(D2066)</f>
        <v>3</v>
      </c>
      <c r="F2066" s="2" t="s">
        <v>19</v>
      </c>
      <c r="G2066" t="s">
        <v>303</v>
      </c>
      <c r="H2066" t="s">
        <v>307</v>
      </c>
      <c r="I2066" t="s">
        <v>22</v>
      </c>
      <c r="J2066" t="s">
        <v>42</v>
      </c>
      <c r="K2066" s="2" t="s">
        <v>3019</v>
      </c>
      <c r="L2066" t="s">
        <v>305</v>
      </c>
      <c r="M2066" s="8">
        <v>1.1000000000000001</v>
      </c>
      <c r="N2066" t="s">
        <v>26</v>
      </c>
      <c r="O2066" s="8">
        <v>1.1000000000000001</v>
      </c>
      <c r="P2066" s="8">
        <f>EXP(-1.363+3.366*LOG(O2066,10))</f>
        <v>0.29414800446794787</v>
      </c>
      <c r="Q2066" s="8">
        <f>(2618262*100)/2995732</f>
        <v>87.399740697766021</v>
      </c>
    </row>
    <row r="2067" spans="1:17" x14ac:dyDescent="0.2">
      <c r="A2067">
        <f>YEAR(D2067)</f>
        <v>2019</v>
      </c>
      <c r="B2067" t="s">
        <v>26</v>
      </c>
      <c r="C2067" s="2" t="s">
        <v>1540</v>
      </c>
      <c r="D2067" s="1">
        <v>43543</v>
      </c>
      <c r="E2067">
        <f>MONTH(D2067)</f>
        <v>3</v>
      </c>
      <c r="F2067" s="2" t="s">
        <v>19</v>
      </c>
      <c r="G2067" t="s">
        <v>303</v>
      </c>
      <c r="H2067" t="s">
        <v>307</v>
      </c>
      <c r="I2067" t="s">
        <v>36</v>
      </c>
      <c r="J2067" t="s">
        <v>42</v>
      </c>
      <c r="K2067" s="2" t="s">
        <v>3019</v>
      </c>
      <c r="L2067" t="s">
        <v>305</v>
      </c>
      <c r="M2067" s="8">
        <v>1.01</v>
      </c>
      <c r="N2067" t="s">
        <v>26</v>
      </c>
      <c r="O2067" s="8">
        <v>1.01</v>
      </c>
      <c r="P2067" s="8">
        <f>EXP(-1.363+3.366*LOG(O2067,10))</f>
        <v>0.25964128962709732</v>
      </c>
      <c r="Q2067" s="8">
        <f>(2618262*100)/2995732</f>
        <v>87.399740697766021</v>
      </c>
    </row>
    <row r="2068" spans="1:17" x14ac:dyDescent="0.2">
      <c r="A2068">
        <f>YEAR(D2068)</f>
        <v>2019</v>
      </c>
      <c r="B2068" t="s">
        <v>26</v>
      </c>
      <c r="C2068" s="2" t="s">
        <v>1540</v>
      </c>
      <c r="D2068" s="1">
        <v>43543</v>
      </c>
      <c r="E2068">
        <f>MONTH(D2068)</f>
        <v>3</v>
      </c>
      <c r="F2068" s="2" t="s">
        <v>2098</v>
      </c>
      <c r="G2068" t="s">
        <v>303</v>
      </c>
      <c r="H2068" t="s">
        <v>307</v>
      </c>
      <c r="I2068" t="s">
        <v>36</v>
      </c>
      <c r="J2068" t="s">
        <v>42</v>
      </c>
      <c r="K2068" s="2" t="s">
        <v>3019</v>
      </c>
      <c r="L2068" t="s">
        <v>305</v>
      </c>
      <c r="M2068" s="8">
        <v>1.01</v>
      </c>
      <c r="N2068" t="s">
        <v>26</v>
      </c>
      <c r="O2068" s="8">
        <v>1.01</v>
      </c>
      <c r="P2068" s="8">
        <f>EXP(-1.363+3.366*LOG(O2068,10))</f>
        <v>0.25964128962709732</v>
      </c>
      <c r="Q2068" s="8">
        <f>(2618262*100)/2995732</f>
        <v>87.399740697766021</v>
      </c>
    </row>
    <row r="2069" spans="1:17" x14ac:dyDescent="0.2">
      <c r="A2069">
        <f>YEAR(D2069)</f>
        <v>2019</v>
      </c>
      <c r="B2069" t="s">
        <v>26</v>
      </c>
      <c r="C2069" s="2" t="s">
        <v>1540</v>
      </c>
      <c r="D2069" s="1">
        <v>43543</v>
      </c>
      <c r="E2069">
        <f>MONTH(D2069)</f>
        <v>3</v>
      </c>
      <c r="F2069" s="2" t="s">
        <v>2098</v>
      </c>
      <c r="G2069" t="s">
        <v>303</v>
      </c>
      <c r="H2069" t="s">
        <v>307</v>
      </c>
      <c r="I2069" t="s">
        <v>36</v>
      </c>
      <c r="J2069" t="s">
        <v>42</v>
      </c>
      <c r="K2069" s="2" t="s">
        <v>3019</v>
      </c>
      <c r="L2069" t="s">
        <v>305</v>
      </c>
      <c r="M2069" s="8">
        <v>1.01</v>
      </c>
      <c r="N2069" t="s">
        <v>26</v>
      </c>
      <c r="O2069" s="8">
        <v>1.01</v>
      </c>
      <c r="P2069" s="8">
        <f>EXP(-1.363+3.366*LOG(O2069,10))</f>
        <v>0.25964128962709732</v>
      </c>
      <c r="Q2069" s="8">
        <f>(2618262*100)/2995732</f>
        <v>87.399740697766021</v>
      </c>
    </row>
    <row r="2070" spans="1:17" x14ac:dyDescent="0.2">
      <c r="A2070">
        <f>YEAR(D2070)</f>
        <v>2019</v>
      </c>
      <c r="B2070" t="s">
        <v>26</v>
      </c>
      <c r="C2070" s="2" t="s">
        <v>1540</v>
      </c>
      <c r="D2070" s="1">
        <v>43543</v>
      </c>
      <c r="E2070">
        <f>MONTH(D2070)</f>
        <v>3</v>
      </c>
      <c r="F2070" s="2" t="s">
        <v>2098</v>
      </c>
      <c r="G2070" t="s">
        <v>303</v>
      </c>
      <c r="H2070" t="s">
        <v>307</v>
      </c>
      <c r="I2070" t="s">
        <v>36</v>
      </c>
      <c r="J2070" t="s">
        <v>42</v>
      </c>
      <c r="K2070" s="2" t="s">
        <v>3019</v>
      </c>
      <c r="L2070" t="s">
        <v>305</v>
      </c>
      <c r="M2070" s="8">
        <v>1.01</v>
      </c>
      <c r="N2070" t="s">
        <v>26</v>
      </c>
      <c r="O2070" s="8">
        <v>1.01</v>
      </c>
      <c r="P2070" s="8">
        <f>EXP(-1.363+3.366*LOG(O2070,10))</f>
        <v>0.25964128962709732</v>
      </c>
      <c r="Q2070" s="8">
        <f>(2618262*100)/2995732</f>
        <v>87.399740697766021</v>
      </c>
    </row>
    <row r="2071" spans="1:17" x14ac:dyDescent="0.2">
      <c r="A2071">
        <f>YEAR(D2071)</f>
        <v>2019</v>
      </c>
      <c r="B2071" t="s">
        <v>26</v>
      </c>
      <c r="C2071" s="2" t="s">
        <v>1540</v>
      </c>
      <c r="D2071" s="1">
        <v>43543</v>
      </c>
      <c r="E2071">
        <f>MONTH(D2071)</f>
        <v>3</v>
      </c>
      <c r="F2071" s="2" t="s">
        <v>2098</v>
      </c>
      <c r="G2071" t="s">
        <v>303</v>
      </c>
      <c r="H2071" t="s">
        <v>307</v>
      </c>
      <c r="I2071" t="s">
        <v>36</v>
      </c>
      <c r="J2071" t="s">
        <v>42</v>
      </c>
      <c r="K2071" s="2" t="s">
        <v>3019</v>
      </c>
      <c r="L2071" t="s">
        <v>305</v>
      </c>
      <c r="M2071" s="8">
        <v>1.01</v>
      </c>
      <c r="N2071" t="s">
        <v>26</v>
      </c>
      <c r="O2071" s="8">
        <v>1.01</v>
      </c>
      <c r="P2071" s="8">
        <f>EXP(-1.363+3.366*LOG(O2071,10))</f>
        <v>0.25964128962709732</v>
      </c>
      <c r="Q2071" s="8">
        <f>(2618262*100)/2995732</f>
        <v>87.399740697766021</v>
      </c>
    </row>
    <row r="2072" spans="1:17" x14ac:dyDescent="0.2">
      <c r="A2072">
        <f>YEAR(D2072)</f>
        <v>2019</v>
      </c>
      <c r="B2072" t="s">
        <v>26</v>
      </c>
      <c r="C2072" s="2" t="s">
        <v>1540</v>
      </c>
      <c r="D2072" s="1">
        <v>43543</v>
      </c>
      <c r="E2072">
        <f>MONTH(D2072)</f>
        <v>3</v>
      </c>
      <c r="F2072" s="2" t="s">
        <v>2098</v>
      </c>
      <c r="G2072" t="s">
        <v>303</v>
      </c>
      <c r="H2072" t="s">
        <v>307</v>
      </c>
      <c r="I2072" t="s">
        <v>36</v>
      </c>
      <c r="J2072" t="s">
        <v>42</v>
      </c>
      <c r="K2072" s="2" t="s">
        <v>3019</v>
      </c>
      <c r="L2072" t="s">
        <v>305</v>
      </c>
      <c r="M2072" s="8">
        <v>1.01</v>
      </c>
      <c r="N2072" t="s">
        <v>26</v>
      </c>
      <c r="O2072" s="8">
        <v>1.01</v>
      </c>
      <c r="P2072" s="8">
        <f>EXP(-1.363+3.366*LOG(O2072,10))</f>
        <v>0.25964128962709732</v>
      </c>
      <c r="Q2072" s="8">
        <f>(2618262*100)/2995732</f>
        <v>87.399740697766021</v>
      </c>
    </row>
    <row r="2073" spans="1:17" x14ac:dyDescent="0.2">
      <c r="A2073">
        <f>YEAR(D2073)</f>
        <v>2019</v>
      </c>
      <c r="B2073" t="s">
        <v>26</v>
      </c>
      <c r="C2073" s="2" t="s">
        <v>1540</v>
      </c>
      <c r="D2073" s="1">
        <v>43543</v>
      </c>
      <c r="E2073">
        <f>MONTH(D2073)</f>
        <v>3</v>
      </c>
      <c r="F2073" s="2" t="s">
        <v>2098</v>
      </c>
      <c r="G2073" t="s">
        <v>303</v>
      </c>
      <c r="H2073" t="s">
        <v>307</v>
      </c>
      <c r="I2073" t="s">
        <v>36</v>
      </c>
      <c r="J2073" t="s">
        <v>42</v>
      </c>
      <c r="K2073" s="2" t="s">
        <v>3019</v>
      </c>
      <c r="L2073" t="s">
        <v>305</v>
      </c>
      <c r="M2073" s="8">
        <v>1.01</v>
      </c>
      <c r="N2073" t="s">
        <v>26</v>
      </c>
      <c r="O2073" s="8">
        <v>1.01</v>
      </c>
      <c r="P2073" s="8">
        <f>EXP(-1.363+3.366*LOG(O2073,10))</f>
        <v>0.25964128962709732</v>
      </c>
      <c r="Q2073" s="8">
        <f>(2618262*100)/2995732</f>
        <v>87.399740697766021</v>
      </c>
    </row>
    <row r="2074" spans="1:17" x14ac:dyDescent="0.2">
      <c r="A2074">
        <f>YEAR(D2074)</f>
        <v>2019</v>
      </c>
      <c r="B2074" t="s">
        <v>26</v>
      </c>
      <c r="C2074" s="2" t="s">
        <v>1540</v>
      </c>
      <c r="D2074" s="1">
        <v>43543</v>
      </c>
      <c r="E2074">
        <f>MONTH(D2074)</f>
        <v>3</v>
      </c>
      <c r="F2074" s="2" t="s">
        <v>2098</v>
      </c>
      <c r="G2074" t="s">
        <v>20</v>
      </c>
      <c r="H2074" t="s">
        <v>149</v>
      </c>
      <c r="I2074" t="s">
        <v>36</v>
      </c>
      <c r="J2074" t="s">
        <v>42</v>
      </c>
      <c r="K2074" s="2" t="s">
        <v>3019</v>
      </c>
      <c r="L2074" t="s">
        <v>25</v>
      </c>
      <c r="M2074" s="8">
        <v>1.032666667</v>
      </c>
      <c r="N2074" t="s">
        <v>26</v>
      </c>
      <c r="O2074" s="8">
        <v>1.032666667</v>
      </c>
      <c r="P2074" s="8">
        <f>EXP(-1.363+3.366*LOG(O2074,10))</f>
        <v>0.26820327281159584</v>
      </c>
      <c r="Q2074" s="8">
        <f>(2618262*100)/2995732</f>
        <v>87.399740697766021</v>
      </c>
    </row>
    <row r="2075" spans="1:17" x14ac:dyDescent="0.2">
      <c r="A2075">
        <f>YEAR(D2075)</f>
        <v>2019</v>
      </c>
      <c r="B2075" t="s">
        <v>26</v>
      </c>
      <c r="C2075" s="2" t="s">
        <v>1540</v>
      </c>
      <c r="D2075" s="1">
        <v>43543</v>
      </c>
      <c r="E2075">
        <f>MONTH(D2075)</f>
        <v>3</v>
      </c>
      <c r="F2075" s="2" t="s">
        <v>2098</v>
      </c>
      <c r="G2075" t="s">
        <v>20</v>
      </c>
      <c r="H2075" t="s">
        <v>2295</v>
      </c>
      <c r="I2075" t="s">
        <v>22</v>
      </c>
      <c r="J2075" t="s">
        <v>42</v>
      </c>
      <c r="K2075" s="2" t="s">
        <v>3019</v>
      </c>
      <c r="L2075" t="s">
        <v>25</v>
      </c>
      <c r="M2075" s="8">
        <v>1.1566666670000001</v>
      </c>
      <c r="N2075" t="s">
        <v>26</v>
      </c>
      <c r="O2075" s="8">
        <v>1.1566666670000001</v>
      </c>
      <c r="P2075" s="8">
        <f>EXP(-1.363+3.366*LOG(O2075,10))</f>
        <v>0.31656042770005527</v>
      </c>
      <c r="Q2075" s="8">
        <f>(2618262*100)/2995732</f>
        <v>87.399740697766021</v>
      </c>
    </row>
    <row r="2076" spans="1:17" x14ac:dyDescent="0.2">
      <c r="A2076">
        <f>YEAR(D2076)</f>
        <v>2019</v>
      </c>
      <c r="B2076" t="s">
        <v>26</v>
      </c>
      <c r="C2076" s="2" t="s">
        <v>1540</v>
      </c>
      <c r="D2076" s="1">
        <v>43543</v>
      </c>
      <c r="E2076">
        <f>MONTH(D2076)</f>
        <v>3</v>
      </c>
      <c r="F2076" s="2" t="s">
        <v>2098</v>
      </c>
      <c r="G2076" s="2" t="s">
        <v>20</v>
      </c>
      <c r="H2076" t="s">
        <v>45</v>
      </c>
      <c r="I2076" t="s">
        <v>22</v>
      </c>
      <c r="J2076" t="s">
        <v>42</v>
      </c>
      <c r="K2076" s="2" t="s">
        <v>3019</v>
      </c>
      <c r="L2076" t="s">
        <v>25</v>
      </c>
      <c r="M2076" s="8">
        <v>1.903333333</v>
      </c>
      <c r="N2076" t="s">
        <v>26</v>
      </c>
      <c r="O2076" s="8">
        <v>1.903333333</v>
      </c>
      <c r="P2076" s="8">
        <f>EXP(-1.363+3.366*LOG(O2076,10))</f>
        <v>0.65563371760507783</v>
      </c>
      <c r="Q2076" s="8">
        <f>(2618262*100)/2995732</f>
        <v>87.399740697766021</v>
      </c>
    </row>
    <row r="2077" spans="1:17" x14ac:dyDescent="0.2">
      <c r="A2077">
        <f>YEAR(D2077)</f>
        <v>2019</v>
      </c>
      <c r="B2077" t="s">
        <v>26</v>
      </c>
      <c r="C2077" s="2" t="s">
        <v>1540</v>
      </c>
      <c r="D2077" s="1">
        <v>43543</v>
      </c>
      <c r="E2077">
        <f>MONTH(D2077)</f>
        <v>3</v>
      </c>
      <c r="F2077" s="2" t="s">
        <v>2098</v>
      </c>
      <c r="G2077" t="s">
        <v>219</v>
      </c>
      <c r="H2077" t="s">
        <v>220</v>
      </c>
      <c r="I2077" t="s">
        <v>22</v>
      </c>
      <c r="J2077" t="s">
        <v>42</v>
      </c>
      <c r="K2077" s="2" t="s">
        <v>3019</v>
      </c>
      <c r="L2077" t="s">
        <v>25</v>
      </c>
      <c r="M2077" s="10" t="s">
        <v>26</v>
      </c>
      <c r="N2077" t="s">
        <v>26</v>
      </c>
      <c r="O2077" s="10" t="s">
        <v>26</v>
      </c>
      <c r="P2077" s="8" t="s">
        <v>26</v>
      </c>
      <c r="Q2077" s="8">
        <f>(2618262*100)/2995732</f>
        <v>87.399740697766021</v>
      </c>
    </row>
    <row r="2078" spans="1:17" x14ac:dyDescent="0.2">
      <c r="A2078">
        <f>YEAR(D2078)</f>
        <v>2019</v>
      </c>
      <c r="B2078" t="s">
        <v>26</v>
      </c>
      <c r="C2078" s="2" t="s">
        <v>1540</v>
      </c>
      <c r="D2078" s="1">
        <v>43543</v>
      </c>
      <c r="E2078">
        <f>MONTH(D2078)</f>
        <v>3</v>
      </c>
      <c r="F2078" s="2" t="s">
        <v>2098</v>
      </c>
      <c r="G2078" t="s">
        <v>219</v>
      </c>
      <c r="H2078" t="s">
        <v>220</v>
      </c>
      <c r="I2078" t="s">
        <v>22</v>
      </c>
      <c r="J2078" t="s">
        <v>42</v>
      </c>
      <c r="K2078" s="2" t="s">
        <v>3019</v>
      </c>
      <c r="L2078" t="s">
        <v>25</v>
      </c>
      <c r="M2078" s="10" t="s">
        <v>26</v>
      </c>
      <c r="N2078" t="s">
        <v>26</v>
      </c>
      <c r="O2078" s="10" t="s">
        <v>26</v>
      </c>
      <c r="P2078" s="8" t="s">
        <v>26</v>
      </c>
      <c r="Q2078" s="8">
        <f>(2618262*100)/2995732</f>
        <v>87.399740697766021</v>
      </c>
    </row>
    <row r="2079" spans="1:17" x14ac:dyDescent="0.2">
      <c r="A2079">
        <f>YEAR(D2079)</f>
        <v>2019</v>
      </c>
      <c r="B2079" t="s">
        <v>26</v>
      </c>
      <c r="C2079" s="2" t="s">
        <v>1540</v>
      </c>
      <c r="D2079" s="1">
        <v>43543</v>
      </c>
      <c r="E2079">
        <f>MONTH(D2079)</f>
        <v>3</v>
      </c>
      <c r="F2079" s="2" t="s">
        <v>2098</v>
      </c>
      <c r="G2079" t="s">
        <v>230</v>
      </c>
      <c r="H2079" t="s">
        <v>268</v>
      </c>
      <c r="I2079" t="s">
        <v>22</v>
      </c>
      <c r="J2079" s="2" t="s">
        <v>42</v>
      </c>
      <c r="K2079" s="2" t="s">
        <v>3019</v>
      </c>
      <c r="L2079" t="s">
        <v>25</v>
      </c>
      <c r="M2079" s="8">
        <v>3.5356666670000001</v>
      </c>
      <c r="N2079" t="s">
        <v>26</v>
      </c>
      <c r="O2079" s="8">
        <v>3.5356666670000001</v>
      </c>
      <c r="P2079" s="8">
        <f>EXP(-1.363+3.366*LOG(O2079,10))</f>
        <v>1.6211802664427075</v>
      </c>
      <c r="Q2079" s="8">
        <f>(2618262*100)/2995732</f>
        <v>87.399740697766021</v>
      </c>
    </row>
    <row r="2080" spans="1:17" x14ac:dyDescent="0.2">
      <c r="A2080">
        <f>YEAR(D2080)</f>
        <v>2019</v>
      </c>
      <c r="B2080" t="s">
        <v>26</v>
      </c>
      <c r="C2080" s="2" t="s">
        <v>1540</v>
      </c>
      <c r="D2080" s="1">
        <v>43543</v>
      </c>
      <c r="E2080">
        <f>MONTH(D2080)</f>
        <v>3</v>
      </c>
      <c r="F2080" s="2" t="s">
        <v>19</v>
      </c>
      <c r="G2080" t="s">
        <v>20</v>
      </c>
      <c r="H2080" t="s">
        <v>149</v>
      </c>
      <c r="I2080" t="s">
        <v>36</v>
      </c>
      <c r="J2080" t="s">
        <v>42</v>
      </c>
      <c r="K2080" s="2" t="s">
        <v>3019</v>
      </c>
      <c r="L2080" t="s">
        <v>25</v>
      </c>
      <c r="M2080" s="8">
        <v>1.032666667</v>
      </c>
      <c r="N2080" t="s">
        <v>26</v>
      </c>
      <c r="O2080" s="8">
        <v>1.032666667</v>
      </c>
      <c r="P2080" s="8">
        <f>EXP(-1.363+3.366*LOG(O2080,10))</f>
        <v>0.26820327281159584</v>
      </c>
      <c r="Q2080" s="8">
        <f>(2618262*100)/2995732</f>
        <v>87.399740697766021</v>
      </c>
    </row>
    <row r="2081" spans="1:17" x14ac:dyDescent="0.2">
      <c r="A2081">
        <f>YEAR(D2081)</f>
        <v>2019</v>
      </c>
      <c r="B2081" t="s">
        <v>26</v>
      </c>
      <c r="C2081" s="2" t="s">
        <v>1540</v>
      </c>
      <c r="D2081" s="1">
        <v>43543</v>
      </c>
      <c r="E2081">
        <f>MONTH(D2081)</f>
        <v>3</v>
      </c>
      <c r="F2081" s="2" t="s">
        <v>19</v>
      </c>
      <c r="G2081" t="s">
        <v>20</v>
      </c>
      <c r="H2081" t="s">
        <v>149</v>
      </c>
      <c r="I2081" t="s">
        <v>36</v>
      </c>
      <c r="J2081" t="s">
        <v>42</v>
      </c>
      <c r="K2081" s="2" t="s">
        <v>3019</v>
      </c>
      <c r="L2081" t="s">
        <v>25</v>
      </c>
      <c r="M2081" s="8">
        <v>1.032666667</v>
      </c>
      <c r="N2081" t="s">
        <v>26</v>
      </c>
      <c r="O2081" s="8">
        <v>1.032666667</v>
      </c>
      <c r="P2081" s="8">
        <f>EXP(-1.363+3.366*LOG(O2081,10))</f>
        <v>0.26820327281159584</v>
      </c>
      <c r="Q2081" s="8">
        <f>(2618262*100)/2995732</f>
        <v>87.399740697766021</v>
      </c>
    </row>
    <row r="2082" spans="1:17" x14ac:dyDescent="0.2">
      <c r="A2082">
        <f>YEAR(D2082)</f>
        <v>2019</v>
      </c>
      <c r="B2082" t="s">
        <v>26</v>
      </c>
      <c r="C2082" s="2" t="s">
        <v>1540</v>
      </c>
      <c r="D2082" s="1">
        <v>43543</v>
      </c>
      <c r="E2082">
        <f>MONTH(D2082)</f>
        <v>3</v>
      </c>
      <c r="F2082" s="2" t="s">
        <v>19</v>
      </c>
      <c r="G2082" t="s">
        <v>20</v>
      </c>
      <c r="H2082" t="s">
        <v>149</v>
      </c>
      <c r="I2082" t="s">
        <v>36</v>
      </c>
      <c r="J2082" t="s">
        <v>42</v>
      </c>
      <c r="K2082" s="2" t="s">
        <v>3019</v>
      </c>
      <c r="L2082" t="s">
        <v>25</v>
      </c>
      <c r="M2082" s="8">
        <v>1.032666667</v>
      </c>
      <c r="N2082" t="s">
        <v>26</v>
      </c>
      <c r="O2082" s="8">
        <v>1.032666667</v>
      </c>
      <c r="P2082" s="8">
        <f>EXP(-1.363+3.366*LOG(O2082,10))</f>
        <v>0.26820327281159584</v>
      </c>
      <c r="Q2082" s="8">
        <f>(2618262*100)/2995732</f>
        <v>87.399740697766021</v>
      </c>
    </row>
    <row r="2083" spans="1:17" x14ac:dyDescent="0.2">
      <c r="A2083">
        <f>YEAR(D2083)</f>
        <v>2019</v>
      </c>
      <c r="B2083" t="s">
        <v>26</v>
      </c>
      <c r="C2083" s="2" t="s">
        <v>1540</v>
      </c>
      <c r="D2083" s="1">
        <v>43543</v>
      </c>
      <c r="E2083">
        <f>MONTH(D2083)</f>
        <v>3</v>
      </c>
      <c r="F2083" s="2" t="s">
        <v>19</v>
      </c>
      <c r="G2083" s="2" t="s">
        <v>20</v>
      </c>
      <c r="H2083" t="s">
        <v>45</v>
      </c>
      <c r="I2083" t="s">
        <v>22</v>
      </c>
      <c r="J2083" t="s">
        <v>42</v>
      </c>
      <c r="K2083" s="2" t="s">
        <v>3019</v>
      </c>
      <c r="L2083" t="s">
        <v>25</v>
      </c>
      <c r="M2083" s="8">
        <v>1.903333333</v>
      </c>
      <c r="N2083" t="s">
        <v>26</v>
      </c>
      <c r="O2083" s="8">
        <v>1.903333333</v>
      </c>
      <c r="P2083" s="8">
        <f>EXP(-1.363+3.366*LOG(O2083,10))</f>
        <v>0.65563371760507783</v>
      </c>
      <c r="Q2083" s="8">
        <f>(2618262*100)/2995732</f>
        <v>87.399740697766021</v>
      </c>
    </row>
    <row r="2084" spans="1:17" x14ac:dyDescent="0.2">
      <c r="A2084">
        <f>YEAR(D2084)</f>
        <v>2019</v>
      </c>
      <c r="B2084" t="s">
        <v>26</v>
      </c>
      <c r="C2084" s="2" t="s">
        <v>1540</v>
      </c>
      <c r="D2084" s="1">
        <v>43543</v>
      </c>
      <c r="E2084">
        <f>MONTH(D2084)</f>
        <v>3</v>
      </c>
      <c r="F2084" s="2" t="s">
        <v>19</v>
      </c>
      <c r="G2084" t="s">
        <v>20</v>
      </c>
      <c r="H2084" t="s">
        <v>149</v>
      </c>
      <c r="I2084" t="s">
        <v>22</v>
      </c>
      <c r="J2084" t="s">
        <v>42</v>
      </c>
      <c r="K2084" s="2" t="s">
        <v>3019</v>
      </c>
      <c r="L2084" t="s">
        <v>25</v>
      </c>
      <c r="M2084" s="8">
        <v>1.45</v>
      </c>
      <c r="N2084" t="s">
        <v>26</v>
      </c>
      <c r="O2084" s="8">
        <v>1.45</v>
      </c>
      <c r="P2084" s="8">
        <f>EXP(-1.363+3.366*LOG(O2084,10))</f>
        <v>0.44050419760124854</v>
      </c>
      <c r="Q2084" s="8">
        <f>(2618262*100)/2995732</f>
        <v>87.399740697766021</v>
      </c>
    </row>
    <row r="2085" spans="1:17" x14ac:dyDescent="0.2">
      <c r="A2085">
        <f>YEAR(D2085)</f>
        <v>2019</v>
      </c>
      <c r="B2085" t="s">
        <v>26</v>
      </c>
      <c r="C2085" s="2" t="s">
        <v>1540</v>
      </c>
      <c r="D2085" s="1">
        <v>43543</v>
      </c>
      <c r="E2085">
        <f>MONTH(D2085)</f>
        <v>3</v>
      </c>
      <c r="F2085" s="2" t="s">
        <v>19</v>
      </c>
      <c r="G2085" t="s">
        <v>20</v>
      </c>
      <c r="H2085" t="s">
        <v>149</v>
      </c>
      <c r="I2085" t="s">
        <v>36</v>
      </c>
      <c r="J2085" t="s">
        <v>42</v>
      </c>
      <c r="K2085" s="2" t="s">
        <v>3019</v>
      </c>
      <c r="L2085" t="s">
        <v>25</v>
      </c>
      <c r="M2085" s="8">
        <v>1.032666667</v>
      </c>
      <c r="N2085" t="s">
        <v>26</v>
      </c>
      <c r="O2085" s="8">
        <v>1.032666667</v>
      </c>
      <c r="P2085" s="8">
        <f>EXP(-1.363+3.366*LOG(O2085,10))</f>
        <v>0.26820327281159584</v>
      </c>
      <c r="Q2085" s="8">
        <f>(2618262*100)/2995732</f>
        <v>87.399740697766021</v>
      </c>
    </row>
    <row r="2086" spans="1:17" x14ac:dyDescent="0.2">
      <c r="A2086">
        <f>YEAR(D2086)</f>
        <v>2019</v>
      </c>
      <c r="B2086" t="s">
        <v>26</v>
      </c>
      <c r="C2086" s="2" t="s">
        <v>1540</v>
      </c>
      <c r="D2086" s="1">
        <v>43543</v>
      </c>
      <c r="E2086">
        <f>MONTH(D2086)</f>
        <v>3</v>
      </c>
      <c r="F2086" s="2" t="s">
        <v>19</v>
      </c>
      <c r="G2086" t="s">
        <v>303</v>
      </c>
      <c r="H2086" t="s">
        <v>312</v>
      </c>
      <c r="I2086" t="s">
        <v>22</v>
      </c>
      <c r="J2086" t="s">
        <v>42</v>
      </c>
      <c r="K2086" s="2" t="s">
        <v>3019</v>
      </c>
      <c r="L2086" t="s">
        <v>305</v>
      </c>
      <c r="M2086" s="8">
        <v>1.5776666669999999</v>
      </c>
      <c r="N2086" t="s">
        <v>26</v>
      </c>
      <c r="O2086" s="8">
        <v>1.5776666669999999</v>
      </c>
      <c r="P2086" s="8">
        <f>EXP(-1.363+3.366*LOG(O2086,10))</f>
        <v>0.49833603071292354</v>
      </c>
      <c r="Q2086" s="8">
        <f>(2618262*100)/2995732</f>
        <v>87.399740697766021</v>
      </c>
    </row>
    <row r="2087" spans="1:17" x14ac:dyDescent="0.2">
      <c r="A2087">
        <f>YEAR(D2087)</f>
        <v>2019</v>
      </c>
      <c r="B2087" t="s">
        <v>26</v>
      </c>
      <c r="C2087" s="2" t="s">
        <v>1540</v>
      </c>
      <c r="D2087" s="1">
        <v>43543</v>
      </c>
      <c r="E2087">
        <f>MONTH(D2087)</f>
        <v>3</v>
      </c>
      <c r="F2087" s="2" t="s">
        <v>19</v>
      </c>
      <c r="G2087" t="s">
        <v>20</v>
      </c>
      <c r="H2087" t="s">
        <v>149</v>
      </c>
      <c r="I2087" t="s">
        <v>36</v>
      </c>
      <c r="J2087" t="s">
        <v>42</v>
      </c>
      <c r="K2087" s="2" t="s">
        <v>3019</v>
      </c>
      <c r="L2087" t="s">
        <v>25</v>
      </c>
      <c r="M2087" s="8">
        <v>1.032666667</v>
      </c>
      <c r="N2087" t="s">
        <v>26</v>
      </c>
      <c r="O2087" s="8">
        <v>1.032666667</v>
      </c>
      <c r="P2087" s="8">
        <f>EXP(-1.363+3.366*LOG(O2087,10))</f>
        <v>0.26820327281159584</v>
      </c>
      <c r="Q2087" s="8">
        <f>(2618262*100)/2995732</f>
        <v>87.399740697766021</v>
      </c>
    </row>
    <row r="2088" spans="1:17" x14ac:dyDescent="0.2">
      <c r="A2088">
        <f>YEAR(D2088)</f>
        <v>2019</v>
      </c>
      <c r="B2088" t="s">
        <v>26</v>
      </c>
      <c r="C2088" s="2" t="s">
        <v>1540</v>
      </c>
      <c r="D2088" s="1">
        <v>43543</v>
      </c>
      <c r="E2088">
        <f>MONTH(D2088)</f>
        <v>3</v>
      </c>
      <c r="F2088" s="2" t="s">
        <v>19</v>
      </c>
      <c r="G2088" t="s">
        <v>303</v>
      </c>
      <c r="H2088" t="s">
        <v>307</v>
      </c>
      <c r="I2088" t="s">
        <v>22</v>
      </c>
      <c r="J2088" t="s">
        <v>42</v>
      </c>
      <c r="K2088" s="2" t="s">
        <v>3019</v>
      </c>
      <c r="L2088" t="s">
        <v>305</v>
      </c>
      <c r="M2088" s="8">
        <v>1.1000000000000001</v>
      </c>
      <c r="N2088" t="s">
        <v>26</v>
      </c>
      <c r="O2088" s="8">
        <v>1.1000000000000001</v>
      </c>
      <c r="P2088" s="8">
        <f>EXP(-1.363+3.366*LOG(O2088,10))</f>
        <v>0.29414800446794787</v>
      </c>
      <c r="Q2088" s="8">
        <f>(2618262*100)/2995732</f>
        <v>87.399740697766021</v>
      </c>
    </row>
    <row r="2089" spans="1:17" x14ac:dyDescent="0.2">
      <c r="A2089">
        <f>YEAR(D2089)</f>
        <v>2019</v>
      </c>
      <c r="B2089" t="s">
        <v>26</v>
      </c>
      <c r="C2089" s="2" t="s">
        <v>1540</v>
      </c>
      <c r="D2089" s="1">
        <v>43543</v>
      </c>
      <c r="E2089">
        <f>MONTH(D2089)</f>
        <v>3</v>
      </c>
      <c r="F2089" s="2" t="s">
        <v>19</v>
      </c>
      <c r="G2089" t="s">
        <v>303</v>
      </c>
      <c r="H2089" t="s">
        <v>312</v>
      </c>
      <c r="I2089" t="s">
        <v>36</v>
      </c>
      <c r="J2089" t="s">
        <v>42</v>
      </c>
      <c r="K2089" s="2" t="s">
        <v>3019</v>
      </c>
      <c r="L2089" t="s">
        <v>305</v>
      </c>
      <c r="M2089" s="8">
        <v>1.601</v>
      </c>
      <c r="N2089" t="s">
        <v>26</v>
      </c>
      <c r="O2089" s="8">
        <v>1.601</v>
      </c>
      <c r="P2089" s="8">
        <f>EXP(-1.363+3.366*LOG(O2089,10))</f>
        <v>0.50914686038957691</v>
      </c>
      <c r="Q2089" s="8">
        <f>(2618262*100)/2995732</f>
        <v>87.399740697766021</v>
      </c>
    </row>
    <row r="2090" spans="1:17" x14ac:dyDescent="0.2">
      <c r="A2090">
        <f>YEAR(D2090)</f>
        <v>2019</v>
      </c>
      <c r="B2090" t="s">
        <v>26</v>
      </c>
      <c r="C2090" s="2" t="s">
        <v>1540</v>
      </c>
      <c r="D2090" s="1">
        <v>43543</v>
      </c>
      <c r="E2090">
        <f>MONTH(D2090)</f>
        <v>3</v>
      </c>
      <c r="F2090" s="2" t="s">
        <v>19</v>
      </c>
      <c r="G2090" t="s">
        <v>303</v>
      </c>
      <c r="H2090" t="s">
        <v>307</v>
      </c>
      <c r="I2090" t="s">
        <v>22</v>
      </c>
      <c r="J2090" t="s">
        <v>42</v>
      </c>
      <c r="K2090" s="2" t="s">
        <v>3019</v>
      </c>
      <c r="L2090" t="s">
        <v>305</v>
      </c>
      <c r="M2090" s="8">
        <v>1.1000000000000001</v>
      </c>
      <c r="N2090" t="s">
        <v>26</v>
      </c>
      <c r="O2090" s="8">
        <v>1.1000000000000001</v>
      </c>
      <c r="P2090" s="8">
        <f>EXP(-1.363+3.366*LOG(O2090,10))</f>
        <v>0.29414800446794787</v>
      </c>
      <c r="Q2090" s="8">
        <f>(2618262*100)/2995732</f>
        <v>87.399740697766021</v>
      </c>
    </row>
    <row r="2091" spans="1:17" x14ac:dyDescent="0.2">
      <c r="A2091">
        <f>YEAR(D2091)</f>
        <v>2019</v>
      </c>
      <c r="B2091" t="s">
        <v>26</v>
      </c>
      <c r="C2091" s="2" t="s">
        <v>1540</v>
      </c>
      <c r="D2091" s="1">
        <v>43543</v>
      </c>
      <c r="E2091">
        <f>MONTH(D2091)</f>
        <v>3</v>
      </c>
      <c r="F2091" s="2" t="s">
        <v>19</v>
      </c>
      <c r="G2091" t="s">
        <v>303</v>
      </c>
      <c r="H2091" t="s">
        <v>307</v>
      </c>
      <c r="I2091" t="s">
        <v>22</v>
      </c>
      <c r="J2091" t="s">
        <v>42</v>
      </c>
      <c r="K2091" s="2" t="s">
        <v>3019</v>
      </c>
      <c r="L2091" t="s">
        <v>305</v>
      </c>
      <c r="M2091" s="8">
        <v>1.1000000000000001</v>
      </c>
      <c r="N2091" t="s">
        <v>26</v>
      </c>
      <c r="O2091" s="8">
        <v>1.1000000000000001</v>
      </c>
      <c r="P2091" s="8">
        <f>EXP(-1.363+3.366*LOG(O2091,10))</f>
        <v>0.29414800446794787</v>
      </c>
      <c r="Q2091" s="8">
        <f>(2618262*100)/2995732</f>
        <v>87.399740697766021</v>
      </c>
    </row>
    <row r="2092" spans="1:17" x14ac:dyDescent="0.2">
      <c r="A2092">
        <f>YEAR(D2092)</f>
        <v>2019</v>
      </c>
      <c r="B2092" t="s">
        <v>26</v>
      </c>
      <c r="C2092" s="2" t="s">
        <v>1540</v>
      </c>
      <c r="D2092" s="1">
        <v>43543</v>
      </c>
      <c r="E2092">
        <f>MONTH(D2092)</f>
        <v>3</v>
      </c>
      <c r="F2092" s="2" t="s">
        <v>19</v>
      </c>
      <c r="G2092" t="s">
        <v>303</v>
      </c>
      <c r="H2092" t="s">
        <v>307</v>
      </c>
      <c r="I2092" t="s">
        <v>36</v>
      </c>
      <c r="J2092" t="s">
        <v>42</v>
      </c>
      <c r="K2092" s="2" t="s">
        <v>3019</v>
      </c>
      <c r="L2092" t="s">
        <v>305</v>
      </c>
      <c r="M2092" s="8">
        <v>1.01</v>
      </c>
      <c r="N2092" t="s">
        <v>26</v>
      </c>
      <c r="O2092" s="8">
        <v>1.01</v>
      </c>
      <c r="P2092" s="8">
        <f>EXP(-1.363+3.366*LOG(O2092,10))</f>
        <v>0.25964128962709732</v>
      </c>
      <c r="Q2092" s="8">
        <f>(2618262*100)/2995732</f>
        <v>87.399740697766021</v>
      </c>
    </row>
    <row r="2093" spans="1:17" x14ac:dyDescent="0.2">
      <c r="A2093">
        <f>YEAR(D2093)</f>
        <v>2019</v>
      </c>
      <c r="B2093" t="s">
        <v>26</v>
      </c>
      <c r="C2093" s="2" t="s">
        <v>1540</v>
      </c>
      <c r="D2093" s="1">
        <v>43543</v>
      </c>
      <c r="E2093">
        <f>MONTH(D2093)</f>
        <v>3</v>
      </c>
      <c r="F2093" s="2" t="s">
        <v>19</v>
      </c>
      <c r="G2093" t="s">
        <v>303</v>
      </c>
      <c r="H2093" t="s">
        <v>2343</v>
      </c>
      <c r="I2093" t="s">
        <v>36</v>
      </c>
      <c r="J2093" t="s">
        <v>42</v>
      </c>
      <c r="K2093" s="2" t="s">
        <v>3019</v>
      </c>
      <c r="L2093" t="s">
        <v>305</v>
      </c>
      <c r="M2093" s="8">
        <v>1.702</v>
      </c>
      <c r="N2093" t="s">
        <v>26</v>
      </c>
      <c r="O2093" s="8">
        <v>1.702</v>
      </c>
      <c r="P2093" s="8">
        <f>EXP(-1.363+3.366*LOG(O2093,10))</f>
        <v>0.55677719093893896</v>
      </c>
      <c r="Q2093" s="8">
        <f>(2618262*100)/2995732</f>
        <v>87.399740697766021</v>
      </c>
    </row>
    <row r="2094" spans="1:17" x14ac:dyDescent="0.2">
      <c r="A2094">
        <f>YEAR(D2094)</f>
        <v>2019</v>
      </c>
      <c r="B2094" t="s">
        <v>26</v>
      </c>
      <c r="C2094" s="2" t="s">
        <v>1540</v>
      </c>
      <c r="D2094" s="1">
        <v>43543</v>
      </c>
      <c r="E2094">
        <f>MONTH(D2094)</f>
        <v>3</v>
      </c>
      <c r="F2094" s="2" t="s">
        <v>19</v>
      </c>
      <c r="G2094" t="s">
        <v>303</v>
      </c>
      <c r="H2094" t="s">
        <v>1931</v>
      </c>
      <c r="I2094" t="s">
        <v>22</v>
      </c>
      <c r="J2094" t="s">
        <v>42</v>
      </c>
      <c r="K2094" s="2" t="s">
        <v>3019</v>
      </c>
      <c r="L2094" t="s">
        <v>305</v>
      </c>
      <c r="M2094" s="8">
        <v>1.4026666670000001</v>
      </c>
      <c r="N2094" t="s">
        <v>26</v>
      </c>
      <c r="O2094" s="8">
        <v>1.4026666670000001</v>
      </c>
      <c r="P2094" s="8">
        <f>EXP(-1.363+3.366*LOG(O2094,10))</f>
        <v>0.41964287291404917</v>
      </c>
      <c r="Q2094" s="8">
        <f>(2618262*100)/2995732</f>
        <v>87.399740697766021</v>
      </c>
    </row>
    <row r="2095" spans="1:17" x14ac:dyDescent="0.2">
      <c r="A2095">
        <f>YEAR(D2095)</f>
        <v>2019</v>
      </c>
      <c r="B2095" t="s">
        <v>26</v>
      </c>
      <c r="C2095" s="2" t="s">
        <v>1540</v>
      </c>
      <c r="D2095" s="1">
        <v>43543</v>
      </c>
      <c r="E2095">
        <f>MONTH(D2095)</f>
        <v>3</v>
      </c>
      <c r="F2095" s="2" t="s">
        <v>19</v>
      </c>
      <c r="G2095" t="s">
        <v>303</v>
      </c>
      <c r="H2095" t="s">
        <v>307</v>
      </c>
      <c r="I2095" t="s">
        <v>36</v>
      </c>
      <c r="J2095" t="s">
        <v>42</v>
      </c>
      <c r="K2095" s="2" t="s">
        <v>3019</v>
      </c>
      <c r="L2095" t="s">
        <v>305</v>
      </c>
      <c r="M2095" s="8">
        <v>1.01</v>
      </c>
      <c r="N2095" t="s">
        <v>26</v>
      </c>
      <c r="O2095" s="8">
        <v>1.01</v>
      </c>
      <c r="P2095" s="8">
        <f>EXP(-1.363+3.366*LOG(O2095,10))</f>
        <v>0.25964128962709732</v>
      </c>
      <c r="Q2095" s="8">
        <f>(2618262*100)/2995732</f>
        <v>87.399740697766021</v>
      </c>
    </row>
    <row r="2096" spans="1:17" x14ac:dyDescent="0.2">
      <c r="A2096">
        <f>YEAR(D2096)</f>
        <v>2019</v>
      </c>
      <c r="B2096" t="s">
        <v>26</v>
      </c>
      <c r="C2096" s="2" t="s">
        <v>1540</v>
      </c>
      <c r="D2096" s="1">
        <v>43543</v>
      </c>
      <c r="E2096">
        <f>MONTH(D2096)</f>
        <v>3</v>
      </c>
      <c r="F2096" s="2" t="s">
        <v>19</v>
      </c>
      <c r="G2096" t="s">
        <v>303</v>
      </c>
      <c r="H2096" t="s">
        <v>307</v>
      </c>
      <c r="I2096" t="s">
        <v>22</v>
      </c>
      <c r="J2096" t="s">
        <v>42</v>
      </c>
      <c r="K2096" s="2" t="s">
        <v>3019</v>
      </c>
      <c r="L2096" t="s">
        <v>305</v>
      </c>
      <c r="M2096" s="8">
        <v>1.1000000000000001</v>
      </c>
      <c r="N2096" t="s">
        <v>26</v>
      </c>
      <c r="O2096" s="8">
        <v>1.1000000000000001</v>
      </c>
      <c r="P2096" s="8">
        <f>EXP(-1.363+3.366*LOG(O2096,10))</f>
        <v>0.29414800446794787</v>
      </c>
      <c r="Q2096" s="8">
        <f>(2618262*100)/2995732</f>
        <v>87.399740697766021</v>
      </c>
    </row>
    <row r="2097" spans="1:17" x14ac:dyDescent="0.2">
      <c r="A2097">
        <f>YEAR(D2097)</f>
        <v>2019</v>
      </c>
      <c r="B2097" t="s">
        <v>26</v>
      </c>
      <c r="C2097" s="2" t="s">
        <v>1540</v>
      </c>
      <c r="D2097" s="1">
        <v>43543</v>
      </c>
      <c r="E2097">
        <f>MONTH(D2097)</f>
        <v>3</v>
      </c>
      <c r="F2097" s="2" t="s">
        <v>19</v>
      </c>
      <c r="G2097" t="s">
        <v>303</v>
      </c>
      <c r="H2097" t="s">
        <v>307</v>
      </c>
      <c r="I2097" t="s">
        <v>22</v>
      </c>
      <c r="J2097" t="s">
        <v>42</v>
      </c>
      <c r="K2097" s="2" t="s">
        <v>3019</v>
      </c>
      <c r="L2097" t="s">
        <v>305</v>
      </c>
      <c r="M2097" s="8">
        <v>1.1000000000000001</v>
      </c>
      <c r="N2097" t="s">
        <v>26</v>
      </c>
      <c r="O2097" s="8">
        <v>1.1000000000000001</v>
      </c>
      <c r="P2097" s="8">
        <f>EXP(-1.363+3.366*LOG(O2097,10))</f>
        <v>0.29414800446794787</v>
      </c>
      <c r="Q2097" s="8">
        <f>(2618262*100)/2995732</f>
        <v>87.399740697766021</v>
      </c>
    </row>
    <row r="2098" spans="1:17" x14ac:dyDescent="0.2">
      <c r="A2098">
        <f>YEAR(D2098)</f>
        <v>2019</v>
      </c>
      <c r="B2098" t="s">
        <v>26</v>
      </c>
      <c r="C2098" s="2" t="s">
        <v>1540</v>
      </c>
      <c r="D2098" s="1">
        <v>43543</v>
      </c>
      <c r="E2098">
        <f>MONTH(D2098)</f>
        <v>3</v>
      </c>
      <c r="F2098" s="2" t="s">
        <v>19</v>
      </c>
      <c r="G2098" t="s">
        <v>303</v>
      </c>
      <c r="H2098" t="s">
        <v>307</v>
      </c>
      <c r="I2098" t="s">
        <v>22</v>
      </c>
      <c r="J2098" t="s">
        <v>42</v>
      </c>
      <c r="K2098" s="2" t="s">
        <v>3019</v>
      </c>
      <c r="L2098" t="s">
        <v>305</v>
      </c>
      <c r="M2098" s="8">
        <v>1.1000000000000001</v>
      </c>
      <c r="N2098" t="s">
        <v>26</v>
      </c>
      <c r="O2098" s="8">
        <v>1.1000000000000001</v>
      </c>
      <c r="P2098" s="8">
        <f>EXP(-1.363+3.366*LOG(O2098,10))</f>
        <v>0.29414800446794787</v>
      </c>
      <c r="Q2098" s="8">
        <f>(2618262*100)/2995732</f>
        <v>87.399740697766021</v>
      </c>
    </row>
    <row r="2099" spans="1:17" x14ac:dyDescent="0.2">
      <c r="A2099">
        <f>YEAR(D2099)</f>
        <v>2019</v>
      </c>
      <c r="B2099" t="s">
        <v>26</v>
      </c>
      <c r="C2099" s="2" t="s">
        <v>1540</v>
      </c>
      <c r="D2099" s="1">
        <v>43543</v>
      </c>
      <c r="E2099">
        <f>MONTH(D2099)</f>
        <v>3</v>
      </c>
      <c r="F2099" s="2" t="s">
        <v>19</v>
      </c>
      <c r="G2099" s="2" t="s">
        <v>20</v>
      </c>
      <c r="H2099" t="s">
        <v>3044</v>
      </c>
      <c r="I2099" t="s">
        <v>36</v>
      </c>
      <c r="J2099" t="s">
        <v>42</v>
      </c>
      <c r="K2099" s="2" t="s">
        <v>3019</v>
      </c>
      <c r="L2099" t="s">
        <v>25</v>
      </c>
      <c r="M2099" s="8">
        <v>1.5979999999999999</v>
      </c>
      <c r="N2099" t="s">
        <v>26</v>
      </c>
      <c r="O2099" s="8">
        <v>1.5979999999999999</v>
      </c>
      <c r="P2099" s="8">
        <f>EXP(-1.363+3.366*LOG(O2099,10))</f>
        <v>0.50775279420544328</v>
      </c>
      <c r="Q2099" s="8">
        <f>(2618262*100)/2995732</f>
        <v>87.399740697766021</v>
      </c>
    </row>
    <row r="2100" spans="1:17" x14ac:dyDescent="0.2">
      <c r="A2100">
        <f>YEAR(D2100)</f>
        <v>2019</v>
      </c>
      <c r="B2100" t="s">
        <v>26</v>
      </c>
      <c r="C2100" s="2" t="s">
        <v>1540</v>
      </c>
      <c r="D2100" s="1">
        <v>43543</v>
      </c>
      <c r="E2100">
        <f>MONTH(D2100)</f>
        <v>3</v>
      </c>
      <c r="F2100" s="2" t="s">
        <v>19</v>
      </c>
      <c r="G2100" t="s">
        <v>20</v>
      </c>
      <c r="H2100" t="s">
        <v>149</v>
      </c>
      <c r="I2100" t="s">
        <v>36</v>
      </c>
      <c r="J2100" t="s">
        <v>42</v>
      </c>
      <c r="K2100" s="2" t="s">
        <v>3019</v>
      </c>
      <c r="L2100" t="s">
        <v>25</v>
      </c>
      <c r="M2100" s="8">
        <v>1.032666667</v>
      </c>
      <c r="N2100" t="s">
        <v>26</v>
      </c>
      <c r="O2100" s="8">
        <v>1.032666667</v>
      </c>
      <c r="P2100" s="8">
        <f>EXP(-1.363+3.366*LOG(O2100,10))</f>
        <v>0.26820327281159584</v>
      </c>
      <c r="Q2100" s="8">
        <f>(2618262*100)/2995732</f>
        <v>87.399740697766021</v>
      </c>
    </row>
    <row r="2101" spans="1:17" x14ac:dyDescent="0.2">
      <c r="A2101">
        <f>YEAR(D2101)</f>
        <v>2019</v>
      </c>
      <c r="B2101" t="s">
        <v>26</v>
      </c>
      <c r="C2101" s="2" t="s">
        <v>1540</v>
      </c>
      <c r="D2101" s="1">
        <v>43543</v>
      </c>
      <c r="E2101">
        <f>MONTH(D2101)</f>
        <v>3</v>
      </c>
      <c r="F2101" s="2" t="s">
        <v>19</v>
      </c>
      <c r="G2101" t="s">
        <v>303</v>
      </c>
      <c r="H2101" t="s">
        <v>307</v>
      </c>
      <c r="I2101" t="s">
        <v>22</v>
      </c>
      <c r="J2101" t="s">
        <v>42</v>
      </c>
      <c r="K2101" s="2" t="s">
        <v>3019</v>
      </c>
      <c r="L2101" t="s">
        <v>305</v>
      </c>
      <c r="M2101" s="8">
        <v>1.1000000000000001</v>
      </c>
      <c r="N2101" t="s">
        <v>26</v>
      </c>
      <c r="O2101" s="8">
        <v>1.1000000000000001</v>
      </c>
      <c r="P2101" s="8">
        <f>EXP(-1.363+3.366*LOG(O2101,10))</f>
        <v>0.29414800446794787</v>
      </c>
      <c r="Q2101" s="8">
        <f>(2618262*100)/2995732</f>
        <v>87.399740697766021</v>
      </c>
    </row>
    <row r="2102" spans="1:17" x14ac:dyDescent="0.2">
      <c r="A2102">
        <f>YEAR(D2102)</f>
        <v>2019</v>
      </c>
      <c r="B2102" t="s">
        <v>26</v>
      </c>
      <c r="C2102" s="2" t="s">
        <v>1540</v>
      </c>
      <c r="D2102" s="1">
        <v>43543</v>
      </c>
      <c r="E2102">
        <f>MONTH(D2102)</f>
        <v>3</v>
      </c>
      <c r="F2102" s="2" t="s">
        <v>19</v>
      </c>
      <c r="G2102" t="s">
        <v>303</v>
      </c>
      <c r="H2102" t="s">
        <v>307</v>
      </c>
      <c r="I2102" t="s">
        <v>22</v>
      </c>
      <c r="J2102" t="s">
        <v>42</v>
      </c>
      <c r="K2102" s="2" t="s">
        <v>3019</v>
      </c>
      <c r="L2102" t="s">
        <v>305</v>
      </c>
      <c r="M2102" s="8">
        <v>1.1000000000000001</v>
      </c>
      <c r="N2102" t="s">
        <v>26</v>
      </c>
      <c r="O2102" s="8">
        <v>1.1000000000000001</v>
      </c>
      <c r="P2102" s="8">
        <f>EXP(-1.363+3.366*LOG(O2102,10))</f>
        <v>0.29414800446794787</v>
      </c>
      <c r="Q2102" s="8">
        <f>(2618262*100)/2995732</f>
        <v>87.399740697766021</v>
      </c>
    </row>
    <row r="2103" spans="1:17" x14ac:dyDescent="0.2">
      <c r="A2103">
        <f>YEAR(D2103)</f>
        <v>2019</v>
      </c>
      <c r="B2103" t="s">
        <v>26</v>
      </c>
      <c r="C2103" s="2" t="s">
        <v>1540</v>
      </c>
      <c r="D2103" s="1">
        <v>43543</v>
      </c>
      <c r="E2103">
        <f>MONTH(D2103)</f>
        <v>3</v>
      </c>
      <c r="F2103" s="2" t="s">
        <v>19</v>
      </c>
      <c r="G2103" t="s">
        <v>303</v>
      </c>
      <c r="H2103" t="s">
        <v>307</v>
      </c>
      <c r="I2103" t="s">
        <v>36</v>
      </c>
      <c r="J2103" t="s">
        <v>42</v>
      </c>
      <c r="K2103" s="2" t="s">
        <v>3019</v>
      </c>
      <c r="L2103" t="s">
        <v>305</v>
      </c>
      <c r="M2103" s="8">
        <v>1.01</v>
      </c>
      <c r="N2103" t="s">
        <v>26</v>
      </c>
      <c r="O2103" s="8">
        <v>1.01</v>
      </c>
      <c r="P2103" s="8">
        <f>EXP(-1.363+3.366*LOG(O2103,10))</f>
        <v>0.25964128962709732</v>
      </c>
      <c r="Q2103" s="8">
        <f>(2618262*100)/2995732</f>
        <v>87.399740697766021</v>
      </c>
    </row>
    <row r="2104" spans="1:17" x14ac:dyDescent="0.2">
      <c r="A2104">
        <f>YEAR(D2104)</f>
        <v>2019</v>
      </c>
      <c r="B2104" t="s">
        <v>26</v>
      </c>
      <c r="C2104" s="2" t="s">
        <v>1540</v>
      </c>
      <c r="D2104" s="1">
        <v>43543</v>
      </c>
      <c r="E2104">
        <f>MONTH(D2104)</f>
        <v>3</v>
      </c>
      <c r="F2104" s="2" t="s">
        <v>19</v>
      </c>
      <c r="G2104" t="s">
        <v>303</v>
      </c>
      <c r="H2104" t="s">
        <v>307</v>
      </c>
      <c r="I2104" t="s">
        <v>36</v>
      </c>
      <c r="J2104" t="s">
        <v>42</v>
      </c>
      <c r="K2104" s="2" t="s">
        <v>3019</v>
      </c>
      <c r="L2104" t="s">
        <v>305</v>
      </c>
      <c r="M2104" s="8">
        <v>1.01</v>
      </c>
      <c r="N2104" t="s">
        <v>26</v>
      </c>
      <c r="O2104" s="8">
        <v>1.01</v>
      </c>
      <c r="P2104" s="8">
        <f>EXP(-1.363+3.366*LOG(O2104,10))</f>
        <v>0.25964128962709732</v>
      </c>
      <c r="Q2104" s="8">
        <f>(2618262*100)/2995732</f>
        <v>87.399740697766021</v>
      </c>
    </row>
    <row r="2105" spans="1:17" x14ac:dyDescent="0.2">
      <c r="A2105">
        <f>YEAR(D2105)</f>
        <v>2019</v>
      </c>
      <c r="B2105" t="s">
        <v>26</v>
      </c>
      <c r="C2105" s="2" t="s">
        <v>1540</v>
      </c>
      <c r="D2105" s="1">
        <v>43543</v>
      </c>
      <c r="E2105">
        <f>MONTH(D2105)</f>
        <v>3</v>
      </c>
      <c r="F2105" s="2" t="s">
        <v>19</v>
      </c>
      <c r="G2105" t="s">
        <v>303</v>
      </c>
      <c r="H2105" t="s">
        <v>307</v>
      </c>
      <c r="I2105" t="s">
        <v>22</v>
      </c>
      <c r="J2105" t="s">
        <v>42</v>
      </c>
      <c r="K2105" s="2" t="s">
        <v>3019</v>
      </c>
      <c r="L2105" t="s">
        <v>305</v>
      </c>
      <c r="M2105" s="8">
        <v>1.1000000000000001</v>
      </c>
      <c r="N2105" t="s">
        <v>26</v>
      </c>
      <c r="O2105" s="8">
        <v>1.1000000000000001</v>
      </c>
      <c r="P2105" s="8">
        <f>EXP(-1.363+3.366*LOG(O2105,10))</f>
        <v>0.29414800446794787</v>
      </c>
      <c r="Q2105" s="8">
        <f>(2618262*100)/2995732</f>
        <v>87.399740697766021</v>
      </c>
    </row>
    <row r="2106" spans="1:17" x14ac:dyDescent="0.2">
      <c r="A2106">
        <f>YEAR(D2106)</f>
        <v>2019</v>
      </c>
      <c r="B2106" t="s">
        <v>26</v>
      </c>
      <c r="C2106" s="2" t="s">
        <v>1540</v>
      </c>
      <c r="D2106" s="1">
        <v>43543</v>
      </c>
      <c r="E2106">
        <f>MONTH(D2106)</f>
        <v>3</v>
      </c>
      <c r="F2106" s="2" t="s">
        <v>19</v>
      </c>
      <c r="G2106" t="s">
        <v>303</v>
      </c>
      <c r="H2106" t="s">
        <v>307</v>
      </c>
      <c r="I2106" t="s">
        <v>36</v>
      </c>
      <c r="J2106" t="s">
        <v>42</v>
      </c>
      <c r="K2106" s="2" t="s">
        <v>3019</v>
      </c>
      <c r="L2106" t="s">
        <v>305</v>
      </c>
      <c r="M2106" s="8">
        <v>1.01</v>
      </c>
      <c r="N2106" t="s">
        <v>26</v>
      </c>
      <c r="O2106" s="8">
        <v>1.01</v>
      </c>
      <c r="P2106" s="8">
        <f>EXP(-1.363+3.366*LOG(O2106,10))</f>
        <v>0.25964128962709732</v>
      </c>
      <c r="Q2106" s="8">
        <f>(2618262*100)/2995732</f>
        <v>87.399740697766021</v>
      </c>
    </row>
    <row r="2107" spans="1:17" x14ac:dyDescent="0.2">
      <c r="A2107">
        <f>YEAR(D2107)</f>
        <v>2019</v>
      </c>
      <c r="B2107" t="s">
        <v>26</v>
      </c>
      <c r="C2107" s="2" t="s">
        <v>1540</v>
      </c>
      <c r="D2107" s="1">
        <v>43543</v>
      </c>
      <c r="E2107">
        <f>MONTH(D2107)</f>
        <v>3</v>
      </c>
      <c r="F2107" s="2" t="s">
        <v>19</v>
      </c>
      <c r="G2107" t="s">
        <v>303</v>
      </c>
      <c r="H2107" t="s">
        <v>307</v>
      </c>
      <c r="I2107" t="s">
        <v>22</v>
      </c>
      <c r="J2107" t="s">
        <v>42</v>
      </c>
      <c r="K2107" s="2" t="s">
        <v>3019</v>
      </c>
      <c r="L2107" t="s">
        <v>305</v>
      </c>
      <c r="M2107" s="8">
        <v>1.1000000000000001</v>
      </c>
      <c r="N2107" t="s">
        <v>26</v>
      </c>
      <c r="O2107" s="8">
        <v>1.1000000000000001</v>
      </c>
      <c r="P2107" s="8">
        <f>EXP(-1.363+3.366*LOG(O2107,10))</f>
        <v>0.29414800446794787</v>
      </c>
      <c r="Q2107" s="8">
        <f>(2618262*100)/2995732</f>
        <v>87.399740697766021</v>
      </c>
    </row>
    <row r="2108" spans="1:17" x14ac:dyDescent="0.2">
      <c r="A2108">
        <f>YEAR(D2108)</f>
        <v>2019</v>
      </c>
      <c r="B2108" t="s">
        <v>26</v>
      </c>
      <c r="C2108" s="2" t="s">
        <v>1540</v>
      </c>
      <c r="D2108" s="1">
        <v>43543</v>
      </c>
      <c r="E2108">
        <f>MONTH(D2108)</f>
        <v>3</v>
      </c>
      <c r="F2108" s="2" t="s">
        <v>19</v>
      </c>
      <c r="G2108" t="s">
        <v>303</v>
      </c>
      <c r="H2108" t="s">
        <v>307</v>
      </c>
      <c r="I2108" t="s">
        <v>22</v>
      </c>
      <c r="J2108" t="s">
        <v>42</v>
      </c>
      <c r="K2108" s="2" t="s">
        <v>3019</v>
      </c>
      <c r="L2108" t="s">
        <v>305</v>
      </c>
      <c r="M2108" s="8">
        <v>1.1000000000000001</v>
      </c>
      <c r="N2108" t="s">
        <v>26</v>
      </c>
      <c r="O2108" s="8">
        <v>1.1000000000000001</v>
      </c>
      <c r="P2108" s="8">
        <f>EXP(-1.363+3.366*LOG(O2108,10))</f>
        <v>0.29414800446794787</v>
      </c>
      <c r="Q2108" s="8">
        <f>(2618262*100)/2995732</f>
        <v>87.399740697766021</v>
      </c>
    </row>
    <row r="2109" spans="1:17" x14ac:dyDescent="0.2">
      <c r="A2109">
        <f>YEAR(D2109)</f>
        <v>2019</v>
      </c>
      <c r="B2109" t="s">
        <v>26</v>
      </c>
      <c r="C2109" s="2" t="s">
        <v>1540</v>
      </c>
      <c r="D2109" s="1">
        <v>43543</v>
      </c>
      <c r="E2109">
        <f>MONTH(D2109)</f>
        <v>3</v>
      </c>
      <c r="F2109" s="2" t="s">
        <v>19</v>
      </c>
      <c r="G2109" t="s">
        <v>303</v>
      </c>
      <c r="H2109" t="s">
        <v>307</v>
      </c>
      <c r="I2109" t="s">
        <v>36</v>
      </c>
      <c r="J2109" t="s">
        <v>42</v>
      </c>
      <c r="K2109" s="2" t="s">
        <v>3019</v>
      </c>
      <c r="L2109" t="s">
        <v>305</v>
      </c>
      <c r="M2109" s="8">
        <v>1.01</v>
      </c>
      <c r="N2109" t="s">
        <v>26</v>
      </c>
      <c r="O2109" s="8">
        <v>1.01</v>
      </c>
      <c r="P2109" s="8">
        <f>EXP(-1.363+3.366*LOG(O2109,10))</f>
        <v>0.25964128962709732</v>
      </c>
      <c r="Q2109" s="8">
        <f>(2618262*100)/2995732</f>
        <v>87.399740697766021</v>
      </c>
    </row>
    <row r="2110" spans="1:17" x14ac:dyDescent="0.2">
      <c r="A2110">
        <f>YEAR(D2110)</f>
        <v>2019</v>
      </c>
      <c r="B2110" t="s">
        <v>26</v>
      </c>
      <c r="C2110" s="2" t="s">
        <v>1540</v>
      </c>
      <c r="D2110" s="1">
        <v>43543</v>
      </c>
      <c r="E2110">
        <f>MONTH(D2110)</f>
        <v>3</v>
      </c>
      <c r="F2110" s="2" t="s">
        <v>19</v>
      </c>
      <c r="G2110" t="s">
        <v>303</v>
      </c>
      <c r="H2110" t="s">
        <v>307</v>
      </c>
      <c r="I2110" t="s">
        <v>22</v>
      </c>
      <c r="J2110" t="s">
        <v>42</v>
      </c>
      <c r="K2110" s="2" t="s">
        <v>3019</v>
      </c>
      <c r="L2110" t="s">
        <v>305</v>
      </c>
      <c r="M2110" s="8">
        <v>1.1000000000000001</v>
      </c>
      <c r="N2110" t="s">
        <v>26</v>
      </c>
      <c r="O2110" s="8">
        <v>1.1000000000000001</v>
      </c>
      <c r="P2110" s="8">
        <f>EXP(-1.363+3.366*LOG(O2110,10))</f>
        <v>0.29414800446794787</v>
      </c>
      <c r="Q2110" s="8">
        <f>(2618262*100)/2995732</f>
        <v>87.399740697766021</v>
      </c>
    </row>
    <row r="2111" spans="1:17" x14ac:dyDescent="0.2">
      <c r="A2111">
        <f>YEAR(D2111)</f>
        <v>2019</v>
      </c>
      <c r="B2111" t="s">
        <v>26</v>
      </c>
      <c r="C2111" s="2" t="s">
        <v>1540</v>
      </c>
      <c r="D2111" s="1">
        <v>43543</v>
      </c>
      <c r="E2111">
        <f>MONTH(D2111)</f>
        <v>3</v>
      </c>
      <c r="F2111" s="2" t="s">
        <v>19</v>
      </c>
      <c r="G2111" t="s">
        <v>303</v>
      </c>
      <c r="H2111" t="s">
        <v>307</v>
      </c>
      <c r="I2111" t="s">
        <v>22</v>
      </c>
      <c r="J2111" t="s">
        <v>42</v>
      </c>
      <c r="K2111" s="2" t="s">
        <v>3019</v>
      </c>
      <c r="L2111" t="s">
        <v>305</v>
      </c>
      <c r="M2111" s="8">
        <v>1.1000000000000001</v>
      </c>
      <c r="N2111" t="s">
        <v>26</v>
      </c>
      <c r="O2111" s="8">
        <v>1.1000000000000001</v>
      </c>
      <c r="P2111" s="8">
        <f>EXP(-1.363+3.366*LOG(O2111,10))</f>
        <v>0.29414800446794787</v>
      </c>
      <c r="Q2111" s="8">
        <f>(2618262*100)/2995732</f>
        <v>87.399740697766021</v>
      </c>
    </row>
    <row r="2112" spans="1:17" x14ac:dyDescent="0.2">
      <c r="A2112">
        <f>YEAR(D2112)</f>
        <v>2019</v>
      </c>
      <c r="B2112" t="s">
        <v>26</v>
      </c>
      <c r="C2112" s="2" t="s">
        <v>1540</v>
      </c>
      <c r="D2112" s="1">
        <v>43543</v>
      </c>
      <c r="E2112">
        <f>MONTH(D2112)</f>
        <v>3</v>
      </c>
      <c r="F2112" s="2" t="s">
        <v>19</v>
      </c>
      <c r="G2112" t="s">
        <v>303</v>
      </c>
      <c r="H2112" t="s">
        <v>307</v>
      </c>
      <c r="I2112" t="s">
        <v>22</v>
      </c>
      <c r="J2112" t="s">
        <v>42</v>
      </c>
      <c r="K2112" s="2" t="s">
        <v>3019</v>
      </c>
      <c r="L2112" t="s">
        <v>305</v>
      </c>
      <c r="M2112" s="8">
        <v>1.1000000000000001</v>
      </c>
      <c r="N2112" t="s">
        <v>26</v>
      </c>
      <c r="O2112" s="8">
        <v>1.1000000000000001</v>
      </c>
      <c r="P2112" s="8">
        <f>EXP(-1.363+3.366*LOG(O2112,10))</f>
        <v>0.29414800446794787</v>
      </c>
      <c r="Q2112" s="8">
        <f>(2618262*100)/2995732</f>
        <v>87.399740697766021</v>
      </c>
    </row>
    <row r="2113" spans="1:17" x14ac:dyDescent="0.2">
      <c r="A2113">
        <f>YEAR(D2113)</f>
        <v>2019</v>
      </c>
      <c r="B2113" t="s">
        <v>26</v>
      </c>
      <c r="C2113" s="2" t="s">
        <v>1540</v>
      </c>
      <c r="D2113" s="1">
        <v>43543</v>
      </c>
      <c r="E2113">
        <f>MONTH(D2113)</f>
        <v>3</v>
      </c>
      <c r="F2113" s="2" t="s">
        <v>19</v>
      </c>
      <c r="G2113" t="s">
        <v>303</v>
      </c>
      <c r="H2113" t="s">
        <v>307</v>
      </c>
      <c r="I2113" t="s">
        <v>22</v>
      </c>
      <c r="J2113" t="s">
        <v>42</v>
      </c>
      <c r="K2113" s="2" t="s">
        <v>3019</v>
      </c>
      <c r="L2113" t="s">
        <v>305</v>
      </c>
      <c r="M2113" s="8">
        <v>1.1000000000000001</v>
      </c>
      <c r="N2113" t="s">
        <v>26</v>
      </c>
      <c r="O2113" s="8">
        <v>1.1000000000000001</v>
      </c>
      <c r="P2113" s="8">
        <f>EXP(-1.363+3.366*LOG(O2113,10))</f>
        <v>0.29414800446794787</v>
      </c>
      <c r="Q2113" s="8">
        <f>(2618262*100)/2995732</f>
        <v>87.399740697766021</v>
      </c>
    </row>
    <row r="2114" spans="1:17" x14ac:dyDescent="0.2">
      <c r="A2114">
        <f>YEAR(D2114)</f>
        <v>2019</v>
      </c>
      <c r="B2114" t="s">
        <v>26</v>
      </c>
      <c r="C2114" s="2" t="s">
        <v>1540</v>
      </c>
      <c r="D2114" s="1">
        <v>43543</v>
      </c>
      <c r="E2114">
        <f>MONTH(D2114)</f>
        <v>3</v>
      </c>
      <c r="F2114" s="2" t="s">
        <v>19</v>
      </c>
      <c r="G2114" t="s">
        <v>352</v>
      </c>
      <c r="H2114" t="s">
        <v>747</v>
      </c>
      <c r="I2114" t="s">
        <v>22</v>
      </c>
      <c r="J2114" t="s">
        <v>42</v>
      </c>
      <c r="K2114" s="2" t="s">
        <v>3019</v>
      </c>
      <c r="L2114" t="s">
        <v>25</v>
      </c>
      <c r="M2114" s="8">
        <v>1.3726666670000001</v>
      </c>
      <c r="N2114" t="s">
        <v>26</v>
      </c>
      <c r="O2114" s="8">
        <v>1.3726666670000001</v>
      </c>
      <c r="P2114" s="8">
        <f>EXP(-1.363+3.366*LOG(O2114,10))</f>
        <v>0.40658758379567089</v>
      </c>
      <c r="Q2114" s="8">
        <f>(2618262*100)/2995732</f>
        <v>87.399740697766021</v>
      </c>
    </row>
    <row r="2115" spans="1:17" x14ac:dyDescent="0.2">
      <c r="A2115">
        <f>YEAR(D2115)</f>
        <v>2019</v>
      </c>
      <c r="B2115" t="s">
        <v>26</v>
      </c>
      <c r="C2115" s="2" t="s">
        <v>1540</v>
      </c>
      <c r="D2115" s="1">
        <v>43543</v>
      </c>
      <c r="E2115">
        <f>MONTH(D2115)</f>
        <v>3</v>
      </c>
      <c r="F2115" s="2" t="s">
        <v>19</v>
      </c>
      <c r="G2115" t="s">
        <v>20</v>
      </c>
      <c r="H2115" t="s">
        <v>149</v>
      </c>
      <c r="I2115" t="s">
        <v>36</v>
      </c>
      <c r="J2115" t="s">
        <v>42</v>
      </c>
      <c r="K2115" s="2" t="s">
        <v>3019</v>
      </c>
      <c r="L2115" t="s">
        <v>25</v>
      </c>
      <c r="M2115" s="8">
        <v>1.032666667</v>
      </c>
      <c r="N2115" t="s">
        <v>26</v>
      </c>
      <c r="O2115" s="8">
        <v>1.032666667</v>
      </c>
      <c r="P2115" s="8">
        <f>EXP(-1.363+3.366*LOG(O2115,10))</f>
        <v>0.26820327281159584</v>
      </c>
      <c r="Q2115" s="8">
        <f>(2618262*100)/2995732</f>
        <v>87.399740697766021</v>
      </c>
    </row>
    <row r="2116" spans="1:17" x14ac:dyDescent="0.2">
      <c r="A2116">
        <f>YEAR(D2116)</f>
        <v>2019</v>
      </c>
      <c r="B2116" t="s">
        <v>26</v>
      </c>
      <c r="C2116" s="2" t="s">
        <v>1540</v>
      </c>
      <c r="D2116" s="1">
        <v>43543</v>
      </c>
      <c r="E2116">
        <f>MONTH(D2116)</f>
        <v>3</v>
      </c>
      <c r="F2116" s="2" t="s">
        <v>19</v>
      </c>
      <c r="G2116" t="s">
        <v>20</v>
      </c>
      <c r="H2116" t="s">
        <v>149</v>
      </c>
      <c r="I2116" t="s">
        <v>22</v>
      </c>
      <c r="J2116" t="s">
        <v>42</v>
      </c>
      <c r="K2116" s="2" t="s">
        <v>3019</v>
      </c>
      <c r="L2116" t="s">
        <v>25</v>
      </c>
      <c r="M2116" s="8">
        <v>1.45</v>
      </c>
      <c r="N2116" t="s">
        <v>26</v>
      </c>
      <c r="O2116" s="8">
        <v>1.45</v>
      </c>
      <c r="P2116" s="8">
        <f>EXP(-1.363+3.366*LOG(O2116,10))</f>
        <v>0.44050419760124854</v>
      </c>
      <c r="Q2116" s="8">
        <f>(2618262*100)/2995732</f>
        <v>87.399740697766021</v>
      </c>
    </row>
    <row r="2117" spans="1:17" x14ac:dyDescent="0.2">
      <c r="A2117">
        <f>YEAR(D2117)</f>
        <v>2019</v>
      </c>
      <c r="B2117" t="s">
        <v>26</v>
      </c>
      <c r="C2117" s="2" t="s">
        <v>1540</v>
      </c>
      <c r="D2117" s="1">
        <v>43543</v>
      </c>
      <c r="E2117">
        <f>MONTH(D2117)</f>
        <v>3</v>
      </c>
      <c r="F2117" s="2" t="s">
        <v>19</v>
      </c>
      <c r="G2117" t="s">
        <v>352</v>
      </c>
      <c r="H2117" t="s">
        <v>747</v>
      </c>
      <c r="I2117" t="s">
        <v>22</v>
      </c>
      <c r="J2117" t="s">
        <v>42</v>
      </c>
      <c r="K2117" s="2" t="s">
        <v>3019</v>
      </c>
      <c r="L2117" t="s">
        <v>25</v>
      </c>
      <c r="M2117" s="8">
        <v>1.3726666670000001</v>
      </c>
      <c r="N2117" t="s">
        <v>26</v>
      </c>
      <c r="O2117" s="8">
        <v>1.3726666670000001</v>
      </c>
      <c r="P2117" s="8">
        <f>EXP(-1.363+3.366*LOG(O2117,10))</f>
        <v>0.40658758379567089</v>
      </c>
      <c r="Q2117" s="8">
        <f>(2618262*100)/2995732</f>
        <v>87.399740697766021</v>
      </c>
    </row>
    <row r="2118" spans="1:17" x14ac:dyDescent="0.2">
      <c r="A2118">
        <f>YEAR(D2118)</f>
        <v>2019</v>
      </c>
      <c r="B2118" t="s">
        <v>26</v>
      </c>
      <c r="C2118" s="2" t="s">
        <v>1540</v>
      </c>
      <c r="D2118" s="1">
        <v>43543</v>
      </c>
      <c r="E2118">
        <f>MONTH(D2118)</f>
        <v>3</v>
      </c>
      <c r="F2118" s="2" t="s">
        <v>19</v>
      </c>
      <c r="G2118" t="s">
        <v>20</v>
      </c>
      <c r="H2118" t="s">
        <v>149</v>
      </c>
      <c r="I2118" t="s">
        <v>22</v>
      </c>
      <c r="J2118" t="s">
        <v>42</v>
      </c>
      <c r="K2118" s="2" t="s">
        <v>3019</v>
      </c>
      <c r="L2118" t="s">
        <v>25</v>
      </c>
      <c r="M2118" s="8">
        <v>1.45</v>
      </c>
      <c r="N2118" t="s">
        <v>26</v>
      </c>
      <c r="O2118" s="8">
        <v>1.45</v>
      </c>
      <c r="P2118" s="8">
        <f>EXP(-1.363+3.366*LOG(O2118,10))</f>
        <v>0.44050419760124854</v>
      </c>
      <c r="Q2118" s="8">
        <f>(2618262*100)/2995732</f>
        <v>87.399740697766021</v>
      </c>
    </row>
    <row r="2119" spans="1:17" x14ac:dyDescent="0.2">
      <c r="A2119">
        <f>YEAR(D2119)</f>
        <v>2019</v>
      </c>
      <c r="B2119" t="s">
        <v>26</v>
      </c>
      <c r="C2119" s="2" t="s">
        <v>1540</v>
      </c>
      <c r="D2119" s="1">
        <v>43543</v>
      </c>
      <c r="E2119">
        <f>MONTH(D2119)</f>
        <v>3</v>
      </c>
      <c r="F2119" s="2" t="s">
        <v>19</v>
      </c>
      <c r="G2119" t="s">
        <v>352</v>
      </c>
      <c r="H2119" t="s">
        <v>623</v>
      </c>
      <c r="I2119" t="s">
        <v>22</v>
      </c>
      <c r="J2119" t="s">
        <v>42</v>
      </c>
      <c r="K2119" s="2" t="s">
        <v>3019</v>
      </c>
      <c r="L2119" t="s">
        <v>25</v>
      </c>
      <c r="M2119" s="8">
        <v>1.387</v>
      </c>
      <c r="N2119" t="s">
        <v>26</v>
      </c>
      <c r="O2119" s="8">
        <v>1.387</v>
      </c>
      <c r="P2119" s="8">
        <f>EXP(-1.363+3.366*LOG(O2119,10))</f>
        <v>0.41280884754947733</v>
      </c>
      <c r="Q2119" s="8">
        <f>(2618262*100)/2995732</f>
        <v>87.399740697766021</v>
      </c>
    </row>
    <row r="2120" spans="1:17" x14ac:dyDescent="0.2">
      <c r="A2120">
        <f>YEAR(D2120)</f>
        <v>2019</v>
      </c>
      <c r="B2120" t="s">
        <v>26</v>
      </c>
      <c r="C2120" s="2" t="s">
        <v>1540</v>
      </c>
      <c r="D2120" s="1">
        <v>43543</v>
      </c>
      <c r="E2120">
        <f>MONTH(D2120)</f>
        <v>3</v>
      </c>
      <c r="F2120" s="2" t="s">
        <v>19</v>
      </c>
      <c r="G2120" t="s">
        <v>20</v>
      </c>
      <c r="H2120" t="s">
        <v>2295</v>
      </c>
      <c r="I2120" t="s">
        <v>36</v>
      </c>
      <c r="J2120" t="s">
        <v>42</v>
      </c>
      <c r="K2120" s="2" t="s">
        <v>3019</v>
      </c>
      <c r="L2120" t="s">
        <v>25</v>
      </c>
      <c r="M2120" s="8">
        <v>1.0436666670000001</v>
      </c>
      <c r="N2120" t="s">
        <v>26</v>
      </c>
      <c r="O2120" s="8">
        <v>1.0436666670000001</v>
      </c>
      <c r="P2120" s="8">
        <f>EXP(-1.363+3.366*LOG(O2120,10))</f>
        <v>0.27238985802470567</v>
      </c>
      <c r="Q2120" s="8">
        <f>(2618262*100)/2995732</f>
        <v>87.399740697766021</v>
      </c>
    </row>
    <row r="2121" spans="1:17" x14ac:dyDescent="0.2">
      <c r="A2121">
        <f>YEAR(D2121)</f>
        <v>2019</v>
      </c>
      <c r="B2121" t="s">
        <v>26</v>
      </c>
      <c r="C2121" s="2" t="s">
        <v>1540</v>
      </c>
      <c r="D2121" s="1">
        <v>43543</v>
      </c>
      <c r="E2121">
        <f>MONTH(D2121)</f>
        <v>3</v>
      </c>
      <c r="F2121" s="2" t="s">
        <v>19</v>
      </c>
      <c r="G2121" t="s">
        <v>20</v>
      </c>
      <c r="H2121" t="s">
        <v>149</v>
      </c>
      <c r="I2121" t="s">
        <v>36</v>
      </c>
      <c r="J2121" t="s">
        <v>42</v>
      </c>
      <c r="K2121" s="2" t="s">
        <v>3019</v>
      </c>
      <c r="L2121" t="s">
        <v>25</v>
      </c>
      <c r="M2121" s="8">
        <v>1.032666667</v>
      </c>
      <c r="N2121" t="s">
        <v>26</v>
      </c>
      <c r="O2121" s="8">
        <v>1.032666667</v>
      </c>
      <c r="P2121" s="8">
        <f>EXP(-1.363+3.366*LOG(O2121,10))</f>
        <v>0.26820327281159584</v>
      </c>
      <c r="Q2121" s="8">
        <f>(2618262*100)/2995732</f>
        <v>87.399740697766021</v>
      </c>
    </row>
    <row r="2122" spans="1:17" x14ac:dyDescent="0.2">
      <c r="A2122">
        <f>YEAR(D2122)</f>
        <v>2019</v>
      </c>
      <c r="B2122" t="s">
        <v>26</v>
      </c>
      <c r="C2122" s="2" t="s">
        <v>1540</v>
      </c>
      <c r="D2122" s="1">
        <v>43543</v>
      </c>
      <c r="E2122">
        <f>MONTH(D2122)</f>
        <v>3</v>
      </c>
      <c r="F2122" s="2" t="s">
        <v>19</v>
      </c>
      <c r="G2122" t="s">
        <v>20</v>
      </c>
      <c r="H2122" t="s">
        <v>149</v>
      </c>
      <c r="I2122" t="s">
        <v>36</v>
      </c>
      <c r="J2122" t="s">
        <v>42</v>
      </c>
      <c r="K2122" s="2" t="s">
        <v>3019</v>
      </c>
      <c r="L2122" t="s">
        <v>25</v>
      </c>
      <c r="M2122" s="8">
        <v>1.032666667</v>
      </c>
      <c r="N2122" t="s">
        <v>26</v>
      </c>
      <c r="O2122" s="8">
        <v>1.032666667</v>
      </c>
      <c r="P2122" s="8">
        <f>EXP(-1.363+3.366*LOG(O2122,10))</f>
        <v>0.26820327281159584</v>
      </c>
      <c r="Q2122" s="8">
        <f>(2618262*100)/2995732</f>
        <v>87.399740697766021</v>
      </c>
    </row>
    <row r="2123" spans="1:17" x14ac:dyDescent="0.2">
      <c r="A2123">
        <f>YEAR(D2123)</f>
        <v>2019</v>
      </c>
      <c r="B2123" t="s">
        <v>26</v>
      </c>
      <c r="C2123" s="2" t="s">
        <v>1540</v>
      </c>
      <c r="D2123" s="1">
        <v>43543</v>
      </c>
      <c r="E2123">
        <f>MONTH(D2123)</f>
        <v>3</v>
      </c>
      <c r="F2123" s="2" t="s">
        <v>19</v>
      </c>
      <c r="G2123" t="s">
        <v>352</v>
      </c>
      <c r="H2123" t="s">
        <v>975</v>
      </c>
      <c r="I2123" t="s">
        <v>22</v>
      </c>
      <c r="J2123" t="s">
        <v>42</v>
      </c>
      <c r="K2123" s="2" t="s">
        <v>3019</v>
      </c>
      <c r="L2123" t="s">
        <v>25</v>
      </c>
      <c r="M2123" s="8">
        <v>1.0693333330000001</v>
      </c>
      <c r="N2123" t="s">
        <v>26</v>
      </c>
      <c r="O2123" s="8">
        <v>1.0693333330000001</v>
      </c>
      <c r="P2123" s="8">
        <f>EXP(-1.363+3.366*LOG(O2123,10))</f>
        <v>0.28223780327142356</v>
      </c>
      <c r="Q2123" s="8">
        <f>(2618262*100)/2995732</f>
        <v>87.399740697766021</v>
      </c>
    </row>
    <row r="2124" spans="1:17" x14ac:dyDescent="0.2">
      <c r="A2124">
        <f>YEAR(D2124)</f>
        <v>2019</v>
      </c>
      <c r="B2124" t="s">
        <v>26</v>
      </c>
      <c r="C2124" s="2" t="s">
        <v>1540</v>
      </c>
      <c r="D2124" s="1">
        <v>43543</v>
      </c>
      <c r="E2124">
        <f>MONTH(D2124)</f>
        <v>3</v>
      </c>
      <c r="F2124" s="2" t="s">
        <v>19</v>
      </c>
      <c r="G2124" t="s">
        <v>20</v>
      </c>
      <c r="H2124" t="s">
        <v>149</v>
      </c>
      <c r="I2124" t="s">
        <v>36</v>
      </c>
      <c r="J2124" t="s">
        <v>42</v>
      </c>
      <c r="K2124" s="2" t="s">
        <v>3019</v>
      </c>
      <c r="L2124" t="s">
        <v>25</v>
      </c>
      <c r="M2124" s="8">
        <v>1.032666667</v>
      </c>
      <c r="N2124" t="s">
        <v>26</v>
      </c>
      <c r="O2124" s="8">
        <v>1.032666667</v>
      </c>
      <c r="P2124" s="8">
        <f>EXP(-1.363+3.366*LOG(O2124,10))</f>
        <v>0.26820327281159584</v>
      </c>
      <c r="Q2124" s="8">
        <f>(2618262*100)/2995732</f>
        <v>87.399740697766021</v>
      </c>
    </row>
    <row r="2125" spans="1:17" x14ac:dyDescent="0.2">
      <c r="A2125">
        <f>YEAR(D2125)</f>
        <v>2019</v>
      </c>
      <c r="B2125" t="s">
        <v>26</v>
      </c>
      <c r="C2125" s="2" t="s">
        <v>1540</v>
      </c>
      <c r="D2125" s="1">
        <v>43543</v>
      </c>
      <c r="E2125">
        <f>MONTH(D2125)</f>
        <v>3</v>
      </c>
      <c r="F2125" s="2" t="s">
        <v>19</v>
      </c>
      <c r="G2125" t="s">
        <v>20</v>
      </c>
      <c r="H2125" t="s">
        <v>149</v>
      </c>
      <c r="I2125" t="s">
        <v>36</v>
      </c>
      <c r="J2125" t="s">
        <v>42</v>
      </c>
      <c r="K2125" s="2" t="s">
        <v>3019</v>
      </c>
      <c r="L2125" t="s">
        <v>25</v>
      </c>
      <c r="M2125" s="8">
        <v>1.032666667</v>
      </c>
      <c r="N2125" t="s">
        <v>26</v>
      </c>
      <c r="O2125" s="8">
        <v>1.032666667</v>
      </c>
      <c r="P2125" s="8">
        <f>EXP(-1.363+3.366*LOG(O2125,10))</f>
        <v>0.26820327281159584</v>
      </c>
      <c r="Q2125" s="8">
        <f>(2618262*100)/2995732</f>
        <v>87.399740697766021</v>
      </c>
    </row>
    <row r="2126" spans="1:17" x14ac:dyDescent="0.2">
      <c r="A2126">
        <f>YEAR(D2126)</f>
        <v>2019</v>
      </c>
      <c r="B2126" t="s">
        <v>26</v>
      </c>
      <c r="C2126" s="2" t="s">
        <v>1540</v>
      </c>
      <c r="D2126" s="1">
        <v>43543</v>
      </c>
      <c r="E2126">
        <f>MONTH(D2126)</f>
        <v>3</v>
      </c>
      <c r="F2126" s="2" t="s">
        <v>19</v>
      </c>
      <c r="G2126" t="s">
        <v>20</v>
      </c>
      <c r="H2126" t="s">
        <v>149</v>
      </c>
      <c r="I2126" t="s">
        <v>22</v>
      </c>
      <c r="J2126" t="s">
        <v>42</v>
      </c>
      <c r="K2126" s="2" t="s">
        <v>3019</v>
      </c>
      <c r="L2126" t="s">
        <v>25</v>
      </c>
      <c r="M2126" s="8">
        <v>1.45</v>
      </c>
      <c r="N2126" t="s">
        <v>26</v>
      </c>
      <c r="O2126" s="8">
        <v>1.45</v>
      </c>
      <c r="P2126" s="8">
        <f>EXP(-1.363+3.366*LOG(O2126,10))</f>
        <v>0.44050419760124854</v>
      </c>
      <c r="Q2126" s="8">
        <f>(2618262*100)/2995732</f>
        <v>87.399740697766021</v>
      </c>
    </row>
    <row r="2127" spans="1:17" x14ac:dyDescent="0.2">
      <c r="A2127">
        <f>YEAR(D2127)</f>
        <v>2019</v>
      </c>
      <c r="B2127" t="s">
        <v>26</v>
      </c>
      <c r="C2127" s="2" t="s">
        <v>1540</v>
      </c>
      <c r="D2127" s="1">
        <v>43543</v>
      </c>
      <c r="E2127">
        <f>MONTH(D2127)</f>
        <v>3</v>
      </c>
      <c r="F2127" s="2" t="s">
        <v>19</v>
      </c>
      <c r="G2127" t="s">
        <v>20</v>
      </c>
      <c r="H2127" t="s">
        <v>149</v>
      </c>
      <c r="I2127" t="s">
        <v>22</v>
      </c>
      <c r="J2127" t="s">
        <v>42</v>
      </c>
      <c r="K2127" s="2" t="s">
        <v>3019</v>
      </c>
      <c r="L2127" t="s">
        <v>25</v>
      </c>
      <c r="M2127" s="8">
        <v>1.45</v>
      </c>
      <c r="N2127" t="s">
        <v>26</v>
      </c>
      <c r="O2127" s="8">
        <v>1.45</v>
      </c>
      <c r="P2127" s="8">
        <f>EXP(-1.363+3.366*LOG(O2127,10))</f>
        <v>0.44050419760124854</v>
      </c>
      <c r="Q2127" s="8">
        <f>(2618262*100)/2995732</f>
        <v>87.399740697766021</v>
      </c>
    </row>
    <row r="2128" spans="1:17" x14ac:dyDescent="0.2">
      <c r="A2128">
        <f>YEAR(D2128)</f>
        <v>2019</v>
      </c>
      <c r="B2128" t="s">
        <v>26</v>
      </c>
      <c r="C2128" s="2" t="s">
        <v>1540</v>
      </c>
      <c r="D2128" s="1">
        <v>43543</v>
      </c>
      <c r="E2128">
        <f>MONTH(D2128)</f>
        <v>3</v>
      </c>
      <c r="F2128" s="2" t="s">
        <v>19</v>
      </c>
      <c r="G2128" t="s">
        <v>20</v>
      </c>
      <c r="H2128" t="s">
        <v>149</v>
      </c>
      <c r="I2128" t="s">
        <v>36</v>
      </c>
      <c r="J2128" t="s">
        <v>42</v>
      </c>
      <c r="K2128" s="2" t="s">
        <v>3019</v>
      </c>
      <c r="L2128" t="s">
        <v>25</v>
      </c>
      <c r="M2128" s="8">
        <v>1.032666667</v>
      </c>
      <c r="N2128" t="s">
        <v>26</v>
      </c>
      <c r="O2128" s="8">
        <v>1.032666667</v>
      </c>
      <c r="P2128" s="8">
        <f>EXP(-1.363+3.366*LOG(O2128,10))</f>
        <v>0.26820327281159584</v>
      </c>
      <c r="Q2128" s="8">
        <f>(2618262*100)/2995732</f>
        <v>87.399740697766021</v>
      </c>
    </row>
    <row r="2129" spans="1:17" x14ac:dyDescent="0.2">
      <c r="A2129">
        <f>YEAR(D2129)</f>
        <v>2019</v>
      </c>
      <c r="B2129" t="s">
        <v>26</v>
      </c>
      <c r="C2129" s="2" t="s">
        <v>1540</v>
      </c>
      <c r="D2129" s="1">
        <v>43543</v>
      </c>
      <c r="E2129">
        <f>MONTH(D2129)</f>
        <v>3</v>
      </c>
      <c r="F2129" s="2" t="s">
        <v>19</v>
      </c>
      <c r="G2129" t="s">
        <v>20</v>
      </c>
      <c r="H2129" t="s">
        <v>2295</v>
      </c>
      <c r="I2129" t="s">
        <v>22</v>
      </c>
      <c r="J2129" t="s">
        <v>42</v>
      </c>
      <c r="K2129" s="2" t="s">
        <v>3019</v>
      </c>
      <c r="L2129" t="s">
        <v>25</v>
      </c>
      <c r="M2129" s="8">
        <v>1.1566666670000001</v>
      </c>
      <c r="N2129" t="s">
        <v>26</v>
      </c>
      <c r="O2129" s="8">
        <v>1.1566666670000001</v>
      </c>
      <c r="P2129" s="8">
        <f>EXP(-1.363+3.366*LOG(O2129,10))</f>
        <v>0.31656042770005527</v>
      </c>
      <c r="Q2129" s="8">
        <f>(2618262*100)/2995732</f>
        <v>87.399740697766021</v>
      </c>
    </row>
    <row r="2130" spans="1:17" x14ac:dyDescent="0.2">
      <c r="A2130">
        <f>YEAR(D2130)</f>
        <v>2019</v>
      </c>
      <c r="B2130" t="s">
        <v>26</v>
      </c>
      <c r="C2130" s="2" t="s">
        <v>1540</v>
      </c>
      <c r="D2130" s="1">
        <v>43543</v>
      </c>
      <c r="E2130">
        <f>MONTH(D2130)</f>
        <v>3</v>
      </c>
      <c r="F2130" s="2" t="s">
        <v>19</v>
      </c>
      <c r="G2130" t="s">
        <v>20</v>
      </c>
      <c r="H2130" t="s">
        <v>149</v>
      </c>
      <c r="I2130" t="s">
        <v>22</v>
      </c>
      <c r="J2130" t="s">
        <v>42</v>
      </c>
      <c r="K2130" s="2" t="s">
        <v>3019</v>
      </c>
      <c r="L2130" t="s">
        <v>25</v>
      </c>
      <c r="M2130" s="8">
        <v>1.45</v>
      </c>
      <c r="N2130" t="s">
        <v>26</v>
      </c>
      <c r="O2130" s="8">
        <v>1.45</v>
      </c>
      <c r="P2130" s="8">
        <f>EXP(-1.363+3.366*LOG(O2130,10))</f>
        <v>0.44050419760124854</v>
      </c>
      <c r="Q2130" s="8">
        <f>(2618262*100)/2995732</f>
        <v>87.399740697766021</v>
      </c>
    </row>
    <row r="2131" spans="1:17" x14ac:dyDescent="0.2">
      <c r="A2131">
        <f>YEAR(D2131)</f>
        <v>2019</v>
      </c>
      <c r="B2131" t="s">
        <v>26</v>
      </c>
      <c r="C2131" s="2" t="s">
        <v>1540</v>
      </c>
      <c r="D2131" s="1">
        <v>43543</v>
      </c>
      <c r="E2131">
        <f>MONTH(D2131)</f>
        <v>3</v>
      </c>
      <c r="F2131" s="2" t="s">
        <v>19</v>
      </c>
      <c r="G2131" t="s">
        <v>20</v>
      </c>
      <c r="H2131" t="s">
        <v>149</v>
      </c>
      <c r="I2131" t="s">
        <v>22</v>
      </c>
      <c r="J2131" t="s">
        <v>42</v>
      </c>
      <c r="K2131" s="2" t="s">
        <v>3019</v>
      </c>
      <c r="L2131" t="s">
        <v>25</v>
      </c>
      <c r="M2131" s="8">
        <v>1.45</v>
      </c>
      <c r="N2131" t="s">
        <v>26</v>
      </c>
      <c r="O2131" s="8">
        <v>1.45</v>
      </c>
      <c r="P2131" s="8">
        <f>EXP(-1.363+3.366*LOG(O2131,10))</f>
        <v>0.44050419760124854</v>
      </c>
      <c r="Q2131" s="8">
        <f>(2618262*100)/2995732</f>
        <v>87.399740697766021</v>
      </c>
    </row>
    <row r="2132" spans="1:17" x14ac:dyDescent="0.2">
      <c r="A2132">
        <f>YEAR(D2132)</f>
        <v>2019</v>
      </c>
      <c r="B2132" t="s">
        <v>26</v>
      </c>
      <c r="C2132" s="2" t="s">
        <v>1540</v>
      </c>
      <c r="D2132" s="1">
        <v>43543</v>
      </c>
      <c r="E2132">
        <f>MONTH(D2132)</f>
        <v>3</v>
      </c>
      <c r="F2132" s="2" t="s">
        <v>19</v>
      </c>
      <c r="G2132" t="s">
        <v>20</v>
      </c>
      <c r="H2132" t="s">
        <v>149</v>
      </c>
      <c r="I2132" t="s">
        <v>36</v>
      </c>
      <c r="J2132" t="s">
        <v>42</v>
      </c>
      <c r="K2132" s="2" t="s">
        <v>3019</v>
      </c>
      <c r="L2132" t="s">
        <v>25</v>
      </c>
      <c r="M2132" s="8">
        <v>1.032666667</v>
      </c>
      <c r="N2132" t="s">
        <v>26</v>
      </c>
      <c r="O2132" s="8">
        <v>1.032666667</v>
      </c>
      <c r="P2132" s="8">
        <f>EXP(-1.363+3.366*LOG(O2132,10))</f>
        <v>0.26820327281159584</v>
      </c>
      <c r="Q2132" s="8">
        <f>(2618262*100)/2995732</f>
        <v>87.399740697766021</v>
      </c>
    </row>
    <row r="2133" spans="1:17" x14ac:dyDescent="0.2">
      <c r="A2133">
        <f>YEAR(D2133)</f>
        <v>2019</v>
      </c>
      <c r="B2133" t="s">
        <v>26</v>
      </c>
      <c r="C2133" s="2" t="s">
        <v>1540</v>
      </c>
      <c r="D2133" s="1">
        <v>43543</v>
      </c>
      <c r="E2133">
        <f>MONTH(D2133)</f>
        <v>3</v>
      </c>
      <c r="F2133" s="2" t="s">
        <v>19</v>
      </c>
      <c r="G2133" t="s">
        <v>20</v>
      </c>
      <c r="H2133" t="s">
        <v>149</v>
      </c>
      <c r="I2133" t="s">
        <v>36</v>
      </c>
      <c r="J2133" t="s">
        <v>42</v>
      </c>
      <c r="K2133" s="2" t="s">
        <v>3019</v>
      </c>
      <c r="L2133" t="s">
        <v>25</v>
      </c>
      <c r="M2133" s="8">
        <v>1.032666667</v>
      </c>
      <c r="N2133" t="s">
        <v>26</v>
      </c>
      <c r="O2133" s="8">
        <v>1.032666667</v>
      </c>
      <c r="P2133" s="8">
        <f>EXP(-1.363+3.366*LOG(O2133,10))</f>
        <v>0.26820327281159584</v>
      </c>
      <c r="Q2133" s="8">
        <f>(2618262*100)/2995732</f>
        <v>87.399740697766021</v>
      </c>
    </row>
    <row r="2134" spans="1:17" x14ac:dyDescent="0.2">
      <c r="A2134">
        <f>YEAR(D2134)</f>
        <v>2019</v>
      </c>
      <c r="B2134" t="s">
        <v>26</v>
      </c>
      <c r="C2134" s="2" t="s">
        <v>3025</v>
      </c>
      <c r="D2134" s="1">
        <v>43544</v>
      </c>
      <c r="E2134">
        <f>MONTH(D2134)</f>
        <v>3</v>
      </c>
      <c r="F2134" s="2" t="s">
        <v>19</v>
      </c>
      <c r="G2134" t="s">
        <v>352</v>
      </c>
      <c r="H2134" t="s">
        <v>623</v>
      </c>
      <c r="I2134" t="s">
        <v>22</v>
      </c>
      <c r="J2134" s="2" t="s">
        <v>42</v>
      </c>
      <c r="K2134" s="2" t="s">
        <v>3019</v>
      </c>
      <c r="L2134" t="s">
        <v>25</v>
      </c>
      <c r="M2134" s="8">
        <v>1.387</v>
      </c>
      <c r="N2134" t="s">
        <v>26</v>
      </c>
      <c r="O2134" s="8">
        <v>1.387</v>
      </c>
      <c r="P2134" s="8">
        <f>EXP(-1.363+3.366*LOG(O2134,10))</f>
        <v>0.41280884754947733</v>
      </c>
      <c r="Q2134" s="8">
        <f>(1955155*100)/2180255</f>
        <v>89.67551960665152</v>
      </c>
    </row>
    <row r="2135" spans="1:17" x14ac:dyDescent="0.2">
      <c r="A2135">
        <f>YEAR(D2135)</f>
        <v>2019</v>
      </c>
      <c r="B2135" t="s">
        <v>26</v>
      </c>
      <c r="C2135" s="2" t="s">
        <v>3025</v>
      </c>
      <c r="D2135" s="1">
        <v>43544</v>
      </c>
      <c r="E2135">
        <f>MONTH(D2135)</f>
        <v>3</v>
      </c>
      <c r="F2135" s="2" t="s">
        <v>19</v>
      </c>
      <c r="G2135" t="s">
        <v>352</v>
      </c>
      <c r="H2135" t="s">
        <v>623</v>
      </c>
      <c r="I2135" t="s">
        <v>22</v>
      </c>
      <c r="J2135" s="2" t="s">
        <v>42</v>
      </c>
      <c r="K2135" s="2" t="s">
        <v>3019</v>
      </c>
      <c r="L2135" t="s">
        <v>25</v>
      </c>
      <c r="M2135" s="8">
        <v>1.387</v>
      </c>
      <c r="N2135" t="s">
        <v>26</v>
      </c>
      <c r="O2135" s="8">
        <v>1.387</v>
      </c>
      <c r="P2135" s="8">
        <f>EXP(-1.363+3.366*LOG(O2135,10))</f>
        <v>0.41280884754947733</v>
      </c>
      <c r="Q2135" s="8">
        <f>(1955155*100)/2180255</f>
        <v>89.67551960665152</v>
      </c>
    </row>
    <row r="2136" spans="1:17" x14ac:dyDescent="0.2">
      <c r="A2136">
        <f>YEAR(D2136)</f>
        <v>2019</v>
      </c>
      <c r="B2136" t="s">
        <v>26</v>
      </c>
      <c r="C2136" s="2" t="s">
        <v>3025</v>
      </c>
      <c r="D2136" s="1">
        <v>43544</v>
      </c>
      <c r="E2136">
        <f>MONTH(D2136)</f>
        <v>3</v>
      </c>
      <c r="F2136" s="2" t="s">
        <v>19</v>
      </c>
      <c r="G2136" t="s">
        <v>352</v>
      </c>
      <c r="H2136" t="s">
        <v>623</v>
      </c>
      <c r="I2136" t="s">
        <v>22</v>
      </c>
      <c r="J2136" s="2" t="s">
        <v>42</v>
      </c>
      <c r="K2136" s="2" t="s">
        <v>3019</v>
      </c>
      <c r="L2136" t="s">
        <v>25</v>
      </c>
      <c r="M2136" s="8">
        <v>1.387</v>
      </c>
      <c r="N2136" t="s">
        <v>26</v>
      </c>
      <c r="O2136" s="8">
        <v>1.387</v>
      </c>
      <c r="P2136" s="8">
        <f>EXP(-1.363+3.366*LOG(O2136,10))</f>
        <v>0.41280884754947733</v>
      </c>
      <c r="Q2136" s="8">
        <f>(1955155*100)/2180255</f>
        <v>89.67551960665152</v>
      </c>
    </row>
    <row r="2137" spans="1:17" x14ac:dyDescent="0.2">
      <c r="A2137">
        <f>YEAR(D2137)</f>
        <v>2019</v>
      </c>
      <c r="B2137" t="s">
        <v>26</v>
      </c>
      <c r="C2137" s="2" t="s">
        <v>3025</v>
      </c>
      <c r="D2137" s="1">
        <v>43544</v>
      </c>
      <c r="E2137">
        <f>MONTH(D2137)</f>
        <v>3</v>
      </c>
      <c r="F2137" s="2" t="s">
        <v>19</v>
      </c>
      <c r="G2137" t="s">
        <v>352</v>
      </c>
      <c r="H2137" t="s">
        <v>623</v>
      </c>
      <c r="I2137" t="s">
        <v>22</v>
      </c>
      <c r="J2137" s="2" t="s">
        <v>42</v>
      </c>
      <c r="K2137" s="2" t="s">
        <v>3019</v>
      </c>
      <c r="L2137" t="s">
        <v>25</v>
      </c>
      <c r="M2137" s="8">
        <v>1.387</v>
      </c>
      <c r="N2137" t="s">
        <v>26</v>
      </c>
      <c r="O2137" s="8">
        <v>1.387</v>
      </c>
      <c r="P2137" s="8">
        <f>EXP(-1.363+3.366*LOG(O2137,10))</f>
        <v>0.41280884754947733</v>
      </c>
      <c r="Q2137" s="8">
        <f>(1955155*100)/2180255</f>
        <v>89.67551960665152</v>
      </c>
    </row>
    <row r="2138" spans="1:17" x14ac:dyDescent="0.2">
      <c r="A2138">
        <f>YEAR(D2138)</f>
        <v>2019</v>
      </c>
      <c r="B2138" t="s">
        <v>26</v>
      </c>
      <c r="C2138" s="2" t="s">
        <v>3025</v>
      </c>
      <c r="D2138" s="1">
        <v>43544</v>
      </c>
      <c r="E2138">
        <f>MONTH(D2138)</f>
        <v>3</v>
      </c>
      <c r="F2138" s="2" t="s">
        <v>19</v>
      </c>
      <c r="G2138" t="s">
        <v>352</v>
      </c>
      <c r="H2138" t="s">
        <v>623</v>
      </c>
      <c r="I2138" t="s">
        <v>22</v>
      </c>
      <c r="J2138" s="2" t="s">
        <v>42</v>
      </c>
      <c r="K2138" s="2" t="s">
        <v>3019</v>
      </c>
      <c r="L2138" t="s">
        <v>25</v>
      </c>
      <c r="M2138" s="8">
        <v>1.387</v>
      </c>
      <c r="N2138" t="s">
        <v>26</v>
      </c>
      <c r="O2138" s="8">
        <v>1.387</v>
      </c>
      <c r="P2138" s="8">
        <f>EXP(-1.363+3.366*LOG(O2138,10))</f>
        <v>0.41280884754947733</v>
      </c>
      <c r="Q2138" s="8">
        <f>(1955155*100)/2180255</f>
        <v>89.67551960665152</v>
      </c>
    </row>
    <row r="2139" spans="1:17" x14ac:dyDescent="0.2">
      <c r="A2139">
        <f>YEAR(D2139)</f>
        <v>2019</v>
      </c>
      <c r="B2139" t="s">
        <v>26</v>
      </c>
      <c r="C2139" s="2" t="s">
        <v>3025</v>
      </c>
      <c r="D2139" s="1">
        <v>43544</v>
      </c>
      <c r="E2139">
        <f>MONTH(D2139)</f>
        <v>3</v>
      </c>
      <c r="F2139" s="2" t="s">
        <v>19</v>
      </c>
      <c r="G2139" t="s">
        <v>352</v>
      </c>
      <c r="H2139" t="s">
        <v>623</v>
      </c>
      <c r="I2139" t="s">
        <v>22</v>
      </c>
      <c r="J2139" s="2" t="s">
        <v>42</v>
      </c>
      <c r="K2139" s="2" t="s">
        <v>3019</v>
      </c>
      <c r="L2139" t="s">
        <v>25</v>
      </c>
      <c r="M2139" s="8">
        <v>1.387</v>
      </c>
      <c r="N2139" t="s">
        <v>26</v>
      </c>
      <c r="O2139" s="8">
        <v>1.387</v>
      </c>
      <c r="P2139" s="8">
        <f>EXP(-1.363+3.366*LOG(O2139,10))</f>
        <v>0.41280884754947733</v>
      </c>
      <c r="Q2139" s="8">
        <f>(1955155*100)/2180255</f>
        <v>89.67551960665152</v>
      </c>
    </row>
    <row r="2140" spans="1:17" x14ac:dyDescent="0.2">
      <c r="A2140">
        <f>YEAR(D2140)</f>
        <v>2019</v>
      </c>
      <c r="B2140" t="s">
        <v>26</v>
      </c>
      <c r="C2140" s="2" t="s">
        <v>3025</v>
      </c>
      <c r="D2140" s="1">
        <v>43544</v>
      </c>
      <c r="E2140">
        <f>MONTH(D2140)</f>
        <v>3</v>
      </c>
      <c r="F2140" s="2" t="s">
        <v>19</v>
      </c>
      <c r="G2140" t="s">
        <v>352</v>
      </c>
      <c r="H2140" t="s">
        <v>623</v>
      </c>
      <c r="I2140" t="s">
        <v>22</v>
      </c>
      <c r="J2140" s="2" t="s">
        <v>42</v>
      </c>
      <c r="K2140" s="2" t="s">
        <v>3019</v>
      </c>
      <c r="L2140" t="s">
        <v>25</v>
      </c>
      <c r="M2140" s="8">
        <v>1.387</v>
      </c>
      <c r="N2140" t="s">
        <v>26</v>
      </c>
      <c r="O2140" s="8">
        <v>1.387</v>
      </c>
      <c r="P2140" s="8">
        <f>EXP(-1.363+3.366*LOG(O2140,10))</f>
        <v>0.41280884754947733</v>
      </c>
      <c r="Q2140" s="8">
        <f>(1955155*100)/2180255</f>
        <v>89.67551960665152</v>
      </c>
    </row>
    <row r="2141" spans="1:17" x14ac:dyDescent="0.2">
      <c r="A2141">
        <f>YEAR(D2141)</f>
        <v>2019</v>
      </c>
      <c r="B2141" t="s">
        <v>26</v>
      </c>
      <c r="C2141" s="2" t="s">
        <v>3025</v>
      </c>
      <c r="D2141" s="1">
        <v>43544</v>
      </c>
      <c r="E2141">
        <f>MONTH(D2141)</f>
        <v>3</v>
      </c>
      <c r="F2141" s="2" t="s">
        <v>19</v>
      </c>
      <c r="G2141" t="s">
        <v>352</v>
      </c>
      <c r="H2141" t="s">
        <v>623</v>
      </c>
      <c r="I2141" t="s">
        <v>22</v>
      </c>
      <c r="J2141" s="2" t="s">
        <v>42</v>
      </c>
      <c r="K2141" s="2" t="s">
        <v>3019</v>
      </c>
      <c r="L2141" t="s">
        <v>25</v>
      </c>
      <c r="M2141" s="8">
        <v>1.387</v>
      </c>
      <c r="N2141" t="s">
        <v>26</v>
      </c>
      <c r="O2141" s="8">
        <v>1.387</v>
      </c>
      <c r="P2141" s="8">
        <f>EXP(-1.363+3.366*LOG(O2141,10))</f>
        <v>0.41280884754947733</v>
      </c>
      <c r="Q2141" s="8">
        <f>(1955155*100)/2180255</f>
        <v>89.67551960665152</v>
      </c>
    </row>
    <row r="2142" spans="1:17" x14ac:dyDescent="0.2">
      <c r="A2142">
        <f>YEAR(D2142)</f>
        <v>2019</v>
      </c>
      <c r="B2142" t="s">
        <v>26</v>
      </c>
      <c r="C2142" s="2" t="s">
        <v>3025</v>
      </c>
      <c r="D2142" s="1">
        <v>43544</v>
      </c>
      <c r="E2142">
        <f>MONTH(D2142)</f>
        <v>3</v>
      </c>
      <c r="F2142" s="2" t="s">
        <v>19</v>
      </c>
      <c r="G2142" t="s">
        <v>352</v>
      </c>
      <c r="H2142" t="s">
        <v>623</v>
      </c>
      <c r="I2142" t="s">
        <v>22</v>
      </c>
      <c r="J2142" s="2" t="s">
        <v>42</v>
      </c>
      <c r="K2142" s="2" t="s">
        <v>3019</v>
      </c>
      <c r="L2142" t="s">
        <v>25</v>
      </c>
      <c r="M2142" s="8">
        <v>1.387</v>
      </c>
      <c r="N2142" t="s">
        <v>26</v>
      </c>
      <c r="O2142" s="8">
        <v>1.387</v>
      </c>
      <c r="P2142" s="8">
        <f>EXP(-1.363+3.366*LOG(O2142,10))</f>
        <v>0.41280884754947733</v>
      </c>
      <c r="Q2142" s="8">
        <f>(1955155*100)/2180255</f>
        <v>89.67551960665152</v>
      </c>
    </row>
    <row r="2143" spans="1:17" x14ac:dyDescent="0.2">
      <c r="A2143">
        <f>YEAR(D2143)</f>
        <v>2019</v>
      </c>
      <c r="B2143" t="s">
        <v>26</v>
      </c>
      <c r="C2143" s="2" t="s">
        <v>3025</v>
      </c>
      <c r="D2143" s="1">
        <v>43544</v>
      </c>
      <c r="E2143">
        <f>MONTH(D2143)</f>
        <v>3</v>
      </c>
      <c r="F2143" s="2" t="s">
        <v>19</v>
      </c>
      <c r="G2143" t="s">
        <v>352</v>
      </c>
      <c r="H2143" t="s">
        <v>623</v>
      </c>
      <c r="I2143" t="s">
        <v>22</v>
      </c>
      <c r="J2143" s="2" t="s">
        <v>42</v>
      </c>
      <c r="K2143" s="2" t="s">
        <v>3019</v>
      </c>
      <c r="L2143" t="s">
        <v>25</v>
      </c>
      <c r="M2143" s="8">
        <v>1.387</v>
      </c>
      <c r="N2143" t="s">
        <v>26</v>
      </c>
      <c r="O2143" s="8">
        <v>1.387</v>
      </c>
      <c r="P2143" s="8">
        <f>EXP(-1.363+3.366*LOG(O2143,10))</f>
        <v>0.41280884754947733</v>
      </c>
      <c r="Q2143" s="8">
        <f>(1955155*100)/2180255</f>
        <v>89.67551960665152</v>
      </c>
    </row>
    <row r="2144" spans="1:17" x14ac:dyDescent="0.2">
      <c r="A2144">
        <f>YEAR(D2144)</f>
        <v>2019</v>
      </c>
      <c r="B2144" t="s">
        <v>26</v>
      </c>
      <c r="C2144" s="2" t="s">
        <v>3025</v>
      </c>
      <c r="D2144" s="1">
        <v>43544</v>
      </c>
      <c r="E2144">
        <f>MONTH(D2144)</f>
        <v>3</v>
      </c>
      <c r="F2144" s="2" t="s">
        <v>19</v>
      </c>
      <c r="G2144" t="s">
        <v>352</v>
      </c>
      <c r="H2144" t="s">
        <v>975</v>
      </c>
      <c r="I2144" t="s">
        <v>22</v>
      </c>
      <c r="J2144" s="2" t="s">
        <v>42</v>
      </c>
      <c r="K2144" s="2" t="s">
        <v>3019</v>
      </c>
      <c r="L2144" t="s">
        <v>25</v>
      </c>
      <c r="M2144" s="8">
        <v>1.0693333330000001</v>
      </c>
      <c r="N2144" t="s">
        <v>26</v>
      </c>
      <c r="O2144" s="8">
        <v>1.0693333330000001</v>
      </c>
      <c r="P2144" s="8">
        <f>EXP(-1.363+3.366*LOG(O2144,10))</f>
        <v>0.28223780327142356</v>
      </c>
      <c r="Q2144" s="8">
        <f>(1955155*100)/2180255</f>
        <v>89.67551960665152</v>
      </c>
    </row>
    <row r="2145" spans="1:17" x14ac:dyDescent="0.2">
      <c r="A2145">
        <f>YEAR(D2145)</f>
        <v>2019</v>
      </c>
      <c r="B2145" t="s">
        <v>26</v>
      </c>
      <c r="C2145" s="2" t="s">
        <v>3025</v>
      </c>
      <c r="D2145" s="1">
        <v>43544</v>
      </c>
      <c r="E2145">
        <f>MONTH(D2145)</f>
        <v>3</v>
      </c>
      <c r="F2145" s="2" t="s">
        <v>19</v>
      </c>
      <c r="G2145" t="s">
        <v>20</v>
      </c>
      <c r="H2145" t="s">
        <v>149</v>
      </c>
      <c r="I2145" t="s">
        <v>22</v>
      </c>
      <c r="J2145" s="2" t="s">
        <v>42</v>
      </c>
      <c r="K2145" s="2" t="s">
        <v>3019</v>
      </c>
      <c r="L2145" t="s">
        <v>25</v>
      </c>
      <c r="M2145" s="8">
        <v>1.45</v>
      </c>
      <c r="N2145" t="s">
        <v>26</v>
      </c>
      <c r="O2145" s="8">
        <v>1.45</v>
      </c>
      <c r="P2145" s="8">
        <f>EXP(-1.363+3.366*LOG(O2145,10))</f>
        <v>0.44050419760124854</v>
      </c>
      <c r="Q2145" s="8">
        <f>(1955155*100)/2180255</f>
        <v>89.67551960665152</v>
      </c>
    </row>
    <row r="2146" spans="1:17" x14ac:dyDescent="0.2">
      <c r="A2146">
        <f>YEAR(D2146)</f>
        <v>2019</v>
      </c>
      <c r="B2146" t="s">
        <v>26</v>
      </c>
      <c r="C2146" s="2" t="s">
        <v>3025</v>
      </c>
      <c r="D2146" s="1">
        <v>43544</v>
      </c>
      <c r="E2146">
        <f>MONTH(D2146)</f>
        <v>3</v>
      </c>
      <c r="F2146" s="2" t="s">
        <v>19</v>
      </c>
      <c r="G2146" s="2" t="s">
        <v>20</v>
      </c>
      <c r="H2146" t="s">
        <v>91</v>
      </c>
      <c r="I2146" t="s">
        <v>22</v>
      </c>
      <c r="J2146" s="2" t="s">
        <v>42</v>
      </c>
      <c r="K2146" s="2" t="s">
        <v>3019</v>
      </c>
      <c r="L2146" t="s">
        <v>25</v>
      </c>
      <c r="M2146" s="8">
        <v>2.0630000000000002</v>
      </c>
      <c r="N2146" t="s">
        <v>26</v>
      </c>
      <c r="O2146" s="8">
        <v>2.0630000000000002</v>
      </c>
      <c r="P2146" s="8">
        <f>EXP(-1.363+3.366*LOG(O2146,10))</f>
        <v>0.73756902742293162</v>
      </c>
      <c r="Q2146" s="8">
        <f>(1955155*100)/2180255</f>
        <v>89.67551960665152</v>
      </c>
    </row>
    <row r="2147" spans="1:17" x14ac:dyDescent="0.2">
      <c r="A2147">
        <f>YEAR(D2147)</f>
        <v>2019</v>
      </c>
      <c r="B2147" t="e">
        <f>CONCATENATE(K2147,#REF!)</f>
        <v>#REF!</v>
      </c>
      <c r="C2147" s="2" t="s">
        <v>3025</v>
      </c>
      <c r="D2147" s="1">
        <v>43544</v>
      </c>
      <c r="E2147">
        <f>MONTH(D2147)</f>
        <v>3</v>
      </c>
      <c r="F2147" s="2" t="s">
        <v>19</v>
      </c>
      <c r="G2147" s="2" t="s">
        <v>20</v>
      </c>
      <c r="H2147" t="s">
        <v>103</v>
      </c>
      <c r="I2147" t="s">
        <v>36</v>
      </c>
      <c r="J2147" s="2" t="s">
        <v>42</v>
      </c>
      <c r="K2147" s="2" t="s">
        <v>3019</v>
      </c>
      <c r="L2147" t="s">
        <v>25</v>
      </c>
      <c r="M2147" s="8">
        <v>1.856666667</v>
      </c>
      <c r="N2147" t="s">
        <v>26</v>
      </c>
      <c r="O2147" s="8">
        <v>1.856666667</v>
      </c>
      <c r="P2147" s="8">
        <f>EXP(-1.363+3.366*LOG(O2147,10))</f>
        <v>0.63226823262235543</v>
      </c>
      <c r="Q2147" s="8">
        <f>(1955155*100)/2180255</f>
        <v>89.67551960665152</v>
      </c>
    </row>
    <row r="2148" spans="1:17" x14ac:dyDescent="0.2">
      <c r="A2148">
        <f>YEAR(D2148)</f>
        <v>2019</v>
      </c>
      <c r="B2148" t="s">
        <v>26</v>
      </c>
      <c r="C2148" s="2" t="s">
        <v>3025</v>
      </c>
      <c r="D2148" s="1">
        <v>43544</v>
      </c>
      <c r="E2148">
        <f>MONTH(D2148)</f>
        <v>3</v>
      </c>
      <c r="F2148" s="2" t="s">
        <v>19</v>
      </c>
      <c r="G2148" t="s">
        <v>323</v>
      </c>
      <c r="H2148" t="s">
        <v>324</v>
      </c>
      <c r="I2148" t="s">
        <v>36</v>
      </c>
      <c r="J2148" s="2" t="s">
        <v>42</v>
      </c>
      <c r="K2148" s="2" t="s">
        <v>3019</v>
      </c>
      <c r="L2148" t="s">
        <v>25</v>
      </c>
      <c r="M2148" s="8">
        <v>2.8069999999999999</v>
      </c>
      <c r="N2148" t="s">
        <v>26</v>
      </c>
      <c r="O2148" s="8">
        <v>2.8069999999999999</v>
      </c>
      <c r="P2148" s="8">
        <f>EXP(-1.363+3.366*LOG(O2148,10))</f>
        <v>1.1569462154625496</v>
      </c>
      <c r="Q2148" s="8">
        <f>(1955155*100)/2180255</f>
        <v>89.67551960665152</v>
      </c>
    </row>
    <row r="2149" spans="1:17" x14ac:dyDescent="0.2">
      <c r="A2149">
        <f>YEAR(D2149)</f>
        <v>2019</v>
      </c>
      <c r="B2149" t="s">
        <v>26</v>
      </c>
      <c r="C2149" s="2" t="s">
        <v>3025</v>
      </c>
      <c r="D2149" s="1">
        <v>43544</v>
      </c>
      <c r="E2149">
        <f>MONTH(D2149)</f>
        <v>3</v>
      </c>
      <c r="F2149" s="2" t="s">
        <v>19</v>
      </c>
      <c r="G2149" t="s">
        <v>352</v>
      </c>
      <c r="H2149" t="s">
        <v>623</v>
      </c>
      <c r="I2149" t="s">
        <v>22</v>
      </c>
      <c r="J2149" s="2" t="s">
        <v>42</v>
      </c>
      <c r="K2149" s="2" t="s">
        <v>3019</v>
      </c>
      <c r="L2149" t="s">
        <v>25</v>
      </c>
      <c r="M2149" s="8">
        <v>1.387</v>
      </c>
      <c r="N2149" t="s">
        <v>26</v>
      </c>
      <c r="O2149" s="8">
        <v>1.387</v>
      </c>
      <c r="P2149" s="8">
        <f>EXP(-1.363+3.366*LOG(O2149,10))</f>
        <v>0.41280884754947733</v>
      </c>
      <c r="Q2149" s="8">
        <f>(1955155*100)/2180255</f>
        <v>89.67551960665152</v>
      </c>
    </row>
    <row r="2150" spans="1:17" x14ac:dyDescent="0.2">
      <c r="A2150">
        <f>YEAR(D2150)</f>
        <v>2019</v>
      </c>
      <c r="B2150" t="s">
        <v>26</v>
      </c>
      <c r="C2150" s="2" t="s">
        <v>3025</v>
      </c>
      <c r="D2150" s="1">
        <v>43544</v>
      </c>
      <c r="E2150">
        <f>MONTH(D2150)</f>
        <v>3</v>
      </c>
      <c r="F2150" s="2" t="s">
        <v>19</v>
      </c>
      <c r="G2150" t="s">
        <v>352</v>
      </c>
      <c r="H2150" t="s">
        <v>623</v>
      </c>
      <c r="I2150" t="s">
        <v>22</v>
      </c>
      <c r="J2150" s="2" t="s">
        <v>42</v>
      </c>
      <c r="K2150" s="2" t="s">
        <v>3019</v>
      </c>
      <c r="L2150" t="s">
        <v>25</v>
      </c>
      <c r="M2150" s="8">
        <v>1.387</v>
      </c>
      <c r="N2150" t="s">
        <v>26</v>
      </c>
      <c r="O2150" s="8">
        <v>1.387</v>
      </c>
      <c r="P2150" s="8">
        <f>EXP(-1.363+3.366*LOG(O2150,10))</f>
        <v>0.41280884754947733</v>
      </c>
      <c r="Q2150" s="8">
        <f>(1955155*100)/2180255</f>
        <v>89.67551960665152</v>
      </c>
    </row>
    <row r="2151" spans="1:17" x14ac:dyDescent="0.2">
      <c r="A2151">
        <f>YEAR(D2151)</f>
        <v>2019</v>
      </c>
      <c r="B2151" t="s">
        <v>26</v>
      </c>
      <c r="C2151" s="2" t="s">
        <v>3025</v>
      </c>
      <c r="D2151" s="1">
        <v>43544</v>
      </c>
      <c r="E2151">
        <f>MONTH(D2151)</f>
        <v>3</v>
      </c>
      <c r="F2151" s="2" t="s">
        <v>19</v>
      </c>
      <c r="G2151" t="s">
        <v>352</v>
      </c>
      <c r="H2151" t="s">
        <v>623</v>
      </c>
      <c r="I2151" t="s">
        <v>22</v>
      </c>
      <c r="J2151" s="2" t="s">
        <v>42</v>
      </c>
      <c r="K2151" s="2" t="s">
        <v>3019</v>
      </c>
      <c r="L2151" t="s">
        <v>25</v>
      </c>
      <c r="M2151" s="8">
        <v>1.387</v>
      </c>
      <c r="N2151" t="s">
        <v>26</v>
      </c>
      <c r="O2151" s="8">
        <v>1.387</v>
      </c>
      <c r="P2151" s="8">
        <f>EXP(-1.363+3.366*LOG(O2151,10))</f>
        <v>0.41280884754947733</v>
      </c>
      <c r="Q2151" s="8">
        <f>(1955155*100)/2180255</f>
        <v>89.67551960665152</v>
      </c>
    </row>
    <row r="2152" spans="1:17" x14ac:dyDescent="0.2">
      <c r="A2152">
        <f>YEAR(D2152)</f>
        <v>2019</v>
      </c>
      <c r="B2152" t="s">
        <v>26</v>
      </c>
      <c r="C2152" s="2" t="s">
        <v>3025</v>
      </c>
      <c r="D2152" s="1">
        <v>43544</v>
      </c>
      <c r="E2152">
        <f>MONTH(D2152)</f>
        <v>3</v>
      </c>
      <c r="F2152" s="2" t="s">
        <v>19</v>
      </c>
      <c r="G2152" t="s">
        <v>352</v>
      </c>
      <c r="H2152" t="s">
        <v>623</v>
      </c>
      <c r="I2152" t="s">
        <v>22</v>
      </c>
      <c r="J2152" s="2" t="s">
        <v>42</v>
      </c>
      <c r="K2152" s="2" t="s">
        <v>3019</v>
      </c>
      <c r="L2152" t="s">
        <v>25</v>
      </c>
      <c r="M2152" s="8">
        <v>1.387</v>
      </c>
      <c r="N2152" t="s">
        <v>26</v>
      </c>
      <c r="O2152" s="8">
        <v>1.387</v>
      </c>
      <c r="P2152" s="8">
        <f>EXP(-1.363+3.366*LOG(O2152,10))</f>
        <v>0.41280884754947733</v>
      </c>
      <c r="Q2152" s="8">
        <f>(1955155*100)/2180255</f>
        <v>89.67551960665152</v>
      </c>
    </row>
    <row r="2153" spans="1:17" x14ac:dyDescent="0.2">
      <c r="A2153">
        <f>YEAR(D2153)</f>
        <v>2019</v>
      </c>
      <c r="B2153" t="s">
        <v>26</v>
      </c>
      <c r="C2153" s="2" t="s">
        <v>3025</v>
      </c>
      <c r="D2153" s="1">
        <v>43544</v>
      </c>
      <c r="E2153">
        <f>MONTH(D2153)</f>
        <v>3</v>
      </c>
      <c r="F2153" s="2" t="s">
        <v>19</v>
      </c>
      <c r="G2153" t="s">
        <v>352</v>
      </c>
      <c r="H2153" t="s">
        <v>623</v>
      </c>
      <c r="I2153" t="s">
        <v>22</v>
      </c>
      <c r="J2153" s="2" t="s">
        <v>42</v>
      </c>
      <c r="K2153" s="2" t="s">
        <v>3019</v>
      </c>
      <c r="L2153" t="s">
        <v>25</v>
      </c>
      <c r="M2153" s="8">
        <v>1.387</v>
      </c>
      <c r="N2153" t="s">
        <v>26</v>
      </c>
      <c r="O2153" s="8">
        <v>1.387</v>
      </c>
      <c r="P2153" s="8">
        <f>EXP(-1.363+3.366*LOG(O2153,10))</f>
        <v>0.41280884754947733</v>
      </c>
      <c r="Q2153" s="8">
        <f>(1955155*100)/2180255</f>
        <v>89.67551960665152</v>
      </c>
    </row>
    <row r="2154" spans="1:17" x14ac:dyDescent="0.2">
      <c r="A2154">
        <f>YEAR(D2154)</f>
        <v>2019</v>
      </c>
      <c r="B2154" t="s">
        <v>26</v>
      </c>
      <c r="C2154" s="2" t="s">
        <v>3025</v>
      </c>
      <c r="D2154" s="1">
        <v>43544</v>
      </c>
      <c r="E2154">
        <f>MONTH(D2154)</f>
        <v>3</v>
      </c>
      <c r="F2154" s="2" t="s">
        <v>19</v>
      </c>
      <c r="G2154" t="s">
        <v>352</v>
      </c>
      <c r="H2154" t="s">
        <v>623</v>
      </c>
      <c r="I2154" t="s">
        <v>22</v>
      </c>
      <c r="J2154" s="2" t="s">
        <v>42</v>
      </c>
      <c r="K2154" s="2" t="s">
        <v>3019</v>
      </c>
      <c r="L2154" t="s">
        <v>25</v>
      </c>
      <c r="M2154" s="8">
        <v>1.387</v>
      </c>
      <c r="N2154" t="s">
        <v>26</v>
      </c>
      <c r="O2154" s="8">
        <v>1.387</v>
      </c>
      <c r="P2154" s="8">
        <f>EXP(-1.363+3.366*LOG(O2154,10))</f>
        <v>0.41280884754947733</v>
      </c>
      <c r="Q2154" s="8">
        <f>(1955155*100)/2180255</f>
        <v>89.67551960665152</v>
      </c>
    </row>
    <row r="2155" spans="1:17" x14ac:dyDescent="0.2">
      <c r="A2155">
        <f>YEAR(D2155)</f>
        <v>2019</v>
      </c>
      <c r="B2155" t="s">
        <v>26</v>
      </c>
      <c r="C2155" s="2" t="s">
        <v>3025</v>
      </c>
      <c r="D2155" s="1">
        <v>43544</v>
      </c>
      <c r="E2155">
        <f>MONTH(D2155)</f>
        <v>3</v>
      </c>
      <c r="F2155" s="2" t="s">
        <v>19</v>
      </c>
      <c r="G2155" t="s">
        <v>1532</v>
      </c>
      <c r="H2155" t="s">
        <v>1944</v>
      </c>
      <c r="I2155" t="s">
        <v>22</v>
      </c>
      <c r="J2155" s="2" t="s">
        <v>42</v>
      </c>
      <c r="K2155" s="2" t="s">
        <v>3019</v>
      </c>
      <c r="L2155" t="s">
        <v>25</v>
      </c>
      <c r="M2155" s="8">
        <v>3.7026666669999999</v>
      </c>
      <c r="N2155" t="s">
        <v>26</v>
      </c>
      <c r="O2155" s="8">
        <v>3.7026666669999999</v>
      </c>
      <c r="P2155" s="8">
        <f>EXP(-1.363+3.366*LOG(O2155,10))</f>
        <v>1.7343283127134672</v>
      </c>
      <c r="Q2155" s="8">
        <f>(1955155*100)/2180255</f>
        <v>89.67551960665152</v>
      </c>
    </row>
    <row r="2156" spans="1:17" x14ac:dyDescent="0.2">
      <c r="A2156">
        <f>YEAR(D2156)</f>
        <v>2019</v>
      </c>
      <c r="B2156" t="e">
        <f>CONCATENATE(K2156,#REF!)</f>
        <v>#REF!</v>
      </c>
      <c r="C2156" s="2" t="s">
        <v>3025</v>
      </c>
      <c r="D2156" s="1">
        <v>43544</v>
      </c>
      <c r="E2156">
        <f>MONTH(D2156)</f>
        <v>3</v>
      </c>
      <c r="F2156" s="2" t="s">
        <v>19</v>
      </c>
      <c r="G2156" s="2" t="s">
        <v>20</v>
      </c>
      <c r="H2156" t="s">
        <v>103</v>
      </c>
      <c r="I2156" t="s">
        <v>22</v>
      </c>
      <c r="J2156" s="2" t="s">
        <v>42</v>
      </c>
      <c r="K2156" s="2" t="s">
        <v>3019</v>
      </c>
      <c r="L2156" t="s">
        <v>25</v>
      </c>
      <c r="M2156" s="8">
        <v>2.177</v>
      </c>
      <c r="N2156" t="s">
        <v>26</v>
      </c>
      <c r="O2156" s="8">
        <v>2.177</v>
      </c>
      <c r="P2156" s="8">
        <f>EXP(-1.363+3.366*LOG(O2156,10))</f>
        <v>0.79790277256387487</v>
      </c>
      <c r="Q2156" s="8">
        <f>(1955155*100)/2180255</f>
        <v>89.67551960665152</v>
      </c>
    </row>
    <row r="2157" spans="1:17" x14ac:dyDescent="0.2">
      <c r="A2157">
        <f>YEAR(D2157)</f>
        <v>2019</v>
      </c>
      <c r="B2157" t="s">
        <v>26</v>
      </c>
      <c r="C2157" s="2" t="s">
        <v>3025</v>
      </c>
      <c r="D2157" s="1">
        <v>43544</v>
      </c>
      <c r="E2157">
        <f>MONTH(D2157)</f>
        <v>3</v>
      </c>
      <c r="F2157" s="2" t="s">
        <v>19</v>
      </c>
      <c r="G2157" t="s">
        <v>352</v>
      </c>
      <c r="H2157" t="s">
        <v>494</v>
      </c>
      <c r="I2157" t="s">
        <v>22</v>
      </c>
      <c r="J2157" s="2" t="s">
        <v>42</v>
      </c>
      <c r="K2157" s="2" t="s">
        <v>3019</v>
      </c>
      <c r="L2157" t="s">
        <v>25</v>
      </c>
      <c r="M2157" s="8">
        <v>1.7226666669999999</v>
      </c>
      <c r="N2157" t="s">
        <v>26</v>
      </c>
      <c r="O2157" s="8">
        <v>1.7226666669999999</v>
      </c>
      <c r="P2157" s="8">
        <f>EXP(-1.363+3.366*LOG(O2157,10))</f>
        <v>0.56668788662759551</v>
      </c>
      <c r="Q2157" s="8">
        <f>(1955155*100)/2180255</f>
        <v>89.67551960665152</v>
      </c>
    </row>
    <row r="2158" spans="1:17" x14ac:dyDescent="0.2">
      <c r="A2158">
        <f>YEAR(D2158)</f>
        <v>2019</v>
      </c>
      <c r="B2158" t="s">
        <v>26</v>
      </c>
      <c r="C2158" s="2" t="s">
        <v>3025</v>
      </c>
      <c r="D2158" s="1">
        <v>43544</v>
      </c>
      <c r="E2158">
        <f>MONTH(D2158)</f>
        <v>3</v>
      </c>
      <c r="F2158" s="2" t="s">
        <v>19</v>
      </c>
      <c r="G2158" t="s">
        <v>352</v>
      </c>
      <c r="H2158" t="s">
        <v>747</v>
      </c>
      <c r="I2158" t="s">
        <v>22</v>
      </c>
      <c r="J2158" s="2" t="s">
        <v>42</v>
      </c>
      <c r="K2158" s="2" t="s">
        <v>3019</v>
      </c>
      <c r="L2158" t="s">
        <v>25</v>
      </c>
      <c r="M2158" s="8">
        <v>1.3726666670000001</v>
      </c>
      <c r="N2158" t="s">
        <v>26</v>
      </c>
      <c r="O2158" s="8">
        <v>1.3726666670000001</v>
      </c>
      <c r="P2158" s="8">
        <f>EXP(-1.363+3.366*LOG(O2158,10))</f>
        <v>0.40658758379567089</v>
      </c>
      <c r="Q2158" s="8">
        <f>(1955155*100)/2180255</f>
        <v>89.67551960665152</v>
      </c>
    </row>
    <row r="2159" spans="1:17" x14ac:dyDescent="0.2">
      <c r="A2159">
        <f>YEAR(D2159)</f>
        <v>2019</v>
      </c>
      <c r="B2159" t="s">
        <v>26</v>
      </c>
      <c r="C2159" s="2" t="s">
        <v>3025</v>
      </c>
      <c r="D2159" s="1">
        <v>43544</v>
      </c>
      <c r="E2159">
        <f>MONTH(D2159)</f>
        <v>3</v>
      </c>
      <c r="F2159" s="2" t="s">
        <v>19</v>
      </c>
      <c r="G2159" t="s">
        <v>352</v>
      </c>
      <c r="H2159" t="s">
        <v>623</v>
      </c>
      <c r="I2159" t="s">
        <v>22</v>
      </c>
      <c r="J2159" s="2" t="s">
        <v>42</v>
      </c>
      <c r="K2159" s="2" t="s">
        <v>3019</v>
      </c>
      <c r="L2159" t="s">
        <v>25</v>
      </c>
      <c r="M2159" s="8">
        <v>1.387</v>
      </c>
      <c r="N2159" t="s">
        <v>26</v>
      </c>
      <c r="O2159" s="8">
        <v>1.387</v>
      </c>
      <c r="P2159" s="8">
        <f>EXP(-1.363+3.366*LOG(O2159,10))</f>
        <v>0.41280884754947733</v>
      </c>
      <c r="Q2159" s="8">
        <f>(1955155*100)/2180255</f>
        <v>89.67551960665152</v>
      </c>
    </row>
    <row r="2160" spans="1:17" x14ac:dyDescent="0.2">
      <c r="A2160">
        <f>YEAR(D2160)</f>
        <v>2019</v>
      </c>
      <c r="B2160" t="s">
        <v>26</v>
      </c>
      <c r="C2160" s="2" t="s">
        <v>3025</v>
      </c>
      <c r="D2160" s="1">
        <v>43544</v>
      </c>
      <c r="E2160">
        <f>MONTH(D2160)</f>
        <v>3</v>
      </c>
      <c r="F2160" s="2" t="s">
        <v>19</v>
      </c>
      <c r="G2160" t="s">
        <v>352</v>
      </c>
      <c r="H2160" t="s">
        <v>623</v>
      </c>
      <c r="I2160" t="s">
        <v>22</v>
      </c>
      <c r="J2160" s="2" t="s">
        <v>42</v>
      </c>
      <c r="K2160" s="2" t="s">
        <v>3019</v>
      </c>
      <c r="L2160" t="s">
        <v>25</v>
      </c>
      <c r="M2160" s="8">
        <v>1.387</v>
      </c>
      <c r="N2160" t="s">
        <v>26</v>
      </c>
      <c r="O2160" s="8">
        <v>1.387</v>
      </c>
      <c r="P2160" s="8">
        <f>EXP(-1.363+3.366*LOG(O2160,10))</f>
        <v>0.41280884754947733</v>
      </c>
      <c r="Q2160" s="8">
        <f>(1955155*100)/2180255</f>
        <v>89.67551960665152</v>
      </c>
    </row>
    <row r="2161" spans="1:17" x14ac:dyDescent="0.2">
      <c r="A2161">
        <f>YEAR(D2161)</f>
        <v>2019</v>
      </c>
      <c r="B2161" t="s">
        <v>26</v>
      </c>
      <c r="C2161" s="2" t="s">
        <v>3025</v>
      </c>
      <c r="D2161" s="1">
        <v>43544</v>
      </c>
      <c r="E2161">
        <f>MONTH(D2161)</f>
        <v>3</v>
      </c>
      <c r="F2161" s="2" t="s">
        <v>19</v>
      </c>
      <c r="G2161" t="s">
        <v>352</v>
      </c>
      <c r="H2161" t="s">
        <v>623</v>
      </c>
      <c r="I2161" t="s">
        <v>22</v>
      </c>
      <c r="J2161" s="2" t="s">
        <v>42</v>
      </c>
      <c r="K2161" s="2" t="s">
        <v>3019</v>
      </c>
      <c r="L2161" t="s">
        <v>25</v>
      </c>
      <c r="M2161" s="8">
        <v>1.387</v>
      </c>
      <c r="N2161" t="s">
        <v>26</v>
      </c>
      <c r="O2161" s="8">
        <v>1.387</v>
      </c>
      <c r="P2161" s="8">
        <f>EXP(-1.363+3.366*LOG(O2161,10))</f>
        <v>0.41280884754947733</v>
      </c>
      <c r="Q2161" s="8">
        <f>(1955155*100)/2180255</f>
        <v>89.67551960665152</v>
      </c>
    </row>
    <row r="2162" spans="1:17" x14ac:dyDescent="0.2">
      <c r="A2162">
        <f>YEAR(D2162)</f>
        <v>2019</v>
      </c>
      <c r="B2162" t="s">
        <v>26</v>
      </c>
      <c r="C2162" s="2" t="s">
        <v>3025</v>
      </c>
      <c r="D2162" s="1">
        <v>43544</v>
      </c>
      <c r="E2162">
        <f>MONTH(D2162)</f>
        <v>3</v>
      </c>
      <c r="F2162" s="2" t="s">
        <v>19</v>
      </c>
      <c r="G2162" t="s">
        <v>352</v>
      </c>
      <c r="H2162" t="s">
        <v>623</v>
      </c>
      <c r="I2162" t="s">
        <v>22</v>
      </c>
      <c r="J2162" s="2" t="s">
        <v>42</v>
      </c>
      <c r="K2162" s="2" t="s">
        <v>3019</v>
      </c>
      <c r="L2162" t="s">
        <v>25</v>
      </c>
      <c r="M2162" s="8">
        <v>1.387</v>
      </c>
      <c r="N2162" t="s">
        <v>26</v>
      </c>
      <c r="O2162" s="8">
        <v>1.387</v>
      </c>
      <c r="P2162" s="8">
        <f>EXP(-1.363+3.366*LOG(O2162,10))</f>
        <v>0.41280884754947733</v>
      </c>
      <c r="Q2162" s="8">
        <f>(1955155*100)/2180255</f>
        <v>89.67551960665152</v>
      </c>
    </row>
    <row r="2163" spans="1:17" x14ac:dyDescent="0.2">
      <c r="A2163">
        <f>YEAR(D2163)</f>
        <v>2019</v>
      </c>
      <c r="B2163" t="s">
        <v>26</v>
      </c>
      <c r="C2163" s="2" t="s">
        <v>3025</v>
      </c>
      <c r="D2163" s="1">
        <v>43544</v>
      </c>
      <c r="E2163">
        <f>MONTH(D2163)</f>
        <v>3</v>
      </c>
      <c r="F2163" s="2" t="s">
        <v>19</v>
      </c>
      <c r="G2163" t="s">
        <v>352</v>
      </c>
      <c r="H2163" t="s">
        <v>623</v>
      </c>
      <c r="I2163" t="s">
        <v>22</v>
      </c>
      <c r="J2163" s="2" t="s">
        <v>42</v>
      </c>
      <c r="K2163" s="2" t="s">
        <v>3019</v>
      </c>
      <c r="L2163" t="s">
        <v>25</v>
      </c>
      <c r="M2163" s="8">
        <v>1.387</v>
      </c>
      <c r="N2163" t="s">
        <v>26</v>
      </c>
      <c r="O2163" s="8">
        <v>1.387</v>
      </c>
      <c r="P2163" s="8">
        <f>EXP(-1.363+3.366*LOG(O2163,10))</f>
        <v>0.41280884754947733</v>
      </c>
      <c r="Q2163" s="8">
        <f>(1955155*100)/2180255</f>
        <v>89.67551960665152</v>
      </c>
    </row>
    <row r="2164" spans="1:17" x14ac:dyDescent="0.2">
      <c r="A2164">
        <f>YEAR(D2164)</f>
        <v>2019</v>
      </c>
      <c r="B2164" t="s">
        <v>26</v>
      </c>
      <c r="C2164" s="2" t="s">
        <v>3025</v>
      </c>
      <c r="D2164" s="1">
        <v>43544</v>
      </c>
      <c r="E2164">
        <f>MONTH(D2164)</f>
        <v>3</v>
      </c>
      <c r="F2164" s="2" t="s">
        <v>19</v>
      </c>
      <c r="G2164" t="s">
        <v>352</v>
      </c>
      <c r="H2164" t="s">
        <v>623</v>
      </c>
      <c r="I2164" t="s">
        <v>22</v>
      </c>
      <c r="J2164" s="2" t="s">
        <v>42</v>
      </c>
      <c r="K2164" s="2" t="s">
        <v>3019</v>
      </c>
      <c r="L2164" t="s">
        <v>25</v>
      </c>
      <c r="M2164" s="8">
        <v>1.387</v>
      </c>
      <c r="N2164" t="s">
        <v>26</v>
      </c>
      <c r="O2164" s="8">
        <v>1.387</v>
      </c>
      <c r="P2164" s="8">
        <f>EXP(-1.363+3.366*LOG(O2164,10))</f>
        <v>0.41280884754947733</v>
      </c>
      <c r="Q2164" s="8">
        <f>(1955155*100)/2180255</f>
        <v>89.67551960665152</v>
      </c>
    </row>
    <row r="2165" spans="1:17" x14ac:dyDescent="0.2">
      <c r="A2165">
        <f>YEAR(D2165)</f>
        <v>2019</v>
      </c>
      <c r="B2165" t="s">
        <v>26</v>
      </c>
      <c r="C2165" s="2" t="s">
        <v>3025</v>
      </c>
      <c r="D2165" s="1">
        <v>43544</v>
      </c>
      <c r="E2165">
        <f>MONTH(D2165)</f>
        <v>3</v>
      </c>
      <c r="F2165" s="2" t="s">
        <v>19</v>
      </c>
      <c r="G2165" t="s">
        <v>352</v>
      </c>
      <c r="H2165" t="s">
        <v>623</v>
      </c>
      <c r="I2165" t="s">
        <v>22</v>
      </c>
      <c r="J2165" s="2" t="s">
        <v>42</v>
      </c>
      <c r="K2165" s="2" t="s">
        <v>3019</v>
      </c>
      <c r="L2165" t="s">
        <v>25</v>
      </c>
      <c r="M2165" s="8">
        <v>1.387</v>
      </c>
      <c r="N2165" t="s">
        <v>26</v>
      </c>
      <c r="O2165" s="8">
        <v>1.387</v>
      </c>
      <c r="P2165" s="8">
        <f>EXP(-1.363+3.366*LOG(O2165,10))</f>
        <v>0.41280884754947733</v>
      </c>
      <c r="Q2165" s="8">
        <f>(1955155*100)/2180255</f>
        <v>89.67551960665152</v>
      </c>
    </row>
    <row r="2166" spans="1:17" x14ac:dyDescent="0.2">
      <c r="A2166">
        <f>YEAR(D2166)</f>
        <v>2019</v>
      </c>
      <c r="B2166" t="s">
        <v>26</v>
      </c>
      <c r="C2166" s="2" t="s">
        <v>3025</v>
      </c>
      <c r="D2166" s="1">
        <v>43544</v>
      </c>
      <c r="E2166">
        <f>MONTH(D2166)</f>
        <v>3</v>
      </c>
      <c r="F2166" s="2" t="s">
        <v>19</v>
      </c>
      <c r="G2166" t="s">
        <v>352</v>
      </c>
      <c r="H2166" t="s">
        <v>623</v>
      </c>
      <c r="I2166" t="s">
        <v>22</v>
      </c>
      <c r="J2166" s="2" t="s">
        <v>42</v>
      </c>
      <c r="K2166" s="2" t="s">
        <v>3019</v>
      </c>
      <c r="L2166" t="s">
        <v>25</v>
      </c>
      <c r="M2166" s="8">
        <v>1.387</v>
      </c>
      <c r="N2166" t="s">
        <v>26</v>
      </c>
      <c r="O2166" s="8">
        <v>1.387</v>
      </c>
      <c r="P2166" s="8">
        <f>EXP(-1.363+3.366*LOG(O2166,10))</f>
        <v>0.41280884754947733</v>
      </c>
      <c r="Q2166" s="8">
        <f>(1955155*100)/2180255</f>
        <v>89.67551960665152</v>
      </c>
    </row>
    <row r="2167" spans="1:17" x14ac:dyDescent="0.2">
      <c r="A2167">
        <f>YEAR(D2167)</f>
        <v>2019</v>
      </c>
      <c r="B2167" t="s">
        <v>26</v>
      </c>
      <c r="C2167" s="2" t="s">
        <v>3025</v>
      </c>
      <c r="D2167" s="1">
        <v>43544</v>
      </c>
      <c r="E2167">
        <f>MONTH(D2167)</f>
        <v>3</v>
      </c>
      <c r="F2167" s="2" t="s">
        <v>19</v>
      </c>
      <c r="G2167" s="2" t="s">
        <v>20</v>
      </c>
      <c r="H2167" t="s">
        <v>145</v>
      </c>
      <c r="I2167" t="s">
        <v>36</v>
      </c>
      <c r="J2167" s="2" t="s">
        <v>42</v>
      </c>
      <c r="K2167" s="2" t="s">
        <v>3019</v>
      </c>
      <c r="L2167" t="s">
        <v>25</v>
      </c>
      <c r="M2167" s="8">
        <v>1.9886666669999999</v>
      </c>
      <c r="N2167" t="s">
        <v>26</v>
      </c>
      <c r="O2167" s="8">
        <v>1.9886666669999999</v>
      </c>
      <c r="P2167" s="8">
        <f>EXP(-1.363+3.366*LOG(O2167,10))</f>
        <v>0.69904488411120058</v>
      </c>
      <c r="Q2167" s="8">
        <f>(1955155*100)/2180255</f>
        <v>89.67551960665152</v>
      </c>
    </row>
    <row r="2168" spans="1:17" x14ac:dyDescent="0.2">
      <c r="A2168">
        <f>YEAR(D2168)</f>
        <v>2019</v>
      </c>
      <c r="B2168" t="s">
        <v>26</v>
      </c>
      <c r="C2168" s="2" t="s">
        <v>3025</v>
      </c>
      <c r="D2168" s="1">
        <v>43544</v>
      </c>
      <c r="E2168">
        <f>MONTH(D2168)</f>
        <v>3</v>
      </c>
      <c r="F2168" s="2" t="s">
        <v>19</v>
      </c>
      <c r="G2168" t="s">
        <v>352</v>
      </c>
      <c r="H2168" t="s">
        <v>623</v>
      </c>
      <c r="I2168" t="s">
        <v>22</v>
      </c>
      <c r="J2168" s="2" t="s">
        <v>42</v>
      </c>
      <c r="K2168" s="2" t="s">
        <v>3019</v>
      </c>
      <c r="L2168" t="s">
        <v>25</v>
      </c>
      <c r="M2168" s="8">
        <v>1.387</v>
      </c>
      <c r="N2168" t="s">
        <v>26</v>
      </c>
      <c r="O2168" s="8">
        <v>1.387</v>
      </c>
      <c r="P2168" s="8">
        <f>EXP(-1.363+3.366*LOG(O2168,10))</f>
        <v>0.41280884754947733</v>
      </c>
      <c r="Q2168" s="8">
        <f>(1955155*100)/2180255</f>
        <v>89.67551960665152</v>
      </c>
    </row>
    <row r="2169" spans="1:17" x14ac:dyDescent="0.2">
      <c r="A2169">
        <f>YEAR(D2169)</f>
        <v>2019</v>
      </c>
      <c r="B2169" t="s">
        <v>26</v>
      </c>
      <c r="C2169" s="2" t="s">
        <v>3025</v>
      </c>
      <c r="D2169" s="1">
        <v>43544</v>
      </c>
      <c r="E2169">
        <f>MONTH(D2169)</f>
        <v>3</v>
      </c>
      <c r="F2169" s="2" t="s">
        <v>19</v>
      </c>
      <c r="G2169" t="s">
        <v>352</v>
      </c>
      <c r="H2169" t="s">
        <v>623</v>
      </c>
      <c r="I2169" t="s">
        <v>22</v>
      </c>
      <c r="J2169" s="2" t="s">
        <v>42</v>
      </c>
      <c r="K2169" s="2" t="s">
        <v>3019</v>
      </c>
      <c r="L2169" t="s">
        <v>25</v>
      </c>
      <c r="M2169" s="8">
        <v>1.387</v>
      </c>
      <c r="N2169" t="s">
        <v>26</v>
      </c>
      <c r="O2169" s="8">
        <v>1.387</v>
      </c>
      <c r="P2169" s="8">
        <f>EXP(-1.363+3.366*LOG(O2169,10))</f>
        <v>0.41280884754947733</v>
      </c>
      <c r="Q2169" s="8">
        <f>(1955155*100)/2180255</f>
        <v>89.67551960665152</v>
      </c>
    </row>
    <row r="2170" spans="1:17" x14ac:dyDescent="0.2">
      <c r="A2170">
        <f>YEAR(D2170)</f>
        <v>2019</v>
      </c>
      <c r="B2170" t="s">
        <v>26</v>
      </c>
      <c r="C2170" s="2" t="s">
        <v>3025</v>
      </c>
      <c r="D2170" s="1">
        <v>43544</v>
      </c>
      <c r="E2170">
        <f>MONTH(D2170)</f>
        <v>3</v>
      </c>
      <c r="F2170" s="2" t="s">
        <v>19</v>
      </c>
      <c r="G2170" t="s">
        <v>352</v>
      </c>
      <c r="H2170" t="s">
        <v>623</v>
      </c>
      <c r="I2170" t="s">
        <v>22</v>
      </c>
      <c r="J2170" s="2" t="s">
        <v>42</v>
      </c>
      <c r="K2170" s="2" t="s">
        <v>3019</v>
      </c>
      <c r="L2170" t="s">
        <v>25</v>
      </c>
      <c r="M2170" s="8">
        <v>1.387</v>
      </c>
      <c r="N2170" t="s">
        <v>26</v>
      </c>
      <c r="O2170" s="8">
        <v>1.387</v>
      </c>
      <c r="P2170" s="8">
        <f>EXP(-1.363+3.366*LOG(O2170,10))</f>
        <v>0.41280884754947733</v>
      </c>
      <c r="Q2170" s="8">
        <f>(1955155*100)/2180255</f>
        <v>89.67551960665152</v>
      </c>
    </row>
    <row r="2171" spans="1:17" x14ac:dyDescent="0.2">
      <c r="A2171">
        <f>YEAR(D2171)</f>
        <v>2019</v>
      </c>
      <c r="B2171" t="s">
        <v>26</v>
      </c>
      <c r="C2171" s="2" t="s">
        <v>3025</v>
      </c>
      <c r="D2171" s="1">
        <v>43544</v>
      </c>
      <c r="E2171">
        <f>MONTH(D2171)</f>
        <v>3</v>
      </c>
      <c r="F2171" s="2" t="s">
        <v>19</v>
      </c>
      <c r="G2171" t="s">
        <v>352</v>
      </c>
      <c r="H2171" t="s">
        <v>623</v>
      </c>
      <c r="I2171" t="s">
        <v>22</v>
      </c>
      <c r="J2171" s="2" t="s">
        <v>42</v>
      </c>
      <c r="K2171" s="2" t="s">
        <v>3019</v>
      </c>
      <c r="L2171" t="s">
        <v>25</v>
      </c>
      <c r="M2171" s="8">
        <v>1.387</v>
      </c>
      <c r="N2171" t="s">
        <v>26</v>
      </c>
      <c r="O2171" s="8">
        <v>1.387</v>
      </c>
      <c r="P2171" s="8">
        <f>EXP(-1.363+3.366*LOG(O2171,10))</f>
        <v>0.41280884754947733</v>
      </c>
      <c r="Q2171" s="8">
        <f>(1955155*100)/2180255</f>
        <v>89.67551960665152</v>
      </c>
    </row>
    <row r="2172" spans="1:17" x14ac:dyDescent="0.2">
      <c r="A2172">
        <f>YEAR(D2172)</f>
        <v>2019</v>
      </c>
      <c r="B2172" t="s">
        <v>26</v>
      </c>
      <c r="C2172" s="2" t="s">
        <v>3025</v>
      </c>
      <c r="D2172" s="1">
        <v>43544</v>
      </c>
      <c r="E2172">
        <f>MONTH(D2172)</f>
        <v>3</v>
      </c>
      <c r="F2172" s="2" t="s">
        <v>19</v>
      </c>
      <c r="G2172" t="s">
        <v>352</v>
      </c>
      <c r="H2172" t="s">
        <v>623</v>
      </c>
      <c r="I2172" t="s">
        <v>22</v>
      </c>
      <c r="J2172" s="2" t="s">
        <v>42</v>
      </c>
      <c r="K2172" s="2" t="s">
        <v>3019</v>
      </c>
      <c r="L2172" t="s">
        <v>25</v>
      </c>
      <c r="M2172" s="8">
        <v>1.387</v>
      </c>
      <c r="N2172" t="s">
        <v>26</v>
      </c>
      <c r="O2172" s="8">
        <v>1.387</v>
      </c>
      <c r="P2172" s="8">
        <f>EXP(-1.363+3.366*LOG(O2172,10))</f>
        <v>0.41280884754947733</v>
      </c>
      <c r="Q2172" s="8">
        <f>(1955155*100)/2180255</f>
        <v>89.67551960665152</v>
      </c>
    </row>
    <row r="2173" spans="1:17" x14ac:dyDescent="0.2">
      <c r="A2173">
        <f>YEAR(D2173)</f>
        <v>2019</v>
      </c>
      <c r="B2173" t="s">
        <v>26</v>
      </c>
      <c r="C2173" s="2" t="s">
        <v>3025</v>
      </c>
      <c r="D2173" s="1">
        <v>43544</v>
      </c>
      <c r="E2173">
        <f>MONTH(D2173)</f>
        <v>3</v>
      </c>
      <c r="F2173" s="2" t="s">
        <v>19</v>
      </c>
      <c r="G2173" t="s">
        <v>352</v>
      </c>
      <c r="H2173" t="s">
        <v>747</v>
      </c>
      <c r="I2173" t="s">
        <v>22</v>
      </c>
      <c r="J2173" s="2" t="s">
        <v>42</v>
      </c>
      <c r="K2173" s="2" t="s">
        <v>3019</v>
      </c>
      <c r="L2173" t="s">
        <v>25</v>
      </c>
      <c r="M2173" s="8">
        <v>1.3726666670000001</v>
      </c>
      <c r="N2173" t="s">
        <v>26</v>
      </c>
      <c r="O2173" s="8">
        <v>1.3726666670000001</v>
      </c>
      <c r="P2173" s="8">
        <f>EXP(-1.363+3.366*LOG(O2173,10))</f>
        <v>0.40658758379567089</v>
      </c>
      <c r="Q2173" s="8">
        <f>(1955155*100)/2180255</f>
        <v>89.67551960665152</v>
      </c>
    </row>
    <row r="2174" spans="1:17" x14ac:dyDescent="0.2">
      <c r="A2174">
        <f>YEAR(D2174)</f>
        <v>2019</v>
      </c>
      <c r="B2174" t="s">
        <v>26</v>
      </c>
      <c r="C2174" s="2" t="s">
        <v>3025</v>
      </c>
      <c r="D2174" s="1">
        <v>43544</v>
      </c>
      <c r="E2174">
        <f>MONTH(D2174)</f>
        <v>3</v>
      </c>
      <c r="F2174" s="2" t="s">
        <v>19</v>
      </c>
      <c r="G2174" t="s">
        <v>352</v>
      </c>
      <c r="H2174" t="s">
        <v>623</v>
      </c>
      <c r="I2174" t="s">
        <v>22</v>
      </c>
      <c r="J2174" s="2" t="s">
        <v>42</v>
      </c>
      <c r="K2174" s="2" t="s">
        <v>3019</v>
      </c>
      <c r="L2174" t="s">
        <v>25</v>
      </c>
      <c r="M2174" s="8">
        <v>1.387</v>
      </c>
      <c r="N2174" t="s">
        <v>26</v>
      </c>
      <c r="O2174" s="8">
        <v>1.387</v>
      </c>
      <c r="P2174" s="8">
        <f>EXP(-1.363+3.366*LOG(O2174,10))</f>
        <v>0.41280884754947733</v>
      </c>
      <c r="Q2174" s="8">
        <f>(1955155*100)/2180255</f>
        <v>89.67551960665152</v>
      </c>
    </row>
    <row r="2175" spans="1:17" x14ac:dyDescent="0.2">
      <c r="A2175">
        <f>YEAR(D2175)</f>
        <v>2019</v>
      </c>
      <c r="B2175" t="s">
        <v>26</v>
      </c>
      <c r="C2175" s="2" t="s">
        <v>3025</v>
      </c>
      <c r="D2175" s="1">
        <v>43544</v>
      </c>
      <c r="E2175">
        <f>MONTH(D2175)</f>
        <v>3</v>
      </c>
      <c r="F2175" s="2" t="s">
        <v>19</v>
      </c>
      <c r="G2175" t="s">
        <v>352</v>
      </c>
      <c r="H2175" t="s">
        <v>623</v>
      </c>
      <c r="I2175" t="s">
        <v>22</v>
      </c>
      <c r="J2175" s="2" t="s">
        <v>42</v>
      </c>
      <c r="K2175" s="2" t="s">
        <v>3019</v>
      </c>
      <c r="L2175" t="s">
        <v>25</v>
      </c>
      <c r="M2175" s="8">
        <v>1.387</v>
      </c>
      <c r="N2175" t="s">
        <v>26</v>
      </c>
      <c r="O2175" s="8">
        <v>1.387</v>
      </c>
      <c r="P2175" s="8">
        <f>EXP(-1.363+3.366*LOG(O2175,10))</f>
        <v>0.41280884754947733</v>
      </c>
      <c r="Q2175" s="8">
        <f>(1955155*100)/2180255</f>
        <v>89.67551960665152</v>
      </c>
    </row>
    <row r="2176" spans="1:17" x14ac:dyDescent="0.2">
      <c r="A2176">
        <f>YEAR(D2176)</f>
        <v>2019</v>
      </c>
      <c r="B2176" t="s">
        <v>26</v>
      </c>
      <c r="C2176" s="2" t="s">
        <v>3025</v>
      </c>
      <c r="D2176" s="1">
        <v>43544</v>
      </c>
      <c r="E2176">
        <f>MONTH(D2176)</f>
        <v>3</v>
      </c>
      <c r="F2176" s="2" t="s">
        <v>19</v>
      </c>
      <c r="G2176" t="s">
        <v>352</v>
      </c>
      <c r="H2176" t="s">
        <v>623</v>
      </c>
      <c r="I2176" t="s">
        <v>22</v>
      </c>
      <c r="J2176" s="2" t="s">
        <v>42</v>
      </c>
      <c r="K2176" s="2" t="s">
        <v>3019</v>
      </c>
      <c r="L2176" t="s">
        <v>25</v>
      </c>
      <c r="M2176" s="8">
        <v>1.387</v>
      </c>
      <c r="N2176" t="s">
        <v>26</v>
      </c>
      <c r="O2176" s="8">
        <v>1.387</v>
      </c>
      <c r="P2176" s="8">
        <f>EXP(-1.363+3.366*LOG(O2176,10))</f>
        <v>0.41280884754947733</v>
      </c>
      <c r="Q2176" s="8">
        <f>(1955155*100)/2180255</f>
        <v>89.67551960665152</v>
      </c>
    </row>
    <row r="2177" spans="1:17" x14ac:dyDescent="0.2">
      <c r="A2177">
        <f>YEAR(D2177)</f>
        <v>2019</v>
      </c>
      <c r="B2177" t="s">
        <v>26</v>
      </c>
      <c r="C2177" s="2" t="s">
        <v>3025</v>
      </c>
      <c r="D2177" s="1">
        <v>43544</v>
      </c>
      <c r="E2177">
        <f>MONTH(D2177)</f>
        <v>3</v>
      </c>
      <c r="F2177" s="2" t="s">
        <v>19</v>
      </c>
      <c r="G2177" t="s">
        <v>352</v>
      </c>
      <c r="H2177" t="s">
        <v>623</v>
      </c>
      <c r="I2177" t="s">
        <v>22</v>
      </c>
      <c r="J2177" s="2" t="s">
        <v>42</v>
      </c>
      <c r="K2177" s="2" t="s">
        <v>3019</v>
      </c>
      <c r="L2177" t="s">
        <v>25</v>
      </c>
      <c r="M2177" s="8">
        <v>1.387</v>
      </c>
      <c r="N2177" t="s">
        <v>26</v>
      </c>
      <c r="O2177" s="8">
        <v>1.387</v>
      </c>
      <c r="P2177" s="8">
        <f>EXP(-1.363+3.366*LOG(O2177,10))</f>
        <v>0.41280884754947733</v>
      </c>
      <c r="Q2177" s="8">
        <f>(1955155*100)/2180255</f>
        <v>89.67551960665152</v>
      </c>
    </row>
    <row r="2178" spans="1:17" x14ac:dyDescent="0.2">
      <c r="A2178">
        <f>YEAR(D2178)</f>
        <v>2019</v>
      </c>
      <c r="B2178" t="s">
        <v>26</v>
      </c>
      <c r="C2178" s="2" t="s">
        <v>3025</v>
      </c>
      <c r="D2178" s="1">
        <v>43544</v>
      </c>
      <c r="E2178">
        <f>MONTH(D2178)</f>
        <v>3</v>
      </c>
      <c r="F2178" s="2" t="s">
        <v>19</v>
      </c>
      <c r="G2178" t="s">
        <v>352</v>
      </c>
      <c r="H2178" t="s">
        <v>747</v>
      </c>
      <c r="I2178" t="s">
        <v>22</v>
      </c>
      <c r="J2178" s="2" t="s">
        <v>42</v>
      </c>
      <c r="K2178" s="2" t="s">
        <v>3019</v>
      </c>
      <c r="L2178" t="s">
        <v>25</v>
      </c>
      <c r="M2178" s="8">
        <v>1.3726666670000001</v>
      </c>
      <c r="N2178" t="s">
        <v>26</v>
      </c>
      <c r="O2178" s="8">
        <v>1.3726666670000001</v>
      </c>
      <c r="P2178" s="8">
        <f>EXP(-1.363+3.366*LOG(O2178,10))</f>
        <v>0.40658758379567089</v>
      </c>
      <c r="Q2178" s="8">
        <f>(1955155*100)/2180255</f>
        <v>89.67551960665152</v>
      </c>
    </row>
    <row r="2179" spans="1:17" x14ac:dyDescent="0.2">
      <c r="A2179">
        <f>YEAR(D2179)</f>
        <v>2019</v>
      </c>
      <c r="B2179" t="s">
        <v>26</v>
      </c>
      <c r="C2179" s="2" t="s">
        <v>3025</v>
      </c>
      <c r="D2179" s="1">
        <v>43544</v>
      </c>
      <c r="E2179">
        <f>MONTH(D2179)</f>
        <v>3</v>
      </c>
      <c r="F2179" s="2" t="s">
        <v>19</v>
      </c>
      <c r="G2179" t="s">
        <v>352</v>
      </c>
      <c r="H2179" t="s">
        <v>623</v>
      </c>
      <c r="I2179" t="s">
        <v>22</v>
      </c>
      <c r="J2179" s="2" t="s">
        <v>42</v>
      </c>
      <c r="K2179" s="2" t="s">
        <v>3019</v>
      </c>
      <c r="L2179" t="s">
        <v>25</v>
      </c>
      <c r="M2179" s="8">
        <v>1.387</v>
      </c>
      <c r="N2179" t="s">
        <v>26</v>
      </c>
      <c r="O2179" s="8">
        <v>1.387</v>
      </c>
      <c r="P2179" s="8">
        <f>EXP(-1.363+3.366*LOG(O2179,10))</f>
        <v>0.41280884754947733</v>
      </c>
      <c r="Q2179" s="8">
        <f>(1955155*100)/2180255</f>
        <v>89.67551960665152</v>
      </c>
    </row>
    <row r="2180" spans="1:17" x14ac:dyDescent="0.2">
      <c r="A2180">
        <f>YEAR(D2180)</f>
        <v>2019</v>
      </c>
      <c r="B2180" t="s">
        <v>26</v>
      </c>
      <c r="C2180" s="2" t="s">
        <v>3025</v>
      </c>
      <c r="D2180" s="1">
        <v>43544</v>
      </c>
      <c r="E2180">
        <f>MONTH(D2180)</f>
        <v>3</v>
      </c>
      <c r="F2180" s="2" t="s">
        <v>19</v>
      </c>
      <c r="G2180" t="s">
        <v>352</v>
      </c>
      <c r="H2180" t="s">
        <v>623</v>
      </c>
      <c r="I2180" t="s">
        <v>22</v>
      </c>
      <c r="J2180" s="2" t="s">
        <v>42</v>
      </c>
      <c r="K2180" s="2" t="s">
        <v>3019</v>
      </c>
      <c r="L2180" t="s">
        <v>25</v>
      </c>
      <c r="M2180" s="8">
        <v>1.387</v>
      </c>
      <c r="N2180" t="s">
        <v>26</v>
      </c>
      <c r="O2180" s="8">
        <v>1.387</v>
      </c>
      <c r="P2180" s="8">
        <f>EXP(-1.363+3.366*LOG(O2180,10))</f>
        <v>0.41280884754947733</v>
      </c>
      <c r="Q2180" s="8">
        <f>(1955155*100)/2180255</f>
        <v>89.67551960665152</v>
      </c>
    </row>
    <row r="2181" spans="1:17" x14ac:dyDescent="0.2">
      <c r="A2181">
        <f>YEAR(D2181)</f>
        <v>2019</v>
      </c>
      <c r="B2181" t="s">
        <v>26</v>
      </c>
      <c r="C2181" s="2" t="s">
        <v>3025</v>
      </c>
      <c r="D2181" s="1">
        <v>43544</v>
      </c>
      <c r="E2181">
        <f>MONTH(D2181)</f>
        <v>3</v>
      </c>
      <c r="F2181" s="2" t="s">
        <v>19</v>
      </c>
      <c r="G2181" t="s">
        <v>20</v>
      </c>
      <c r="H2181" t="s">
        <v>149</v>
      </c>
      <c r="I2181" t="s">
        <v>22</v>
      </c>
      <c r="J2181" s="2" t="s">
        <v>42</v>
      </c>
      <c r="K2181" s="2" t="s">
        <v>3019</v>
      </c>
      <c r="L2181" t="s">
        <v>25</v>
      </c>
      <c r="M2181" s="8">
        <v>1.45</v>
      </c>
      <c r="N2181" t="s">
        <v>26</v>
      </c>
      <c r="O2181" s="8">
        <v>1.45</v>
      </c>
      <c r="P2181" s="8">
        <f>EXP(-1.363+3.366*LOG(O2181,10))</f>
        <v>0.44050419760124854</v>
      </c>
      <c r="Q2181" s="8">
        <f>(1955155*100)/2180255</f>
        <v>89.67551960665152</v>
      </c>
    </row>
    <row r="2182" spans="1:17" x14ac:dyDescent="0.2">
      <c r="A2182">
        <f>YEAR(D2182)</f>
        <v>2019</v>
      </c>
      <c r="B2182" t="s">
        <v>26</v>
      </c>
      <c r="C2182" s="2" t="s">
        <v>3025</v>
      </c>
      <c r="D2182" s="1">
        <v>43544</v>
      </c>
      <c r="E2182">
        <f>MONTH(D2182)</f>
        <v>3</v>
      </c>
      <c r="F2182" s="2" t="s">
        <v>19</v>
      </c>
      <c r="G2182" t="s">
        <v>352</v>
      </c>
      <c r="H2182" t="s">
        <v>623</v>
      </c>
      <c r="I2182" t="s">
        <v>22</v>
      </c>
      <c r="J2182" s="2" t="s">
        <v>42</v>
      </c>
      <c r="K2182" s="2" t="s">
        <v>3019</v>
      </c>
      <c r="L2182" t="s">
        <v>25</v>
      </c>
      <c r="M2182" s="8">
        <v>1.387</v>
      </c>
      <c r="N2182" t="s">
        <v>26</v>
      </c>
      <c r="O2182" s="8">
        <v>1.387</v>
      </c>
      <c r="P2182" s="8">
        <f>EXP(-1.363+3.366*LOG(O2182,10))</f>
        <v>0.41280884754947733</v>
      </c>
      <c r="Q2182" s="8">
        <f>(1955155*100)/2180255</f>
        <v>89.67551960665152</v>
      </c>
    </row>
    <row r="2183" spans="1:17" x14ac:dyDescent="0.2">
      <c r="A2183">
        <f>YEAR(D2183)</f>
        <v>2019</v>
      </c>
      <c r="B2183" t="s">
        <v>26</v>
      </c>
      <c r="C2183" s="2" t="s">
        <v>3025</v>
      </c>
      <c r="D2183" s="1">
        <v>43544</v>
      </c>
      <c r="E2183">
        <f>MONTH(D2183)</f>
        <v>3</v>
      </c>
      <c r="F2183" s="2" t="s">
        <v>19</v>
      </c>
      <c r="G2183" t="s">
        <v>352</v>
      </c>
      <c r="H2183" t="s">
        <v>623</v>
      </c>
      <c r="I2183" t="s">
        <v>22</v>
      </c>
      <c r="J2183" s="2" t="s">
        <v>42</v>
      </c>
      <c r="K2183" s="2" t="s">
        <v>3019</v>
      </c>
      <c r="L2183" t="s">
        <v>25</v>
      </c>
      <c r="M2183" s="8">
        <v>1.387</v>
      </c>
      <c r="N2183" t="s">
        <v>26</v>
      </c>
      <c r="O2183" s="8">
        <v>1.387</v>
      </c>
      <c r="P2183" s="8">
        <f>EXP(-1.363+3.366*LOG(O2183,10))</f>
        <v>0.41280884754947733</v>
      </c>
      <c r="Q2183" s="8">
        <f>(1955155*100)/2180255</f>
        <v>89.67551960665152</v>
      </c>
    </row>
    <row r="2184" spans="1:17" x14ac:dyDescent="0.2">
      <c r="A2184">
        <f>YEAR(D2184)</f>
        <v>2019</v>
      </c>
      <c r="B2184" t="s">
        <v>26</v>
      </c>
      <c r="C2184" s="2" t="s">
        <v>3025</v>
      </c>
      <c r="D2184" s="1">
        <v>43544</v>
      </c>
      <c r="E2184">
        <f>MONTH(D2184)</f>
        <v>3</v>
      </c>
      <c r="F2184" s="2" t="s">
        <v>19</v>
      </c>
      <c r="G2184" t="s">
        <v>352</v>
      </c>
      <c r="H2184" t="s">
        <v>623</v>
      </c>
      <c r="I2184" t="s">
        <v>22</v>
      </c>
      <c r="J2184" s="2" t="s">
        <v>42</v>
      </c>
      <c r="K2184" s="2" t="s">
        <v>3019</v>
      </c>
      <c r="L2184" t="s">
        <v>25</v>
      </c>
      <c r="M2184" s="8">
        <v>1.387</v>
      </c>
      <c r="N2184" t="s">
        <v>26</v>
      </c>
      <c r="O2184" s="8">
        <v>1.387</v>
      </c>
      <c r="P2184" s="8">
        <f>EXP(-1.363+3.366*LOG(O2184,10))</f>
        <v>0.41280884754947733</v>
      </c>
      <c r="Q2184" s="8">
        <f>(1955155*100)/2180255</f>
        <v>89.67551960665152</v>
      </c>
    </row>
    <row r="2185" spans="1:17" x14ac:dyDescent="0.2">
      <c r="A2185">
        <f>YEAR(D2185)</f>
        <v>2019</v>
      </c>
      <c r="B2185" t="s">
        <v>26</v>
      </c>
      <c r="C2185" s="2" t="s">
        <v>3025</v>
      </c>
      <c r="D2185" s="1">
        <v>43544</v>
      </c>
      <c r="E2185">
        <f>MONTH(D2185)</f>
        <v>3</v>
      </c>
      <c r="F2185" s="2" t="s">
        <v>19</v>
      </c>
      <c r="G2185" t="s">
        <v>352</v>
      </c>
      <c r="H2185" t="s">
        <v>623</v>
      </c>
      <c r="I2185" t="s">
        <v>22</v>
      </c>
      <c r="J2185" s="2" t="s">
        <v>42</v>
      </c>
      <c r="K2185" s="2" t="s">
        <v>3019</v>
      </c>
      <c r="L2185" t="s">
        <v>25</v>
      </c>
      <c r="M2185" s="8">
        <v>1.387</v>
      </c>
      <c r="N2185" t="s">
        <v>26</v>
      </c>
      <c r="O2185" s="8">
        <v>1.387</v>
      </c>
      <c r="P2185" s="8">
        <f>EXP(-1.363+3.366*LOG(O2185,10))</f>
        <v>0.41280884754947733</v>
      </c>
      <c r="Q2185" s="8">
        <f>(1955155*100)/2180255</f>
        <v>89.67551960665152</v>
      </c>
    </row>
    <row r="2186" spans="1:17" x14ac:dyDescent="0.2">
      <c r="A2186">
        <f>YEAR(D2186)</f>
        <v>2019</v>
      </c>
      <c r="B2186" t="e">
        <f>CONCATENATE(K2186,#REF!)</f>
        <v>#REF!</v>
      </c>
      <c r="C2186" s="2" t="s">
        <v>3025</v>
      </c>
      <c r="D2186" s="1">
        <v>43544</v>
      </c>
      <c r="E2186">
        <f>MONTH(D2186)</f>
        <v>3</v>
      </c>
      <c r="F2186" s="2" t="s">
        <v>19</v>
      </c>
      <c r="G2186" s="2" t="s">
        <v>20</v>
      </c>
      <c r="H2186" t="s">
        <v>103</v>
      </c>
      <c r="I2186" t="s">
        <v>36</v>
      </c>
      <c r="J2186" s="2" t="s">
        <v>42</v>
      </c>
      <c r="K2186" s="2" t="s">
        <v>3019</v>
      </c>
      <c r="L2186" t="s">
        <v>25</v>
      </c>
      <c r="M2186" s="8">
        <v>1.856666667</v>
      </c>
      <c r="N2186" t="s">
        <v>26</v>
      </c>
      <c r="O2186" s="8">
        <v>1.856666667</v>
      </c>
      <c r="P2186" s="8">
        <f>EXP(-1.363+3.366*LOG(O2186,10))</f>
        <v>0.63226823262235543</v>
      </c>
      <c r="Q2186" s="8">
        <f>(1955155*100)/2180255</f>
        <v>89.67551960665152</v>
      </c>
    </row>
    <row r="2187" spans="1:17" x14ac:dyDescent="0.2">
      <c r="A2187">
        <f>YEAR(D2187)</f>
        <v>2019</v>
      </c>
      <c r="B2187" t="e">
        <f>CONCATENATE(K2187,#REF!)</f>
        <v>#REF!</v>
      </c>
      <c r="C2187" s="2" t="s">
        <v>3025</v>
      </c>
      <c r="D2187" s="1">
        <v>43544</v>
      </c>
      <c r="E2187">
        <f>MONTH(D2187)</f>
        <v>3</v>
      </c>
      <c r="F2187" s="2" t="s">
        <v>19</v>
      </c>
      <c r="G2187" s="2" t="s">
        <v>20</v>
      </c>
      <c r="H2187" t="s">
        <v>103</v>
      </c>
      <c r="I2187" t="s">
        <v>36</v>
      </c>
      <c r="J2187" s="2" t="s">
        <v>42</v>
      </c>
      <c r="K2187" s="2" t="s">
        <v>3019</v>
      </c>
      <c r="L2187" t="s">
        <v>25</v>
      </c>
      <c r="M2187" s="8">
        <v>1.856666667</v>
      </c>
      <c r="N2187" t="s">
        <v>26</v>
      </c>
      <c r="O2187" s="8">
        <v>1.856666667</v>
      </c>
      <c r="P2187" s="8">
        <f>EXP(-1.363+3.366*LOG(O2187,10))</f>
        <v>0.63226823262235543</v>
      </c>
      <c r="Q2187" s="8">
        <f>(1955155*100)/2180255</f>
        <v>89.67551960665152</v>
      </c>
    </row>
    <row r="2188" spans="1:17" x14ac:dyDescent="0.2">
      <c r="A2188">
        <f>YEAR(D2188)</f>
        <v>2019</v>
      </c>
      <c r="B2188" t="e">
        <f>CONCATENATE(K2188,#REF!)</f>
        <v>#REF!</v>
      </c>
      <c r="C2188" s="2" t="s">
        <v>3025</v>
      </c>
      <c r="D2188" s="1">
        <v>43544</v>
      </c>
      <c r="E2188">
        <f>MONTH(D2188)</f>
        <v>3</v>
      </c>
      <c r="F2188" s="2" t="s">
        <v>19</v>
      </c>
      <c r="G2188" s="2" t="s">
        <v>20</v>
      </c>
      <c r="H2188" t="s">
        <v>103</v>
      </c>
      <c r="I2188" t="s">
        <v>36</v>
      </c>
      <c r="J2188" s="2" t="s">
        <v>42</v>
      </c>
      <c r="K2188" s="2" t="s">
        <v>3019</v>
      </c>
      <c r="L2188" t="s">
        <v>25</v>
      </c>
      <c r="M2188" s="8">
        <v>1.856666667</v>
      </c>
      <c r="N2188" t="s">
        <v>26</v>
      </c>
      <c r="O2188" s="8">
        <v>1.856666667</v>
      </c>
      <c r="P2188" s="8">
        <f>EXP(-1.363+3.366*LOG(O2188,10))</f>
        <v>0.63226823262235543</v>
      </c>
      <c r="Q2188" s="8">
        <f>(1955155*100)/2180255</f>
        <v>89.67551960665152</v>
      </c>
    </row>
    <row r="2189" spans="1:17" x14ac:dyDescent="0.2">
      <c r="A2189">
        <f>YEAR(D2189)</f>
        <v>2019</v>
      </c>
      <c r="B2189" t="s">
        <v>26</v>
      </c>
      <c r="C2189" s="2" t="s">
        <v>3026</v>
      </c>
      <c r="D2189" s="1">
        <v>43544</v>
      </c>
      <c r="E2189">
        <f>MONTH(D2189)</f>
        <v>3</v>
      </c>
      <c r="F2189" s="2" t="s">
        <v>19</v>
      </c>
      <c r="G2189" s="2" t="s">
        <v>20</v>
      </c>
      <c r="H2189" t="s">
        <v>91</v>
      </c>
      <c r="I2189" t="s">
        <v>36</v>
      </c>
      <c r="J2189" s="2" t="s">
        <v>42</v>
      </c>
      <c r="K2189" s="2" t="s">
        <v>3019</v>
      </c>
      <c r="L2189" t="s">
        <v>25</v>
      </c>
      <c r="M2189" s="8">
        <v>1.5753333329999999</v>
      </c>
      <c r="N2189" t="s">
        <v>26</v>
      </c>
      <c r="O2189" s="8">
        <v>1.5753333329999999</v>
      </c>
      <c r="P2189" s="8">
        <f>EXP(-1.363+3.366*LOG(O2189,10))</f>
        <v>0.49725898537469421</v>
      </c>
      <c r="Q2189" s="8">
        <f>(2317420*100)/2442061</f>
        <v>94.896073439606951</v>
      </c>
    </row>
    <row r="2190" spans="1:17" x14ac:dyDescent="0.2">
      <c r="A2190">
        <f>YEAR(D2190)</f>
        <v>2019</v>
      </c>
      <c r="B2190" t="s">
        <v>26</v>
      </c>
      <c r="C2190" s="2" t="s">
        <v>3026</v>
      </c>
      <c r="D2190" s="1">
        <v>43544</v>
      </c>
      <c r="E2190">
        <f>MONTH(D2190)</f>
        <v>3</v>
      </c>
      <c r="F2190" s="2" t="s">
        <v>2098</v>
      </c>
      <c r="G2190" t="s">
        <v>352</v>
      </c>
      <c r="H2190" t="s">
        <v>1394</v>
      </c>
      <c r="I2190" t="s">
        <v>22</v>
      </c>
      <c r="J2190" s="2" t="s">
        <v>42</v>
      </c>
      <c r="K2190" s="2" t="s">
        <v>3019</v>
      </c>
      <c r="L2190" t="s">
        <v>25</v>
      </c>
      <c r="M2190" s="8">
        <v>1.2776666670000001</v>
      </c>
      <c r="N2190" t="s">
        <v>26</v>
      </c>
      <c r="O2190" s="8">
        <v>1.2776666670000001</v>
      </c>
      <c r="P2190" s="8">
        <f>EXP(-1.363+3.366*LOG(O2190,10))</f>
        <v>0.36611840850570582</v>
      </c>
      <c r="Q2190" s="8">
        <f>(2317420*100)/2442061</f>
        <v>94.896073439606951</v>
      </c>
    </row>
    <row r="2191" spans="1:17" x14ac:dyDescent="0.2">
      <c r="A2191">
        <f>YEAR(D2191)</f>
        <v>2019</v>
      </c>
      <c r="B2191" t="s">
        <v>26</v>
      </c>
      <c r="C2191" s="2" t="s">
        <v>3023</v>
      </c>
      <c r="D2191" s="1">
        <v>43559</v>
      </c>
      <c r="E2191">
        <f>MONTH(D2191)</f>
        <v>4</v>
      </c>
      <c r="F2191" s="2" t="s">
        <v>2098</v>
      </c>
      <c r="G2191" t="s">
        <v>1735</v>
      </c>
      <c r="H2191" t="s">
        <v>1736</v>
      </c>
      <c r="I2191" t="s">
        <v>36</v>
      </c>
      <c r="J2191" s="2" t="s">
        <v>42</v>
      </c>
      <c r="K2191" s="2" t="s">
        <v>3019</v>
      </c>
      <c r="L2191" t="s">
        <v>25</v>
      </c>
      <c r="M2191" s="8">
        <v>3.8633333329999999</v>
      </c>
      <c r="N2191" t="s">
        <v>26</v>
      </c>
      <c r="O2191" s="8">
        <v>3.8633333329999999</v>
      </c>
      <c r="P2191" s="8">
        <f>EXP(-1.363+3.366*LOG(O2191,10))</f>
        <v>1.8454344092406809</v>
      </c>
      <c r="Q2191" s="8">
        <f>(8197453*100)/8541008</f>
        <v>95.977582505484136</v>
      </c>
    </row>
    <row r="2192" spans="1:17" x14ac:dyDescent="0.2">
      <c r="A2192">
        <f>YEAR(D2192)</f>
        <v>2019</v>
      </c>
      <c r="B2192" t="s">
        <v>26</v>
      </c>
      <c r="C2192" s="2" t="s">
        <v>3022</v>
      </c>
      <c r="D2192" s="1">
        <v>43559</v>
      </c>
      <c r="E2192">
        <f>MONTH(D2192)</f>
        <v>4</v>
      </c>
      <c r="F2192" s="2" t="s">
        <v>2098</v>
      </c>
      <c r="G2192" t="s">
        <v>1735</v>
      </c>
      <c r="H2192" t="s">
        <v>1736</v>
      </c>
      <c r="I2192" t="s">
        <v>36</v>
      </c>
      <c r="J2192" s="2" t="s">
        <v>42</v>
      </c>
      <c r="K2192" s="2" t="s">
        <v>3019</v>
      </c>
      <c r="L2192" t="s">
        <v>25</v>
      </c>
      <c r="M2192" s="8">
        <v>3.8633333329999999</v>
      </c>
      <c r="N2192" t="s">
        <v>26</v>
      </c>
      <c r="O2192" s="8">
        <v>3.8633333329999999</v>
      </c>
      <c r="P2192" s="8">
        <f>EXP(-1.363+3.366*LOG(O2192,10))</f>
        <v>1.8454344092406809</v>
      </c>
      <c r="Q2192" s="8">
        <f>(4437920*100)/4638971</f>
        <v>95.666043180696747</v>
      </c>
    </row>
    <row r="2193" spans="1:17" x14ac:dyDescent="0.2">
      <c r="A2193">
        <f>YEAR(D2193)</f>
        <v>2019</v>
      </c>
      <c r="B2193" t="s">
        <v>26</v>
      </c>
      <c r="C2193" s="2" t="s">
        <v>3022</v>
      </c>
      <c r="D2193" s="1">
        <v>43559</v>
      </c>
      <c r="E2193">
        <f>MONTH(D2193)</f>
        <v>4</v>
      </c>
      <c r="F2193" s="2" t="s">
        <v>2098</v>
      </c>
      <c r="G2193" t="s">
        <v>1735</v>
      </c>
      <c r="H2193" t="s">
        <v>1736</v>
      </c>
      <c r="I2193" t="s">
        <v>36</v>
      </c>
      <c r="J2193" s="2" t="s">
        <v>42</v>
      </c>
      <c r="K2193" s="2" t="s">
        <v>3019</v>
      </c>
      <c r="L2193" t="s">
        <v>25</v>
      </c>
      <c r="M2193" s="8">
        <v>3.8633333329999999</v>
      </c>
      <c r="N2193" t="s">
        <v>26</v>
      </c>
      <c r="O2193" s="8">
        <v>3.8633333329999999</v>
      </c>
      <c r="P2193" s="8">
        <f>EXP(-1.363+3.366*LOG(O2193,10))</f>
        <v>1.8454344092406809</v>
      </c>
      <c r="Q2193" s="8">
        <f>(4437920*100)/4638971</f>
        <v>95.666043180696747</v>
      </c>
    </row>
    <row r="2194" spans="1:17" x14ac:dyDescent="0.2">
      <c r="A2194">
        <f>YEAR(D2194)</f>
        <v>2019</v>
      </c>
      <c r="B2194" t="s">
        <v>26</v>
      </c>
      <c r="C2194" s="2" t="s">
        <v>3022</v>
      </c>
      <c r="D2194" s="1">
        <v>43559</v>
      </c>
      <c r="E2194">
        <f>MONTH(D2194)</f>
        <v>4</v>
      </c>
      <c r="F2194" s="2" t="s">
        <v>2098</v>
      </c>
      <c r="G2194" s="2" t="s">
        <v>20</v>
      </c>
      <c r="H2194" t="s">
        <v>145</v>
      </c>
      <c r="I2194" t="s">
        <v>36</v>
      </c>
      <c r="J2194" s="2" t="s">
        <v>42</v>
      </c>
      <c r="K2194" s="2" t="s">
        <v>3019</v>
      </c>
      <c r="L2194" t="s">
        <v>25</v>
      </c>
      <c r="M2194" s="8">
        <v>1.9886666669999999</v>
      </c>
      <c r="N2194" t="s">
        <v>26</v>
      </c>
      <c r="O2194" s="8">
        <v>1.9886666669999999</v>
      </c>
      <c r="P2194" s="8">
        <f>EXP(-1.363+3.366*LOG(O2194,10))</f>
        <v>0.69904488411120058</v>
      </c>
      <c r="Q2194" s="8">
        <f>(4437920*100)/4638971</f>
        <v>95.666043180696747</v>
      </c>
    </row>
    <row r="2195" spans="1:17" x14ac:dyDescent="0.2">
      <c r="A2195">
        <f>YEAR(D2195)</f>
        <v>2019</v>
      </c>
      <c r="B2195" t="s">
        <v>26</v>
      </c>
      <c r="C2195" s="2" t="s">
        <v>3022</v>
      </c>
      <c r="D2195" s="1">
        <v>43559</v>
      </c>
      <c r="E2195">
        <f>MONTH(D2195)</f>
        <v>4</v>
      </c>
      <c r="F2195" s="2" t="s">
        <v>2098</v>
      </c>
      <c r="G2195" t="s">
        <v>230</v>
      </c>
      <c r="H2195" t="s">
        <v>268</v>
      </c>
      <c r="I2195" t="s">
        <v>22</v>
      </c>
      <c r="J2195" s="2" t="s">
        <v>42</v>
      </c>
      <c r="K2195" s="2" t="s">
        <v>3019</v>
      </c>
      <c r="L2195" t="s">
        <v>25</v>
      </c>
      <c r="M2195" s="8">
        <v>3.5356666670000001</v>
      </c>
      <c r="N2195" t="s">
        <v>26</v>
      </c>
      <c r="O2195" s="8">
        <v>3.5356666670000001</v>
      </c>
      <c r="P2195" s="8">
        <f>EXP(-1.363+3.366*LOG(O2195,10))</f>
        <v>1.6211802664427075</v>
      </c>
      <c r="Q2195" s="8">
        <f>(4437920*100)/4638971</f>
        <v>95.666043180696747</v>
      </c>
    </row>
    <row r="2196" spans="1:17" x14ac:dyDescent="0.2">
      <c r="A2196">
        <f>YEAR(D2196)</f>
        <v>2019</v>
      </c>
      <c r="B2196" t="s">
        <v>26</v>
      </c>
      <c r="C2196" s="2" t="s">
        <v>3022</v>
      </c>
      <c r="D2196" s="1">
        <v>43559</v>
      </c>
      <c r="E2196">
        <f>MONTH(D2196)</f>
        <v>4</v>
      </c>
      <c r="F2196" s="2" t="s">
        <v>2098</v>
      </c>
      <c r="G2196" s="2" t="s">
        <v>20</v>
      </c>
      <c r="H2196" t="s">
        <v>145</v>
      </c>
      <c r="I2196" t="s">
        <v>36</v>
      </c>
      <c r="J2196" s="2" t="s">
        <v>42</v>
      </c>
      <c r="K2196" s="2" t="s">
        <v>3019</v>
      </c>
      <c r="L2196" t="s">
        <v>25</v>
      </c>
      <c r="M2196" s="8">
        <v>1.9886666669999999</v>
      </c>
      <c r="N2196" t="s">
        <v>26</v>
      </c>
      <c r="O2196" s="8">
        <v>1.9886666669999999</v>
      </c>
      <c r="P2196" s="8">
        <f>EXP(-1.363+3.366*LOG(O2196,10))</f>
        <v>0.69904488411120058</v>
      </c>
      <c r="Q2196" s="8">
        <f>(4437920*100)/4638971</f>
        <v>95.666043180696747</v>
      </c>
    </row>
    <row r="2197" spans="1:17" x14ac:dyDescent="0.2">
      <c r="A2197">
        <f>YEAR(D2197)</f>
        <v>2019</v>
      </c>
      <c r="B2197" t="s">
        <v>26</v>
      </c>
      <c r="C2197" s="2" t="s">
        <v>3022</v>
      </c>
      <c r="D2197" s="1">
        <v>43559</v>
      </c>
      <c r="E2197">
        <f>MONTH(D2197)</f>
        <v>4</v>
      </c>
      <c r="F2197" s="2" t="s">
        <v>2098</v>
      </c>
      <c r="G2197" t="s">
        <v>20</v>
      </c>
      <c r="H2197" t="s">
        <v>183</v>
      </c>
      <c r="I2197" t="s">
        <v>22</v>
      </c>
      <c r="J2197" s="2" t="s">
        <v>42</v>
      </c>
      <c r="K2197" s="2" t="s">
        <v>3019</v>
      </c>
      <c r="L2197" t="s">
        <v>25</v>
      </c>
      <c r="M2197" s="8">
        <v>2.7893333330000001</v>
      </c>
      <c r="N2197" t="s">
        <v>26</v>
      </c>
      <c r="O2197" s="8">
        <v>2.7893333330000001</v>
      </c>
      <c r="P2197" s="8">
        <f>EXP(-1.363+3.366*LOG(O2197,10))</f>
        <v>1.1463172389308915</v>
      </c>
      <c r="Q2197" s="8">
        <f>(4437920*100)/4638971</f>
        <v>95.666043180696747</v>
      </c>
    </row>
    <row r="2198" spans="1:17" x14ac:dyDescent="0.2">
      <c r="A2198">
        <f>YEAR(D2198)</f>
        <v>2019</v>
      </c>
      <c r="B2198" t="s">
        <v>26</v>
      </c>
      <c r="C2198" s="2" t="s">
        <v>3023</v>
      </c>
      <c r="D2198" s="1">
        <v>43559</v>
      </c>
      <c r="E2198">
        <f>MONTH(D2198)</f>
        <v>4</v>
      </c>
      <c r="F2198" s="2" t="s">
        <v>19</v>
      </c>
      <c r="G2198" s="2" t="s">
        <v>20</v>
      </c>
      <c r="H2198" t="s">
        <v>1969</v>
      </c>
      <c r="I2198" t="s">
        <v>36</v>
      </c>
      <c r="J2198" s="2" t="s">
        <v>42</v>
      </c>
      <c r="K2198" s="2" t="s">
        <v>3019</v>
      </c>
      <c r="L2198" t="s">
        <v>25</v>
      </c>
      <c r="M2198" s="8">
        <v>1.8129999999999999</v>
      </c>
      <c r="N2198" t="s">
        <v>26</v>
      </c>
      <c r="O2198" s="8">
        <v>1.8129999999999999</v>
      </c>
      <c r="P2198" s="8">
        <f>EXP(-1.363+3.366*LOG(O2198,10))</f>
        <v>0.61064897652124372</v>
      </c>
      <c r="Q2198" s="8">
        <f>(8197453*100)/8541008</f>
        <v>95.977582505484136</v>
      </c>
    </row>
    <row r="2199" spans="1:17" x14ac:dyDescent="0.2">
      <c r="A2199">
        <f>YEAR(D2199)</f>
        <v>2019</v>
      </c>
      <c r="B2199" t="s">
        <v>26</v>
      </c>
      <c r="C2199" s="2" t="s">
        <v>3023</v>
      </c>
      <c r="D2199" s="1">
        <v>43559</v>
      </c>
      <c r="E2199">
        <f>MONTH(D2199)</f>
        <v>4</v>
      </c>
      <c r="F2199" s="2" t="s">
        <v>19</v>
      </c>
      <c r="G2199" s="2" t="s">
        <v>20</v>
      </c>
      <c r="H2199" t="s">
        <v>1695</v>
      </c>
      <c r="I2199" t="s">
        <v>36</v>
      </c>
      <c r="J2199" s="2" t="s">
        <v>42</v>
      </c>
      <c r="K2199" s="2" t="s">
        <v>3019</v>
      </c>
      <c r="L2199" t="s">
        <v>25</v>
      </c>
      <c r="M2199" s="8">
        <v>2.0324999999999998</v>
      </c>
      <c r="N2199" t="s">
        <v>26</v>
      </c>
      <c r="O2199" s="8">
        <v>2.0324999999999998</v>
      </c>
      <c r="P2199" s="8">
        <f>EXP(-1.363+3.366*LOG(O2199,10))</f>
        <v>0.72168310127741175</v>
      </c>
      <c r="Q2199" s="8">
        <f>(8197453*100)/8541008</f>
        <v>95.977582505484136</v>
      </c>
    </row>
    <row r="2200" spans="1:17" x14ac:dyDescent="0.2">
      <c r="A2200">
        <f>YEAR(D2200)</f>
        <v>2019</v>
      </c>
      <c r="B2200" t="s">
        <v>26</v>
      </c>
      <c r="C2200" s="2" t="s">
        <v>3023</v>
      </c>
      <c r="D2200" s="1">
        <v>43559</v>
      </c>
      <c r="E2200">
        <f>MONTH(D2200)</f>
        <v>4</v>
      </c>
      <c r="F2200" s="2" t="s">
        <v>19</v>
      </c>
      <c r="G2200" t="s">
        <v>20</v>
      </c>
      <c r="H2200" t="s">
        <v>183</v>
      </c>
      <c r="I2200" t="s">
        <v>22</v>
      </c>
      <c r="J2200" s="2" t="s">
        <v>42</v>
      </c>
      <c r="K2200" s="2" t="s">
        <v>3019</v>
      </c>
      <c r="L2200" t="s">
        <v>25</v>
      </c>
      <c r="M2200" s="8">
        <v>2.7893333330000001</v>
      </c>
      <c r="N2200" t="s">
        <v>26</v>
      </c>
      <c r="O2200" s="8">
        <v>2.7893333330000001</v>
      </c>
      <c r="P2200" s="8">
        <f>EXP(-1.363+3.366*LOG(O2200,10))</f>
        <v>1.1463172389308915</v>
      </c>
      <c r="Q2200" s="8">
        <f>(8197453*100)/8541008</f>
        <v>95.977582505484136</v>
      </c>
    </row>
    <row r="2201" spans="1:17" x14ac:dyDescent="0.2">
      <c r="A2201">
        <f>YEAR(D2201)</f>
        <v>2019</v>
      </c>
      <c r="B2201" t="s">
        <v>26</v>
      </c>
      <c r="C2201" s="2" t="s">
        <v>3021</v>
      </c>
      <c r="D2201" s="1">
        <v>43560</v>
      </c>
      <c r="E2201">
        <f>MONTH(D2201)</f>
        <v>4</v>
      </c>
      <c r="F2201" s="2" t="s">
        <v>2098</v>
      </c>
      <c r="G2201" t="s">
        <v>352</v>
      </c>
      <c r="H2201" t="s">
        <v>1271</v>
      </c>
      <c r="I2201" t="s">
        <v>36</v>
      </c>
      <c r="J2201" s="2" t="s">
        <v>42</v>
      </c>
      <c r="K2201" s="2" t="s">
        <v>3019</v>
      </c>
      <c r="L2201" t="s">
        <v>25</v>
      </c>
      <c r="M2201" s="8">
        <v>1.3939999999999999</v>
      </c>
      <c r="N2201" t="s">
        <v>26</v>
      </c>
      <c r="O2201" s="8">
        <v>1.3939999999999999</v>
      </c>
      <c r="P2201" s="8">
        <f>EXP(-1.363+3.366*LOG(O2201,10))</f>
        <v>0.41585796657726082</v>
      </c>
      <c r="Q2201" s="8">
        <f>(1845879*100)/1946364</f>
        <v>94.837296620775973</v>
      </c>
    </row>
    <row r="2202" spans="1:17" x14ac:dyDescent="0.2">
      <c r="A2202">
        <f>YEAR(D2202)</f>
        <v>2019</v>
      </c>
      <c r="B2202" t="s">
        <v>26</v>
      </c>
      <c r="C2202" s="2" t="s">
        <v>3020</v>
      </c>
      <c r="D2202" s="1">
        <v>43560</v>
      </c>
      <c r="E2202">
        <f>MONTH(D2202)</f>
        <v>4</v>
      </c>
      <c r="F2202" s="2" t="s">
        <v>2098</v>
      </c>
      <c r="G2202" t="s">
        <v>303</v>
      </c>
      <c r="H2202" t="s">
        <v>307</v>
      </c>
      <c r="I2202" t="s">
        <v>36</v>
      </c>
      <c r="J2202" s="2" t="s">
        <v>42</v>
      </c>
      <c r="K2202" s="2" t="s">
        <v>3019</v>
      </c>
      <c r="L2202" t="s">
        <v>305</v>
      </c>
      <c r="M2202" s="8">
        <v>1.01</v>
      </c>
      <c r="N2202" t="s">
        <v>26</v>
      </c>
      <c r="O2202" s="8">
        <v>1.01</v>
      </c>
      <c r="P2202" s="8">
        <f>EXP(-1.363+3.366*LOG(O2202,10))</f>
        <v>0.25964128962709732</v>
      </c>
      <c r="Q2202" s="8">
        <f>(3359412*100)/3462762</f>
        <v>97.015388294084318</v>
      </c>
    </row>
    <row r="2203" spans="1:17" x14ac:dyDescent="0.2">
      <c r="A2203">
        <f>YEAR(D2203)</f>
        <v>2019</v>
      </c>
      <c r="B2203" t="s">
        <v>26</v>
      </c>
      <c r="C2203" s="2" t="s">
        <v>3021</v>
      </c>
      <c r="D2203" s="1">
        <v>43560</v>
      </c>
      <c r="E2203">
        <f>MONTH(D2203)</f>
        <v>4</v>
      </c>
      <c r="F2203" s="2" t="s">
        <v>2098</v>
      </c>
      <c r="G2203" t="s">
        <v>230</v>
      </c>
      <c r="H2203" t="s">
        <v>268</v>
      </c>
      <c r="I2203" t="s">
        <v>22</v>
      </c>
      <c r="J2203" s="2" t="s">
        <v>42</v>
      </c>
      <c r="K2203" s="2" t="s">
        <v>3019</v>
      </c>
      <c r="L2203" t="s">
        <v>25</v>
      </c>
      <c r="M2203" s="8">
        <v>3.5356666670000001</v>
      </c>
      <c r="N2203" t="s">
        <v>26</v>
      </c>
      <c r="O2203" s="8">
        <v>3.5356666670000001</v>
      </c>
      <c r="P2203" s="8">
        <f>EXP(-1.363+3.366*LOG(O2203,10))</f>
        <v>1.6211802664427075</v>
      </c>
      <c r="Q2203" s="8">
        <f>(1845879*100)/1946364</f>
        <v>94.837296620775973</v>
      </c>
    </row>
    <row r="2204" spans="1:17" x14ac:dyDescent="0.2">
      <c r="A2204">
        <f>YEAR(D2204)</f>
        <v>2019</v>
      </c>
      <c r="B2204" t="s">
        <v>26</v>
      </c>
      <c r="C2204" s="2" t="s">
        <v>3021</v>
      </c>
      <c r="D2204" s="1">
        <v>43560</v>
      </c>
      <c r="E2204">
        <f>MONTH(D2204)</f>
        <v>4</v>
      </c>
      <c r="F2204" s="2" t="s">
        <v>2098</v>
      </c>
      <c r="G2204" t="s">
        <v>230</v>
      </c>
      <c r="H2204" t="s">
        <v>268</v>
      </c>
      <c r="I2204" t="s">
        <v>22</v>
      </c>
      <c r="J2204" s="2" t="s">
        <v>42</v>
      </c>
      <c r="K2204" s="2" t="s">
        <v>3019</v>
      </c>
      <c r="L2204" t="s">
        <v>25</v>
      </c>
      <c r="M2204" s="8">
        <v>3.5356666670000001</v>
      </c>
      <c r="N2204" t="s">
        <v>26</v>
      </c>
      <c r="O2204" s="8">
        <v>3.5356666670000001</v>
      </c>
      <c r="P2204" s="8">
        <f>EXP(-1.363+3.366*LOG(O2204,10))</f>
        <v>1.6211802664427075</v>
      </c>
      <c r="Q2204" s="8">
        <f>(1845879*100)/1946364</f>
        <v>94.837296620775973</v>
      </c>
    </row>
    <row r="2205" spans="1:17" x14ac:dyDescent="0.2">
      <c r="A2205">
        <f>YEAR(D2205)</f>
        <v>2019</v>
      </c>
      <c r="B2205" t="s">
        <v>26</v>
      </c>
      <c r="C2205" s="2" t="s">
        <v>3021</v>
      </c>
      <c r="D2205" s="1">
        <v>43560</v>
      </c>
      <c r="E2205">
        <f>MONTH(D2205)</f>
        <v>4</v>
      </c>
      <c r="F2205" s="2" t="s">
        <v>2098</v>
      </c>
      <c r="G2205" t="s">
        <v>230</v>
      </c>
      <c r="H2205" t="s">
        <v>268</v>
      </c>
      <c r="I2205" t="s">
        <v>22</v>
      </c>
      <c r="J2205" s="2" t="s">
        <v>42</v>
      </c>
      <c r="K2205" s="2" t="s">
        <v>3019</v>
      </c>
      <c r="L2205" t="s">
        <v>25</v>
      </c>
      <c r="M2205" s="8">
        <v>3.5356666670000001</v>
      </c>
      <c r="N2205" t="s">
        <v>26</v>
      </c>
      <c r="O2205" s="8">
        <v>3.5356666670000001</v>
      </c>
      <c r="P2205" s="8">
        <f>EXP(-1.363+3.366*LOG(O2205,10))</f>
        <v>1.6211802664427075</v>
      </c>
      <c r="Q2205" s="8">
        <f>(1845879*100)/1946364</f>
        <v>94.837296620775973</v>
      </c>
    </row>
    <row r="2206" spans="1:17" x14ac:dyDescent="0.2">
      <c r="A2206">
        <f>YEAR(D2206)</f>
        <v>2019</v>
      </c>
      <c r="B2206" t="s">
        <v>26</v>
      </c>
      <c r="C2206" s="2" t="s">
        <v>3020</v>
      </c>
      <c r="D2206" s="1">
        <v>43560</v>
      </c>
      <c r="E2206">
        <f>MONTH(D2206)</f>
        <v>4</v>
      </c>
      <c r="F2206" s="2" t="s">
        <v>2098</v>
      </c>
      <c r="G2206" t="s">
        <v>1735</v>
      </c>
      <c r="H2206" t="s">
        <v>1736</v>
      </c>
      <c r="I2206" t="s">
        <v>36</v>
      </c>
      <c r="J2206" s="2" t="s">
        <v>42</v>
      </c>
      <c r="K2206" s="2" t="s">
        <v>3019</v>
      </c>
      <c r="L2206" t="s">
        <v>25</v>
      </c>
      <c r="M2206" s="8">
        <v>3.8633333329999999</v>
      </c>
      <c r="N2206" t="s">
        <v>26</v>
      </c>
      <c r="O2206" s="8">
        <v>3.8633333329999999</v>
      </c>
      <c r="P2206" s="8">
        <f>EXP(-1.363+3.366*LOG(O2206,10))</f>
        <v>1.8454344092406809</v>
      </c>
      <c r="Q2206" s="8">
        <f>(3359412*100)/3462762</f>
        <v>97.015388294084318</v>
      </c>
    </row>
    <row r="2207" spans="1:17" x14ac:dyDescent="0.2">
      <c r="A2207">
        <f>YEAR(D2207)</f>
        <v>2019</v>
      </c>
      <c r="B2207" t="s">
        <v>26</v>
      </c>
      <c r="C2207" s="2" t="s">
        <v>3020</v>
      </c>
      <c r="D2207" s="1">
        <v>43560</v>
      </c>
      <c r="E2207">
        <f>MONTH(D2207)</f>
        <v>4</v>
      </c>
      <c r="F2207" s="2" t="s">
        <v>2098</v>
      </c>
      <c r="G2207" t="s">
        <v>219</v>
      </c>
      <c r="H2207" t="s">
        <v>220</v>
      </c>
      <c r="I2207" t="s">
        <v>22</v>
      </c>
      <c r="J2207" s="2" t="s">
        <v>42</v>
      </c>
      <c r="K2207" s="2" t="s">
        <v>3019</v>
      </c>
      <c r="L2207" t="s">
        <v>25</v>
      </c>
      <c r="M2207" s="10" t="s">
        <v>26</v>
      </c>
      <c r="N2207" t="s">
        <v>26</v>
      </c>
      <c r="O2207" s="10" t="s">
        <v>26</v>
      </c>
      <c r="P2207" s="8" t="s">
        <v>26</v>
      </c>
      <c r="Q2207" s="8">
        <f>(3359412*100)/3462762</f>
        <v>97.015388294084318</v>
      </c>
    </row>
    <row r="2208" spans="1:17" x14ac:dyDescent="0.2">
      <c r="A2208">
        <f>YEAR(D2208)</f>
        <v>2019</v>
      </c>
      <c r="B2208" t="s">
        <v>26</v>
      </c>
      <c r="C2208" s="2" t="s">
        <v>3020</v>
      </c>
      <c r="D2208" s="1">
        <v>43560</v>
      </c>
      <c r="E2208">
        <f>MONTH(D2208)</f>
        <v>4</v>
      </c>
      <c r="F2208" s="2" t="s">
        <v>2098</v>
      </c>
      <c r="G2208" t="s">
        <v>1735</v>
      </c>
      <c r="H2208" t="s">
        <v>1736</v>
      </c>
      <c r="I2208" t="s">
        <v>36</v>
      </c>
      <c r="J2208" s="2" t="s">
        <v>42</v>
      </c>
      <c r="K2208" s="2" t="s">
        <v>3019</v>
      </c>
      <c r="L2208" t="s">
        <v>25</v>
      </c>
      <c r="M2208" s="8">
        <v>3.8633333329999999</v>
      </c>
      <c r="N2208" t="s">
        <v>26</v>
      </c>
      <c r="O2208" s="8">
        <v>3.8633333329999999</v>
      </c>
      <c r="P2208" s="8">
        <f>EXP(-1.363+3.366*LOG(O2208,10))</f>
        <v>1.8454344092406809</v>
      </c>
      <c r="Q2208" s="8">
        <f>(3359412*100)/3462762</f>
        <v>97.015388294084318</v>
      </c>
    </row>
    <row r="2209" spans="1:17" x14ac:dyDescent="0.2">
      <c r="A2209">
        <f>YEAR(D2209)</f>
        <v>2019</v>
      </c>
      <c r="B2209" t="s">
        <v>26</v>
      </c>
      <c r="C2209" s="2" t="s">
        <v>3020</v>
      </c>
      <c r="D2209" s="1">
        <v>43560</v>
      </c>
      <c r="E2209">
        <f>MONTH(D2209)</f>
        <v>4</v>
      </c>
      <c r="F2209" s="2" t="s">
        <v>2098</v>
      </c>
      <c r="G2209" t="s">
        <v>1735</v>
      </c>
      <c r="H2209" t="s">
        <v>1736</v>
      </c>
      <c r="I2209" t="s">
        <v>36</v>
      </c>
      <c r="J2209" s="2" t="s">
        <v>42</v>
      </c>
      <c r="K2209" s="2" t="s">
        <v>3019</v>
      </c>
      <c r="L2209" t="s">
        <v>25</v>
      </c>
      <c r="M2209" s="8">
        <v>3.8633333329999999</v>
      </c>
      <c r="N2209" t="s">
        <v>26</v>
      </c>
      <c r="O2209" s="8">
        <v>3.8633333329999999</v>
      </c>
      <c r="P2209" s="8">
        <f>EXP(-1.363+3.366*LOG(O2209,10))</f>
        <v>1.8454344092406809</v>
      </c>
      <c r="Q2209" s="8">
        <f>(3359412*100)/3462762</f>
        <v>97.015388294084318</v>
      </c>
    </row>
    <row r="2210" spans="1:17" x14ac:dyDescent="0.2">
      <c r="A2210">
        <f>YEAR(D2210)</f>
        <v>2019</v>
      </c>
      <c r="B2210" t="s">
        <v>26</v>
      </c>
      <c r="C2210" s="2" t="s">
        <v>3020</v>
      </c>
      <c r="D2210" s="1">
        <v>43560</v>
      </c>
      <c r="E2210">
        <f>MONTH(D2210)</f>
        <v>4</v>
      </c>
      <c r="F2210" s="2" t="s">
        <v>2098</v>
      </c>
      <c r="G2210" t="s">
        <v>230</v>
      </c>
      <c r="H2210" t="s">
        <v>268</v>
      </c>
      <c r="I2210" t="s">
        <v>22</v>
      </c>
      <c r="J2210" s="2" t="s">
        <v>42</v>
      </c>
      <c r="K2210" s="2" t="s">
        <v>3019</v>
      </c>
      <c r="L2210" t="s">
        <v>25</v>
      </c>
      <c r="M2210" s="8">
        <v>3.5356666670000001</v>
      </c>
      <c r="N2210" t="s">
        <v>26</v>
      </c>
      <c r="O2210" s="8">
        <v>3.5356666670000001</v>
      </c>
      <c r="P2210" s="8">
        <f>EXP(-1.363+3.366*LOG(O2210,10))</f>
        <v>1.6211802664427075</v>
      </c>
      <c r="Q2210" s="8">
        <f>(3359412*100)/3462762</f>
        <v>97.015388294084318</v>
      </c>
    </row>
    <row r="2211" spans="1:17" x14ac:dyDescent="0.2">
      <c r="A2211">
        <f>YEAR(D2211)</f>
        <v>2019</v>
      </c>
      <c r="B2211" t="s">
        <v>26</v>
      </c>
      <c r="C2211" s="2" t="s">
        <v>3020</v>
      </c>
      <c r="D2211" s="1">
        <v>43560</v>
      </c>
      <c r="E2211">
        <f>MONTH(D2211)</f>
        <v>4</v>
      </c>
      <c r="F2211" s="2" t="s">
        <v>2098</v>
      </c>
      <c r="G2211" t="s">
        <v>230</v>
      </c>
      <c r="H2211" t="s">
        <v>268</v>
      </c>
      <c r="I2211" t="s">
        <v>22</v>
      </c>
      <c r="J2211" s="2" t="s">
        <v>42</v>
      </c>
      <c r="K2211" s="2" t="s">
        <v>3019</v>
      </c>
      <c r="L2211" t="s">
        <v>25</v>
      </c>
      <c r="M2211" s="8">
        <v>3.5356666670000001</v>
      </c>
      <c r="N2211" t="s">
        <v>26</v>
      </c>
      <c r="O2211" s="8">
        <v>3.5356666670000001</v>
      </c>
      <c r="P2211" s="8">
        <f>EXP(-1.363+3.366*LOG(O2211,10))</f>
        <v>1.6211802664427075</v>
      </c>
      <c r="Q2211" s="8">
        <f>(3359412*100)/3462762</f>
        <v>97.015388294084318</v>
      </c>
    </row>
    <row r="2212" spans="1:17" x14ac:dyDescent="0.2">
      <c r="A2212">
        <f>YEAR(D2212)</f>
        <v>2019</v>
      </c>
      <c r="B2212" t="s">
        <v>26</v>
      </c>
      <c r="C2212" s="2" t="s">
        <v>3020</v>
      </c>
      <c r="D2212" s="1">
        <v>43560</v>
      </c>
      <c r="E2212">
        <f>MONTH(D2212)</f>
        <v>4</v>
      </c>
      <c r="F2212" s="2" t="s">
        <v>2098</v>
      </c>
      <c r="G2212" t="s">
        <v>219</v>
      </c>
      <c r="H2212" t="s">
        <v>220</v>
      </c>
      <c r="I2212" t="s">
        <v>22</v>
      </c>
      <c r="J2212" s="2" t="s">
        <v>42</v>
      </c>
      <c r="K2212" s="2" t="s">
        <v>3019</v>
      </c>
      <c r="L2212" t="s">
        <v>25</v>
      </c>
      <c r="M2212" s="10" t="s">
        <v>26</v>
      </c>
      <c r="N2212" t="s">
        <v>26</v>
      </c>
      <c r="O2212" s="10" t="s">
        <v>26</v>
      </c>
      <c r="P2212" s="8" t="s">
        <v>26</v>
      </c>
      <c r="Q2212" s="8">
        <f>(3359412*100)/3462762</f>
        <v>97.015388294084318</v>
      </c>
    </row>
    <row r="2213" spans="1:17" x14ac:dyDescent="0.2">
      <c r="A2213">
        <f>YEAR(D2213)</f>
        <v>2019</v>
      </c>
      <c r="B2213" t="s">
        <v>26</v>
      </c>
      <c r="C2213" s="2" t="s">
        <v>3020</v>
      </c>
      <c r="D2213" s="1">
        <v>43560</v>
      </c>
      <c r="E2213">
        <f>MONTH(D2213)</f>
        <v>4</v>
      </c>
      <c r="F2213" s="2" t="s">
        <v>2098</v>
      </c>
      <c r="G2213" t="s">
        <v>230</v>
      </c>
      <c r="H2213" t="s">
        <v>268</v>
      </c>
      <c r="I2213" t="s">
        <v>22</v>
      </c>
      <c r="J2213" s="2" t="s">
        <v>42</v>
      </c>
      <c r="K2213" s="2" t="s">
        <v>3019</v>
      </c>
      <c r="L2213" t="s">
        <v>25</v>
      </c>
      <c r="M2213" s="8">
        <v>3.5356666670000001</v>
      </c>
      <c r="N2213" t="s">
        <v>26</v>
      </c>
      <c r="O2213" s="8">
        <v>3.5356666670000001</v>
      </c>
      <c r="P2213" s="8">
        <f>EXP(-1.363+3.366*LOG(O2213,10))</f>
        <v>1.6211802664427075</v>
      </c>
      <c r="Q2213" s="8">
        <f>(3359412*100)/3462762</f>
        <v>97.015388294084318</v>
      </c>
    </row>
    <row r="2214" spans="1:17" x14ac:dyDescent="0.2">
      <c r="A2214">
        <f>YEAR(D2214)</f>
        <v>2019</v>
      </c>
      <c r="B2214" t="s">
        <v>26</v>
      </c>
      <c r="C2214" s="2" t="s">
        <v>3020</v>
      </c>
      <c r="D2214" s="1">
        <v>43560</v>
      </c>
      <c r="E2214">
        <f>MONTH(D2214)</f>
        <v>4</v>
      </c>
      <c r="F2214" s="2" t="s">
        <v>2098</v>
      </c>
      <c r="G2214" t="s">
        <v>1735</v>
      </c>
      <c r="H2214" t="s">
        <v>1736</v>
      </c>
      <c r="I2214" t="s">
        <v>22</v>
      </c>
      <c r="J2214" s="2" t="s">
        <v>42</v>
      </c>
      <c r="K2214" s="2" t="s">
        <v>3019</v>
      </c>
      <c r="L2214" t="s">
        <v>25</v>
      </c>
      <c r="M2214" s="8">
        <v>4.1156666670000002</v>
      </c>
      <c r="N2214" t="s">
        <v>26</v>
      </c>
      <c r="O2214" s="8">
        <v>4.1156666670000002</v>
      </c>
      <c r="P2214" s="8">
        <f>EXP(-1.363+3.366*LOG(O2214,10))</f>
        <v>2.0242630151675414</v>
      </c>
      <c r="Q2214" s="8">
        <f>(3359412*100)/3462762</f>
        <v>97.015388294084318</v>
      </c>
    </row>
    <row r="2215" spans="1:17" x14ac:dyDescent="0.2">
      <c r="A2215">
        <f>YEAR(D2215)</f>
        <v>2019</v>
      </c>
      <c r="B2215" t="s">
        <v>26</v>
      </c>
      <c r="C2215" s="2" t="s">
        <v>3020</v>
      </c>
      <c r="D2215" s="1">
        <v>43560</v>
      </c>
      <c r="E2215">
        <f>MONTH(D2215)</f>
        <v>4</v>
      </c>
      <c r="F2215" s="2" t="s">
        <v>2098</v>
      </c>
      <c r="G2215" t="s">
        <v>230</v>
      </c>
      <c r="H2215" t="s">
        <v>268</v>
      </c>
      <c r="I2215" t="s">
        <v>22</v>
      </c>
      <c r="J2215" s="2" t="s">
        <v>42</v>
      </c>
      <c r="K2215" s="2" t="s">
        <v>3019</v>
      </c>
      <c r="L2215" t="s">
        <v>25</v>
      </c>
      <c r="M2215" s="8">
        <v>3.5356666670000001</v>
      </c>
      <c r="N2215" t="s">
        <v>26</v>
      </c>
      <c r="O2215" s="8">
        <v>3.5356666670000001</v>
      </c>
      <c r="P2215" s="8">
        <f>EXP(-1.363+3.366*LOG(O2215,10))</f>
        <v>1.6211802664427075</v>
      </c>
      <c r="Q2215" s="8">
        <f>(3359412*100)/3462762</f>
        <v>97.015388294084318</v>
      </c>
    </row>
    <row r="2216" spans="1:17" x14ac:dyDescent="0.2">
      <c r="A2216">
        <f>YEAR(D2216)</f>
        <v>2019</v>
      </c>
      <c r="B2216" t="s">
        <v>26</v>
      </c>
      <c r="C2216" s="2" t="s">
        <v>3026</v>
      </c>
      <c r="D2216" s="1">
        <v>43563</v>
      </c>
      <c r="E2216">
        <f>MONTH(D2216)</f>
        <v>4</v>
      </c>
      <c r="F2216" s="2" t="s">
        <v>2098</v>
      </c>
      <c r="G2216" t="s">
        <v>20</v>
      </c>
      <c r="H2216" t="s">
        <v>149</v>
      </c>
      <c r="I2216" t="s">
        <v>36</v>
      </c>
      <c r="J2216" s="2" t="s">
        <v>42</v>
      </c>
      <c r="K2216" s="2" t="s">
        <v>3019</v>
      </c>
      <c r="L2216" t="s">
        <v>25</v>
      </c>
      <c r="M2216" s="8">
        <v>1.032666667</v>
      </c>
      <c r="N2216" t="s">
        <v>26</v>
      </c>
      <c r="O2216" s="8">
        <v>1.032666667</v>
      </c>
      <c r="P2216" s="8">
        <f>EXP(-1.363+3.366*LOG(O2216,10))</f>
        <v>0.26820327281159584</v>
      </c>
      <c r="Q2216" s="8">
        <f>(2317420*100)/2442061</f>
        <v>94.896073439606951</v>
      </c>
    </row>
    <row r="2217" spans="1:17" x14ac:dyDescent="0.2">
      <c r="A2217">
        <f>YEAR(D2217)</f>
        <v>2019</v>
      </c>
      <c r="B2217" t="s">
        <v>26</v>
      </c>
      <c r="C2217" s="2" t="s">
        <v>3026</v>
      </c>
      <c r="D2217" s="1">
        <v>43563</v>
      </c>
      <c r="E2217">
        <f>MONTH(D2217)</f>
        <v>4</v>
      </c>
      <c r="F2217" s="2" t="s">
        <v>2098</v>
      </c>
      <c r="G2217" t="s">
        <v>219</v>
      </c>
      <c r="H2217" t="s">
        <v>220</v>
      </c>
      <c r="I2217" t="s">
        <v>22</v>
      </c>
      <c r="J2217" s="2" t="s">
        <v>42</v>
      </c>
      <c r="K2217" s="2" t="s">
        <v>3019</v>
      </c>
      <c r="L2217" t="s">
        <v>25</v>
      </c>
      <c r="M2217" s="10" t="s">
        <v>26</v>
      </c>
      <c r="N2217" t="s">
        <v>26</v>
      </c>
      <c r="O2217" s="10" t="s">
        <v>26</v>
      </c>
      <c r="P2217" s="8" t="s">
        <v>26</v>
      </c>
      <c r="Q2217" s="8">
        <f>(2317420*100)/2442061</f>
        <v>94.896073439606951</v>
      </c>
    </row>
    <row r="2218" spans="1:17" x14ac:dyDescent="0.2">
      <c r="A2218">
        <f>YEAR(D2218)</f>
        <v>2019</v>
      </c>
      <c r="B2218" t="s">
        <v>26</v>
      </c>
      <c r="C2218" s="2" t="s">
        <v>3026</v>
      </c>
      <c r="D2218" s="1">
        <v>43563</v>
      </c>
      <c r="E2218">
        <f>MONTH(D2218)</f>
        <v>4</v>
      </c>
      <c r="F2218" s="2" t="s">
        <v>2098</v>
      </c>
      <c r="G2218" t="s">
        <v>219</v>
      </c>
      <c r="H2218" t="s">
        <v>220</v>
      </c>
      <c r="I2218" t="s">
        <v>22</v>
      </c>
      <c r="J2218" s="2" t="s">
        <v>42</v>
      </c>
      <c r="K2218" s="2" t="s">
        <v>3019</v>
      </c>
      <c r="L2218" t="s">
        <v>25</v>
      </c>
      <c r="M2218" s="10" t="s">
        <v>26</v>
      </c>
      <c r="N2218" t="s">
        <v>26</v>
      </c>
      <c r="O2218" s="10" t="s">
        <v>26</v>
      </c>
      <c r="P2218" s="8" t="s">
        <v>26</v>
      </c>
      <c r="Q2218" s="8">
        <f>(2317420*100)/2442061</f>
        <v>94.896073439606951</v>
      </c>
    </row>
    <row r="2219" spans="1:17" x14ac:dyDescent="0.2">
      <c r="A2219">
        <f>YEAR(D2219)</f>
        <v>2019</v>
      </c>
      <c r="B2219" t="s">
        <v>26</v>
      </c>
      <c r="C2219" s="2" t="s">
        <v>3026</v>
      </c>
      <c r="D2219" s="1">
        <v>43563</v>
      </c>
      <c r="E2219">
        <f>MONTH(D2219)</f>
        <v>4</v>
      </c>
      <c r="F2219" s="2" t="s">
        <v>2098</v>
      </c>
      <c r="G2219" t="s">
        <v>1735</v>
      </c>
      <c r="H2219" t="s">
        <v>1736</v>
      </c>
      <c r="I2219" t="s">
        <v>36</v>
      </c>
      <c r="J2219" s="2" t="s">
        <v>42</v>
      </c>
      <c r="K2219" s="2" t="s">
        <v>3019</v>
      </c>
      <c r="L2219" t="s">
        <v>25</v>
      </c>
      <c r="M2219" s="8">
        <v>3.8633333329999999</v>
      </c>
      <c r="N2219" t="s">
        <v>26</v>
      </c>
      <c r="O2219" s="8">
        <v>3.8633333329999999</v>
      </c>
      <c r="P2219" s="8">
        <f>EXP(-1.363+3.366*LOG(O2219,10))</f>
        <v>1.8454344092406809</v>
      </c>
      <c r="Q2219" s="8">
        <f>(2317420*100)/2442061</f>
        <v>94.896073439606951</v>
      </c>
    </row>
    <row r="2220" spans="1:17" x14ac:dyDescent="0.2">
      <c r="A2220">
        <f>YEAR(D2220)</f>
        <v>2019</v>
      </c>
      <c r="B2220" t="s">
        <v>26</v>
      </c>
      <c r="C2220" s="2" t="s">
        <v>3026</v>
      </c>
      <c r="D2220" s="1">
        <v>43563</v>
      </c>
      <c r="E2220">
        <f>MONTH(D2220)</f>
        <v>4</v>
      </c>
      <c r="F2220" s="2" t="s">
        <v>2098</v>
      </c>
      <c r="G2220" t="s">
        <v>1735</v>
      </c>
      <c r="H2220" t="s">
        <v>1736</v>
      </c>
      <c r="I2220" t="s">
        <v>36</v>
      </c>
      <c r="J2220" s="2" t="s">
        <v>42</v>
      </c>
      <c r="K2220" s="2" t="s">
        <v>3019</v>
      </c>
      <c r="L2220" t="s">
        <v>25</v>
      </c>
      <c r="M2220" s="8">
        <v>3.8633333329999999</v>
      </c>
      <c r="N2220" t="s">
        <v>26</v>
      </c>
      <c r="O2220" s="8">
        <v>3.8633333329999999</v>
      </c>
      <c r="P2220" s="8">
        <f>EXP(-1.363+3.366*LOG(O2220,10))</f>
        <v>1.8454344092406809</v>
      </c>
      <c r="Q2220" s="8">
        <f>(2317420*100)/2442061</f>
        <v>94.896073439606951</v>
      </c>
    </row>
    <row r="2221" spans="1:17" x14ac:dyDescent="0.2">
      <c r="A2221">
        <f>YEAR(D2221)</f>
        <v>2019</v>
      </c>
      <c r="B2221" t="s">
        <v>26</v>
      </c>
      <c r="C2221" s="2" t="s">
        <v>3026</v>
      </c>
      <c r="D2221" s="1">
        <v>43563</v>
      </c>
      <c r="E2221">
        <f>MONTH(D2221)</f>
        <v>4</v>
      </c>
      <c r="F2221" s="2" t="s">
        <v>2098</v>
      </c>
      <c r="G2221" t="s">
        <v>219</v>
      </c>
      <c r="H2221" t="s">
        <v>220</v>
      </c>
      <c r="I2221" t="s">
        <v>22</v>
      </c>
      <c r="J2221" s="2" t="s">
        <v>42</v>
      </c>
      <c r="K2221" s="2" t="s">
        <v>3019</v>
      </c>
      <c r="L2221" t="s">
        <v>25</v>
      </c>
      <c r="M2221" s="10" t="s">
        <v>26</v>
      </c>
      <c r="N2221" t="s">
        <v>26</v>
      </c>
      <c r="O2221" s="10" t="s">
        <v>26</v>
      </c>
      <c r="P2221" s="8" t="s">
        <v>26</v>
      </c>
      <c r="Q2221" s="8">
        <f>(2317420*100)/2442061</f>
        <v>94.896073439606951</v>
      </c>
    </row>
    <row r="2222" spans="1:17" x14ac:dyDescent="0.2">
      <c r="A2222">
        <f>YEAR(D2222)</f>
        <v>2019</v>
      </c>
      <c r="B2222" t="s">
        <v>26</v>
      </c>
      <c r="C2222" s="2" t="s">
        <v>3026</v>
      </c>
      <c r="D2222" s="1">
        <v>43563</v>
      </c>
      <c r="E2222">
        <f>MONTH(D2222)</f>
        <v>4</v>
      </c>
      <c r="F2222" s="2" t="s">
        <v>2098</v>
      </c>
      <c r="G2222" t="s">
        <v>303</v>
      </c>
      <c r="H2222" t="s">
        <v>307</v>
      </c>
      <c r="I2222" t="s">
        <v>36</v>
      </c>
      <c r="J2222" s="2" t="s">
        <v>42</v>
      </c>
      <c r="K2222" s="2" t="s">
        <v>3019</v>
      </c>
      <c r="L2222" t="s">
        <v>305</v>
      </c>
      <c r="M2222" s="8">
        <v>1.01</v>
      </c>
      <c r="N2222" t="s">
        <v>26</v>
      </c>
      <c r="O2222" s="8">
        <v>1.01</v>
      </c>
      <c r="P2222" s="8">
        <f>EXP(-1.363+3.366*LOG(O2222,10))</f>
        <v>0.25964128962709732</v>
      </c>
      <c r="Q2222" s="8">
        <f>(2317420*100)/2442061</f>
        <v>94.896073439606951</v>
      </c>
    </row>
    <row r="2223" spans="1:17" x14ac:dyDescent="0.2">
      <c r="A2223">
        <f>YEAR(D2223)</f>
        <v>2019</v>
      </c>
      <c r="B2223" t="s">
        <v>26</v>
      </c>
      <c r="C2223" s="2" t="s">
        <v>3026</v>
      </c>
      <c r="D2223" s="1">
        <v>43563</v>
      </c>
      <c r="E2223">
        <f>MONTH(D2223)</f>
        <v>4</v>
      </c>
      <c r="F2223" s="2" t="s">
        <v>2098</v>
      </c>
      <c r="G2223" t="s">
        <v>219</v>
      </c>
      <c r="H2223" t="s">
        <v>220</v>
      </c>
      <c r="I2223" t="s">
        <v>22</v>
      </c>
      <c r="J2223" s="2" t="s">
        <v>42</v>
      </c>
      <c r="K2223" s="2" t="s">
        <v>3019</v>
      </c>
      <c r="L2223" t="s">
        <v>25</v>
      </c>
      <c r="M2223" s="10" t="s">
        <v>26</v>
      </c>
      <c r="N2223" t="s">
        <v>26</v>
      </c>
      <c r="O2223" s="10" t="s">
        <v>26</v>
      </c>
      <c r="P2223" s="8" t="s">
        <v>26</v>
      </c>
      <c r="Q2223" s="8">
        <f>(2317420*100)/2442061</f>
        <v>94.896073439606951</v>
      </c>
    </row>
    <row r="2224" spans="1:17" x14ac:dyDescent="0.2">
      <c r="A2224">
        <f>YEAR(D2224)</f>
        <v>2019</v>
      </c>
      <c r="B2224" t="s">
        <v>26</v>
      </c>
      <c r="C2224" s="2" t="s">
        <v>3026</v>
      </c>
      <c r="D2224" s="1">
        <v>43563</v>
      </c>
      <c r="E2224">
        <f>MONTH(D2224)</f>
        <v>4</v>
      </c>
      <c r="F2224" s="2" t="s">
        <v>2098</v>
      </c>
      <c r="G2224" t="s">
        <v>1532</v>
      </c>
      <c r="H2224" t="s">
        <v>1533</v>
      </c>
      <c r="I2224" t="s">
        <v>36</v>
      </c>
      <c r="J2224" s="2" t="s">
        <v>42</v>
      </c>
      <c r="K2224" s="2" t="s">
        <v>3019</v>
      </c>
      <c r="L2224" t="s">
        <v>25</v>
      </c>
      <c r="M2224" s="8">
        <v>2.63</v>
      </c>
      <c r="N2224" t="s">
        <v>26</v>
      </c>
      <c r="O2224" s="8">
        <v>2.63</v>
      </c>
      <c r="P2224" s="8">
        <f>EXP(-1.363+3.366*LOG(O2224,10))</f>
        <v>1.0518715955632558</v>
      </c>
      <c r="Q2224" s="8">
        <f>(2317420*100)/2442061</f>
        <v>94.896073439606951</v>
      </c>
    </row>
    <row r="2225" spans="1:17" x14ac:dyDescent="0.2">
      <c r="A2225">
        <f>YEAR(D2225)</f>
        <v>2019</v>
      </c>
      <c r="B2225" t="s">
        <v>26</v>
      </c>
      <c r="C2225" s="2" t="s">
        <v>3026</v>
      </c>
      <c r="D2225" s="1">
        <v>43563</v>
      </c>
      <c r="E2225">
        <f>MONTH(D2225)</f>
        <v>4</v>
      </c>
      <c r="F2225" s="2" t="s">
        <v>2098</v>
      </c>
      <c r="G2225" t="s">
        <v>219</v>
      </c>
      <c r="H2225" t="s">
        <v>220</v>
      </c>
      <c r="I2225" t="s">
        <v>22</v>
      </c>
      <c r="J2225" s="2" t="s">
        <v>42</v>
      </c>
      <c r="K2225" s="2" t="s">
        <v>3019</v>
      </c>
      <c r="L2225" t="s">
        <v>25</v>
      </c>
      <c r="M2225" s="10" t="s">
        <v>26</v>
      </c>
      <c r="N2225" t="s">
        <v>26</v>
      </c>
      <c r="O2225" s="10" t="s">
        <v>26</v>
      </c>
      <c r="P2225" s="8" t="s">
        <v>26</v>
      </c>
      <c r="Q2225" s="8">
        <f>(2317420*100)/2442061</f>
        <v>94.896073439606951</v>
      </c>
    </row>
    <row r="2226" spans="1:17" x14ac:dyDescent="0.2">
      <c r="A2226">
        <f>YEAR(D2226)</f>
        <v>2019</v>
      </c>
      <c r="B2226" t="s">
        <v>26</v>
      </c>
      <c r="C2226" s="2" t="s">
        <v>3026</v>
      </c>
      <c r="D2226" s="1">
        <v>43563</v>
      </c>
      <c r="E2226">
        <f>MONTH(D2226)</f>
        <v>4</v>
      </c>
      <c r="F2226" s="2" t="s">
        <v>2098</v>
      </c>
      <c r="G2226" t="s">
        <v>219</v>
      </c>
      <c r="H2226" t="s">
        <v>220</v>
      </c>
      <c r="I2226" t="s">
        <v>22</v>
      </c>
      <c r="J2226" s="2" t="s">
        <v>42</v>
      </c>
      <c r="K2226" s="2" t="s">
        <v>3019</v>
      </c>
      <c r="L2226" t="s">
        <v>25</v>
      </c>
      <c r="M2226" s="10" t="s">
        <v>26</v>
      </c>
      <c r="N2226" t="s">
        <v>26</v>
      </c>
      <c r="O2226" s="10" t="s">
        <v>26</v>
      </c>
      <c r="P2226" s="8" t="s">
        <v>26</v>
      </c>
      <c r="Q2226" s="8">
        <f>(2317420*100)/2442061</f>
        <v>94.896073439606951</v>
      </c>
    </row>
    <row r="2227" spans="1:17" x14ac:dyDescent="0.2">
      <c r="A2227">
        <f>YEAR(D2227)</f>
        <v>2019</v>
      </c>
      <c r="B2227" t="s">
        <v>26</v>
      </c>
      <c r="C2227" s="2" t="s">
        <v>3026</v>
      </c>
      <c r="D2227" s="1">
        <v>43563</v>
      </c>
      <c r="E2227">
        <f>MONTH(D2227)</f>
        <v>4</v>
      </c>
      <c r="F2227" s="2" t="s">
        <v>2098</v>
      </c>
      <c r="G2227" t="s">
        <v>1735</v>
      </c>
      <c r="H2227" t="s">
        <v>1736</v>
      </c>
      <c r="I2227" t="s">
        <v>36</v>
      </c>
      <c r="J2227" s="2" t="s">
        <v>42</v>
      </c>
      <c r="K2227" s="2" t="s">
        <v>3019</v>
      </c>
      <c r="L2227" t="s">
        <v>25</v>
      </c>
      <c r="M2227" s="8">
        <v>3.8633333329999999</v>
      </c>
      <c r="N2227" t="s">
        <v>26</v>
      </c>
      <c r="O2227" s="8">
        <v>3.8633333329999999</v>
      </c>
      <c r="P2227" s="8">
        <f>EXP(-1.363+3.366*LOG(O2227,10))</f>
        <v>1.8454344092406809</v>
      </c>
      <c r="Q2227" s="8">
        <f>(2317420*100)/2442061</f>
        <v>94.896073439606951</v>
      </c>
    </row>
    <row r="2228" spans="1:17" x14ac:dyDescent="0.2">
      <c r="A2228">
        <f>YEAR(D2228)</f>
        <v>2019</v>
      </c>
      <c r="B2228" t="s">
        <v>26</v>
      </c>
      <c r="C2228" s="2" t="s">
        <v>3026</v>
      </c>
      <c r="D2228" s="1">
        <v>43563</v>
      </c>
      <c r="E2228">
        <f>MONTH(D2228)</f>
        <v>4</v>
      </c>
      <c r="F2228" s="2" t="s">
        <v>2098</v>
      </c>
      <c r="G2228" t="s">
        <v>219</v>
      </c>
      <c r="H2228" t="s">
        <v>220</v>
      </c>
      <c r="I2228" t="s">
        <v>22</v>
      </c>
      <c r="J2228" s="2" t="s">
        <v>42</v>
      </c>
      <c r="K2228" s="2" t="s">
        <v>3019</v>
      </c>
      <c r="L2228" t="s">
        <v>25</v>
      </c>
      <c r="M2228" s="10" t="s">
        <v>26</v>
      </c>
      <c r="N2228" t="s">
        <v>26</v>
      </c>
      <c r="O2228" s="10" t="s">
        <v>26</v>
      </c>
      <c r="P2228" s="8" t="s">
        <v>26</v>
      </c>
      <c r="Q2228" s="8">
        <f>(2317420*100)/2442061</f>
        <v>94.896073439606951</v>
      </c>
    </row>
    <row r="2229" spans="1:17" x14ac:dyDescent="0.2">
      <c r="A2229">
        <f>YEAR(D2229)</f>
        <v>2019</v>
      </c>
      <c r="B2229" t="s">
        <v>26</v>
      </c>
      <c r="C2229" s="2" t="s">
        <v>3026</v>
      </c>
      <c r="D2229" s="1">
        <v>43563</v>
      </c>
      <c r="E2229">
        <f>MONTH(D2229)</f>
        <v>4</v>
      </c>
      <c r="F2229" s="2" t="s">
        <v>2098</v>
      </c>
      <c r="G2229" t="s">
        <v>219</v>
      </c>
      <c r="H2229" t="s">
        <v>220</v>
      </c>
      <c r="I2229" t="s">
        <v>22</v>
      </c>
      <c r="J2229" s="2" t="s">
        <v>42</v>
      </c>
      <c r="K2229" s="2" t="s">
        <v>3019</v>
      </c>
      <c r="L2229" t="s">
        <v>25</v>
      </c>
      <c r="M2229" s="10" t="s">
        <v>26</v>
      </c>
      <c r="N2229" t="s">
        <v>26</v>
      </c>
      <c r="O2229" s="10" t="s">
        <v>26</v>
      </c>
      <c r="P2229" s="8" t="s">
        <v>26</v>
      </c>
      <c r="Q2229" s="8">
        <f>(2317420*100)/2442061</f>
        <v>94.896073439606951</v>
      </c>
    </row>
    <row r="2230" spans="1:17" x14ac:dyDescent="0.2">
      <c r="A2230">
        <f>YEAR(D2230)</f>
        <v>2019</v>
      </c>
      <c r="B2230" t="s">
        <v>26</v>
      </c>
      <c r="C2230" s="2" t="s">
        <v>3026</v>
      </c>
      <c r="D2230" s="1">
        <v>43563</v>
      </c>
      <c r="E2230">
        <f>MONTH(D2230)</f>
        <v>4</v>
      </c>
      <c r="F2230" s="2" t="s">
        <v>2098</v>
      </c>
      <c r="G2230" t="s">
        <v>219</v>
      </c>
      <c r="H2230" t="s">
        <v>220</v>
      </c>
      <c r="I2230" t="s">
        <v>22</v>
      </c>
      <c r="J2230" s="2" t="s">
        <v>42</v>
      </c>
      <c r="K2230" s="2" t="s">
        <v>3019</v>
      </c>
      <c r="L2230" t="s">
        <v>25</v>
      </c>
      <c r="M2230" s="10" t="s">
        <v>26</v>
      </c>
      <c r="N2230" t="s">
        <v>26</v>
      </c>
      <c r="O2230" s="10" t="s">
        <v>26</v>
      </c>
      <c r="P2230" s="8" t="s">
        <v>26</v>
      </c>
      <c r="Q2230" s="8">
        <f>(2317420*100)/2442061</f>
        <v>94.896073439606951</v>
      </c>
    </row>
    <row r="2231" spans="1:17" x14ac:dyDescent="0.2">
      <c r="A2231">
        <f>YEAR(D2231)</f>
        <v>2019</v>
      </c>
      <c r="B2231" t="s">
        <v>26</v>
      </c>
      <c r="C2231" s="2" t="s">
        <v>3026</v>
      </c>
      <c r="D2231" s="1">
        <v>43563</v>
      </c>
      <c r="E2231">
        <f>MONTH(D2231)</f>
        <v>4</v>
      </c>
      <c r="F2231" s="2" t="s">
        <v>2098</v>
      </c>
      <c r="G2231" t="s">
        <v>219</v>
      </c>
      <c r="H2231" t="s">
        <v>220</v>
      </c>
      <c r="I2231" t="s">
        <v>22</v>
      </c>
      <c r="J2231" s="2" t="s">
        <v>42</v>
      </c>
      <c r="K2231" s="2" t="s">
        <v>3019</v>
      </c>
      <c r="L2231" t="s">
        <v>25</v>
      </c>
      <c r="M2231" s="10" t="s">
        <v>26</v>
      </c>
      <c r="N2231" t="s">
        <v>26</v>
      </c>
      <c r="O2231" s="10" t="s">
        <v>26</v>
      </c>
      <c r="P2231" s="8" t="s">
        <v>26</v>
      </c>
      <c r="Q2231" s="8">
        <f>(2317420*100)/2442061</f>
        <v>94.896073439606951</v>
      </c>
    </row>
    <row r="2232" spans="1:17" x14ac:dyDescent="0.2">
      <c r="A2232">
        <f>YEAR(D2232)</f>
        <v>2019</v>
      </c>
      <c r="B2232" t="s">
        <v>26</v>
      </c>
      <c r="C2232" s="2" t="s">
        <v>3026</v>
      </c>
      <c r="D2232" s="1">
        <v>43563</v>
      </c>
      <c r="E2232">
        <f>MONTH(D2232)</f>
        <v>4</v>
      </c>
      <c r="F2232" s="2" t="s">
        <v>2098</v>
      </c>
      <c r="G2232" t="s">
        <v>219</v>
      </c>
      <c r="H2232" t="s">
        <v>220</v>
      </c>
      <c r="I2232" t="s">
        <v>22</v>
      </c>
      <c r="J2232" s="2" t="s">
        <v>42</v>
      </c>
      <c r="K2232" s="2" t="s">
        <v>3019</v>
      </c>
      <c r="L2232" t="s">
        <v>25</v>
      </c>
      <c r="M2232" s="10" t="s">
        <v>26</v>
      </c>
      <c r="N2232" t="s">
        <v>26</v>
      </c>
      <c r="O2232" s="10" t="s">
        <v>26</v>
      </c>
      <c r="P2232" s="8" t="s">
        <v>26</v>
      </c>
      <c r="Q2232" s="8">
        <f>(2317420*100)/2442061</f>
        <v>94.896073439606951</v>
      </c>
    </row>
    <row r="2233" spans="1:17" x14ac:dyDescent="0.2">
      <c r="A2233">
        <f>YEAR(D2233)</f>
        <v>2019</v>
      </c>
      <c r="B2233" t="s">
        <v>26</v>
      </c>
      <c r="C2233" s="2" t="s">
        <v>3026</v>
      </c>
      <c r="D2233" s="1">
        <v>43563</v>
      </c>
      <c r="E2233">
        <f>MONTH(D2233)</f>
        <v>4</v>
      </c>
      <c r="F2233" s="2" t="s">
        <v>2098</v>
      </c>
      <c r="G2233" t="s">
        <v>219</v>
      </c>
      <c r="H2233" t="s">
        <v>220</v>
      </c>
      <c r="I2233" t="s">
        <v>22</v>
      </c>
      <c r="J2233" s="2" t="s">
        <v>42</v>
      </c>
      <c r="K2233" s="2" t="s">
        <v>3019</v>
      </c>
      <c r="L2233" t="s">
        <v>25</v>
      </c>
      <c r="M2233" s="10" t="s">
        <v>26</v>
      </c>
      <c r="N2233" t="s">
        <v>26</v>
      </c>
      <c r="O2233" s="10" t="s">
        <v>26</v>
      </c>
      <c r="P2233" s="8" t="s">
        <v>26</v>
      </c>
      <c r="Q2233" s="8">
        <f>(2317420*100)/2442061</f>
        <v>94.896073439606951</v>
      </c>
    </row>
    <row r="2234" spans="1:17" x14ac:dyDescent="0.2">
      <c r="A2234">
        <f>YEAR(D2234)</f>
        <v>2019</v>
      </c>
      <c r="B2234" t="s">
        <v>26</v>
      </c>
      <c r="C2234" s="2" t="s">
        <v>3026</v>
      </c>
      <c r="D2234" s="1">
        <v>43563</v>
      </c>
      <c r="E2234">
        <f>MONTH(D2234)</f>
        <v>4</v>
      </c>
      <c r="F2234" s="2" t="s">
        <v>2098</v>
      </c>
      <c r="G2234" t="s">
        <v>219</v>
      </c>
      <c r="H2234" t="s">
        <v>220</v>
      </c>
      <c r="I2234" t="s">
        <v>22</v>
      </c>
      <c r="J2234" s="2" t="s">
        <v>42</v>
      </c>
      <c r="K2234" s="2" t="s">
        <v>3019</v>
      </c>
      <c r="L2234" t="s">
        <v>25</v>
      </c>
      <c r="M2234" s="10" t="s">
        <v>26</v>
      </c>
      <c r="N2234" t="s">
        <v>26</v>
      </c>
      <c r="O2234" s="10" t="s">
        <v>26</v>
      </c>
      <c r="P2234" s="8" t="s">
        <v>26</v>
      </c>
      <c r="Q2234" s="8">
        <f>(2317420*100)/2442061</f>
        <v>94.896073439606951</v>
      </c>
    </row>
    <row r="2235" spans="1:17" x14ac:dyDescent="0.2">
      <c r="A2235">
        <f>YEAR(D2235)</f>
        <v>2019</v>
      </c>
      <c r="B2235" t="s">
        <v>26</v>
      </c>
      <c r="C2235" s="2" t="s">
        <v>3026</v>
      </c>
      <c r="D2235" s="1">
        <v>43563</v>
      </c>
      <c r="E2235">
        <f>MONTH(D2235)</f>
        <v>4</v>
      </c>
      <c r="F2235" s="2" t="s">
        <v>2098</v>
      </c>
      <c r="G2235" t="s">
        <v>352</v>
      </c>
      <c r="H2235" t="s">
        <v>494</v>
      </c>
      <c r="I2235" t="s">
        <v>22</v>
      </c>
      <c r="J2235" s="2" t="s">
        <v>42</v>
      </c>
      <c r="K2235" s="2" t="s">
        <v>3019</v>
      </c>
      <c r="L2235" t="s">
        <v>25</v>
      </c>
      <c r="M2235" s="8">
        <v>1.7226666669999999</v>
      </c>
      <c r="N2235" t="s">
        <v>26</v>
      </c>
      <c r="O2235" s="8">
        <v>1.7226666669999999</v>
      </c>
      <c r="P2235" s="8">
        <f>EXP(-1.363+3.366*LOG(O2235,10))</f>
        <v>0.56668788662759551</v>
      </c>
      <c r="Q2235" s="8">
        <f>(2317420*100)/2442061</f>
        <v>94.896073439606951</v>
      </c>
    </row>
    <row r="2236" spans="1:17" x14ac:dyDescent="0.2">
      <c r="A2236">
        <f>YEAR(D2236)</f>
        <v>2019</v>
      </c>
      <c r="B2236" t="s">
        <v>26</v>
      </c>
      <c r="C2236" s="2" t="s">
        <v>3023</v>
      </c>
      <c r="D2236" s="1">
        <v>43559</v>
      </c>
      <c r="E2236">
        <f>MONTH(D2236)</f>
        <v>4</v>
      </c>
      <c r="F2236" s="2" t="s">
        <v>19</v>
      </c>
      <c r="G2236" s="2" t="s">
        <v>20</v>
      </c>
      <c r="H2236" t="s">
        <v>3044</v>
      </c>
      <c r="I2236" t="s">
        <v>36</v>
      </c>
      <c r="J2236" s="2" t="s">
        <v>42</v>
      </c>
      <c r="K2236" s="2" t="s">
        <v>3019</v>
      </c>
      <c r="L2236" t="s">
        <v>25</v>
      </c>
      <c r="M2236" s="8">
        <v>1.5979999999999999</v>
      </c>
      <c r="N2236" t="s">
        <v>26</v>
      </c>
      <c r="O2236" s="8">
        <v>1.5979999999999999</v>
      </c>
      <c r="P2236" s="8">
        <f>EXP(-1.363+3.366*LOG(O2236,10))</f>
        <v>0.50775279420544328</v>
      </c>
      <c r="Q2236" s="8">
        <f>(8197453*100)/8541008</f>
        <v>95.977582505484136</v>
      </c>
    </row>
    <row r="2237" spans="1:17" x14ac:dyDescent="0.2">
      <c r="A2237">
        <f>YEAR(D2237)</f>
        <v>2019</v>
      </c>
      <c r="B2237" t="s">
        <v>26</v>
      </c>
      <c r="C2237" s="2" t="s">
        <v>3023</v>
      </c>
      <c r="D2237" s="1">
        <v>43559</v>
      </c>
      <c r="E2237">
        <f>MONTH(D2237)</f>
        <v>4</v>
      </c>
      <c r="F2237" s="2" t="s">
        <v>19</v>
      </c>
      <c r="G2237" t="s">
        <v>20</v>
      </c>
      <c r="H2237" t="s">
        <v>149</v>
      </c>
      <c r="I2237" t="s">
        <v>22</v>
      </c>
      <c r="J2237" s="2" t="s">
        <v>42</v>
      </c>
      <c r="K2237" s="2" t="s">
        <v>3019</v>
      </c>
      <c r="L2237" t="s">
        <v>25</v>
      </c>
      <c r="M2237" s="8">
        <v>1.45</v>
      </c>
      <c r="N2237" t="s">
        <v>26</v>
      </c>
      <c r="O2237" s="8">
        <v>1.45</v>
      </c>
      <c r="P2237" s="8">
        <f>EXP(-1.363+3.366*LOG(O2237,10))</f>
        <v>0.44050419760124854</v>
      </c>
      <c r="Q2237" s="8">
        <f>(8197453*100)/8541008</f>
        <v>95.977582505484136</v>
      </c>
    </row>
    <row r="2238" spans="1:17" x14ac:dyDescent="0.2">
      <c r="A2238">
        <f>YEAR(D2238)</f>
        <v>2019</v>
      </c>
      <c r="B2238" t="s">
        <v>26</v>
      </c>
      <c r="C2238" s="2" t="s">
        <v>3023</v>
      </c>
      <c r="D2238" s="1">
        <v>43559</v>
      </c>
      <c r="E2238">
        <f>MONTH(D2238)</f>
        <v>4</v>
      </c>
      <c r="F2238" s="2" t="s">
        <v>19</v>
      </c>
      <c r="G2238" t="s">
        <v>20</v>
      </c>
      <c r="H2238" t="s">
        <v>149</v>
      </c>
      <c r="I2238" t="s">
        <v>36</v>
      </c>
      <c r="J2238" s="2" t="s">
        <v>42</v>
      </c>
      <c r="K2238" s="2" t="s">
        <v>3019</v>
      </c>
      <c r="L2238" t="s">
        <v>25</v>
      </c>
      <c r="M2238" s="8">
        <v>1.032666667</v>
      </c>
      <c r="N2238" t="s">
        <v>26</v>
      </c>
      <c r="O2238" s="8">
        <v>1.032666667</v>
      </c>
      <c r="P2238" s="8">
        <f>EXP(-1.363+3.366*LOG(O2238,10))</f>
        <v>0.26820327281159584</v>
      </c>
      <c r="Q2238" s="8">
        <f>(8197453*100)/8541008</f>
        <v>95.977582505484136</v>
      </c>
    </row>
    <row r="2239" spans="1:17" x14ac:dyDescent="0.2">
      <c r="A2239">
        <f>YEAR(D2239)</f>
        <v>2019</v>
      </c>
      <c r="B2239" t="s">
        <v>26</v>
      </c>
      <c r="C2239" s="2" t="s">
        <v>3023</v>
      </c>
      <c r="D2239" s="1">
        <v>43559</v>
      </c>
      <c r="E2239">
        <f>MONTH(D2239)</f>
        <v>4</v>
      </c>
      <c r="F2239" s="2" t="s">
        <v>19</v>
      </c>
      <c r="G2239" t="s">
        <v>20</v>
      </c>
      <c r="H2239" t="s">
        <v>183</v>
      </c>
      <c r="I2239" t="s">
        <v>36</v>
      </c>
      <c r="J2239" s="2" t="s">
        <v>42</v>
      </c>
      <c r="K2239" s="2" t="s">
        <v>3019</v>
      </c>
      <c r="L2239" t="s">
        <v>25</v>
      </c>
      <c r="M2239" s="8">
        <v>2.1105</v>
      </c>
      <c r="N2239" t="s">
        <v>26</v>
      </c>
      <c r="O2239" s="8">
        <v>2.1105</v>
      </c>
      <c r="P2239" s="8">
        <f>EXP(-1.363+3.366*LOG(O2239,10))</f>
        <v>0.76252583427873843</v>
      </c>
      <c r="Q2239" s="8">
        <f>(8197453*100)/8541008</f>
        <v>95.977582505484136</v>
      </c>
    </row>
    <row r="2240" spans="1:17" x14ac:dyDescent="0.2">
      <c r="A2240">
        <f>YEAR(D2240)</f>
        <v>2019</v>
      </c>
      <c r="B2240" t="s">
        <v>26</v>
      </c>
      <c r="C2240" s="2" t="s">
        <v>3022</v>
      </c>
      <c r="D2240" s="1">
        <v>43559</v>
      </c>
      <c r="E2240">
        <f>MONTH(D2240)</f>
        <v>4</v>
      </c>
      <c r="F2240" s="2" t="s">
        <v>19</v>
      </c>
      <c r="G2240" t="s">
        <v>352</v>
      </c>
      <c r="H2240" t="s">
        <v>623</v>
      </c>
      <c r="I2240" t="s">
        <v>22</v>
      </c>
      <c r="J2240" s="2" t="s">
        <v>42</v>
      </c>
      <c r="K2240" s="2" t="s">
        <v>3019</v>
      </c>
      <c r="L2240" t="s">
        <v>25</v>
      </c>
      <c r="M2240" s="8">
        <v>1.387</v>
      </c>
      <c r="N2240" t="s">
        <v>26</v>
      </c>
      <c r="O2240" s="8">
        <v>1.387</v>
      </c>
      <c r="P2240" s="8">
        <f>EXP(-1.363+3.366*LOG(O2240,10))</f>
        <v>0.41280884754947733</v>
      </c>
      <c r="Q2240" s="8">
        <f>(4437920*100)/4638971</f>
        <v>95.666043180696747</v>
      </c>
    </row>
    <row r="2241" spans="1:17" x14ac:dyDescent="0.2">
      <c r="A2241">
        <f>YEAR(D2241)</f>
        <v>2019</v>
      </c>
      <c r="B2241" t="s">
        <v>26</v>
      </c>
      <c r="C2241" s="2" t="s">
        <v>3022</v>
      </c>
      <c r="D2241" s="1">
        <v>43559</v>
      </c>
      <c r="E2241">
        <f>MONTH(D2241)</f>
        <v>4</v>
      </c>
      <c r="F2241" s="2" t="s">
        <v>19</v>
      </c>
      <c r="G2241" t="s">
        <v>1532</v>
      </c>
      <c r="H2241" t="s">
        <v>1533</v>
      </c>
      <c r="I2241" t="s">
        <v>36</v>
      </c>
      <c r="J2241" s="2" t="s">
        <v>42</v>
      </c>
      <c r="K2241" s="2" t="s">
        <v>3019</v>
      </c>
      <c r="L2241" t="s">
        <v>25</v>
      </c>
      <c r="M2241" s="8">
        <v>2.63</v>
      </c>
      <c r="N2241" t="s">
        <v>26</v>
      </c>
      <c r="O2241" s="8">
        <v>2.63</v>
      </c>
      <c r="P2241" s="8">
        <f>EXP(-1.363+3.366*LOG(O2241,10))</f>
        <v>1.0518715955632558</v>
      </c>
      <c r="Q2241" s="8">
        <f>(4437920*100)/4638971</f>
        <v>95.666043180696747</v>
      </c>
    </row>
    <row r="2242" spans="1:17" x14ac:dyDescent="0.2">
      <c r="A2242">
        <f>YEAR(D2242)</f>
        <v>2019</v>
      </c>
      <c r="B2242" t="s">
        <v>26</v>
      </c>
      <c r="C2242" s="2" t="s">
        <v>3022</v>
      </c>
      <c r="D2242" s="1">
        <v>43559</v>
      </c>
      <c r="E2242">
        <f>MONTH(D2242)</f>
        <v>4</v>
      </c>
      <c r="F2242" s="2" t="s">
        <v>19</v>
      </c>
      <c r="G2242" t="s">
        <v>352</v>
      </c>
      <c r="H2242" t="s">
        <v>623</v>
      </c>
      <c r="I2242" t="s">
        <v>22</v>
      </c>
      <c r="J2242" s="2" t="s">
        <v>42</v>
      </c>
      <c r="K2242" s="2" t="s">
        <v>3019</v>
      </c>
      <c r="L2242" t="s">
        <v>25</v>
      </c>
      <c r="M2242" s="8">
        <v>1.387</v>
      </c>
      <c r="N2242" t="s">
        <v>26</v>
      </c>
      <c r="O2242" s="8">
        <v>1.387</v>
      </c>
      <c r="P2242" s="8">
        <f>EXP(-1.363+3.366*LOG(O2242,10))</f>
        <v>0.41280884754947733</v>
      </c>
      <c r="Q2242" s="8">
        <f>(4437920*100)/4638971</f>
        <v>95.666043180696747</v>
      </c>
    </row>
    <row r="2243" spans="1:17" x14ac:dyDescent="0.2">
      <c r="A2243">
        <f>YEAR(D2243)</f>
        <v>2019</v>
      </c>
      <c r="B2243" t="s">
        <v>26</v>
      </c>
      <c r="C2243" s="2" t="s">
        <v>3022</v>
      </c>
      <c r="D2243" s="1">
        <v>43559</v>
      </c>
      <c r="E2243">
        <f>MONTH(D2243)</f>
        <v>4</v>
      </c>
      <c r="F2243" s="2" t="s">
        <v>19</v>
      </c>
      <c r="G2243" s="2" t="s">
        <v>20</v>
      </c>
      <c r="H2243" t="s">
        <v>45</v>
      </c>
      <c r="I2243" t="s">
        <v>22</v>
      </c>
      <c r="J2243" s="2" t="s">
        <v>42</v>
      </c>
      <c r="K2243" s="2" t="s">
        <v>3019</v>
      </c>
      <c r="L2243" t="s">
        <v>25</v>
      </c>
      <c r="M2243" s="8">
        <v>1.903333333</v>
      </c>
      <c r="N2243" t="s">
        <v>26</v>
      </c>
      <c r="O2243" s="8">
        <v>1.903333333</v>
      </c>
      <c r="P2243" s="8">
        <f>EXP(-1.363+3.366*LOG(O2243,10))</f>
        <v>0.65563371760507783</v>
      </c>
      <c r="Q2243" s="8">
        <f>(4437920*100)/4638971</f>
        <v>95.666043180696747</v>
      </c>
    </row>
    <row r="2244" spans="1:17" x14ac:dyDescent="0.2">
      <c r="A2244">
        <f>YEAR(D2244)</f>
        <v>2019</v>
      </c>
      <c r="B2244" t="s">
        <v>26</v>
      </c>
      <c r="C2244" s="2" t="s">
        <v>3022</v>
      </c>
      <c r="D2244" s="1">
        <v>43559</v>
      </c>
      <c r="E2244">
        <f>MONTH(D2244)</f>
        <v>4</v>
      </c>
      <c r="F2244" s="2" t="s">
        <v>19</v>
      </c>
      <c r="G2244" t="s">
        <v>352</v>
      </c>
      <c r="H2244" t="s">
        <v>623</v>
      </c>
      <c r="I2244" t="s">
        <v>22</v>
      </c>
      <c r="J2244" s="2" t="s">
        <v>42</v>
      </c>
      <c r="K2244" s="2" t="s">
        <v>3019</v>
      </c>
      <c r="L2244" t="s">
        <v>25</v>
      </c>
      <c r="M2244" s="8">
        <v>1.387</v>
      </c>
      <c r="N2244" t="s">
        <v>26</v>
      </c>
      <c r="O2244" s="8">
        <v>1.387</v>
      </c>
      <c r="P2244" s="8">
        <f>EXP(-1.363+3.366*LOG(O2244,10))</f>
        <v>0.41280884754947733</v>
      </c>
      <c r="Q2244" s="8">
        <f>(4437920*100)/4638971</f>
        <v>95.666043180696747</v>
      </c>
    </row>
    <row r="2245" spans="1:17" x14ac:dyDescent="0.2">
      <c r="A2245">
        <f>YEAR(D2245)</f>
        <v>2019</v>
      </c>
      <c r="B2245" t="s">
        <v>26</v>
      </c>
      <c r="C2245" s="2" t="s">
        <v>3020</v>
      </c>
      <c r="D2245" s="1">
        <v>43560</v>
      </c>
      <c r="E2245">
        <f>MONTH(D2245)</f>
        <v>4</v>
      </c>
      <c r="F2245" s="2" t="s">
        <v>19</v>
      </c>
      <c r="G2245" t="s">
        <v>352</v>
      </c>
      <c r="H2245" t="s">
        <v>1271</v>
      </c>
      <c r="I2245" t="s">
        <v>36</v>
      </c>
      <c r="J2245" s="2" t="s">
        <v>42</v>
      </c>
      <c r="K2245" s="2" t="s">
        <v>3019</v>
      </c>
      <c r="L2245" t="s">
        <v>25</v>
      </c>
      <c r="M2245" s="8">
        <v>1.3939999999999999</v>
      </c>
      <c r="N2245" t="s">
        <v>26</v>
      </c>
      <c r="O2245" s="8">
        <v>1.3939999999999999</v>
      </c>
      <c r="P2245" s="8">
        <f>EXP(-1.363+3.366*LOG(O2245,10))</f>
        <v>0.41585796657726082</v>
      </c>
      <c r="Q2245" s="8">
        <f>(3359412*100)/3462762</f>
        <v>97.015388294084318</v>
      </c>
    </row>
    <row r="2246" spans="1:17" x14ac:dyDescent="0.2">
      <c r="A2246">
        <f>YEAR(D2246)</f>
        <v>2019</v>
      </c>
      <c r="B2246" t="s">
        <v>26</v>
      </c>
      <c r="C2246" s="2" t="s">
        <v>3020</v>
      </c>
      <c r="D2246" s="1">
        <v>43560</v>
      </c>
      <c r="E2246">
        <f>MONTH(D2246)</f>
        <v>4</v>
      </c>
      <c r="F2246" s="2" t="s">
        <v>19</v>
      </c>
      <c r="G2246" t="s">
        <v>352</v>
      </c>
      <c r="H2246" t="s">
        <v>623</v>
      </c>
      <c r="I2246" t="s">
        <v>22</v>
      </c>
      <c r="J2246" s="2" t="s">
        <v>42</v>
      </c>
      <c r="K2246" s="2" t="s">
        <v>3019</v>
      </c>
      <c r="L2246" t="s">
        <v>25</v>
      </c>
      <c r="M2246" s="8">
        <v>1.387</v>
      </c>
      <c r="N2246" t="s">
        <v>26</v>
      </c>
      <c r="O2246" s="8">
        <v>1.387</v>
      </c>
      <c r="P2246" s="8">
        <f>EXP(-1.363+3.366*LOG(O2246,10))</f>
        <v>0.41280884754947733</v>
      </c>
      <c r="Q2246" s="8">
        <f>(3359412*100)/3462762</f>
        <v>97.015388294084318</v>
      </c>
    </row>
    <row r="2247" spans="1:17" x14ac:dyDescent="0.2">
      <c r="A2247">
        <f>YEAR(D2247)</f>
        <v>2019</v>
      </c>
      <c r="B2247" t="s">
        <v>26</v>
      </c>
      <c r="C2247" s="2" t="s">
        <v>3020</v>
      </c>
      <c r="D2247" s="1">
        <v>43560</v>
      </c>
      <c r="E2247">
        <f>MONTH(D2247)</f>
        <v>4</v>
      </c>
      <c r="F2247" s="2" t="s">
        <v>19</v>
      </c>
      <c r="G2247" t="s">
        <v>352</v>
      </c>
      <c r="H2247" t="s">
        <v>623</v>
      </c>
      <c r="I2247" t="s">
        <v>22</v>
      </c>
      <c r="J2247" s="2" t="s">
        <v>42</v>
      </c>
      <c r="K2247" s="2" t="s">
        <v>3019</v>
      </c>
      <c r="L2247" t="s">
        <v>25</v>
      </c>
      <c r="M2247" s="8">
        <v>1.387</v>
      </c>
      <c r="N2247" t="s">
        <v>26</v>
      </c>
      <c r="O2247" s="8">
        <v>1.387</v>
      </c>
      <c r="P2247" s="8">
        <f>EXP(-1.363+3.366*LOG(O2247,10))</f>
        <v>0.41280884754947733</v>
      </c>
      <c r="Q2247" s="8">
        <f>(3359412*100)/3462762</f>
        <v>97.015388294084318</v>
      </c>
    </row>
    <row r="2248" spans="1:17" x14ac:dyDescent="0.2">
      <c r="A2248">
        <f>YEAR(D2248)</f>
        <v>2019</v>
      </c>
      <c r="B2248" t="s">
        <v>26</v>
      </c>
      <c r="C2248" s="2" t="s">
        <v>3020</v>
      </c>
      <c r="D2248" s="1">
        <v>43560</v>
      </c>
      <c r="E2248">
        <f>MONTH(D2248)</f>
        <v>4</v>
      </c>
      <c r="F2248" s="2" t="s">
        <v>19</v>
      </c>
      <c r="G2248" t="s">
        <v>352</v>
      </c>
      <c r="H2248" t="s">
        <v>623</v>
      </c>
      <c r="I2248" t="s">
        <v>22</v>
      </c>
      <c r="J2248" s="2" t="s">
        <v>42</v>
      </c>
      <c r="K2248" s="2" t="s">
        <v>3019</v>
      </c>
      <c r="L2248" t="s">
        <v>25</v>
      </c>
      <c r="M2248" s="8">
        <v>1.387</v>
      </c>
      <c r="N2248" t="s">
        <v>26</v>
      </c>
      <c r="O2248" s="8">
        <v>1.387</v>
      </c>
      <c r="P2248" s="8">
        <f>EXP(-1.363+3.366*LOG(O2248,10))</f>
        <v>0.41280884754947733</v>
      </c>
      <c r="Q2248" s="8">
        <f>(3359412*100)/3462762</f>
        <v>97.015388294084318</v>
      </c>
    </row>
    <row r="2249" spans="1:17" x14ac:dyDescent="0.2">
      <c r="A2249">
        <f>YEAR(D2249)</f>
        <v>2019</v>
      </c>
      <c r="B2249" t="s">
        <v>26</v>
      </c>
      <c r="C2249" s="2" t="s">
        <v>3020</v>
      </c>
      <c r="D2249" s="1">
        <v>43560</v>
      </c>
      <c r="E2249">
        <f>MONTH(D2249)</f>
        <v>4</v>
      </c>
      <c r="F2249" s="2" t="s">
        <v>19</v>
      </c>
      <c r="G2249" t="s">
        <v>20</v>
      </c>
      <c r="H2249" t="s">
        <v>183</v>
      </c>
      <c r="I2249" t="s">
        <v>36</v>
      </c>
      <c r="J2249" s="2" t="s">
        <v>42</v>
      </c>
      <c r="K2249" s="2" t="s">
        <v>3019</v>
      </c>
      <c r="L2249" t="s">
        <v>25</v>
      </c>
      <c r="M2249" s="8">
        <v>2.1105</v>
      </c>
      <c r="N2249" t="s">
        <v>26</v>
      </c>
      <c r="O2249" s="8">
        <v>2.1105</v>
      </c>
      <c r="P2249" s="8">
        <f>EXP(-1.363+3.366*LOG(O2249,10))</f>
        <v>0.76252583427873843</v>
      </c>
      <c r="Q2249" s="8">
        <f>(3359412*100)/3462762</f>
        <v>97.015388294084318</v>
      </c>
    </row>
    <row r="2250" spans="1:17" x14ac:dyDescent="0.2">
      <c r="A2250">
        <f>YEAR(D2250)</f>
        <v>2019</v>
      </c>
      <c r="B2250" t="s">
        <v>26</v>
      </c>
      <c r="C2250" s="2" t="s">
        <v>3021</v>
      </c>
      <c r="D2250" s="1">
        <v>43560</v>
      </c>
      <c r="E2250">
        <f>MONTH(D2250)</f>
        <v>4</v>
      </c>
      <c r="F2250" s="2" t="s">
        <v>19</v>
      </c>
      <c r="G2250" t="s">
        <v>1532</v>
      </c>
      <c r="H2250" t="s">
        <v>1533</v>
      </c>
      <c r="I2250" t="s">
        <v>36</v>
      </c>
      <c r="J2250" s="2" t="s">
        <v>42</v>
      </c>
      <c r="K2250" s="2" t="s">
        <v>3019</v>
      </c>
      <c r="L2250" t="s">
        <v>25</v>
      </c>
      <c r="M2250" s="8">
        <v>2.63</v>
      </c>
      <c r="N2250" t="s">
        <v>26</v>
      </c>
      <c r="O2250" s="8">
        <v>2.63</v>
      </c>
      <c r="P2250" s="8">
        <f>EXP(-1.363+3.366*LOG(O2250,10))</f>
        <v>1.0518715955632558</v>
      </c>
      <c r="Q2250" s="8">
        <f>(1845879*100)/1946364</f>
        <v>94.837296620775973</v>
      </c>
    </row>
    <row r="2251" spans="1:17" x14ac:dyDescent="0.2">
      <c r="A2251">
        <f>YEAR(D2251)</f>
        <v>2019</v>
      </c>
      <c r="B2251" t="s">
        <v>26</v>
      </c>
      <c r="C2251" s="2" t="s">
        <v>3021</v>
      </c>
      <c r="D2251" s="1">
        <v>43560</v>
      </c>
      <c r="E2251">
        <f>MONTH(D2251)</f>
        <v>4</v>
      </c>
      <c r="F2251" s="2" t="s">
        <v>19</v>
      </c>
      <c r="G2251" t="s">
        <v>20</v>
      </c>
      <c r="H2251" t="s">
        <v>175</v>
      </c>
      <c r="I2251" t="s">
        <v>22</v>
      </c>
      <c r="J2251" s="2" t="s">
        <v>42</v>
      </c>
      <c r="K2251" s="2" t="s">
        <v>3019</v>
      </c>
      <c r="L2251" t="s">
        <v>25</v>
      </c>
      <c r="M2251" s="8">
        <v>2.826333333</v>
      </c>
      <c r="N2251" t="s">
        <v>26</v>
      </c>
      <c r="O2251" s="8">
        <v>2.826333333</v>
      </c>
      <c r="P2251" s="8">
        <f>EXP(-1.363+3.366*LOG(O2251,10))</f>
        <v>1.1686133777472321</v>
      </c>
      <c r="Q2251" s="8">
        <f>(1845879*100)/1946364</f>
        <v>94.837296620775973</v>
      </c>
    </row>
    <row r="2252" spans="1:17" x14ac:dyDescent="0.2">
      <c r="A2252">
        <f>YEAR(D2252)</f>
        <v>2019</v>
      </c>
      <c r="B2252" t="s">
        <v>26</v>
      </c>
      <c r="C2252" s="2" t="s">
        <v>3021</v>
      </c>
      <c r="D2252" s="1">
        <v>43560</v>
      </c>
      <c r="E2252">
        <f>MONTH(D2252)</f>
        <v>4</v>
      </c>
      <c r="F2252" s="2" t="s">
        <v>19</v>
      </c>
      <c r="G2252" t="s">
        <v>1532</v>
      </c>
      <c r="H2252" t="s">
        <v>1533</v>
      </c>
      <c r="I2252" t="s">
        <v>36</v>
      </c>
      <c r="J2252" s="2" t="s">
        <v>42</v>
      </c>
      <c r="K2252" s="2" t="s">
        <v>3019</v>
      </c>
      <c r="L2252" t="s">
        <v>25</v>
      </c>
      <c r="M2252" s="8">
        <v>2.63</v>
      </c>
      <c r="N2252" t="s">
        <v>26</v>
      </c>
      <c r="O2252" s="8">
        <v>2.63</v>
      </c>
      <c r="P2252" s="8">
        <f>EXP(-1.363+3.366*LOG(O2252,10))</f>
        <v>1.0518715955632558</v>
      </c>
      <c r="Q2252" s="8">
        <f>(1845879*100)/1946364</f>
        <v>94.837296620775973</v>
      </c>
    </row>
    <row r="2253" spans="1:17" x14ac:dyDescent="0.2">
      <c r="A2253">
        <f>YEAR(D2253)</f>
        <v>2019</v>
      </c>
      <c r="B2253" t="s">
        <v>26</v>
      </c>
      <c r="C2253" s="2" t="s">
        <v>3021</v>
      </c>
      <c r="D2253" s="1">
        <v>43560</v>
      </c>
      <c r="E2253">
        <f>MONTH(D2253)</f>
        <v>4</v>
      </c>
      <c r="F2253" s="2" t="s">
        <v>19</v>
      </c>
      <c r="G2253" t="s">
        <v>1532</v>
      </c>
      <c r="H2253" t="s">
        <v>1533</v>
      </c>
      <c r="I2253" t="s">
        <v>36</v>
      </c>
      <c r="J2253" s="2" t="s">
        <v>42</v>
      </c>
      <c r="K2253" s="2" t="s">
        <v>3019</v>
      </c>
      <c r="L2253" t="s">
        <v>25</v>
      </c>
      <c r="M2253" s="8">
        <v>2.63</v>
      </c>
      <c r="N2253" t="s">
        <v>26</v>
      </c>
      <c r="O2253" s="8">
        <v>2.63</v>
      </c>
      <c r="P2253" s="8">
        <f>EXP(-1.363+3.366*LOG(O2253,10))</f>
        <v>1.0518715955632558</v>
      </c>
      <c r="Q2253" s="8">
        <f>(1845879*100)/1946364</f>
        <v>94.837296620775973</v>
      </c>
    </row>
    <row r="2254" spans="1:17" x14ac:dyDescent="0.2">
      <c r="A2254">
        <f>YEAR(D2254)</f>
        <v>2019</v>
      </c>
      <c r="B2254" t="s">
        <v>26</v>
      </c>
      <c r="C2254" s="2" t="s">
        <v>3021</v>
      </c>
      <c r="D2254" s="1">
        <v>43560</v>
      </c>
      <c r="E2254">
        <f>MONTH(D2254)</f>
        <v>4</v>
      </c>
      <c r="F2254" s="2" t="s">
        <v>19</v>
      </c>
      <c r="G2254" t="s">
        <v>1532</v>
      </c>
      <c r="H2254" t="s">
        <v>1533</v>
      </c>
      <c r="I2254" t="s">
        <v>36</v>
      </c>
      <c r="J2254" s="2" t="s">
        <v>42</v>
      </c>
      <c r="K2254" s="2" t="s">
        <v>3019</v>
      </c>
      <c r="L2254" t="s">
        <v>25</v>
      </c>
      <c r="M2254" s="8">
        <v>2.63</v>
      </c>
      <c r="N2254" t="s">
        <v>26</v>
      </c>
      <c r="O2254" s="8">
        <v>2.63</v>
      </c>
      <c r="P2254" s="8">
        <f>EXP(-1.363+3.366*LOG(O2254,10))</f>
        <v>1.0518715955632558</v>
      </c>
      <c r="Q2254" s="8">
        <f>(1845879*100)/1946364</f>
        <v>94.837296620775973</v>
      </c>
    </row>
    <row r="2255" spans="1:17" x14ac:dyDescent="0.2">
      <c r="A2255">
        <f>YEAR(D2255)</f>
        <v>2019</v>
      </c>
      <c r="B2255" t="s">
        <v>26</v>
      </c>
      <c r="C2255" s="2" t="s">
        <v>3021</v>
      </c>
      <c r="D2255" s="1">
        <v>43560</v>
      </c>
      <c r="E2255">
        <f>MONTH(D2255)</f>
        <v>4</v>
      </c>
      <c r="F2255" s="2" t="s">
        <v>19</v>
      </c>
      <c r="G2255" t="s">
        <v>230</v>
      </c>
      <c r="H2255" t="s">
        <v>268</v>
      </c>
      <c r="I2255" t="s">
        <v>22</v>
      </c>
      <c r="J2255" s="2" t="s">
        <v>42</v>
      </c>
      <c r="K2255" s="2" t="s">
        <v>3019</v>
      </c>
      <c r="L2255" t="s">
        <v>25</v>
      </c>
      <c r="M2255" s="8">
        <v>3.5356666670000001</v>
      </c>
      <c r="N2255" t="s">
        <v>26</v>
      </c>
      <c r="O2255" s="8">
        <v>3.5356666670000001</v>
      </c>
      <c r="P2255" s="8">
        <f>EXP(-1.363+3.366*LOG(O2255,10))</f>
        <v>1.6211802664427075</v>
      </c>
      <c r="Q2255" s="8">
        <f>(1845879*100)/1946364</f>
        <v>94.837296620775973</v>
      </c>
    </row>
    <row r="2256" spans="1:17" x14ac:dyDescent="0.2">
      <c r="A2256">
        <f>YEAR(D2256)</f>
        <v>2019</v>
      </c>
      <c r="B2256" t="s">
        <v>26</v>
      </c>
      <c r="C2256" s="2" t="s">
        <v>3018</v>
      </c>
      <c r="D2256" s="1">
        <v>43566</v>
      </c>
      <c r="E2256">
        <f>MONTH(D2256)</f>
        <v>4</v>
      </c>
      <c r="F2256" s="2" t="s">
        <v>2098</v>
      </c>
      <c r="G2256" s="2" t="s">
        <v>1959</v>
      </c>
      <c r="H2256" t="s">
        <v>3045</v>
      </c>
      <c r="I2256" t="s">
        <v>22</v>
      </c>
      <c r="J2256" s="2" t="s">
        <v>42</v>
      </c>
      <c r="K2256" s="2" t="s">
        <v>3019</v>
      </c>
      <c r="L2256" t="s">
        <v>305</v>
      </c>
      <c r="M2256" s="8">
        <v>1.5469999999999999</v>
      </c>
      <c r="N2256" t="s">
        <v>26</v>
      </c>
      <c r="O2256" s="8">
        <v>1.5469999999999999</v>
      </c>
      <c r="P2256" s="8">
        <f>EXP(-1.363+3.366*LOG(O2256,10))</f>
        <v>0.4842395270482413</v>
      </c>
      <c r="Q2256" s="8">
        <f>(5996898*100)/6073515</f>
        <v>98.738506449724753</v>
      </c>
    </row>
    <row r="2257" spans="1:17" x14ac:dyDescent="0.2">
      <c r="A2257">
        <f>YEAR(D2257)</f>
        <v>2019</v>
      </c>
      <c r="B2257" t="s">
        <v>26</v>
      </c>
      <c r="C2257" s="2" t="s">
        <v>3018</v>
      </c>
      <c r="D2257" s="1">
        <v>43566</v>
      </c>
      <c r="E2257">
        <f>MONTH(D2257)</f>
        <v>4</v>
      </c>
      <c r="F2257" s="2" t="s">
        <v>2098</v>
      </c>
      <c r="G2257" t="s">
        <v>20</v>
      </c>
      <c r="H2257" t="s">
        <v>2295</v>
      </c>
      <c r="I2257" t="s">
        <v>22</v>
      </c>
      <c r="J2257" s="2" t="s">
        <v>42</v>
      </c>
      <c r="K2257" s="2" t="s">
        <v>3019</v>
      </c>
      <c r="L2257" t="s">
        <v>25</v>
      </c>
      <c r="M2257" s="8">
        <v>1.1566666670000001</v>
      </c>
      <c r="N2257" t="s">
        <v>26</v>
      </c>
      <c r="O2257" s="8">
        <v>1.1566666670000001</v>
      </c>
      <c r="P2257" s="8">
        <f>EXP(-1.363+3.366*LOG(O2257,10))</f>
        <v>0.31656042770005527</v>
      </c>
      <c r="Q2257" s="8">
        <f>(5996898*100)/6073515</f>
        <v>98.738506449724753</v>
      </c>
    </row>
    <row r="2258" spans="1:17" x14ac:dyDescent="0.2">
      <c r="A2258">
        <f>YEAR(D2258)</f>
        <v>2019</v>
      </c>
      <c r="B2258" t="s">
        <v>26</v>
      </c>
      <c r="C2258" s="2" t="s">
        <v>3018</v>
      </c>
      <c r="D2258" s="1">
        <v>43566</v>
      </c>
      <c r="E2258">
        <f>MONTH(D2258)</f>
        <v>4</v>
      </c>
      <c r="F2258" s="2" t="s">
        <v>2098</v>
      </c>
      <c r="G2258" t="s">
        <v>352</v>
      </c>
      <c r="H2258" t="s">
        <v>623</v>
      </c>
      <c r="I2258" t="s">
        <v>22</v>
      </c>
      <c r="J2258" s="2" t="s">
        <v>42</v>
      </c>
      <c r="K2258" s="2" t="s">
        <v>3019</v>
      </c>
      <c r="L2258" t="s">
        <v>25</v>
      </c>
      <c r="M2258" s="8">
        <v>1.387</v>
      </c>
      <c r="N2258" t="s">
        <v>26</v>
      </c>
      <c r="O2258" s="8">
        <v>1.387</v>
      </c>
      <c r="P2258" s="8">
        <f>EXP(-1.363+3.366*LOG(O2258,10))</f>
        <v>0.41280884754947733</v>
      </c>
      <c r="Q2258" s="8">
        <f>(5996898*100)/6073515</f>
        <v>98.738506449724753</v>
      </c>
    </row>
    <row r="2259" spans="1:17" x14ac:dyDescent="0.2">
      <c r="A2259">
        <f>YEAR(D2259)</f>
        <v>2019</v>
      </c>
      <c r="B2259" t="s">
        <v>26</v>
      </c>
      <c r="C2259" s="2" t="s">
        <v>3018</v>
      </c>
      <c r="D2259" s="1">
        <v>43566</v>
      </c>
      <c r="E2259">
        <f>MONTH(D2259)</f>
        <v>4</v>
      </c>
      <c r="F2259" s="2" t="s">
        <v>2098</v>
      </c>
      <c r="G2259" t="s">
        <v>1735</v>
      </c>
      <c r="H2259" t="s">
        <v>1736</v>
      </c>
      <c r="I2259" t="s">
        <v>36</v>
      </c>
      <c r="J2259" s="2" t="s">
        <v>42</v>
      </c>
      <c r="K2259" s="2" t="s">
        <v>3019</v>
      </c>
      <c r="L2259" t="s">
        <v>25</v>
      </c>
      <c r="M2259" s="8">
        <v>3.8633333329999999</v>
      </c>
      <c r="N2259" t="s">
        <v>26</v>
      </c>
      <c r="O2259" s="8">
        <v>3.8633333329999999</v>
      </c>
      <c r="P2259" s="8">
        <f>EXP(-1.363+3.366*LOG(O2259,10))</f>
        <v>1.8454344092406809</v>
      </c>
      <c r="Q2259" s="8">
        <f>(5996898*100)/6073515</f>
        <v>98.738506449724753</v>
      </c>
    </row>
    <row r="2260" spans="1:17" x14ac:dyDescent="0.2">
      <c r="A2260">
        <f>YEAR(D2260)</f>
        <v>2019</v>
      </c>
      <c r="B2260" t="s">
        <v>26</v>
      </c>
      <c r="C2260" s="2" t="s">
        <v>3018</v>
      </c>
      <c r="D2260" s="1">
        <v>43566</v>
      </c>
      <c r="E2260">
        <f>MONTH(D2260)</f>
        <v>4</v>
      </c>
      <c r="F2260" s="2" t="s">
        <v>2098</v>
      </c>
      <c r="G2260" t="s">
        <v>1735</v>
      </c>
      <c r="H2260" t="s">
        <v>1736</v>
      </c>
      <c r="I2260" t="s">
        <v>36</v>
      </c>
      <c r="J2260" s="2" t="s">
        <v>42</v>
      </c>
      <c r="K2260" s="2" t="s">
        <v>3019</v>
      </c>
      <c r="L2260" t="s">
        <v>25</v>
      </c>
      <c r="M2260" s="8">
        <v>3.8633333329999999</v>
      </c>
      <c r="N2260" t="s">
        <v>26</v>
      </c>
      <c r="O2260" s="8">
        <v>3.8633333329999999</v>
      </c>
      <c r="P2260" s="8">
        <f>EXP(-1.363+3.366*LOG(O2260,10))</f>
        <v>1.8454344092406809</v>
      </c>
      <c r="Q2260" s="8">
        <f>(5996898*100)/6073515</f>
        <v>98.738506449724753</v>
      </c>
    </row>
    <row r="2261" spans="1:17" x14ac:dyDescent="0.2">
      <c r="A2261">
        <f>YEAR(D2261)</f>
        <v>2019</v>
      </c>
      <c r="B2261" t="s">
        <v>26</v>
      </c>
      <c r="C2261" s="2" t="s">
        <v>3018</v>
      </c>
      <c r="D2261" s="1">
        <v>43566</v>
      </c>
      <c r="E2261">
        <f>MONTH(D2261)</f>
        <v>4</v>
      </c>
      <c r="F2261" s="2" t="s">
        <v>2098</v>
      </c>
      <c r="G2261" t="s">
        <v>1735</v>
      </c>
      <c r="H2261" t="s">
        <v>1736</v>
      </c>
      <c r="I2261" t="s">
        <v>36</v>
      </c>
      <c r="J2261" s="2" t="s">
        <v>42</v>
      </c>
      <c r="K2261" s="2" t="s">
        <v>3019</v>
      </c>
      <c r="L2261" t="s">
        <v>25</v>
      </c>
      <c r="M2261" s="8">
        <v>3.8633333329999999</v>
      </c>
      <c r="N2261" t="s">
        <v>26</v>
      </c>
      <c r="O2261" s="8">
        <v>3.8633333329999999</v>
      </c>
      <c r="P2261" s="8">
        <f>EXP(-1.363+3.366*LOG(O2261,10))</f>
        <v>1.8454344092406809</v>
      </c>
      <c r="Q2261" s="8">
        <f>(5996898*100)/6073515</f>
        <v>98.738506449724753</v>
      </c>
    </row>
    <row r="2262" spans="1:17" x14ac:dyDescent="0.2">
      <c r="A2262">
        <f>YEAR(D2262)</f>
        <v>2019</v>
      </c>
      <c r="B2262" t="s">
        <v>26</v>
      </c>
      <c r="C2262" s="2" t="s">
        <v>3018</v>
      </c>
      <c r="D2262" s="1">
        <v>43566</v>
      </c>
      <c r="E2262">
        <f>MONTH(D2262)</f>
        <v>4</v>
      </c>
      <c r="F2262" s="2" t="s">
        <v>2098</v>
      </c>
      <c r="G2262" s="2" t="s">
        <v>20</v>
      </c>
      <c r="H2262" t="s">
        <v>145</v>
      </c>
      <c r="I2262" t="s">
        <v>36</v>
      </c>
      <c r="J2262" s="2" t="s">
        <v>42</v>
      </c>
      <c r="K2262" s="2" t="s">
        <v>3019</v>
      </c>
      <c r="L2262" t="s">
        <v>25</v>
      </c>
      <c r="M2262" s="8">
        <v>1.9886666669999999</v>
      </c>
      <c r="N2262" t="s">
        <v>26</v>
      </c>
      <c r="O2262" s="8">
        <v>1.9886666669999999</v>
      </c>
      <c r="P2262" s="8">
        <f>EXP(-1.363+3.366*LOG(O2262,10))</f>
        <v>0.69904488411120058</v>
      </c>
      <c r="Q2262" s="8">
        <f>(5996898*100)/6073515</f>
        <v>98.738506449724753</v>
      </c>
    </row>
    <row r="2263" spans="1:17" x14ac:dyDescent="0.2">
      <c r="A2263">
        <f>YEAR(D2263)</f>
        <v>2019</v>
      </c>
      <c r="B2263" t="s">
        <v>26</v>
      </c>
      <c r="C2263" s="2" t="s">
        <v>3018</v>
      </c>
      <c r="D2263" s="1">
        <v>43566</v>
      </c>
      <c r="E2263">
        <f>MONTH(D2263)</f>
        <v>4</v>
      </c>
      <c r="F2263" s="2" t="s">
        <v>2098</v>
      </c>
      <c r="G2263" t="s">
        <v>219</v>
      </c>
      <c r="H2263" t="s">
        <v>220</v>
      </c>
      <c r="I2263" t="s">
        <v>22</v>
      </c>
      <c r="J2263" s="2" t="s">
        <v>42</v>
      </c>
      <c r="K2263" s="2" t="s">
        <v>3019</v>
      </c>
      <c r="L2263" t="s">
        <v>25</v>
      </c>
      <c r="M2263" s="10" t="s">
        <v>26</v>
      </c>
      <c r="N2263" t="s">
        <v>26</v>
      </c>
      <c r="O2263" s="10" t="s">
        <v>26</v>
      </c>
      <c r="P2263" s="8" t="s">
        <v>26</v>
      </c>
      <c r="Q2263" s="8">
        <f>(5996898*100)/6073515</f>
        <v>98.738506449724753</v>
      </c>
    </row>
    <row r="2264" spans="1:17" x14ac:dyDescent="0.2">
      <c r="A2264">
        <f>YEAR(D2264)</f>
        <v>2019</v>
      </c>
      <c r="B2264" t="e">
        <f>CONCATENATE(K2264,#REF!)</f>
        <v>#REF!</v>
      </c>
      <c r="C2264" s="2" t="s">
        <v>3018</v>
      </c>
      <c r="D2264" s="1">
        <v>43566</v>
      </c>
      <c r="E2264">
        <f>MONTH(D2264)</f>
        <v>4</v>
      </c>
      <c r="F2264" s="2" t="s">
        <v>2098</v>
      </c>
      <c r="G2264" s="2" t="s">
        <v>20</v>
      </c>
      <c r="H2264" t="s">
        <v>103</v>
      </c>
      <c r="I2264" t="s">
        <v>22</v>
      </c>
      <c r="J2264" s="2" t="s">
        <v>42</v>
      </c>
      <c r="K2264" s="2" t="s">
        <v>3019</v>
      </c>
      <c r="L2264" t="s">
        <v>25</v>
      </c>
      <c r="M2264" s="8">
        <v>2.177</v>
      </c>
      <c r="N2264" t="s">
        <v>26</v>
      </c>
      <c r="O2264" s="8">
        <v>2.177</v>
      </c>
      <c r="P2264" s="8">
        <f>EXP(-1.363+3.366*LOG(O2264,10))</f>
        <v>0.79790277256387487</v>
      </c>
      <c r="Q2264" s="8">
        <f>(5996898*100)/6073515</f>
        <v>98.738506449724753</v>
      </c>
    </row>
    <row r="2265" spans="1:17" x14ac:dyDescent="0.2">
      <c r="A2265">
        <f>YEAR(D2265)</f>
        <v>2019</v>
      </c>
      <c r="B2265" t="s">
        <v>26</v>
      </c>
      <c r="C2265" s="2" t="s">
        <v>3018</v>
      </c>
      <c r="D2265" s="1">
        <v>43566</v>
      </c>
      <c r="E2265">
        <f>MONTH(D2265)</f>
        <v>4</v>
      </c>
      <c r="F2265" s="2" t="s">
        <v>2098</v>
      </c>
      <c r="G2265" t="s">
        <v>219</v>
      </c>
      <c r="H2265" t="s">
        <v>220</v>
      </c>
      <c r="I2265" t="s">
        <v>22</v>
      </c>
      <c r="J2265" s="2" t="s">
        <v>42</v>
      </c>
      <c r="K2265" s="2" t="s">
        <v>3019</v>
      </c>
      <c r="L2265" t="s">
        <v>25</v>
      </c>
      <c r="M2265" s="10" t="s">
        <v>26</v>
      </c>
      <c r="N2265" t="s">
        <v>26</v>
      </c>
      <c r="O2265" s="10" t="s">
        <v>26</v>
      </c>
      <c r="P2265" s="8" t="s">
        <v>26</v>
      </c>
      <c r="Q2265" s="8">
        <f>(5996898*100)/6073515</f>
        <v>98.738506449724753</v>
      </c>
    </row>
    <row r="2266" spans="1:17" x14ac:dyDescent="0.2">
      <c r="A2266">
        <f>YEAR(D2266)</f>
        <v>2019</v>
      </c>
      <c r="B2266" t="s">
        <v>26</v>
      </c>
      <c r="C2266" s="2" t="s">
        <v>3018</v>
      </c>
      <c r="D2266" s="1">
        <v>43566</v>
      </c>
      <c r="E2266">
        <f>MONTH(D2266)</f>
        <v>4</v>
      </c>
      <c r="F2266" s="2" t="s">
        <v>2098</v>
      </c>
      <c r="G2266" t="s">
        <v>219</v>
      </c>
      <c r="H2266" t="s">
        <v>220</v>
      </c>
      <c r="I2266" t="s">
        <v>22</v>
      </c>
      <c r="J2266" s="2" t="s">
        <v>42</v>
      </c>
      <c r="K2266" s="2" t="s">
        <v>3019</v>
      </c>
      <c r="L2266" t="s">
        <v>25</v>
      </c>
      <c r="M2266" s="10" t="s">
        <v>26</v>
      </c>
      <c r="N2266" t="s">
        <v>26</v>
      </c>
      <c r="O2266" s="10" t="s">
        <v>26</v>
      </c>
      <c r="P2266" s="8" t="s">
        <v>26</v>
      </c>
      <c r="Q2266" s="8">
        <f>(5996898*100)/6073515</f>
        <v>98.738506449724753</v>
      </c>
    </row>
    <row r="2267" spans="1:17" x14ac:dyDescent="0.2">
      <c r="A2267">
        <f>YEAR(D2267)</f>
        <v>2019</v>
      </c>
      <c r="B2267" t="s">
        <v>26</v>
      </c>
      <c r="C2267" s="2" t="s">
        <v>3018</v>
      </c>
      <c r="D2267" s="1">
        <v>43566</v>
      </c>
      <c r="E2267">
        <f>MONTH(D2267)</f>
        <v>4</v>
      </c>
      <c r="F2267" s="2" t="s">
        <v>2098</v>
      </c>
      <c r="G2267" t="s">
        <v>1532</v>
      </c>
      <c r="H2267" t="s">
        <v>1533</v>
      </c>
      <c r="I2267" t="s">
        <v>36</v>
      </c>
      <c r="J2267" s="2" t="s">
        <v>42</v>
      </c>
      <c r="K2267" s="2" t="s">
        <v>3019</v>
      </c>
      <c r="L2267" t="s">
        <v>25</v>
      </c>
      <c r="M2267" s="8">
        <v>2.63</v>
      </c>
      <c r="N2267" t="s">
        <v>26</v>
      </c>
      <c r="O2267" s="8">
        <v>2.63</v>
      </c>
      <c r="P2267" s="8">
        <f>EXP(-1.363+3.366*LOG(O2267,10))</f>
        <v>1.0518715955632558</v>
      </c>
      <c r="Q2267" s="8">
        <f>(5996898*100)/6073515</f>
        <v>98.738506449724753</v>
      </c>
    </row>
    <row r="2268" spans="1:17" x14ac:dyDescent="0.2">
      <c r="A2268">
        <f>YEAR(D2268)</f>
        <v>2019</v>
      </c>
      <c r="B2268" t="s">
        <v>26</v>
      </c>
      <c r="C2268" s="2" t="s">
        <v>3018</v>
      </c>
      <c r="D2268" s="1">
        <v>43566</v>
      </c>
      <c r="E2268">
        <f>MONTH(D2268)</f>
        <v>4</v>
      </c>
      <c r="F2268" s="2" t="s">
        <v>2098</v>
      </c>
      <c r="G2268" t="s">
        <v>219</v>
      </c>
      <c r="H2268" t="s">
        <v>220</v>
      </c>
      <c r="I2268" t="s">
        <v>22</v>
      </c>
      <c r="J2268" s="2" t="s">
        <v>42</v>
      </c>
      <c r="K2268" s="2" t="s">
        <v>3019</v>
      </c>
      <c r="L2268" t="s">
        <v>25</v>
      </c>
      <c r="M2268" s="10" t="s">
        <v>26</v>
      </c>
      <c r="N2268" t="s">
        <v>26</v>
      </c>
      <c r="O2268" s="10" t="s">
        <v>26</v>
      </c>
      <c r="P2268" s="8" t="s">
        <v>26</v>
      </c>
      <c r="Q2268" s="8">
        <f>(5996898*100)/6073515</f>
        <v>98.738506449724753</v>
      </c>
    </row>
    <row r="2269" spans="1:17" x14ac:dyDescent="0.2">
      <c r="A2269">
        <f>YEAR(D2269)</f>
        <v>2019</v>
      </c>
      <c r="B2269" t="s">
        <v>26</v>
      </c>
      <c r="C2269" s="2" t="s">
        <v>3018</v>
      </c>
      <c r="D2269" s="1">
        <v>43566</v>
      </c>
      <c r="E2269">
        <f>MONTH(D2269)</f>
        <v>4</v>
      </c>
      <c r="F2269" s="2" t="s">
        <v>2098</v>
      </c>
      <c r="G2269" t="s">
        <v>219</v>
      </c>
      <c r="H2269" t="s">
        <v>220</v>
      </c>
      <c r="I2269" t="s">
        <v>22</v>
      </c>
      <c r="J2269" s="2" t="s">
        <v>42</v>
      </c>
      <c r="K2269" s="2" t="s">
        <v>3019</v>
      </c>
      <c r="L2269" t="s">
        <v>25</v>
      </c>
      <c r="M2269" s="10" t="s">
        <v>26</v>
      </c>
      <c r="N2269" t="s">
        <v>26</v>
      </c>
      <c r="O2269" s="10" t="s">
        <v>26</v>
      </c>
      <c r="P2269" s="8" t="s">
        <v>26</v>
      </c>
      <c r="Q2269" s="8">
        <f>(5996898*100)/6073515</f>
        <v>98.738506449724753</v>
      </c>
    </row>
    <row r="2270" spans="1:17" x14ac:dyDescent="0.2">
      <c r="A2270">
        <f>YEAR(D2270)</f>
        <v>2019</v>
      </c>
      <c r="B2270" t="s">
        <v>26</v>
      </c>
      <c r="C2270" s="2" t="s">
        <v>3018</v>
      </c>
      <c r="D2270" s="1">
        <v>43566</v>
      </c>
      <c r="E2270">
        <f>MONTH(D2270)</f>
        <v>4</v>
      </c>
      <c r="F2270" s="2" t="s">
        <v>2098</v>
      </c>
      <c r="G2270" t="s">
        <v>230</v>
      </c>
      <c r="H2270" t="s">
        <v>259</v>
      </c>
      <c r="I2270" t="s">
        <v>22</v>
      </c>
      <c r="J2270" s="2" t="s">
        <v>42</v>
      </c>
      <c r="K2270" s="2" t="s">
        <v>3019</v>
      </c>
      <c r="L2270" t="s">
        <v>25</v>
      </c>
      <c r="M2270" s="8">
        <v>4.2283333330000001</v>
      </c>
      <c r="N2270" t="s">
        <v>26</v>
      </c>
      <c r="O2270" s="8">
        <v>4.2283333330000001</v>
      </c>
      <c r="P2270" s="8">
        <f>EXP(-1.363+3.366*LOG(O2270,10))</f>
        <v>2.1057792396965977</v>
      </c>
      <c r="Q2270" s="8">
        <f>(5996898*100)/6073515</f>
        <v>98.738506449724753</v>
      </c>
    </row>
    <row r="2271" spans="1:17" x14ac:dyDescent="0.2">
      <c r="A2271">
        <f>YEAR(D2271)</f>
        <v>2019</v>
      </c>
      <c r="B2271" t="s">
        <v>26</v>
      </c>
      <c r="C2271" s="2" t="s">
        <v>3018</v>
      </c>
      <c r="D2271" s="1">
        <v>43566</v>
      </c>
      <c r="E2271">
        <f>MONTH(D2271)</f>
        <v>4</v>
      </c>
      <c r="F2271" s="2" t="s">
        <v>2098</v>
      </c>
      <c r="G2271" t="s">
        <v>1735</v>
      </c>
      <c r="H2271" t="s">
        <v>1736</v>
      </c>
      <c r="I2271" t="s">
        <v>36</v>
      </c>
      <c r="J2271" s="2" t="s">
        <v>42</v>
      </c>
      <c r="K2271" s="2" t="s">
        <v>3019</v>
      </c>
      <c r="L2271" t="s">
        <v>25</v>
      </c>
      <c r="M2271" s="8">
        <v>3.8633333329999999</v>
      </c>
      <c r="N2271" t="s">
        <v>26</v>
      </c>
      <c r="O2271" s="8">
        <v>3.8633333329999999</v>
      </c>
      <c r="P2271" s="8">
        <f>EXP(-1.363+3.366*LOG(O2271,10))</f>
        <v>1.8454344092406809</v>
      </c>
      <c r="Q2271" s="8">
        <f>(5996898*100)/6073515</f>
        <v>98.738506449724753</v>
      </c>
    </row>
    <row r="2272" spans="1:17" x14ac:dyDescent="0.2">
      <c r="A2272">
        <f>YEAR(D2272)</f>
        <v>2019</v>
      </c>
      <c r="B2272" t="s">
        <v>26</v>
      </c>
      <c r="C2272" s="2" t="s">
        <v>3018</v>
      </c>
      <c r="D2272" s="1">
        <v>43566</v>
      </c>
      <c r="E2272">
        <f>MONTH(D2272)</f>
        <v>4</v>
      </c>
      <c r="F2272" s="2" t="s">
        <v>2098</v>
      </c>
      <c r="G2272" t="s">
        <v>1735</v>
      </c>
      <c r="H2272" t="s">
        <v>1736</v>
      </c>
      <c r="I2272" t="s">
        <v>36</v>
      </c>
      <c r="J2272" s="2" t="s">
        <v>42</v>
      </c>
      <c r="K2272" s="2" t="s">
        <v>3019</v>
      </c>
      <c r="L2272" t="s">
        <v>25</v>
      </c>
      <c r="M2272" s="8">
        <v>3.8633333329999999</v>
      </c>
      <c r="N2272" t="s">
        <v>26</v>
      </c>
      <c r="O2272" s="8">
        <v>3.8633333329999999</v>
      </c>
      <c r="P2272" s="8">
        <f>EXP(-1.363+3.366*LOG(O2272,10))</f>
        <v>1.8454344092406809</v>
      </c>
      <c r="Q2272" s="8">
        <f>(5996898*100)/6073515</f>
        <v>98.738506449724753</v>
      </c>
    </row>
    <row r="2273" spans="1:17" x14ac:dyDescent="0.2">
      <c r="A2273">
        <f>YEAR(D2273)</f>
        <v>2019</v>
      </c>
      <c r="B2273" t="s">
        <v>26</v>
      </c>
      <c r="C2273" s="2" t="s">
        <v>3018</v>
      </c>
      <c r="D2273" s="1">
        <v>43566</v>
      </c>
      <c r="E2273">
        <f>MONTH(D2273)</f>
        <v>4</v>
      </c>
      <c r="F2273" s="2" t="s">
        <v>2098</v>
      </c>
      <c r="G2273" t="s">
        <v>1735</v>
      </c>
      <c r="H2273" t="s">
        <v>1736</v>
      </c>
      <c r="I2273" t="s">
        <v>22</v>
      </c>
      <c r="J2273" s="2" t="s">
        <v>42</v>
      </c>
      <c r="K2273" s="2" t="s">
        <v>3019</v>
      </c>
      <c r="L2273" t="s">
        <v>25</v>
      </c>
      <c r="M2273" s="8">
        <v>4.1156666670000002</v>
      </c>
      <c r="N2273" t="s">
        <v>26</v>
      </c>
      <c r="O2273" s="8">
        <v>4.1156666670000002</v>
      </c>
      <c r="P2273" s="8">
        <f>EXP(-1.363+3.366*LOG(O2273,10))</f>
        <v>2.0242630151675414</v>
      </c>
      <c r="Q2273" s="8">
        <f>(5996898*100)/6073515</f>
        <v>98.738506449724753</v>
      </c>
    </row>
    <row r="2274" spans="1:17" x14ac:dyDescent="0.2">
      <c r="A2274">
        <f>YEAR(D2274)</f>
        <v>2019</v>
      </c>
      <c r="B2274" t="s">
        <v>26</v>
      </c>
      <c r="C2274" s="2" t="s">
        <v>3018</v>
      </c>
      <c r="D2274" s="1">
        <v>43566</v>
      </c>
      <c r="E2274">
        <f>MONTH(D2274)</f>
        <v>4</v>
      </c>
      <c r="F2274" s="2" t="s">
        <v>2098</v>
      </c>
      <c r="G2274" t="s">
        <v>219</v>
      </c>
      <c r="H2274" t="s">
        <v>220</v>
      </c>
      <c r="I2274" t="s">
        <v>22</v>
      </c>
      <c r="J2274" s="2" t="s">
        <v>42</v>
      </c>
      <c r="K2274" s="2" t="s">
        <v>3019</v>
      </c>
      <c r="L2274" t="s">
        <v>25</v>
      </c>
      <c r="M2274" s="10" t="s">
        <v>26</v>
      </c>
      <c r="N2274" t="s">
        <v>26</v>
      </c>
      <c r="O2274" s="10" t="s">
        <v>26</v>
      </c>
      <c r="P2274" s="8" t="s">
        <v>26</v>
      </c>
      <c r="Q2274" s="8">
        <f>(5996898*100)/6073515</f>
        <v>98.738506449724753</v>
      </c>
    </row>
    <row r="2275" spans="1:17" x14ac:dyDescent="0.2">
      <c r="A2275">
        <f>YEAR(D2275)</f>
        <v>2019</v>
      </c>
      <c r="B2275" t="s">
        <v>26</v>
      </c>
      <c r="C2275" s="2" t="s">
        <v>3018</v>
      </c>
      <c r="D2275" s="1">
        <v>43566</v>
      </c>
      <c r="E2275">
        <f>MONTH(D2275)</f>
        <v>4</v>
      </c>
      <c r="F2275" s="2" t="s">
        <v>2098</v>
      </c>
      <c r="G2275" t="s">
        <v>1735</v>
      </c>
      <c r="H2275" t="s">
        <v>1736</v>
      </c>
      <c r="I2275" t="s">
        <v>22</v>
      </c>
      <c r="J2275" s="2" t="s">
        <v>42</v>
      </c>
      <c r="K2275" s="2" t="s">
        <v>3019</v>
      </c>
      <c r="L2275" t="s">
        <v>25</v>
      </c>
      <c r="M2275" s="8">
        <v>4.1156666670000002</v>
      </c>
      <c r="N2275" t="s">
        <v>26</v>
      </c>
      <c r="O2275" s="8">
        <v>4.1156666670000002</v>
      </c>
      <c r="P2275" s="8">
        <f>EXP(-1.363+3.366*LOG(O2275,10))</f>
        <v>2.0242630151675414</v>
      </c>
      <c r="Q2275" s="8">
        <f>(5996898*100)/6073515</f>
        <v>98.738506449724753</v>
      </c>
    </row>
    <row r="2276" spans="1:17" x14ac:dyDescent="0.2">
      <c r="A2276">
        <f>YEAR(D2276)</f>
        <v>2019</v>
      </c>
      <c r="B2276" t="s">
        <v>26</v>
      </c>
      <c r="C2276" s="2" t="s">
        <v>3018</v>
      </c>
      <c r="D2276" s="1">
        <v>43566</v>
      </c>
      <c r="E2276">
        <f>MONTH(D2276)</f>
        <v>4</v>
      </c>
      <c r="F2276" s="2" t="s">
        <v>2098</v>
      </c>
      <c r="G2276" t="s">
        <v>1735</v>
      </c>
      <c r="H2276" t="s">
        <v>1736</v>
      </c>
      <c r="I2276" t="s">
        <v>36</v>
      </c>
      <c r="J2276" s="2" t="s">
        <v>42</v>
      </c>
      <c r="K2276" s="2" t="s">
        <v>3019</v>
      </c>
      <c r="L2276" t="s">
        <v>25</v>
      </c>
      <c r="M2276" s="8">
        <v>3.8633333329999999</v>
      </c>
      <c r="N2276" t="s">
        <v>26</v>
      </c>
      <c r="O2276" s="8">
        <v>3.8633333329999999</v>
      </c>
      <c r="P2276" s="8">
        <f>EXP(-1.363+3.366*LOG(O2276,10))</f>
        <v>1.8454344092406809</v>
      </c>
      <c r="Q2276" s="8">
        <f>(5996898*100)/6073515</f>
        <v>98.738506449724753</v>
      </c>
    </row>
    <row r="2277" spans="1:17" x14ac:dyDescent="0.2">
      <c r="A2277">
        <f>YEAR(D2277)</f>
        <v>2019</v>
      </c>
      <c r="B2277" t="s">
        <v>26</v>
      </c>
      <c r="C2277" s="2" t="s">
        <v>3027</v>
      </c>
      <c r="D2277" s="1">
        <v>43566</v>
      </c>
      <c r="E2277">
        <f>MONTH(D2277)</f>
        <v>4</v>
      </c>
      <c r="F2277" s="2" t="s">
        <v>2098</v>
      </c>
      <c r="G2277" s="2" t="s">
        <v>20</v>
      </c>
      <c r="H2277" t="s">
        <v>145</v>
      </c>
      <c r="I2277" t="s">
        <v>22</v>
      </c>
      <c r="J2277" s="2" t="s">
        <v>42</v>
      </c>
      <c r="K2277" s="2" t="s">
        <v>3019</v>
      </c>
      <c r="L2277" t="s">
        <v>25</v>
      </c>
      <c r="M2277" s="8">
        <v>2.399666667</v>
      </c>
      <c r="N2277" t="s">
        <v>26</v>
      </c>
      <c r="O2277" s="8">
        <v>2.399666667</v>
      </c>
      <c r="P2277" s="8">
        <f>EXP(-1.363+3.366*LOG(O2277,10))</f>
        <v>0.91997203423956198</v>
      </c>
      <c r="Q2277" s="8">
        <f>(3939723*100)/4442581</f>
        <v>88.680949204977921</v>
      </c>
    </row>
    <row r="2278" spans="1:17" x14ac:dyDescent="0.2">
      <c r="A2278">
        <f>YEAR(D2278)</f>
        <v>2019</v>
      </c>
      <c r="B2278" t="s">
        <v>26</v>
      </c>
      <c r="C2278" s="2" t="s">
        <v>3027</v>
      </c>
      <c r="D2278" s="1">
        <v>43566</v>
      </c>
      <c r="E2278">
        <f>MONTH(D2278)</f>
        <v>4</v>
      </c>
      <c r="F2278" s="2" t="s">
        <v>2098</v>
      </c>
      <c r="G2278" t="s">
        <v>219</v>
      </c>
      <c r="H2278" t="s">
        <v>220</v>
      </c>
      <c r="I2278" t="s">
        <v>22</v>
      </c>
      <c r="J2278" s="2" t="s">
        <v>42</v>
      </c>
      <c r="K2278" s="2" t="s">
        <v>3019</v>
      </c>
      <c r="L2278" t="s">
        <v>25</v>
      </c>
      <c r="M2278" s="10" t="s">
        <v>26</v>
      </c>
      <c r="N2278" t="s">
        <v>26</v>
      </c>
      <c r="O2278" s="10" t="s">
        <v>26</v>
      </c>
      <c r="P2278" s="8" t="s">
        <v>26</v>
      </c>
      <c r="Q2278" s="8">
        <f>(3939723*100)/4442581</f>
        <v>88.680949204977921</v>
      </c>
    </row>
    <row r="2279" spans="1:17" x14ac:dyDescent="0.2">
      <c r="A2279">
        <f>YEAR(D2279)</f>
        <v>2019</v>
      </c>
      <c r="B2279" t="s">
        <v>26</v>
      </c>
      <c r="C2279" s="2" t="s">
        <v>3027</v>
      </c>
      <c r="D2279" s="1">
        <v>43566</v>
      </c>
      <c r="E2279">
        <f>MONTH(D2279)</f>
        <v>4</v>
      </c>
      <c r="F2279" s="2" t="s">
        <v>2098</v>
      </c>
      <c r="G2279" t="s">
        <v>1735</v>
      </c>
      <c r="H2279" t="s">
        <v>1736</v>
      </c>
      <c r="I2279" t="s">
        <v>36</v>
      </c>
      <c r="J2279" s="2" t="s">
        <v>42</v>
      </c>
      <c r="K2279" s="2" t="s">
        <v>3019</v>
      </c>
      <c r="L2279" t="s">
        <v>25</v>
      </c>
      <c r="M2279" s="8">
        <v>3.8633333329999999</v>
      </c>
      <c r="N2279" t="s">
        <v>26</v>
      </c>
      <c r="O2279" s="8">
        <v>3.8633333329999999</v>
      </c>
      <c r="P2279" s="8">
        <f>EXP(-1.363+3.366*LOG(O2279,10))</f>
        <v>1.8454344092406809</v>
      </c>
      <c r="Q2279" s="8">
        <f>(3939723*100)/4442581</f>
        <v>88.680949204977921</v>
      </c>
    </row>
    <row r="2280" spans="1:17" x14ac:dyDescent="0.2">
      <c r="A2280">
        <f>YEAR(D2280)</f>
        <v>2019</v>
      </c>
      <c r="B2280" t="s">
        <v>26</v>
      </c>
      <c r="C2280" s="2" t="s">
        <v>3027</v>
      </c>
      <c r="D2280" s="1">
        <v>43566</v>
      </c>
      <c r="E2280">
        <f>MONTH(D2280)</f>
        <v>4</v>
      </c>
      <c r="F2280" s="2" t="s">
        <v>2098</v>
      </c>
      <c r="G2280" t="s">
        <v>1735</v>
      </c>
      <c r="H2280" t="s">
        <v>1736</v>
      </c>
      <c r="I2280" t="s">
        <v>36</v>
      </c>
      <c r="J2280" s="2" t="s">
        <v>42</v>
      </c>
      <c r="K2280" s="2" t="s">
        <v>3019</v>
      </c>
      <c r="L2280" t="s">
        <v>25</v>
      </c>
      <c r="M2280" s="8">
        <v>3.8633333329999999</v>
      </c>
      <c r="N2280" t="s">
        <v>26</v>
      </c>
      <c r="O2280" s="8">
        <v>3.8633333329999999</v>
      </c>
      <c r="P2280" s="8">
        <f>EXP(-1.363+3.366*LOG(O2280,10))</f>
        <v>1.8454344092406809</v>
      </c>
      <c r="Q2280" s="8">
        <f>(3939723*100)/4442581</f>
        <v>88.680949204977921</v>
      </c>
    </row>
    <row r="2281" spans="1:17" x14ac:dyDescent="0.2">
      <c r="A2281">
        <f>YEAR(D2281)</f>
        <v>2019</v>
      </c>
      <c r="B2281" t="s">
        <v>26</v>
      </c>
      <c r="C2281" s="2" t="s">
        <v>3027</v>
      </c>
      <c r="D2281" s="1">
        <v>43566</v>
      </c>
      <c r="E2281">
        <f>MONTH(D2281)</f>
        <v>4</v>
      </c>
      <c r="F2281" s="2" t="s">
        <v>2098</v>
      </c>
      <c r="G2281" t="s">
        <v>230</v>
      </c>
      <c r="H2281" t="s">
        <v>268</v>
      </c>
      <c r="I2281" t="s">
        <v>22</v>
      </c>
      <c r="J2281" s="2" t="s">
        <v>42</v>
      </c>
      <c r="K2281" s="2" t="s">
        <v>3019</v>
      </c>
      <c r="L2281" t="s">
        <v>25</v>
      </c>
      <c r="M2281" s="8">
        <v>3.5356666670000001</v>
      </c>
      <c r="N2281" t="s">
        <v>26</v>
      </c>
      <c r="O2281" s="8">
        <v>3.5356666670000001</v>
      </c>
      <c r="P2281" s="8">
        <f>EXP(-1.363+3.366*LOG(O2281,10))</f>
        <v>1.6211802664427075</v>
      </c>
      <c r="Q2281" s="8">
        <f>(3939723*100)/4442581</f>
        <v>88.680949204977921</v>
      </c>
    </row>
    <row r="2282" spans="1:17" x14ac:dyDescent="0.2">
      <c r="A2282">
        <f>YEAR(D2282)</f>
        <v>2019</v>
      </c>
      <c r="B2282" t="s">
        <v>26</v>
      </c>
      <c r="C2282" s="2" t="s">
        <v>3027</v>
      </c>
      <c r="D2282" s="1">
        <v>43566</v>
      </c>
      <c r="E2282">
        <f>MONTH(D2282)</f>
        <v>4</v>
      </c>
      <c r="F2282" s="2" t="s">
        <v>2098</v>
      </c>
      <c r="G2282" t="s">
        <v>1735</v>
      </c>
      <c r="H2282" t="s">
        <v>1736</v>
      </c>
      <c r="I2282" t="s">
        <v>36</v>
      </c>
      <c r="J2282" s="2" t="s">
        <v>42</v>
      </c>
      <c r="K2282" s="2" t="s">
        <v>3019</v>
      </c>
      <c r="L2282" t="s">
        <v>25</v>
      </c>
      <c r="M2282" s="8">
        <v>3.8633333329999999</v>
      </c>
      <c r="N2282" t="s">
        <v>26</v>
      </c>
      <c r="O2282" s="8">
        <v>3.8633333329999999</v>
      </c>
      <c r="P2282" s="8">
        <f>EXP(-1.363+3.366*LOG(O2282,10))</f>
        <v>1.8454344092406809</v>
      </c>
      <c r="Q2282" s="8">
        <f>(3939723*100)/4442581</f>
        <v>88.680949204977921</v>
      </c>
    </row>
    <row r="2283" spans="1:17" x14ac:dyDescent="0.2">
      <c r="A2283">
        <f>YEAR(D2283)</f>
        <v>2019</v>
      </c>
      <c r="B2283" t="s">
        <v>26</v>
      </c>
      <c r="C2283" s="2" t="s">
        <v>3027</v>
      </c>
      <c r="D2283" s="1">
        <v>43566</v>
      </c>
      <c r="E2283">
        <f>MONTH(D2283)</f>
        <v>4</v>
      </c>
      <c r="F2283" s="2" t="s">
        <v>2098</v>
      </c>
      <c r="G2283" t="s">
        <v>1735</v>
      </c>
      <c r="H2283" t="s">
        <v>1736</v>
      </c>
      <c r="I2283" t="s">
        <v>36</v>
      </c>
      <c r="J2283" s="2" t="s">
        <v>42</v>
      </c>
      <c r="K2283" s="2" t="s">
        <v>3019</v>
      </c>
      <c r="L2283" t="s">
        <v>25</v>
      </c>
      <c r="M2283" s="8">
        <v>3.8633333329999999</v>
      </c>
      <c r="N2283" t="s">
        <v>26</v>
      </c>
      <c r="O2283" s="8">
        <v>3.8633333329999999</v>
      </c>
      <c r="P2283" s="8">
        <f>EXP(-1.363+3.366*LOG(O2283,10))</f>
        <v>1.8454344092406809</v>
      </c>
      <c r="Q2283" s="8">
        <f>(3939723*100)/4442581</f>
        <v>88.680949204977921</v>
      </c>
    </row>
    <row r="2284" spans="1:17" x14ac:dyDescent="0.2">
      <c r="A2284">
        <f>YEAR(D2284)</f>
        <v>2019</v>
      </c>
      <c r="B2284" t="s">
        <v>26</v>
      </c>
      <c r="C2284" s="2" t="s">
        <v>3027</v>
      </c>
      <c r="D2284" s="1">
        <v>43566</v>
      </c>
      <c r="E2284">
        <f>MONTH(D2284)</f>
        <v>4</v>
      </c>
      <c r="F2284" s="2" t="s">
        <v>2098</v>
      </c>
      <c r="G2284" s="2" t="s">
        <v>303</v>
      </c>
      <c r="H2284" t="s">
        <v>3046</v>
      </c>
      <c r="I2284" t="s">
        <v>22</v>
      </c>
      <c r="J2284" s="2" t="s">
        <v>42</v>
      </c>
      <c r="K2284" s="2" t="s">
        <v>3019</v>
      </c>
      <c r="L2284" t="s">
        <v>305</v>
      </c>
      <c r="M2284" s="8">
        <v>2.0129999999999999</v>
      </c>
      <c r="N2284" t="s">
        <v>26</v>
      </c>
      <c r="O2284" s="8">
        <v>2.0129999999999999</v>
      </c>
      <c r="P2284" s="8">
        <f>EXP(-1.363+3.366*LOG(O2284,10))</f>
        <v>0.71158396745238095</v>
      </c>
      <c r="Q2284" s="8">
        <f>(3939723*100)/4442581</f>
        <v>88.680949204977921</v>
      </c>
    </row>
    <row r="2285" spans="1:17" x14ac:dyDescent="0.2">
      <c r="A2285">
        <f>YEAR(D2285)</f>
        <v>2019</v>
      </c>
      <c r="B2285" t="s">
        <v>26</v>
      </c>
      <c r="C2285" s="2" t="s">
        <v>3024</v>
      </c>
      <c r="D2285" s="1">
        <v>43567</v>
      </c>
      <c r="E2285">
        <f>MONTH(D2285)</f>
        <v>4</v>
      </c>
      <c r="F2285" s="2" t="s">
        <v>2098</v>
      </c>
      <c r="G2285" t="s">
        <v>219</v>
      </c>
      <c r="H2285" t="s">
        <v>220</v>
      </c>
      <c r="I2285" t="s">
        <v>22</v>
      </c>
      <c r="J2285" s="2" t="s">
        <v>42</v>
      </c>
      <c r="K2285" s="2" t="s">
        <v>3019</v>
      </c>
      <c r="L2285" t="s">
        <v>25</v>
      </c>
      <c r="M2285" s="10" t="s">
        <v>26</v>
      </c>
      <c r="N2285" t="s">
        <v>26</v>
      </c>
      <c r="O2285" s="10" t="s">
        <v>26</v>
      </c>
      <c r="P2285" s="8" t="s">
        <v>26</v>
      </c>
      <c r="Q2285" s="8">
        <f>(2412691*100)/2623642</f>
        <v>91.959611867777696</v>
      </c>
    </row>
    <row r="2286" spans="1:17" x14ac:dyDescent="0.2">
      <c r="A2286">
        <f>YEAR(D2286)</f>
        <v>2019</v>
      </c>
      <c r="B2286" t="s">
        <v>26</v>
      </c>
      <c r="C2286" s="2" t="s">
        <v>3024</v>
      </c>
      <c r="D2286" s="1">
        <v>43567</v>
      </c>
      <c r="E2286">
        <f>MONTH(D2286)</f>
        <v>4</v>
      </c>
      <c r="F2286" s="2" t="s">
        <v>2098</v>
      </c>
      <c r="G2286" t="s">
        <v>219</v>
      </c>
      <c r="H2286" t="s">
        <v>220</v>
      </c>
      <c r="I2286" t="s">
        <v>22</v>
      </c>
      <c r="J2286" s="2" t="s">
        <v>42</v>
      </c>
      <c r="K2286" s="2" t="s">
        <v>3019</v>
      </c>
      <c r="L2286" t="s">
        <v>25</v>
      </c>
      <c r="M2286" s="10" t="s">
        <v>26</v>
      </c>
      <c r="N2286" t="s">
        <v>26</v>
      </c>
      <c r="O2286" s="10" t="s">
        <v>26</v>
      </c>
      <c r="P2286" s="8" t="s">
        <v>26</v>
      </c>
      <c r="Q2286" s="8">
        <f>(2412691*100)/2623642</f>
        <v>91.959611867777696</v>
      </c>
    </row>
    <row r="2287" spans="1:17" x14ac:dyDescent="0.2">
      <c r="A2287">
        <f>YEAR(D2287)</f>
        <v>2019</v>
      </c>
      <c r="B2287" t="s">
        <v>26</v>
      </c>
      <c r="C2287" s="2" t="s">
        <v>3024</v>
      </c>
      <c r="D2287" s="1">
        <v>43567</v>
      </c>
      <c r="E2287">
        <f>MONTH(D2287)</f>
        <v>4</v>
      </c>
      <c r="F2287" s="2" t="s">
        <v>2098</v>
      </c>
      <c r="G2287" t="s">
        <v>1735</v>
      </c>
      <c r="H2287" t="s">
        <v>1736</v>
      </c>
      <c r="I2287" t="s">
        <v>36</v>
      </c>
      <c r="J2287" s="2" t="s">
        <v>42</v>
      </c>
      <c r="K2287" s="2" t="s">
        <v>3019</v>
      </c>
      <c r="L2287" t="s">
        <v>25</v>
      </c>
      <c r="M2287" s="8">
        <v>3.8633333329999999</v>
      </c>
      <c r="N2287" t="s">
        <v>26</v>
      </c>
      <c r="O2287" s="8">
        <v>3.8633333329999999</v>
      </c>
      <c r="P2287" s="8">
        <f>EXP(-1.363+3.366*LOG(O2287,10))</f>
        <v>1.8454344092406809</v>
      </c>
      <c r="Q2287" s="8">
        <f>(2412691*100)/2623642</f>
        <v>91.959611867777696</v>
      </c>
    </row>
    <row r="2288" spans="1:17" x14ac:dyDescent="0.2">
      <c r="A2288">
        <f>YEAR(D2288)</f>
        <v>2019</v>
      </c>
      <c r="B2288" t="s">
        <v>26</v>
      </c>
      <c r="C2288" s="2" t="s">
        <v>50</v>
      </c>
      <c r="D2288" s="1">
        <v>43567</v>
      </c>
      <c r="E2288">
        <f>MONTH(D2288)</f>
        <v>4</v>
      </c>
      <c r="F2288" s="2" t="s">
        <v>2098</v>
      </c>
      <c r="G2288" t="s">
        <v>219</v>
      </c>
      <c r="H2288" t="s">
        <v>220</v>
      </c>
      <c r="I2288" t="s">
        <v>22</v>
      </c>
      <c r="J2288" t="s">
        <v>42</v>
      </c>
      <c r="K2288" s="2" t="s">
        <v>3019</v>
      </c>
      <c r="L2288" t="s">
        <v>25</v>
      </c>
      <c r="M2288" s="10" t="s">
        <v>26</v>
      </c>
      <c r="N2288" t="s">
        <v>26</v>
      </c>
      <c r="O2288" s="10" t="s">
        <v>26</v>
      </c>
      <c r="P2288" s="8" t="s">
        <v>26</v>
      </c>
      <c r="Q2288" s="8">
        <f>(4488342*100)/4914798</f>
        <v>91.323020803703429</v>
      </c>
    </row>
    <row r="2289" spans="1:17" x14ac:dyDescent="0.2">
      <c r="A2289">
        <f>YEAR(D2289)</f>
        <v>2019</v>
      </c>
      <c r="B2289" t="s">
        <v>26</v>
      </c>
      <c r="C2289" s="2" t="s">
        <v>50</v>
      </c>
      <c r="D2289" s="1">
        <v>43567</v>
      </c>
      <c r="E2289">
        <f>MONTH(D2289)</f>
        <v>4</v>
      </c>
      <c r="F2289" s="2" t="s">
        <v>2098</v>
      </c>
      <c r="G2289" t="s">
        <v>219</v>
      </c>
      <c r="H2289" t="s">
        <v>220</v>
      </c>
      <c r="I2289" t="s">
        <v>22</v>
      </c>
      <c r="J2289" t="s">
        <v>42</v>
      </c>
      <c r="K2289" s="2" t="s">
        <v>3019</v>
      </c>
      <c r="L2289" t="s">
        <v>25</v>
      </c>
      <c r="M2289" s="10" t="s">
        <v>26</v>
      </c>
      <c r="N2289" t="s">
        <v>26</v>
      </c>
      <c r="O2289" s="10" t="s">
        <v>26</v>
      </c>
      <c r="P2289" s="8" t="s">
        <v>26</v>
      </c>
      <c r="Q2289" s="8">
        <f>(4488342*100)/4914798</f>
        <v>91.323020803703429</v>
      </c>
    </row>
    <row r="2290" spans="1:17" x14ac:dyDescent="0.2">
      <c r="A2290">
        <f>YEAR(D2290)</f>
        <v>2019</v>
      </c>
      <c r="B2290" t="s">
        <v>26</v>
      </c>
      <c r="C2290" s="2" t="s">
        <v>50</v>
      </c>
      <c r="D2290" s="1">
        <v>43567</v>
      </c>
      <c r="E2290">
        <f>MONTH(D2290)</f>
        <v>4</v>
      </c>
      <c r="F2290" s="2" t="s">
        <v>2098</v>
      </c>
      <c r="G2290" t="s">
        <v>219</v>
      </c>
      <c r="H2290" t="s">
        <v>220</v>
      </c>
      <c r="I2290" t="s">
        <v>22</v>
      </c>
      <c r="J2290" t="s">
        <v>42</v>
      </c>
      <c r="K2290" s="2" t="s">
        <v>3019</v>
      </c>
      <c r="L2290" t="s">
        <v>25</v>
      </c>
      <c r="M2290" s="10" t="s">
        <v>26</v>
      </c>
      <c r="N2290" t="s">
        <v>26</v>
      </c>
      <c r="O2290" s="10" t="s">
        <v>26</v>
      </c>
      <c r="P2290" s="8" t="s">
        <v>26</v>
      </c>
      <c r="Q2290" s="8">
        <f>(4488342*100)/4914798</f>
        <v>91.323020803703429</v>
      </c>
    </row>
    <row r="2291" spans="1:17" x14ac:dyDescent="0.2">
      <c r="A2291">
        <f>YEAR(D2291)</f>
        <v>2019</v>
      </c>
      <c r="B2291" t="s">
        <v>26</v>
      </c>
      <c r="C2291" s="2" t="s">
        <v>50</v>
      </c>
      <c r="D2291" s="1">
        <v>43567</v>
      </c>
      <c r="E2291">
        <f>MONTH(D2291)</f>
        <v>4</v>
      </c>
      <c r="F2291" s="2" t="s">
        <v>2098</v>
      </c>
      <c r="G2291" t="s">
        <v>219</v>
      </c>
      <c r="H2291" t="s">
        <v>220</v>
      </c>
      <c r="I2291" t="s">
        <v>22</v>
      </c>
      <c r="J2291" t="s">
        <v>42</v>
      </c>
      <c r="K2291" s="2" t="s">
        <v>3019</v>
      </c>
      <c r="L2291" t="s">
        <v>25</v>
      </c>
      <c r="M2291" s="10" t="s">
        <v>26</v>
      </c>
      <c r="N2291" t="s">
        <v>26</v>
      </c>
      <c r="O2291" s="10" t="s">
        <v>26</v>
      </c>
      <c r="P2291" s="8" t="s">
        <v>26</v>
      </c>
      <c r="Q2291" s="8">
        <f>(4488342*100)/4914798</f>
        <v>91.323020803703429</v>
      </c>
    </row>
    <row r="2292" spans="1:17" x14ac:dyDescent="0.2">
      <c r="A2292">
        <f>YEAR(D2292)</f>
        <v>2019</v>
      </c>
      <c r="B2292" t="s">
        <v>26</v>
      </c>
      <c r="C2292" s="2" t="s">
        <v>50</v>
      </c>
      <c r="D2292" s="1">
        <v>43567</v>
      </c>
      <c r="E2292">
        <f>MONTH(D2292)</f>
        <v>4</v>
      </c>
      <c r="F2292" s="2" t="s">
        <v>2098</v>
      </c>
      <c r="G2292" t="s">
        <v>219</v>
      </c>
      <c r="H2292" t="s">
        <v>220</v>
      </c>
      <c r="I2292" t="s">
        <v>22</v>
      </c>
      <c r="J2292" t="s">
        <v>42</v>
      </c>
      <c r="K2292" s="2" t="s">
        <v>3019</v>
      </c>
      <c r="L2292" t="s">
        <v>25</v>
      </c>
      <c r="M2292" s="10" t="s">
        <v>26</v>
      </c>
      <c r="N2292" t="s">
        <v>26</v>
      </c>
      <c r="O2292" s="10" t="s">
        <v>26</v>
      </c>
      <c r="P2292" s="8" t="s">
        <v>26</v>
      </c>
      <c r="Q2292" s="8">
        <f>(4488342*100)/4914798</f>
        <v>91.323020803703429</v>
      </c>
    </row>
    <row r="2293" spans="1:17" x14ac:dyDescent="0.2">
      <c r="A2293">
        <f>YEAR(D2293)</f>
        <v>2019</v>
      </c>
      <c r="B2293" t="s">
        <v>26</v>
      </c>
      <c r="C2293" s="2" t="s">
        <v>50</v>
      </c>
      <c r="D2293" s="1">
        <v>43567</v>
      </c>
      <c r="E2293">
        <f>MONTH(D2293)</f>
        <v>4</v>
      </c>
      <c r="F2293" s="2" t="s">
        <v>2098</v>
      </c>
      <c r="G2293" s="2" t="s">
        <v>20</v>
      </c>
      <c r="H2293" t="s">
        <v>145</v>
      </c>
      <c r="I2293" t="s">
        <v>22</v>
      </c>
      <c r="J2293" t="s">
        <v>42</v>
      </c>
      <c r="K2293" s="2" t="s">
        <v>3019</v>
      </c>
      <c r="L2293" t="s">
        <v>25</v>
      </c>
      <c r="M2293" s="8">
        <v>2.399666667</v>
      </c>
      <c r="N2293" t="s">
        <v>26</v>
      </c>
      <c r="O2293" s="8">
        <v>2.399666667</v>
      </c>
      <c r="P2293" s="8">
        <f>EXP(-1.363+3.366*LOG(O2293,10))</f>
        <v>0.91997203423956198</v>
      </c>
      <c r="Q2293" s="8">
        <f>(4488342*100)/4914798</f>
        <v>91.323020803703429</v>
      </c>
    </row>
    <row r="2294" spans="1:17" x14ac:dyDescent="0.2">
      <c r="A2294">
        <f>YEAR(D2294)</f>
        <v>2019</v>
      </c>
      <c r="B2294" t="s">
        <v>26</v>
      </c>
      <c r="C2294" s="2" t="s">
        <v>50</v>
      </c>
      <c r="D2294" s="1">
        <v>43567</v>
      </c>
      <c r="E2294">
        <f>MONTH(D2294)</f>
        <v>4</v>
      </c>
      <c r="F2294" s="2" t="s">
        <v>2098</v>
      </c>
      <c r="G2294" t="s">
        <v>219</v>
      </c>
      <c r="H2294" t="s">
        <v>220</v>
      </c>
      <c r="I2294" t="s">
        <v>22</v>
      </c>
      <c r="J2294" t="s">
        <v>42</v>
      </c>
      <c r="K2294" s="2" t="s">
        <v>3019</v>
      </c>
      <c r="L2294" t="s">
        <v>25</v>
      </c>
      <c r="M2294" s="10" t="s">
        <v>26</v>
      </c>
      <c r="N2294" t="s">
        <v>26</v>
      </c>
      <c r="O2294" s="10" t="s">
        <v>26</v>
      </c>
      <c r="P2294" s="8" t="s">
        <v>26</v>
      </c>
      <c r="Q2294" s="8">
        <f>(4488342*100)/4914798</f>
        <v>91.323020803703429</v>
      </c>
    </row>
    <row r="2295" spans="1:17" x14ac:dyDescent="0.2">
      <c r="A2295">
        <f>YEAR(D2295)</f>
        <v>2019</v>
      </c>
      <c r="B2295" t="s">
        <v>26</v>
      </c>
      <c r="C2295" s="2" t="s">
        <v>50</v>
      </c>
      <c r="D2295" s="1">
        <v>43567</v>
      </c>
      <c r="E2295">
        <f>MONTH(D2295)</f>
        <v>4</v>
      </c>
      <c r="F2295" s="2" t="s">
        <v>2098</v>
      </c>
      <c r="G2295" t="s">
        <v>219</v>
      </c>
      <c r="H2295" t="s">
        <v>220</v>
      </c>
      <c r="I2295" t="s">
        <v>22</v>
      </c>
      <c r="J2295" t="s">
        <v>42</v>
      </c>
      <c r="K2295" s="2" t="s">
        <v>3019</v>
      </c>
      <c r="L2295" t="s">
        <v>25</v>
      </c>
      <c r="M2295" s="10" t="s">
        <v>26</v>
      </c>
      <c r="N2295" t="s">
        <v>26</v>
      </c>
      <c r="O2295" s="10" t="s">
        <v>26</v>
      </c>
      <c r="P2295" s="8" t="s">
        <v>26</v>
      </c>
      <c r="Q2295" s="8">
        <f>(4488342*100)/4914798</f>
        <v>91.323020803703429</v>
      </c>
    </row>
    <row r="2296" spans="1:17" x14ac:dyDescent="0.2">
      <c r="A2296">
        <f>YEAR(D2296)</f>
        <v>2019</v>
      </c>
      <c r="B2296" t="s">
        <v>26</v>
      </c>
      <c r="C2296" s="2" t="s">
        <v>1540</v>
      </c>
      <c r="D2296" s="1">
        <v>43570</v>
      </c>
      <c r="E2296">
        <f>MONTH(D2296)</f>
        <v>4</v>
      </c>
      <c r="F2296" s="2" t="s">
        <v>2098</v>
      </c>
      <c r="G2296" t="s">
        <v>1735</v>
      </c>
      <c r="H2296" t="s">
        <v>1736</v>
      </c>
      <c r="I2296" t="s">
        <v>36</v>
      </c>
      <c r="J2296" t="s">
        <v>42</v>
      </c>
      <c r="K2296" s="2" t="s">
        <v>3019</v>
      </c>
      <c r="L2296" t="s">
        <v>25</v>
      </c>
      <c r="M2296" s="8">
        <v>3.8633333329999999</v>
      </c>
      <c r="N2296" t="s">
        <v>26</v>
      </c>
      <c r="O2296" s="8">
        <v>3.8633333329999999</v>
      </c>
      <c r="P2296" s="8">
        <f>EXP(-1.363+3.366*LOG(O2296,10))</f>
        <v>1.8454344092406809</v>
      </c>
      <c r="Q2296" s="8">
        <f>(2618262*100)/2995732</f>
        <v>87.399740697766021</v>
      </c>
    </row>
    <row r="2297" spans="1:17" x14ac:dyDescent="0.2">
      <c r="A2297">
        <f>YEAR(D2297)</f>
        <v>2019</v>
      </c>
      <c r="B2297" t="s">
        <v>26</v>
      </c>
      <c r="C2297" s="2" t="s">
        <v>1540</v>
      </c>
      <c r="D2297" s="1">
        <v>43570</v>
      </c>
      <c r="E2297">
        <f>MONTH(D2297)</f>
        <v>4</v>
      </c>
      <c r="F2297" s="2" t="s">
        <v>2098</v>
      </c>
      <c r="G2297" t="s">
        <v>219</v>
      </c>
      <c r="H2297" t="s">
        <v>220</v>
      </c>
      <c r="I2297" t="s">
        <v>22</v>
      </c>
      <c r="J2297" t="s">
        <v>42</v>
      </c>
      <c r="K2297" s="2" t="s">
        <v>3019</v>
      </c>
      <c r="L2297" t="s">
        <v>25</v>
      </c>
      <c r="M2297" s="10" t="s">
        <v>26</v>
      </c>
      <c r="N2297" t="s">
        <v>26</v>
      </c>
      <c r="O2297" s="10" t="s">
        <v>26</v>
      </c>
      <c r="P2297" s="8" t="s">
        <v>26</v>
      </c>
      <c r="Q2297" s="8">
        <f>(2618262*100)/2995732</f>
        <v>87.399740697766021</v>
      </c>
    </row>
    <row r="2298" spans="1:17" x14ac:dyDescent="0.2">
      <c r="A2298">
        <f>YEAR(D2298)</f>
        <v>2019</v>
      </c>
      <c r="B2298" t="s">
        <v>26</v>
      </c>
      <c r="C2298" s="2" t="s">
        <v>1552</v>
      </c>
      <c r="D2298" s="1">
        <v>43570</v>
      </c>
      <c r="E2298">
        <f>MONTH(D2298)</f>
        <v>4</v>
      </c>
      <c r="F2298" s="2" t="s">
        <v>2098</v>
      </c>
      <c r="G2298" t="s">
        <v>219</v>
      </c>
      <c r="H2298" t="s">
        <v>220</v>
      </c>
      <c r="I2298" t="s">
        <v>22</v>
      </c>
      <c r="J2298" t="s">
        <v>42</v>
      </c>
      <c r="K2298" s="2" t="s">
        <v>3019</v>
      </c>
      <c r="L2298" t="s">
        <v>25</v>
      </c>
      <c r="M2298" s="10" t="s">
        <v>26</v>
      </c>
      <c r="N2298" t="s">
        <v>26</v>
      </c>
      <c r="O2298" s="10" t="s">
        <v>26</v>
      </c>
      <c r="P2298" s="8" t="s">
        <v>26</v>
      </c>
      <c r="Q2298" s="8">
        <f>(3738946*100)/3915493</f>
        <v>95.491065875995687</v>
      </c>
    </row>
    <row r="2299" spans="1:17" x14ac:dyDescent="0.2">
      <c r="A2299">
        <f>YEAR(D2299)</f>
        <v>2019</v>
      </c>
      <c r="B2299" t="s">
        <v>26</v>
      </c>
      <c r="C2299" s="2" t="s">
        <v>1540</v>
      </c>
      <c r="D2299" s="1">
        <v>43570</v>
      </c>
      <c r="E2299">
        <f>MONTH(D2299)</f>
        <v>4</v>
      </c>
      <c r="F2299" s="2" t="s">
        <v>2098</v>
      </c>
      <c r="G2299" t="s">
        <v>219</v>
      </c>
      <c r="H2299" t="s">
        <v>220</v>
      </c>
      <c r="I2299" t="s">
        <v>22</v>
      </c>
      <c r="J2299" t="s">
        <v>42</v>
      </c>
      <c r="K2299" s="2" t="s">
        <v>3019</v>
      </c>
      <c r="L2299" t="s">
        <v>25</v>
      </c>
      <c r="M2299" s="10" t="s">
        <v>26</v>
      </c>
      <c r="N2299" t="s">
        <v>26</v>
      </c>
      <c r="O2299" s="10" t="s">
        <v>26</v>
      </c>
      <c r="P2299" s="8" t="s">
        <v>26</v>
      </c>
      <c r="Q2299" s="8">
        <f>(2618262*100)/2995732</f>
        <v>87.399740697766021</v>
      </c>
    </row>
    <row r="2300" spans="1:17" x14ac:dyDescent="0.2">
      <c r="A2300">
        <f>YEAR(D2300)</f>
        <v>2019</v>
      </c>
      <c r="B2300" t="s">
        <v>26</v>
      </c>
      <c r="C2300" s="2" t="s">
        <v>1540</v>
      </c>
      <c r="D2300" s="1">
        <v>43570</v>
      </c>
      <c r="E2300">
        <f>MONTH(D2300)</f>
        <v>4</v>
      </c>
      <c r="F2300" s="2" t="s">
        <v>2098</v>
      </c>
      <c r="G2300" t="s">
        <v>219</v>
      </c>
      <c r="H2300" t="s">
        <v>220</v>
      </c>
      <c r="I2300" t="s">
        <v>22</v>
      </c>
      <c r="J2300" t="s">
        <v>42</v>
      </c>
      <c r="K2300" s="2" t="s">
        <v>3019</v>
      </c>
      <c r="L2300" t="s">
        <v>25</v>
      </c>
      <c r="M2300" s="10" t="s">
        <v>26</v>
      </c>
      <c r="N2300" t="s">
        <v>26</v>
      </c>
      <c r="O2300" s="10" t="s">
        <v>26</v>
      </c>
      <c r="P2300" s="8" t="s">
        <v>26</v>
      </c>
      <c r="Q2300" s="8">
        <f>(2618262*100)/2995732</f>
        <v>87.399740697766021</v>
      </c>
    </row>
    <row r="2301" spans="1:17" x14ac:dyDescent="0.2">
      <c r="A2301">
        <f>YEAR(D2301)</f>
        <v>2019</v>
      </c>
      <c r="B2301" t="s">
        <v>26</v>
      </c>
      <c r="C2301" s="2" t="s">
        <v>1540</v>
      </c>
      <c r="D2301" s="1">
        <v>43570</v>
      </c>
      <c r="E2301">
        <f>MONTH(D2301)</f>
        <v>4</v>
      </c>
      <c r="F2301" s="2" t="s">
        <v>2098</v>
      </c>
      <c r="G2301" t="s">
        <v>219</v>
      </c>
      <c r="H2301" t="s">
        <v>220</v>
      </c>
      <c r="I2301" t="s">
        <v>22</v>
      </c>
      <c r="J2301" t="s">
        <v>42</v>
      </c>
      <c r="K2301" s="2" t="s">
        <v>3019</v>
      </c>
      <c r="L2301" t="s">
        <v>25</v>
      </c>
      <c r="M2301" s="10" t="s">
        <v>26</v>
      </c>
      <c r="N2301" t="s">
        <v>26</v>
      </c>
      <c r="O2301" s="10" t="s">
        <v>26</v>
      </c>
      <c r="P2301" s="8" t="s">
        <v>26</v>
      </c>
      <c r="Q2301" s="8">
        <f>(2618262*100)/2995732</f>
        <v>87.399740697766021</v>
      </c>
    </row>
    <row r="2302" spans="1:17" x14ac:dyDescent="0.2">
      <c r="A2302">
        <f>YEAR(D2302)</f>
        <v>2019</v>
      </c>
      <c r="B2302" t="s">
        <v>26</v>
      </c>
      <c r="C2302" s="2" t="s">
        <v>1540</v>
      </c>
      <c r="D2302" s="1">
        <v>43570</v>
      </c>
      <c r="E2302">
        <f>MONTH(D2302)</f>
        <v>4</v>
      </c>
      <c r="F2302" s="2" t="s">
        <v>2098</v>
      </c>
      <c r="G2302" t="s">
        <v>219</v>
      </c>
      <c r="H2302" t="s">
        <v>220</v>
      </c>
      <c r="I2302" t="s">
        <v>22</v>
      </c>
      <c r="J2302" t="s">
        <v>42</v>
      </c>
      <c r="K2302" s="2" t="s">
        <v>3019</v>
      </c>
      <c r="L2302" t="s">
        <v>25</v>
      </c>
      <c r="M2302" s="10" t="s">
        <v>26</v>
      </c>
      <c r="N2302" t="s">
        <v>26</v>
      </c>
      <c r="O2302" s="10" t="s">
        <v>26</v>
      </c>
      <c r="P2302" s="8" t="s">
        <v>26</v>
      </c>
      <c r="Q2302" s="8">
        <f>(2618262*100)/2995732</f>
        <v>87.399740697766021</v>
      </c>
    </row>
    <row r="2303" spans="1:17" x14ac:dyDescent="0.2">
      <c r="A2303">
        <f>YEAR(D2303)</f>
        <v>2019</v>
      </c>
      <c r="B2303" t="s">
        <v>26</v>
      </c>
      <c r="C2303" s="2" t="s">
        <v>1540</v>
      </c>
      <c r="D2303" s="1">
        <v>43570</v>
      </c>
      <c r="E2303">
        <f>MONTH(D2303)</f>
        <v>4</v>
      </c>
      <c r="F2303" s="2" t="s">
        <v>2098</v>
      </c>
      <c r="G2303" t="s">
        <v>219</v>
      </c>
      <c r="H2303" t="s">
        <v>220</v>
      </c>
      <c r="I2303" t="s">
        <v>22</v>
      </c>
      <c r="J2303" t="s">
        <v>42</v>
      </c>
      <c r="K2303" s="2" t="s">
        <v>3019</v>
      </c>
      <c r="L2303" t="s">
        <v>25</v>
      </c>
      <c r="M2303" s="10" t="s">
        <v>26</v>
      </c>
      <c r="N2303" t="s">
        <v>26</v>
      </c>
      <c r="O2303" s="10" t="s">
        <v>26</v>
      </c>
      <c r="P2303" s="8" t="s">
        <v>26</v>
      </c>
      <c r="Q2303" s="8">
        <f>(2618262*100)/2995732</f>
        <v>87.399740697766021</v>
      </c>
    </row>
    <row r="2304" spans="1:17" x14ac:dyDescent="0.2">
      <c r="A2304">
        <f>YEAR(D2304)</f>
        <v>2019</v>
      </c>
      <c r="B2304" t="s">
        <v>26</v>
      </c>
      <c r="C2304" s="2" t="s">
        <v>1552</v>
      </c>
      <c r="D2304" s="1">
        <v>43570</v>
      </c>
      <c r="E2304">
        <f>MONTH(D2304)</f>
        <v>4</v>
      </c>
      <c r="F2304" s="2" t="s">
        <v>2098</v>
      </c>
      <c r="G2304" t="s">
        <v>219</v>
      </c>
      <c r="H2304" t="s">
        <v>220</v>
      </c>
      <c r="I2304" t="s">
        <v>22</v>
      </c>
      <c r="J2304" t="s">
        <v>42</v>
      </c>
      <c r="K2304" s="2" t="s">
        <v>3019</v>
      </c>
      <c r="L2304" t="s">
        <v>25</v>
      </c>
      <c r="M2304" s="10" t="s">
        <v>26</v>
      </c>
      <c r="N2304" t="s">
        <v>26</v>
      </c>
      <c r="O2304" s="10" t="s">
        <v>26</v>
      </c>
      <c r="P2304" s="8" t="s">
        <v>26</v>
      </c>
      <c r="Q2304" s="8">
        <f>(3738946*100)/3915493</f>
        <v>95.491065875995687</v>
      </c>
    </row>
    <row r="2305" spans="1:17" x14ac:dyDescent="0.2">
      <c r="A2305">
        <f>YEAR(D2305)</f>
        <v>2019</v>
      </c>
      <c r="B2305" t="s">
        <v>26</v>
      </c>
      <c r="C2305" s="2" t="s">
        <v>1552</v>
      </c>
      <c r="D2305" s="1">
        <v>43570</v>
      </c>
      <c r="E2305">
        <f>MONTH(D2305)</f>
        <v>4</v>
      </c>
      <c r="F2305" s="2" t="s">
        <v>2098</v>
      </c>
      <c r="G2305" t="s">
        <v>219</v>
      </c>
      <c r="H2305" t="s">
        <v>220</v>
      </c>
      <c r="I2305" t="s">
        <v>22</v>
      </c>
      <c r="J2305" t="s">
        <v>42</v>
      </c>
      <c r="K2305" s="2" t="s">
        <v>3019</v>
      </c>
      <c r="L2305" t="s">
        <v>25</v>
      </c>
      <c r="M2305" s="10" t="s">
        <v>26</v>
      </c>
      <c r="N2305" t="s">
        <v>26</v>
      </c>
      <c r="O2305" s="10" t="s">
        <v>26</v>
      </c>
      <c r="P2305" s="8" t="s">
        <v>26</v>
      </c>
      <c r="Q2305" s="8">
        <f>(3738946*100)/3915493</f>
        <v>95.491065875995687</v>
      </c>
    </row>
    <row r="2306" spans="1:17" x14ac:dyDescent="0.2">
      <c r="A2306">
        <f>YEAR(D2306)</f>
        <v>2019</v>
      </c>
      <c r="B2306" t="s">
        <v>26</v>
      </c>
      <c r="C2306" s="2" t="s">
        <v>3026</v>
      </c>
      <c r="D2306" s="1">
        <v>43563</v>
      </c>
      <c r="E2306">
        <f>MONTH(D2306)</f>
        <v>4</v>
      </c>
      <c r="F2306" s="2" t="s">
        <v>19</v>
      </c>
      <c r="G2306" t="s">
        <v>20</v>
      </c>
      <c r="H2306" t="s">
        <v>171</v>
      </c>
      <c r="I2306" t="s">
        <v>22</v>
      </c>
      <c r="J2306" s="2" t="s">
        <v>42</v>
      </c>
      <c r="K2306" s="2" t="s">
        <v>3019</v>
      </c>
      <c r="L2306" t="s">
        <v>25</v>
      </c>
      <c r="M2306" s="8">
        <v>1.258</v>
      </c>
      <c r="N2306" t="s">
        <v>26</v>
      </c>
      <c r="O2306" s="8">
        <v>1.258</v>
      </c>
      <c r="P2306" s="8">
        <f>EXP(-1.363+3.366*LOG(O2306,10))</f>
        <v>0.35790955576548023</v>
      </c>
      <c r="Q2306" s="8">
        <f>(2317420*100)/2442061</f>
        <v>94.896073439606951</v>
      </c>
    </row>
    <row r="2307" spans="1:17" x14ac:dyDescent="0.2">
      <c r="A2307">
        <f>YEAR(D2307)</f>
        <v>2019</v>
      </c>
      <c r="B2307" t="s">
        <v>26</v>
      </c>
      <c r="C2307" s="2" t="s">
        <v>3026</v>
      </c>
      <c r="D2307" s="1">
        <v>43563</v>
      </c>
      <c r="E2307">
        <f>MONTH(D2307)</f>
        <v>4</v>
      </c>
      <c r="F2307" s="2" t="s">
        <v>19</v>
      </c>
      <c r="G2307" t="s">
        <v>20</v>
      </c>
      <c r="H2307" t="s">
        <v>183</v>
      </c>
      <c r="I2307" t="s">
        <v>22</v>
      </c>
      <c r="J2307" s="2" t="s">
        <v>42</v>
      </c>
      <c r="K2307" s="2" t="s">
        <v>3019</v>
      </c>
      <c r="L2307" t="s">
        <v>25</v>
      </c>
      <c r="M2307" s="8">
        <v>2.7893333330000001</v>
      </c>
      <c r="N2307" t="s">
        <v>26</v>
      </c>
      <c r="O2307" s="8">
        <v>2.7893333330000001</v>
      </c>
      <c r="P2307" s="8">
        <f>EXP(-1.363+3.366*LOG(O2307,10))</f>
        <v>1.1463172389308915</v>
      </c>
      <c r="Q2307" s="8">
        <f>(2317420*100)/2442061</f>
        <v>94.896073439606951</v>
      </c>
    </row>
    <row r="2308" spans="1:17" x14ac:dyDescent="0.2">
      <c r="A2308">
        <f>YEAR(D2308)</f>
        <v>2019</v>
      </c>
      <c r="B2308" t="s">
        <v>26</v>
      </c>
      <c r="C2308" s="2" t="s">
        <v>3026</v>
      </c>
      <c r="D2308" s="1">
        <v>43563</v>
      </c>
      <c r="E2308">
        <f>MONTH(D2308)</f>
        <v>4</v>
      </c>
      <c r="F2308" s="2" t="s">
        <v>19</v>
      </c>
      <c r="G2308" t="s">
        <v>303</v>
      </c>
      <c r="H2308" t="s">
        <v>307</v>
      </c>
      <c r="I2308" t="s">
        <v>36</v>
      </c>
      <c r="J2308" s="2" t="s">
        <v>42</v>
      </c>
      <c r="K2308" s="2" t="s">
        <v>3019</v>
      </c>
      <c r="L2308" t="s">
        <v>305</v>
      </c>
      <c r="M2308" s="8">
        <v>1.01</v>
      </c>
      <c r="N2308" t="s">
        <v>26</v>
      </c>
      <c r="O2308" s="8">
        <v>1.01</v>
      </c>
      <c r="P2308" s="8">
        <f>EXP(-1.363+3.366*LOG(O2308,10))</f>
        <v>0.25964128962709732</v>
      </c>
      <c r="Q2308" s="8">
        <f>(2317420*100)/2442061</f>
        <v>94.896073439606951</v>
      </c>
    </row>
    <row r="2309" spans="1:17" x14ac:dyDescent="0.2">
      <c r="A2309">
        <f>YEAR(D2309)</f>
        <v>2019</v>
      </c>
      <c r="B2309" t="s">
        <v>26</v>
      </c>
      <c r="C2309" s="2" t="s">
        <v>3026</v>
      </c>
      <c r="D2309" s="1">
        <v>43563</v>
      </c>
      <c r="E2309">
        <f>MONTH(D2309)</f>
        <v>4</v>
      </c>
      <c r="F2309" s="2" t="s">
        <v>19</v>
      </c>
      <c r="G2309" t="s">
        <v>1532</v>
      </c>
      <c r="H2309" t="s">
        <v>1533</v>
      </c>
      <c r="I2309" t="s">
        <v>36</v>
      </c>
      <c r="J2309" s="2" t="s">
        <v>42</v>
      </c>
      <c r="K2309" s="2" t="s">
        <v>3019</v>
      </c>
      <c r="L2309" t="s">
        <v>25</v>
      </c>
      <c r="M2309" s="8">
        <v>2.63</v>
      </c>
      <c r="N2309" t="s">
        <v>26</v>
      </c>
      <c r="O2309" s="8">
        <v>2.63</v>
      </c>
      <c r="P2309" s="8">
        <f>EXP(-1.363+3.366*LOG(O2309,10))</f>
        <v>1.0518715955632558</v>
      </c>
      <c r="Q2309" s="8">
        <f>(2317420*100)/2442061</f>
        <v>94.896073439606951</v>
      </c>
    </row>
    <row r="2310" spans="1:17" x14ac:dyDescent="0.2">
      <c r="A2310">
        <f>YEAR(D2310)</f>
        <v>2019</v>
      </c>
      <c r="B2310" t="s">
        <v>26</v>
      </c>
      <c r="C2310" s="2" t="s">
        <v>3026</v>
      </c>
      <c r="D2310" s="1">
        <v>43563</v>
      </c>
      <c r="E2310">
        <f>MONTH(D2310)</f>
        <v>4</v>
      </c>
      <c r="F2310" s="2" t="s">
        <v>19</v>
      </c>
      <c r="G2310" s="2" t="s">
        <v>303</v>
      </c>
      <c r="H2310" t="s">
        <v>3047</v>
      </c>
      <c r="I2310" t="s">
        <v>22</v>
      </c>
      <c r="J2310" s="2" t="s">
        <v>42</v>
      </c>
      <c r="K2310" s="2" t="s">
        <v>3019</v>
      </c>
      <c r="L2310" t="s">
        <v>305</v>
      </c>
      <c r="M2310" s="8">
        <v>2.1230000000000002</v>
      </c>
      <c r="N2310" t="s">
        <v>26</v>
      </c>
      <c r="O2310" s="8">
        <v>2.1230000000000002</v>
      </c>
      <c r="P2310" s="8">
        <f>EXP(-1.363+3.366*LOG(O2310,10))</f>
        <v>0.76913688636820943</v>
      </c>
      <c r="Q2310" s="8">
        <f>(2317420*100)/2442061</f>
        <v>94.896073439606951</v>
      </c>
    </row>
    <row r="2311" spans="1:17" x14ac:dyDescent="0.2">
      <c r="A2311">
        <f>YEAR(D2311)</f>
        <v>2019</v>
      </c>
      <c r="B2311" t="s">
        <v>26</v>
      </c>
      <c r="C2311" s="2" t="s">
        <v>3026</v>
      </c>
      <c r="D2311" s="1">
        <v>43563</v>
      </c>
      <c r="E2311">
        <f>MONTH(D2311)</f>
        <v>4</v>
      </c>
      <c r="F2311" s="2" t="s">
        <v>19</v>
      </c>
      <c r="G2311" t="s">
        <v>1532</v>
      </c>
      <c r="H2311" t="s">
        <v>1533</v>
      </c>
      <c r="I2311" t="s">
        <v>36</v>
      </c>
      <c r="J2311" s="2" t="s">
        <v>42</v>
      </c>
      <c r="K2311" s="2" t="s">
        <v>3019</v>
      </c>
      <c r="L2311" t="s">
        <v>25</v>
      </c>
      <c r="M2311" s="8">
        <v>2.63</v>
      </c>
      <c r="N2311" t="s">
        <v>26</v>
      </c>
      <c r="O2311" s="8">
        <v>2.63</v>
      </c>
      <c r="P2311" s="8">
        <f>EXP(-1.363+3.366*LOG(O2311,10))</f>
        <v>1.0518715955632558</v>
      </c>
      <c r="Q2311" s="8">
        <f>(2317420*100)/2442061</f>
        <v>94.896073439606951</v>
      </c>
    </row>
    <row r="2312" spans="1:17" x14ac:dyDescent="0.2">
      <c r="A2312">
        <f>YEAR(D2312)</f>
        <v>2019</v>
      </c>
      <c r="B2312" t="s">
        <v>26</v>
      </c>
      <c r="C2312" s="2" t="s">
        <v>3026</v>
      </c>
      <c r="D2312" s="1">
        <v>43563</v>
      </c>
      <c r="E2312">
        <f>MONTH(D2312)</f>
        <v>4</v>
      </c>
      <c r="F2312" s="2" t="s">
        <v>19</v>
      </c>
      <c r="G2312" t="s">
        <v>1532</v>
      </c>
      <c r="H2312" t="s">
        <v>1533</v>
      </c>
      <c r="I2312" t="s">
        <v>36</v>
      </c>
      <c r="J2312" s="2" t="s">
        <v>42</v>
      </c>
      <c r="K2312" s="2" t="s">
        <v>3019</v>
      </c>
      <c r="L2312" t="s">
        <v>25</v>
      </c>
      <c r="M2312" s="8">
        <v>2.63</v>
      </c>
      <c r="N2312" t="s">
        <v>26</v>
      </c>
      <c r="O2312" s="8">
        <v>2.63</v>
      </c>
      <c r="P2312" s="8">
        <f>EXP(-1.363+3.366*LOG(O2312,10))</f>
        <v>1.0518715955632558</v>
      </c>
      <c r="Q2312" s="8">
        <f>(2317420*100)/2442061</f>
        <v>94.896073439606951</v>
      </c>
    </row>
    <row r="2313" spans="1:17" x14ac:dyDescent="0.2">
      <c r="A2313">
        <f>YEAR(D2313)</f>
        <v>2019</v>
      </c>
      <c r="B2313" t="s">
        <v>26</v>
      </c>
      <c r="C2313" s="2" t="s">
        <v>3026</v>
      </c>
      <c r="D2313" s="1">
        <v>43563</v>
      </c>
      <c r="E2313">
        <f>MONTH(D2313)</f>
        <v>4</v>
      </c>
      <c r="F2313" s="2" t="s">
        <v>19</v>
      </c>
      <c r="G2313" t="s">
        <v>20</v>
      </c>
      <c r="H2313" t="s">
        <v>2295</v>
      </c>
      <c r="I2313" t="s">
        <v>36</v>
      </c>
      <c r="J2313" s="2" t="s">
        <v>42</v>
      </c>
      <c r="K2313" s="2" t="s">
        <v>3019</v>
      </c>
      <c r="L2313" t="s">
        <v>25</v>
      </c>
      <c r="M2313" s="8">
        <v>1.0436666670000001</v>
      </c>
      <c r="N2313" t="s">
        <v>26</v>
      </c>
      <c r="O2313" s="8">
        <v>1.0436666670000001</v>
      </c>
      <c r="P2313" s="8">
        <f>EXP(-1.363+3.366*LOG(O2313,10))</f>
        <v>0.27238985802470567</v>
      </c>
      <c r="Q2313" s="8">
        <f>(2317420*100)/2442061</f>
        <v>94.896073439606951</v>
      </c>
    </row>
    <row r="2314" spans="1:17" x14ac:dyDescent="0.2">
      <c r="A2314">
        <f>YEAR(D2314)</f>
        <v>2019</v>
      </c>
      <c r="B2314" t="s">
        <v>26</v>
      </c>
      <c r="C2314" s="2" t="s">
        <v>3026</v>
      </c>
      <c r="D2314" s="1">
        <v>43563</v>
      </c>
      <c r="E2314">
        <f>MONTH(D2314)</f>
        <v>4</v>
      </c>
      <c r="F2314" s="2" t="s">
        <v>19</v>
      </c>
      <c r="G2314" t="s">
        <v>20</v>
      </c>
      <c r="H2314" t="s">
        <v>149</v>
      </c>
      <c r="I2314" t="s">
        <v>36</v>
      </c>
      <c r="J2314" s="2" t="s">
        <v>42</v>
      </c>
      <c r="K2314" s="2" t="s">
        <v>3019</v>
      </c>
      <c r="L2314" t="s">
        <v>25</v>
      </c>
      <c r="M2314" s="8">
        <v>1.032666667</v>
      </c>
      <c r="N2314" t="s">
        <v>26</v>
      </c>
      <c r="O2314" s="8">
        <v>1.032666667</v>
      </c>
      <c r="P2314" s="8">
        <f>EXP(-1.363+3.366*LOG(O2314,10))</f>
        <v>0.26820327281159584</v>
      </c>
      <c r="Q2314" s="8">
        <f>(2317420*100)/2442061</f>
        <v>94.896073439606951</v>
      </c>
    </row>
    <row r="2315" spans="1:17" x14ac:dyDescent="0.2">
      <c r="A2315">
        <f>YEAR(D2315)</f>
        <v>2019</v>
      </c>
      <c r="B2315" t="s">
        <v>26</v>
      </c>
      <c r="C2315" s="2" t="s">
        <v>3026</v>
      </c>
      <c r="D2315" s="1">
        <v>43563</v>
      </c>
      <c r="E2315">
        <f>MONTH(D2315)</f>
        <v>4</v>
      </c>
      <c r="F2315" s="2" t="s">
        <v>19</v>
      </c>
      <c r="G2315" t="s">
        <v>352</v>
      </c>
      <c r="H2315" t="s">
        <v>747</v>
      </c>
      <c r="I2315" t="s">
        <v>22</v>
      </c>
      <c r="J2315" s="2" t="s">
        <v>42</v>
      </c>
      <c r="K2315" s="2" t="s">
        <v>3019</v>
      </c>
      <c r="L2315" t="s">
        <v>25</v>
      </c>
      <c r="M2315" s="8">
        <v>1.3726666670000001</v>
      </c>
      <c r="N2315" t="s">
        <v>26</v>
      </c>
      <c r="O2315" s="8">
        <v>1.3726666670000001</v>
      </c>
      <c r="P2315" s="8">
        <f>EXP(-1.363+3.366*LOG(O2315,10))</f>
        <v>0.40658758379567089</v>
      </c>
      <c r="Q2315" s="8">
        <f>(2317420*100)/2442061</f>
        <v>94.896073439606951</v>
      </c>
    </row>
    <row r="2316" spans="1:17" x14ac:dyDescent="0.2">
      <c r="A2316">
        <f>YEAR(D2316)</f>
        <v>2019</v>
      </c>
      <c r="B2316" t="s">
        <v>26</v>
      </c>
      <c r="C2316" s="2" t="s">
        <v>3026</v>
      </c>
      <c r="D2316" s="1">
        <v>43563</v>
      </c>
      <c r="E2316">
        <f>MONTH(D2316)</f>
        <v>4</v>
      </c>
      <c r="F2316" s="2" t="s">
        <v>19</v>
      </c>
      <c r="G2316" t="s">
        <v>20</v>
      </c>
      <c r="H2316" t="s">
        <v>149</v>
      </c>
      <c r="I2316" t="s">
        <v>22</v>
      </c>
      <c r="J2316" s="2" t="s">
        <v>42</v>
      </c>
      <c r="K2316" s="2" t="s">
        <v>3019</v>
      </c>
      <c r="L2316" t="s">
        <v>25</v>
      </c>
      <c r="M2316" s="8">
        <v>1.45</v>
      </c>
      <c r="N2316" t="s">
        <v>26</v>
      </c>
      <c r="O2316" s="8">
        <v>1.45</v>
      </c>
      <c r="P2316" s="8">
        <f>EXP(-1.363+3.366*LOG(O2316,10))</f>
        <v>0.44050419760124854</v>
      </c>
      <c r="Q2316" s="8">
        <f>(2317420*100)/2442061</f>
        <v>94.896073439606951</v>
      </c>
    </row>
    <row r="2317" spans="1:17" x14ac:dyDescent="0.2">
      <c r="A2317">
        <f>YEAR(D2317)</f>
        <v>2019</v>
      </c>
      <c r="B2317" t="s">
        <v>26</v>
      </c>
      <c r="C2317" s="2" t="s">
        <v>3025</v>
      </c>
      <c r="D2317" s="1">
        <v>43563</v>
      </c>
      <c r="E2317">
        <f>MONTH(D2317)</f>
        <v>4</v>
      </c>
      <c r="F2317" s="2" t="s">
        <v>19</v>
      </c>
      <c r="G2317" t="s">
        <v>303</v>
      </c>
      <c r="H2317" t="s">
        <v>307</v>
      </c>
      <c r="I2317" t="s">
        <v>22</v>
      </c>
      <c r="J2317" s="2" t="s">
        <v>42</v>
      </c>
      <c r="K2317" s="2" t="s">
        <v>3019</v>
      </c>
      <c r="L2317" t="s">
        <v>305</v>
      </c>
      <c r="M2317" s="8">
        <v>1.1000000000000001</v>
      </c>
      <c r="N2317" t="s">
        <v>26</v>
      </c>
      <c r="O2317" s="8">
        <v>1.1000000000000001</v>
      </c>
      <c r="P2317" s="8">
        <f>EXP(-1.363+3.366*LOG(O2317,10))</f>
        <v>0.29414800446794787</v>
      </c>
      <c r="Q2317" s="8">
        <f>(1955155*100)/2180255</f>
        <v>89.67551960665152</v>
      </c>
    </row>
    <row r="2318" spans="1:17" x14ac:dyDescent="0.2">
      <c r="A2318">
        <f>YEAR(D2318)</f>
        <v>2019</v>
      </c>
      <c r="B2318" t="s">
        <v>26</v>
      </c>
      <c r="C2318" s="2" t="s">
        <v>3025</v>
      </c>
      <c r="D2318" s="1">
        <v>43563</v>
      </c>
      <c r="E2318">
        <f>MONTH(D2318)</f>
        <v>4</v>
      </c>
      <c r="F2318" s="2" t="s">
        <v>19</v>
      </c>
      <c r="G2318" t="s">
        <v>352</v>
      </c>
      <c r="H2318" t="s">
        <v>599</v>
      </c>
      <c r="I2318" t="s">
        <v>22</v>
      </c>
      <c r="J2318" s="2" t="s">
        <v>42</v>
      </c>
      <c r="K2318" s="2" t="s">
        <v>3019</v>
      </c>
      <c r="L2318" t="s">
        <v>25</v>
      </c>
      <c r="M2318" s="8">
        <v>1.2589999999999999</v>
      </c>
      <c r="N2318" t="s">
        <v>26</v>
      </c>
      <c r="O2318" s="8">
        <v>1.2589999999999999</v>
      </c>
      <c r="P2318" s="8">
        <f>EXP(-1.363+3.366*LOG(O2318,10))</f>
        <v>0.35832553416118129</v>
      </c>
      <c r="Q2318" s="8">
        <f>(1955155*100)/2180255</f>
        <v>89.67551960665152</v>
      </c>
    </row>
    <row r="2319" spans="1:17" x14ac:dyDescent="0.2">
      <c r="A2319">
        <f>YEAR(D2319)</f>
        <v>2019</v>
      </c>
      <c r="B2319" t="e">
        <f>CONCATENATE(K2319,#REF!)</f>
        <v>#REF!</v>
      </c>
      <c r="C2319" s="2" t="s">
        <v>3025</v>
      </c>
      <c r="D2319" s="1">
        <v>43563</v>
      </c>
      <c r="E2319">
        <f>MONTH(D2319)</f>
        <v>4</v>
      </c>
      <c r="F2319" s="2" t="s">
        <v>19</v>
      </c>
      <c r="G2319" s="2" t="s">
        <v>20</v>
      </c>
      <c r="H2319" t="s">
        <v>103</v>
      </c>
      <c r="I2319" t="s">
        <v>22</v>
      </c>
      <c r="J2319" s="2" t="s">
        <v>42</v>
      </c>
      <c r="K2319" s="2" t="s">
        <v>3019</v>
      </c>
      <c r="L2319" t="s">
        <v>25</v>
      </c>
      <c r="M2319" s="8">
        <v>2.177</v>
      </c>
      <c r="N2319" t="s">
        <v>26</v>
      </c>
      <c r="O2319" s="8">
        <v>2.177</v>
      </c>
      <c r="P2319" s="8">
        <f>EXP(-1.363+3.366*LOG(O2319,10))</f>
        <v>0.79790277256387487</v>
      </c>
      <c r="Q2319" s="8">
        <f>(1955155*100)/2180255</f>
        <v>89.67551960665152</v>
      </c>
    </row>
    <row r="2320" spans="1:17" x14ac:dyDescent="0.2">
      <c r="A2320">
        <f>YEAR(D2320)</f>
        <v>2019</v>
      </c>
      <c r="B2320" t="s">
        <v>26</v>
      </c>
      <c r="C2320" s="2" t="s">
        <v>3025</v>
      </c>
      <c r="D2320" s="1">
        <v>43563</v>
      </c>
      <c r="E2320">
        <f>MONTH(D2320)</f>
        <v>4</v>
      </c>
      <c r="F2320" s="2" t="s">
        <v>19</v>
      </c>
      <c r="G2320" t="s">
        <v>352</v>
      </c>
      <c r="H2320" t="s">
        <v>1344</v>
      </c>
      <c r="I2320" t="s">
        <v>22</v>
      </c>
      <c r="J2320" s="2" t="s">
        <v>42</v>
      </c>
      <c r="K2320" s="2" t="s">
        <v>3019</v>
      </c>
      <c r="L2320" t="s">
        <v>25</v>
      </c>
      <c r="M2320" s="8">
        <v>0.91800000000000004</v>
      </c>
      <c r="N2320" t="s">
        <v>26</v>
      </c>
      <c r="O2320" s="8">
        <v>0.91800000000000004</v>
      </c>
      <c r="P2320" s="8">
        <f>EXP(-1.363+3.366*LOG(O2320,10))</f>
        <v>0.22580769814771504</v>
      </c>
      <c r="Q2320" s="8">
        <f>(1955155*100)/2180255</f>
        <v>89.67551960665152</v>
      </c>
    </row>
    <row r="2321" spans="1:17" x14ac:dyDescent="0.2">
      <c r="A2321">
        <f>YEAR(D2321)</f>
        <v>2019</v>
      </c>
      <c r="B2321" t="s">
        <v>26</v>
      </c>
      <c r="C2321" s="2" t="s">
        <v>3025</v>
      </c>
      <c r="D2321" s="1">
        <v>43563</v>
      </c>
      <c r="E2321">
        <f>MONTH(D2321)</f>
        <v>4</v>
      </c>
      <c r="F2321" s="2" t="s">
        <v>19</v>
      </c>
      <c r="G2321" t="s">
        <v>20</v>
      </c>
      <c r="H2321" t="s">
        <v>149</v>
      </c>
      <c r="I2321" t="s">
        <v>22</v>
      </c>
      <c r="J2321" s="2" t="s">
        <v>42</v>
      </c>
      <c r="K2321" s="2" t="s">
        <v>3019</v>
      </c>
      <c r="L2321" t="s">
        <v>25</v>
      </c>
      <c r="M2321" s="8">
        <v>1.45</v>
      </c>
      <c r="N2321" t="s">
        <v>26</v>
      </c>
      <c r="O2321" s="8">
        <v>1.45</v>
      </c>
      <c r="P2321" s="8">
        <f>EXP(-1.363+3.366*LOG(O2321,10))</f>
        <v>0.44050419760124854</v>
      </c>
      <c r="Q2321" s="8">
        <f>(1955155*100)/2180255</f>
        <v>89.67551960665152</v>
      </c>
    </row>
    <row r="2322" spans="1:17" x14ac:dyDescent="0.2">
      <c r="A2322">
        <f>YEAR(D2322)</f>
        <v>2019</v>
      </c>
      <c r="B2322" t="s">
        <v>26</v>
      </c>
      <c r="C2322" s="2" t="s">
        <v>3025</v>
      </c>
      <c r="D2322" s="1">
        <v>43563</v>
      </c>
      <c r="E2322">
        <f>MONTH(D2322)</f>
        <v>4</v>
      </c>
      <c r="F2322" s="2" t="s">
        <v>19</v>
      </c>
      <c r="G2322" t="s">
        <v>20</v>
      </c>
      <c r="H2322" t="s">
        <v>149</v>
      </c>
      <c r="I2322" t="s">
        <v>22</v>
      </c>
      <c r="J2322" s="2" t="s">
        <v>42</v>
      </c>
      <c r="K2322" s="2" t="s">
        <v>3019</v>
      </c>
      <c r="L2322" t="s">
        <v>25</v>
      </c>
      <c r="M2322" s="8">
        <v>1.45</v>
      </c>
      <c r="N2322" t="s">
        <v>26</v>
      </c>
      <c r="O2322" s="8">
        <v>1.45</v>
      </c>
      <c r="P2322" s="8">
        <f>EXP(-1.363+3.366*LOG(O2322,10))</f>
        <v>0.44050419760124854</v>
      </c>
      <c r="Q2322" s="8">
        <f>(1955155*100)/2180255</f>
        <v>89.67551960665152</v>
      </c>
    </row>
    <row r="2323" spans="1:17" x14ac:dyDescent="0.2">
      <c r="A2323">
        <f>YEAR(D2323)</f>
        <v>2019</v>
      </c>
      <c r="B2323" t="s">
        <v>26</v>
      </c>
      <c r="C2323" s="2" t="s">
        <v>3025</v>
      </c>
      <c r="D2323" s="1">
        <v>43563</v>
      </c>
      <c r="E2323">
        <f>MONTH(D2323)</f>
        <v>4</v>
      </c>
      <c r="F2323" s="2" t="s">
        <v>19</v>
      </c>
      <c r="G2323" t="s">
        <v>1532</v>
      </c>
      <c r="H2323" t="s">
        <v>1533</v>
      </c>
      <c r="I2323" t="s">
        <v>36</v>
      </c>
      <c r="J2323" s="2" t="s">
        <v>42</v>
      </c>
      <c r="K2323" s="2" t="s">
        <v>3019</v>
      </c>
      <c r="L2323" t="s">
        <v>25</v>
      </c>
      <c r="M2323" s="8">
        <v>2.63</v>
      </c>
      <c r="N2323" t="s">
        <v>26</v>
      </c>
      <c r="O2323" s="8">
        <v>2.63</v>
      </c>
      <c r="P2323" s="8">
        <f>EXP(-1.363+3.366*LOG(O2323,10))</f>
        <v>1.0518715955632558</v>
      </c>
      <c r="Q2323" s="8">
        <f>(1955155*100)/2180255</f>
        <v>89.67551960665152</v>
      </c>
    </row>
    <row r="2324" spans="1:17" x14ac:dyDescent="0.2">
      <c r="A2324">
        <f>YEAR(D2324)</f>
        <v>2019</v>
      </c>
      <c r="B2324" t="s">
        <v>26</v>
      </c>
      <c r="C2324" s="2" t="s">
        <v>3025</v>
      </c>
      <c r="D2324" s="1">
        <v>43563</v>
      </c>
      <c r="E2324">
        <f>MONTH(D2324)</f>
        <v>4</v>
      </c>
      <c r="F2324" s="2" t="s">
        <v>19</v>
      </c>
      <c r="G2324" s="2" t="s">
        <v>20</v>
      </c>
      <c r="H2324" t="s">
        <v>87</v>
      </c>
      <c r="I2324" t="s">
        <v>36</v>
      </c>
      <c r="J2324" s="2" t="s">
        <v>42</v>
      </c>
      <c r="K2324" s="2" t="s">
        <v>3019</v>
      </c>
      <c r="L2324" t="s">
        <v>25</v>
      </c>
      <c r="M2324" s="8">
        <v>1.766</v>
      </c>
      <c r="N2324" t="s">
        <v>26</v>
      </c>
      <c r="O2324" s="8">
        <v>1.766</v>
      </c>
      <c r="P2324" s="8">
        <f>EXP(-1.363+3.366*LOG(O2324,10))</f>
        <v>0.58764673270465972</v>
      </c>
      <c r="Q2324" s="8">
        <f>(1955155*100)/2180255</f>
        <v>89.67551960665152</v>
      </c>
    </row>
    <row r="2325" spans="1:17" x14ac:dyDescent="0.2">
      <c r="A2325">
        <f>YEAR(D2325)</f>
        <v>2019</v>
      </c>
      <c r="B2325" t="s">
        <v>26</v>
      </c>
      <c r="C2325" s="2" t="s">
        <v>3025</v>
      </c>
      <c r="D2325" s="1">
        <v>43563</v>
      </c>
      <c r="E2325">
        <f>MONTH(D2325)</f>
        <v>4</v>
      </c>
      <c r="F2325" s="2" t="s">
        <v>19</v>
      </c>
      <c r="G2325" t="s">
        <v>1532</v>
      </c>
      <c r="H2325" t="s">
        <v>1533</v>
      </c>
      <c r="I2325" t="s">
        <v>36</v>
      </c>
      <c r="J2325" s="2" t="s">
        <v>42</v>
      </c>
      <c r="K2325" s="2" t="s">
        <v>3019</v>
      </c>
      <c r="L2325" t="s">
        <v>25</v>
      </c>
      <c r="M2325" s="8">
        <v>2.63</v>
      </c>
      <c r="N2325" t="s">
        <v>26</v>
      </c>
      <c r="O2325" s="8">
        <v>2.63</v>
      </c>
      <c r="P2325" s="8">
        <f>EXP(-1.363+3.366*LOG(O2325,10))</f>
        <v>1.0518715955632558</v>
      </c>
      <c r="Q2325" s="8">
        <f>(1955155*100)/2180255</f>
        <v>89.67551960665152</v>
      </c>
    </row>
    <row r="2326" spans="1:17" x14ac:dyDescent="0.2">
      <c r="A2326">
        <f>YEAR(D2326)</f>
        <v>2019</v>
      </c>
      <c r="B2326" t="s">
        <v>26</v>
      </c>
      <c r="C2326" s="2" t="s">
        <v>3025</v>
      </c>
      <c r="D2326" s="1">
        <v>43563</v>
      </c>
      <c r="E2326">
        <f>MONTH(D2326)</f>
        <v>4</v>
      </c>
      <c r="F2326" s="2" t="s">
        <v>19</v>
      </c>
      <c r="G2326" t="s">
        <v>1532</v>
      </c>
      <c r="H2326" t="s">
        <v>1533</v>
      </c>
      <c r="I2326" t="s">
        <v>36</v>
      </c>
      <c r="J2326" s="2" t="s">
        <v>42</v>
      </c>
      <c r="K2326" s="2" t="s">
        <v>3019</v>
      </c>
      <c r="L2326" t="s">
        <v>25</v>
      </c>
      <c r="M2326" s="8">
        <v>2.63</v>
      </c>
      <c r="N2326" t="s">
        <v>26</v>
      </c>
      <c r="O2326" s="8">
        <v>2.63</v>
      </c>
      <c r="P2326" s="8">
        <f>EXP(-1.363+3.366*LOG(O2326,10))</f>
        <v>1.0518715955632558</v>
      </c>
      <c r="Q2326" s="8">
        <f>(1955155*100)/2180255</f>
        <v>89.67551960665152</v>
      </c>
    </row>
    <row r="2327" spans="1:17" x14ac:dyDescent="0.2">
      <c r="A2327">
        <f>YEAR(D2327)</f>
        <v>2019</v>
      </c>
      <c r="B2327" t="s">
        <v>26</v>
      </c>
      <c r="C2327" s="2" t="s">
        <v>3025</v>
      </c>
      <c r="D2327" s="1">
        <v>43563</v>
      </c>
      <c r="E2327">
        <f>MONTH(D2327)</f>
        <v>4</v>
      </c>
      <c r="F2327" s="2" t="s">
        <v>19</v>
      </c>
      <c r="G2327" t="s">
        <v>352</v>
      </c>
      <c r="H2327" t="s">
        <v>623</v>
      </c>
      <c r="I2327" t="s">
        <v>22</v>
      </c>
      <c r="J2327" s="2" t="s">
        <v>42</v>
      </c>
      <c r="K2327" s="2" t="s">
        <v>3019</v>
      </c>
      <c r="L2327" t="s">
        <v>25</v>
      </c>
      <c r="M2327" s="8">
        <v>1.387</v>
      </c>
      <c r="N2327" t="s">
        <v>26</v>
      </c>
      <c r="O2327" s="8">
        <v>1.387</v>
      </c>
      <c r="P2327" s="8">
        <f>EXP(-1.363+3.366*LOG(O2327,10))</f>
        <v>0.41280884754947733</v>
      </c>
      <c r="Q2327" s="8">
        <f>(1955155*100)/2180255</f>
        <v>89.67551960665152</v>
      </c>
    </row>
    <row r="2328" spans="1:17" x14ac:dyDescent="0.2">
      <c r="A2328">
        <f>YEAR(D2328)</f>
        <v>2019</v>
      </c>
      <c r="B2328" t="s">
        <v>26</v>
      </c>
      <c r="C2328" s="2" t="s">
        <v>3025</v>
      </c>
      <c r="D2328" s="1">
        <v>43563</v>
      </c>
      <c r="E2328">
        <f>MONTH(D2328)</f>
        <v>4</v>
      </c>
      <c r="F2328" s="2" t="s">
        <v>19</v>
      </c>
      <c r="G2328" s="2" t="s">
        <v>20</v>
      </c>
      <c r="H2328" t="s">
        <v>91</v>
      </c>
      <c r="I2328" t="s">
        <v>22</v>
      </c>
      <c r="J2328" s="2" t="s">
        <v>42</v>
      </c>
      <c r="K2328" s="2" t="s">
        <v>3019</v>
      </c>
      <c r="L2328" t="s">
        <v>25</v>
      </c>
      <c r="M2328" s="8">
        <v>2.0630000000000002</v>
      </c>
      <c r="N2328" t="s">
        <v>26</v>
      </c>
      <c r="O2328" s="8">
        <v>2.0630000000000002</v>
      </c>
      <c r="P2328" s="8">
        <f>EXP(-1.363+3.366*LOG(O2328,10))</f>
        <v>0.73756902742293162</v>
      </c>
      <c r="Q2328" s="8">
        <f>(1955155*100)/2180255</f>
        <v>89.67551960665152</v>
      </c>
    </row>
    <row r="2329" spans="1:17" x14ac:dyDescent="0.2">
      <c r="A2329">
        <f>YEAR(D2329)</f>
        <v>2019</v>
      </c>
      <c r="B2329" t="s">
        <v>26</v>
      </c>
      <c r="C2329" s="2" t="s">
        <v>3025</v>
      </c>
      <c r="D2329" s="1">
        <v>43563</v>
      </c>
      <c r="E2329">
        <f>MONTH(D2329)</f>
        <v>4</v>
      </c>
      <c r="F2329" s="2" t="s">
        <v>19</v>
      </c>
      <c r="G2329" s="2" t="s">
        <v>20</v>
      </c>
      <c r="H2329" t="s">
        <v>2357</v>
      </c>
      <c r="I2329" t="s">
        <v>22</v>
      </c>
      <c r="J2329" s="2" t="s">
        <v>42</v>
      </c>
      <c r="K2329" s="2" t="s">
        <v>3019</v>
      </c>
      <c r="L2329" t="s">
        <v>187</v>
      </c>
      <c r="M2329" s="8">
        <v>2.2370000000000001</v>
      </c>
      <c r="N2329" t="s">
        <v>26</v>
      </c>
      <c r="O2329" s="8">
        <v>2.2370000000000001</v>
      </c>
      <c r="P2329" s="8">
        <f>EXP(-1.363+3.366*LOG(O2329,10))</f>
        <v>0.83025342162881466</v>
      </c>
      <c r="Q2329" s="8">
        <f>(1955155*100)/2180255</f>
        <v>89.67551960665152</v>
      </c>
    </row>
    <row r="2330" spans="1:17" x14ac:dyDescent="0.2">
      <c r="A2330">
        <f>YEAR(D2330)</f>
        <v>2019</v>
      </c>
      <c r="B2330" t="e">
        <f>CONCATENATE(K2330,#REF!)</f>
        <v>#REF!</v>
      </c>
      <c r="C2330" s="2" t="s">
        <v>3025</v>
      </c>
      <c r="D2330" s="1">
        <v>43563</v>
      </c>
      <c r="E2330">
        <f>MONTH(D2330)</f>
        <v>4</v>
      </c>
      <c r="F2330" s="2" t="s">
        <v>19</v>
      </c>
      <c r="G2330" s="2" t="s">
        <v>20</v>
      </c>
      <c r="H2330" t="s">
        <v>103</v>
      </c>
      <c r="I2330" t="s">
        <v>22</v>
      </c>
      <c r="J2330" s="2" t="s">
        <v>42</v>
      </c>
      <c r="K2330" s="2" t="s">
        <v>3019</v>
      </c>
      <c r="L2330" t="s">
        <v>25</v>
      </c>
      <c r="M2330" s="8">
        <v>2.177</v>
      </c>
      <c r="N2330" t="s">
        <v>26</v>
      </c>
      <c r="O2330" s="8">
        <v>2.177</v>
      </c>
      <c r="P2330" s="8">
        <f>EXP(-1.363+3.366*LOG(O2330,10))</f>
        <v>0.79790277256387487</v>
      </c>
      <c r="Q2330" s="8">
        <f>(1955155*100)/2180255</f>
        <v>89.67551960665152</v>
      </c>
    </row>
    <row r="2331" spans="1:17" x14ac:dyDescent="0.2">
      <c r="A2331">
        <f>YEAR(D2331)</f>
        <v>2019</v>
      </c>
      <c r="B2331" t="s">
        <v>26</v>
      </c>
      <c r="C2331" s="2" t="s">
        <v>3025</v>
      </c>
      <c r="D2331" s="1">
        <v>43563</v>
      </c>
      <c r="E2331">
        <f>MONTH(D2331)</f>
        <v>4</v>
      </c>
      <c r="F2331" s="2" t="s">
        <v>19</v>
      </c>
      <c r="G2331" t="s">
        <v>219</v>
      </c>
      <c r="H2331" t="s">
        <v>220</v>
      </c>
      <c r="I2331" t="s">
        <v>22</v>
      </c>
      <c r="J2331" s="2" t="s">
        <v>42</v>
      </c>
      <c r="K2331" s="2" t="s">
        <v>3019</v>
      </c>
      <c r="L2331" t="s">
        <v>25</v>
      </c>
      <c r="M2331" s="10" t="s">
        <v>26</v>
      </c>
      <c r="N2331" t="s">
        <v>26</v>
      </c>
      <c r="O2331" s="10" t="s">
        <v>26</v>
      </c>
      <c r="P2331" s="8" t="s">
        <v>26</v>
      </c>
      <c r="Q2331" s="8">
        <f>(1955155*100)/2180255</f>
        <v>89.67551960665152</v>
      </c>
    </row>
    <row r="2332" spans="1:17" x14ac:dyDescent="0.2">
      <c r="A2332">
        <f>YEAR(D2332)</f>
        <v>2019</v>
      </c>
      <c r="B2332" t="s">
        <v>26</v>
      </c>
      <c r="C2332" s="2" t="s">
        <v>3018</v>
      </c>
      <c r="D2332" s="1">
        <v>43566</v>
      </c>
      <c r="E2332">
        <f>MONTH(D2332)</f>
        <v>4</v>
      </c>
      <c r="F2332" s="2" t="s">
        <v>19</v>
      </c>
      <c r="G2332" t="s">
        <v>352</v>
      </c>
      <c r="H2332" t="s">
        <v>975</v>
      </c>
      <c r="I2332" t="s">
        <v>22</v>
      </c>
      <c r="J2332" s="2" t="s">
        <v>42</v>
      </c>
      <c r="K2332" s="2" t="s">
        <v>3019</v>
      </c>
      <c r="L2332" t="s">
        <v>25</v>
      </c>
      <c r="M2332" s="8">
        <v>1.0693333330000001</v>
      </c>
      <c r="N2332" t="s">
        <v>26</v>
      </c>
      <c r="O2332" s="8">
        <v>1.0693333330000001</v>
      </c>
      <c r="P2332" s="8">
        <f>EXP(-1.363+3.366*LOG(O2332,10))</f>
        <v>0.28223780327142356</v>
      </c>
      <c r="Q2332" s="8">
        <f>(5996898*100)/6073515</f>
        <v>98.738506449724753</v>
      </c>
    </row>
    <row r="2333" spans="1:17" x14ac:dyDescent="0.2">
      <c r="A2333">
        <f>YEAR(D2333)</f>
        <v>2019</v>
      </c>
      <c r="B2333" t="s">
        <v>26</v>
      </c>
      <c r="C2333" s="2" t="s">
        <v>3018</v>
      </c>
      <c r="D2333" s="1">
        <v>43566</v>
      </c>
      <c r="E2333">
        <f>MONTH(D2333)</f>
        <v>4</v>
      </c>
      <c r="F2333" s="2" t="s">
        <v>19</v>
      </c>
      <c r="G2333" t="s">
        <v>352</v>
      </c>
      <c r="H2333" t="s">
        <v>975</v>
      </c>
      <c r="I2333" t="s">
        <v>22</v>
      </c>
      <c r="J2333" s="2" t="s">
        <v>42</v>
      </c>
      <c r="K2333" s="2" t="s">
        <v>3019</v>
      </c>
      <c r="L2333" t="s">
        <v>25</v>
      </c>
      <c r="M2333" s="8">
        <v>1.0693333330000001</v>
      </c>
      <c r="N2333" t="s">
        <v>26</v>
      </c>
      <c r="O2333" s="8">
        <v>1.0693333330000001</v>
      </c>
      <c r="P2333" s="8">
        <f>EXP(-1.363+3.366*LOG(O2333,10))</f>
        <v>0.28223780327142356</v>
      </c>
      <c r="Q2333" s="8">
        <f>(5996898*100)/6073515</f>
        <v>98.738506449724753</v>
      </c>
    </row>
    <row r="2334" spans="1:17" x14ac:dyDescent="0.2">
      <c r="A2334">
        <f>YEAR(D2334)</f>
        <v>2019</v>
      </c>
      <c r="B2334" t="s">
        <v>26</v>
      </c>
      <c r="C2334" s="2" t="s">
        <v>3018</v>
      </c>
      <c r="D2334" s="1">
        <v>43566</v>
      </c>
      <c r="E2334">
        <f>MONTH(D2334)</f>
        <v>4</v>
      </c>
      <c r="F2334" s="2" t="s">
        <v>19</v>
      </c>
      <c r="G2334" t="s">
        <v>20</v>
      </c>
      <c r="H2334" t="s">
        <v>2295</v>
      </c>
      <c r="I2334" t="s">
        <v>22</v>
      </c>
      <c r="J2334" s="2" t="s">
        <v>42</v>
      </c>
      <c r="K2334" s="2" t="s">
        <v>3019</v>
      </c>
      <c r="L2334" t="s">
        <v>25</v>
      </c>
      <c r="M2334" s="8">
        <v>1.1566666670000001</v>
      </c>
      <c r="N2334" t="s">
        <v>26</v>
      </c>
      <c r="O2334" s="8">
        <v>1.1566666670000001</v>
      </c>
      <c r="P2334" s="8">
        <f>EXP(-1.363+3.366*LOG(O2334,10))</f>
        <v>0.31656042770005527</v>
      </c>
      <c r="Q2334" s="8">
        <f>(5996898*100)/6073515</f>
        <v>98.738506449724753</v>
      </c>
    </row>
    <row r="2335" spans="1:17" x14ac:dyDescent="0.2">
      <c r="A2335">
        <f>YEAR(D2335)</f>
        <v>2019</v>
      </c>
      <c r="B2335" t="s">
        <v>26</v>
      </c>
      <c r="C2335" s="2" t="s">
        <v>3018</v>
      </c>
      <c r="D2335" s="1">
        <v>43566</v>
      </c>
      <c r="E2335">
        <f>MONTH(D2335)</f>
        <v>4</v>
      </c>
      <c r="F2335" s="2" t="s">
        <v>19</v>
      </c>
      <c r="G2335" t="s">
        <v>230</v>
      </c>
      <c r="H2335" t="s">
        <v>268</v>
      </c>
      <c r="I2335" t="s">
        <v>22</v>
      </c>
      <c r="J2335" s="2" t="s">
        <v>42</v>
      </c>
      <c r="K2335" s="2" t="s">
        <v>3019</v>
      </c>
      <c r="L2335" t="s">
        <v>25</v>
      </c>
      <c r="M2335" s="8">
        <v>3.5356666670000001</v>
      </c>
      <c r="N2335" t="s">
        <v>26</v>
      </c>
      <c r="O2335" s="8">
        <v>3.5356666670000001</v>
      </c>
      <c r="P2335" s="8">
        <f>EXP(-1.363+3.366*LOG(O2335,10))</f>
        <v>1.6211802664427075</v>
      </c>
      <c r="Q2335" s="8">
        <f>(5996898*100)/6073515</f>
        <v>98.738506449724753</v>
      </c>
    </row>
    <row r="2336" spans="1:17" x14ac:dyDescent="0.2">
      <c r="A2336">
        <f>YEAR(D2336)</f>
        <v>2019</v>
      </c>
      <c r="B2336" t="s">
        <v>26</v>
      </c>
      <c r="C2336" s="2" t="s">
        <v>3018</v>
      </c>
      <c r="D2336" s="1">
        <v>43566</v>
      </c>
      <c r="E2336">
        <f>MONTH(D2336)</f>
        <v>4</v>
      </c>
      <c r="F2336" s="2" t="s">
        <v>19</v>
      </c>
      <c r="G2336" t="s">
        <v>1532</v>
      </c>
      <c r="H2336" t="s">
        <v>1533</v>
      </c>
      <c r="I2336" t="s">
        <v>36</v>
      </c>
      <c r="J2336" s="2" t="s">
        <v>42</v>
      </c>
      <c r="K2336" s="2" t="s">
        <v>3019</v>
      </c>
      <c r="L2336" t="s">
        <v>25</v>
      </c>
      <c r="M2336" s="8">
        <v>2.63</v>
      </c>
      <c r="N2336" t="s">
        <v>26</v>
      </c>
      <c r="O2336" s="8">
        <v>2.63</v>
      </c>
      <c r="P2336" s="8">
        <f>EXP(-1.363+3.366*LOG(O2336,10))</f>
        <v>1.0518715955632558</v>
      </c>
      <c r="Q2336" s="8">
        <f>(5996898*100)/6073515</f>
        <v>98.738506449724753</v>
      </c>
    </row>
    <row r="2337" spans="1:17" x14ac:dyDescent="0.2">
      <c r="A2337">
        <f>YEAR(D2337)</f>
        <v>2019</v>
      </c>
      <c r="B2337" t="s">
        <v>26</v>
      </c>
      <c r="C2337" s="2" t="s">
        <v>3018</v>
      </c>
      <c r="D2337" s="1">
        <v>43566</v>
      </c>
      <c r="E2337">
        <f>MONTH(D2337)</f>
        <v>4</v>
      </c>
      <c r="F2337" s="2" t="s">
        <v>19</v>
      </c>
      <c r="G2337" t="s">
        <v>352</v>
      </c>
      <c r="H2337" t="s">
        <v>747</v>
      </c>
      <c r="I2337" t="s">
        <v>22</v>
      </c>
      <c r="J2337" s="2" t="s">
        <v>42</v>
      </c>
      <c r="K2337" s="2" t="s">
        <v>3019</v>
      </c>
      <c r="L2337" t="s">
        <v>25</v>
      </c>
      <c r="M2337" s="8">
        <v>1.3726666670000001</v>
      </c>
      <c r="N2337" t="s">
        <v>26</v>
      </c>
      <c r="O2337" s="8">
        <v>1.3726666670000001</v>
      </c>
      <c r="P2337" s="8">
        <f>EXP(-1.363+3.366*LOG(O2337,10))</f>
        <v>0.40658758379567089</v>
      </c>
      <c r="Q2337" s="8">
        <f>(5996898*100)/6073515</f>
        <v>98.738506449724753</v>
      </c>
    </row>
    <row r="2338" spans="1:17" x14ac:dyDescent="0.2">
      <c r="A2338">
        <f>YEAR(D2338)</f>
        <v>2019</v>
      </c>
      <c r="B2338" t="s">
        <v>26</v>
      </c>
      <c r="C2338" s="2" t="s">
        <v>3018</v>
      </c>
      <c r="D2338" s="1">
        <v>43566</v>
      </c>
      <c r="E2338">
        <f>MONTH(D2338)</f>
        <v>4</v>
      </c>
      <c r="F2338" s="2" t="s">
        <v>19</v>
      </c>
      <c r="G2338" t="s">
        <v>352</v>
      </c>
      <c r="H2338" t="s">
        <v>494</v>
      </c>
      <c r="I2338" t="s">
        <v>22</v>
      </c>
      <c r="J2338" s="2" t="s">
        <v>42</v>
      </c>
      <c r="K2338" s="2" t="s">
        <v>3019</v>
      </c>
      <c r="L2338" t="s">
        <v>25</v>
      </c>
      <c r="M2338" s="8">
        <v>1.7226666669999999</v>
      </c>
      <c r="N2338" t="s">
        <v>26</v>
      </c>
      <c r="O2338" s="8">
        <v>1.7226666669999999</v>
      </c>
      <c r="P2338" s="8">
        <f>EXP(-1.363+3.366*LOG(O2338,10))</f>
        <v>0.56668788662759551</v>
      </c>
      <c r="Q2338" s="8">
        <f>(5996898*100)/6073515</f>
        <v>98.738506449724753</v>
      </c>
    </row>
    <row r="2339" spans="1:17" x14ac:dyDescent="0.2">
      <c r="A2339">
        <f>YEAR(D2339)</f>
        <v>2019</v>
      </c>
      <c r="B2339" t="s">
        <v>26</v>
      </c>
      <c r="C2339" s="2" t="s">
        <v>3018</v>
      </c>
      <c r="D2339" s="1">
        <v>43566</v>
      </c>
      <c r="E2339">
        <f>MONTH(D2339)</f>
        <v>4</v>
      </c>
      <c r="F2339" s="2" t="s">
        <v>19</v>
      </c>
      <c r="G2339" t="s">
        <v>303</v>
      </c>
      <c r="H2339" t="s">
        <v>2133</v>
      </c>
      <c r="I2339" t="s">
        <v>22</v>
      </c>
      <c r="J2339" s="2" t="s">
        <v>42</v>
      </c>
      <c r="K2339" s="2" t="s">
        <v>3019</v>
      </c>
      <c r="L2339" t="s">
        <v>305</v>
      </c>
      <c r="M2339" s="8">
        <v>2.121</v>
      </c>
      <c r="N2339" t="s">
        <v>26</v>
      </c>
      <c r="O2339" s="8">
        <v>2.121</v>
      </c>
      <c r="P2339" s="8">
        <f>EXP(-1.363+3.366*LOG(O2339,10))</f>
        <v>0.7680779068462259</v>
      </c>
      <c r="Q2339" s="8">
        <f>(5996898*100)/6073515</f>
        <v>98.738506449724753</v>
      </c>
    </row>
    <row r="2340" spans="1:17" x14ac:dyDescent="0.2">
      <c r="A2340">
        <f>YEAR(D2340)</f>
        <v>2019</v>
      </c>
      <c r="B2340" t="s">
        <v>26</v>
      </c>
      <c r="C2340" s="2" t="s">
        <v>3018</v>
      </c>
      <c r="D2340" s="1">
        <v>43566</v>
      </c>
      <c r="E2340">
        <f>MONTH(D2340)</f>
        <v>4</v>
      </c>
      <c r="F2340" s="2" t="s">
        <v>19</v>
      </c>
      <c r="G2340" t="s">
        <v>20</v>
      </c>
      <c r="H2340" t="s">
        <v>175</v>
      </c>
      <c r="I2340" t="s">
        <v>22</v>
      </c>
      <c r="J2340" s="2" t="s">
        <v>42</v>
      </c>
      <c r="K2340" s="2" t="s">
        <v>3019</v>
      </c>
      <c r="L2340" t="s">
        <v>25</v>
      </c>
      <c r="M2340" s="8">
        <v>2.826333333</v>
      </c>
      <c r="N2340" t="s">
        <v>26</v>
      </c>
      <c r="O2340" s="8">
        <v>2.826333333</v>
      </c>
      <c r="P2340" s="8">
        <f>EXP(-1.363+3.366*LOG(O2340,10))</f>
        <v>1.1686133777472321</v>
      </c>
      <c r="Q2340" s="8">
        <f>(5996898*100)/6073515</f>
        <v>98.738506449724753</v>
      </c>
    </row>
    <row r="2341" spans="1:17" x14ac:dyDescent="0.2">
      <c r="A2341">
        <f>YEAR(D2341)</f>
        <v>2019</v>
      </c>
      <c r="B2341" t="s">
        <v>26</v>
      </c>
      <c r="C2341" s="2" t="s">
        <v>3018</v>
      </c>
      <c r="D2341" s="1">
        <v>43566</v>
      </c>
      <c r="E2341">
        <f>MONTH(D2341)</f>
        <v>4</v>
      </c>
      <c r="F2341" s="2" t="s">
        <v>19</v>
      </c>
      <c r="G2341" t="s">
        <v>303</v>
      </c>
      <c r="H2341" t="s">
        <v>304</v>
      </c>
      <c r="I2341" t="s">
        <v>22</v>
      </c>
      <c r="J2341" s="2" t="s">
        <v>42</v>
      </c>
      <c r="K2341" s="2" t="s">
        <v>3019</v>
      </c>
      <c r="L2341" t="s">
        <v>305</v>
      </c>
      <c r="M2341" s="8">
        <v>1.8525</v>
      </c>
      <c r="N2341" t="s">
        <v>26</v>
      </c>
      <c r="O2341" s="8">
        <v>1.8525</v>
      </c>
      <c r="P2341" s="8">
        <f>EXP(-1.363+3.366*LOG(O2341,10))</f>
        <v>0.63019508881221808</v>
      </c>
      <c r="Q2341" s="8">
        <f>(5996898*100)/6073515</f>
        <v>98.738506449724753</v>
      </c>
    </row>
    <row r="2342" spans="1:17" x14ac:dyDescent="0.2">
      <c r="A2342">
        <f>YEAR(D2342)</f>
        <v>2019</v>
      </c>
      <c r="B2342" t="s">
        <v>26</v>
      </c>
      <c r="C2342" s="2" t="s">
        <v>3018</v>
      </c>
      <c r="D2342" s="1">
        <v>43566</v>
      </c>
      <c r="E2342">
        <f>MONTH(D2342)</f>
        <v>4</v>
      </c>
      <c r="F2342" s="2" t="s">
        <v>19</v>
      </c>
      <c r="G2342" t="s">
        <v>303</v>
      </c>
      <c r="H2342" t="s">
        <v>307</v>
      </c>
      <c r="I2342" t="s">
        <v>36</v>
      </c>
      <c r="J2342" s="2" t="s">
        <v>42</v>
      </c>
      <c r="K2342" s="2" t="s">
        <v>3019</v>
      </c>
      <c r="L2342" t="s">
        <v>305</v>
      </c>
      <c r="M2342" s="8">
        <v>1.01</v>
      </c>
      <c r="N2342" t="s">
        <v>26</v>
      </c>
      <c r="O2342" s="8">
        <v>1.01</v>
      </c>
      <c r="P2342" s="8">
        <f>EXP(-1.363+3.366*LOG(O2342,10))</f>
        <v>0.25964128962709732</v>
      </c>
      <c r="Q2342" s="8">
        <f>(5996898*100)/6073515</f>
        <v>98.738506449724753</v>
      </c>
    </row>
    <row r="2343" spans="1:17" x14ac:dyDescent="0.2">
      <c r="A2343">
        <f>YEAR(D2343)</f>
        <v>2019</v>
      </c>
      <c r="B2343" t="s">
        <v>26</v>
      </c>
      <c r="C2343" s="2" t="s">
        <v>3018</v>
      </c>
      <c r="D2343" s="1">
        <v>43566</v>
      </c>
      <c r="E2343">
        <f>MONTH(D2343)</f>
        <v>4</v>
      </c>
      <c r="F2343" s="2" t="s">
        <v>19</v>
      </c>
      <c r="G2343" s="2" t="s">
        <v>303</v>
      </c>
      <c r="H2343" t="s">
        <v>3048</v>
      </c>
      <c r="I2343" t="s">
        <v>22</v>
      </c>
      <c r="J2343" s="2" t="s">
        <v>42</v>
      </c>
      <c r="K2343" s="2" t="s">
        <v>3019</v>
      </c>
      <c r="L2343" t="s">
        <v>305</v>
      </c>
      <c r="M2343" s="8">
        <v>1.1000000000000001</v>
      </c>
      <c r="N2343" t="s">
        <v>26</v>
      </c>
      <c r="O2343" s="8">
        <v>1.1000000000000001</v>
      </c>
      <c r="P2343" s="8">
        <f>EXP(-1.363+3.366*LOG(O2343,10))</f>
        <v>0.29414800446794787</v>
      </c>
      <c r="Q2343" s="8">
        <f>(5996898*100)/6073515</f>
        <v>98.738506449724753</v>
      </c>
    </row>
    <row r="2344" spans="1:17" x14ac:dyDescent="0.2">
      <c r="A2344">
        <f>YEAR(D2344)</f>
        <v>2019</v>
      </c>
      <c r="B2344" t="s">
        <v>26</v>
      </c>
      <c r="C2344" s="2" t="s">
        <v>3018</v>
      </c>
      <c r="D2344" s="1">
        <v>43566</v>
      </c>
      <c r="E2344">
        <f>MONTH(D2344)</f>
        <v>4</v>
      </c>
      <c r="F2344" s="2" t="s">
        <v>19</v>
      </c>
      <c r="G2344" t="s">
        <v>20</v>
      </c>
      <c r="H2344" t="s">
        <v>1732</v>
      </c>
      <c r="I2344" t="s">
        <v>22</v>
      </c>
      <c r="J2344" s="2" t="s">
        <v>42</v>
      </c>
      <c r="K2344" s="2" t="s">
        <v>3019</v>
      </c>
      <c r="L2344" t="s">
        <v>25</v>
      </c>
      <c r="M2344" s="8">
        <v>1.544</v>
      </c>
      <c r="N2344" t="s">
        <v>26</v>
      </c>
      <c r="O2344" s="8">
        <v>1.544</v>
      </c>
      <c r="P2344" s="8">
        <f>EXP(-1.363+3.366*LOG(O2344,10))</f>
        <v>0.48286739783554938</v>
      </c>
      <c r="Q2344" s="8">
        <f>(5996898*100)/6073515</f>
        <v>98.738506449724753</v>
      </c>
    </row>
    <row r="2345" spans="1:17" x14ac:dyDescent="0.2">
      <c r="A2345">
        <f>YEAR(D2345)</f>
        <v>2019</v>
      </c>
      <c r="B2345" t="s">
        <v>26</v>
      </c>
      <c r="C2345" s="2" t="s">
        <v>3018</v>
      </c>
      <c r="D2345" s="1">
        <v>43566</v>
      </c>
      <c r="E2345">
        <f>MONTH(D2345)</f>
        <v>4</v>
      </c>
      <c r="F2345" s="2" t="s">
        <v>19</v>
      </c>
      <c r="G2345" t="s">
        <v>20</v>
      </c>
      <c r="H2345" t="s">
        <v>2295</v>
      </c>
      <c r="I2345" t="s">
        <v>22</v>
      </c>
      <c r="J2345" s="2" t="s">
        <v>42</v>
      </c>
      <c r="K2345" s="2" t="s">
        <v>3019</v>
      </c>
      <c r="L2345" t="s">
        <v>25</v>
      </c>
      <c r="M2345" s="8">
        <v>1.1566666670000001</v>
      </c>
      <c r="N2345" t="s">
        <v>26</v>
      </c>
      <c r="O2345" s="8">
        <v>1.1566666670000001</v>
      </c>
      <c r="P2345" s="8">
        <f>EXP(-1.363+3.366*LOG(O2345,10))</f>
        <v>0.31656042770005527</v>
      </c>
      <c r="Q2345" s="8">
        <f>(5996898*100)/6073515</f>
        <v>98.738506449724753</v>
      </c>
    </row>
    <row r="2346" spans="1:17" x14ac:dyDescent="0.2">
      <c r="A2346">
        <f>YEAR(D2346)</f>
        <v>2019</v>
      </c>
      <c r="B2346" t="s">
        <v>26</v>
      </c>
      <c r="C2346" s="2" t="s">
        <v>3018</v>
      </c>
      <c r="D2346" s="1">
        <v>43566</v>
      </c>
      <c r="E2346">
        <f>MONTH(D2346)</f>
        <v>4</v>
      </c>
      <c r="F2346" s="2" t="s">
        <v>19</v>
      </c>
      <c r="G2346" t="s">
        <v>1532</v>
      </c>
      <c r="H2346" t="s">
        <v>1533</v>
      </c>
      <c r="I2346" t="s">
        <v>36</v>
      </c>
      <c r="J2346" s="2" t="s">
        <v>42</v>
      </c>
      <c r="K2346" s="2" t="s">
        <v>3019</v>
      </c>
      <c r="L2346" t="s">
        <v>25</v>
      </c>
      <c r="M2346" s="8">
        <v>2.63</v>
      </c>
      <c r="N2346" t="s">
        <v>26</v>
      </c>
      <c r="O2346" s="8">
        <v>2.63</v>
      </c>
      <c r="P2346" s="8">
        <f>EXP(-1.363+3.366*LOG(O2346,10))</f>
        <v>1.0518715955632558</v>
      </c>
      <c r="Q2346" s="8">
        <f>(5996898*100)/6073515</f>
        <v>98.738506449724753</v>
      </c>
    </row>
    <row r="2347" spans="1:17" x14ac:dyDescent="0.2">
      <c r="A2347">
        <f>YEAR(D2347)</f>
        <v>2019</v>
      </c>
      <c r="B2347" t="s">
        <v>26</v>
      </c>
      <c r="C2347" s="2" t="s">
        <v>3018</v>
      </c>
      <c r="D2347" s="1">
        <v>43566</v>
      </c>
      <c r="E2347">
        <f>MONTH(D2347)</f>
        <v>4</v>
      </c>
      <c r="F2347" s="2" t="s">
        <v>19</v>
      </c>
      <c r="G2347" s="2" t="s">
        <v>20</v>
      </c>
      <c r="H2347" t="s">
        <v>145</v>
      </c>
      <c r="I2347" t="s">
        <v>22</v>
      </c>
      <c r="J2347" s="2" t="s">
        <v>42</v>
      </c>
      <c r="K2347" s="2" t="s">
        <v>3019</v>
      </c>
      <c r="L2347" t="s">
        <v>25</v>
      </c>
      <c r="M2347" s="8">
        <v>2.399666667</v>
      </c>
      <c r="N2347" t="s">
        <v>26</v>
      </c>
      <c r="O2347" s="8">
        <v>2.399666667</v>
      </c>
      <c r="P2347" s="8">
        <f>EXP(-1.363+3.366*LOG(O2347,10))</f>
        <v>0.91997203423956198</v>
      </c>
      <c r="Q2347" s="8">
        <f>(5996898*100)/6073515</f>
        <v>98.738506449724753</v>
      </c>
    </row>
    <row r="2348" spans="1:17" x14ac:dyDescent="0.2">
      <c r="A2348">
        <f>YEAR(D2348)</f>
        <v>2019</v>
      </c>
      <c r="B2348" t="s">
        <v>26</v>
      </c>
      <c r="C2348" s="2" t="s">
        <v>3018</v>
      </c>
      <c r="D2348" s="1">
        <v>43566</v>
      </c>
      <c r="E2348">
        <f>MONTH(D2348)</f>
        <v>4</v>
      </c>
      <c r="F2348" s="2" t="s">
        <v>19</v>
      </c>
      <c r="G2348" t="s">
        <v>20</v>
      </c>
      <c r="H2348" t="s">
        <v>149</v>
      </c>
      <c r="I2348" t="s">
        <v>22</v>
      </c>
      <c r="J2348" s="2" t="s">
        <v>42</v>
      </c>
      <c r="K2348" s="2" t="s">
        <v>3019</v>
      </c>
      <c r="L2348" t="s">
        <v>25</v>
      </c>
      <c r="M2348" s="8">
        <v>1.45</v>
      </c>
      <c r="N2348" t="s">
        <v>26</v>
      </c>
      <c r="O2348" s="8">
        <v>1.45</v>
      </c>
      <c r="P2348" s="8">
        <f>EXP(-1.363+3.366*LOG(O2348,10))</f>
        <v>0.44050419760124854</v>
      </c>
      <c r="Q2348" s="8">
        <f>(5996898*100)/6073515</f>
        <v>98.738506449724753</v>
      </c>
    </row>
    <row r="2349" spans="1:17" x14ac:dyDescent="0.2">
      <c r="A2349">
        <f>YEAR(D2349)</f>
        <v>2019</v>
      </c>
      <c r="B2349" t="s">
        <v>26</v>
      </c>
      <c r="C2349" s="2" t="s">
        <v>3018</v>
      </c>
      <c r="D2349" s="1">
        <v>43566</v>
      </c>
      <c r="E2349">
        <f>MONTH(D2349)</f>
        <v>4</v>
      </c>
      <c r="F2349" s="2" t="s">
        <v>19</v>
      </c>
      <c r="G2349" s="2" t="s">
        <v>20</v>
      </c>
      <c r="H2349" t="s">
        <v>3044</v>
      </c>
      <c r="I2349" t="s">
        <v>22</v>
      </c>
      <c r="J2349" s="2" t="s">
        <v>42</v>
      </c>
      <c r="K2349" s="2" t="s">
        <v>3019</v>
      </c>
      <c r="L2349" t="s">
        <v>25</v>
      </c>
      <c r="M2349" s="8">
        <v>2.0016666666666669</v>
      </c>
      <c r="N2349" t="s">
        <v>26</v>
      </c>
      <c r="O2349" s="8">
        <v>2.0016666666666669</v>
      </c>
      <c r="P2349" s="8">
        <f>EXP(-1.363+3.366*LOG(O2349,10))</f>
        <v>0.70573508481973102</v>
      </c>
      <c r="Q2349" s="8">
        <f>(5996898*100)/6073515</f>
        <v>98.738506449724753</v>
      </c>
    </row>
    <row r="2350" spans="1:17" x14ac:dyDescent="0.2">
      <c r="A2350">
        <f>YEAR(D2350)</f>
        <v>2019</v>
      </c>
      <c r="B2350" t="e">
        <f>CONCATENATE(K2350,#REF!)</f>
        <v>#REF!</v>
      </c>
      <c r="C2350" s="2" t="s">
        <v>3018</v>
      </c>
      <c r="D2350" s="1">
        <v>43566</v>
      </c>
      <c r="E2350">
        <f>MONTH(D2350)</f>
        <v>4</v>
      </c>
      <c r="F2350" s="2" t="s">
        <v>19</v>
      </c>
      <c r="G2350" s="2" t="s">
        <v>20</v>
      </c>
      <c r="H2350" t="s">
        <v>103</v>
      </c>
      <c r="I2350" t="s">
        <v>22</v>
      </c>
      <c r="J2350" s="2" t="s">
        <v>42</v>
      </c>
      <c r="K2350" s="2" t="s">
        <v>3019</v>
      </c>
      <c r="L2350" t="s">
        <v>25</v>
      </c>
      <c r="M2350" s="8">
        <v>2.177</v>
      </c>
      <c r="N2350" t="s">
        <v>26</v>
      </c>
      <c r="O2350" s="8">
        <v>2.177</v>
      </c>
      <c r="P2350" s="8">
        <f>EXP(-1.363+3.366*LOG(O2350,10))</f>
        <v>0.79790277256387487</v>
      </c>
      <c r="Q2350" s="8">
        <f>(5996898*100)/6073515</f>
        <v>98.738506449724753</v>
      </c>
    </row>
    <row r="2351" spans="1:17" x14ac:dyDescent="0.2">
      <c r="A2351">
        <f>YEAR(D2351)</f>
        <v>2019</v>
      </c>
      <c r="B2351" t="s">
        <v>26</v>
      </c>
      <c r="C2351" s="2" t="s">
        <v>3018</v>
      </c>
      <c r="D2351" s="1">
        <v>43566</v>
      </c>
      <c r="E2351">
        <f>MONTH(D2351)</f>
        <v>4</v>
      </c>
      <c r="F2351" s="2" t="s">
        <v>19</v>
      </c>
      <c r="G2351" s="2" t="s">
        <v>20</v>
      </c>
      <c r="H2351" t="s">
        <v>1695</v>
      </c>
      <c r="I2351" t="s">
        <v>22</v>
      </c>
      <c r="J2351" s="2" t="s">
        <v>42</v>
      </c>
      <c r="K2351" s="2" t="s">
        <v>3019</v>
      </c>
      <c r="L2351" t="s">
        <v>25</v>
      </c>
      <c r="M2351" s="8">
        <v>2.6579999999999999</v>
      </c>
      <c r="N2351" t="s">
        <v>26</v>
      </c>
      <c r="O2351" s="8">
        <v>2.6579999999999999</v>
      </c>
      <c r="P2351" s="8">
        <f>EXP(-1.363+3.366*LOG(O2351,10))</f>
        <v>1.0682823211577772</v>
      </c>
      <c r="Q2351" s="8">
        <f>(5996898*100)/6073515</f>
        <v>98.738506449724753</v>
      </c>
    </row>
    <row r="2352" spans="1:17" x14ac:dyDescent="0.2">
      <c r="A2352">
        <f>YEAR(D2352)</f>
        <v>2019</v>
      </c>
      <c r="B2352" t="s">
        <v>26</v>
      </c>
      <c r="C2352" s="2" t="s">
        <v>3018</v>
      </c>
      <c r="D2352" s="1">
        <v>43566</v>
      </c>
      <c r="E2352">
        <f>MONTH(D2352)</f>
        <v>4</v>
      </c>
      <c r="F2352" s="2" t="s">
        <v>19</v>
      </c>
      <c r="G2352" t="s">
        <v>20</v>
      </c>
      <c r="H2352" t="s">
        <v>183</v>
      </c>
      <c r="I2352" t="s">
        <v>22</v>
      </c>
      <c r="J2352" s="2" t="s">
        <v>42</v>
      </c>
      <c r="K2352" s="2" t="s">
        <v>3019</v>
      </c>
      <c r="L2352" t="s">
        <v>25</v>
      </c>
      <c r="M2352" s="8">
        <v>2.7893333330000001</v>
      </c>
      <c r="N2352" t="s">
        <v>26</v>
      </c>
      <c r="O2352" s="8">
        <v>2.7893333330000001</v>
      </c>
      <c r="P2352" s="8">
        <f>EXP(-1.363+3.366*LOG(O2352,10))</f>
        <v>1.1463172389308915</v>
      </c>
      <c r="Q2352" s="8">
        <f>(5996898*100)/6073515</f>
        <v>98.738506449724753</v>
      </c>
    </row>
    <row r="2353" spans="1:17" x14ac:dyDescent="0.2">
      <c r="A2353">
        <f>YEAR(D2353)</f>
        <v>2019</v>
      </c>
      <c r="B2353" t="s">
        <v>26</v>
      </c>
      <c r="C2353" s="2" t="s">
        <v>3018</v>
      </c>
      <c r="D2353" s="1">
        <v>43566</v>
      </c>
      <c r="E2353">
        <f>MONTH(D2353)</f>
        <v>4</v>
      </c>
      <c r="F2353" s="2" t="s">
        <v>19</v>
      </c>
      <c r="G2353" t="s">
        <v>352</v>
      </c>
      <c r="H2353" t="s">
        <v>747</v>
      </c>
      <c r="I2353" t="s">
        <v>22</v>
      </c>
      <c r="J2353" s="2" t="s">
        <v>42</v>
      </c>
      <c r="K2353" s="2" t="s">
        <v>3019</v>
      </c>
      <c r="L2353" t="s">
        <v>25</v>
      </c>
      <c r="M2353" s="8">
        <v>1.3726666670000001</v>
      </c>
      <c r="N2353" t="s">
        <v>26</v>
      </c>
      <c r="O2353" s="8">
        <v>1.3726666670000001</v>
      </c>
      <c r="P2353" s="8">
        <f>EXP(-1.363+3.366*LOG(O2353,10))</f>
        <v>0.40658758379567089</v>
      </c>
      <c r="Q2353" s="8">
        <f>(5996898*100)/6073515</f>
        <v>98.738506449724753</v>
      </c>
    </row>
    <row r="2354" spans="1:17" x14ac:dyDescent="0.2">
      <c r="A2354">
        <f>YEAR(D2354)</f>
        <v>2019</v>
      </c>
      <c r="B2354" t="s">
        <v>26</v>
      </c>
      <c r="C2354" s="2" t="s">
        <v>3018</v>
      </c>
      <c r="D2354" s="1">
        <v>43566</v>
      </c>
      <c r="E2354">
        <f>MONTH(D2354)</f>
        <v>4</v>
      </c>
      <c r="F2354" s="2" t="s">
        <v>19</v>
      </c>
      <c r="G2354" t="s">
        <v>352</v>
      </c>
      <c r="H2354" t="s">
        <v>353</v>
      </c>
      <c r="I2354" t="s">
        <v>22</v>
      </c>
      <c r="J2354" s="2" t="s">
        <v>42</v>
      </c>
      <c r="K2354" s="2" t="s">
        <v>3019</v>
      </c>
      <c r="L2354" t="s">
        <v>25</v>
      </c>
      <c r="M2354" s="8">
        <v>1.1623333330000001</v>
      </c>
      <c r="N2354" t="s">
        <v>26</v>
      </c>
      <c r="O2354" s="8">
        <v>1.1623333330000001</v>
      </c>
      <c r="P2354" s="8">
        <f>EXP(-1.363+3.366*LOG(O2354,10))</f>
        <v>0.31883010989102206</v>
      </c>
      <c r="Q2354" s="8">
        <f>(5996898*100)/6073515</f>
        <v>98.738506449724753</v>
      </c>
    </row>
    <row r="2355" spans="1:17" x14ac:dyDescent="0.2">
      <c r="A2355">
        <f>YEAR(D2355)</f>
        <v>2019</v>
      </c>
      <c r="B2355" t="s">
        <v>26</v>
      </c>
      <c r="C2355" s="2" t="s">
        <v>3018</v>
      </c>
      <c r="D2355" s="1">
        <v>43566</v>
      </c>
      <c r="E2355">
        <f>MONTH(D2355)</f>
        <v>4</v>
      </c>
      <c r="F2355" s="2" t="s">
        <v>19</v>
      </c>
      <c r="G2355" t="s">
        <v>352</v>
      </c>
      <c r="H2355" t="s">
        <v>494</v>
      </c>
      <c r="I2355" t="s">
        <v>22</v>
      </c>
      <c r="J2355" s="2" t="s">
        <v>42</v>
      </c>
      <c r="K2355" s="2" t="s">
        <v>3019</v>
      </c>
      <c r="L2355" t="s">
        <v>25</v>
      </c>
      <c r="M2355" s="8">
        <v>1.7226666669999999</v>
      </c>
      <c r="N2355" t="s">
        <v>26</v>
      </c>
      <c r="O2355" s="8">
        <v>1.7226666669999999</v>
      </c>
      <c r="P2355" s="8">
        <f>EXP(-1.363+3.366*LOG(O2355,10))</f>
        <v>0.56668788662759551</v>
      </c>
      <c r="Q2355" s="8">
        <f>(5996898*100)/6073515</f>
        <v>98.738506449724753</v>
      </c>
    </row>
    <row r="2356" spans="1:17" x14ac:dyDescent="0.2">
      <c r="A2356">
        <f>YEAR(D2356)</f>
        <v>2019</v>
      </c>
      <c r="B2356" t="s">
        <v>26</v>
      </c>
      <c r="C2356" s="2" t="s">
        <v>3018</v>
      </c>
      <c r="D2356" s="1">
        <v>43566</v>
      </c>
      <c r="E2356">
        <f>MONTH(D2356)</f>
        <v>4</v>
      </c>
      <c r="F2356" s="2" t="s">
        <v>19</v>
      </c>
      <c r="G2356" t="s">
        <v>20</v>
      </c>
      <c r="H2356" t="s">
        <v>149</v>
      </c>
      <c r="I2356" t="s">
        <v>22</v>
      </c>
      <c r="J2356" s="2" t="s">
        <v>42</v>
      </c>
      <c r="K2356" s="2" t="s">
        <v>3019</v>
      </c>
      <c r="L2356" t="s">
        <v>25</v>
      </c>
      <c r="M2356" s="8">
        <v>1.45</v>
      </c>
      <c r="N2356" t="s">
        <v>26</v>
      </c>
      <c r="O2356" s="8">
        <v>1.45</v>
      </c>
      <c r="P2356" s="8">
        <f>EXP(-1.363+3.366*LOG(O2356,10))</f>
        <v>0.44050419760124854</v>
      </c>
      <c r="Q2356" s="8">
        <f>(5996898*100)/6073515</f>
        <v>98.738506449724753</v>
      </c>
    </row>
    <row r="2357" spans="1:17" x14ac:dyDescent="0.2">
      <c r="A2357">
        <f>YEAR(D2357)</f>
        <v>2019</v>
      </c>
      <c r="B2357" t="s">
        <v>26</v>
      </c>
      <c r="C2357" s="2" t="s">
        <v>3018</v>
      </c>
      <c r="D2357" s="1">
        <v>43566</v>
      </c>
      <c r="E2357">
        <f>MONTH(D2357)</f>
        <v>4</v>
      </c>
      <c r="F2357" s="2" t="s">
        <v>19</v>
      </c>
      <c r="G2357" t="s">
        <v>20</v>
      </c>
      <c r="H2357" t="s">
        <v>149</v>
      </c>
      <c r="I2357" t="s">
        <v>22</v>
      </c>
      <c r="J2357" s="2" t="s">
        <v>42</v>
      </c>
      <c r="K2357" s="2" t="s">
        <v>3019</v>
      </c>
      <c r="L2357" t="s">
        <v>25</v>
      </c>
      <c r="M2357" s="8">
        <v>1.45</v>
      </c>
      <c r="N2357" t="s">
        <v>26</v>
      </c>
      <c r="O2357" s="8">
        <v>1.45</v>
      </c>
      <c r="P2357" s="8">
        <f>EXP(-1.363+3.366*LOG(O2357,10))</f>
        <v>0.44050419760124854</v>
      </c>
      <c r="Q2357" s="8">
        <f>(5996898*100)/6073515</f>
        <v>98.738506449724753</v>
      </c>
    </row>
    <row r="2358" spans="1:17" x14ac:dyDescent="0.2">
      <c r="A2358">
        <f>YEAR(D2358)</f>
        <v>2019</v>
      </c>
      <c r="B2358" t="s">
        <v>26</v>
      </c>
      <c r="C2358" s="2" t="s">
        <v>3018</v>
      </c>
      <c r="D2358" s="1">
        <v>43566</v>
      </c>
      <c r="E2358">
        <f>MONTH(D2358)</f>
        <v>4</v>
      </c>
      <c r="F2358" s="2" t="s">
        <v>19</v>
      </c>
      <c r="G2358" t="s">
        <v>352</v>
      </c>
      <c r="H2358" t="s">
        <v>747</v>
      </c>
      <c r="I2358" t="s">
        <v>22</v>
      </c>
      <c r="J2358" s="2" t="s">
        <v>42</v>
      </c>
      <c r="K2358" s="2" t="s">
        <v>3019</v>
      </c>
      <c r="L2358" t="s">
        <v>25</v>
      </c>
      <c r="M2358" s="8">
        <v>1.3726666670000001</v>
      </c>
      <c r="N2358" t="s">
        <v>26</v>
      </c>
      <c r="O2358" s="8">
        <v>1.3726666670000001</v>
      </c>
      <c r="P2358" s="8">
        <f>EXP(-1.363+3.366*LOG(O2358,10))</f>
        <v>0.40658758379567089</v>
      </c>
      <c r="Q2358" s="8">
        <f>(5996898*100)/6073515</f>
        <v>98.738506449724753</v>
      </c>
    </row>
    <row r="2359" spans="1:17" x14ac:dyDescent="0.2">
      <c r="A2359">
        <f>YEAR(D2359)</f>
        <v>2019</v>
      </c>
      <c r="B2359" t="s">
        <v>26</v>
      </c>
      <c r="C2359" s="2" t="s">
        <v>3018</v>
      </c>
      <c r="D2359" s="1">
        <v>43566</v>
      </c>
      <c r="E2359">
        <f>MONTH(D2359)</f>
        <v>4</v>
      </c>
      <c r="F2359" s="2" t="s">
        <v>19</v>
      </c>
      <c r="G2359" t="s">
        <v>352</v>
      </c>
      <c r="H2359" t="s">
        <v>975</v>
      </c>
      <c r="I2359" t="s">
        <v>22</v>
      </c>
      <c r="J2359" s="2" t="s">
        <v>42</v>
      </c>
      <c r="K2359" s="2" t="s">
        <v>3019</v>
      </c>
      <c r="L2359" t="s">
        <v>25</v>
      </c>
      <c r="M2359" s="8">
        <v>1.0693333330000001</v>
      </c>
      <c r="N2359" t="s">
        <v>26</v>
      </c>
      <c r="O2359" s="8">
        <v>1.0693333330000001</v>
      </c>
      <c r="P2359" s="8">
        <f>EXP(-1.363+3.366*LOG(O2359,10))</f>
        <v>0.28223780327142356</v>
      </c>
      <c r="Q2359" s="8">
        <f>(5996898*100)/6073515</f>
        <v>98.738506449724753</v>
      </c>
    </row>
    <row r="2360" spans="1:17" x14ac:dyDescent="0.2">
      <c r="A2360">
        <f>YEAR(D2360)</f>
        <v>2019</v>
      </c>
      <c r="B2360" t="s">
        <v>26</v>
      </c>
      <c r="C2360" s="2" t="s">
        <v>3018</v>
      </c>
      <c r="D2360" s="1">
        <v>43566</v>
      </c>
      <c r="E2360">
        <f>MONTH(D2360)</f>
        <v>4</v>
      </c>
      <c r="F2360" s="2" t="s">
        <v>19</v>
      </c>
      <c r="G2360" t="s">
        <v>352</v>
      </c>
      <c r="H2360" t="s">
        <v>353</v>
      </c>
      <c r="I2360" t="s">
        <v>22</v>
      </c>
      <c r="J2360" s="2" t="s">
        <v>42</v>
      </c>
      <c r="K2360" s="2" t="s">
        <v>3019</v>
      </c>
      <c r="L2360" t="s">
        <v>25</v>
      </c>
      <c r="M2360" s="8">
        <v>1.1623333330000001</v>
      </c>
      <c r="N2360" t="s">
        <v>26</v>
      </c>
      <c r="O2360" s="8">
        <v>1.1623333330000001</v>
      </c>
      <c r="P2360" s="8">
        <f>EXP(-1.363+3.366*LOG(O2360,10))</f>
        <v>0.31883010989102206</v>
      </c>
      <c r="Q2360" s="8">
        <f>(5996898*100)/6073515</f>
        <v>98.738506449724753</v>
      </c>
    </row>
    <row r="2361" spans="1:17" x14ac:dyDescent="0.2">
      <c r="A2361">
        <f>YEAR(D2361)</f>
        <v>2019</v>
      </c>
      <c r="B2361" t="s">
        <v>26</v>
      </c>
      <c r="C2361" s="2" t="s">
        <v>3018</v>
      </c>
      <c r="D2361" s="1">
        <v>43566</v>
      </c>
      <c r="E2361">
        <f>MONTH(D2361)</f>
        <v>4</v>
      </c>
      <c r="F2361" s="2" t="s">
        <v>19</v>
      </c>
      <c r="G2361" t="s">
        <v>1532</v>
      </c>
      <c r="H2361" t="s">
        <v>1533</v>
      </c>
      <c r="I2361" t="s">
        <v>36</v>
      </c>
      <c r="J2361" s="2" t="s">
        <v>42</v>
      </c>
      <c r="K2361" s="2" t="s">
        <v>3019</v>
      </c>
      <c r="L2361" t="s">
        <v>25</v>
      </c>
      <c r="M2361" s="8">
        <v>2.63</v>
      </c>
      <c r="N2361" t="s">
        <v>26</v>
      </c>
      <c r="O2361" s="8">
        <v>2.63</v>
      </c>
      <c r="P2361" s="8">
        <f>EXP(-1.363+3.366*LOG(O2361,10))</f>
        <v>1.0518715955632558</v>
      </c>
      <c r="Q2361" s="8">
        <f>(5996898*100)/6073515</f>
        <v>98.738506449724753</v>
      </c>
    </row>
    <row r="2362" spans="1:17" x14ac:dyDescent="0.2">
      <c r="A2362">
        <f>YEAR(D2362)</f>
        <v>2019</v>
      </c>
      <c r="B2362" t="s">
        <v>26</v>
      </c>
      <c r="C2362" s="2" t="s">
        <v>3018</v>
      </c>
      <c r="D2362" s="1">
        <v>43566</v>
      </c>
      <c r="E2362">
        <f>MONTH(D2362)</f>
        <v>4</v>
      </c>
      <c r="F2362" s="2" t="s">
        <v>19</v>
      </c>
      <c r="G2362" t="s">
        <v>303</v>
      </c>
      <c r="H2362" t="s">
        <v>307</v>
      </c>
      <c r="I2362" t="s">
        <v>36</v>
      </c>
      <c r="J2362" s="2" t="s">
        <v>42</v>
      </c>
      <c r="K2362" s="2" t="s">
        <v>3019</v>
      </c>
      <c r="L2362" t="s">
        <v>305</v>
      </c>
      <c r="M2362" s="8">
        <v>1.01</v>
      </c>
      <c r="N2362" t="s">
        <v>26</v>
      </c>
      <c r="O2362" s="8">
        <v>1.01</v>
      </c>
      <c r="P2362" s="8">
        <f>EXP(-1.363+3.366*LOG(O2362,10))</f>
        <v>0.25964128962709732</v>
      </c>
      <c r="Q2362" s="8">
        <f>(5996898*100)/6073515</f>
        <v>98.738506449724753</v>
      </c>
    </row>
    <row r="2363" spans="1:17" x14ac:dyDescent="0.2">
      <c r="A2363">
        <f>YEAR(D2363)</f>
        <v>2019</v>
      </c>
      <c r="B2363" t="s">
        <v>26</v>
      </c>
      <c r="C2363" s="2" t="s">
        <v>3018</v>
      </c>
      <c r="D2363" s="1">
        <v>43566</v>
      </c>
      <c r="E2363">
        <f>MONTH(D2363)</f>
        <v>4</v>
      </c>
      <c r="F2363" s="2" t="s">
        <v>19</v>
      </c>
      <c r="G2363" t="s">
        <v>20</v>
      </c>
      <c r="H2363" t="s">
        <v>2295</v>
      </c>
      <c r="I2363" t="s">
        <v>22</v>
      </c>
      <c r="J2363" s="2" t="s">
        <v>42</v>
      </c>
      <c r="K2363" s="2" t="s">
        <v>3019</v>
      </c>
      <c r="L2363" t="s">
        <v>25</v>
      </c>
      <c r="M2363" s="8">
        <v>1.1566666670000001</v>
      </c>
      <c r="N2363" t="s">
        <v>26</v>
      </c>
      <c r="O2363" s="8">
        <v>1.1566666670000001</v>
      </c>
      <c r="P2363" s="8">
        <f>EXP(-1.363+3.366*LOG(O2363,10))</f>
        <v>0.31656042770005527</v>
      </c>
      <c r="Q2363" s="8">
        <f>(5996898*100)/6073515</f>
        <v>98.738506449724753</v>
      </c>
    </row>
    <row r="2364" spans="1:17" x14ac:dyDescent="0.2">
      <c r="A2364">
        <f>YEAR(D2364)</f>
        <v>2019</v>
      </c>
      <c r="B2364" t="s">
        <v>26</v>
      </c>
      <c r="C2364" s="2" t="s">
        <v>3018</v>
      </c>
      <c r="D2364" s="1">
        <v>43566</v>
      </c>
      <c r="E2364">
        <f>MONTH(D2364)</f>
        <v>4</v>
      </c>
      <c r="F2364" s="2" t="s">
        <v>19</v>
      </c>
      <c r="G2364" t="s">
        <v>20</v>
      </c>
      <c r="H2364" t="s">
        <v>2295</v>
      </c>
      <c r="I2364" t="s">
        <v>22</v>
      </c>
      <c r="J2364" s="2" t="s">
        <v>42</v>
      </c>
      <c r="K2364" s="2" t="s">
        <v>3019</v>
      </c>
      <c r="L2364" t="s">
        <v>25</v>
      </c>
      <c r="M2364" s="8">
        <v>1.1566666670000001</v>
      </c>
      <c r="N2364" t="s">
        <v>26</v>
      </c>
      <c r="O2364" s="8">
        <v>1.1566666670000001</v>
      </c>
      <c r="P2364" s="8">
        <f>EXP(-1.363+3.366*LOG(O2364,10))</f>
        <v>0.31656042770005527</v>
      </c>
      <c r="Q2364" s="8">
        <f>(5996898*100)/6073515</f>
        <v>98.738506449724753</v>
      </c>
    </row>
    <row r="2365" spans="1:17" x14ac:dyDescent="0.2">
      <c r="A2365">
        <f>YEAR(D2365)</f>
        <v>2019</v>
      </c>
      <c r="B2365" t="s">
        <v>26</v>
      </c>
      <c r="C2365" s="2" t="s">
        <v>3018</v>
      </c>
      <c r="D2365" s="1">
        <v>43566</v>
      </c>
      <c r="E2365">
        <f>MONTH(D2365)</f>
        <v>4</v>
      </c>
      <c r="F2365" s="2" t="s">
        <v>19</v>
      </c>
      <c r="G2365" t="s">
        <v>352</v>
      </c>
      <c r="H2365" t="s">
        <v>975</v>
      </c>
      <c r="I2365" t="s">
        <v>22</v>
      </c>
      <c r="J2365" s="2" t="s">
        <v>42</v>
      </c>
      <c r="K2365" s="2" t="s">
        <v>3019</v>
      </c>
      <c r="L2365" t="s">
        <v>25</v>
      </c>
      <c r="M2365" s="8">
        <v>1.0693333330000001</v>
      </c>
      <c r="N2365" t="s">
        <v>26</v>
      </c>
      <c r="O2365" s="8">
        <v>1.0693333330000001</v>
      </c>
      <c r="P2365" s="8">
        <f>EXP(-1.363+3.366*LOG(O2365,10))</f>
        <v>0.28223780327142356</v>
      </c>
      <c r="Q2365" s="8">
        <f>(5996898*100)/6073515</f>
        <v>98.738506449724753</v>
      </c>
    </row>
    <row r="2366" spans="1:17" x14ac:dyDescent="0.2">
      <c r="A2366">
        <f>YEAR(D2366)</f>
        <v>2019</v>
      </c>
      <c r="B2366" t="s">
        <v>26</v>
      </c>
      <c r="C2366" s="2" t="s">
        <v>3018</v>
      </c>
      <c r="D2366" s="1">
        <v>43566</v>
      </c>
      <c r="E2366">
        <f>MONTH(D2366)</f>
        <v>4</v>
      </c>
      <c r="F2366" s="2" t="s">
        <v>19</v>
      </c>
      <c r="G2366" t="s">
        <v>303</v>
      </c>
      <c r="H2366" t="s">
        <v>312</v>
      </c>
      <c r="I2366" t="s">
        <v>22</v>
      </c>
      <c r="J2366" s="2" t="s">
        <v>42</v>
      </c>
      <c r="K2366" s="2" t="s">
        <v>3019</v>
      </c>
      <c r="L2366" t="s">
        <v>305</v>
      </c>
      <c r="M2366" s="8">
        <v>1.5776666669999999</v>
      </c>
      <c r="N2366" t="s">
        <v>26</v>
      </c>
      <c r="O2366" s="8">
        <v>1.5776666669999999</v>
      </c>
      <c r="P2366" s="8">
        <f>EXP(-1.363+3.366*LOG(O2366,10))</f>
        <v>0.49833603071292354</v>
      </c>
      <c r="Q2366" s="8">
        <f>(5996898*100)/6073515</f>
        <v>98.738506449724753</v>
      </c>
    </row>
    <row r="2367" spans="1:17" x14ac:dyDescent="0.2">
      <c r="A2367">
        <f>YEAR(D2367)</f>
        <v>2019</v>
      </c>
      <c r="B2367" t="s">
        <v>26</v>
      </c>
      <c r="C2367" s="2" t="s">
        <v>3018</v>
      </c>
      <c r="D2367" s="1">
        <v>43566</v>
      </c>
      <c r="E2367">
        <f>MONTH(D2367)</f>
        <v>4</v>
      </c>
      <c r="F2367" s="2" t="s">
        <v>19</v>
      </c>
      <c r="G2367" t="s">
        <v>20</v>
      </c>
      <c r="H2367" t="s">
        <v>149</v>
      </c>
      <c r="I2367" t="s">
        <v>22</v>
      </c>
      <c r="J2367" s="2" t="s">
        <v>42</v>
      </c>
      <c r="K2367" s="2" t="s">
        <v>3019</v>
      </c>
      <c r="L2367" t="s">
        <v>25</v>
      </c>
      <c r="M2367" s="8">
        <v>1.45</v>
      </c>
      <c r="N2367" t="s">
        <v>26</v>
      </c>
      <c r="O2367" s="8">
        <v>1.45</v>
      </c>
      <c r="P2367" s="8">
        <f>EXP(-1.363+3.366*LOG(O2367,10))</f>
        <v>0.44050419760124854</v>
      </c>
      <c r="Q2367" s="8">
        <f>(5996898*100)/6073515</f>
        <v>98.738506449724753</v>
      </c>
    </row>
    <row r="2368" spans="1:17" x14ac:dyDescent="0.2">
      <c r="A2368">
        <f>YEAR(D2368)</f>
        <v>2019</v>
      </c>
      <c r="B2368" t="s">
        <v>26</v>
      </c>
      <c r="C2368" s="2" t="s">
        <v>3018</v>
      </c>
      <c r="D2368" s="1">
        <v>43566</v>
      </c>
      <c r="E2368">
        <f>MONTH(D2368)</f>
        <v>4</v>
      </c>
      <c r="F2368" s="2" t="s">
        <v>19</v>
      </c>
      <c r="G2368" t="s">
        <v>352</v>
      </c>
      <c r="H2368" t="s">
        <v>975</v>
      </c>
      <c r="I2368" t="s">
        <v>22</v>
      </c>
      <c r="J2368" s="2" t="s">
        <v>42</v>
      </c>
      <c r="K2368" s="2" t="s">
        <v>3019</v>
      </c>
      <c r="L2368" t="s">
        <v>25</v>
      </c>
      <c r="M2368" s="8">
        <v>1.0693333330000001</v>
      </c>
      <c r="N2368" t="s">
        <v>26</v>
      </c>
      <c r="O2368" s="8">
        <v>1.0693333330000001</v>
      </c>
      <c r="P2368" s="8">
        <f>EXP(-1.363+3.366*LOG(O2368,10))</f>
        <v>0.28223780327142356</v>
      </c>
      <c r="Q2368" s="8">
        <f>(5996898*100)/6073515</f>
        <v>98.738506449724753</v>
      </c>
    </row>
    <row r="2369" spans="1:17" x14ac:dyDescent="0.2">
      <c r="A2369">
        <f>YEAR(D2369)</f>
        <v>2019</v>
      </c>
      <c r="B2369" t="s">
        <v>26</v>
      </c>
      <c r="C2369" s="2" t="s">
        <v>3018</v>
      </c>
      <c r="D2369" s="1">
        <v>43566</v>
      </c>
      <c r="E2369">
        <f>MONTH(D2369)</f>
        <v>4</v>
      </c>
      <c r="F2369" s="2" t="s">
        <v>19</v>
      </c>
      <c r="G2369" t="s">
        <v>1532</v>
      </c>
      <c r="H2369" t="s">
        <v>1533</v>
      </c>
      <c r="I2369" t="s">
        <v>36</v>
      </c>
      <c r="J2369" s="2" t="s">
        <v>42</v>
      </c>
      <c r="K2369" s="2" t="s">
        <v>3019</v>
      </c>
      <c r="L2369" t="s">
        <v>25</v>
      </c>
      <c r="M2369" s="8">
        <v>2.63</v>
      </c>
      <c r="N2369" t="s">
        <v>26</v>
      </c>
      <c r="O2369" s="8">
        <v>2.63</v>
      </c>
      <c r="P2369" s="8">
        <f>EXP(-1.363+3.366*LOG(O2369,10))</f>
        <v>1.0518715955632558</v>
      </c>
      <c r="Q2369" s="8">
        <f>(5996898*100)/6073515</f>
        <v>98.738506449724753</v>
      </c>
    </row>
    <row r="2370" spans="1:17" x14ac:dyDescent="0.2">
      <c r="A2370">
        <f>YEAR(D2370)</f>
        <v>2019</v>
      </c>
      <c r="B2370" t="s">
        <v>26</v>
      </c>
      <c r="C2370" s="2" t="s">
        <v>3018</v>
      </c>
      <c r="D2370" s="1">
        <v>43566</v>
      </c>
      <c r="E2370">
        <f>MONTH(D2370)</f>
        <v>4</v>
      </c>
      <c r="F2370" s="2" t="s">
        <v>19</v>
      </c>
      <c r="G2370" t="s">
        <v>20</v>
      </c>
      <c r="H2370" t="s">
        <v>149</v>
      </c>
      <c r="I2370" t="s">
        <v>22</v>
      </c>
      <c r="J2370" s="2" t="s">
        <v>42</v>
      </c>
      <c r="K2370" s="2" t="s">
        <v>3019</v>
      </c>
      <c r="L2370" t="s">
        <v>25</v>
      </c>
      <c r="M2370" s="8">
        <v>1.45</v>
      </c>
      <c r="N2370" t="s">
        <v>26</v>
      </c>
      <c r="O2370" s="8">
        <v>1.45</v>
      </c>
      <c r="P2370" s="8">
        <f>EXP(-1.363+3.366*LOG(O2370,10))</f>
        <v>0.44050419760124854</v>
      </c>
      <c r="Q2370" s="8">
        <f>(5996898*100)/6073515</f>
        <v>98.738506449724753</v>
      </c>
    </row>
    <row r="2371" spans="1:17" x14ac:dyDescent="0.2">
      <c r="A2371">
        <f>YEAR(D2371)</f>
        <v>2019</v>
      </c>
      <c r="B2371" t="s">
        <v>26</v>
      </c>
      <c r="C2371" s="2" t="s">
        <v>3018</v>
      </c>
      <c r="D2371" s="1">
        <v>43566</v>
      </c>
      <c r="E2371">
        <f>MONTH(D2371)</f>
        <v>4</v>
      </c>
      <c r="F2371" s="2" t="s">
        <v>19</v>
      </c>
      <c r="G2371" t="s">
        <v>1532</v>
      </c>
      <c r="H2371" t="s">
        <v>1533</v>
      </c>
      <c r="I2371" t="s">
        <v>36</v>
      </c>
      <c r="J2371" s="2" t="s">
        <v>42</v>
      </c>
      <c r="K2371" s="2" t="s">
        <v>3019</v>
      </c>
      <c r="L2371" t="s">
        <v>25</v>
      </c>
      <c r="M2371" s="8">
        <v>2.63</v>
      </c>
      <c r="N2371" t="s">
        <v>26</v>
      </c>
      <c r="O2371" s="8">
        <v>2.63</v>
      </c>
      <c r="P2371" s="8">
        <f>EXP(-1.363+3.366*LOG(O2371,10))</f>
        <v>1.0518715955632558</v>
      </c>
      <c r="Q2371" s="8">
        <f>(5996898*100)/6073515</f>
        <v>98.738506449724753</v>
      </c>
    </row>
    <row r="2372" spans="1:17" x14ac:dyDescent="0.2">
      <c r="A2372">
        <f>YEAR(D2372)</f>
        <v>2019</v>
      </c>
      <c r="B2372" t="s">
        <v>26</v>
      </c>
      <c r="C2372" s="2" t="s">
        <v>3018</v>
      </c>
      <c r="D2372" s="1">
        <v>43566</v>
      </c>
      <c r="E2372">
        <f>MONTH(D2372)</f>
        <v>4</v>
      </c>
      <c r="F2372" s="2" t="s">
        <v>19</v>
      </c>
      <c r="G2372" t="s">
        <v>20</v>
      </c>
      <c r="H2372" t="s">
        <v>183</v>
      </c>
      <c r="I2372" t="s">
        <v>22</v>
      </c>
      <c r="J2372" s="2" t="s">
        <v>42</v>
      </c>
      <c r="K2372" s="2" t="s">
        <v>3019</v>
      </c>
      <c r="L2372" t="s">
        <v>25</v>
      </c>
      <c r="M2372" s="8">
        <v>2.7893333330000001</v>
      </c>
      <c r="N2372" t="s">
        <v>26</v>
      </c>
      <c r="O2372" s="8">
        <v>2.7893333330000001</v>
      </c>
      <c r="P2372" s="8">
        <f>EXP(-1.363+3.366*LOG(O2372,10))</f>
        <v>1.1463172389308915</v>
      </c>
      <c r="Q2372" s="8">
        <f>(5996898*100)/6073515</f>
        <v>98.738506449724753</v>
      </c>
    </row>
    <row r="2373" spans="1:17" x14ac:dyDescent="0.2">
      <c r="A2373">
        <f>YEAR(D2373)</f>
        <v>2019</v>
      </c>
      <c r="B2373" t="s">
        <v>26</v>
      </c>
      <c r="C2373" s="2" t="s">
        <v>3018</v>
      </c>
      <c r="D2373" s="1">
        <v>43566</v>
      </c>
      <c r="E2373">
        <f>MONTH(D2373)</f>
        <v>4</v>
      </c>
      <c r="F2373" s="2" t="s">
        <v>19</v>
      </c>
      <c r="G2373" s="2" t="s">
        <v>20</v>
      </c>
      <c r="H2373" t="s">
        <v>91</v>
      </c>
      <c r="I2373" t="s">
        <v>22</v>
      </c>
      <c r="J2373" s="2" t="s">
        <v>42</v>
      </c>
      <c r="K2373" s="2" t="s">
        <v>3019</v>
      </c>
      <c r="L2373" t="s">
        <v>25</v>
      </c>
      <c r="M2373" s="8">
        <v>2.0630000000000002</v>
      </c>
      <c r="N2373" t="s">
        <v>26</v>
      </c>
      <c r="O2373" s="8">
        <v>2.0630000000000002</v>
      </c>
      <c r="P2373" s="8">
        <f>EXP(-1.363+3.366*LOG(O2373,10))</f>
        <v>0.73756902742293162</v>
      </c>
      <c r="Q2373" s="8">
        <f>(5996898*100)/6073515</f>
        <v>98.738506449724753</v>
      </c>
    </row>
    <row r="2374" spans="1:17" x14ac:dyDescent="0.2">
      <c r="A2374">
        <f>YEAR(D2374)</f>
        <v>2019</v>
      </c>
      <c r="B2374" t="s">
        <v>26</v>
      </c>
      <c r="C2374" s="2" t="s">
        <v>3018</v>
      </c>
      <c r="D2374" s="1">
        <v>43566</v>
      </c>
      <c r="E2374">
        <f>MONTH(D2374)</f>
        <v>4</v>
      </c>
      <c r="F2374" s="2" t="s">
        <v>19</v>
      </c>
      <c r="G2374" s="2" t="s">
        <v>20</v>
      </c>
      <c r="H2374" t="s">
        <v>145</v>
      </c>
      <c r="I2374" t="s">
        <v>36</v>
      </c>
      <c r="J2374" s="2" t="s">
        <v>42</v>
      </c>
      <c r="K2374" s="2" t="s">
        <v>3019</v>
      </c>
      <c r="L2374" t="s">
        <v>25</v>
      </c>
      <c r="M2374" s="8">
        <v>1.9886666669999999</v>
      </c>
      <c r="N2374" t="s">
        <v>26</v>
      </c>
      <c r="O2374" s="8">
        <v>1.9886666669999999</v>
      </c>
      <c r="P2374" s="8">
        <f>EXP(-1.363+3.366*LOG(O2374,10))</f>
        <v>0.69904488411120058</v>
      </c>
      <c r="Q2374" s="8">
        <f>(5996898*100)/6073515</f>
        <v>98.738506449724753</v>
      </c>
    </row>
    <row r="2375" spans="1:17" x14ac:dyDescent="0.2">
      <c r="A2375">
        <f>YEAR(D2375)</f>
        <v>2019</v>
      </c>
      <c r="B2375" t="s">
        <v>26</v>
      </c>
      <c r="C2375" s="2" t="s">
        <v>3027</v>
      </c>
      <c r="D2375" s="1">
        <v>43566</v>
      </c>
      <c r="E2375">
        <f>MONTH(D2375)</f>
        <v>4</v>
      </c>
      <c r="F2375" s="2" t="s">
        <v>19</v>
      </c>
      <c r="G2375" t="s">
        <v>219</v>
      </c>
      <c r="H2375" t="s">
        <v>220</v>
      </c>
      <c r="I2375" t="s">
        <v>22</v>
      </c>
      <c r="J2375" s="2" t="s">
        <v>42</v>
      </c>
      <c r="K2375" s="2" t="s">
        <v>3019</v>
      </c>
      <c r="L2375" t="s">
        <v>25</v>
      </c>
      <c r="M2375" s="10" t="s">
        <v>26</v>
      </c>
      <c r="N2375" t="s">
        <v>26</v>
      </c>
      <c r="O2375" s="10" t="s">
        <v>26</v>
      </c>
      <c r="P2375" s="8" t="s">
        <v>26</v>
      </c>
      <c r="Q2375" s="8">
        <f>(3939723*100)/4442581</f>
        <v>88.680949204977921</v>
      </c>
    </row>
    <row r="2376" spans="1:17" x14ac:dyDescent="0.2">
      <c r="A2376">
        <f>YEAR(D2376)</f>
        <v>2019</v>
      </c>
      <c r="B2376" t="s">
        <v>26</v>
      </c>
      <c r="C2376" s="2" t="s">
        <v>3027</v>
      </c>
      <c r="D2376" s="1">
        <v>43566</v>
      </c>
      <c r="E2376">
        <f>MONTH(D2376)</f>
        <v>4</v>
      </c>
      <c r="F2376" s="2" t="s">
        <v>19</v>
      </c>
      <c r="G2376" s="2" t="s">
        <v>20</v>
      </c>
      <c r="H2376" t="s">
        <v>1972</v>
      </c>
      <c r="I2376" t="s">
        <v>36</v>
      </c>
      <c r="J2376" s="2" t="s">
        <v>42</v>
      </c>
      <c r="K2376" s="2" t="s">
        <v>3019</v>
      </c>
      <c r="L2376" t="s">
        <v>25</v>
      </c>
      <c r="M2376" s="8">
        <v>1.482</v>
      </c>
      <c r="N2376" t="s">
        <v>26</v>
      </c>
      <c r="O2376" s="8">
        <v>1.482</v>
      </c>
      <c r="P2376" s="8">
        <f>EXP(-1.363+3.366*LOG(O2376,10))</f>
        <v>0.45478752526593097</v>
      </c>
      <c r="Q2376" s="8">
        <f>(3939723*100)/4442581</f>
        <v>88.680949204977921</v>
      </c>
    </row>
    <row r="2377" spans="1:17" x14ac:dyDescent="0.2">
      <c r="A2377">
        <f>YEAR(D2377)</f>
        <v>2019</v>
      </c>
      <c r="B2377" t="s">
        <v>26</v>
      </c>
      <c r="C2377" s="2" t="s">
        <v>50</v>
      </c>
      <c r="D2377" s="1">
        <v>43567</v>
      </c>
      <c r="E2377">
        <f>MONTH(D2377)</f>
        <v>4</v>
      </c>
      <c r="F2377" s="2" t="s">
        <v>19</v>
      </c>
      <c r="G2377" t="s">
        <v>362</v>
      </c>
      <c r="H2377" t="s">
        <v>447</v>
      </c>
      <c r="I2377" t="s">
        <v>22</v>
      </c>
      <c r="J2377" s="2" t="s">
        <v>42</v>
      </c>
      <c r="K2377" s="2" t="s">
        <v>3019</v>
      </c>
      <c r="L2377" t="s">
        <v>25</v>
      </c>
      <c r="M2377" s="8">
        <v>1.421</v>
      </c>
      <c r="N2377" t="s">
        <v>26</v>
      </c>
      <c r="O2377" s="8">
        <v>1.421</v>
      </c>
      <c r="P2377" s="8">
        <f>EXP(-1.363+3.366*LOG(O2377,10))</f>
        <v>0.42768500084673816</v>
      </c>
      <c r="Q2377" s="8">
        <f>(4488342*100)/4914798</f>
        <v>91.323020803703429</v>
      </c>
    </row>
    <row r="2378" spans="1:17" x14ac:dyDescent="0.2">
      <c r="A2378">
        <f>YEAR(D2378)</f>
        <v>2019</v>
      </c>
      <c r="B2378" t="s">
        <v>26</v>
      </c>
      <c r="C2378" s="2" t="s">
        <v>50</v>
      </c>
      <c r="D2378" s="1">
        <v>43567</v>
      </c>
      <c r="E2378">
        <f>MONTH(D2378)</f>
        <v>4</v>
      </c>
      <c r="F2378" s="2" t="s">
        <v>19</v>
      </c>
      <c r="G2378" t="s">
        <v>362</v>
      </c>
      <c r="H2378" t="s">
        <v>447</v>
      </c>
      <c r="I2378" t="s">
        <v>22</v>
      </c>
      <c r="J2378" s="2" t="s">
        <v>42</v>
      </c>
      <c r="K2378" s="2" t="s">
        <v>3019</v>
      </c>
      <c r="L2378" t="s">
        <v>25</v>
      </c>
      <c r="M2378" s="8">
        <v>1.421</v>
      </c>
      <c r="N2378" t="s">
        <v>26</v>
      </c>
      <c r="O2378" s="8">
        <v>1.421</v>
      </c>
      <c r="P2378" s="8">
        <f>EXP(-1.363+3.366*LOG(O2378,10))</f>
        <v>0.42768500084673816</v>
      </c>
      <c r="Q2378" s="8">
        <f>(4488342*100)/4914798</f>
        <v>91.323020803703429</v>
      </c>
    </row>
    <row r="2379" spans="1:17" x14ac:dyDescent="0.2">
      <c r="A2379">
        <f>YEAR(D2379)</f>
        <v>2019</v>
      </c>
      <c r="B2379" t="s">
        <v>26</v>
      </c>
      <c r="C2379" s="2" t="s">
        <v>50</v>
      </c>
      <c r="D2379" s="1">
        <v>43567</v>
      </c>
      <c r="E2379">
        <f>MONTH(D2379)</f>
        <v>4</v>
      </c>
      <c r="F2379" s="2" t="s">
        <v>19</v>
      </c>
      <c r="G2379" t="s">
        <v>352</v>
      </c>
      <c r="H2379" t="s">
        <v>975</v>
      </c>
      <c r="I2379" t="s">
        <v>22</v>
      </c>
      <c r="J2379" s="2" t="s">
        <v>42</v>
      </c>
      <c r="K2379" s="2" t="s">
        <v>3019</v>
      </c>
      <c r="L2379" t="s">
        <v>25</v>
      </c>
      <c r="M2379" s="8">
        <v>1.0693333330000001</v>
      </c>
      <c r="N2379" t="s">
        <v>26</v>
      </c>
      <c r="O2379" s="8">
        <v>1.0693333330000001</v>
      </c>
      <c r="P2379" s="8">
        <f>EXP(-1.363+3.366*LOG(O2379,10))</f>
        <v>0.28223780327142356</v>
      </c>
      <c r="Q2379" s="8">
        <f>(4488342*100)/4914798</f>
        <v>91.323020803703429</v>
      </c>
    </row>
    <row r="2380" spans="1:17" x14ac:dyDescent="0.2">
      <c r="A2380">
        <f>YEAR(D2380)</f>
        <v>2019</v>
      </c>
      <c r="B2380" t="s">
        <v>26</v>
      </c>
      <c r="C2380" s="2" t="s">
        <v>50</v>
      </c>
      <c r="D2380" s="1">
        <v>43567</v>
      </c>
      <c r="E2380">
        <f>MONTH(D2380)</f>
        <v>4</v>
      </c>
      <c r="F2380" s="2" t="s">
        <v>19</v>
      </c>
      <c r="G2380" t="s">
        <v>352</v>
      </c>
      <c r="H2380" t="s">
        <v>2422</v>
      </c>
      <c r="I2380" t="s">
        <v>22</v>
      </c>
      <c r="J2380" s="2" t="s">
        <v>42</v>
      </c>
      <c r="K2380" s="2" t="s">
        <v>3019</v>
      </c>
      <c r="L2380" t="s">
        <v>25</v>
      </c>
      <c r="M2380" s="8">
        <v>1.69</v>
      </c>
      <c r="N2380" t="s">
        <v>26</v>
      </c>
      <c r="O2380" s="8">
        <v>1.69</v>
      </c>
      <c r="P2380" s="8">
        <f>EXP(-1.363+3.366*LOG(O2380,10))</f>
        <v>0.55104800386588448</v>
      </c>
      <c r="Q2380" s="8">
        <f>(4488342*100)/4914798</f>
        <v>91.323020803703429</v>
      </c>
    </row>
    <row r="2381" spans="1:17" x14ac:dyDescent="0.2">
      <c r="A2381">
        <f>YEAR(D2381)</f>
        <v>2019</v>
      </c>
      <c r="B2381" t="s">
        <v>26</v>
      </c>
      <c r="C2381" s="2" t="s">
        <v>50</v>
      </c>
      <c r="D2381" s="1">
        <v>43567</v>
      </c>
      <c r="E2381">
        <f>MONTH(D2381)</f>
        <v>4</v>
      </c>
      <c r="F2381" s="2" t="s">
        <v>19</v>
      </c>
      <c r="G2381" s="2" t="s">
        <v>20</v>
      </c>
      <c r="H2381" t="s">
        <v>3049</v>
      </c>
      <c r="I2381" t="s">
        <v>36</v>
      </c>
      <c r="J2381" s="2" t="s">
        <v>42</v>
      </c>
      <c r="K2381" s="2" t="s">
        <v>3019</v>
      </c>
      <c r="L2381" t="s">
        <v>187</v>
      </c>
      <c r="M2381" s="8">
        <v>1.8126666666666669</v>
      </c>
      <c r="N2381" t="s">
        <v>26</v>
      </c>
      <c r="O2381" s="8">
        <v>1.8126666666666669</v>
      </c>
      <c r="P2381" s="8">
        <f>EXP(-1.363+3.366*LOG(O2381,10))</f>
        <v>0.61048485990341428</v>
      </c>
      <c r="Q2381" s="8">
        <f>(4488342*100)/4914798</f>
        <v>91.323020803703429</v>
      </c>
    </row>
    <row r="2382" spans="1:17" x14ac:dyDescent="0.2">
      <c r="A2382">
        <f>YEAR(D2382)</f>
        <v>2019</v>
      </c>
      <c r="B2382" t="s">
        <v>26</v>
      </c>
      <c r="C2382" s="2" t="s">
        <v>50</v>
      </c>
      <c r="D2382" s="1">
        <v>43567</v>
      </c>
      <c r="E2382">
        <f>MONTH(D2382)</f>
        <v>4</v>
      </c>
      <c r="F2382" s="2" t="s">
        <v>19</v>
      </c>
      <c r="G2382" t="s">
        <v>352</v>
      </c>
      <c r="H2382" t="s">
        <v>623</v>
      </c>
      <c r="I2382" t="s">
        <v>22</v>
      </c>
      <c r="J2382" s="2" t="s">
        <v>42</v>
      </c>
      <c r="K2382" s="2" t="s">
        <v>3019</v>
      </c>
      <c r="L2382" t="s">
        <v>25</v>
      </c>
      <c r="M2382" s="8">
        <v>1.387</v>
      </c>
      <c r="N2382" t="s">
        <v>26</v>
      </c>
      <c r="O2382" s="8">
        <v>1.387</v>
      </c>
      <c r="P2382" s="8">
        <f>EXP(-1.363+3.366*LOG(O2382,10))</f>
        <v>0.41280884754947733</v>
      </c>
      <c r="Q2382" s="8">
        <f>(4488342*100)/4914798</f>
        <v>91.323020803703429</v>
      </c>
    </row>
    <row r="2383" spans="1:17" x14ac:dyDescent="0.2">
      <c r="A2383">
        <f>YEAR(D2383)</f>
        <v>2019</v>
      </c>
      <c r="B2383" t="s">
        <v>26</v>
      </c>
      <c r="C2383" s="2" t="s">
        <v>50</v>
      </c>
      <c r="D2383" s="1">
        <v>43567</v>
      </c>
      <c r="E2383">
        <f>MONTH(D2383)</f>
        <v>4</v>
      </c>
      <c r="F2383" s="2" t="s">
        <v>19</v>
      </c>
      <c r="G2383" t="s">
        <v>352</v>
      </c>
      <c r="H2383" t="s">
        <v>975</v>
      </c>
      <c r="I2383" t="s">
        <v>22</v>
      </c>
      <c r="J2383" s="2" t="s">
        <v>42</v>
      </c>
      <c r="K2383" s="2" t="s">
        <v>3019</v>
      </c>
      <c r="L2383" t="s">
        <v>25</v>
      </c>
      <c r="M2383" s="8">
        <v>1.0693333330000001</v>
      </c>
      <c r="N2383" t="s">
        <v>26</v>
      </c>
      <c r="O2383" s="8">
        <v>1.0693333330000001</v>
      </c>
      <c r="P2383" s="8">
        <f>EXP(-1.363+3.366*LOG(O2383,10))</f>
        <v>0.28223780327142356</v>
      </c>
      <c r="Q2383" s="8">
        <f>(4488342*100)/4914798</f>
        <v>91.323020803703429</v>
      </c>
    </row>
    <row r="2384" spans="1:17" x14ac:dyDescent="0.2">
      <c r="A2384">
        <f>YEAR(D2384)</f>
        <v>2019</v>
      </c>
      <c r="B2384" t="s">
        <v>26</v>
      </c>
      <c r="C2384" s="2" t="s">
        <v>50</v>
      </c>
      <c r="D2384" s="1">
        <v>43567</v>
      </c>
      <c r="E2384">
        <f>MONTH(D2384)</f>
        <v>4</v>
      </c>
      <c r="F2384" s="2" t="s">
        <v>19</v>
      </c>
      <c r="G2384" t="s">
        <v>352</v>
      </c>
      <c r="H2384" t="s">
        <v>975</v>
      </c>
      <c r="I2384" t="s">
        <v>22</v>
      </c>
      <c r="J2384" s="2" t="s">
        <v>42</v>
      </c>
      <c r="K2384" s="2" t="s">
        <v>3019</v>
      </c>
      <c r="L2384" t="s">
        <v>25</v>
      </c>
      <c r="M2384" s="8">
        <v>1.0693333330000001</v>
      </c>
      <c r="N2384" t="s">
        <v>26</v>
      </c>
      <c r="O2384" s="8">
        <v>1.0693333330000001</v>
      </c>
      <c r="P2384" s="8">
        <f>EXP(-1.363+3.366*LOG(O2384,10))</f>
        <v>0.28223780327142356</v>
      </c>
      <c r="Q2384" s="8">
        <f>(4488342*100)/4914798</f>
        <v>91.323020803703429</v>
      </c>
    </row>
    <row r="2385" spans="1:17" x14ac:dyDescent="0.2">
      <c r="A2385">
        <f>YEAR(D2385)</f>
        <v>2019</v>
      </c>
      <c r="B2385" t="s">
        <v>26</v>
      </c>
      <c r="C2385" s="2" t="s">
        <v>50</v>
      </c>
      <c r="D2385" s="1">
        <v>43567</v>
      </c>
      <c r="E2385">
        <f>MONTH(D2385)</f>
        <v>4</v>
      </c>
      <c r="F2385" s="2" t="s">
        <v>19</v>
      </c>
      <c r="G2385" t="s">
        <v>352</v>
      </c>
      <c r="H2385" t="s">
        <v>353</v>
      </c>
      <c r="I2385" t="s">
        <v>22</v>
      </c>
      <c r="J2385" s="2" t="s">
        <v>42</v>
      </c>
      <c r="K2385" s="2" t="s">
        <v>3019</v>
      </c>
      <c r="L2385" t="s">
        <v>25</v>
      </c>
      <c r="M2385" s="8">
        <v>1.1623333330000001</v>
      </c>
      <c r="N2385" t="s">
        <v>26</v>
      </c>
      <c r="O2385" s="8">
        <v>1.1623333330000001</v>
      </c>
      <c r="P2385" s="8">
        <f>EXP(-1.363+3.366*LOG(O2385,10))</f>
        <v>0.31883010989102206</v>
      </c>
      <c r="Q2385" s="8">
        <f>(4488342*100)/4914798</f>
        <v>91.323020803703429</v>
      </c>
    </row>
    <row r="2386" spans="1:17" x14ac:dyDescent="0.2">
      <c r="A2386">
        <f>YEAR(D2386)</f>
        <v>2019</v>
      </c>
      <c r="B2386" t="s">
        <v>26</v>
      </c>
      <c r="C2386" s="2" t="s">
        <v>50</v>
      </c>
      <c r="D2386" s="1">
        <v>43567</v>
      </c>
      <c r="E2386">
        <f>MONTH(D2386)</f>
        <v>4</v>
      </c>
      <c r="F2386" s="2" t="s">
        <v>19</v>
      </c>
      <c r="G2386" t="s">
        <v>352</v>
      </c>
      <c r="H2386" t="s">
        <v>975</v>
      </c>
      <c r="I2386" t="s">
        <v>22</v>
      </c>
      <c r="J2386" s="2" t="s">
        <v>42</v>
      </c>
      <c r="K2386" s="2" t="s">
        <v>3019</v>
      </c>
      <c r="L2386" t="s">
        <v>25</v>
      </c>
      <c r="M2386" s="8">
        <v>1.0693333330000001</v>
      </c>
      <c r="N2386" t="s">
        <v>26</v>
      </c>
      <c r="O2386" s="8">
        <v>1.0693333330000001</v>
      </c>
      <c r="P2386" s="8">
        <f>EXP(-1.363+3.366*LOG(O2386,10))</f>
        <v>0.28223780327142356</v>
      </c>
      <c r="Q2386" s="8">
        <f>(4488342*100)/4914798</f>
        <v>91.323020803703429</v>
      </c>
    </row>
    <row r="2387" spans="1:17" x14ac:dyDescent="0.2">
      <c r="A2387">
        <f>YEAR(D2387)</f>
        <v>2019</v>
      </c>
      <c r="B2387" t="s">
        <v>26</v>
      </c>
      <c r="C2387" s="2" t="s">
        <v>50</v>
      </c>
      <c r="D2387" s="1">
        <v>43567</v>
      </c>
      <c r="E2387">
        <f>MONTH(D2387)</f>
        <v>4</v>
      </c>
      <c r="F2387" s="2" t="s">
        <v>19</v>
      </c>
      <c r="G2387" t="s">
        <v>352</v>
      </c>
      <c r="H2387" t="s">
        <v>623</v>
      </c>
      <c r="I2387" t="s">
        <v>22</v>
      </c>
      <c r="J2387" s="2" t="s">
        <v>42</v>
      </c>
      <c r="K2387" s="2" t="s">
        <v>3019</v>
      </c>
      <c r="L2387" t="s">
        <v>25</v>
      </c>
      <c r="M2387" s="8">
        <v>1.387</v>
      </c>
      <c r="N2387" t="s">
        <v>26</v>
      </c>
      <c r="O2387" s="8">
        <v>1.387</v>
      </c>
      <c r="P2387" s="8">
        <f>EXP(-1.363+3.366*LOG(O2387,10))</f>
        <v>0.41280884754947733</v>
      </c>
      <c r="Q2387" s="8">
        <f>(4488342*100)/4914798</f>
        <v>91.323020803703429</v>
      </c>
    </row>
    <row r="2388" spans="1:17" x14ac:dyDescent="0.2">
      <c r="A2388">
        <f>YEAR(D2388)</f>
        <v>2019</v>
      </c>
      <c r="B2388" t="s">
        <v>26</v>
      </c>
      <c r="C2388" s="2" t="s">
        <v>50</v>
      </c>
      <c r="D2388" s="1">
        <v>43567</v>
      </c>
      <c r="E2388">
        <f>MONTH(D2388)</f>
        <v>4</v>
      </c>
      <c r="F2388" s="2" t="s">
        <v>19</v>
      </c>
      <c r="G2388" t="s">
        <v>352</v>
      </c>
      <c r="H2388" t="s">
        <v>2422</v>
      </c>
      <c r="I2388" t="s">
        <v>22</v>
      </c>
      <c r="J2388" s="2" t="s">
        <v>42</v>
      </c>
      <c r="K2388" s="2" t="s">
        <v>3019</v>
      </c>
      <c r="L2388" t="s">
        <v>25</v>
      </c>
      <c r="M2388" s="8">
        <v>1.69</v>
      </c>
      <c r="N2388" t="s">
        <v>26</v>
      </c>
      <c r="O2388" s="8">
        <v>1.69</v>
      </c>
      <c r="P2388" s="8">
        <f>EXP(-1.363+3.366*LOG(O2388,10))</f>
        <v>0.55104800386588448</v>
      </c>
      <c r="Q2388" s="8">
        <f>(4488342*100)/4914798</f>
        <v>91.323020803703429</v>
      </c>
    </row>
    <row r="2389" spans="1:17" x14ac:dyDescent="0.2">
      <c r="A2389">
        <f>YEAR(D2389)</f>
        <v>2019</v>
      </c>
      <c r="B2389" t="s">
        <v>26</v>
      </c>
      <c r="C2389" s="2" t="s">
        <v>50</v>
      </c>
      <c r="D2389" s="1">
        <v>43567</v>
      </c>
      <c r="E2389">
        <f>MONTH(D2389)</f>
        <v>4</v>
      </c>
      <c r="F2389" s="2" t="s">
        <v>19</v>
      </c>
      <c r="G2389" t="s">
        <v>20</v>
      </c>
      <c r="H2389" t="s">
        <v>149</v>
      </c>
      <c r="I2389" t="s">
        <v>36</v>
      </c>
      <c r="J2389" s="2" t="s">
        <v>42</v>
      </c>
      <c r="K2389" s="2" t="s">
        <v>3019</v>
      </c>
      <c r="L2389" t="s">
        <v>25</v>
      </c>
      <c r="M2389" s="8">
        <v>1.032666667</v>
      </c>
      <c r="N2389" t="s">
        <v>26</v>
      </c>
      <c r="O2389" s="8">
        <v>1.032666667</v>
      </c>
      <c r="P2389" s="8">
        <f>EXP(-1.363+3.366*LOG(O2389,10))</f>
        <v>0.26820327281159584</v>
      </c>
      <c r="Q2389" s="8">
        <f>(4488342*100)/4914798</f>
        <v>91.323020803703429</v>
      </c>
    </row>
    <row r="2390" spans="1:17" x14ac:dyDescent="0.2">
      <c r="A2390">
        <f>YEAR(D2390)</f>
        <v>2019</v>
      </c>
      <c r="B2390" t="s">
        <v>26</v>
      </c>
      <c r="C2390" s="2" t="s">
        <v>50</v>
      </c>
      <c r="D2390" s="1">
        <v>43567</v>
      </c>
      <c r="E2390">
        <f>MONTH(D2390)</f>
        <v>4</v>
      </c>
      <c r="F2390" s="2" t="s">
        <v>19</v>
      </c>
      <c r="G2390" s="2" t="s">
        <v>20</v>
      </c>
      <c r="H2390" t="s">
        <v>145</v>
      </c>
      <c r="I2390" t="s">
        <v>22</v>
      </c>
      <c r="J2390" s="2" t="s">
        <v>42</v>
      </c>
      <c r="K2390" s="2" t="s">
        <v>3019</v>
      </c>
      <c r="L2390" t="s">
        <v>25</v>
      </c>
      <c r="M2390" s="8">
        <v>2.399666667</v>
      </c>
      <c r="N2390" t="s">
        <v>26</v>
      </c>
      <c r="O2390" s="8">
        <v>2.399666667</v>
      </c>
      <c r="P2390" s="8">
        <f>EXP(-1.363+3.366*LOG(O2390,10))</f>
        <v>0.91997203423956198</v>
      </c>
      <c r="Q2390" s="8">
        <f>(4488342*100)/4914798</f>
        <v>91.323020803703429</v>
      </c>
    </row>
    <row r="2391" spans="1:17" x14ac:dyDescent="0.2">
      <c r="A2391">
        <f>YEAR(D2391)</f>
        <v>2019</v>
      </c>
      <c r="B2391" t="s">
        <v>26</v>
      </c>
      <c r="C2391" s="2" t="s">
        <v>50</v>
      </c>
      <c r="D2391" s="1">
        <v>43567</v>
      </c>
      <c r="E2391">
        <f>MONTH(D2391)</f>
        <v>4</v>
      </c>
      <c r="F2391" s="2" t="s">
        <v>19</v>
      </c>
      <c r="G2391" t="s">
        <v>219</v>
      </c>
      <c r="H2391" t="s">
        <v>220</v>
      </c>
      <c r="I2391" t="s">
        <v>22</v>
      </c>
      <c r="J2391" s="2" t="s">
        <v>42</v>
      </c>
      <c r="K2391" s="2" t="s">
        <v>3019</v>
      </c>
      <c r="L2391" t="s">
        <v>25</v>
      </c>
      <c r="M2391" s="10" t="s">
        <v>26</v>
      </c>
      <c r="N2391" t="s">
        <v>26</v>
      </c>
      <c r="O2391" s="10" t="s">
        <v>26</v>
      </c>
      <c r="P2391" s="8" t="s">
        <v>26</v>
      </c>
      <c r="Q2391" s="8">
        <f>(4488342*100)/4914798</f>
        <v>91.323020803703429</v>
      </c>
    </row>
    <row r="2392" spans="1:17" x14ac:dyDescent="0.2">
      <c r="A2392">
        <f>YEAR(D2392)</f>
        <v>2019</v>
      </c>
      <c r="B2392" t="s">
        <v>26</v>
      </c>
      <c r="C2392" s="2" t="s">
        <v>50</v>
      </c>
      <c r="D2392" s="1">
        <v>43567</v>
      </c>
      <c r="E2392">
        <f>MONTH(D2392)</f>
        <v>4</v>
      </c>
      <c r="F2392" s="2" t="s">
        <v>19</v>
      </c>
      <c r="G2392" t="s">
        <v>303</v>
      </c>
      <c r="H2392" t="s">
        <v>2133</v>
      </c>
      <c r="I2392" t="s">
        <v>36</v>
      </c>
      <c r="J2392" s="2" t="s">
        <v>42</v>
      </c>
      <c r="K2392" s="2" t="s">
        <v>3019</v>
      </c>
      <c r="L2392" t="s">
        <v>305</v>
      </c>
      <c r="M2392" s="8">
        <v>1.657</v>
      </c>
      <c r="N2392" t="s">
        <v>26</v>
      </c>
      <c r="O2392" s="8">
        <v>1.657</v>
      </c>
      <c r="P2392" s="8">
        <f>EXP(-1.363+3.366*LOG(O2392,10))</f>
        <v>0.53538967289501715</v>
      </c>
      <c r="Q2392" s="8">
        <f>(4488342*100)/4914798</f>
        <v>91.323020803703429</v>
      </c>
    </row>
    <row r="2393" spans="1:17" x14ac:dyDescent="0.2">
      <c r="A2393">
        <f>YEAR(D2393)</f>
        <v>2019</v>
      </c>
      <c r="B2393" t="s">
        <v>26</v>
      </c>
      <c r="C2393" s="2" t="s">
        <v>50</v>
      </c>
      <c r="D2393" s="1">
        <v>43567</v>
      </c>
      <c r="E2393">
        <f>MONTH(D2393)</f>
        <v>4</v>
      </c>
      <c r="F2393" s="2" t="s">
        <v>19</v>
      </c>
      <c r="G2393" t="s">
        <v>303</v>
      </c>
      <c r="H2393" t="s">
        <v>2305</v>
      </c>
      <c r="I2393" t="s">
        <v>36</v>
      </c>
      <c r="J2393" s="2" t="s">
        <v>42</v>
      </c>
      <c r="K2393" s="2" t="s">
        <v>3019</v>
      </c>
      <c r="L2393" t="s">
        <v>305</v>
      </c>
      <c r="M2393" s="8">
        <v>1.6180000000000001</v>
      </c>
      <c r="N2393" t="s">
        <v>26</v>
      </c>
      <c r="O2393" s="8">
        <v>1.6180000000000001</v>
      </c>
      <c r="P2393" s="8">
        <f>EXP(-1.363+3.366*LOG(O2393,10))</f>
        <v>0.51706933105274577</v>
      </c>
      <c r="Q2393" s="8">
        <f>(4488342*100)/4914798</f>
        <v>91.323020803703429</v>
      </c>
    </row>
    <row r="2394" spans="1:17" x14ac:dyDescent="0.2">
      <c r="A2394">
        <f>YEAR(D2394)</f>
        <v>2019</v>
      </c>
      <c r="B2394" t="s">
        <v>26</v>
      </c>
      <c r="C2394" s="2" t="s">
        <v>3024</v>
      </c>
      <c r="D2394" s="1">
        <v>43567</v>
      </c>
      <c r="E2394">
        <f>MONTH(D2394)</f>
        <v>4</v>
      </c>
      <c r="F2394" s="2" t="s">
        <v>19</v>
      </c>
      <c r="G2394" t="s">
        <v>20</v>
      </c>
      <c r="H2394" t="s">
        <v>149</v>
      </c>
      <c r="I2394" t="s">
        <v>22</v>
      </c>
      <c r="J2394" s="2" t="s">
        <v>42</v>
      </c>
      <c r="K2394" s="2" t="s">
        <v>3019</v>
      </c>
      <c r="L2394" t="s">
        <v>25</v>
      </c>
      <c r="M2394" s="8">
        <v>1.45</v>
      </c>
      <c r="N2394" t="s">
        <v>26</v>
      </c>
      <c r="O2394" s="8">
        <v>1.45</v>
      </c>
      <c r="P2394" s="8">
        <f>EXP(-1.363+3.366*LOG(O2394,10))</f>
        <v>0.44050419760124854</v>
      </c>
      <c r="Q2394" s="8">
        <f>(2412691*100)/2623642</f>
        <v>91.959611867777696</v>
      </c>
    </row>
    <row r="2395" spans="1:17" x14ac:dyDescent="0.2">
      <c r="A2395">
        <f>YEAR(D2395)</f>
        <v>2019</v>
      </c>
      <c r="B2395" t="s">
        <v>26</v>
      </c>
      <c r="C2395" s="2" t="s">
        <v>3024</v>
      </c>
      <c r="D2395" s="1">
        <v>43567</v>
      </c>
      <c r="E2395">
        <f>MONTH(D2395)</f>
        <v>4</v>
      </c>
      <c r="F2395" s="2" t="s">
        <v>19</v>
      </c>
      <c r="G2395" t="s">
        <v>219</v>
      </c>
      <c r="H2395" t="s">
        <v>220</v>
      </c>
      <c r="I2395" t="s">
        <v>22</v>
      </c>
      <c r="J2395" s="2" t="s">
        <v>42</v>
      </c>
      <c r="K2395" s="2" t="s">
        <v>3019</v>
      </c>
      <c r="L2395" t="s">
        <v>25</v>
      </c>
      <c r="M2395" s="10" t="s">
        <v>26</v>
      </c>
      <c r="N2395" t="s">
        <v>26</v>
      </c>
      <c r="O2395" s="10" t="s">
        <v>26</v>
      </c>
      <c r="P2395" s="8" t="s">
        <v>26</v>
      </c>
      <c r="Q2395" s="8">
        <f>(2412691*100)/2623642</f>
        <v>91.959611867777696</v>
      </c>
    </row>
    <row r="2396" spans="1:17" x14ac:dyDescent="0.2">
      <c r="A2396">
        <f>YEAR(D2396)</f>
        <v>2019</v>
      </c>
      <c r="B2396" t="s">
        <v>26</v>
      </c>
      <c r="C2396" s="2" t="s">
        <v>3024</v>
      </c>
      <c r="D2396" s="1">
        <v>43567</v>
      </c>
      <c r="E2396">
        <f>MONTH(D2396)</f>
        <v>4</v>
      </c>
      <c r="F2396" s="2" t="s">
        <v>19</v>
      </c>
      <c r="G2396" s="2" t="s">
        <v>20</v>
      </c>
      <c r="H2396" t="s">
        <v>3044</v>
      </c>
      <c r="I2396" t="s">
        <v>22</v>
      </c>
      <c r="J2396" s="2" t="s">
        <v>42</v>
      </c>
      <c r="K2396" s="2" t="s">
        <v>3019</v>
      </c>
      <c r="L2396" t="s">
        <v>25</v>
      </c>
      <c r="M2396" s="8">
        <v>2.0016666666666669</v>
      </c>
      <c r="N2396" t="s">
        <v>26</v>
      </c>
      <c r="O2396" s="8">
        <v>2.0016666666666669</v>
      </c>
      <c r="P2396" s="8">
        <f>EXP(-1.363+3.366*LOG(O2396,10))</f>
        <v>0.70573508481973102</v>
      </c>
      <c r="Q2396" s="8">
        <f>(2412691*100)/2623642</f>
        <v>91.959611867777696</v>
      </c>
    </row>
    <row r="2397" spans="1:17" x14ac:dyDescent="0.2">
      <c r="A2397">
        <f>YEAR(D2397)</f>
        <v>2019</v>
      </c>
      <c r="B2397" t="s">
        <v>26</v>
      </c>
      <c r="C2397" s="2" t="s">
        <v>3024</v>
      </c>
      <c r="D2397" s="1">
        <v>43567</v>
      </c>
      <c r="E2397">
        <f>MONTH(D2397)</f>
        <v>4</v>
      </c>
      <c r="F2397" s="2" t="s">
        <v>19</v>
      </c>
      <c r="G2397" t="s">
        <v>1532</v>
      </c>
      <c r="H2397" t="s">
        <v>1533</v>
      </c>
      <c r="I2397" t="s">
        <v>36</v>
      </c>
      <c r="J2397" s="2" t="s">
        <v>42</v>
      </c>
      <c r="K2397" s="2" t="s">
        <v>3019</v>
      </c>
      <c r="L2397" t="s">
        <v>25</v>
      </c>
      <c r="M2397" s="8">
        <v>2.63</v>
      </c>
      <c r="N2397" t="s">
        <v>26</v>
      </c>
      <c r="O2397" s="8">
        <v>2.63</v>
      </c>
      <c r="P2397" s="8">
        <f>EXP(-1.363+3.366*LOG(O2397,10))</f>
        <v>1.0518715955632558</v>
      </c>
      <c r="Q2397" s="8">
        <f>(2412691*100)/2623642</f>
        <v>91.959611867777696</v>
      </c>
    </row>
    <row r="2398" spans="1:17" x14ac:dyDescent="0.2">
      <c r="A2398">
        <f>YEAR(D2398)</f>
        <v>2019</v>
      </c>
      <c r="B2398" t="s">
        <v>26</v>
      </c>
      <c r="C2398" s="2" t="s">
        <v>3024</v>
      </c>
      <c r="D2398" s="1">
        <v>43567</v>
      </c>
      <c r="E2398">
        <f>MONTH(D2398)</f>
        <v>4</v>
      </c>
      <c r="F2398" s="2" t="s">
        <v>19</v>
      </c>
      <c r="G2398" t="s">
        <v>20</v>
      </c>
      <c r="H2398" t="s">
        <v>183</v>
      </c>
      <c r="I2398" t="s">
        <v>22</v>
      </c>
      <c r="J2398" s="2" t="s">
        <v>42</v>
      </c>
      <c r="K2398" s="2" t="s">
        <v>3019</v>
      </c>
      <c r="L2398" t="s">
        <v>25</v>
      </c>
      <c r="M2398" s="8">
        <v>2.7893333330000001</v>
      </c>
      <c r="N2398" t="s">
        <v>26</v>
      </c>
      <c r="O2398" s="8">
        <v>2.7893333330000001</v>
      </c>
      <c r="P2398" s="8">
        <f>EXP(-1.363+3.366*LOG(O2398,10))</f>
        <v>1.1463172389308915</v>
      </c>
      <c r="Q2398" s="8">
        <f>(2412691*100)/2623642</f>
        <v>91.959611867777696</v>
      </c>
    </row>
    <row r="2399" spans="1:17" x14ac:dyDescent="0.2">
      <c r="A2399">
        <f>YEAR(D2399)</f>
        <v>2019</v>
      </c>
      <c r="B2399" t="s">
        <v>26</v>
      </c>
      <c r="C2399" s="2" t="s">
        <v>1552</v>
      </c>
      <c r="D2399" s="1">
        <v>43570</v>
      </c>
      <c r="E2399">
        <f>MONTH(D2399)</f>
        <v>4</v>
      </c>
      <c r="F2399" s="2" t="s">
        <v>19</v>
      </c>
      <c r="G2399" s="2" t="s">
        <v>20</v>
      </c>
      <c r="H2399" t="s">
        <v>91</v>
      </c>
      <c r="I2399" t="s">
        <v>22</v>
      </c>
      <c r="J2399" s="2" t="s">
        <v>42</v>
      </c>
      <c r="K2399" s="2" t="s">
        <v>3019</v>
      </c>
      <c r="L2399" t="s">
        <v>25</v>
      </c>
      <c r="M2399" s="8">
        <v>2.0630000000000002</v>
      </c>
      <c r="N2399" t="s">
        <v>26</v>
      </c>
      <c r="O2399" s="8">
        <v>2.0630000000000002</v>
      </c>
      <c r="P2399" s="8">
        <f>EXP(-1.363+3.366*LOG(O2399,10))</f>
        <v>0.73756902742293162</v>
      </c>
      <c r="Q2399" s="8">
        <f>(3738946*100)/3915493</f>
        <v>95.491065875995687</v>
      </c>
    </row>
    <row r="2400" spans="1:17" x14ac:dyDescent="0.2">
      <c r="A2400">
        <f>YEAR(D2400)</f>
        <v>2019</v>
      </c>
      <c r="B2400" t="s">
        <v>26</v>
      </c>
      <c r="C2400" s="2" t="s">
        <v>1552</v>
      </c>
      <c r="D2400" s="1">
        <v>43570</v>
      </c>
      <c r="E2400">
        <f>MONTH(D2400)</f>
        <v>4</v>
      </c>
      <c r="F2400" s="2" t="s">
        <v>19</v>
      </c>
      <c r="G2400" t="s">
        <v>352</v>
      </c>
      <c r="H2400" t="s">
        <v>975</v>
      </c>
      <c r="I2400" t="s">
        <v>22</v>
      </c>
      <c r="J2400" s="2" t="s">
        <v>42</v>
      </c>
      <c r="K2400" s="2" t="s">
        <v>3019</v>
      </c>
      <c r="L2400" t="s">
        <v>25</v>
      </c>
      <c r="M2400" s="8">
        <v>1.0693333330000001</v>
      </c>
      <c r="N2400" t="s">
        <v>26</v>
      </c>
      <c r="O2400" s="8">
        <v>1.0693333330000001</v>
      </c>
      <c r="P2400" s="8">
        <f>EXP(-1.363+3.366*LOG(O2400,10))</f>
        <v>0.28223780327142356</v>
      </c>
      <c r="Q2400" s="8">
        <f>(3738946*100)/3915493</f>
        <v>95.491065875995687</v>
      </c>
    </row>
    <row r="2401" spans="1:17" x14ac:dyDescent="0.2">
      <c r="A2401">
        <f>YEAR(D2401)</f>
        <v>2019</v>
      </c>
      <c r="B2401" t="s">
        <v>26</v>
      </c>
      <c r="C2401" s="2" t="s">
        <v>1552</v>
      </c>
      <c r="D2401" s="1">
        <v>43570</v>
      </c>
      <c r="E2401">
        <f>MONTH(D2401)</f>
        <v>4</v>
      </c>
      <c r="F2401" s="2" t="s">
        <v>19</v>
      </c>
      <c r="G2401" t="s">
        <v>303</v>
      </c>
      <c r="H2401" t="s">
        <v>312</v>
      </c>
      <c r="I2401" t="s">
        <v>22</v>
      </c>
      <c r="J2401" s="2" t="s">
        <v>42</v>
      </c>
      <c r="K2401" s="2" t="s">
        <v>3019</v>
      </c>
      <c r="L2401" t="s">
        <v>305</v>
      </c>
      <c r="M2401" s="8">
        <v>1.5776666669999999</v>
      </c>
      <c r="N2401" t="s">
        <v>26</v>
      </c>
      <c r="O2401" s="8">
        <v>1.5776666669999999</v>
      </c>
      <c r="P2401" s="8">
        <f>EXP(-1.363+3.366*LOG(O2401,10))</f>
        <v>0.49833603071292354</v>
      </c>
      <c r="Q2401" s="8">
        <f>(3738946*100)/3915493</f>
        <v>95.491065875995687</v>
      </c>
    </row>
    <row r="2402" spans="1:17" x14ac:dyDescent="0.2">
      <c r="A2402">
        <f>YEAR(D2402)</f>
        <v>2019</v>
      </c>
      <c r="B2402" t="s">
        <v>26</v>
      </c>
      <c r="C2402" s="2" t="s">
        <v>1552</v>
      </c>
      <c r="D2402" s="1">
        <v>43570</v>
      </c>
      <c r="E2402">
        <f>MONTH(D2402)</f>
        <v>4</v>
      </c>
      <c r="F2402" s="2" t="s">
        <v>19</v>
      </c>
      <c r="G2402" t="s">
        <v>352</v>
      </c>
      <c r="H2402" t="s">
        <v>623</v>
      </c>
      <c r="I2402" t="s">
        <v>22</v>
      </c>
      <c r="J2402" s="2" t="s">
        <v>42</v>
      </c>
      <c r="K2402" s="2" t="s">
        <v>3019</v>
      </c>
      <c r="L2402" t="s">
        <v>25</v>
      </c>
      <c r="M2402" s="8">
        <v>1.387</v>
      </c>
      <c r="N2402" t="s">
        <v>26</v>
      </c>
      <c r="O2402" s="8">
        <v>1.387</v>
      </c>
      <c r="P2402" s="8">
        <f>EXP(-1.363+3.366*LOG(O2402,10))</f>
        <v>0.41280884754947733</v>
      </c>
      <c r="Q2402" s="8">
        <f>(3738946*100)/3915493</f>
        <v>95.491065875995687</v>
      </c>
    </row>
    <row r="2403" spans="1:17" x14ac:dyDescent="0.2">
      <c r="A2403">
        <f>YEAR(D2403)</f>
        <v>2019</v>
      </c>
      <c r="B2403" t="s">
        <v>26</v>
      </c>
      <c r="C2403" s="2" t="s">
        <v>1552</v>
      </c>
      <c r="D2403" s="1">
        <v>43570</v>
      </c>
      <c r="E2403">
        <f>MONTH(D2403)</f>
        <v>4</v>
      </c>
      <c r="F2403" s="2" t="s">
        <v>19</v>
      </c>
      <c r="G2403" t="s">
        <v>352</v>
      </c>
      <c r="H2403" t="s">
        <v>975</v>
      </c>
      <c r="I2403" t="s">
        <v>22</v>
      </c>
      <c r="J2403" s="2" t="s">
        <v>42</v>
      </c>
      <c r="K2403" s="2" t="s">
        <v>3019</v>
      </c>
      <c r="L2403" t="s">
        <v>25</v>
      </c>
      <c r="M2403" s="8">
        <v>1.0693333330000001</v>
      </c>
      <c r="N2403" t="s">
        <v>26</v>
      </c>
      <c r="O2403" s="8">
        <v>1.0693333330000001</v>
      </c>
      <c r="P2403" s="8">
        <f>EXP(-1.363+3.366*LOG(O2403,10))</f>
        <v>0.28223780327142356</v>
      </c>
      <c r="Q2403" s="8">
        <f>(3738946*100)/3915493</f>
        <v>95.491065875995687</v>
      </c>
    </row>
    <row r="2404" spans="1:17" x14ac:dyDescent="0.2">
      <c r="A2404">
        <f>YEAR(D2404)</f>
        <v>2019</v>
      </c>
      <c r="B2404" t="s">
        <v>26</v>
      </c>
      <c r="C2404" s="2" t="s">
        <v>1552</v>
      </c>
      <c r="D2404" s="1">
        <v>43570</v>
      </c>
      <c r="E2404">
        <f>MONTH(D2404)</f>
        <v>4</v>
      </c>
      <c r="F2404" s="2" t="s">
        <v>19</v>
      </c>
      <c r="G2404" t="s">
        <v>303</v>
      </c>
      <c r="H2404" t="s">
        <v>304</v>
      </c>
      <c r="I2404" t="s">
        <v>22</v>
      </c>
      <c r="J2404" s="2" t="s">
        <v>42</v>
      </c>
      <c r="K2404" s="2" t="s">
        <v>3019</v>
      </c>
      <c r="L2404" t="s">
        <v>305</v>
      </c>
      <c r="M2404" s="8">
        <v>1.8525</v>
      </c>
      <c r="N2404" t="s">
        <v>26</v>
      </c>
      <c r="O2404" s="8">
        <v>1.8525</v>
      </c>
      <c r="P2404" s="8">
        <f>EXP(-1.363+3.366*LOG(O2404,10))</f>
        <v>0.63019508881221808</v>
      </c>
      <c r="Q2404" s="8">
        <f>(3738946*100)/3915493</f>
        <v>95.491065875995687</v>
      </c>
    </row>
    <row r="2405" spans="1:17" x14ac:dyDescent="0.2">
      <c r="A2405">
        <f>YEAR(D2405)</f>
        <v>2019</v>
      </c>
      <c r="B2405" t="s">
        <v>26</v>
      </c>
      <c r="C2405" s="2" t="s">
        <v>1552</v>
      </c>
      <c r="D2405" s="1">
        <v>43570</v>
      </c>
      <c r="E2405">
        <f>MONTH(D2405)</f>
        <v>4</v>
      </c>
      <c r="F2405" s="2" t="s">
        <v>19</v>
      </c>
      <c r="G2405" t="s">
        <v>20</v>
      </c>
      <c r="H2405" t="s">
        <v>149</v>
      </c>
      <c r="I2405" t="s">
        <v>22</v>
      </c>
      <c r="J2405" s="2" t="s">
        <v>42</v>
      </c>
      <c r="K2405" s="2" t="s">
        <v>3019</v>
      </c>
      <c r="L2405" t="s">
        <v>25</v>
      </c>
      <c r="M2405" s="8">
        <v>1.45</v>
      </c>
      <c r="N2405" t="s">
        <v>26</v>
      </c>
      <c r="O2405" s="8">
        <v>1.45</v>
      </c>
      <c r="P2405" s="8">
        <f>EXP(-1.363+3.366*LOG(O2405,10))</f>
        <v>0.44050419760124854</v>
      </c>
      <c r="Q2405" s="8">
        <f>(3738946*100)/3915493</f>
        <v>95.491065875995687</v>
      </c>
    </row>
    <row r="2406" spans="1:17" x14ac:dyDescent="0.2">
      <c r="A2406">
        <f>YEAR(D2406)</f>
        <v>2019</v>
      </c>
      <c r="B2406" t="s">
        <v>26</v>
      </c>
      <c r="C2406" s="2" t="s">
        <v>1552</v>
      </c>
      <c r="D2406" s="1">
        <v>43570</v>
      </c>
      <c r="E2406">
        <f>MONTH(D2406)</f>
        <v>4</v>
      </c>
      <c r="F2406" s="2" t="s">
        <v>19</v>
      </c>
      <c r="G2406" t="s">
        <v>303</v>
      </c>
      <c r="H2406" t="s">
        <v>307</v>
      </c>
      <c r="I2406" t="s">
        <v>22</v>
      </c>
      <c r="J2406" s="2" t="s">
        <v>42</v>
      </c>
      <c r="K2406" s="2" t="s">
        <v>3019</v>
      </c>
      <c r="L2406" t="s">
        <v>305</v>
      </c>
      <c r="M2406" s="8">
        <v>1.1000000000000001</v>
      </c>
      <c r="N2406" t="s">
        <v>26</v>
      </c>
      <c r="O2406" s="8">
        <v>1.1000000000000001</v>
      </c>
      <c r="P2406" s="8">
        <f>EXP(-1.363+3.366*LOG(O2406,10))</f>
        <v>0.29414800446794787</v>
      </c>
      <c r="Q2406" s="8">
        <f>(3738946*100)/3915493</f>
        <v>95.491065875995687</v>
      </c>
    </row>
    <row r="2407" spans="1:17" x14ac:dyDescent="0.2">
      <c r="A2407">
        <f>YEAR(D2407)</f>
        <v>2019</v>
      </c>
      <c r="B2407" t="s">
        <v>26</v>
      </c>
      <c r="C2407" s="2" t="s">
        <v>1552</v>
      </c>
      <c r="D2407" s="1">
        <v>43570</v>
      </c>
      <c r="E2407">
        <f>MONTH(D2407)</f>
        <v>4</v>
      </c>
      <c r="F2407" s="2" t="s">
        <v>19</v>
      </c>
      <c r="G2407" t="s">
        <v>20</v>
      </c>
      <c r="H2407" t="s">
        <v>1732</v>
      </c>
      <c r="I2407" t="s">
        <v>22</v>
      </c>
      <c r="J2407" s="2" t="s">
        <v>42</v>
      </c>
      <c r="K2407" s="2" t="s">
        <v>3019</v>
      </c>
      <c r="L2407" t="s">
        <v>25</v>
      </c>
      <c r="M2407" s="8">
        <v>1.544</v>
      </c>
      <c r="N2407" t="s">
        <v>26</v>
      </c>
      <c r="O2407" s="8">
        <v>1.544</v>
      </c>
      <c r="P2407" s="8">
        <f>EXP(-1.363+3.366*LOG(O2407,10))</f>
        <v>0.48286739783554938</v>
      </c>
      <c r="Q2407" s="8">
        <f>(3738946*100)/3915493</f>
        <v>95.491065875995687</v>
      </c>
    </row>
    <row r="2408" spans="1:17" x14ac:dyDescent="0.2">
      <c r="A2408">
        <f>YEAR(D2408)</f>
        <v>2019</v>
      </c>
      <c r="B2408" t="s">
        <v>26</v>
      </c>
      <c r="C2408" s="2" t="s">
        <v>1552</v>
      </c>
      <c r="D2408" s="1">
        <v>43570</v>
      </c>
      <c r="E2408">
        <f>MONTH(D2408)</f>
        <v>4</v>
      </c>
      <c r="F2408" s="2" t="s">
        <v>19</v>
      </c>
      <c r="G2408" t="s">
        <v>352</v>
      </c>
      <c r="H2408" t="s">
        <v>623</v>
      </c>
      <c r="I2408" t="s">
        <v>22</v>
      </c>
      <c r="J2408" s="2" t="s">
        <v>42</v>
      </c>
      <c r="K2408" s="2" t="s">
        <v>3019</v>
      </c>
      <c r="L2408" t="s">
        <v>25</v>
      </c>
      <c r="M2408" s="8">
        <v>1.387</v>
      </c>
      <c r="N2408" t="s">
        <v>26</v>
      </c>
      <c r="O2408" s="8">
        <v>1.387</v>
      </c>
      <c r="P2408" s="8">
        <f>EXP(-1.363+3.366*LOG(O2408,10))</f>
        <v>0.41280884754947733</v>
      </c>
      <c r="Q2408" s="8">
        <f>(3738946*100)/3915493</f>
        <v>95.491065875995687</v>
      </c>
    </row>
    <row r="2409" spans="1:17" x14ac:dyDescent="0.2">
      <c r="A2409">
        <f>YEAR(D2409)</f>
        <v>2019</v>
      </c>
      <c r="B2409" t="s">
        <v>26</v>
      </c>
      <c r="C2409" s="2" t="s">
        <v>1552</v>
      </c>
      <c r="D2409" s="1">
        <v>43570</v>
      </c>
      <c r="E2409">
        <f>MONTH(D2409)</f>
        <v>4</v>
      </c>
      <c r="F2409" s="2" t="s">
        <v>19</v>
      </c>
      <c r="G2409" t="s">
        <v>362</v>
      </c>
      <c r="H2409" t="s">
        <v>447</v>
      </c>
      <c r="I2409" t="s">
        <v>22</v>
      </c>
      <c r="J2409" s="2" t="s">
        <v>42</v>
      </c>
      <c r="K2409" s="2" t="s">
        <v>3019</v>
      </c>
      <c r="L2409" t="s">
        <v>25</v>
      </c>
      <c r="M2409" s="8">
        <v>1.421</v>
      </c>
      <c r="N2409" t="s">
        <v>26</v>
      </c>
      <c r="O2409" s="8">
        <v>1.421</v>
      </c>
      <c r="P2409" s="8">
        <f>EXP(-1.363+3.366*LOG(O2409,10))</f>
        <v>0.42768500084673816</v>
      </c>
      <c r="Q2409" s="8">
        <f>(3738946*100)/3915493</f>
        <v>95.491065875995687</v>
      </c>
    </row>
    <row r="2410" spans="1:17" x14ac:dyDescent="0.2">
      <c r="A2410">
        <f>YEAR(D2410)</f>
        <v>2019</v>
      </c>
      <c r="B2410" t="s">
        <v>26</v>
      </c>
      <c r="C2410" s="2" t="s">
        <v>1552</v>
      </c>
      <c r="D2410" s="1">
        <v>43570</v>
      </c>
      <c r="E2410">
        <f>MONTH(D2410)</f>
        <v>4</v>
      </c>
      <c r="F2410" s="2" t="s">
        <v>19</v>
      </c>
      <c r="G2410" t="s">
        <v>352</v>
      </c>
      <c r="H2410" t="s">
        <v>623</v>
      </c>
      <c r="I2410" t="s">
        <v>22</v>
      </c>
      <c r="J2410" s="2" t="s">
        <v>42</v>
      </c>
      <c r="K2410" s="2" t="s">
        <v>3019</v>
      </c>
      <c r="L2410" t="s">
        <v>25</v>
      </c>
      <c r="M2410" s="8">
        <v>1.387</v>
      </c>
      <c r="N2410" t="s">
        <v>26</v>
      </c>
      <c r="O2410" s="8">
        <v>1.387</v>
      </c>
      <c r="P2410" s="8">
        <f>EXP(-1.363+3.366*LOG(O2410,10))</f>
        <v>0.41280884754947733</v>
      </c>
      <c r="Q2410" s="8">
        <f>(3738946*100)/3915493</f>
        <v>95.491065875995687</v>
      </c>
    </row>
    <row r="2411" spans="1:17" x14ac:dyDescent="0.2">
      <c r="A2411">
        <f>YEAR(D2411)</f>
        <v>2019</v>
      </c>
      <c r="B2411" t="s">
        <v>26</v>
      </c>
      <c r="C2411" s="2" t="s">
        <v>1552</v>
      </c>
      <c r="D2411" s="1">
        <v>43570</v>
      </c>
      <c r="E2411">
        <f>MONTH(D2411)</f>
        <v>4</v>
      </c>
      <c r="F2411" s="2" t="s">
        <v>19</v>
      </c>
      <c r="G2411" t="s">
        <v>352</v>
      </c>
      <c r="H2411" t="s">
        <v>975</v>
      </c>
      <c r="I2411" t="s">
        <v>22</v>
      </c>
      <c r="J2411" s="2" t="s">
        <v>42</v>
      </c>
      <c r="K2411" s="2" t="s">
        <v>3019</v>
      </c>
      <c r="L2411" t="s">
        <v>25</v>
      </c>
      <c r="M2411" s="8">
        <v>1.0693333330000001</v>
      </c>
      <c r="N2411" t="s">
        <v>26</v>
      </c>
      <c r="O2411" s="8">
        <v>1.0693333330000001</v>
      </c>
      <c r="P2411" s="8">
        <f>EXP(-1.363+3.366*LOG(O2411,10))</f>
        <v>0.28223780327142356</v>
      </c>
      <c r="Q2411" s="8">
        <f>(3738946*100)/3915493</f>
        <v>95.491065875995687</v>
      </c>
    </row>
    <row r="2412" spans="1:17" x14ac:dyDescent="0.2">
      <c r="A2412">
        <f>YEAR(D2412)</f>
        <v>2019</v>
      </c>
      <c r="B2412" t="s">
        <v>26</v>
      </c>
      <c r="C2412" s="2" t="s">
        <v>1552</v>
      </c>
      <c r="D2412" s="1">
        <v>43570</v>
      </c>
      <c r="E2412">
        <f>MONTH(D2412)</f>
        <v>4</v>
      </c>
      <c r="F2412" s="2" t="s">
        <v>19</v>
      </c>
      <c r="G2412" t="s">
        <v>352</v>
      </c>
      <c r="H2412" t="s">
        <v>975</v>
      </c>
      <c r="I2412" t="s">
        <v>22</v>
      </c>
      <c r="J2412" s="2" t="s">
        <v>42</v>
      </c>
      <c r="K2412" s="2" t="s">
        <v>3019</v>
      </c>
      <c r="L2412" t="s">
        <v>25</v>
      </c>
      <c r="M2412" s="8">
        <v>1.0693333330000001</v>
      </c>
      <c r="N2412" t="s">
        <v>26</v>
      </c>
      <c r="O2412" s="8">
        <v>1.0693333330000001</v>
      </c>
      <c r="P2412" s="8">
        <f>EXP(-1.363+3.366*LOG(O2412,10))</f>
        <v>0.28223780327142356</v>
      </c>
      <c r="Q2412" s="8">
        <f>(3738946*100)/3915493</f>
        <v>95.491065875995687</v>
      </c>
    </row>
    <row r="2413" spans="1:17" x14ac:dyDescent="0.2">
      <c r="A2413">
        <f>YEAR(D2413)</f>
        <v>2019</v>
      </c>
      <c r="B2413" t="s">
        <v>26</v>
      </c>
      <c r="C2413" s="2" t="s">
        <v>1552</v>
      </c>
      <c r="D2413" s="1">
        <v>43570</v>
      </c>
      <c r="E2413">
        <f>MONTH(D2413)</f>
        <v>4</v>
      </c>
      <c r="F2413" s="2" t="s">
        <v>19</v>
      </c>
      <c r="G2413" t="s">
        <v>352</v>
      </c>
      <c r="H2413" t="s">
        <v>975</v>
      </c>
      <c r="I2413" t="s">
        <v>22</v>
      </c>
      <c r="J2413" s="2" t="s">
        <v>42</v>
      </c>
      <c r="K2413" s="2" t="s">
        <v>3019</v>
      </c>
      <c r="L2413" t="s">
        <v>25</v>
      </c>
      <c r="M2413" s="8">
        <v>1.0693333330000001</v>
      </c>
      <c r="N2413" t="s">
        <v>26</v>
      </c>
      <c r="O2413" s="8">
        <v>1.0693333330000001</v>
      </c>
      <c r="P2413" s="8">
        <f>EXP(-1.363+3.366*LOG(O2413,10))</f>
        <v>0.28223780327142356</v>
      </c>
      <c r="Q2413" s="8">
        <f>(3738946*100)/3915493</f>
        <v>95.491065875995687</v>
      </c>
    </row>
    <row r="2414" spans="1:17" x14ac:dyDescent="0.2">
      <c r="A2414">
        <f>YEAR(D2414)</f>
        <v>2019</v>
      </c>
      <c r="B2414" t="s">
        <v>26</v>
      </c>
      <c r="C2414" s="2" t="s">
        <v>1552</v>
      </c>
      <c r="D2414" s="1">
        <v>43570</v>
      </c>
      <c r="E2414">
        <f>MONTH(D2414)</f>
        <v>4</v>
      </c>
      <c r="F2414" s="2" t="s">
        <v>19</v>
      </c>
      <c r="G2414" t="s">
        <v>352</v>
      </c>
      <c r="H2414" t="s">
        <v>975</v>
      </c>
      <c r="I2414" t="s">
        <v>22</v>
      </c>
      <c r="J2414" s="2" t="s">
        <v>42</v>
      </c>
      <c r="K2414" s="2" t="s">
        <v>3019</v>
      </c>
      <c r="L2414" t="s">
        <v>25</v>
      </c>
      <c r="M2414" s="8">
        <v>1.0693333330000001</v>
      </c>
      <c r="N2414" t="s">
        <v>26</v>
      </c>
      <c r="O2414" s="8">
        <v>1.0693333330000001</v>
      </c>
      <c r="P2414" s="8">
        <f>EXP(-1.363+3.366*LOG(O2414,10))</f>
        <v>0.28223780327142356</v>
      </c>
      <c r="Q2414" s="8">
        <f>(3738946*100)/3915493</f>
        <v>95.491065875995687</v>
      </c>
    </row>
    <row r="2415" spans="1:17" x14ac:dyDescent="0.2">
      <c r="A2415">
        <f>YEAR(D2415)</f>
        <v>2019</v>
      </c>
      <c r="B2415" t="s">
        <v>26</v>
      </c>
      <c r="C2415" s="2" t="s">
        <v>1552</v>
      </c>
      <c r="D2415" s="1">
        <v>43570</v>
      </c>
      <c r="E2415">
        <f>MONTH(D2415)</f>
        <v>4</v>
      </c>
      <c r="F2415" s="2" t="s">
        <v>19</v>
      </c>
      <c r="G2415" t="s">
        <v>352</v>
      </c>
      <c r="H2415" t="s">
        <v>975</v>
      </c>
      <c r="I2415" t="s">
        <v>22</v>
      </c>
      <c r="J2415" s="2" t="s">
        <v>42</v>
      </c>
      <c r="K2415" s="2" t="s">
        <v>3019</v>
      </c>
      <c r="L2415" t="s">
        <v>25</v>
      </c>
      <c r="M2415" s="8">
        <v>1.0693333330000001</v>
      </c>
      <c r="N2415" t="s">
        <v>26</v>
      </c>
      <c r="O2415" s="8">
        <v>1.0693333330000001</v>
      </c>
      <c r="P2415" s="8">
        <f>EXP(-1.363+3.366*LOG(O2415,10))</f>
        <v>0.28223780327142356</v>
      </c>
      <c r="Q2415" s="8">
        <f>(3738946*100)/3915493</f>
        <v>95.491065875995687</v>
      </c>
    </row>
    <row r="2416" spans="1:17" x14ac:dyDescent="0.2">
      <c r="A2416">
        <f>YEAR(D2416)</f>
        <v>2019</v>
      </c>
      <c r="B2416" t="s">
        <v>26</v>
      </c>
      <c r="C2416" s="2" t="s">
        <v>1552</v>
      </c>
      <c r="D2416" s="1">
        <v>43570</v>
      </c>
      <c r="E2416">
        <f>MONTH(D2416)</f>
        <v>4</v>
      </c>
      <c r="F2416" s="2" t="s">
        <v>19</v>
      </c>
      <c r="G2416" t="s">
        <v>352</v>
      </c>
      <c r="H2416" t="s">
        <v>975</v>
      </c>
      <c r="I2416" t="s">
        <v>22</v>
      </c>
      <c r="J2416" s="2" t="s">
        <v>42</v>
      </c>
      <c r="K2416" s="2" t="s">
        <v>3019</v>
      </c>
      <c r="L2416" t="s">
        <v>25</v>
      </c>
      <c r="M2416" s="8">
        <v>1.0693333330000001</v>
      </c>
      <c r="N2416" t="s">
        <v>26</v>
      </c>
      <c r="O2416" s="8">
        <v>1.0693333330000001</v>
      </c>
      <c r="P2416" s="8">
        <f>EXP(-1.363+3.366*LOG(O2416,10))</f>
        <v>0.28223780327142356</v>
      </c>
      <c r="Q2416" s="8">
        <f>(3738946*100)/3915493</f>
        <v>95.491065875995687</v>
      </c>
    </row>
    <row r="2417" spans="1:17" x14ac:dyDescent="0.2">
      <c r="A2417">
        <f>YEAR(D2417)</f>
        <v>2019</v>
      </c>
      <c r="B2417" t="s">
        <v>26</v>
      </c>
      <c r="C2417" s="2" t="s">
        <v>1552</v>
      </c>
      <c r="D2417" s="1">
        <v>43570</v>
      </c>
      <c r="E2417">
        <f>MONTH(D2417)</f>
        <v>4</v>
      </c>
      <c r="F2417" s="2" t="s">
        <v>19</v>
      </c>
      <c r="G2417" t="s">
        <v>352</v>
      </c>
      <c r="H2417" t="s">
        <v>975</v>
      </c>
      <c r="I2417" t="s">
        <v>22</v>
      </c>
      <c r="J2417" s="2" t="s">
        <v>42</v>
      </c>
      <c r="K2417" s="2" t="s">
        <v>3019</v>
      </c>
      <c r="L2417" t="s">
        <v>25</v>
      </c>
      <c r="M2417" s="8">
        <v>1.0693333330000001</v>
      </c>
      <c r="N2417" t="s">
        <v>26</v>
      </c>
      <c r="O2417" s="8">
        <v>1.0693333330000001</v>
      </c>
      <c r="P2417" s="8">
        <f>EXP(-1.363+3.366*LOG(O2417,10))</f>
        <v>0.28223780327142356</v>
      </c>
      <c r="Q2417" s="8">
        <f>(3738946*100)/3915493</f>
        <v>95.491065875995687</v>
      </c>
    </row>
    <row r="2418" spans="1:17" x14ac:dyDescent="0.2">
      <c r="A2418">
        <f>YEAR(D2418)</f>
        <v>2019</v>
      </c>
      <c r="B2418" t="s">
        <v>26</v>
      </c>
      <c r="C2418" s="2" t="s">
        <v>1552</v>
      </c>
      <c r="D2418" s="1">
        <v>43570</v>
      </c>
      <c r="E2418">
        <f>MONTH(D2418)</f>
        <v>4</v>
      </c>
      <c r="F2418" s="2" t="s">
        <v>19</v>
      </c>
      <c r="G2418" t="s">
        <v>352</v>
      </c>
      <c r="H2418" t="s">
        <v>975</v>
      </c>
      <c r="I2418" t="s">
        <v>22</v>
      </c>
      <c r="J2418" s="2" t="s">
        <v>42</v>
      </c>
      <c r="K2418" s="2" t="s">
        <v>3019</v>
      </c>
      <c r="L2418" t="s">
        <v>25</v>
      </c>
      <c r="M2418" s="8">
        <v>1.0693333330000001</v>
      </c>
      <c r="N2418" t="s">
        <v>26</v>
      </c>
      <c r="O2418" s="8">
        <v>1.0693333330000001</v>
      </c>
      <c r="P2418" s="8">
        <f>EXP(-1.363+3.366*LOG(O2418,10))</f>
        <v>0.28223780327142356</v>
      </c>
      <c r="Q2418" s="8">
        <f>(3738946*100)/3915493</f>
        <v>95.491065875995687</v>
      </c>
    </row>
    <row r="2419" spans="1:17" x14ac:dyDescent="0.2">
      <c r="A2419">
        <f>YEAR(D2419)</f>
        <v>2019</v>
      </c>
      <c r="B2419" t="s">
        <v>26</v>
      </c>
      <c r="C2419" s="2" t="s">
        <v>1552</v>
      </c>
      <c r="D2419" s="1">
        <v>43570</v>
      </c>
      <c r="E2419">
        <f>MONTH(D2419)</f>
        <v>4</v>
      </c>
      <c r="F2419" s="2" t="s">
        <v>19</v>
      </c>
      <c r="G2419" t="s">
        <v>352</v>
      </c>
      <c r="H2419" t="s">
        <v>975</v>
      </c>
      <c r="I2419" t="s">
        <v>22</v>
      </c>
      <c r="J2419" s="2" t="s">
        <v>42</v>
      </c>
      <c r="K2419" s="2" t="s">
        <v>3019</v>
      </c>
      <c r="L2419" t="s">
        <v>25</v>
      </c>
      <c r="M2419" s="8">
        <v>1.0693333330000001</v>
      </c>
      <c r="N2419" t="s">
        <v>26</v>
      </c>
      <c r="O2419" s="8">
        <v>1.0693333330000001</v>
      </c>
      <c r="P2419" s="8">
        <f>EXP(-1.363+3.366*LOG(O2419,10))</f>
        <v>0.28223780327142356</v>
      </c>
      <c r="Q2419" s="8">
        <f>(3738946*100)/3915493</f>
        <v>95.491065875995687</v>
      </c>
    </row>
    <row r="2420" spans="1:17" x14ac:dyDescent="0.2">
      <c r="A2420">
        <f>YEAR(D2420)</f>
        <v>2019</v>
      </c>
      <c r="B2420" t="s">
        <v>26</v>
      </c>
      <c r="C2420" s="2" t="s">
        <v>1552</v>
      </c>
      <c r="D2420" s="1">
        <v>43570</v>
      </c>
      <c r="E2420">
        <f>MONTH(D2420)</f>
        <v>4</v>
      </c>
      <c r="F2420" s="2" t="s">
        <v>19</v>
      </c>
      <c r="G2420" t="s">
        <v>352</v>
      </c>
      <c r="H2420" t="s">
        <v>975</v>
      </c>
      <c r="I2420" t="s">
        <v>22</v>
      </c>
      <c r="J2420" s="2" t="s">
        <v>42</v>
      </c>
      <c r="K2420" s="2" t="s">
        <v>3019</v>
      </c>
      <c r="L2420" t="s">
        <v>25</v>
      </c>
      <c r="M2420" s="8">
        <v>1.0693333330000001</v>
      </c>
      <c r="N2420" t="s">
        <v>26</v>
      </c>
      <c r="O2420" s="8">
        <v>1.0693333330000001</v>
      </c>
      <c r="P2420" s="8">
        <f>EXP(-1.363+3.366*LOG(O2420,10))</f>
        <v>0.28223780327142356</v>
      </c>
      <c r="Q2420" s="8">
        <f>(3738946*100)/3915493</f>
        <v>95.491065875995687</v>
      </c>
    </row>
    <row r="2421" spans="1:17" x14ac:dyDescent="0.2">
      <c r="A2421">
        <f>YEAR(D2421)</f>
        <v>2019</v>
      </c>
      <c r="B2421" t="s">
        <v>26</v>
      </c>
      <c r="C2421" s="2" t="s">
        <v>1552</v>
      </c>
      <c r="D2421" s="1">
        <v>43570</v>
      </c>
      <c r="E2421">
        <f>MONTH(D2421)</f>
        <v>4</v>
      </c>
      <c r="F2421" s="2" t="s">
        <v>19</v>
      </c>
      <c r="G2421" t="s">
        <v>352</v>
      </c>
      <c r="H2421" t="s">
        <v>975</v>
      </c>
      <c r="I2421" t="s">
        <v>22</v>
      </c>
      <c r="J2421" s="2" t="s">
        <v>42</v>
      </c>
      <c r="K2421" s="2" t="s">
        <v>3019</v>
      </c>
      <c r="L2421" t="s">
        <v>25</v>
      </c>
      <c r="M2421" s="8">
        <v>1.0693333330000001</v>
      </c>
      <c r="N2421" t="s">
        <v>26</v>
      </c>
      <c r="O2421" s="8">
        <v>1.0693333330000001</v>
      </c>
      <c r="P2421" s="8">
        <f>EXP(-1.363+3.366*LOG(O2421,10))</f>
        <v>0.28223780327142356</v>
      </c>
      <c r="Q2421" s="8">
        <f>(3738946*100)/3915493</f>
        <v>95.491065875995687</v>
      </c>
    </row>
    <row r="2422" spans="1:17" x14ac:dyDescent="0.2">
      <c r="A2422">
        <f>YEAR(D2422)</f>
        <v>2019</v>
      </c>
      <c r="B2422" t="s">
        <v>26</v>
      </c>
      <c r="C2422" s="2" t="s">
        <v>1552</v>
      </c>
      <c r="D2422" s="1">
        <v>43570</v>
      </c>
      <c r="E2422">
        <f>MONTH(D2422)</f>
        <v>4</v>
      </c>
      <c r="F2422" s="2" t="s">
        <v>19</v>
      </c>
      <c r="G2422" t="s">
        <v>20</v>
      </c>
      <c r="H2422" t="s">
        <v>149</v>
      </c>
      <c r="I2422" t="s">
        <v>22</v>
      </c>
      <c r="J2422" s="2" t="s">
        <v>42</v>
      </c>
      <c r="K2422" s="2" t="s">
        <v>3019</v>
      </c>
      <c r="L2422" t="s">
        <v>25</v>
      </c>
      <c r="M2422" s="8">
        <v>1.45</v>
      </c>
      <c r="N2422" t="s">
        <v>26</v>
      </c>
      <c r="O2422" s="8">
        <v>1.45</v>
      </c>
      <c r="P2422" s="8">
        <f>EXP(-1.363+3.366*LOG(O2422,10))</f>
        <v>0.44050419760124854</v>
      </c>
      <c r="Q2422" s="8">
        <f>(3738946*100)/3915493</f>
        <v>95.491065875995687</v>
      </c>
    </row>
    <row r="2423" spans="1:17" x14ac:dyDescent="0.2">
      <c r="A2423">
        <f>YEAR(D2423)</f>
        <v>2019</v>
      </c>
      <c r="B2423" t="s">
        <v>26</v>
      </c>
      <c r="C2423" s="2" t="s">
        <v>1552</v>
      </c>
      <c r="D2423" s="1">
        <v>43570</v>
      </c>
      <c r="E2423">
        <f>MONTH(D2423)</f>
        <v>4</v>
      </c>
      <c r="F2423" s="2" t="s">
        <v>19</v>
      </c>
      <c r="G2423" s="2" t="s">
        <v>20</v>
      </c>
      <c r="H2423" t="s">
        <v>1972</v>
      </c>
      <c r="I2423" t="s">
        <v>22</v>
      </c>
      <c r="J2423" s="2" t="s">
        <v>42</v>
      </c>
      <c r="K2423" s="2" t="s">
        <v>3019</v>
      </c>
      <c r="L2423" t="s">
        <v>25</v>
      </c>
      <c r="M2423" s="8">
        <v>1.6259999999999999</v>
      </c>
      <c r="N2423" t="s">
        <v>26</v>
      </c>
      <c r="O2423" s="8">
        <v>1.6259999999999999</v>
      </c>
      <c r="P2423" s="8">
        <f>EXP(-1.363+3.366*LOG(O2423,10))</f>
        <v>0.52081090043847567</v>
      </c>
      <c r="Q2423" s="8">
        <f>(3738946*100)/3915493</f>
        <v>95.491065875995687</v>
      </c>
    </row>
    <row r="2424" spans="1:17" x14ac:dyDescent="0.2">
      <c r="A2424">
        <f>YEAR(D2424)</f>
        <v>2019</v>
      </c>
      <c r="B2424" t="s">
        <v>26</v>
      </c>
      <c r="C2424" s="2" t="s">
        <v>1552</v>
      </c>
      <c r="D2424" s="1">
        <v>43570</v>
      </c>
      <c r="E2424">
        <f>MONTH(D2424)</f>
        <v>4</v>
      </c>
      <c r="F2424" s="2" t="s">
        <v>19</v>
      </c>
      <c r="G2424" t="s">
        <v>352</v>
      </c>
      <c r="H2424" t="s">
        <v>975</v>
      </c>
      <c r="I2424" t="s">
        <v>22</v>
      </c>
      <c r="J2424" s="2" t="s">
        <v>42</v>
      </c>
      <c r="K2424" s="2" t="s">
        <v>3019</v>
      </c>
      <c r="L2424" t="s">
        <v>25</v>
      </c>
      <c r="M2424" s="8">
        <v>1.0693333330000001</v>
      </c>
      <c r="N2424" t="s">
        <v>26</v>
      </c>
      <c r="O2424" s="8">
        <v>1.0693333330000001</v>
      </c>
      <c r="P2424" s="8">
        <f>EXP(-1.363+3.366*LOG(O2424,10))</f>
        <v>0.28223780327142356</v>
      </c>
      <c r="Q2424" s="8">
        <f>(3738946*100)/3915493</f>
        <v>95.491065875995687</v>
      </c>
    </row>
    <row r="2425" spans="1:17" x14ac:dyDescent="0.2">
      <c r="A2425">
        <f>YEAR(D2425)</f>
        <v>2019</v>
      </c>
      <c r="B2425" t="s">
        <v>26</v>
      </c>
      <c r="C2425" s="2" t="s">
        <v>1552</v>
      </c>
      <c r="D2425" s="1">
        <v>43570</v>
      </c>
      <c r="E2425">
        <f>MONTH(D2425)</f>
        <v>4</v>
      </c>
      <c r="F2425" s="2" t="s">
        <v>19</v>
      </c>
      <c r="G2425" t="s">
        <v>352</v>
      </c>
      <c r="H2425" t="s">
        <v>975</v>
      </c>
      <c r="I2425" t="s">
        <v>22</v>
      </c>
      <c r="J2425" s="2" t="s">
        <v>42</v>
      </c>
      <c r="K2425" s="2" t="s">
        <v>3019</v>
      </c>
      <c r="L2425" t="s">
        <v>25</v>
      </c>
      <c r="M2425" s="8">
        <v>1.0693333330000001</v>
      </c>
      <c r="N2425" t="s">
        <v>26</v>
      </c>
      <c r="O2425" s="8">
        <v>1.0693333330000001</v>
      </c>
      <c r="P2425" s="8">
        <f>EXP(-1.363+3.366*LOG(O2425,10))</f>
        <v>0.28223780327142356</v>
      </c>
      <c r="Q2425" s="8">
        <f>(3738946*100)/3915493</f>
        <v>95.491065875995687</v>
      </c>
    </row>
    <row r="2426" spans="1:17" x14ac:dyDescent="0.2">
      <c r="A2426">
        <f>YEAR(D2426)</f>
        <v>2019</v>
      </c>
      <c r="B2426" t="s">
        <v>26</v>
      </c>
      <c r="C2426" s="2" t="s">
        <v>1552</v>
      </c>
      <c r="D2426" s="1">
        <v>43570</v>
      </c>
      <c r="E2426">
        <f>MONTH(D2426)</f>
        <v>4</v>
      </c>
      <c r="F2426" s="2" t="s">
        <v>19</v>
      </c>
      <c r="G2426" t="s">
        <v>352</v>
      </c>
      <c r="H2426" t="s">
        <v>975</v>
      </c>
      <c r="I2426" t="s">
        <v>22</v>
      </c>
      <c r="J2426" s="2" t="s">
        <v>42</v>
      </c>
      <c r="K2426" s="2" t="s">
        <v>3019</v>
      </c>
      <c r="L2426" t="s">
        <v>25</v>
      </c>
      <c r="M2426" s="8">
        <v>1.0693333330000001</v>
      </c>
      <c r="N2426" t="s">
        <v>26</v>
      </c>
      <c r="O2426" s="8">
        <v>1.0693333330000001</v>
      </c>
      <c r="P2426" s="8">
        <f>EXP(-1.363+3.366*LOG(O2426,10))</f>
        <v>0.28223780327142356</v>
      </c>
      <c r="Q2426" s="8">
        <f>(3738946*100)/3915493</f>
        <v>95.491065875995687</v>
      </c>
    </row>
    <row r="2427" spans="1:17" x14ac:dyDescent="0.2">
      <c r="A2427">
        <f>YEAR(D2427)</f>
        <v>2019</v>
      </c>
      <c r="B2427" t="s">
        <v>26</v>
      </c>
      <c r="C2427" s="2" t="s">
        <v>1552</v>
      </c>
      <c r="D2427" s="1">
        <v>43570</v>
      </c>
      <c r="E2427">
        <f>MONTH(D2427)</f>
        <v>4</v>
      </c>
      <c r="F2427" s="2" t="s">
        <v>19</v>
      </c>
      <c r="G2427" t="s">
        <v>352</v>
      </c>
      <c r="H2427" t="s">
        <v>975</v>
      </c>
      <c r="I2427" t="s">
        <v>22</v>
      </c>
      <c r="J2427" s="2" t="s">
        <v>42</v>
      </c>
      <c r="K2427" s="2" t="s">
        <v>3019</v>
      </c>
      <c r="L2427" t="s">
        <v>25</v>
      </c>
      <c r="M2427" s="8">
        <v>1.0693333330000001</v>
      </c>
      <c r="N2427" t="s">
        <v>26</v>
      </c>
      <c r="O2427" s="8">
        <v>1.0693333330000001</v>
      </c>
      <c r="P2427" s="8">
        <f>EXP(-1.363+3.366*LOG(O2427,10))</f>
        <v>0.28223780327142356</v>
      </c>
      <c r="Q2427" s="8">
        <f>(3738946*100)/3915493</f>
        <v>95.491065875995687</v>
      </c>
    </row>
    <row r="2428" spans="1:17" x14ac:dyDescent="0.2">
      <c r="A2428">
        <f>YEAR(D2428)</f>
        <v>2019</v>
      </c>
      <c r="B2428" t="s">
        <v>26</v>
      </c>
      <c r="C2428" s="2" t="s">
        <v>1552</v>
      </c>
      <c r="D2428" s="1">
        <v>43570</v>
      </c>
      <c r="E2428">
        <f>MONTH(D2428)</f>
        <v>4</v>
      </c>
      <c r="F2428" s="2" t="s">
        <v>19</v>
      </c>
      <c r="G2428" t="s">
        <v>352</v>
      </c>
      <c r="H2428" t="s">
        <v>975</v>
      </c>
      <c r="I2428" t="s">
        <v>22</v>
      </c>
      <c r="J2428" s="2" t="s">
        <v>42</v>
      </c>
      <c r="K2428" s="2" t="s">
        <v>3019</v>
      </c>
      <c r="L2428" t="s">
        <v>25</v>
      </c>
      <c r="M2428" s="8">
        <v>1.0693333330000001</v>
      </c>
      <c r="N2428" t="s">
        <v>26</v>
      </c>
      <c r="O2428" s="8">
        <v>1.0693333330000001</v>
      </c>
      <c r="P2428" s="8">
        <f>EXP(-1.363+3.366*LOG(O2428,10))</f>
        <v>0.28223780327142356</v>
      </c>
      <c r="Q2428" s="8">
        <f>(3738946*100)/3915493</f>
        <v>95.491065875995687</v>
      </c>
    </row>
    <row r="2429" spans="1:17" x14ac:dyDescent="0.2">
      <c r="A2429">
        <f>YEAR(D2429)</f>
        <v>2019</v>
      </c>
      <c r="B2429" t="s">
        <v>26</v>
      </c>
      <c r="C2429" s="2" t="s">
        <v>1552</v>
      </c>
      <c r="D2429" s="1">
        <v>43570</v>
      </c>
      <c r="E2429">
        <f>MONTH(D2429)</f>
        <v>4</v>
      </c>
      <c r="F2429" s="2" t="s">
        <v>19</v>
      </c>
      <c r="G2429" t="s">
        <v>352</v>
      </c>
      <c r="H2429" t="s">
        <v>975</v>
      </c>
      <c r="I2429" t="s">
        <v>22</v>
      </c>
      <c r="J2429" s="2" t="s">
        <v>42</v>
      </c>
      <c r="K2429" s="2" t="s">
        <v>3019</v>
      </c>
      <c r="L2429" t="s">
        <v>25</v>
      </c>
      <c r="M2429" s="8">
        <v>1.0693333330000001</v>
      </c>
      <c r="N2429" t="s">
        <v>26</v>
      </c>
      <c r="O2429" s="8">
        <v>1.0693333330000001</v>
      </c>
      <c r="P2429" s="8">
        <f>EXP(-1.363+3.366*LOG(O2429,10))</f>
        <v>0.28223780327142356</v>
      </c>
      <c r="Q2429" s="8">
        <f>(3738946*100)/3915493</f>
        <v>95.491065875995687</v>
      </c>
    </row>
    <row r="2430" spans="1:17" x14ac:dyDescent="0.2">
      <c r="A2430">
        <f>YEAR(D2430)</f>
        <v>2019</v>
      </c>
      <c r="B2430" t="s">
        <v>26</v>
      </c>
      <c r="C2430" s="2" t="s">
        <v>1552</v>
      </c>
      <c r="D2430" s="1">
        <v>43570</v>
      </c>
      <c r="E2430">
        <f>MONTH(D2430)</f>
        <v>4</v>
      </c>
      <c r="F2430" s="2" t="s">
        <v>19</v>
      </c>
      <c r="G2430" t="s">
        <v>352</v>
      </c>
      <c r="H2430" t="s">
        <v>975</v>
      </c>
      <c r="I2430" t="s">
        <v>22</v>
      </c>
      <c r="J2430" s="2" t="s">
        <v>42</v>
      </c>
      <c r="K2430" s="2" t="s">
        <v>3019</v>
      </c>
      <c r="L2430" t="s">
        <v>25</v>
      </c>
      <c r="M2430" s="8">
        <v>1.0693333330000001</v>
      </c>
      <c r="N2430" t="s">
        <v>26</v>
      </c>
      <c r="O2430" s="8">
        <v>1.0693333330000001</v>
      </c>
      <c r="P2430" s="8">
        <f>EXP(-1.363+3.366*LOG(O2430,10))</f>
        <v>0.28223780327142356</v>
      </c>
      <c r="Q2430" s="8">
        <f>(3738946*100)/3915493</f>
        <v>95.491065875995687</v>
      </c>
    </row>
    <row r="2431" spans="1:17" x14ac:dyDescent="0.2">
      <c r="A2431">
        <f>YEAR(D2431)</f>
        <v>2019</v>
      </c>
      <c r="B2431" t="s">
        <v>26</v>
      </c>
      <c r="C2431" s="2" t="s">
        <v>1552</v>
      </c>
      <c r="D2431" s="1">
        <v>43570</v>
      </c>
      <c r="E2431">
        <f>MONTH(D2431)</f>
        <v>4</v>
      </c>
      <c r="F2431" s="2" t="s">
        <v>19</v>
      </c>
      <c r="G2431" t="s">
        <v>352</v>
      </c>
      <c r="H2431" t="s">
        <v>975</v>
      </c>
      <c r="I2431" t="s">
        <v>22</v>
      </c>
      <c r="J2431" s="2" t="s">
        <v>42</v>
      </c>
      <c r="K2431" s="2" t="s">
        <v>3019</v>
      </c>
      <c r="L2431" t="s">
        <v>25</v>
      </c>
      <c r="M2431" s="8">
        <v>1.0693333330000001</v>
      </c>
      <c r="N2431" t="s">
        <v>26</v>
      </c>
      <c r="O2431" s="8">
        <v>1.0693333330000001</v>
      </c>
      <c r="P2431" s="8">
        <f>EXP(-1.363+3.366*LOG(O2431,10))</f>
        <v>0.28223780327142356</v>
      </c>
      <c r="Q2431" s="8">
        <f>(3738946*100)/3915493</f>
        <v>95.491065875995687</v>
      </c>
    </row>
    <row r="2432" spans="1:17" x14ac:dyDescent="0.2">
      <c r="A2432">
        <f>YEAR(D2432)</f>
        <v>2019</v>
      </c>
      <c r="B2432" t="s">
        <v>26</v>
      </c>
      <c r="C2432" s="2" t="s">
        <v>1552</v>
      </c>
      <c r="D2432" s="1">
        <v>43570</v>
      </c>
      <c r="E2432">
        <f>MONTH(D2432)</f>
        <v>4</v>
      </c>
      <c r="F2432" s="2" t="s">
        <v>19</v>
      </c>
      <c r="G2432" t="s">
        <v>352</v>
      </c>
      <c r="H2432" t="s">
        <v>975</v>
      </c>
      <c r="I2432" t="s">
        <v>22</v>
      </c>
      <c r="J2432" s="2" t="s">
        <v>42</v>
      </c>
      <c r="K2432" s="2" t="s">
        <v>3019</v>
      </c>
      <c r="L2432" t="s">
        <v>25</v>
      </c>
      <c r="M2432" s="8">
        <v>1.0693333330000001</v>
      </c>
      <c r="N2432" t="s">
        <v>26</v>
      </c>
      <c r="O2432" s="8">
        <v>1.0693333330000001</v>
      </c>
      <c r="P2432" s="8">
        <f>EXP(-1.363+3.366*LOG(O2432,10))</f>
        <v>0.28223780327142356</v>
      </c>
      <c r="Q2432" s="8">
        <f>(3738946*100)/3915493</f>
        <v>95.491065875995687</v>
      </c>
    </row>
    <row r="2433" spans="1:17" x14ac:dyDescent="0.2">
      <c r="A2433">
        <f>YEAR(D2433)</f>
        <v>2019</v>
      </c>
      <c r="B2433" t="s">
        <v>26</v>
      </c>
      <c r="C2433" s="2" t="s">
        <v>1552</v>
      </c>
      <c r="D2433" s="1">
        <v>43570</v>
      </c>
      <c r="E2433">
        <f>MONTH(D2433)</f>
        <v>4</v>
      </c>
      <c r="F2433" s="2" t="s">
        <v>19</v>
      </c>
      <c r="G2433" t="s">
        <v>352</v>
      </c>
      <c r="H2433" t="s">
        <v>975</v>
      </c>
      <c r="I2433" t="s">
        <v>22</v>
      </c>
      <c r="J2433" s="2" t="s">
        <v>42</v>
      </c>
      <c r="K2433" s="2" t="s">
        <v>3019</v>
      </c>
      <c r="L2433" t="s">
        <v>25</v>
      </c>
      <c r="M2433" s="8">
        <v>1.0693333330000001</v>
      </c>
      <c r="N2433" t="s">
        <v>26</v>
      </c>
      <c r="O2433" s="8">
        <v>1.0693333330000001</v>
      </c>
      <c r="P2433" s="8">
        <f>EXP(-1.363+3.366*LOG(O2433,10))</f>
        <v>0.28223780327142356</v>
      </c>
      <c r="Q2433" s="8">
        <f>(3738946*100)/3915493</f>
        <v>95.491065875995687</v>
      </c>
    </row>
    <row r="2434" spans="1:17" x14ac:dyDescent="0.2">
      <c r="A2434">
        <f>YEAR(D2434)</f>
        <v>2019</v>
      </c>
      <c r="B2434" t="s">
        <v>26</v>
      </c>
      <c r="C2434" s="2" t="s">
        <v>1552</v>
      </c>
      <c r="D2434" s="1">
        <v>43570</v>
      </c>
      <c r="E2434">
        <f>MONTH(D2434)</f>
        <v>4</v>
      </c>
      <c r="F2434" s="2" t="s">
        <v>19</v>
      </c>
      <c r="G2434" t="s">
        <v>352</v>
      </c>
      <c r="H2434" t="s">
        <v>975</v>
      </c>
      <c r="I2434" t="s">
        <v>22</v>
      </c>
      <c r="J2434" s="2" t="s">
        <v>42</v>
      </c>
      <c r="K2434" s="2" t="s">
        <v>3019</v>
      </c>
      <c r="L2434" t="s">
        <v>25</v>
      </c>
      <c r="M2434" s="8">
        <v>1.0693333330000001</v>
      </c>
      <c r="N2434" t="s">
        <v>26</v>
      </c>
      <c r="O2434" s="8">
        <v>1.0693333330000001</v>
      </c>
      <c r="P2434" s="8">
        <f>EXP(-1.363+3.366*LOG(O2434,10))</f>
        <v>0.28223780327142356</v>
      </c>
      <c r="Q2434" s="8">
        <f>(3738946*100)/3915493</f>
        <v>95.491065875995687</v>
      </c>
    </row>
    <row r="2435" spans="1:17" x14ac:dyDescent="0.2">
      <c r="A2435">
        <f>YEAR(D2435)</f>
        <v>2019</v>
      </c>
      <c r="B2435" t="s">
        <v>26</v>
      </c>
      <c r="C2435" s="2" t="s">
        <v>1552</v>
      </c>
      <c r="D2435" s="1">
        <v>43570</v>
      </c>
      <c r="E2435">
        <f>MONTH(D2435)</f>
        <v>4</v>
      </c>
      <c r="F2435" s="2" t="s">
        <v>19</v>
      </c>
      <c r="G2435" t="s">
        <v>352</v>
      </c>
      <c r="H2435" t="s">
        <v>975</v>
      </c>
      <c r="I2435" t="s">
        <v>22</v>
      </c>
      <c r="J2435" s="2" t="s">
        <v>42</v>
      </c>
      <c r="K2435" s="2" t="s">
        <v>3019</v>
      </c>
      <c r="L2435" t="s">
        <v>25</v>
      </c>
      <c r="M2435" s="8">
        <v>1.0693333330000001</v>
      </c>
      <c r="N2435" t="s">
        <v>26</v>
      </c>
      <c r="O2435" s="8">
        <v>1.0693333330000001</v>
      </c>
      <c r="P2435" s="8">
        <f>EXP(-1.363+3.366*LOG(O2435,10))</f>
        <v>0.28223780327142356</v>
      </c>
      <c r="Q2435" s="8">
        <f>(3738946*100)/3915493</f>
        <v>95.491065875995687</v>
      </c>
    </row>
    <row r="2436" spans="1:17" x14ac:dyDescent="0.2">
      <c r="A2436">
        <f>YEAR(D2436)</f>
        <v>2019</v>
      </c>
      <c r="B2436" t="s">
        <v>26</v>
      </c>
      <c r="C2436" s="2" t="s">
        <v>1552</v>
      </c>
      <c r="D2436" s="1">
        <v>43570</v>
      </c>
      <c r="E2436">
        <f>MONTH(D2436)</f>
        <v>4</v>
      </c>
      <c r="F2436" s="2" t="s">
        <v>19</v>
      </c>
      <c r="G2436" t="s">
        <v>352</v>
      </c>
      <c r="H2436" t="s">
        <v>975</v>
      </c>
      <c r="I2436" t="s">
        <v>22</v>
      </c>
      <c r="J2436" s="2" t="s">
        <v>42</v>
      </c>
      <c r="K2436" s="2" t="s">
        <v>3019</v>
      </c>
      <c r="L2436" t="s">
        <v>25</v>
      </c>
      <c r="M2436" s="8">
        <v>1.0693333330000001</v>
      </c>
      <c r="N2436" t="s">
        <v>26</v>
      </c>
      <c r="O2436" s="8">
        <v>1.0693333330000001</v>
      </c>
      <c r="P2436" s="8">
        <f>EXP(-1.363+3.366*LOG(O2436,10))</f>
        <v>0.28223780327142356</v>
      </c>
      <c r="Q2436" s="8">
        <f>(3738946*100)/3915493</f>
        <v>95.491065875995687</v>
      </c>
    </row>
    <row r="2437" spans="1:17" x14ac:dyDescent="0.2">
      <c r="A2437">
        <f>YEAR(D2437)</f>
        <v>2019</v>
      </c>
      <c r="B2437" t="s">
        <v>26</v>
      </c>
      <c r="C2437" s="2" t="s">
        <v>1552</v>
      </c>
      <c r="D2437" s="1">
        <v>43570</v>
      </c>
      <c r="E2437">
        <f>MONTH(D2437)</f>
        <v>4</v>
      </c>
      <c r="F2437" s="2" t="s">
        <v>19</v>
      </c>
      <c r="G2437" t="s">
        <v>352</v>
      </c>
      <c r="H2437" t="s">
        <v>975</v>
      </c>
      <c r="I2437" t="s">
        <v>22</v>
      </c>
      <c r="J2437" s="2" t="s">
        <v>42</v>
      </c>
      <c r="K2437" s="2" t="s">
        <v>3019</v>
      </c>
      <c r="L2437" t="s">
        <v>25</v>
      </c>
      <c r="M2437" s="8">
        <v>1.0693333330000001</v>
      </c>
      <c r="N2437" t="s">
        <v>26</v>
      </c>
      <c r="O2437" s="8">
        <v>1.0693333330000001</v>
      </c>
      <c r="P2437" s="8">
        <f>EXP(-1.363+3.366*LOG(O2437,10))</f>
        <v>0.28223780327142356</v>
      </c>
      <c r="Q2437" s="8">
        <f>(3738946*100)/3915493</f>
        <v>95.491065875995687</v>
      </c>
    </row>
    <row r="2438" spans="1:17" x14ac:dyDescent="0.2">
      <c r="A2438">
        <f>YEAR(D2438)</f>
        <v>2019</v>
      </c>
      <c r="B2438" t="s">
        <v>26</v>
      </c>
      <c r="C2438" s="2" t="s">
        <v>1552</v>
      </c>
      <c r="D2438" s="1">
        <v>43570</v>
      </c>
      <c r="E2438">
        <f>MONTH(D2438)</f>
        <v>4</v>
      </c>
      <c r="F2438" s="2" t="s">
        <v>19</v>
      </c>
      <c r="G2438" t="s">
        <v>352</v>
      </c>
      <c r="H2438" t="s">
        <v>975</v>
      </c>
      <c r="I2438" t="s">
        <v>22</v>
      </c>
      <c r="J2438" s="2" t="s">
        <v>42</v>
      </c>
      <c r="K2438" s="2" t="s">
        <v>3019</v>
      </c>
      <c r="L2438" t="s">
        <v>25</v>
      </c>
      <c r="M2438" s="8">
        <v>1.0693333330000001</v>
      </c>
      <c r="N2438" t="s">
        <v>26</v>
      </c>
      <c r="O2438" s="8">
        <v>1.0693333330000001</v>
      </c>
      <c r="P2438" s="8">
        <f>EXP(-1.363+3.366*LOG(O2438,10))</f>
        <v>0.28223780327142356</v>
      </c>
      <c r="Q2438" s="8">
        <f>(3738946*100)/3915493</f>
        <v>95.491065875995687</v>
      </c>
    </row>
    <row r="2439" spans="1:17" x14ac:dyDescent="0.2">
      <c r="A2439">
        <f>YEAR(D2439)</f>
        <v>2019</v>
      </c>
      <c r="B2439" t="s">
        <v>26</v>
      </c>
      <c r="C2439" s="2" t="s">
        <v>1552</v>
      </c>
      <c r="D2439" s="1">
        <v>43570</v>
      </c>
      <c r="E2439">
        <f>MONTH(D2439)</f>
        <v>4</v>
      </c>
      <c r="F2439" s="2" t="s">
        <v>19</v>
      </c>
      <c r="G2439" t="s">
        <v>352</v>
      </c>
      <c r="H2439" t="s">
        <v>975</v>
      </c>
      <c r="I2439" t="s">
        <v>22</v>
      </c>
      <c r="J2439" s="2" t="s">
        <v>42</v>
      </c>
      <c r="K2439" s="2" t="s">
        <v>3019</v>
      </c>
      <c r="L2439" t="s">
        <v>25</v>
      </c>
      <c r="M2439" s="8">
        <v>1.0693333330000001</v>
      </c>
      <c r="N2439" t="s">
        <v>26</v>
      </c>
      <c r="O2439" s="8">
        <v>1.0693333330000001</v>
      </c>
      <c r="P2439" s="8">
        <f>EXP(-1.363+3.366*LOG(O2439,10))</f>
        <v>0.28223780327142356</v>
      </c>
      <c r="Q2439" s="8">
        <f>(3738946*100)/3915493</f>
        <v>95.491065875995687</v>
      </c>
    </row>
    <row r="2440" spans="1:17" x14ac:dyDescent="0.2">
      <c r="A2440">
        <f>YEAR(D2440)</f>
        <v>2019</v>
      </c>
      <c r="B2440" t="s">
        <v>26</v>
      </c>
      <c r="C2440" s="2" t="s">
        <v>1552</v>
      </c>
      <c r="D2440" s="1">
        <v>43570</v>
      </c>
      <c r="E2440">
        <f>MONTH(D2440)</f>
        <v>4</v>
      </c>
      <c r="F2440" s="2" t="s">
        <v>19</v>
      </c>
      <c r="G2440" t="s">
        <v>352</v>
      </c>
      <c r="H2440" t="s">
        <v>975</v>
      </c>
      <c r="I2440" t="s">
        <v>22</v>
      </c>
      <c r="J2440" s="2" t="s">
        <v>42</v>
      </c>
      <c r="K2440" s="2" t="s">
        <v>3019</v>
      </c>
      <c r="L2440" t="s">
        <v>25</v>
      </c>
      <c r="M2440" s="8">
        <v>1.0693333330000001</v>
      </c>
      <c r="N2440" t="s">
        <v>26</v>
      </c>
      <c r="O2440" s="8">
        <v>1.0693333330000001</v>
      </c>
      <c r="P2440" s="8">
        <f>EXP(-1.363+3.366*LOG(O2440,10))</f>
        <v>0.28223780327142356</v>
      </c>
      <c r="Q2440" s="8">
        <f>(3738946*100)/3915493</f>
        <v>95.491065875995687</v>
      </c>
    </row>
    <row r="2441" spans="1:17" x14ac:dyDescent="0.2">
      <c r="A2441">
        <f>YEAR(D2441)</f>
        <v>2019</v>
      </c>
      <c r="B2441" t="s">
        <v>26</v>
      </c>
      <c r="C2441" s="2" t="s">
        <v>1552</v>
      </c>
      <c r="D2441" s="1">
        <v>43570</v>
      </c>
      <c r="E2441">
        <f>MONTH(D2441)</f>
        <v>4</v>
      </c>
      <c r="F2441" s="2" t="s">
        <v>19</v>
      </c>
      <c r="G2441" t="s">
        <v>352</v>
      </c>
      <c r="H2441" t="s">
        <v>975</v>
      </c>
      <c r="I2441" t="s">
        <v>22</v>
      </c>
      <c r="J2441" s="2" t="s">
        <v>42</v>
      </c>
      <c r="K2441" s="2" t="s">
        <v>3019</v>
      </c>
      <c r="L2441" t="s">
        <v>25</v>
      </c>
      <c r="M2441" s="8">
        <v>1.0693333330000001</v>
      </c>
      <c r="N2441" t="s">
        <v>26</v>
      </c>
      <c r="O2441" s="8">
        <v>1.0693333330000001</v>
      </c>
      <c r="P2441" s="8">
        <f>EXP(-1.363+3.366*LOG(O2441,10))</f>
        <v>0.28223780327142356</v>
      </c>
      <c r="Q2441" s="8">
        <f>(3738946*100)/3915493</f>
        <v>95.491065875995687</v>
      </c>
    </row>
    <row r="2442" spans="1:17" x14ac:dyDescent="0.2">
      <c r="A2442">
        <f>YEAR(D2442)</f>
        <v>2019</v>
      </c>
      <c r="B2442" t="s">
        <v>26</v>
      </c>
      <c r="C2442" s="2" t="s">
        <v>1552</v>
      </c>
      <c r="D2442" s="1">
        <v>43570</v>
      </c>
      <c r="E2442">
        <f>MONTH(D2442)</f>
        <v>4</v>
      </c>
      <c r="F2442" s="2" t="s">
        <v>19</v>
      </c>
      <c r="G2442" t="s">
        <v>352</v>
      </c>
      <c r="H2442" t="s">
        <v>975</v>
      </c>
      <c r="I2442" t="s">
        <v>22</v>
      </c>
      <c r="J2442" s="2" t="s">
        <v>42</v>
      </c>
      <c r="K2442" s="2" t="s">
        <v>3019</v>
      </c>
      <c r="L2442" t="s">
        <v>25</v>
      </c>
      <c r="M2442" s="8">
        <v>1.0693333330000001</v>
      </c>
      <c r="N2442" t="s">
        <v>26</v>
      </c>
      <c r="O2442" s="8">
        <v>1.0693333330000001</v>
      </c>
      <c r="P2442" s="8">
        <f>EXP(-1.363+3.366*LOG(O2442,10))</f>
        <v>0.28223780327142356</v>
      </c>
      <c r="Q2442" s="8">
        <f>(3738946*100)/3915493</f>
        <v>95.491065875995687</v>
      </c>
    </row>
    <row r="2443" spans="1:17" x14ac:dyDescent="0.2">
      <c r="A2443">
        <f>YEAR(D2443)</f>
        <v>2019</v>
      </c>
      <c r="B2443" t="s">
        <v>26</v>
      </c>
      <c r="C2443" s="2" t="s">
        <v>1552</v>
      </c>
      <c r="D2443" s="1">
        <v>43570</v>
      </c>
      <c r="E2443">
        <f>MONTH(D2443)</f>
        <v>4</v>
      </c>
      <c r="F2443" s="2" t="s">
        <v>19</v>
      </c>
      <c r="G2443" t="s">
        <v>352</v>
      </c>
      <c r="H2443" t="s">
        <v>975</v>
      </c>
      <c r="I2443" t="s">
        <v>22</v>
      </c>
      <c r="J2443" s="2" t="s">
        <v>42</v>
      </c>
      <c r="K2443" s="2" t="s">
        <v>3019</v>
      </c>
      <c r="L2443" t="s">
        <v>25</v>
      </c>
      <c r="M2443" s="8">
        <v>1.0693333330000001</v>
      </c>
      <c r="N2443" t="s">
        <v>26</v>
      </c>
      <c r="O2443" s="8">
        <v>1.0693333330000001</v>
      </c>
      <c r="P2443" s="8">
        <f>EXP(-1.363+3.366*LOG(O2443,10))</f>
        <v>0.28223780327142356</v>
      </c>
      <c r="Q2443" s="8">
        <f>(3738946*100)/3915493</f>
        <v>95.491065875995687</v>
      </c>
    </row>
    <row r="2444" spans="1:17" x14ac:dyDescent="0.2">
      <c r="A2444">
        <f>YEAR(D2444)</f>
        <v>2019</v>
      </c>
      <c r="B2444" t="s">
        <v>26</v>
      </c>
      <c r="C2444" s="2" t="s">
        <v>1552</v>
      </c>
      <c r="D2444" s="1">
        <v>43570</v>
      </c>
      <c r="E2444">
        <f>MONTH(D2444)</f>
        <v>4</v>
      </c>
      <c r="F2444" s="2" t="s">
        <v>19</v>
      </c>
      <c r="G2444" t="s">
        <v>352</v>
      </c>
      <c r="H2444" t="s">
        <v>975</v>
      </c>
      <c r="I2444" t="s">
        <v>22</v>
      </c>
      <c r="J2444" s="2" t="s">
        <v>42</v>
      </c>
      <c r="K2444" s="2" t="s">
        <v>3019</v>
      </c>
      <c r="L2444" t="s">
        <v>25</v>
      </c>
      <c r="M2444" s="8">
        <v>1.0693333330000001</v>
      </c>
      <c r="N2444" t="s">
        <v>26</v>
      </c>
      <c r="O2444" s="8">
        <v>1.0693333330000001</v>
      </c>
      <c r="P2444" s="8">
        <f>EXP(-1.363+3.366*LOG(O2444,10))</f>
        <v>0.28223780327142356</v>
      </c>
      <c r="Q2444" s="8">
        <f>(3738946*100)/3915493</f>
        <v>95.491065875995687</v>
      </c>
    </row>
    <row r="2445" spans="1:17" x14ac:dyDescent="0.2">
      <c r="A2445">
        <f>YEAR(D2445)</f>
        <v>2019</v>
      </c>
      <c r="B2445" t="s">
        <v>26</v>
      </c>
      <c r="C2445" s="2" t="s">
        <v>1552</v>
      </c>
      <c r="D2445" s="1">
        <v>43570</v>
      </c>
      <c r="E2445">
        <f>MONTH(D2445)</f>
        <v>4</v>
      </c>
      <c r="F2445" s="2" t="s">
        <v>19</v>
      </c>
      <c r="G2445" t="s">
        <v>352</v>
      </c>
      <c r="H2445" t="s">
        <v>975</v>
      </c>
      <c r="I2445" t="s">
        <v>22</v>
      </c>
      <c r="J2445" s="2" t="s">
        <v>42</v>
      </c>
      <c r="K2445" s="2" t="s">
        <v>3019</v>
      </c>
      <c r="L2445" t="s">
        <v>25</v>
      </c>
      <c r="M2445" s="8">
        <v>1.0693333330000001</v>
      </c>
      <c r="N2445" t="s">
        <v>26</v>
      </c>
      <c r="O2445" s="8">
        <v>1.0693333330000001</v>
      </c>
      <c r="P2445" s="8">
        <f>EXP(-1.363+3.366*LOG(O2445,10))</f>
        <v>0.28223780327142356</v>
      </c>
      <c r="Q2445" s="8">
        <f>(3738946*100)/3915493</f>
        <v>95.491065875995687</v>
      </c>
    </row>
    <row r="2446" spans="1:17" x14ac:dyDescent="0.2">
      <c r="A2446">
        <f>YEAR(D2446)</f>
        <v>2019</v>
      </c>
      <c r="B2446" t="s">
        <v>26</v>
      </c>
      <c r="C2446" s="2" t="s">
        <v>1552</v>
      </c>
      <c r="D2446" s="1">
        <v>43570</v>
      </c>
      <c r="E2446">
        <f>MONTH(D2446)</f>
        <v>4</v>
      </c>
      <c r="F2446" s="2" t="s">
        <v>19</v>
      </c>
      <c r="G2446" t="s">
        <v>352</v>
      </c>
      <c r="H2446" t="s">
        <v>975</v>
      </c>
      <c r="I2446" t="s">
        <v>22</v>
      </c>
      <c r="J2446" s="2" t="s">
        <v>42</v>
      </c>
      <c r="K2446" s="2" t="s">
        <v>3019</v>
      </c>
      <c r="L2446" t="s">
        <v>25</v>
      </c>
      <c r="M2446" s="8">
        <v>1.0693333330000001</v>
      </c>
      <c r="N2446" t="s">
        <v>26</v>
      </c>
      <c r="O2446" s="8">
        <v>1.0693333330000001</v>
      </c>
      <c r="P2446" s="8">
        <f>EXP(-1.363+3.366*LOG(O2446,10))</f>
        <v>0.28223780327142356</v>
      </c>
      <c r="Q2446" s="8">
        <f>(3738946*100)/3915493</f>
        <v>95.491065875995687</v>
      </c>
    </row>
    <row r="2447" spans="1:17" x14ac:dyDescent="0.2">
      <c r="A2447">
        <f>YEAR(D2447)</f>
        <v>2019</v>
      </c>
      <c r="B2447" t="s">
        <v>26</v>
      </c>
      <c r="C2447" s="2" t="s">
        <v>1540</v>
      </c>
      <c r="D2447" s="1">
        <v>43570</v>
      </c>
      <c r="E2447">
        <f>MONTH(D2447)</f>
        <v>4</v>
      </c>
      <c r="F2447" s="2" t="s">
        <v>19</v>
      </c>
      <c r="G2447" t="s">
        <v>303</v>
      </c>
      <c r="H2447" t="s">
        <v>1931</v>
      </c>
      <c r="I2447" t="s">
        <v>36</v>
      </c>
      <c r="J2447" s="2" t="s">
        <v>42</v>
      </c>
      <c r="K2447" s="2" t="s">
        <v>3019</v>
      </c>
      <c r="L2447" t="s">
        <v>305</v>
      </c>
      <c r="M2447" s="8">
        <v>1.3434999999999999</v>
      </c>
      <c r="N2447" t="s">
        <v>26</v>
      </c>
      <c r="O2447" s="8">
        <v>1.3434999999999999</v>
      </c>
      <c r="P2447" s="8">
        <f>EXP(-1.363+3.366*LOG(O2447,10))</f>
        <v>0.3940206341206498</v>
      </c>
      <c r="Q2447" s="8">
        <f>(2618262*100)/2995732</f>
        <v>87.399740697766021</v>
      </c>
    </row>
    <row r="2448" spans="1:17" x14ac:dyDescent="0.2">
      <c r="A2448">
        <f>YEAR(D2448)</f>
        <v>2019</v>
      </c>
      <c r="B2448" t="s">
        <v>26</v>
      </c>
      <c r="C2448" s="2" t="s">
        <v>1540</v>
      </c>
      <c r="D2448" s="1">
        <v>43570</v>
      </c>
      <c r="E2448">
        <f>MONTH(D2448)</f>
        <v>4</v>
      </c>
      <c r="F2448" s="2" t="s">
        <v>19</v>
      </c>
      <c r="G2448" s="2" t="s">
        <v>20</v>
      </c>
      <c r="H2448" t="s">
        <v>145</v>
      </c>
      <c r="I2448" t="s">
        <v>22</v>
      </c>
      <c r="J2448" s="2" t="s">
        <v>42</v>
      </c>
      <c r="K2448" s="2" t="s">
        <v>3019</v>
      </c>
      <c r="L2448" t="s">
        <v>25</v>
      </c>
      <c r="M2448" s="8">
        <v>2.399666667</v>
      </c>
      <c r="N2448" t="s">
        <v>26</v>
      </c>
      <c r="O2448" s="8">
        <v>2.399666667</v>
      </c>
      <c r="P2448" s="8">
        <f>EXP(-1.363+3.366*LOG(O2448,10))</f>
        <v>0.91997203423956198</v>
      </c>
      <c r="Q2448" s="8">
        <f>(2618262*100)/2995732</f>
        <v>87.399740697766021</v>
      </c>
    </row>
    <row r="2449" spans="1:17" x14ac:dyDescent="0.2">
      <c r="A2449">
        <f>YEAR(D2449)</f>
        <v>2019</v>
      </c>
      <c r="B2449" t="s">
        <v>26</v>
      </c>
      <c r="C2449" s="2" t="s">
        <v>1540</v>
      </c>
      <c r="D2449" s="1">
        <v>43570</v>
      </c>
      <c r="E2449">
        <f>MONTH(D2449)</f>
        <v>4</v>
      </c>
      <c r="F2449" s="2" t="s">
        <v>19</v>
      </c>
      <c r="G2449" t="s">
        <v>1532</v>
      </c>
      <c r="H2449" t="s">
        <v>1533</v>
      </c>
      <c r="I2449" t="s">
        <v>36</v>
      </c>
      <c r="J2449" s="2" t="s">
        <v>42</v>
      </c>
      <c r="K2449" s="2" t="s">
        <v>3019</v>
      </c>
      <c r="L2449" t="s">
        <v>25</v>
      </c>
      <c r="M2449" s="8">
        <v>2.63</v>
      </c>
      <c r="N2449" t="s">
        <v>26</v>
      </c>
      <c r="O2449" s="8">
        <v>2.63</v>
      </c>
      <c r="P2449" s="8">
        <f>EXP(-1.363+3.366*LOG(O2449,10))</f>
        <v>1.0518715955632558</v>
      </c>
      <c r="Q2449" s="8">
        <f>(2618262*100)/2995732</f>
        <v>87.399740697766021</v>
      </c>
    </row>
    <row r="2450" spans="1:17" x14ac:dyDescent="0.2">
      <c r="A2450">
        <f>YEAR(D2450)</f>
        <v>2019</v>
      </c>
      <c r="B2450" t="s">
        <v>26</v>
      </c>
      <c r="C2450" s="2" t="s">
        <v>1540</v>
      </c>
      <c r="D2450" s="1">
        <v>43570</v>
      </c>
      <c r="E2450">
        <f>MONTH(D2450)</f>
        <v>4</v>
      </c>
      <c r="F2450" s="2" t="s">
        <v>19</v>
      </c>
      <c r="G2450" t="s">
        <v>1532</v>
      </c>
      <c r="H2450" t="s">
        <v>1533</v>
      </c>
      <c r="I2450" t="s">
        <v>36</v>
      </c>
      <c r="J2450" s="2" t="s">
        <v>42</v>
      </c>
      <c r="K2450" s="2" t="s">
        <v>3019</v>
      </c>
      <c r="L2450" t="s">
        <v>25</v>
      </c>
      <c r="M2450" s="8">
        <v>2.63</v>
      </c>
      <c r="N2450" t="s">
        <v>26</v>
      </c>
      <c r="O2450" s="8">
        <v>2.63</v>
      </c>
      <c r="P2450" s="8">
        <f>EXP(-1.363+3.366*LOG(O2450,10))</f>
        <v>1.0518715955632558</v>
      </c>
      <c r="Q2450" s="8">
        <f>(2618262*100)/2995732</f>
        <v>87.399740697766021</v>
      </c>
    </row>
    <row r="2451" spans="1:17" x14ac:dyDescent="0.2">
      <c r="A2451">
        <f>YEAR(D2451)</f>
        <v>2019</v>
      </c>
      <c r="B2451" t="s">
        <v>26</v>
      </c>
      <c r="C2451" s="2" t="s">
        <v>1540</v>
      </c>
      <c r="D2451" s="1">
        <v>43570</v>
      </c>
      <c r="E2451">
        <f>MONTH(D2451)</f>
        <v>4</v>
      </c>
      <c r="F2451" s="2" t="s">
        <v>19</v>
      </c>
      <c r="G2451" t="s">
        <v>1532</v>
      </c>
      <c r="H2451" t="s">
        <v>1533</v>
      </c>
      <c r="I2451" t="s">
        <v>36</v>
      </c>
      <c r="J2451" s="2" t="s">
        <v>42</v>
      </c>
      <c r="K2451" s="2" t="s">
        <v>3019</v>
      </c>
      <c r="L2451" t="s">
        <v>25</v>
      </c>
      <c r="M2451" s="8">
        <v>2.63</v>
      </c>
      <c r="N2451" t="s">
        <v>26</v>
      </c>
      <c r="O2451" s="8">
        <v>2.63</v>
      </c>
      <c r="P2451" s="8">
        <f>EXP(-1.363+3.366*LOG(O2451,10))</f>
        <v>1.0518715955632558</v>
      </c>
      <c r="Q2451" s="8">
        <f>(2618262*100)/2995732</f>
        <v>87.399740697766021</v>
      </c>
    </row>
    <row r="2452" spans="1:17" x14ac:dyDescent="0.2">
      <c r="A2452">
        <f>YEAR(D2452)</f>
        <v>2019</v>
      </c>
      <c r="B2452" t="s">
        <v>26</v>
      </c>
      <c r="C2452" s="2" t="s">
        <v>1540</v>
      </c>
      <c r="D2452" s="1">
        <v>43570</v>
      </c>
      <c r="E2452">
        <f>MONTH(D2452)</f>
        <v>4</v>
      </c>
      <c r="F2452" s="2" t="s">
        <v>19</v>
      </c>
      <c r="G2452" t="s">
        <v>1532</v>
      </c>
      <c r="H2452" t="s">
        <v>1533</v>
      </c>
      <c r="I2452" t="s">
        <v>36</v>
      </c>
      <c r="J2452" s="2" t="s">
        <v>42</v>
      </c>
      <c r="K2452" s="2" t="s">
        <v>3019</v>
      </c>
      <c r="L2452" t="s">
        <v>25</v>
      </c>
      <c r="M2452" s="8">
        <v>2.63</v>
      </c>
      <c r="N2452" t="s">
        <v>26</v>
      </c>
      <c r="O2452" s="8">
        <v>2.63</v>
      </c>
      <c r="P2452" s="8">
        <f>EXP(-1.363+3.366*LOG(O2452,10))</f>
        <v>1.0518715955632558</v>
      </c>
      <c r="Q2452" s="8">
        <f>(2618262*100)/2995732</f>
        <v>87.399740697766021</v>
      </c>
    </row>
    <row r="2453" spans="1:17" x14ac:dyDescent="0.2">
      <c r="A2453">
        <f>YEAR(D2453)</f>
        <v>2019</v>
      </c>
      <c r="B2453" t="s">
        <v>26</v>
      </c>
      <c r="C2453" s="2" t="s">
        <v>1540</v>
      </c>
      <c r="D2453" s="1">
        <v>43570</v>
      </c>
      <c r="E2453">
        <f>MONTH(D2453)</f>
        <v>4</v>
      </c>
      <c r="F2453" s="2" t="s">
        <v>19</v>
      </c>
      <c r="G2453" t="s">
        <v>1532</v>
      </c>
      <c r="H2453" t="s">
        <v>1533</v>
      </c>
      <c r="I2453" t="s">
        <v>36</v>
      </c>
      <c r="J2453" s="2" t="s">
        <v>42</v>
      </c>
      <c r="K2453" s="2" t="s">
        <v>3019</v>
      </c>
      <c r="L2453" t="s">
        <v>25</v>
      </c>
      <c r="M2453" s="8">
        <v>2.63</v>
      </c>
      <c r="N2453" t="s">
        <v>26</v>
      </c>
      <c r="O2453" s="8">
        <v>2.63</v>
      </c>
      <c r="P2453" s="8">
        <f>EXP(-1.363+3.366*LOG(O2453,10))</f>
        <v>1.0518715955632558</v>
      </c>
      <c r="Q2453" s="8">
        <f>(2618262*100)/2995732</f>
        <v>87.399740697766021</v>
      </c>
    </row>
    <row r="2454" spans="1:17" x14ac:dyDescent="0.2">
      <c r="A2454">
        <f>YEAR(D2454)</f>
        <v>2019</v>
      </c>
      <c r="B2454" t="s">
        <v>26</v>
      </c>
      <c r="C2454" s="2" t="s">
        <v>1540</v>
      </c>
      <c r="D2454" s="1">
        <v>43570</v>
      </c>
      <c r="E2454">
        <f>MONTH(D2454)</f>
        <v>4</v>
      </c>
      <c r="F2454" s="2" t="s">
        <v>19</v>
      </c>
      <c r="G2454" t="s">
        <v>352</v>
      </c>
      <c r="H2454" t="s">
        <v>494</v>
      </c>
      <c r="I2454" t="s">
        <v>22</v>
      </c>
      <c r="J2454" s="2" t="s">
        <v>42</v>
      </c>
      <c r="K2454" s="2" t="s">
        <v>3019</v>
      </c>
      <c r="L2454" t="s">
        <v>25</v>
      </c>
      <c r="M2454" s="8">
        <v>1.7226666669999999</v>
      </c>
      <c r="N2454" t="s">
        <v>26</v>
      </c>
      <c r="O2454" s="8">
        <v>1.7226666669999999</v>
      </c>
      <c r="P2454" s="8">
        <f>EXP(-1.363+3.366*LOG(O2454,10))</f>
        <v>0.56668788662759551</v>
      </c>
      <c r="Q2454" s="8">
        <f>(2618262*100)/2995732</f>
        <v>87.399740697766021</v>
      </c>
    </row>
    <row r="2455" spans="1:17" x14ac:dyDescent="0.2">
      <c r="A2455">
        <f>YEAR(D2455)</f>
        <v>2019</v>
      </c>
      <c r="B2455" t="s">
        <v>26</v>
      </c>
      <c r="C2455" s="2" t="s">
        <v>1540</v>
      </c>
      <c r="D2455" s="1">
        <v>43570</v>
      </c>
      <c r="E2455">
        <f>MONTH(D2455)</f>
        <v>4</v>
      </c>
      <c r="F2455" s="2" t="s">
        <v>19</v>
      </c>
      <c r="G2455" s="2" t="s">
        <v>20</v>
      </c>
      <c r="H2455" t="s">
        <v>3044</v>
      </c>
      <c r="I2455" t="s">
        <v>22</v>
      </c>
      <c r="J2455" s="2" t="s">
        <v>42</v>
      </c>
      <c r="K2455" s="2" t="s">
        <v>3019</v>
      </c>
      <c r="L2455" t="s">
        <v>25</v>
      </c>
      <c r="M2455" s="8">
        <v>2.0016666666666669</v>
      </c>
      <c r="N2455" t="s">
        <v>26</v>
      </c>
      <c r="O2455" s="8">
        <v>2.0016666666666669</v>
      </c>
      <c r="P2455" s="8">
        <f>EXP(-1.363+3.366*LOG(O2455,10))</f>
        <v>0.70573508481973102</v>
      </c>
      <c r="Q2455" s="8">
        <f>(2618262*100)/2995732</f>
        <v>87.399740697766021</v>
      </c>
    </row>
    <row r="2456" spans="1:17" x14ac:dyDescent="0.2">
      <c r="A2456">
        <f>YEAR(D2456)</f>
        <v>2019</v>
      </c>
      <c r="B2456" t="s">
        <v>26</v>
      </c>
      <c r="C2456" s="2" t="s">
        <v>1540</v>
      </c>
      <c r="D2456" s="1">
        <v>43570</v>
      </c>
      <c r="E2456">
        <f>MONTH(D2456)</f>
        <v>4</v>
      </c>
      <c r="F2456" s="2" t="s">
        <v>19</v>
      </c>
      <c r="G2456" s="2" t="s">
        <v>20</v>
      </c>
      <c r="H2456" t="s">
        <v>87</v>
      </c>
      <c r="I2456" t="s">
        <v>22</v>
      </c>
      <c r="J2456" s="2" t="s">
        <v>42</v>
      </c>
      <c r="K2456" s="2" t="s">
        <v>3019</v>
      </c>
      <c r="L2456" t="s">
        <v>25</v>
      </c>
      <c r="M2456" s="8">
        <v>2.9449999999999998</v>
      </c>
      <c r="N2456" t="s">
        <v>26</v>
      </c>
      <c r="O2456" s="8">
        <v>2.9449999999999998</v>
      </c>
      <c r="P2456" s="8">
        <f>EXP(-1.363+3.366*LOG(O2456,10))</f>
        <v>1.2410293011327156</v>
      </c>
      <c r="Q2456" s="8">
        <f>(2618262*100)/2995732</f>
        <v>87.399740697766021</v>
      </c>
    </row>
    <row r="2457" spans="1:17" x14ac:dyDescent="0.2">
      <c r="A2457">
        <f>YEAR(D2457)</f>
        <v>2019</v>
      </c>
      <c r="B2457" t="s">
        <v>26</v>
      </c>
      <c r="C2457" s="2" t="s">
        <v>1540</v>
      </c>
      <c r="D2457" s="1">
        <v>43570</v>
      </c>
      <c r="E2457">
        <f>MONTH(D2457)</f>
        <v>4</v>
      </c>
      <c r="F2457" s="2" t="s">
        <v>19</v>
      </c>
      <c r="G2457" s="2" t="s">
        <v>20</v>
      </c>
      <c r="H2457" t="s">
        <v>1695</v>
      </c>
      <c r="I2457" t="s">
        <v>36</v>
      </c>
      <c r="J2457" s="2" t="s">
        <v>42</v>
      </c>
      <c r="K2457" s="2" t="s">
        <v>3019</v>
      </c>
      <c r="L2457" t="s">
        <v>25</v>
      </c>
      <c r="M2457" s="8">
        <v>2.0324999999999998</v>
      </c>
      <c r="N2457" t="s">
        <v>26</v>
      </c>
      <c r="O2457" s="8">
        <v>2.0324999999999998</v>
      </c>
      <c r="P2457" s="8">
        <f>EXP(-1.363+3.366*LOG(O2457,10))</f>
        <v>0.72168310127741175</v>
      </c>
      <c r="Q2457" s="8">
        <f>(2618262*100)/2995732</f>
        <v>87.399740697766021</v>
      </c>
    </row>
    <row r="2458" spans="1:17" x14ac:dyDescent="0.2">
      <c r="A2458">
        <f>YEAR(D2458)</f>
        <v>2019</v>
      </c>
      <c r="B2458" t="s">
        <v>26</v>
      </c>
      <c r="C2458" s="2" t="s">
        <v>1540</v>
      </c>
      <c r="D2458" s="1">
        <v>43570</v>
      </c>
      <c r="E2458">
        <f>MONTH(D2458)</f>
        <v>4</v>
      </c>
      <c r="F2458" s="2" t="s">
        <v>19</v>
      </c>
      <c r="G2458" s="2" t="s">
        <v>20</v>
      </c>
      <c r="H2458" t="s">
        <v>45</v>
      </c>
      <c r="I2458" t="s">
        <v>22</v>
      </c>
      <c r="J2458" s="2" t="s">
        <v>42</v>
      </c>
      <c r="K2458" s="2" t="s">
        <v>3019</v>
      </c>
      <c r="L2458" t="s">
        <v>25</v>
      </c>
      <c r="M2458" s="8">
        <v>1.903333333</v>
      </c>
      <c r="N2458" t="s">
        <v>26</v>
      </c>
      <c r="O2458" s="8">
        <v>1.903333333</v>
      </c>
      <c r="P2458" s="8">
        <f>EXP(-1.363+3.366*LOG(O2458,10))</f>
        <v>0.65563371760507783</v>
      </c>
      <c r="Q2458" s="8">
        <f>(2618262*100)/2995732</f>
        <v>87.399740697766021</v>
      </c>
    </row>
    <row r="2459" spans="1:17" x14ac:dyDescent="0.2">
      <c r="A2459">
        <f>YEAR(D2459)</f>
        <v>2019</v>
      </c>
      <c r="B2459" t="e">
        <f>CONCATENATE(K2459,#REF!)</f>
        <v>#REF!</v>
      </c>
      <c r="C2459" s="2" t="s">
        <v>1540</v>
      </c>
      <c r="D2459" s="1">
        <v>43570</v>
      </c>
      <c r="E2459">
        <f>MONTH(D2459)</f>
        <v>4</v>
      </c>
      <c r="F2459" s="2" t="s">
        <v>19</v>
      </c>
      <c r="G2459" s="2" t="s">
        <v>20</v>
      </c>
      <c r="H2459" t="s">
        <v>103</v>
      </c>
      <c r="I2459" t="s">
        <v>36</v>
      </c>
      <c r="J2459" s="2" t="s">
        <v>42</v>
      </c>
      <c r="K2459" s="2" t="s">
        <v>3019</v>
      </c>
      <c r="L2459" t="s">
        <v>25</v>
      </c>
      <c r="M2459" s="8">
        <v>1.856666667</v>
      </c>
      <c r="N2459" t="s">
        <v>26</v>
      </c>
      <c r="O2459" s="8">
        <v>1.856666667</v>
      </c>
      <c r="P2459" s="8">
        <f>EXP(-1.363+3.366*LOG(O2459,10))</f>
        <v>0.63226823262235543</v>
      </c>
      <c r="Q2459" s="8">
        <f>(2618262*100)/2995732</f>
        <v>87.399740697766021</v>
      </c>
    </row>
    <row r="2460" spans="1:17" x14ac:dyDescent="0.2">
      <c r="A2460">
        <f>YEAR(D2460)</f>
        <v>2019</v>
      </c>
      <c r="B2460" t="s">
        <v>26</v>
      </c>
      <c r="C2460" s="2" t="s">
        <v>1540</v>
      </c>
      <c r="D2460" s="1">
        <v>43570</v>
      </c>
      <c r="E2460">
        <f>MONTH(D2460)</f>
        <v>4</v>
      </c>
      <c r="F2460" s="2" t="s">
        <v>19</v>
      </c>
      <c r="G2460" t="s">
        <v>1532</v>
      </c>
      <c r="H2460" t="s">
        <v>1533</v>
      </c>
      <c r="I2460" t="s">
        <v>36</v>
      </c>
      <c r="J2460" s="2" t="s">
        <v>42</v>
      </c>
      <c r="K2460" s="2" t="s">
        <v>3019</v>
      </c>
      <c r="L2460" t="s">
        <v>25</v>
      </c>
      <c r="M2460" s="8">
        <v>2.63</v>
      </c>
      <c r="N2460" t="s">
        <v>26</v>
      </c>
      <c r="O2460" s="8">
        <v>2.63</v>
      </c>
      <c r="P2460" s="8">
        <f>EXP(-1.363+3.366*LOG(O2460,10))</f>
        <v>1.0518715955632558</v>
      </c>
      <c r="Q2460" s="8">
        <f>(2618262*100)/2995732</f>
        <v>87.399740697766021</v>
      </c>
    </row>
    <row r="2461" spans="1:17" x14ac:dyDescent="0.2">
      <c r="A2461">
        <f>YEAR(D2461)</f>
        <v>2019</v>
      </c>
      <c r="B2461" t="s">
        <v>26</v>
      </c>
      <c r="C2461" s="2" t="s">
        <v>1540</v>
      </c>
      <c r="D2461" s="1">
        <v>43570</v>
      </c>
      <c r="E2461">
        <f>MONTH(D2461)</f>
        <v>4</v>
      </c>
      <c r="F2461" s="2" t="s">
        <v>19</v>
      </c>
      <c r="G2461" t="s">
        <v>1532</v>
      </c>
      <c r="H2461" t="s">
        <v>1533</v>
      </c>
      <c r="I2461" t="s">
        <v>36</v>
      </c>
      <c r="J2461" s="2" t="s">
        <v>42</v>
      </c>
      <c r="K2461" s="2" t="s">
        <v>3019</v>
      </c>
      <c r="L2461" t="s">
        <v>25</v>
      </c>
      <c r="M2461" s="8">
        <v>2.63</v>
      </c>
      <c r="N2461" t="s">
        <v>26</v>
      </c>
      <c r="O2461" s="8">
        <v>2.63</v>
      </c>
      <c r="P2461" s="8">
        <f>EXP(-1.363+3.366*LOG(O2461,10))</f>
        <v>1.0518715955632558</v>
      </c>
      <c r="Q2461" s="8">
        <f>(2618262*100)/2995732</f>
        <v>87.399740697766021</v>
      </c>
    </row>
    <row r="2462" spans="1:17" x14ac:dyDescent="0.2">
      <c r="A2462">
        <f>YEAR(D2462)</f>
        <v>2019</v>
      </c>
      <c r="B2462" t="s">
        <v>26</v>
      </c>
      <c r="C2462" s="2" t="s">
        <v>1540</v>
      </c>
      <c r="D2462" s="1">
        <v>43570</v>
      </c>
      <c r="E2462">
        <f>MONTH(D2462)</f>
        <v>4</v>
      </c>
      <c r="F2462" s="2" t="s">
        <v>19</v>
      </c>
      <c r="G2462" t="s">
        <v>20</v>
      </c>
      <c r="H2462" t="s">
        <v>175</v>
      </c>
      <c r="I2462" t="s">
        <v>22</v>
      </c>
      <c r="J2462" s="2" t="s">
        <v>42</v>
      </c>
      <c r="K2462" s="2" t="s">
        <v>3019</v>
      </c>
      <c r="L2462" t="s">
        <v>25</v>
      </c>
      <c r="M2462" s="8">
        <v>2.826333333</v>
      </c>
      <c r="N2462" t="s">
        <v>26</v>
      </c>
      <c r="O2462" s="8">
        <v>2.826333333</v>
      </c>
      <c r="P2462" s="8">
        <f>EXP(-1.363+3.366*LOG(O2462,10))</f>
        <v>1.1686133777472321</v>
      </c>
      <c r="Q2462" s="8">
        <f>(2618262*100)/2995732</f>
        <v>87.399740697766021</v>
      </c>
    </row>
    <row r="2463" spans="1:17" x14ac:dyDescent="0.2">
      <c r="A2463">
        <f>YEAR(D2463)</f>
        <v>2019</v>
      </c>
      <c r="B2463" t="s">
        <v>26</v>
      </c>
      <c r="C2463" s="2" t="s">
        <v>1540</v>
      </c>
      <c r="D2463" s="1">
        <v>43570</v>
      </c>
      <c r="E2463">
        <f>MONTH(D2463)</f>
        <v>4</v>
      </c>
      <c r="F2463" s="2" t="s">
        <v>19</v>
      </c>
      <c r="G2463" t="s">
        <v>1532</v>
      </c>
      <c r="H2463" t="s">
        <v>1533</v>
      </c>
      <c r="I2463" t="s">
        <v>36</v>
      </c>
      <c r="J2463" s="2" t="s">
        <v>42</v>
      </c>
      <c r="K2463" s="2" t="s">
        <v>3019</v>
      </c>
      <c r="L2463" t="s">
        <v>25</v>
      </c>
      <c r="M2463" s="8">
        <v>2.63</v>
      </c>
      <c r="N2463" t="s">
        <v>26</v>
      </c>
      <c r="O2463" s="8">
        <v>2.63</v>
      </c>
      <c r="P2463" s="8">
        <f>EXP(-1.363+3.366*LOG(O2463,10))</f>
        <v>1.0518715955632558</v>
      </c>
      <c r="Q2463" s="8">
        <f>(2618262*100)/2995732</f>
        <v>87.399740697766021</v>
      </c>
    </row>
    <row r="2464" spans="1:17" x14ac:dyDescent="0.2">
      <c r="A2464">
        <f>YEAR(D2464)</f>
        <v>2019</v>
      </c>
      <c r="B2464" t="s">
        <v>26</v>
      </c>
      <c r="C2464" s="2" t="s">
        <v>1540</v>
      </c>
      <c r="D2464" s="1">
        <v>43570</v>
      </c>
      <c r="E2464">
        <f>MONTH(D2464)</f>
        <v>4</v>
      </c>
      <c r="F2464" s="2" t="s">
        <v>19</v>
      </c>
      <c r="G2464" t="s">
        <v>20</v>
      </c>
      <c r="H2464" t="s">
        <v>2295</v>
      </c>
      <c r="I2464" t="s">
        <v>36</v>
      </c>
      <c r="J2464" s="2" t="s">
        <v>42</v>
      </c>
      <c r="K2464" s="2" t="s">
        <v>3019</v>
      </c>
      <c r="L2464" t="s">
        <v>25</v>
      </c>
      <c r="M2464" s="8">
        <v>1.0436666670000001</v>
      </c>
      <c r="N2464" t="s">
        <v>26</v>
      </c>
      <c r="O2464" s="8">
        <v>1.0436666670000001</v>
      </c>
      <c r="P2464" s="8">
        <f>EXP(-1.363+3.366*LOG(O2464,10))</f>
        <v>0.27238985802470567</v>
      </c>
      <c r="Q2464" s="8">
        <f>(2618262*100)/2995732</f>
        <v>87.399740697766021</v>
      </c>
    </row>
    <row r="2465" spans="1:17" x14ac:dyDescent="0.2">
      <c r="A2465">
        <f>YEAR(D2465)</f>
        <v>2019</v>
      </c>
      <c r="B2465" t="s">
        <v>26</v>
      </c>
      <c r="C2465" s="2" t="s">
        <v>1540</v>
      </c>
      <c r="D2465" s="1">
        <v>43570</v>
      </c>
      <c r="E2465">
        <f>MONTH(D2465)</f>
        <v>4</v>
      </c>
      <c r="F2465" s="2" t="s">
        <v>19</v>
      </c>
      <c r="G2465" t="s">
        <v>352</v>
      </c>
      <c r="H2465" t="s">
        <v>747</v>
      </c>
      <c r="I2465" t="s">
        <v>22</v>
      </c>
      <c r="J2465" s="2" t="s">
        <v>42</v>
      </c>
      <c r="K2465" s="2" t="s">
        <v>3019</v>
      </c>
      <c r="L2465" t="s">
        <v>25</v>
      </c>
      <c r="M2465" s="8">
        <v>1.3726666670000001</v>
      </c>
      <c r="N2465" t="s">
        <v>26</v>
      </c>
      <c r="O2465" s="8">
        <v>1.3726666670000001</v>
      </c>
      <c r="P2465" s="8">
        <f>EXP(-1.363+3.366*LOG(O2465,10))</f>
        <v>0.40658758379567089</v>
      </c>
      <c r="Q2465" s="8">
        <f>(2618262*100)/2995732</f>
        <v>87.399740697766021</v>
      </c>
    </row>
    <row r="2466" spans="1:17" x14ac:dyDescent="0.2">
      <c r="A2466">
        <f>YEAR(D2466)</f>
        <v>2019</v>
      </c>
      <c r="B2466" t="s">
        <v>26</v>
      </c>
      <c r="C2466" s="2" t="s">
        <v>1540</v>
      </c>
      <c r="D2466" s="1">
        <v>43570</v>
      </c>
      <c r="E2466">
        <f>MONTH(D2466)</f>
        <v>4</v>
      </c>
      <c r="F2466" s="2" t="s">
        <v>19</v>
      </c>
      <c r="G2466" t="s">
        <v>1532</v>
      </c>
      <c r="H2466" t="s">
        <v>1533</v>
      </c>
      <c r="I2466" t="s">
        <v>36</v>
      </c>
      <c r="J2466" s="2" t="s">
        <v>42</v>
      </c>
      <c r="K2466" s="2" t="s">
        <v>3019</v>
      </c>
      <c r="L2466" t="s">
        <v>25</v>
      </c>
      <c r="M2466" s="8">
        <v>2.63</v>
      </c>
      <c r="N2466" t="s">
        <v>26</v>
      </c>
      <c r="O2466" s="8">
        <v>2.63</v>
      </c>
      <c r="P2466" s="8">
        <f>EXP(-1.363+3.366*LOG(O2466,10))</f>
        <v>1.0518715955632558</v>
      </c>
      <c r="Q2466" s="8">
        <f>(2618262*100)/2995732</f>
        <v>87.399740697766021</v>
      </c>
    </row>
    <row r="2467" spans="1:17" x14ac:dyDescent="0.2">
      <c r="A2467">
        <f>YEAR(D2467)</f>
        <v>2019</v>
      </c>
      <c r="B2467" t="s">
        <v>26</v>
      </c>
      <c r="C2467" s="2" t="s">
        <v>1540</v>
      </c>
      <c r="D2467" s="1">
        <v>43570</v>
      </c>
      <c r="E2467">
        <f>MONTH(D2467)</f>
        <v>4</v>
      </c>
      <c r="F2467" s="2" t="s">
        <v>19</v>
      </c>
      <c r="G2467" s="2" t="s">
        <v>20</v>
      </c>
      <c r="H2467" t="s">
        <v>45</v>
      </c>
      <c r="I2467" t="s">
        <v>22</v>
      </c>
      <c r="J2467" s="2" t="s">
        <v>42</v>
      </c>
      <c r="K2467" s="2" t="s">
        <v>3019</v>
      </c>
      <c r="L2467" t="s">
        <v>25</v>
      </c>
      <c r="M2467" s="8">
        <v>1.903333333</v>
      </c>
      <c r="N2467" t="s">
        <v>26</v>
      </c>
      <c r="O2467" s="8">
        <v>1.903333333</v>
      </c>
      <c r="P2467" s="8">
        <f>EXP(-1.363+3.366*LOG(O2467,10))</f>
        <v>0.65563371760507783</v>
      </c>
      <c r="Q2467" s="8">
        <f>(2618262*100)/2995732</f>
        <v>87.399740697766021</v>
      </c>
    </row>
    <row r="2468" spans="1:17" x14ac:dyDescent="0.2">
      <c r="A2468">
        <f>YEAR(D2468)</f>
        <v>2019</v>
      </c>
      <c r="B2468" t="s">
        <v>26</v>
      </c>
      <c r="C2468" s="2" t="s">
        <v>1540</v>
      </c>
      <c r="D2468" s="1">
        <v>43570</v>
      </c>
      <c r="E2468">
        <f>MONTH(D2468)</f>
        <v>4</v>
      </c>
      <c r="F2468" s="2" t="s">
        <v>19</v>
      </c>
      <c r="G2468" s="2" t="s">
        <v>20</v>
      </c>
      <c r="H2468" t="s">
        <v>45</v>
      </c>
      <c r="I2468" t="s">
        <v>36</v>
      </c>
      <c r="J2468" s="2" t="s">
        <v>42</v>
      </c>
      <c r="K2468" s="2" t="s">
        <v>3019</v>
      </c>
      <c r="L2468" t="s">
        <v>25</v>
      </c>
      <c r="M2468" s="8">
        <v>1.5053333330000001</v>
      </c>
      <c r="N2468" t="s">
        <v>26</v>
      </c>
      <c r="O2468" s="8">
        <v>1.5053333330000001</v>
      </c>
      <c r="P2468" s="8">
        <f>EXP(-1.363+3.366*LOG(O2468,10))</f>
        <v>0.46529279523463329</v>
      </c>
      <c r="Q2468" s="8">
        <f>(2618262*100)/2995732</f>
        <v>87.399740697766021</v>
      </c>
    </row>
    <row r="2469" spans="1:17" x14ac:dyDescent="0.2">
      <c r="A2469">
        <f>YEAR(D2469)</f>
        <v>2019</v>
      </c>
      <c r="B2469" t="s">
        <v>26</v>
      </c>
      <c r="C2469" s="2" t="s">
        <v>1540</v>
      </c>
      <c r="D2469" s="1">
        <v>43570</v>
      </c>
      <c r="E2469">
        <f>MONTH(D2469)</f>
        <v>4</v>
      </c>
      <c r="F2469" s="2" t="s">
        <v>19</v>
      </c>
      <c r="G2469" t="s">
        <v>352</v>
      </c>
      <c r="H2469" t="s">
        <v>494</v>
      </c>
      <c r="I2469" t="s">
        <v>22</v>
      </c>
      <c r="J2469" s="2" t="s">
        <v>42</v>
      </c>
      <c r="K2469" s="2" t="s">
        <v>3019</v>
      </c>
      <c r="L2469" t="s">
        <v>25</v>
      </c>
      <c r="M2469" s="8">
        <v>1.7226666669999999</v>
      </c>
      <c r="N2469" t="s">
        <v>26</v>
      </c>
      <c r="O2469" s="8">
        <v>1.7226666669999999</v>
      </c>
      <c r="P2469" s="8">
        <f>EXP(-1.363+3.366*LOG(O2469,10))</f>
        <v>0.56668788662759551</v>
      </c>
      <c r="Q2469" s="8">
        <f>(2618262*100)/2995732</f>
        <v>87.399740697766021</v>
      </c>
    </row>
    <row r="2470" spans="1:17" x14ac:dyDescent="0.2">
      <c r="A2470">
        <f>YEAR(D2470)</f>
        <v>2019</v>
      </c>
      <c r="B2470" t="s">
        <v>26</v>
      </c>
      <c r="C2470" s="2" t="s">
        <v>3026</v>
      </c>
      <c r="D2470" s="1">
        <v>43587</v>
      </c>
      <c r="E2470">
        <f>MONTH(D2470)</f>
        <v>5</v>
      </c>
      <c r="F2470" s="2" t="s">
        <v>2098</v>
      </c>
      <c r="G2470" t="s">
        <v>219</v>
      </c>
      <c r="H2470" t="s">
        <v>220</v>
      </c>
      <c r="I2470" t="s">
        <v>22</v>
      </c>
      <c r="J2470" s="2" t="s">
        <v>42</v>
      </c>
      <c r="K2470" s="2" t="s">
        <v>3019</v>
      </c>
      <c r="L2470" t="s">
        <v>25</v>
      </c>
      <c r="M2470" s="10" t="s">
        <v>26</v>
      </c>
      <c r="N2470" t="s">
        <v>26</v>
      </c>
      <c r="O2470" s="10" t="s">
        <v>26</v>
      </c>
      <c r="P2470" s="8" t="s">
        <v>26</v>
      </c>
      <c r="Q2470" s="8">
        <f>(2317420*100)/2442061</f>
        <v>94.896073439606951</v>
      </c>
    </row>
    <row r="2471" spans="1:17" x14ac:dyDescent="0.2">
      <c r="A2471">
        <f>YEAR(D2471)</f>
        <v>2019</v>
      </c>
      <c r="B2471" t="s">
        <v>26</v>
      </c>
      <c r="C2471" s="2" t="s">
        <v>3026</v>
      </c>
      <c r="D2471" s="1">
        <v>43587</v>
      </c>
      <c r="E2471">
        <f>MONTH(D2471)</f>
        <v>5</v>
      </c>
      <c r="F2471" s="2" t="s">
        <v>2098</v>
      </c>
      <c r="G2471" t="s">
        <v>219</v>
      </c>
      <c r="H2471" t="s">
        <v>220</v>
      </c>
      <c r="I2471" t="s">
        <v>22</v>
      </c>
      <c r="J2471" s="2" t="s">
        <v>42</v>
      </c>
      <c r="K2471" s="2" t="s">
        <v>3019</v>
      </c>
      <c r="L2471" t="s">
        <v>25</v>
      </c>
      <c r="M2471" s="10" t="s">
        <v>26</v>
      </c>
      <c r="N2471" t="s">
        <v>26</v>
      </c>
      <c r="O2471" s="10" t="s">
        <v>26</v>
      </c>
      <c r="P2471" s="8" t="s">
        <v>26</v>
      </c>
      <c r="Q2471" s="8">
        <f>(2317420*100)/2442061</f>
        <v>94.896073439606951</v>
      </c>
    </row>
    <row r="2472" spans="1:17" x14ac:dyDescent="0.2">
      <c r="A2472">
        <f>YEAR(D2472)</f>
        <v>2019</v>
      </c>
      <c r="B2472" t="s">
        <v>26</v>
      </c>
      <c r="C2472" s="2" t="s">
        <v>3026</v>
      </c>
      <c r="D2472" s="1">
        <v>43587</v>
      </c>
      <c r="E2472">
        <f>MONTH(D2472)</f>
        <v>5</v>
      </c>
      <c r="F2472" s="2" t="s">
        <v>2098</v>
      </c>
      <c r="G2472" t="s">
        <v>20</v>
      </c>
      <c r="H2472" t="s">
        <v>183</v>
      </c>
      <c r="I2472" t="s">
        <v>22</v>
      </c>
      <c r="J2472" s="2" t="s">
        <v>42</v>
      </c>
      <c r="K2472" s="2" t="s">
        <v>3019</v>
      </c>
      <c r="L2472" t="s">
        <v>25</v>
      </c>
      <c r="M2472" s="8">
        <v>2.7893333330000001</v>
      </c>
      <c r="N2472" t="s">
        <v>26</v>
      </c>
      <c r="O2472" s="8">
        <v>2.7893333330000001</v>
      </c>
      <c r="P2472" s="8">
        <f>EXP(-1.363+3.366*LOG(O2472,10))</f>
        <v>1.1463172389308915</v>
      </c>
      <c r="Q2472" s="8">
        <f>(2317420*100)/2442061</f>
        <v>94.896073439606951</v>
      </c>
    </row>
    <row r="2473" spans="1:17" x14ac:dyDescent="0.2">
      <c r="A2473">
        <f>YEAR(D2473)</f>
        <v>2019</v>
      </c>
      <c r="B2473" t="s">
        <v>26</v>
      </c>
      <c r="C2473" s="2" t="s">
        <v>3026</v>
      </c>
      <c r="D2473" s="1">
        <v>43587</v>
      </c>
      <c r="E2473">
        <f>MONTH(D2473)</f>
        <v>5</v>
      </c>
      <c r="F2473" s="2" t="s">
        <v>2098</v>
      </c>
      <c r="G2473" t="s">
        <v>1735</v>
      </c>
      <c r="H2473" t="s">
        <v>1736</v>
      </c>
      <c r="I2473" t="s">
        <v>36</v>
      </c>
      <c r="J2473" s="2" t="s">
        <v>42</v>
      </c>
      <c r="K2473" s="2" t="s">
        <v>3019</v>
      </c>
      <c r="L2473" t="s">
        <v>25</v>
      </c>
      <c r="M2473" s="8">
        <v>3.8633333329999999</v>
      </c>
      <c r="N2473" t="s">
        <v>26</v>
      </c>
      <c r="O2473" s="8">
        <v>3.8633333329999999</v>
      </c>
      <c r="P2473" s="8">
        <f>EXP(-1.363+3.366*LOG(O2473,10))</f>
        <v>1.8454344092406809</v>
      </c>
      <c r="Q2473" s="8">
        <f>(2317420*100)/2442061</f>
        <v>94.896073439606951</v>
      </c>
    </row>
    <row r="2474" spans="1:17" x14ac:dyDescent="0.2">
      <c r="A2474">
        <f>YEAR(D2474)</f>
        <v>2019</v>
      </c>
      <c r="B2474" t="s">
        <v>26</v>
      </c>
      <c r="C2474" s="2" t="s">
        <v>3022</v>
      </c>
      <c r="D2474" s="1">
        <v>43588</v>
      </c>
      <c r="E2474">
        <f>MONTH(D2474)</f>
        <v>5</v>
      </c>
      <c r="F2474" s="2" t="s">
        <v>2098</v>
      </c>
      <c r="G2474" t="s">
        <v>20</v>
      </c>
      <c r="H2474" t="s">
        <v>171</v>
      </c>
      <c r="I2474" t="s">
        <v>22</v>
      </c>
      <c r="J2474" s="2" t="s">
        <v>42</v>
      </c>
      <c r="K2474" s="2" t="s">
        <v>3019</v>
      </c>
      <c r="L2474" t="s">
        <v>25</v>
      </c>
      <c r="M2474" s="8">
        <v>1.258</v>
      </c>
      <c r="N2474" t="s">
        <v>26</v>
      </c>
      <c r="O2474" s="8">
        <v>1.258</v>
      </c>
      <c r="P2474" s="8">
        <f>EXP(-1.363+3.366*LOG(O2474,10))</f>
        <v>0.35790955576548023</v>
      </c>
      <c r="Q2474" s="8">
        <f>(4437920*100)/4638971</f>
        <v>95.666043180696747</v>
      </c>
    </row>
    <row r="2475" spans="1:17" x14ac:dyDescent="0.2">
      <c r="A2475">
        <f>YEAR(D2475)</f>
        <v>2019</v>
      </c>
      <c r="B2475" t="s">
        <v>26</v>
      </c>
      <c r="C2475" s="2" t="s">
        <v>3022</v>
      </c>
      <c r="D2475" s="1">
        <v>43588</v>
      </c>
      <c r="E2475">
        <f>MONTH(D2475)</f>
        <v>5</v>
      </c>
      <c r="F2475" s="2" t="s">
        <v>2098</v>
      </c>
      <c r="G2475" t="s">
        <v>219</v>
      </c>
      <c r="H2475" t="s">
        <v>220</v>
      </c>
      <c r="I2475" t="s">
        <v>22</v>
      </c>
      <c r="J2475" s="2" t="s">
        <v>42</v>
      </c>
      <c r="K2475" s="2" t="s">
        <v>3019</v>
      </c>
      <c r="L2475" t="s">
        <v>25</v>
      </c>
      <c r="M2475" s="10" t="s">
        <v>26</v>
      </c>
      <c r="N2475" t="s">
        <v>26</v>
      </c>
      <c r="O2475" s="10" t="s">
        <v>26</v>
      </c>
      <c r="P2475" s="8" t="s">
        <v>26</v>
      </c>
      <c r="Q2475" s="8">
        <f>(4437920*100)/4638971</f>
        <v>95.666043180696747</v>
      </c>
    </row>
    <row r="2476" spans="1:17" x14ac:dyDescent="0.2">
      <c r="A2476">
        <f>YEAR(D2476)</f>
        <v>2019</v>
      </c>
      <c r="B2476" t="s">
        <v>26</v>
      </c>
      <c r="C2476" s="2" t="s">
        <v>3022</v>
      </c>
      <c r="D2476" s="1">
        <v>43588</v>
      </c>
      <c r="E2476">
        <f>MONTH(D2476)</f>
        <v>5</v>
      </c>
      <c r="F2476" s="2" t="s">
        <v>2098</v>
      </c>
      <c r="G2476" t="s">
        <v>1735</v>
      </c>
      <c r="H2476" t="s">
        <v>1736</v>
      </c>
      <c r="I2476" t="s">
        <v>36</v>
      </c>
      <c r="J2476" s="2" t="s">
        <v>42</v>
      </c>
      <c r="K2476" s="2" t="s">
        <v>3019</v>
      </c>
      <c r="L2476" t="s">
        <v>25</v>
      </c>
      <c r="M2476" s="8">
        <v>3.8633333329999999</v>
      </c>
      <c r="N2476" t="s">
        <v>26</v>
      </c>
      <c r="O2476" s="8">
        <v>3.8633333329999999</v>
      </c>
      <c r="P2476" s="8">
        <f>EXP(-1.363+3.366*LOG(O2476,10))</f>
        <v>1.8454344092406809</v>
      </c>
      <c r="Q2476" s="8">
        <f>(4437920*100)/4638971</f>
        <v>95.666043180696747</v>
      </c>
    </row>
    <row r="2477" spans="1:17" x14ac:dyDescent="0.2">
      <c r="A2477">
        <f>YEAR(D2477)</f>
        <v>2019</v>
      </c>
      <c r="B2477" t="s">
        <v>26</v>
      </c>
      <c r="C2477" s="2" t="s">
        <v>3022</v>
      </c>
      <c r="D2477" s="1">
        <v>43588</v>
      </c>
      <c r="E2477">
        <f>MONTH(D2477)</f>
        <v>5</v>
      </c>
      <c r="F2477" s="2" t="s">
        <v>2098</v>
      </c>
      <c r="G2477" t="s">
        <v>20</v>
      </c>
      <c r="H2477" t="s">
        <v>2295</v>
      </c>
      <c r="I2477" t="s">
        <v>22</v>
      </c>
      <c r="J2477" s="2" t="s">
        <v>42</v>
      </c>
      <c r="K2477" s="2" t="s">
        <v>3019</v>
      </c>
      <c r="L2477" t="s">
        <v>25</v>
      </c>
      <c r="M2477" s="8">
        <v>1.1566666670000001</v>
      </c>
      <c r="N2477" t="s">
        <v>26</v>
      </c>
      <c r="O2477" s="8">
        <v>1.1566666670000001</v>
      </c>
      <c r="P2477" s="8">
        <f>EXP(-1.363+3.366*LOG(O2477,10))</f>
        <v>0.31656042770005527</v>
      </c>
      <c r="Q2477" s="8">
        <f>(4437920*100)/4638971</f>
        <v>95.666043180696747</v>
      </c>
    </row>
    <row r="2478" spans="1:17" x14ac:dyDescent="0.2">
      <c r="A2478">
        <f>YEAR(D2478)</f>
        <v>2019</v>
      </c>
      <c r="B2478" t="s">
        <v>26</v>
      </c>
      <c r="C2478" s="2" t="s">
        <v>3022</v>
      </c>
      <c r="D2478" s="1">
        <v>43588</v>
      </c>
      <c r="E2478">
        <f>MONTH(D2478)</f>
        <v>5</v>
      </c>
      <c r="F2478" s="2" t="s">
        <v>2098</v>
      </c>
      <c r="G2478" t="s">
        <v>1735</v>
      </c>
      <c r="H2478" t="s">
        <v>1736</v>
      </c>
      <c r="I2478" t="s">
        <v>36</v>
      </c>
      <c r="J2478" s="2" t="s">
        <v>42</v>
      </c>
      <c r="K2478" s="2" t="s">
        <v>3019</v>
      </c>
      <c r="L2478" t="s">
        <v>25</v>
      </c>
      <c r="M2478" s="8">
        <v>3.8633333329999999</v>
      </c>
      <c r="N2478" t="s">
        <v>26</v>
      </c>
      <c r="O2478" s="8">
        <v>3.8633333329999999</v>
      </c>
      <c r="P2478" s="8">
        <f>EXP(-1.363+3.366*LOG(O2478,10))</f>
        <v>1.8454344092406809</v>
      </c>
      <c r="Q2478" s="8">
        <f>(4437920*100)/4638971</f>
        <v>95.666043180696747</v>
      </c>
    </row>
    <row r="2479" spans="1:17" x14ac:dyDescent="0.2">
      <c r="A2479">
        <f>YEAR(D2479)</f>
        <v>2019</v>
      </c>
      <c r="B2479" t="s">
        <v>26</v>
      </c>
      <c r="C2479" s="2" t="s">
        <v>3023</v>
      </c>
      <c r="D2479" s="1">
        <v>43588</v>
      </c>
      <c r="E2479">
        <f>MONTH(D2479)</f>
        <v>5</v>
      </c>
      <c r="F2479" s="2" t="s">
        <v>2098</v>
      </c>
      <c r="G2479" t="s">
        <v>1532</v>
      </c>
      <c r="H2479" t="s">
        <v>1533</v>
      </c>
      <c r="I2479" t="s">
        <v>36</v>
      </c>
      <c r="J2479" s="2" t="s">
        <v>42</v>
      </c>
      <c r="K2479" s="2" t="s">
        <v>3019</v>
      </c>
      <c r="L2479" t="s">
        <v>25</v>
      </c>
      <c r="M2479" s="8">
        <v>2.63</v>
      </c>
      <c r="N2479" t="s">
        <v>26</v>
      </c>
      <c r="O2479" s="8">
        <v>2.63</v>
      </c>
      <c r="P2479" s="8">
        <f>EXP(-1.363+3.366*LOG(O2479,10))</f>
        <v>1.0518715955632558</v>
      </c>
      <c r="Q2479" s="8">
        <f>(8197453*100)/8541008</f>
        <v>95.977582505484136</v>
      </c>
    </row>
    <row r="2480" spans="1:17" x14ac:dyDescent="0.2">
      <c r="A2480">
        <f>YEAR(D2480)</f>
        <v>2019</v>
      </c>
      <c r="B2480" t="s">
        <v>26</v>
      </c>
      <c r="C2480" s="2" t="s">
        <v>3022</v>
      </c>
      <c r="D2480" s="1">
        <v>43588</v>
      </c>
      <c r="E2480">
        <f>MONTH(D2480)</f>
        <v>5</v>
      </c>
      <c r="F2480" s="2" t="s">
        <v>19</v>
      </c>
      <c r="G2480" t="s">
        <v>352</v>
      </c>
      <c r="H2480" t="s">
        <v>1459</v>
      </c>
      <c r="I2480" t="s">
        <v>22</v>
      </c>
      <c r="J2480" s="2" t="s">
        <v>42</v>
      </c>
      <c r="K2480" s="2" t="s">
        <v>3019</v>
      </c>
      <c r="L2480" t="s">
        <v>25</v>
      </c>
      <c r="M2480" s="8">
        <v>1.1910000000000001</v>
      </c>
      <c r="N2480" t="s">
        <v>26</v>
      </c>
      <c r="O2480" s="8">
        <v>1.1910000000000001</v>
      </c>
      <c r="P2480" s="8">
        <f>EXP(-1.363+3.366*LOG(O2480,10))</f>
        <v>0.33039016297752993</v>
      </c>
      <c r="Q2480" s="8">
        <f>(4437920*100)/4638971</f>
        <v>95.666043180696747</v>
      </c>
    </row>
    <row r="2481" spans="1:17" x14ac:dyDescent="0.2">
      <c r="A2481">
        <f>YEAR(D2481)</f>
        <v>2019</v>
      </c>
      <c r="B2481" t="s">
        <v>26</v>
      </c>
      <c r="C2481" s="2" t="s">
        <v>3023</v>
      </c>
      <c r="D2481" s="1">
        <v>43588</v>
      </c>
      <c r="E2481">
        <f>MONTH(D2481)</f>
        <v>5</v>
      </c>
      <c r="F2481" s="2" t="s">
        <v>19</v>
      </c>
      <c r="G2481" t="s">
        <v>20</v>
      </c>
      <c r="H2481" t="s">
        <v>2295</v>
      </c>
      <c r="I2481" t="s">
        <v>22</v>
      </c>
      <c r="J2481" s="2" t="s">
        <v>42</v>
      </c>
      <c r="K2481" s="2" t="s">
        <v>3019</v>
      </c>
      <c r="L2481" t="s">
        <v>25</v>
      </c>
      <c r="M2481" s="8">
        <v>1.1566666670000001</v>
      </c>
      <c r="N2481" t="s">
        <v>26</v>
      </c>
      <c r="O2481" s="8">
        <v>1.1566666670000001</v>
      </c>
      <c r="P2481" s="8">
        <f>EXP(-1.363+3.366*LOG(O2481,10))</f>
        <v>0.31656042770005527</v>
      </c>
      <c r="Q2481" s="8">
        <f>(8197453*100)/8541008</f>
        <v>95.977582505484136</v>
      </c>
    </row>
    <row r="2482" spans="1:17" x14ac:dyDescent="0.2">
      <c r="A2482">
        <f>YEAR(D2482)</f>
        <v>2019</v>
      </c>
      <c r="B2482" t="s">
        <v>26</v>
      </c>
      <c r="C2482" s="2" t="s">
        <v>1552</v>
      </c>
      <c r="D2482" s="1">
        <v>43591</v>
      </c>
      <c r="E2482">
        <f>MONTH(D2482)</f>
        <v>5</v>
      </c>
      <c r="F2482" s="2" t="s">
        <v>2098</v>
      </c>
      <c r="G2482" t="s">
        <v>219</v>
      </c>
      <c r="H2482" t="s">
        <v>220</v>
      </c>
      <c r="I2482" t="s">
        <v>22</v>
      </c>
      <c r="J2482" s="2" t="s">
        <v>42</v>
      </c>
      <c r="K2482" s="2" t="s">
        <v>3019</v>
      </c>
      <c r="L2482" t="s">
        <v>25</v>
      </c>
      <c r="M2482" s="10" t="s">
        <v>26</v>
      </c>
      <c r="N2482" t="s">
        <v>26</v>
      </c>
      <c r="O2482" s="10" t="s">
        <v>26</v>
      </c>
      <c r="P2482" s="8" t="s">
        <v>26</v>
      </c>
      <c r="Q2482" s="8">
        <f>(3738946*100)/3915493</f>
        <v>95.491065875995687</v>
      </c>
    </row>
    <row r="2483" spans="1:17" x14ac:dyDescent="0.2">
      <c r="A2483">
        <f>YEAR(D2483)</f>
        <v>2019</v>
      </c>
      <c r="B2483" t="s">
        <v>26</v>
      </c>
      <c r="C2483" s="2" t="s">
        <v>1552</v>
      </c>
      <c r="D2483" s="1">
        <v>43591</v>
      </c>
      <c r="E2483">
        <f>MONTH(D2483)</f>
        <v>5</v>
      </c>
      <c r="F2483" s="2" t="s">
        <v>2098</v>
      </c>
      <c r="G2483" s="2" t="s">
        <v>20</v>
      </c>
      <c r="H2483" t="s">
        <v>3050</v>
      </c>
      <c r="I2483" t="s">
        <v>22</v>
      </c>
      <c r="J2483" s="2" t="s">
        <v>42</v>
      </c>
      <c r="K2483" s="2" t="s">
        <v>3019</v>
      </c>
      <c r="L2483" t="s">
        <v>187</v>
      </c>
      <c r="M2483" s="8">
        <v>1.83</v>
      </c>
      <c r="N2483" t="s">
        <v>26</v>
      </c>
      <c r="O2483" s="8">
        <v>1.83</v>
      </c>
      <c r="P2483" s="8">
        <f>EXP(-1.363+3.366*LOG(O2483,10))</f>
        <v>0.61903737283854177</v>
      </c>
      <c r="Q2483" s="8">
        <f>(3738946*100)/3915493</f>
        <v>95.491065875995687</v>
      </c>
    </row>
    <row r="2484" spans="1:17" x14ac:dyDescent="0.2">
      <c r="A2484">
        <f>YEAR(D2484)</f>
        <v>2019</v>
      </c>
      <c r="B2484" t="s">
        <v>26</v>
      </c>
      <c r="C2484" s="2" t="s">
        <v>1540</v>
      </c>
      <c r="D2484" s="1">
        <v>43591</v>
      </c>
      <c r="E2484">
        <f>MONTH(D2484)</f>
        <v>5</v>
      </c>
      <c r="F2484" s="2" t="s">
        <v>2098</v>
      </c>
      <c r="G2484" t="s">
        <v>1532</v>
      </c>
      <c r="H2484" t="s">
        <v>1533</v>
      </c>
      <c r="I2484" t="s">
        <v>36</v>
      </c>
      <c r="J2484" s="2" t="s">
        <v>42</v>
      </c>
      <c r="K2484" s="2" t="s">
        <v>3019</v>
      </c>
      <c r="L2484" t="s">
        <v>25</v>
      </c>
      <c r="M2484" s="8">
        <v>2.63</v>
      </c>
      <c r="N2484" t="s">
        <v>26</v>
      </c>
      <c r="O2484" s="8">
        <v>2.63</v>
      </c>
      <c r="P2484" s="8">
        <f>EXP(-1.363+3.366*LOG(O2484,10))</f>
        <v>1.0518715955632558</v>
      </c>
      <c r="Q2484" s="8">
        <f>(2618262*100)/2995732</f>
        <v>87.399740697766021</v>
      </c>
    </row>
    <row r="2485" spans="1:17" x14ac:dyDescent="0.2">
      <c r="A2485">
        <f>YEAR(D2485)</f>
        <v>2019</v>
      </c>
      <c r="B2485" t="s">
        <v>26</v>
      </c>
      <c r="C2485" s="2" t="s">
        <v>1540</v>
      </c>
      <c r="D2485" s="1">
        <v>43591</v>
      </c>
      <c r="E2485">
        <f>MONTH(D2485)</f>
        <v>5</v>
      </c>
      <c r="F2485" s="2" t="s">
        <v>2098</v>
      </c>
      <c r="G2485" t="s">
        <v>1735</v>
      </c>
      <c r="H2485" t="s">
        <v>1736</v>
      </c>
      <c r="I2485" t="s">
        <v>22</v>
      </c>
      <c r="J2485" s="2" t="s">
        <v>42</v>
      </c>
      <c r="K2485" s="2" t="s">
        <v>3019</v>
      </c>
      <c r="L2485" t="s">
        <v>25</v>
      </c>
      <c r="M2485" s="8">
        <v>4.1156666670000002</v>
      </c>
      <c r="N2485" t="s">
        <v>26</v>
      </c>
      <c r="O2485" s="8">
        <v>4.1156666670000002</v>
      </c>
      <c r="P2485" s="8">
        <f>EXP(-1.363+3.366*LOG(O2485,10))</f>
        <v>2.0242630151675414</v>
      </c>
      <c r="Q2485" s="8">
        <f>(2618262*100)/2995732</f>
        <v>87.399740697766021</v>
      </c>
    </row>
    <row r="2486" spans="1:17" x14ac:dyDescent="0.2">
      <c r="A2486">
        <f>YEAR(D2486)</f>
        <v>2019</v>
      </c>
      <c r="B2486" t="s">
        <v>26</v>
      </c>
      <c r="C2486" s="2" t="s">
        <v>1540</v>
      </c>
      <c r="D2486" s="1">
        <v>43591</v>
      </c>
      <c r="E2486">
        <f>MONTH(D2486)</f>
        <v>5</v>
      </c>
      <c r="F2486" s="2" t="s">
        <v>2098</v>
      </c>
      <c r="G2486" t="s">
        <v>219</v>
      </c>
      <c r="H2486" t="s">
        <v>220</v>
      </c>
      <c r="I2486" t="s">
        <v>22</v>
      </c>
      <c r="J2486" s="2" t="s">
        <v>42</v>
      </c>
      <c r="K2486" s="2" t="s">
        <v>3019</v>
      </c>
      <c r="L2486" t="s">
        <v>25</v>
      </c>
      <c r="M2486" s="10" t="s">
        <v>26</v>
      </c>
      <c r="N2486" t="s">
        <v>26</v>
      </c>
      <c r="O2486" s="10" t="s">
        <v>26</v>
      </c>
      <c r="P2486" s="8" t="s">
        <v>26</v>
      </c>
      <c r="Q2486" s="8">
        <f>(2618262*100)/2995732</f>
        <v>87.399740697766021</v>
      </c>
    </row>
    <row r="2487" spans="1:17" x14ac:dyDescent="0.2">
      <c r="A2487">
        <f>YEAR(D2487)</f>
        <v>2019</v>
      </c>
      <c r="B2487" t="s">
        <v>26</v>
      </c>
      <c r="C2487" s="2" t="s">
        <v>1540</v>
      </c>
      <c r="D2487" s="1">
        <v>43591</v>
      </c>
      <c r="E2487">
        <f>MONTH(D2487)</f>
        <v>5</v>
      </c>
      <c r="F2487" s="2" t="s">
        <v>2098</v>
      </c>
      <c r="G2487" t="s">
        <v>219</v>
      </c>
      <c r="H2487" t="s">
        <v>220</v>
      </c>
      <c r="I2487" t="s">
        <v>22</v>
      </c>
      <c r="J2487" s="2" t="s">
        <v>42</v>
      </c>
      <c r="K2487" s="2" t="s">
        <v>3019</v>
      </c>
      <c r="L2487" t="s">
        <v>25</v>
      </c>
      <c r="M2487" s="10" t="s">
        <v>26</v>
      </c>
      <c r="N2487" t="s">
        <v>26</v>
      </c>
      <c r="O2487" s="10" t="s">
        <v>26</v>
      </c>
      <c r="P2487" s="8" t="s">
        <v>26</v>
      </c>
      <c r="Q2487" s="8">
        <f>(2618262*100)/2995732</f>
        <v>87.399740697766021</v>
      </c>
    </row>
    <row r="2488" spans="1:17" x14ac:dyDescent="0.2">
      <c r="A2488">
        <f>YEAR(D2488)</f>
        <v>2019</v>
      </c>
      <c r="B2488" t="s">
        <v>26</v>
      </c>
      <c r="C2488" s="2" t="s">
        <v>1540</v>
      </c>
      <c r="D2488" s="1">
        <v>43591</v>
      </c>
      <c r="E2488">
        <f>MONTH(D2488)</f>
        <v>5</v>
      </c>
      <c r="F2488" s="2" t="s">
        <v>2098</v>
      </c>
      <c r="G2488" t="s">
        <v>219</v>
      </c>
      <c r="H2488" t="s">
        <v>220</v>
      </c>
      <c r="I2488" t="s">
        <v>22</v>
      </c>
      <c r="J2488" s="2" t="s">
        <v>42</v>
      </c>
      <c r="K2488" s="2" t="s">
        <v>3019</v>
      </c>
      <c r="L2488" t="s">
        <v>25</v>
      </c>
      <c r="M2488" s="10" t="s">
        <v>26</v>
      </c>
      <c r="N2488" t="s">
        <v>26</v>
      </c>
      <c r="O2488" s="10" t="s">
        <v>26</v>
      </c>
      <c r="P2488" s="8" t="s">
        <v>26</v>
      </c>
      <c r="Q2488" s="8">
        <f>(2618262*100)/2995732</f>
        <v>87.399740697766021</v>
      </c>
    </row>
    <row r="2489" spans="1:17" x14ac:dyDescent="0.2">
      <c r="A2489">
        <f>YEAR(D2489)</f>
        <v>2019</v>
      </c>
      <c r="B2489" t="s">
        <v>26</v>
      </c>
      <c r="C2489" s="2" t="s">
        <v>1540</v>
      </c>
      <c r="D2489" s="1">
        <v>43591</v>
      </c>
      <c r="E2489">
        <f>MONTH(D2489)</f>
        <v>5</v>
      </c>
      <c r="F2489" s="2" t="s">
        <v>2098</v>
      </c>
      <c r="G2489" t="s">
        <v>219</v>
      </c>
      <c r="H2489" t="s">
        <v>220</v>
      </c>
      <c r="I2489" t="s">
        <v>22</v>
      </c>
      <c r="J2489" s="2" t="s">
        <v>42</v>
      </c>
      <c r="K2489" s="2" t="s">
        <v>3019</v>
      </c>
      <c r="L2489" t="s">
        <v>25</v>
      </c>
      <c r="M2489" s="10" t="s">
        <v>26</v>
      </c>
      <c r="N2489" t="s">
        <v>26</v>
      </c>
      <c r="O2489" s="10" t="s">
        <v>26</v>
      </c>
      <c r="P2489" s="8" t="s">
        <v>26</v>
      </c>
      <c r="Q2489" s="8">
        <f>(2618262*100)/2995732</f>
        <v>87.399740697766021</v>
      </c>
    </row>
    <row r="2490" spans="1:17" x14ac:dyDescent="0.2">
      <c r="A2490">
        <f>YEAR(D2490)</f>
        <v>2019</v>
      </c>
      <c r="B2490" t="s">
        <v>26</v>
      </c>
      <c r="C2490" s="2" t="s">
        <v>1552</v>
      </c>
      <c r="D2490" s="1">
        <v>43591</v>
      </c>
      <c r="E2490">
        <f>MONTH(D2490)</f>
        <v>5</v>
      </c>
      <c r="F2490" s="2" t="s">
        <v>19</v>
      </c>
      <c r="G2490" t="s">
        <v>352</v>
      </c>
      <c r="H2490" t="s">
        <v>975</v>
      </c>
      <c r="I2490" t="s">
        <v>22</v>
      </c>
      <c r="J2490" s="2" t="s">
        <v>42</v>
      </c>
      <c r="K2490" s="2" t="s">
        <v>3019</v>
      </c>
      <c r="L2490" t="s">
        <v>25</v>
      </c>
      <c r="M2490" s="8">
        <v>1.0693333330000001</v>
      </c>
      <c r="N2490" t="s">
        <v>26</v>
      </c>
      <c r="O2490" s="8">
        <v>1.0693333330000001</v>
      </c>
      <c r="P2490" s="8">
        <f>EXP(-1.363+3.366*LOG(O2490,10))</f>
        <v>0.28223780327142356</v>
      </c>
      <c r="Q2490" s="8">
        <f>(3738946*100)/3915493</f>
        <v>95.491065875995687</v>
      </c>
    </row>
    <row r="2491" spans="1:17" x14ac:dyDescent="0.2">
      <c r="A2491">
        <f>YEAR(D2491)</f>
        <v>2019</v>
      </c>
      <c r="B2491" t="s">
        <v>26</v>
      </c>
      <c r="C2491" s="2" t="s">
        <v>1552</v>
      </c>
      <c r="D2491" s="1">
        <v>43591</v>
      </c>
      <c r="E2491">
        <f>MONTH(D2491)</f>
        <v>5</v>
      </c>
      <c r="F2491" s="2" t="s">
        <v>19</v>
      </c>
      <c r="G2491" t="s">
        <v>219</v>
      </c>
      <c r="H2491" t="s">
        <v>220</v>
      </c>
      <c r="I2491" t="s">
        <v>22</v>
      </c>
      <c r="J2491" s="2" t="s">
        <v>42</v>
      </c>
      <c r="K2491" s="2" t="s">
        <v>3019</v>
      </c>
      <c r="L2491" t="s">
        <v>25</v>
      </c>
      <c r="M2491" s="10" t="s">
        <v>26</v>
      </c>
      <c r="N2491" t="s">
        <v>26</v>
      </c>
      <c r="O2491" s="10" t="s">
        <v>26</v>
      </c>
      <c r="P2491" s="8" t="s">
        <v>26</v>
      </c>
      <c r="Q2491" s="8">
        <f>(3738946*100)/3915493</f>
        <v>95.491065875995687</v>
      </c>
    </row>
    <row r="2492" spans="1:17" x14ac:dyDescent="0.2">
      <c r="A2492">
        <f>YEAR(D2492)</f>
        <v>2019</v>
      </c>
      <c r="B2492" t="s">
        <v>26</v>
      </c>
      <c r="C2492" s="2" t="s">
        <v>1552</v>
      </c>
      <c r="D2492" s="1">
        <v>43591</v>
      </c>
      <c r="E2492">
        <f>MONTH(D2492)</f>
        <v>5</v>
      </c>
      <c r="F2492" s="2" t="s">
        <v>19</v>
      </c>
      <c r="G2492" t="s">
        <v>352</v>
      </c>
      <c r="H2492" t="s">
        <v>975</v>
      </c>
      <c r="I2492" t="s">
        <v>22</v>
      </c>
      <c r="J2492" s="2" t="s">
        <v>42</v>
      </c>
      <c r="K2492" s="2" t="s">
        <v>3019</v>
      </c>
      <c r="L2492" t="s">
        <v>25</v>
      </c>
      <c r="M2492" s="8">
        <v>1.0693333330000001</v>
      </c>
      <c r="N2492" t="s">
        <v>26</v>
      </c>
      <c r="O2492" s="8">
        <v>1.0693333330000001</v>
      </c>
      <c r="P2492" s="8">
        <f>EXP(-1.363+3.366*LOG(O2492,10))</f>
        <v>0.28223780327142356</v>
      </c>
      <c r="Q2492" s="8">
        <f>(3738946*100)/3915493</f>
        <v>95.491065875995687</v>
      </c>
    </row>
    <row r="2493" spans="1:17" x14ac:dyDescent="0.2">
      <c r="A2493">
        <f>YEAR(D2493)</f>
        <v>2019</v>
      </c>
      <c r="B2493" t="s">
        <v>26</v>
      </c>
      <c r="C2493" s="2" t="s">
        <v>1552</v>
      </c>
      <c r="D2493" s="1">
        <v>43591</v>
      </c>
      <c r="E2493">
        <f>MONTH(D2493)</f>
        <v>5</v>
      </c>
      <c r="F2493" s="2" t="s">
        <v>19</v>
      </c>
      <c r="G2493" s="2" t="s">
        <v>303</v>
      </c>
      <c r="H2493" t="s">
        <v>3051</v>
      </c>
      <c r="I2493" t="s">
        <v>36</v>
      </c>
      <c r="J2493" s="2" t="s">
        <v>42</v>
      </c>
      <c r="K2493" s="2" t="s">
        <v>3019</v>
      </c>
      <c r="L2493" t="s">
        <v>305</v>
      </c>
      <c r="M2493" s="8">
        <v>2.137</v>
      </c>
      <c r="N2493" t="s">
        <v>26</v>
      </c>
      <c r="O2493" s="8">
        <v>2.137</v>
      </c>
      <c r="P2493" s="8">
        <f>EXP(-1.363+3.366*LOG(O2493,10))</f>
        <v>0.77656263346108845</v>
      </c>
      <c r="Q2493" s="8">
        <f>(3738946*100)/3915493</f>
        <v>95.491065875995687</v>
      </c>
    </row>
    <row r="2494" spans="1:17" x14ac:dyDescent="0.2">
      <c r="A2494">
        <f>YEAR(D2494)</f>
        <v>2019</v>
      </c>
      <c r="B2494" t="s">
        <v>26</v>
      </c>
      <c r="C2494" s="2" t="s">
        <v>1552</v>
      </c>
      <c r="D2494" s="1">
        <v>43591</v>
      </c>
      <c r="E2494">
        <f>MONTH(D2494)</f>
        <v>5</v>
      </c>
      <c r="F2494" s="2" t="s">
        <v>19</v>
      </c>
      <c r="G2494" t="s">
        <v>352</v>
      </c>
      <c r="H2494" t="s">
        <v>975</v>
      </c>
      <c r="I2494" t="s">
        <v>22</v>
      </c>
      <c r="J2494" s="2" t="s">
        <v>42</v>
      </c>
      <c r="K2494" s="2" t="s">
        <v>3019</v>
      </c>
      <c r="L2494" t="s">
        <v>25</v>
      </c>
      <c r="M2494" s="8">
        <v>1.0693333330000001</v>
      </c>
      <c r="N2494" t="s">
        <v>26</v>
      </c>
      <c r="O2494" s="8">
        <v>1.0693333330000001</v>
      </c>
      <c r="P2494" s="8">
        <f>EXP(-1.363+3.366*LOG(O2494,10))</f>
        <v>0.28223780327142356</v>
      </c>
      <c r="Q2494" s="8">
        <f>(3738946*100)/3915493</f>
        <v>95.491065875995687</v>
      </c>
    </row>
    <row r="2495" spans="1:17" x14ac:dyDescent="0.2">
      <c r="A2495">
        <f>YEAR(D2495)</f>
        <v>2019</v>
      </c>
      <c r="B2495" t="s">
        <v>26</v>
      </c>
      <c r="C2495" s="2" t="s">
        <v>1540</v>
      </c>
      <c r="D2495" s="1">
        <v>43591</v>
      </c>
      <c r="E2495">
        <f>MONTH(D2495)</f>
        <v>5</v>
      </c>
      <c r="F2495" s="2" t="s">
        <v>2098</v>
      </c>
      <c r="G2495" s="2" t="s">
        <v>230</v>
      </c>
      <c r="H2495" t="s">
        <v>3052</v>
      </c>
      <c r="I2495" t="s">
        <v>22</v>
      </c>
      <c r="J2495" s="2" t="s">
        <v>42</v>
      </c>
      <c r="K2495" s="2" t="s">
        <v>3019</v>
      </c>
      <c r="L2495" t="s">
        <v>25</v>
      </c>
      <c r="M2495" s="8">
        <v>3.6890000000000001</v>
      </c>
      <c r="N2495" t="s">
        <v>26</v>
      </c>
      <c r="O2495" s="8">
        <v>3.6890000000000001</v>
      </c>
      <c r="P2495" s="8">
        <f>EXP(-1.363+3.366*LOG(O2495,10))</f>
        <v>1.7249784083275497</v>
      </c>
      <c r="Q2495" s="8">
        <f>(2618262*100)/2995732</f>
        <v>87.399740697766021</v>
      </c>
    </row>
    <row r="2496" spans="1:17" x14ac:dyDescent="0.2">
      <c r="A2496">
        <f>YEAR(D2496)</f>
        <v>2019</v>
      </c>
      <c r="B2496" t="s">
        <v>26</v>
      </c>
      <c r="C2496" s="2" t="s">
        <v>1540</v>
      </c>
      <c r="D2496" s="1">
        <v>43591</v>
      </c>
      <c r="E2496">
        <f>MONTH(D2496)</f>
        <v>5</v>
      </c>
      <c r="F2496" s="2" t="s">
        <v>2098</v>
      </c>
      <c r="G2496" t="s">
        <v>230</v>
      </c>
      <c r="H2496" t="s">
        <v>259</v>
      </c>
      <c r="I2496" t="s">
        <v>22</v>
      </c>
      <c r="J2496" s="2" t="s">
        <v>42</v>
      </c>
      <c r="K2496" s="2" t="s">
        <v>3019</v>
      </c>
      <c r="L2496" t="s">
        <v>25</v>
      </c>
      <c r="M2496" s="8">
        <v>4.2283333330000001</v>
      </c>
      <c r="N2496" t="s">
        <v>26</v>
      </c>
      <c r="O2496" s="8">
        <v>4.2283333330000001</v>
      </c>
      <c r="P2496" s="8">
        <f>EXP(-1.363+3.366*LOG(O2496,10))</f>
        <v>2.1057792396965977</v>
      </c>
      <c r="Q2496" s="8">
        <f>(2618262*100)/2995732</f>
        <v>87.399740697766021</v>
      </c>
    </row>
    <row r="2497" spans="1:17" x14ac:dyDescent="0.2">
      <c r="A2497">
        <f>YEAR(D2497)</f>
        <v>2019</v>
      </c>
      <c r="B2497" t="s">
        <v>26</v>
      </c>
      <c r="C2497" s="2" t="s">
        <v>1540</v>
      </c>
      <c r="D2497" s="1">
        <v>43591</v>
      </c>
      <c r="E2497">
        <f>MONTH(D2497)</f>
        <v>5</v>
      </c>
      <c r="F2497" s="2" t="s">
        <v>2098</v>
      </c>
      <c r="G2497" t="s">
        <v>230</v>
      </c>
      <c r="H2497" t="s">
        <v>259</v>
      </c>
      <c r="I2497" t="s">
        <v>22</v>
      </c>
      <c r="J2497" s="2" t="s">
        <v>42</v>
      </c>
      <c r="K2497" s="2" t="s">
        <v>3019</v>
      </c>
      <c r="L2497" t="s">
        <v>25</v>
      </c>
      <c r="M2497" s="8">
        <v>4.2283333330000001</v>
      </c>
      <c r="N2497" t="s">
        <v>26</v>
      </c>
      <c r="O2497" s="8">
        <v>4.2283333330000001</v>
      </c>
      <c r="P2497" s="8">
        <f>EXP(-1.363+3.366*LOG(O2497,10))</f>
        <v>2.1057792396965977</v>
      </c>
      <c r="Q2497" s="8">
        <f>(2618262*100)/2995732</f>
        <v>87.399740697766021</v>
      </c>
    </row>
    <row r="2498" spans="1:17" x14ac:dyDescent="0.2">
      <c r="A2498">
        <f>YEAR(D2498)</f>
        <v>2019</v>
      </c>
      <c r="B2498" t="s">
        <v>26</v>
      </c>
      <c r="C2498" s="2" t="s">
        <v>1540</v>
      </c>
      <c r="D2498" s="1">
        <v>43591</v>
      </c>
      <c r="E2498">
        <f>MONTH(D2498)</f>
        <v>5</v>
      </c>
      <c r="F2498" s="2" t="s">
        <v>2098</v>
      </c>
      <c r="G2498" t="s">
        <v>1735</v>
      </c>
      <c r="H2498" t="s">
        <v>1736</v>
      </c>
      <c r="I2498" t="s">
        <v>36</v>
      </c>
      <c r="J2498" s="2" t="s">
        <v>42</v>
      </c>
      <c r="K2498" s="2" t="s">
        <v>3019</v>
      </c>
      <c r="L2498" t="s">
        <v>25</v>
      </c>
      <c r="M2498" s="8">
        <v>3.8633333329999999</v>
      </c>
      <c r="N2498" t="s">
        <v>26</v>
      </c>
      <c r="O2498" s="8">
        <v>3.8633333329999999</v>
      </c>
      <c r="P2498" s="8">
        <f>EXP(-1.363+3.366*LOG(O2498,10))</f>
        <v>1.8454344092406809</v>
      </c>
      <c r="Q2498" s="8">
        <f>(2618262*100)/2995732</f>
        <v>87.399740697766021</v>
      </c>
    </row>
    <row r="2499" spans="1:17" x14ac:dyDescent="0.2">
      <c r="A2499">
        <f>YEAR(D2499)</f>
        <v>2019</v>
      </c>
      <c r="B2499" t="s">
        <v>26</v>
      </c>
      <c r="C2499" s="2" t="s">
        <v>1540</v>
      </c>
      <c r="D2499" s="1">
        <v>43591</v>
      </c>
      <c r="E2499">
        <f>MONTH(D2499)</f>
        <v>5</v>
      </c>
      <c r="F2499" s="2" t="s">
        <v>2098</v>
      </c>
      <c r="G2499" t="s">
        <v>1735</v>
      </c>
      <c r="H2499" t="s">
        <v>1736</v>
      </c>
      <c r="I2499" t="s">
        <v>22</v>
      </c>
      <c r="J2499" s="2" t="s">
        <v>42</v>
      </c>
      <c r="K2499" s="2" t="s">
        <v>3019</v>
      </c>
      <c r="L2499" t="s">
        <v>25</v>
      </c>
      <c r="M2499" s="8">
        <v>4.1156666670000002</v>
      </c>
      <c r="N2499" t="s">
        <v>26</v>
      </c>
      <c r="O2499" s="8">
        <v>4.1156666670000002</v>
      </c>
      <c r="P2499" s="8">
        <f>EXP(-1.363+3.366*LOG(O2499,10))</f>
        <v>2.0242630151675414</v>
      </c>
      <c r="Q2499" s="8">
        <f>(2618262*100)/2995732</f>
        <v>87.399740697766021</v>
      </c>
    </row>
    <row r="2500" spans="1:17" x14ac:dyDescent="0.2">
      <c r="A2500">
        <f>YEAR(D2500)</f>
        <v>2019</v>
      </c>
      <c r="B2500" t="s">
        <v>26</v>
      </c>
      <c r="C2500" s="2" t="s">
        <v>3025</v>
      </c>
      <c r="D2500" s="1">
        <v>43592</v>
      </c>
      <c r="E2500">
        <f>MONTH(D2500)</f>
        <v>5</v>
      </c>
      <c r="F2500" s="2" t="s">
        <v>2098</v>
      </c>
      <c r="G2500" t="s">
        <v>1735</v>
      </c>
      <c r="H2500" t="s">
        <v>1736</v>
      </c>
      <c r="I2500" t="s">
        <v>22</v>
      </c>
      <c r="J2500" s="2" t="s">
        <v>42</v>
      </c>
      <c r="K2500" s="2" t="s">
        <v>3019</v>
      </c>
      <c r="L2500" t="s">
        <v>25</v>
      </c>
      <c r="M2500" s="8">
        <v>4.1156666670000002</v>
      </c>
      <c r="N2500" t="s">
        <v>26</v>
      </c>
      <c r="O2500" s="8">
        <v>4.1156666670000002</v>
      </c>
      <c r="P2500" s="8">
        <f>EXP(-1.363+3.366*LOG(O2500,10))</f>
        <v>2.0242630151675414</v>
      </c>
      <c r="Q2500" s="8">
        <f>(1955155*100)/2180255</f>
        <v>89.67551960665152</v>
      </c>
    </row>
    <row r="2501" spans="1:17" x14ac:dyDescent="0.2">
      <c r="A2501">
        <f>YEAR(D2501)</f>
        <v>2019</v>
      </c>
      <c r="B2501" t="s">
        <v>26</v>
      </c>
      <c r="C2501" s="2" t="s">
        <v>3025</v>
      </c>
      <c r="D2501" s="1">
        <v>43592</v>
      </c>
      <c r="E2501">
        <f>MONTH(D2501)</f>
        <v>5</v>
      </c>
      <c r="F2501" s="2" t="s">
        <v>2098</v>
      </c>
      <c r="G2501" t="s">
        <v>1735</v>
      </c>
      <c r="H2501" t="s">
        <v>1736</v>
      </c>
      <c r="I2501" t="s">
        <v>22</v>
      </c>
      <c r="J2501" s="2" t="s">
        <v>42</v>
      </c>
      <c r="K2501" s="2" t="s">
        <v>3019</v>
      </c>
      <c r="L2501" t="s">
        <v>25</v>
      </c>
      <c r="M2501" s="8">
        <v>4.1156666670000002</v>
      </c>
      <c r="N2501" t="s">
        <v>26</v>
      </c>
      <c r="O2501" s="8">
        <v>4.1156666670000002</v>
      </c>
      <c r="P2501" s="8">
        <f>EXP(-1.363+3.366*LOG(O2501,10))</f>
        <v>2.0242630151675414</v>
      </c>
      <c r="Q2501" s="8">
        <f>(1955155*100)/2180255</f>
        <v>89.67551960665152</v>
      </c>
    </row>
    <row r="2502" spans="1:17" x14ac:dyDescent="0.2">
      <c r="A2502">
        <f>YEAR(D2502)</f>
        <v>2019</v>
      </c>
      <c r="B2502" t="s">
        <v>26</v>
      </c>
      <c r="C2502" s="2" t="s">
        <v>3025</v>
      </c>
      <c r="D2502" s="1">
        <v>43592</v>
      </c>
      <c r="E2502">
        <f>MONTH(D2502)</f>
        <v>5</v>
      </c>
      <c r="F2502" s="2" t="s">
        <v>2098</v>
      </c>
      <c r="G2502" t="s">
        <v>1735</v>
      </c>
      <c r="H2502" t="s">
        <v>1736</v>
      </c>
      <c r="I2502" t="s">
        <v>36</v>
      </c>
      <c r="J2502" s="2" t="s">
        <v>42</v>
      </c>
      <c r="K2502" s="2" t="s">
        <v>3019</v>
      </c>
      <c r="L2502" t="s">
        <v>25</v>
      </c>
      <c r="M2502" s="8">
        <v>3.8633333329999999</v>
      </c>
      <c r="N2502" t="s">
        <v>26</v>
      </c>
      <c r="O2502" s="8">
        <v>3.8633333329999999</v>
      </c>
      <c r="P2502" s="8">
        <f>EXP(-1.363+3.366*LOG(O2502,10))</f>
        <v>1.8454344092406809</v>
      </c>
      <c r="Q2502" s="8">
        <f>(1955155*100)/2180255</f>
        <v>89.67551960665152</v>
      </c>
    </row>
    <row r="2503" spans="1:17" x14ac:dyDescent="0.2">
      <c r="A2503">
        <f>YEAR(D2503)</f>
        <v>2019</v>
      </c>
      <c r="B2503" t="s">
        <v>26</v>
      </c>
      <c r="C2503" s="2" t="s">
        <v>3025</v>
      </c>
      <c r="D2503" s="1">
        <v>43592</v>
      </c>
      <c r="E2503">
        <f>MONTH(D2503)</f>
        <v>5</v>
      </c>
      <c r="F2503" s="2" t="s">
        <v>2098</v>
      </c>
      <c r="G2503" t="s">
        <v>230</v>
      </c>
      <c r="H2503" t="s">
        <v>259</v>
      </c>
      <c r="I2503" t="s">
        <v>22</v>
      </c>
      <c r="J2503" s="2" t="s">
        <v>42</v>
      </c>
      <c r="K2503" s="2" t="s">
        <v>3019</v>
      </c>
      <c r="L2503" t="s">
        <v>25</v>
      </c>
      <c r="M2503" s="8">
        <v>4.2283333330000001</v>
      </c>
      <c r="N2503" t="s">
        <v>26</v>
      </c>
      <c r="O2503" s="8">
        <v>4.2283333330000001</v>
      </c>
      <c r="P2503" s="8">
        <f>EXP(-1.363+3.366*LOG(O2503,10))</f>
        <v>2.1057792396965977</v>
      </c>
      <c r="Q2503" s="8">
        <f>(1955155*100)/2180255</f>
        <v>89.67551960665152</v>
      </c>
    </row>
    <row r="2504" spans="1:17" x14ac:dyDescent="0.2">
      <c r="A2504">
        <f>YEAR(D2504)</f>
        <v>2019</v>
      </c>
      <c r="B2504" t="s">
        <v>26</v>
      </c>
      <c r="C2504" s="2" t="s">
        <v>3025</v>
      </c>
      <c r="D2504" s="1">
        <v>43592</v>
      </c>
      <c r="E2504">
        <f>MONTH(D2504)</f>
        <v>5</v>
      </c>
      <c r="F2504" s="2" t="s">
        <v>2098</v>
      </c>
      <c r="G2504" t="s">
        <v>352</v>
      </c>
      <c r="H2504" t="s">
        <v>353</v>
      </c>
      <c r="I2504" t="s">
        <v>22</v>
      </c>
      <c r="J2504" s="2" t="s">
        <v>42</v>
      </c>
      <c r="K2504" s="2" t="s">
        <v>3019</v>
      </c>
      <c r="L2504" t="s">
        <v>25</v>
      </c>
      <c r="M2504" s="8">
        <v>1.1623333330000001</v>
      </c>
      <c r="N2504" t="s">
        <v>26</v>
      </c>
      <c r="O2504" s="8">
        <v>1.1623333330000001</v>
      </c>
      <c r="P2504" s="8">
        <f>EXP(-1.363+3.366*LOG(O2504,10))</f>
        <v>0.31883010989102206</v>
      </c>
      <c r="Q2504" s="8">
        <f>(1955155*100)/2180255</f>
        <v>89.67551960665152</v>
      </c>
    </row>
    <row r="2505" spans="1:17" x14ac:dyDescent="0.2">
      <c r="A2505">
        <f>YEAR(D2505)</f>
        <v>2019</v>
      </c>
      <c r="B2505" t="s">
        <v>26</v>
      </c>
      <c r="C2505" s="2" t="s">
        <v>3025</v>
      </c>
      <c r="D2505" s="1">
        <v>43592</v>
      </c>
      <c r="E2505">
        <f>MONTH(D2505)</f>
        <v>5</v>
      </c>
      <c r="F2505" s="2" t="s">
        <v>2098</v>
      </c>
      <c r="G2505" t="s">
        <v>352</v>
      </c>
      <c r="H2505" t="s">
        <v>353</v>
      </c>
      <c r="I2505" t="s">
        <v>22</v>
      </c>
      <c r="J2505" s="2" t="s">
        <v>42</v>
      </c>
      <c r="K2505" s="2" t="s">
        <v>3019</v>
      </c>
      <c r="L2505" t="s">
        <v>25</v>
      </c>
      <c r="M2505" s="8">
        <v>1.1623333330000001</v>
      </c>
      <c r="N2505" t="s">
        <v>26</v>
      </c>
      <c r="O2505" s="8">
        <v>1.1623333330000001</v>
      </c>
      <c r="P2505" s="8">
        <f>EXP(-1.363+3.366*LOG(O2505,10))</f>
        <v>0.31883010989102206</v>
      </c>
      <c r="Q2505" s="8">
        <f>(1955155*100)/2180255</f>
        <v>89.67551960665152</v>
      </c>
    </row>
    <row r="2506" spans="1:17" x14ac:dyDescent="0.2">
      <c r="A2506">
        <f>YEAR(D2506)</f>
        <v>2019</v>
      </c>
      <c r="B2506" t="s">
        <v>26</v>
      </c>
      <c r="C2506" s="2" t="s">
        <v>3025</v>
      </c>
      <c r="D2506" s="1">
        <v>43592</v>
      </c>
      <c r="E2506">
        <f>MONTH(D2506)</f>
        <v>5</v>
      </c>
      <c r="F2506" s="2" t="s">
        <v>2098</v>
      </c>
      <c r="G2506" t="s">
        <v>352</v>
      </c>
      <c r="H2506" t="s">
        <v>353</v>
      </c>
      <c r="I2506" t="s">
        <v>22</v>
      </c>
      <c r="J2506" s="2" t="s">
        <v>42</v>
      </c>
      <c r="K2506" s="2" t="s">
        <v>3019</v>
      </c>
      <c r="L2506" t="s">
        <v>25</v>
      </c>
      <c r="M2506" s="8">
        <v>1.1623333330000001</v>
      </c>
      <c r="N2506" t="s">
        <v>26</v>
      </c>
      <c r="O2506" s="8">
        <v>1.1623333330000001</v>
      </c>
      <c r="P2506" s="8">
        <f>EXP(-1.363+3.366*LOG(O2506,10))</f>
        <v>0.31883010989102206</v>
      </c>
      <c r="Q2506" s="8">
        <f>(1955155*100)/2180255</f>
        <v>89.67551960665152</v>
      </c>
    </row>
    <row r="2507" spans="1:17" x14ac:dyDescent="0.2">
      <c r="A2507">
        <f>YEAR(D2507)</f>
        <v>2019</v>
      </c>
      <c r="B2507" t="s">
        <v>26</v>
      </c>
      <c r="C2507" s="2" t="s">
        <v>3025</v>
      </c>
      <c r="D2507" s="1">
        <v>43592</v>
      </c>
      <c r="E2507">
        <f>MONTH(D2507)</f>
        <v>5</v>
      </c>
      <c r="F2507" s="2" t="s">
        <v>2098</v>
      </c>
      <c r="G2507" t="s">
        <v>352</v>
      </c>
      <c r="H2507" t="s">
        <v>353</v>
      </c>
      <c r="I2507" t="s">
        <v>22</v>
      </c>
      <c r="J2507" s="2" t="s">
        <v>42</v>
      </c>
      <c r="K2507" s="2" t="s">
        <v>3019</v>
      </c>
      <c r="L2507" t="s">
        <v>25</v>
      </c>
      <c r="M2507" s="8">
        <v>1.1623333330000001</v>
      </c>
      <c r="N2507" t="s">
        <v>26</v>
      </c>
      <c r="O2507" s="8">
        <v>1.1623333330000001</v>
      </c>
      <c r="P2507" s="8">
        <f>EXP(-1.363+3.366*LOG(O2507,10))</f>
        <v>0.31883010989102206</v>
      </c>
      <c r="Q2507" s="8">
        <f>(1955155*100)/2180255</f>
        <v>89.67551960665152</v>
      </c>
    </row>
    <row r="2508" spans="1:17" x14ac:dyDescent="0.2">
      <c r="A2508">
        <f>YEAR(D2508)</f>
        <v>2019</v>
      </c>
      <c r="B2508" t="s">
        <v>26</v>
      </c>
      <c r="C2508" s="2" t="s">
        <v>3025</v>
      </c>
      <c r="D2508" s="1">
        <v>43592</v>
      </c>
      <c r="E2508">
        <f>MONTH(D2508)</f>
        <v>5</v>
      </c>
      <c r="F2508" s="2" t="s">
        <v>2098</v>
      </c>
      <c r="G2508" t="s">
        <v>352</v>
      </c>
      <c r="H2508" t="s">
        <v>353</v>
      </c>
      <c r="I2508" t="s">
        <v>22</v>
      </c>
      <c r="J2508" s="2" t="s">
        <v>42</v>
      </c>
      <c r="K2508" s="2" t="s">
        <v>3019</v>
      </c>
      <c r="L2508" t="s">
        <v>25</v>
      </c>
      <c r="M2508" s="8">
        <v>1.1623333330000001</v>
      </c>
      <c r="N2508" t="s">
        <v>26</v>
      </c>
      <c r="O2508" s="8">
        <v>1.1623333330000001</v>
      </c>
      <c r="P2508" s="8">
        <f>EXP(-1.363+3.366*LOG(O2508,10))</f>
        <v>0.31883010989102206</v>
      </c>
      <c r="Q2508" s="8">
        <f>(1955155*100)/2180255</f>
        <v>89.67551960665152</v>
      </c>
    </row>
    <row r="2509" spans="1:17" x14ac:dyDescent="0.2">
      <c r="A2509">
        <f>YEAR(D2509)</f>
        <v>2019</v>
      </c>
      <c r="B2509" t="s">
        <v>26</v>
      </c>
      <c r="C2509" s="2" t="s">
        <v>3025</v>
      </c>
      <c r="D2509" s="1">
        <v>43592</v>
      </c>
      <c r="E2509">
        <f>MONTH(D2509)</f>
        <v>5</v>
      </c>
      <c r="F2509" s="2" t="s">
        <v>2098</v>
      </c>
      <c r="G2509" t="s">
        <v>352</v>
      </c>
      <c r="H2509" t="s">
        <v>353</v>
      </c>
      <c r="I2509" t="s">
        <v>22</v>
      </c>
      <c r="J2509" s="2" t="s">
        <v>42</v>
      </c>
      <c r="K2509" s="2" t="s">
        <v>3019</v>
      </c>
      <c r="L2509" t="s">
        <v>25</v>
      </c>
      <c r="M2509" s="8">
        <v>1.1623333330000001</v>
      </c>
      <c r="N2509" t="s">
        <v>26</v>
      </c>
      <c r="O2509" s="8">
        <v>1.1623333330000001</v>
      </c>
      <c r="P2509" s="8">
        <f>EXP(-1.363+3.366*LOG(O2509,10))</f>
        <v>0.31883010989102206</v>
      </c>
      <c r="Q2509" s="8">
        <f>(1955155*100)/2180255</f>
        <v>89.67551960665152</v>
      </c>
    </row>
    <row r="2510" spans="1:17" x14ac:dyDescent="0.2">
      <c r="A2510">
        <f>YEAR(D2510)</f>
        <v>2019</v>
      </c>
      <c r="B2510" t="s">
        <v>26</v>
      </c>
      <c r="C2510" s="2" t="s">
        <v>3025</v>
      </c>
      <c r="D2510" s="1">
        <v>43592</v>
      </c>
      <c r="E2510">
        <f>MONTH(D2510)</f>
        <v>5</v>
      </c>
      <c r="F2510" s="2" t="s">
        <v>2098</v>
      </c>
      <c r="G2510" t="s">
        <v>352</v>
      </c>
      <c r="H2510" t="s">
        <v>623</v>
      </c>
      <c r="I2510" t="s">
        <v>22</v>
      </c>
      <c r="J2510" s="2" t="s">
        <v>42</v>
      </c>
      <c r="K2510" s="2" t="s">
        <v>3019</v>
      </c>
      <c r="L2510" t="s">
        <v>25</v>
      </c>
      <c r="M2510" s="8">
        <v>1.387</v>
      </c>
      <c r="N2510" t="s">
        <v>26</v>
      </c>
      <c r="O2510" s="8">
        <v>1.387</v>
      </c>
      <c r="P2510" s="8">
        <f>EXP(-1.363+3.366*LOG(O2510,10))</f>
        <v>0.41280884754947733</v>
      </c>
      <c r="Q2510" s="8">
        <f>(1955155*100)/2180255</f>
        <v>89.67551960665152</v>
      </c>
    </row>
    <row r="2511" spans="1:17" x14ac:dyDescent="0.2">
      <c r="A2511">
        <f>YEAR(D2511)</f>
        <v>2019</v>
      </c>
      <c r="B2511" t="s">
        <v>26</v>
      </c>
      <c r="C2511" s="2" t="s">
        <v>3025</v>
      </c>
      <c r="D2511" s="1">
        <v>43592</v>
      </c>
      <c r="E2511">
        <f>MONTH(D2511)</f>
        <v>5</v>
      </c>
      <c r="F2511" s="2" t="s">
        <v>2098</v>
      </c>
      <c r="G2511" t="s">
        <v>352</v>
      </c>
      <c r="H2511" t="s">
        <v>353</v>
      </c>
      <c r="I2511" t="s">
        <v>22</v>
      </c>
      <c r="J2511" s="2" t="s">
        <v>42</v>
      </c>
      <c r="K2511" s="2" t="s">
        <v>3019</v>
      </c>
      <c r="L2511" t="s">
        <v>25</v>
      </c>
      <c r="M2511" s="8">
        <v>1.1623333330000001</v>
      </c>
      <c r="N2511" t="s">
        <v>26</v>
      </c>
      <c r="O2511" s="8">
        <v>1.1623333330000001</v>
      </c>
      <c r="P2511" s="8">
        <f>EXP(-1.363+3.366*LOG(O2511,10))</f>
        <v>0.31883010989102206</v>
      </c>
      <c r="Q2511" s="8">
        <f>(1955155*100)/2180255</f>
        <v>89.67551960665152</v>
      </c>
    </row>
    <row r="2512" spans="1:17" x14ac:dyDescent="0.2">
      <c r="A2512">
        <f>YEAR(D2512)</f>
        <v>2019</v>
      </c>
      <c r="B2512" t="s">
        <v>26</v>
      </c>
      <c r="C2512" s="2" t="s">
        <v>3025</v>
      </c>
      <c r="D2512" s="1">
        <v>43592</v>
      </c>
      <c r="E2512">
        <f>MONTH(D2512)</f>
        <v>5</v>
      </c>
      <c r="F2512" s="2" t="s">
        <v>2098</v>
      </c>
      <c r="G2512" t="s">
        <v>352</v>
      </c>
      <c r="H2512" t="s">
        <v>353</v>
      </c>
      <c r="I2512" t="s">
        <v>22</v>
      </c>
      <c r="J2512" s="2" t="s">
        <v>42</v>
      </c>
      <c r="K2512" s="2" t="s">
        <v>3019</v>
      </c>
      <c r="L2512" t="s">
        <v>25</v>
      </c>
      <c r="M2512" s="8">
        <v>1.1623333330000001</v>
      </c>
      <c r="N2512" t="s">
        <v>26</v>
      </c>
      <c r="O2512" s="8">
        <v>1.1623333330000001</v>
      </c>
      <c r="P2512" s="8">
        <f>EXP(-1.363+3.366*LOG(O2512,10))</f>
        <v>0.31883010989102206</v>
      </c>
      <c r="Q2512" s="8">
        <f>(1955155*100)/2180255</f>
        <v>89.67551960665152</v>
      </c>
    </row>
    <row r="2513" spans="1:17" x14ac:dyDescent="0.2">
      <c r="A2513">
        <f>YEAR(D2513)</f>
        <v>2019</v>
      </c>
      <c r="B2513" t="s">
        <v>26</v>
      </c>
      <c r="C2513" s="2" t="s">
        <v>1540</v>
      </c>
      <c r="D2513" s="1">
        <v>43591</v>
      </c>
      <c r="E2513">
        <f>MONTH(D2513)</f>
        <v>5</v>
      </c>
      <c r="F2513" s="2" t="s">
        <v>19</v>
      </c>
      <c r="G2513" t="s">
        <v>303</v>
      </c>
      <c r="H2513" t="s">
        <v>307</v>
      </c>
      <c r="I2513" t="s">
        <v>22</v>
      </c>
      <c r="J2513" s="2" t="s">
        <v>42</v>
      </c>
      <c r="K2513" s="2" t="s">
        <v>3019</v>
      </c>
      <c r="L2513" t="s">
        <v>305</v>
      </c>
      <c r="M2513" s="8">
        <v>1.1000000000000001</v>
      </c>
      <c r="N2513" t="s">
        <v>26</v>
      </c>
      <c r="O2513" s="8">
        <v>1.1000000000000001</v>
      </c>
      <c r="P2513" s="8">
        <f>EXP(-1.363+3.366*LOG(O2513,10))</f>
        <v>0.29414800446794787</v>
      </c>
      <c r="Q2513" s="8">
        <f>(2618262*100)/2995732</f>
        <v>87.399740697766021</v>
      </c>
    </row>
    <row r="2514" spans="1:17" x14ac:dyDescent="0.2">
      <c r="A2514">
        <f>YEAR(D2514)</f>
        <v>2019</v>
      </c>
      <c r="B2514" t="s">
        <v>26</v>
      </c>
      <c r="C2514" s="2" t="s">
        <v>1540</v>
      </c>
      <c r="D2514" s="1">
        <v>43591</v>
      </c>
      <c r="E2514">
        <f>MONTH(D2514)</f>
        <v>5</v>
      </c>
      <c r="F2514" s="2" t="s">
        <v>19</v>
      </c>
      <c r="G2514" t="s">
        <v>352</v>
      </c>
      <c r="H2514" t="s">
        <v>1394</v>
      </c>
      <c r="I2514" t="s">
        <v>22</v>
      </c>
      <c r="J2514" s="2" t="s">
        <v>42</v>
      </c>
      <c r="K2514" s="2" t="s">
        <v>3019</v>
      </c>
      <c r="L2514" t="s">
        <v>25</v>
      </c>
      <c r="M2514" s="8">
        <v>1.2776666670000001</v>
      </c>
      <c r="N2514" t="s">
        <v>26</v>
      </c>
      <c r="O2514" s="8">
        <v>1.2776666670000001</v>
      </c>
      <c r="P2514" s="8">
        <f>EXP(-1.363+3.366*LOG(O2514,10))</f>
        <v>0.36611840850570582</v>
      </c>
      <c r="Q2514" s="8">
        <f>(2618262*100)/2995732</f>
        <v>87.399740697766021</v>
      </c>
    </row>
    <row r="2515" spans="1:17" x14ac:dyDescent="0.2">
      <c r="A2515">
        <f>YEAR(D2515)</f>
        <v>2019</v>
      </c>
      <c r="B2515" t="s">
        <v>26</v>
      </c>
      <c r="C2515" s="2" t="s">
        <v>1540</v>
      </c>
      <c r="D2515" s="1">
        <v>43591</v>
      </c>
      <c r="E2515">
        <f>MONTH(D2515)</f>
        <v>5</v>
      </c>
      <c r="F2515" s="2" t="s">
        <v>19</v>
      </c>
      <c r="G2515" t="s">
        <v>352</v>
      </c>
      <c r="H2515" t="s">
        <v>1459</v>
      </c>
      <c r="I2515" t="s">
        <v>22</v>
      </c>
      <c r="J2515" s="2" t="s">
        <v>42</v>
      </c>
      <c r="K2515" s="2" t="s">
        <v>3019</v>
      </c>
      <c r="L2515" t="s">
        <v>25</v>
      </c>
      <c r="M2515" s="8">
        <v>1.1910000000000001</v>
      </c>
      <c r="N2515" t="s">
        <v>26</v>
      </c>
      <c r="O2515" s="8">
        <v>1.1910000000000001</v>
      </c>
      <c r="P2515" s="8">
        <f>EXP(-1.363+3.366*LOG(O2515,10))</f>
        <v>0.33039016297752993</v>
      </c>
      <c r="Q2515" s="8">
        <f>(2618262*100)/2995732</f>
        <v>87.399740697766021</v>
      </c>
    </row>
    <row r="2516" spans="1:17" x14ac:dyDescent="0.2">
      <c r="A2516">
        <f>YEAR(D2516)</f>
        <v>2019</v>
      </c>
      <c r="B2516" t="s">
        <v>26</v>
      </c>
      <c r="C2516" s="2" t="s">
        <v>1540</v>
      </c>
      <c r="D2516" s="1">
        <v>43591</v>
      </c>
      <c r="E2516">
        <f>MONTH(D2516)</f>
        <v>5</v>
      </c>
      <c r="F2516" s="2" t="s">
        <v>19</v>
      </c>
      <c r="G2516" t="s">
        <v>352</v>
      </c>
      <c r="H2516" t="s">
        <v>1394</v>
      </c>
      <c r="I2516" t="s">
        <v>22</v>
      </c>
      <c r="J2516" s="2" t="s">
        <v>42</v>
      </c>
      <c r="K2516" s="2" t="s">
        <v>3019</v>
      </c>
      <c r="L2516" t="s">
        <v>25</v>
      </c>
      <c r="M2516" s="8">
        <v>1.2776666670000001</v>
      </c>
      <c r="N2516" t="s">
        <v>26</v>
      </c>
      <c r="O2516" s="8">
        <v>1.2776666670000001</v>
      </c>
      <c r="P2516" s="8">
        <f>EXP(-1.363+3.366*LOG(O2516,10))</f>
        <v>0.36611840850570582</v>
      </c>
      <c r="Q2516" s="8">
        <f>(2618262*100)/2995732</f>
        <v>87.399740697766021</v>
      </c>
    </row>
    <row r="2517" spans="1:17" x14ac:dyDescent="0.2">
      <c r="A2517">
        <f>YEAR(D2517)</f>
        <v>2019</v>
      </c>
      <c r="B2517" t="s">
        <v>26</v>
      </c>
      <c r="C2517" s="2" t="s">
        <v>1540</v>
      </c>
      <c r="D2517" s="1">
        <v>43591</v>
      </c>
      <c r="E2517">
        <f>MONTH(D2517)</f>
        <v>5</v>
      </c>
      <c r="F2517" s="2" t="s">
        <v>19</v>
      </c>
      <c r="G2517" t="s">
        <v>352</v>
      </c>
      <c r="H2517" t="s">
        <v>975</v>
      </c>
      <c r="I2517" t="s">
        <v>22</v>
      </c>
      <c r="J2517" s="2" t="s">
        <v>42</v>
      </c>
      <c r="K2517" s="2" t="s">
        <v>3019</v>
      </c>
      <c r="L2517" t="s">
        <v>25</v>
      </c>
      <c r="M2517" s="8">
        <v>1.0693333330000001</v>
      </c>
      <c r="N2517" t="s">
        <v>26</v>
      </c>
      <c r="O2517" s="8">
        <v>1.0693333330000001</v>
      </c>
      <c r="P2517" s="8">
        <f>EXP(-1.363+3.366*LOG(O2517,10))</f>
        <v>0.28223780327142356</v>
      </c>
      <c r="Q2517" s="8">
        <f>(2618262*100)/2995732</f>
        <v>87.399740697766021</v>
      </c>
    </row>
    <row r="2518" spans="1:17" x14ac:dyDescent="0.2">
      <c r="A2518">
        <f>YEAR(D2518)</f>
        <v>2019</v>
      </c>
      <c r="B2518" t="s">
        <v>26</v>
      </c>
      <c r="C2518" s="2" t="s">
        <v>1540</v>
      </c>
      <c r="D2518" s="1">
        <v>43591</v>
      </c>
      <c r="E2518">
        <f>MONTH(D2518)</f>
        <v>5</v>
      </c>
      <c r="F2518" s="2" t="s">
        <v>19</v>
      </c>
      <c r="G2518" s="2" t="s">
        <v>303</v>
      </c>
      <c r="H2518" t="s">
        <v>3046</v>
      </c>
      <c r="I2518" t="s">
        <v>36</v>
      </c>
      <c r="J2518" s="2" t="s">
        <v>42</v>
      </c>
      <c r="K2518" s="2" t="s">
        <v>3019</v>
      </c>
      <c r="L2518" t="s">
        <v>305</v>
      </c>
      <c r="M2518" s="8">
        <v>1.5680000000000001</v>
      </c>
      <c r="N2518" t="s">
        <v>26</v>
      </c>
      <c r="O2518" s="8">
        <v>1.5680000000000001</v>
      </c>
      <c r="P2518" s="8">
        <f>EXP(-1.363+3.366*LOG(O2518,10))</f>
        <v>0.49387878440644112</v>
      </c>
      <c r="Q2518" s="8">
        <f>(2618262*100)/2995732</f>
        <v>87.399740697766021</v>
      </c>
    </row>
    <row r="2519" spans="1:17" x14ac:dyDescent="0.2">
      <c r="A2519">
        <f>YEAR(D2519)</f>
        <v>2019</v>
      </c>
      <c r="B2519" t="s">
        <v>26</v>
      </c>
      <c r="C2519" s="2" t="s">
        <v>1540</v>
      </c>
      <c r="D2519" s="1">
        <v>43591</v>
      </c>
      <c r="E2519">
        <f>MONTH(D2519)</f>
        <v>5</v>
      </c>
      <c r="F2519" s="2" t="s">
        <v>19</v>
      </c>
      <c r="G2519" t="s">
        <v>352</v>
      </c>
      <c r="H2519" t="s">
        <v>1394</v>
      </c>
      <c r="I2519" t="s">
        <v>22</v>
      </c>
      <c r="J2519" s="2" t="s">
        <v>42</v>
      </c>
      <c r="K2519" s="2" t="s">
        <v>3019</v>
      </c>
      <c r="L2519" t="s">
        <v>25</v>
      </c>
      <c r="M2519" s="8">
        <v>1.2776666670000001</v>
      </c>
      <c r="N2519" t="s">
        <v>26</v>
      </c>
      <c r="O2519" s="8">
        <v>1.2776666670000001</v>
      </c>
      <c r="P2519" s="8">
        <f>EXP(-1.363+3.366*LOG(O2519,10))</f>
        <v>0.36611840850570582</v>
      </c>
      <c r="Q2519" s="8">
        <f>(2618262*100)/2995732</f>
        <v>87.399740697766021</v>
      </c>
    </row>
    <row r="2520" spans="1:17" x14ac:dyDescent="0.2">
      <c r="A2520">
        <f>YEAR(D2520)</f>
        <v>2019</v>
      </c>
      <c r="B2520" t="s">
        <v>26</v>
      </c>
      <c r="C2520" s="2" t="s">
        <v>1540</v>
      </c>
      <c r="D2520" s="1">
        <v>43591</v>
      </c>
      <c r="E2520">
        <f>MONTH(D2520)</f>
        <v>5</v>
      </c>
      <c r="F2520" s="2" t="s">
        <v>19</v>
      </c>
      <c r="G2520" t="s">
        <v>303</v>
      </c>
      <c r="H2520" t="s">
        <v>307</v>
      </c>
      <c r="I2520" t="s">
        <v>22</v>
      </c>
      <c r="J2520" s="2" t="s">
        <v>42</v>
      </c>
      <c r="K2520" s="2" t="s">
        <v>3019</v>
      </c>
      <c r="L2520" t="s">
        <v>305</v>
      </c>
      <c r="M2520" s="8">
        <v>1.1000000000000001</v>
      </c>
      <c r="N2520" t="s">
        <v>26</v>
      </c>
      <c r="O2520" s="8">
        <v>1.1000000000000001</v>
      </c>
      <c r="P2520" s="8">
        <f>EXP(-1.363+3.366*LOG(O2520,10))</f>
        <v>0.29414800446794787</v>
      </c>
      <c r="Q2520" s="8">
        <f>(2618262*100)/2995732</f>
        <v>87.399740697766021</v>
      </c>
    </row>
    <row r="2521" spans="1:17" x14ac:dyDescent="0.2">
      <c r="A2521">
        <f>YEAR(D2521)</f>
        <v>2019</v>
      </c>
      <c r="B2521" t="s">
        <v>26</v>
      </c>
      <c r="C2521" s="2" t="s">
        <v>3025</v>
      </c>
      <c r="D2521" s="1">
        <v>43592</v>
      </c>
      <c r="E2521">
        <f>MONTH(D2521)</f>
        <v>5</v>
      </c>
      <c r="F2521" s="2" t="s">
        <v>19</v>
      </c>
      <c r="G2521" t="s">
        <v>352</v>
      </c>
      <c r="H2521" t="s">
        <v>494</v>
      </c>
      <c r="I2521" t="s">
        <v>22</v>
      </c>
      <c r="J2521" s="2" t="s">
        <v>42</v>
      </c>
      <c r="K2521" s="2" t="s">
        <v>3019</v>
      </c>
      <c r="L2521" t="s">
        <v>25</v>
      </c>
      <c r="M2521" s="8">
        <v>1.7226666669999999</v>
      </c>
      <c r="N2521" t="s">
        <v>26</v>
      </c>
      <c r="O2521" s="8">
        <v>1.7226666669999999</v>
      </c>
      <c r="P2521" s="8">
        <f>EXP(-1.363+3.366*LOG(O2521,10))</f>
        <v>0.56668788662759551</v>
      </c>
      <c r="Q2521" s="8">
        <f>(1955155*100)/2180255</f>
        <v>89.67551960665152</v>
      </c>
    </row>
    <row r="2522" spans="1:17" x14ac:dyDescent="0.2">
      <c r="A2522">
        <f>YEAR(D2522)</f>
        <v>2019</v>
      </c>
      <c r="B2522" t="s">
        <v>26</v>
      </c>
      <c r="C2522" s="2" t="s">
        <v>3025</v>
      </c>
      <c r="D2522" s="1">
        <v>43592</v>
      </c>
      <c r="E2522">
        <f>MONTH(D2522)</f>
        <v>5</v>
      </c>
      <c r="F2522" s="2" t="s">
        <v>19</v>
      </c>
      <c r="G2522" t="s">
        <v>352</v>
      </c>
      <c r="H2522" t="s">
        <v>1416</v>
      </c>
      <c r="I2522" t="s">
        <v>22</v>
      </c>
      <c r="J2522" s="2" t="s">
        <v>42</v>
      </c>
      <c r="K2522" s="2" t="s">
        <v>3019</v>
      </c>
      <c r="L2522" t="s">
        <v>25</v>
      </c>
      <c r="M2522" s="8">
        <v>1.708</v>
      </c>
      <c r="N2522" t="s">
        <v>26</v>
      </c>
      <c r="O2522" s="8">
        <v>1.708</v>
      </c>
      <c r="P2522" s="8">
        <f>EXP(-1.363+3.366*LOG(O2522,10))</f>
        <v>0.55964879607718498</v>
      </c>
      <c r="Q2522" s="8">
        <f>(1955155*100)/2180255</f>
        <v>89.67551960665152</v>
      </c>
    </row>
    <row r="2523" spans="1:17" x14ac:dyDescent="0.2">
      <c r="A2523">
        <f>YEAR(D2523)</f>
        <v>2019</v>
      </c>
      <c r="B2523" t="s">
        <v>26</v>
      </c>
      <c r="C2523" s="2" t="s">
        <v>3025</v>
      </c>
      <c r="D2523" s="1">
        <v>43592</v>
      </c>
      <c r="E2523">
        <f>MONTH(D2523)</f>
        <v>5</v>
      </c>
      <c r="F2523" s="2" t="s">
        <v>19</v>
      </c>
      <c r="G2523" t="s">
        <v>219</v>
      </c>
      <c r="H2523" t="s">
        <v>220</v>
      </c>
      <c r="I2523" t="s">
        <v>22</v>
      </c>
      <c r="J2523" s="2" t="s">
        <v>42</v>
      </c>
      <c r="K2523" s="2" t="s">
        <v>3019</v>
      </c>
      <c r="L2523" t="s">
        <v>25</v>
      </c>
      <c r="M2523" s="10" t="s">
        <v>26</v>
      </c>
      <c r="N2523" t="s">
        <v>26</v>
      </c>
      <c r="O2523" s="10" t="s">
        <v>26</v>
      </c>
      <c r="P2523" s="8" t="s">
        <v>26</v>
      </c>
      <c r="Q2523" s="8">
        <f>(1955155*100)/2180255</f>
        <v>89.67551960665152</v>
      </c>
    </row>
    <row r="2524" spans="1:17" x14ac:dyDescent="0.2">
      <c r="A2524">
        <f>YEAR(D2524)</f>
        <v>2019</v>
      </c>
      <c r="B2524" t="s">
        <v>26</v>
      </c>
      <c r="C2524" s="2" t="s">
        <v>3025</v>
      </c>
      <c r="D2524" s="1">
        <v>43592</v>
      </c>
      <c r="E2524">
        <f>MONTH(D2524)</f>
        <v>5</v>
      </c>
      <c r="F2524" s="2" t="s">
        <v>19</v>
      </c>
      <c r="G2524" t="s">
        <v>362</v>
      </c>
      <c r="H2524" t="s">
        <v>393</v>
      </c>
      <c r="I2524" t="s">
        <v>22</v>
      </c>
      <c r="J2524" s="2" t="s">
        <v>42</v>
      </c>
      <c r="K2524" s="2" t="s">
        <v>3019</v>
      </c>
      <c r="L2524" t="s">
        <v>25</v>
      </c>
      <c r="M2524" s="8">
        <v>2.4239999999999999</v>
      </c>
      <c r="N2524" t="s">
        <v>26</v>
      </c>
      <c r="O2524" s="8">
        <v>2.4239999999999999</v>
      </c>
      <c r="P2524" s="8">
        <f>EXP(-1.363+3.366*LOG(O2524,10))</f>
        <v>0.93364106227732868</v>
      </c>
      <c r="Q2524" s="8">
        <f>(1955155*100)/2180255</f>
        <v>89.67551960665152</v>
      </c>
    </row>
    <row r="2525" spans="1:17" x14ac:dyDescent="0.2">
      <c r="A2525">
        <f>YEAR(D2525)</f>
        <v>2019</v>
      </c>
      <c r="B2525" t="s">
        <v>26</v>
      </c>
      <c r="C2525" s="2" t="s">
        <v>3025</v>
      </c>
      <c r="D2525" s="1">
        <v>43592</v>
      </c>
      <c r="E2525">
        <f>MONTH(D2525)</f>
        <v>5</v>
      </c>
      <c r="F2525" s="2" t="s">
        <v>19</v>
      </c>
      <c r="G2525" t="s">
        <v>362</v>
      </c>
      <c r="H2525" t="s">
        <v>393</v>
      </c>
      <c r="I2525" t="s">
        <v>22</v>
      </c>
      <c r="J2525" s="2" t="s">
        <v>42</v>
      </c>
      <c r="K2525" s="2" t="s">
        <v>3019</v>
      </c>
      <c r="L2525" t="s">
        <v>25</v>
      </c>
      <c r="M2525" s="8">
        <v>2.4239999999999999</v>
      </c>
      <c r="N2525" t="s">
        <v>26</v>
      </c>
      <c r="O2525" s="8">
        <v>2.4239999999999999</v>
      </c>
      <c r="P2525" s="8">
        <f>EXP(-1.363+3.366*LOG(O2525,10))</f>
        <v>0.93364106227732868</v>
      </c>
      <c r="Q2525" s="8">
        <f>(1955155*100)/2180255</f>
        <v>89.67551960665152</v>
      </c>
    </row>
    <row r="2526" spans="1:17" x14ac:dyDescent="0.2">
      <c r="A2526">
        <f>YEAR(D2526)</f>
        <v>2019</v>
      </c>
      <c r="B2526" t="s">
        <v>26</v>
      </c>
      <c r="C2526" s="2" t="s">
        <v>3025</v>
      </c>
      <c r="D2526" s="1">
        <v>43592</v>
      </c>
      <c r="E2526">
        <f>MONTH(D2526)</f>
        <v>5</v>
      </c>
      <c r="F2526" s="2" t="s">
        <v>19</v>
      </c>
      <c r="G2526" t="s">
        <v>352</v>
      </c>
      <c r="H2526" t="s">
        <v>975</v>
      </c>
      <c r="I2526" t="s">
        <v>22</v>
      </c>
      <c r="J2526" s="2" t="s">
        <v>42</v>
      </c>
      <c r="K2526" s="2" t="s">
        <v>3019</v>
      </c>
      <c r="L2526" t="s">
        <v>25</v>
      </c>
      <c r="M2526" s="8">
        <v>1.0693333330000001</v>
      </c>
      <c r="N2526" t="s">
        <v>26</v>
      </c>
      <c r="O2526" s="8">
        <v>1.0693333330000001</v>
      </c>
      <c r="P2526" s="8">
        <f>EXP(-1.363+3.366*LOG(O2526,10))</f>
        <v>0.28223780327142356</v>
      </c>
      <c r="Q2526" s="8">
        <f>(1955155*100)/2180255</f>
        <v>89.67551960665152</v>
      </c>
    </row>
    <row r="2527" spans="1:17" x14ac:dyDescent="0.2">
      <c r="A2527">
        <f>YEAR(D2527)</f>
        <v>2019</v>
      </c>
      <c r="B2527" t="s">
        <v>26</v>
      </c>
      <c r="C2527" s="2" t="s">
        <v>3020</v>
      </c>
      <c r="D2527" s="1">
        <v>43598</v>
      </c>
      <c r="E2527">
        <f>MONTH(D2527)</f>
        <v>5</v>
      </c>
      <c r="F2527" s="2" t="s">
        <v>2098</v>
      </c>
      <c r="G2527" t="s">
        <v>219</v>
      </c>
      <c r="H2527" t="s">
        <v>220</v>
      </c>
      <c r="I2527" t="s">
        <v>22</v>
      </c>
      <c r="J2527" s="2" t="s">
        <v>42</v>
      </c>
      <c r="K2527" s="2" t="s">
        <v>3019</v>
      </c>
      <c r="L2527" t="s">
        <v>25</v>
      </c>
      <c r="M2527" s="10" t="s">
        <v>26</v>
      </c>
      <c r="N2527" t="s">
        <v>26</v>
      </c>
      <c r="O2527" s="10" t="s">
        <v>26</v>
      </c>
      <c r="P2527" s="8" t="s">
        <v>26</v>
      </c>
      <c r="Q2527" s="8">
        <f>(3359412*100)/3462762</f>
        <v>97.015388294084318</v>
      </c>
    </row>
    <row r="2528" spans="1:17" x14ac:dyDescent="0.2">
      <c r="A2528">
        <f>YEAR(D2528)</f>
        <v>2019</v>
      </c>
      <c r="B2528" t="s">
        <v>26</v>
      </c>
      <c r="C2528" s="2" t="s">
        <v>3020</v>
      </c>
      <c r="D2528" s="1">
        <v>43598</v>
      </c>
      <c r="E2528">
        <f>MONTH(D2528)</f>
        <v>5</v>
      </c>
      <c r="F2528" s="2" t="s">
        <v>2098</v>
      </c>
      <c r="G2528" t="s">
        <v>1532</v>
      </c>
      <c r="H2528" t="s">
        <v>1533</v>
      </c>
      <c r="I2528" t="s">
        <v>22</v>
      </c>
      <c r="J2528" s="2" t="s">
        <v>42</v>
      </c>
      <c r="K2528" s="2" t="s">
        <v>3019</v>
      </c>
      <c r="L2528" t="s">
        <v>25</v>
      </c>
      <c r="M2528" s="8">
        <v>3.08</v>
      </c>
      <c r="N2528" t="s">
        <v>26</v>
      </c>
      <c r="O2528" s="8">
        <v>3.08</v>
      </c>
      <c r="P2528" s="8">
        <f>EXP(-1.363+3.366*LOG(O2528,10))</f>
        <v>1.3250652609076723</v>
      </c>
      <c r="Q2528" s="8">
        <f>(3359412*100)/3462762</f>
        <v>97.015388294084318</v>
      </c>
    </row>
    <row r="2529" spans="1:17" x14ac:dyDescent="0.2">
      <c r="A2529">
        <f>YEAR(D2529)</f>
        <v>2019</v>
      </c>
      <c r="B2529" t="s">
        <v>26</v>
      </c>
      <c r="C2529" s="2" t="s">
        <v>3020</v>
      </c>
      <c r="D2529" s="1">
        <v>43598</v>
      </c>
      <c r="E2529">
        <f>MONTH(D2529)</f>
        <v>5</v>
      </c>
      <c r="F2529" s="2" t="s">
        <v>2098</v>
      </c>
      <c r="G2529" t="s">
        <v>1532</v>
      </c>
      <c r="H2529" t="s">
        <v>1533</v>
      </c>
      <c r="I2529" t="s">
        <v>22</v>
      </c>
      <c r="J2529" s="2" t="s">
        <v>42</v>
      </c>
      <c r="K2529" s="2" t="s">
        <v>3019</v>
      </c>
      <c r="L2529" t="s">
        <v>25</v>
      </c>
      <c r="M2529" s="8">
        <v>3.08</v>
      </c>
      <c r="N2529" t="s">
        <v>26</v>
      </c>
      <c r="O2529" s="8">
        <v>3.08</v>
      </c>
      <c r="P2529" s="8">
        <f>EXP(-1.363+3.366*LOG(O2529,10))</f>
        <v>1.3250652609076723</v>
      </c>
      <c r="Q2529" s="8">
        <f>(3359412*100)/3462762</f>
        <v>97.015388294084318</v>
      </c>
    </row>
    <row r="2530" spans="1:17" x14ac:dyDescent="0.2">
      <c r="A2530">
        <f>YEAR(D2530)</f>
        <v>2019</v>
      </c>
      <c r="B2530" t="s">
        <v>26</v>
      </c>
      <c r="C2530" s="2" t="s">
        <v>3020</v>
      </c>
      <c r="D2530" s="1">
        <v>43598</v>
      </c>
      <c r="E2530">
        <f>MONTH(D2530)</f>
        <v>5</v>
      </c>
      <c r="F2530" s="2" t="s">
        <v>2098</v>
      </c>
      <c r="G2530" t="s">
        <v>230</v>
      </c>
      <c r="H2530" t="s">
        <v>268</v>
      </c>
      <c r="I2530" t="s">
        <v>22</v>
      </c>
      <c r="J2530" s="2" t="s">
        <v>42</v>
      </c>
      <c r="K2530" s="2" t="s">
        <v>3019</v>
      </c>
      <c r="L2530" t="s">
        <v>25</v>
      </c>
      <c r="M2530" s="8">
        <v>3.5356666670000001</v>
      </c>
      <c r="N2530" t="s">
        <v>26</v>
      </c>
      <c r="O2530" s="8">
        <v>3.5356666670000001</v>
      </c>
      <c r="P2530" s="8">
        <f>EXP(-1.363+3.366*LOG(O2530,10))</f>
        <v>1.6211802664427075</v>
      </c>
      <c r="Q2530" s="8">
        <f>(3359412*100)/3462762</f>
        <v>97.015388294084318</v>
      </c>
    </row>
    <row r="2531" spans="1:17" x14ac:dyDescent="0.2">
      <c r="A2531">
        <f>YEAR(D2531)</f>
        <v>2019</v>
      </c>
      <c r="B2531" t="s">
        <v>26</v>
      </c>
      <c r="C2531" s="2" t="s">
        <v>3020</v>
      </c>
      <c r="D2531" s="1">
        <v>43598</v>
      </c>
      <c r="E2531">
        <f>MONTH(D2531)</f>
        <v>5</v>
      </c>
      <c r="F2531" s="2" t="s">
        <v>2098</v>
      </c>
      <c r="G2531" t="s">
        <v>352</v>
      </c>
      <c r="H2531" t="s">
        <v>975</v>
      </c>
      <c r="I2531" t="s">
        <v>22</v>
      </c>
      <c r="J2531" s="2" t="s">
        <v>42</v>
      </c>
      <c r="K2531" s="2" t="s">
        <v>3019</v>
      </c>
      <c r="L2531" t="s">
        <v>25</v>
      </c>
      <c r="M2531" s="8">
        <v>1.0693333330000001</v>
      </c>
      <c r="N2531" t="s">
        <v>26</v>
      </c>
      <c r="O2531" s="8">
        <v>1.0693333330000001</v>
      </c>
      <c r="P2531" s="8">
        <f>EXP(-1.363+3.366*LOG(O2531,10))</f>
        <v>0.28223780327142356</v>
      </c>
      <c r="Q2531" s="8">
        <f>(3359412*100)/3462762</f>
        <v>97.015388294084318</v>
      </c>
    </row>
    <row r="2532" spans="1:17" x14ac:dyDescent="0.2">
      <c r="A2532">
        <f>YEAR(D2532)</f>
        <v>2019</v>
      </c>
      <c r="B2532" t="s">
        <v>26</v>
      </c>
      <c r="C2532" s="2" t="s">
        <v>3020</v>
      </c>
      <c r="D2532" s="1">
        <v>43598</v>
      </c>
      <c r="E2532">
        <f>MONTH(D2532)</f>
        <v>5</v>
      </c>
      <c r="F2532" s="2" t="s">
        <v>2098</v>
      </c>
      <c r="G2532" t="s">
        <v>219</v>
      </c>
      <c r="H2532" t="s">
        <v>220</v>
      </c>
      <c r="I2532" t="s">
        <v>22</v>
      </c>
      <c r="J2532" s="2" t="s">
        <v>42</v>
      </c>
      <c r="K2532" s="2" t="s">
        <v>3019</v>
      </c>
      <c r="L2532" t="s">
        <v>25</v>
      </c>
      <c r="M2532" s="10" t="s">
        <v>26</v>
      </c>
      <c r="N2532" t="s">
        <v>26</v>
      </c>
      <c r="O2532" s="10" t="s">
        <v>26</v>
      </c>
      <c r="P2532" s="8" t="s">
        <v>26</v>
      </c>
      <c r="Q2532" s="8">
        <f>(3359412*100)/3462762</f>
        <v>97.015388294084318</v>
      </c>
    </row>
    <row r="2533" spans="1:17" x14ac:dyDescent="0.2">
      <c r="A2533">
        <f>YEAR(D2533)</f>
        <v>2019</v>
      </c>
      <c r="B2533" t="s">
        <v>26</v>
      </c>
      <c r="C2533" s="2" t="s">
        <v>3020</v>
      </c>
      <c r="D2533" s="1">
        <v>43598</v>
      </c>
      <c r="E2533">
        <f>MONTH(D2533)</f>
        <v>5</v>
      </c>
      <c r="F2533" s="2" t="s">
        <v>2098</v>
      </c>
      <c r="G2533" t="s">
        <v>219</v>
      </c>
      <c r="H2533" t="s">
        <v>220</v>
      </c>
      <c r="I2533" t="s">
        <v>22</v>
      </c>
      <c r="J2533" s="2" t="s">
        <v>42</v>
      </c>
      <c r="K2533" s="2" t="s">
        <v>3019</v>
      </c>
      <c r="L2533" t="s">
        <v>25</v>
      </c>
      <c r="M2533" s="10" t="s">
        <v>26</v>
      </c>
      <c r="N2533" t="s">
        <v>26</v>
      </c>
      <c r="O2533" s="10" t="s">
        <v>26</v>
      </c>
      <c r="P2533" s="8" t="s">
        <v>26</v>
      </c>
      <c r="Q2533" s="8">
        <f>(3359412*100)/3462762</f>
        <v>97.015388294084318</v>
      </c>
    </row>
    <row r="2534" spans="1:17" x14ac:dyDescent="0.2">
      <c r="A2534">
        <f>YEAR(D2534)</f>
        <v>2019</v>
      </c>
      <c r="B2534" t="s">
        <v>26</v>
      </c>
      <c r="C2534" s="2" t="s">
        <v>3020</v>
      </c>
      <c r="D2534" s="1">
        <v>43598</v>
      </c>
      <c r="E2534">
        <f>MONTH(D2534)</f>
        <v>5</v>
      </c>
      <c r="F2534" s="2" t="s">
        <v>2098</v>
      </c>
      <c r="G2534" t="s">
        <v>219</v>
      </c>
      <c r="H2534" t="s">
        <v>220</v>
      </c>
      <c r="I2534" t="s">
        <v>22</v>
      </c>
      <c r="J2534" s="2" t="s">
        <v>42</v>
      </c>
      <c r="K2534" s="2" t="s">
        <v>3019</v>
      </c>
      <c r="L2534" t="s">
        <v>25</v>
      </c>
      <c r="M2534" s="10" t="s">
        <v>26</v>
      </c>
      <c r="N2534" t="s">
        <v>26</v>
      </c>
      <c r="O2534" s="10" t="s">
        <v>26</v>
      </c>
      <c r="P2534" s="8" t="s">
        <v>26</v>
      </c>
      <c r="Q2534" s="8">
        <f>(3359412*100)/3462762</f>
        <v>97.015388294084318</v>
      </c>
    </row>
    <row r="2535" spans="1:17" x14ac:dyDescent="0.2">
      <c r="A2535">
        <f>YEAR(D2535)</f>
        <v>2019</v>
      </c>
      <c r="B2535" t="s">
        <v>26</v>
      </c>
      <c r="C2535" s="2" t="s">
        <v>3020</v>
      </c>
      <c r="D2535" s="1">
        <v>43598</v>
      </c>
      <c r="E2535">
        <f>MONTH(D2535)</f>
        <v>5</v>
      </c>
      <c r="F2535" s="2" t="s">
        <v>2098</v>
      </c>
      <c r="G2535" t="s">
        <v>219</v>
      </c>
      <c r="H2535" t="s">
        <v>220</v>
      </c>
      <c r="I2535" t="s">
        <v>22</v>
      </c>
      <c r="J2535" s="2" t="s">
        <v>42</v>
      </c>
      <c r="K2535" s="2" t="s">
        <v>3019</v>
      </c>
      <c r="L2535" t="s">
        <v>25</v>
      </c>
      <c r="M2535" s="10" t="s">
        <v>26</v>
      </c>
      <c r="N2535" t="s">
        <v>26</v>
      </c>
      <c r="O2535" s="10" t="s">
        <v>26</v>
      </c>
      <c r="P2535" s="8" t="s">
        <v>26</v>
      </c>
      <c r="Q2535" s="8">
        <f>(3359412*100)/3462762</f>
        <v>97.015388294084318</v>
      </c>
    </row>
    <row r="2536" spans="1:17" x14ac:dyDescent="0.2">
      <c r="A2536">
        <f>YEAR(D2536)</f>
        <v>2019</v>
      </c>
      <c r="B2536" t="s">
        <v>26</v>
      </c>
      <c r="C2536" s="2" t="s">
        <v>3020</v>
      </c>
      <c r="D2536" s="1">
        <v>43598</v>
      </c>
      <c r="E2536">
        <f>MONTH(D2536)</f>
        <v>5</v>
      </c>
      <c r="F2536" s="2" t="s">
        <v>2098</v>
      </c>
      <c r="G2536" t="s">
        <v>219</v>
      </c>
      <c r="H2536" t="s">
        <v>220</v>
      </c>
      <c r="I2536" t="s">
        <v>22</v>
      </c>
      <c r="J2536" s="2" t="s">
        <v>42</v>
      </c>
      <c r="K2536" s="2" t="s">
        <v>3019</v>
      </c>
      <c r="L2536" t="s">
        <v>25</v>
      </c>
      <c r="M2536" s="10" t="s">
        <v>26</v>
      </c>
      <c r="N2536" t="s">
        <v>26</v>
      </c>
      <c r="O2536" s="10" t="s">
        <v>26</v>
      </c>
      <c r="P2536" s="8" t="s">
        <v>26</v>
      </c>
      <c r="Q2536" s="8">
        <f>(3359412*100)/3462762</f>
        <v>97.015388294084318</v>
      </c>
    </row>
    <row r="2537" spans="1:17" x14ac:dyDescent="0.2">
      <c r="A2537">
        <f>YEAR(D2537)</f>
        <v>2019</v>
      </c>
      <c r="B2537" t="s">
        <v>26</v>
      </c>
      <c r="C2537" s="2" t="s">
        <v>3020</v>
      </c>
      <c r="D2537" s="1">
        <v>43598</v>
      </c>
      <c r="E2537">
        <f>MONTH(D2537)</f>
        <v>5</v>
      </c>
      <c r="F2537" s="2" t="s">
        <v>2098</v>
      </c>
      <c r="G2537" t="s">
        <v>219</v>
      </c>
      <c r="H2537" t="s">
        <v>220</v>
      </c>
      <c r="I2537" t="s">
        <v>22</v>
      </c>
      <c r="J2537" s="2" t="s">
        <v>42</v>
      </c>
      <c r="K2537" s="2" t="s">
        <v>3019</v>
      </c>
      <c r="L2537" t="s">
        <v>25</v>
      </c>
      <c r="M2537" s="10" t="s">
        <v>26</v>
      </c>
      <c r="N2537" t="s">
        <v>26</v>
      </c>
      <c r="O2537" s="10" t="s">
        <v>26</v>
      </c>
      <c r="P2537" s="8" t="s">
        <v>26</v>
      </c>
      <c r="Q2537" s="8">
        <f>(3359412*100)/3462762</f>
        <v>97.015388294084318</v>
      </c>
    </row>
    <row r="2538" spans="1:17" x14ac:dyDescent="0.2">
      <c r="A2538">
        <f>YEAR(D2538)</f>
        <v>2019</v>
      </c>
      <c r="B2538" t="s">
        <v>26</v>
      </c>
      <c r="C2538" s="2" t="s">
        <v>3020</v>
      </c>
      <c r="D2538" s="1">
        <v>43598</v>
      </c>
      <c r="E2538">
        <f>MONTH(D2538)</f>
        <v>5</v>
      </c>
      <c r="F2538" s="2" t="s">
        <v>2098</v>
      </c>
      <c r="G2538" s="2" t="s">
        <v>20</v>
      </c>
      <c r="H2538" t="s">
        <v>45</v>
      </c>
      <c r="I2538" t="s">
        <v>22</v>
      </c>
      <c r="J2538" s="2" t="s">
        <v>42</v>
      </c>
      <c r="K2538" s="2" t="s">
        <v>3019</v>
      </c>
      <c r="L2538" t="s">
        <v>25</v>
      </c>
      <c r="M2538" s="8">
        <v>1.903333333</v>
      </c>
      <c r="N2538" t="s">
        <v>26</v>
      </c>
      <c r="O2538" s="8">
        <v>1.903333333</v>
      </c>
      <c r="P2538" s="8">
        <f>EXP(-1.363+3.366*LOG(O2538,10))</f>
        <v>0.65563371760507783</v>
      </c>
      <c r="Q2538" s="8">
        <f>(3359412*100)/3462762</f>
        <v>97.015388294084318</v>
      </c>
    </row>
    <row r="2539" spans="1:17" x14ac:dyDescent="0.2">
      <c r="A2539">
        <f>YEAR(D2539)</f>
        <v>2019</v>
      </c>
      <c r="B2539" t="s">
        <v>26</v>
      </c>
      <c r="C2539" s="2" t="s">
        <v>3020</v>
      </c>
      <c r="D2539" s="1">
        <v>43598</v>
      </c>
      <c r="E2539">
        <f>MONTH(D2539)</f>
        <v>5</v>
      </c>
      <c r="F2539" s="2" t="s">
        <v>2098</v>
      </c>
      <c r="G2539" t="s">
        <v>1532</v>
      </c>
      <c r="H2539" t="s">
        <v>1533</v>
      </c>
      <c r="I2539" t="s">
        <v>36</v>
      </c>
      <c r="J2539" s="2" t="s">
        <v>42</v>
      </c>
      <c r="K2539" s="2" t="s">
        <v>3019</v>
      </c>
      <c r="L2539" t="s">
        <v>25</v>
      </c>
      <c r="M2539" s="8">
        <v>2.63</v>
      </c>
      <c r="N2539" t="s">
        <v>26</v>
      </c>
      <c r="O2539" s="8">
        <v>2.63</v>
      </c>
      <c r="P2539" s="8">
        <f>EXP(-1.363+3.366*LOG(O2539,10))</f>
        <v>1.0518715955632558</v>
      </c>
      <c r="Q2539" s="8">
        <f>(3359412*100)/3462762</f>
        <v>97.015388294084318</v>
      </c>
    </row>
    <row r="2540" spans="1:17" x14ac:dyDescent="0.2">
      <c r="A2540">
        <f>YEAR(D2540)</f>
        <v>2019</v>
      </c>
      <c r="B2540" t="s">
        <v>26</v>
      </c>
      <c r="C2540" s="2" t="s">
        <v>3020</v>
      </c>
      <c r="D2540" s="1">
        <v>43598</v>
      </c>
      <c r="E2540">
        <f>MONTH(D2540)</f>
        <v>5</v>
      </c>
      <c r="F2540" s="2" t="s">
        <v>2098</v>
      </c>
      <c r="G2540" t="s">
        <v>362</v>
      </c>
      <c r="H2540" t="s">
        <v>447</v>
      </c>
      <c r="I2540" t="s">
        <v>22</v>
      </c>
      <c r="J2540" s="2" t="s">
        <v>42</v>
      </c>
      <c r="K2540" s="2" t="s">
        <v>3019</v>
      </c>
      <c r="L2540" t="s">
        <v>25</v>
      </c>
      <c r="M2540" s="8">
        <v>1.421</v>
      </c>
      <c r="N2540" t="s">
        <v>26</v>
      </c>
      <c r="O2540" s="8">
        <v>1.421</v>
      </c>
      <c r="P2540" s="8">
        <f>EXP(-1.363+3.366*LOG(O2540,10))</f>
        <v>0.42768500084673816</v>
      </c>
      <c r="Q2540" s="8">
        <f>(3359412*100)/3462762</f>
        <v>97.015388294084318</v>
      </c>
    </row>
    <row r="2541" spans="1:17" x14ac:dyDescent="0.2">
      <c r="A2541">
        <f>YEAR(D2541)</f>
        <v>2019</v>
      </c>
      <c r="B2541" t="s">
        <v>26</v>
      </c>
      <c r="C2541" s="2" t="s">
        <v>3020</v>
      </c>
      <c r="D2541" s="1">
        <v>43598</v>
      </c>
      <c r="E2541">
        <f>MONTH(D2541)</f>
        <v>5</v>
      </c>
      <c r="F2541" s="2" t="s">
        <v>2098</v>
      </c>
      <c r="G2541" t="s">
        <v>20</v>
      </c>
      <c r="H2541" t="s">
        <v>149</v>
      </c>
      <c r="I2541" t="s">
        <v>22</v>
      </c>
      <c r="J2541" s="2" t="s">
        <v>42</v>
      </c>
      <c r="K2541" s="2" t="s">
        <v>3019</v>
      </c>
      <c r="L2541" t="s">
        <v>25</v>
      </c>
      <c r="M2541" s="8">
        <v>1.45</v>
      </c>
      <c r="N2541" t="s">
        <v>26</v>
      </c>
      <c r="O2541" s="8">
        <v>1.45</v>
      </c>
      <c r="P2541" s="8">
        <f>EXP(-1.363+3.366*LOG(O2541,10))</f>
        <v>0.44050419760124854</v>
      </c>
      <c r="Q2541" s="8">
        <f>(3359412*100)/3462762</f>
        <v>97.015388294084318</v>
      </c>
    </row>
    <row r="2542" spans="1:17" x14ac:dyDescent="0.2">
      <c r="A2542">
        <f>YEAR(D2542)</f>
        <v>2019</v>
      </c>
      <c r="B2542" t="s">
        <v>26</v>
      </c>
      <c r="C2542" s="2" t="s">
        <v>3020</v>
      </c>
      <c r="D2542" s="1">
        <v>43598</v>
      </c>
      <c r="E2542">
        <f>MONTH(D2542)</f>
        <v>5</v>
      </c>
      <c r="F2542" s="2" t="s">
        <v>2098</v>
      </c>
      <c r="G2542" t="s">
        <v>230</v>
      </c>
      <c r="H2542" t="s">
        <v>268</v>
      </c>
      <c r="I2542" t="s">
        <v>22</v>
      </c>
      <c r="J2542" s="2" t="s">
        <v>42</v>
      </c>
      <c r="K2542" s="2" t="s">
        <v>3019</v>
      </c>
      <c r="L2542" t="s">
        <v>25</v>
      </c>
      <c r="M2542" s="8">
        <v>3.5356666670000001</v>
      </c>
      <c r="N2542" t="s">
        <v>26</v>
      </c>
      <c r="O2542" s="8">
        <v>3.5356666670000001</v>
      </c>
      <c r="P2542" s="8">
        <f>EXP(-1.363+3.366*LOG(O2542,10))</f>
        <v>1.6211802664427075</v>
      </c>
      <c r="Q2542" s="8">
        <f>(3359412*100)/3462762</f>
        <v>97.015388294084318</v>
      </c>
    </row>
    <row r="2543" spans="1:17" x14ac:dyDescent="0.2">
      <c r="A2543">
        <f>YEAR(D2543)</f>
        <v>2019</v>
      </c>
      <c r="B2543" t="s">
        <v>26</v>
      </c>
      <c r="C2543" s="2" t="s">
        <v>3020</v>
      </c>
      <c r="D2543" s="1">
        <v>43598</v>
      </c>
      <c r="E2543">
        <f>MONTH(D2543)</f>
        <v>5</v>
      </c>
      <c r="F2543" s="2" t="s">
        <v>2098</v>
      </c>
      <c r="G2543" t="s">
        <v>230</v>
      </c>
      <c r="H2543" t="s">
        <v>268</v>
      </c>
      <c r="I2543" t="s">
        <v>22</v>
      </c>
      <c r="J2543" s="2" t="s">
        <v>42</v>
      </c>
      <c r="K2543" s="2" t="s">
        <v>3019</v>
      </c>
      <c r="L2543" t="s">
        <v>25</v>
      </c>
      <c r="M2543" s="8">
        <v>3.5356666670000001</v>
      </c>
      <c r="N2543" t="s">
        <v>26</v>
      </c>
      <c r="O2543" s="8">
        <v>3.5356666670000001</v>
      </c>
      <c r="P2543" s="8">
        <f>EXP(-1.363+3.366*LOG(O2543,10))</f>
        <v>1.6211802664427075</v>
      </c>
      <c r="Q2543" s="8">
        <f>(3359412*100)/3462762</f>
        <v>97.015388294084318</v>
      </c>
    </row>
    <row r="2544" spans="1:17" x14ac:dyDescent="0.2">
      <c r="A2544">
        <f>YEAR(D2544)</f>
        <v>2019</v>
      </c>
      <c r="B2544" t="s">
        <v>26</v>
      </c>
      <c r="C2544" s="2" t="s">
        <v>3020</v>
      </c>
      <c r="D2544" s="1">
        <v>43598</v>
      </c>
      <c r="E2544">
        <f>MONTH(D2544)</f>
        <v>5</v>
      </c>
      <c r="F2544" s="2" t="s">
        <v>2098</v>
      </c>
      <c r="G2544" t="s">
        <v>230</v>
      </c>
      <c r="H2544" t="s">
        <v>259</v>
      </c>
      <c r="I2544" t="s">
        <v>22</v>
      </c>
      <c r="J2544" s="2" t="s">
        <v>42</v>
      </c>
      <c r="K2544" s="2" t="s">
        <v>3019</v>
      </c>
      <c r="L2544" t="s">
        <v>25</v>
      </c>
      <c r="M2544" s="8">
        <v>4.2283333330000001</v>
      </c>
      <c r="N2544" t="s">
        <v>26</v>
      </c>
      <c r="O2544" s="8">
        <v>4.2283333330000001</v>
      </c>
      <c r="P2544" s="8">
        <f>EXP(-1.363+3.366*LOG(O2544,10))</f>
        <v>2.1057792396965977</v>
      </c>
      <c r="Q2544" s="8">
        <f>(3359412*100)/3462762</f>
        <v>97.015388294084318</v>
      </c>
    </row>
    <row r="2545" spans="1:17" x14ac:dyDescent="0.2">
      <c r="A2545">
        <f>YEAR(D2545)</f>
        <v>2019</v>
      </c>
      <c r="B2545" t="s">
        <v>26</v>
      </c>
      <c r="C2545" s="2" t="s">
        <v>3020</v>
      </c>
      <c r="D2545" s="1">
        <v>43598</v>
      </c>
      <c r="E2545">
        <f>MONTH(D2545)</f>
        <v>5</v>
      </c>
      <c r="F2545" s="2" t="s">
        <v>2098</v>
      </c>
      <c r="G2545" t="s">
        <v>230</v>
      </c>
      <c r="H2545" t="s">
        <v>259</v>
      </c>
      <c r="I2545" t="s">
        <v>22</v>
      </c>
      <c r="J2545" s="2" t="s">
        <v>42</v>
      </c>
      <c r="K2545" s="2" t="s">
        <v>3019</v>
      </c>
      <c r="L2545" t="s">
        <v>25</v>
      </c>
      <c r="M2545" s="8">
        <v>4.2283333330000001</v>
      </c>
      <c r="N2545" t="s">
        <v>26</v>
      </c>
      <c r="O2545" s="8">
        <v>4.2283333330000001</v>
      </c>
      <c r="P2545" s="8">
        <f>EXP(-1.363+3.366*LOG(O2545,10))</f>
        <v>2.1057792396965977</v>
      </c>
      <c r="Q2545" s="8">
        <f>(3359412*100)/3462762</f>
        <v>97.015388294084318</v>
      </c>
    </row>
    <row r="2546" spans="1:17" x14ac:dyDescent="0.2">
      <c r="A2546">
        <f>YEAR(D2546)</f>
        <v>2019</v>
      </c>
      <c r="B2546" t="s">
        <v>26</v>
      </c>
      <c r="C2546" s="2" t="s">
        <v>3020</v>
      </c>
      <c r="D2546" s="1">
        <v>43598</v>
      </c>
      <c r="E2546">
        <f>MONTH(D2546)</f>
        <v>5</v>
      </c>
      <c r="F2546" s="2" t="s">
        <v>2098</v>
      </c>
      <c r="G2546" t="s">
        <v>230</v>
      </c>
      <c r="H2546" t="s">
        <v>259</v>
      </c>
      <c r="I2546" t="s">
        <v>22</v>
      </c>
      <c r="J2546" s="2" t="s">
        <v>42</v>
      </c>
      <c r="K2546" s="2" t="s">
        <v>3019</v>
      </c>
      <c r="L2546" t="s">
        <v>25</v>
      </c>
      <c r="M2546" s="8">
        <v>4.2283333330000001</v>
      </c>
      <c r="N2546" t="s">
        <v>26</v>
      </c>
      <c r="O2546" s="8">
        <v>4.2283333330000001</v>
      </c>
      <c r="P2546" s="8">
        <f>EXP(-1.363+3.366*LOG(O2546,10))</f>
        <v>2.1057792396965977</v>
      </c>
      <c r="Q2546" s="8">
        <f>(3359412*100)/3462762</f>
        <v>97.015388294084318</v>
      </c>
    </row>
    <row r="2547" spans="1:17" x14ac:dyDescent="0.2">
      <c r="A2547">
        <f>YEAR(D2547)</f>
        <v>2019</v>
      </c>
      <c r="B2547" t="s">
        <v>26</v>
      </c>
      <c r="C2547" s="2" t="s">
        <v>3020</v>
      </c>
      <c r="D2547" s="1">
        <v>43598</v>
      </c>
      <c r="E2547">
        <f>MONTH(D2547)</f>
        <v>5</v>
      </c>
      <c r="F2547" s="2" t="s">
        <v>2098</v>
      </c>
      <c r="G2547" t="s">
        <v>1532</v>
      </c>
      <c r="H2547" t="s">
        <v>1533</v>
      </c>
      <c r="I2547" t="s">
        <v>22</v>
      </c>
      <c r="J2547" s="2" t="s">
        <v>42</v>
      </c>
      <c r="K2547" s="2" t="s">
        <v>3019</v>
      </c>
      <c r="L2547" t="s">
        <v>25</v>
      </c>
      <c r="M2547" s="8">
        <v>3.08</v>
      </c>
      <c r="N2547" t="s">
        <v>26</v>
      </c>
      <c r="O2547" s="8">
        <v>3.08</v>
      </c>
      <c r="P2547" s="8">
        <f>EXP(-1.363+3.366*LOG(O2547,10))</f>
        <v>1.3250652609076723</v>
      </c>
      <c r="Q2547" s="8">
        <f>(3359412*100)/3462762</f>
        <v>97.015388294084318</v>
      </c>
    </row>
    <row r="2548" spans="1:17" x14ac:dyDescent="0.2">
      <c r="A2548">
        <f>YEAR(D2548)</f>
        <v>2019</v>
      </c>
      <c r="B2548" t="s">
        <v>26</v>
      </c>
      <c r="C2548" s="2" t="s">
        <v>3020</v>
      </c>
      <c r="D2548" s="1">
        <v>43598</v>
      </c>
      <c r="E2548">
        <f>MONTH(D2548)</f>
        <v>5</v>
      </c>
      <c r="F2548" s="2" t="s">
        <v>2098</v>
      </c>
      <c r="G2548" t="s">
        <v>219</v>
      </c>
      <c r="H2548" t="s">
        <v>220</v>
      </c>
      <c r="I2548" t="s">
        <v>22</v>
      </c>
      <c r="J2548" s="2" t="s">
        <v>42</v>
      </c>
      <c r="K2548" s="2" t="s">
        <v>3019</v>
      </c>
      <c r="L2548" t="s">
        <v>25</v>
      </c>
      <c r="M2548" s="10" t="s">
        <v>26</v>
      </c>
      <c r="N2548" t="s">
        <v>26</v>
      </c>
      <c r="O2548" s="10" t="s">
        <v>26</v>
      </c>
      <c r="P2548" s="8" t="s">
        <v>26</v>
      </c>
      <c r="Q2548" s="8">
        <f>(3359412*100)/3462762</f>
        <v>97.015388294084318</v>
      </c>
    </row>
    <row r="2549" spans="1:17" x14ac:dyDescent="0.2">
      <c r="A2549">
        <f>YEAR(D2549)</f>
        <v>2019</v>
      </c>
      <c r="B2549" t="s">
        <v>26</v>
      </c>
      <c r="C2549" s="2" t="s">
        <v>3020</v>
      </c>
      <c r="D2549" s="1">
        <v>43598</v>
      </c>
      <c r="E2549">
        <f>MONTH(D2549)</f>
        <v>5</v>
      </c>
      <c r="F2549" s="2" t="s">
        <v>2098</v>
      </c>
      <c r="G2549" t="s">
        <v>219</v>
      </c>
      <c r="H2549" t="s">
        <v>220</v>
      </c>
      <c r="I2549" t="s">
        <v>22</v>
      </c>
      <c r="J2549" s="2" t="s">
        <v>42</v>
      </c>
      <c r="K2549" s="2" t="s">
        <v>3019</v>
      </c>
      <c r="L2549" t="s">
        <v>25</v>
      </c>
      <c r="M2549" s="10" t="s">
        <v>26</v>
      </c>
      <c r="N2549" t="s">
        <v>26</v>
      </c>
      <c r="O2549" s="10" t="s">
        <v>26</v>
      </c>
      <c r="P2549" s="8" t="s">
        <v>26</v>
      </c>
      <c r="Q2549" s="8">
        <f>(3359412*100)/3462762</f>
        <v>97.015388294084318</v>
      </c>
    </row>
    <row r="2550" spans="1:17" x14ac:dyDescent="0.2">
      <c r="A2550">
        <f>YEAR(D2550)</f>
        <v>2019</v>
      </c>
      <c r="B2550" t="s">
        <v>26</v>
      </c>
      <c r="C2550" s="2" t="s">
        <v>3020</v>
      </c>
      <c r="D2550" s="1">
        <v>43598</v>
      </c>
      <c r="E2550">
        <f>MONTH(D2550)</f>
        <v>5</v>
      </c>
      <c r="F2550" s="2" t="s">
        <v>2098</v>
      </c>
      <c r="G2550" t="s">
        <v>219</v>
      </c>
      <c r="H2550" t="s">
        <v>220</v>
      </c>
      <c r="I2550" t="s">
        <v>22</v>
      </c>
      <c r="J2550" s="2" t="s">
        <v>42</v>
      </c>
      <c r="K2550" s="2" t="s">
        <v>3019</v>
      </c>
      <c r="L2550" t="s">
        <v>25</v>
      </c>
      <c r="M2550" s="10" t="s">
        <v>26</v>
      </c>
      <c r="N2550" t="s">
        <v>26</v>
      </c>
      <c r="O2550" s="10" t="s">
        <v>26</v>
      </c>
      <c r="P2550" s="8" t="s">
        <v>26</v>
      </c>
      <c r="Q2550" s="8">
        <f>(3359412*100)/3462762</f>
        <v>97.015388294084318</v>
      </c>
    </row>
    <row r="2551" spans="1:17" x14ac:dyDescent="0.2">
      <c r="A2551">
        <f>YEAR(D2551)</f>
        <v>2019</v>
      </c>
      <c r="B2551" t="s">
        <v>26</v>
      </c>
      <c r="C2551" s="2" t="s">
        <v>3020</v>
      </c>
      <c r="D2551" s="1">
        <v>43598</v>
      </c>
      <c r="E2551">
        <f>MONTH(D2551)</f>
        <v>5</v>
      </c>
      <c r="F2551" s="2" t="s">
        <v>2098</v>
      </c>
      <c r="G2551" t="s">
        <v>219</v>
      </c>
      <c r="H2551" t="s">
        <v>220</v>
      </c>
      <c r="I2551" t="s">
        <v>22</v>
      </c>
      <c r="J2551" s="2" t="s">
        <v>42</v>
      </c>
      <c r="K2551" s="2" t="s">
        <v>3019</v>
      </c>
      <c r="L2551" t="s">
        <v>25</v>
      </c>
      <c r="M2551" s="10" t="s">
        <v>26</v>
      </c>
      <c r="N2551" t="s">
        <v>26</v>
      </c>
      <c r="O2551" s="10" t="s">
        <v>26</v>
      </c>
      <c r="P2551" s="8" t="s">
        <v>26</v>
      </c>
      <c r="Q2551" s="8">
        <f>(3359412*100)/3462762</f>
        <v>97.015388294084318</v>
      </c>
    </row>
    <row r="2552" spans="1:17" x14ac:dyDescent="0.2">
      <c r="A2552">
        <f>YEAR(D2552)</f>
        <v>2019</v>
      </c>
      <c r="B2552" t="s">
        <v>26</v>
      </c>
      <c r="C2552" s="2" t="s">
        <v>3020</v>
      </c>
      <c r="D2552" s="1">
        <v>43598</v>
      </c>
      <c r="E2552">
        <f>MONTH(D2552)</f>
        <v>5</v>
      </c>
      <c r="F2552" s="2" t="s">
        <v>2098</v>
      </c>
      <c r="G2552" t="s">
        <v>219</v>
      </c>
      <c r="H2552" t="s">
        <v>220</v>
      </c>
      <c r="I2552" t="s">
        <v>22</v>
      </c>
      <c r="J2552" s="2" t="s">
        <v>42</v>
      </c>
      <c r="K2552" s="2" t="s">
        <v>3019</v>
      </c>
      <c r="L2552" t="s">
        <v>25</v>
      </c>
      <c r="M2552" s="10" t="s">
        <v>26</v>
      </c>
      <c r="N2552" t="s">
        <v>26</v>
      </c>
      <c r="O2552" s="10" t="s">
        <v>26</v>
      </c>
      <c r="P2552" s="8" t="s">
        <v>26</v>
      </c>
      <c r="Q2552" s="8">
        <f>(3359412*100)/3462762</f>
        <v>97.015388294084318</v>
      </c>
    </row>
    <row r="2553" spans="1:17" x14ac:dyDescent="0.2">
      <c r="A2553">
        <f>YEAR(D2553)</f>
        <v>2019</v>
      </c>
      <c r="B2553" t="s">
        <v>26</v>
      </c>
      <c r="C2553" s="2" t="s">
        <v>3020</v>
      </c>
      <c r="D2553" s="1">
        <v>43598</v>
      </c>
      <c r="E2553">
        <f>MONTH(D2553)</f>
        <v>5</v>
      </c>
      <c r="F2553" s="2" t="s">
        <v>2098</v>
      </c>
      <c r="G2553" t="s">
        <v>219</v>
      </c>
      <c r="H2553" t="s">
        <v>220</v>
      </c>
      <c r="I2553" t="s">
        <v>22</v>
      </c>
      <c r="J2553" s="2" t="s">
        <v>42</v>
      </c>
      <c r="K2553" s="2" t="s">
        <v>3019</v>
      </c>
      <c r="L2553" t="s">
        <v>25</v>
      </c>
      <c r="M2553" s="10" t="s">
        <v>26</v>
      </c>
      <c r="N2553" t="s">
        <v>26</v>
      </c>
      <c r="O2553" s="10" t="s">
        <v>26</v>
      </c>
      <c r="P2553" s="8" t="s">
        <v>26</v>
      </c>
      <c r="Q2553" s="8">
        <f>(3359412*100)/3462762</f>
        <v>97.015388294084318</v>
      </c>
    </row>
    <row r="2554" spans="1:17" x14ac:dyDescent="0.2">
      <c r="A2554">
        <f>YEAR(D2554)</f>
        <v>2019</v>
      </c>
      <c r="B2554" t="s">
        <v>26</v>
      </c>
      <c r="C2554" s="2" t="s">
        <v>3020</v>
      </c>
      <c r="D2554" s="1">
        <v>43598</v>
      </c>
      <c r="E2554">
        <f>MONTH(D2554)</f>
        <v>5</v>
      </c>
      <c r="F2554" s="2" t="s">
        <v>2098</v>
      </c>
      <c r="G2554" t="s">
        <v>219</v>
      </c>
      <c r="H2554" t="s">
        <v>220</v>
      </c>
      <c r="I2554" t="s">
        <v>22</v>
      </c>
      <c r="J2554" s="2" t="s">
        <v>42</v>
      </c>
      <c r="K2554" s="2" t="s">
        <v>3019</v>
      </c>
      <c r="L2554" t="s">
        <v>25</v>
      </c>
      <c r="M2554" s="10" t="s">
        <v>26</v>
      </c>
      <c r="N2554" t="s">
        <v>26</v>
      </c>
      <c r="O2554" s="10" t="s">
        <v>26</v>
      </c>
      <c r="P2554" s="8" t="s">
        <v>26</v>
      </c>
      <c r="Q2554" s="8">
        <f>(3359412*100)/3462762</f>
        <v>97.015388294084318</v>
      </c>
    </row>
    <row r="2555" spans="1:17" x14ac:dyDescent="0.2">
      <c r="A2555">
        <f>YEAR(D2555)</f>
        <v>2019</v>
      </c>
      <c r="B2555" t="s">
        <v>26</v>
      </c>
      <c r="C2555" s="2" t="s">
        <v>3020</v>
      </c>
      <c r="D2555" s="1">
        <v>43598</v>
      </c>
      <c r="E2555">
        <f>MONTH(D2555)</f>
        <v>5</v>
      </c>
      <c r="F2555" s="2" t="s">
        <v>2098</v>
      </c>
      <c r="G2555" t="s">
        <v>219</v>
      </c>
      <c r="H2555" t="s">
        <v>220</v>
      </c>
      <c r="I2555" t="s">
        <v>22</v>
      </c>
      <c r="J2555" s="2" t="s">
        <v>42</v>
      </c>
      <c r="K2555" s="2" t="s">
        <v>3019</v>
      </c>
      <c r="L2555" t="s">
        <v>25</v>
      </c>
      <c r="M2555" s="10" t="s">
        <v>26</v>
      </c>
      <c r="N2555" t="s">
        <v>26</v>
      </c>
      <c r="O2555" s="10" t="s">
        <v>26</v>
      </c>
      <c r="P2555" s="8" t="s">
        <v>26</v>
      </c>
      <c r="Q2555" s="8">
        <f>(3359412*100)/3462762</f>
        <v>97.015388294084318</v>
      </c>
    </row>
    <row r="2556" spans="1:17" x14ac:dyDescent="0.2">
      <c r="A2556">
        <f>YEAR(D2556)</f>
        <v>2019</v>
      </c>
      <c r="B2556" t="s">
        <v>26</v>
      </c>
      <c r="C2556" s="2" t="s">
        <v>3020</v>
      </c>
      <c r="D2556" s="1">
        <v>43598</v>
      </c>
      <c r="E2556">
        <f>MONTH(D2556)</f>
        <v>5</v>
      </c>
      <c r="F2556" s="2" t="s">
        <v>2098</v>
      </c>
      <c r="G2556" t="s">
        <v>219</v>
      </c>
      <c r="H2556" t="s">
        <v>220</v>
      </c>
      <c r="I2556" t="s">
        <v>22</v>
      </c>
      <c r="J2556" s="2" t="s">
        <v>42</v>
      </c>
      <c r="K2556" s="2" t="s">
        <v>3019</v>
      </c>
      <c r="L2556" t="s">
        <v>25</v>
      </c>
      <c r="M2556" s="10" t="s">
        <v>26</v>
      </c>
      <c r="N2556" t="s">
        <v>26</v>
      </c>
      <c r="O2556" s="10" t="s">
        <v>26</v>
      </c>
      <c r="P2556" s="8" t="s">
        <v>26</v>
      </c>
      <c r="Q2556" s="8">
        <f>(3359412*100)/3462762</f>
        <v>97.015388294084318</v>
      </c>
    </row>
    <row r="2557" spans="1:17" x14ac:dyDescent="0.2">
      <c r="A2557">
        <f>YEAR(D2557)</f>
        <v>2019</v>
      </c>
      <c r="B2557" t="s">
        <v>26</v>
      </c>
      <c r="C2557" s="2" t="s">
        <v>3020</v>
      </c>
      <c r="D2557" s="1">
        <v>43598</v>
      </c>
      <c r="E2557">
        <f>MONTH(D2557)</f>
        <v>5</v>
      </c>
      <c r="F2557" s="2" t="s">
        <v>2098</v>
      </c>
      <c r="G2557" t="s">
        <v>219</v>
      </c>
      <c r="H2557" t="s">
        <v>220</v>
      </c>
      <c r="I2557" t="s">
        <v>22</v>
      </c>
      <c r="J2557" s="2" t="s">
        <v>42</v>
      </c>
      <c r="K2557" s="2" t="s">
        <v>3019</v>
      </c>
      <c r="L2557" t="s">
        <v>25</v>
      </c>
      <c r="M2557" s="10" t="s">
        <v>26</v>
      </c>
      <c r="N2557" t="s">
        <v>26</v>
      </c>
      <c r="O2557" s="10" t="s">
        <v>26</v>
      </c>
      <c r="P2557" s="8" t="s">
        <v>26</v>
      </c>
      <c r="Q2557" s="8">
        <f>(3359412*100)/3462762</f>
        <v>97.015388294084318</v>
      </c>
    </row>
    <row r="2558" spans="1:17" x14ac:dyDescent="0.2">
      <c r="A2558">
        <f>YEAR(D2558)</f>
        <v>2019</v>
      </c>
      <c r="B2558" t="s">
        <v>26</v>
      </c>
      <c r="C2558" s="2" t="s">
        <v>3020</v>
      </c>
      <c r="D2558" s="1">
        <v>43598</v>
      </c>
      <c r="E2558">
        <f>MONTH(D2558)</f>
        <v>5</v>
      </c>
      <c r="F2558" s="2" t="s">
        <v>2098</v>
      </c>
      <c r="G2558" t="s">
        <v>219</v>
      </c>
      <c r="H2558" t="s">
        <v>220</v>
      </c>
      <c r="I2558" t="s">
        <v>22</v>
      </c>
      <c r="J2558" s="2" t="s">
        <v>42</v>
      </c>
      <c r="K2558" s="2" t="s">
        <v>3019</v>
      </c>
      <c r="L2558" t="s">
        <v>25</v>
      </c>
      <c r="M2558" s="10" t="s">
        <v>26</v>
      </c>
      <c r="N2558" t="s">
        <v>26</v>
      </c>
      <c r="O2558" s="10" t="s">
        <v>26</v>
      </c>
      <c r="P2558" s="8" t="s">
        <v>26</v>
      </c>
      <c r="Q2558" s="8">
        <f>(3359412*100)/3462762</f>
        <v>97.015388294084318</v>
      </c>
    </row>
    <row r="2559" spans="1:17" x14ac:dyDescent="0.2">
      <c r="A2559">
        <f>YEAR(D2559)</f>
        <v>2019</v>
      </c>
      <c r="B2559" t="s">
        <v>26</v>
      </c>
      <c r="C2559" s="2" t="s">
        <v>3020</v>
      </c>
      <c r="D2559" s="1">
        <v>43598</v>
      </c>
      <c r="E2559">
        <f>MONTH(D2559)</f>
        <v>5</v>
      </c>
      <c r="F2559" s="2" t="s">
        <v>2098</v>
      </c>
      <c r="G2559" t="s">
        <v>219</v>
      </c>
      <c r="H2559" t="s">
        <v>220</v>
      </c>
      <c r="I2559" t="s">
        <v>22</v>
      </c>
      <c r="J2559" s="2" t="s">
        <v>42</v>
      </c>
      <c r="K2559" s="2" t="s">
        <v>3019</v>
      </c>
      <c r="L2559" t="s">
        <v>25</v>
      </c>
      <c r="M2559" s="10" t="s">
        <v>26</v>
      </c>
      <c r="N2559" t="s">
        <v>26</v>
      </c>
      <c r="O2559" s="10" t="s">
        <v>26</v>
      </c>
      <c r="P2559" s="8" t="s">
        <v>26</v>
      </c>
      <c r="Q2559" s="8">
        <f>(3359412*100)/3462762</f>
        <v>97.015388294084318</v>
      </c>
    </row>
    <row r="2560" spans="1:17" x14ac:dyDescent="0.2">
      <c r="A2560">
        <f>YEAR(D2560)</f>
        <v>2019</v>
      </c>
      <c r="B2560" t="s">
        <v>26</v>
      </c>
      <c r="C2560" s="2" t="s">
        <v>3020</v>
      </c>
      <c r="D2560" s="1">
        <v>43598</v>
      </c>
      <c r="E2560">
        <f>MONTH(D2560)</f>
        <v>5</v>
      </c>
      <c r="F2560" s="2" t="s">
        <v>2098</v>
      </c>
      <c r="G2560" t="s">
        <v>219</v>
      </c>
      <c r="H2560" t="s">
        <v>220</v>
      </c>
      <c r="I2560" t="s">
        <v>22</v>
      </c>
      <c r="J2560" s="2" t="s">
        <v>42</v>
      </c>
      <c r="K2560" s="2" t="s">
        <v>3019</v>
      </c>
      <c r="L2560" t="s">
        <v>25</v>
      </c>
      <c r="M2560" s="10" t="s">
        <v>26</v>
      </c>
      <c r="N2560" t="s">
        <v>26</v>
      </c>
      <c r="O2560" s="10" t="s">
        <v>26</v>
      </c>
      <c r="P2560" s="8" t="s">
        <v>26</v>
      </c>
      <c r="Q2560" s="8">
        <f>(3359412*100)/3462762</f>
        <v>97.015388294084318</v>
      </c>
    </row>
    <row r="2561" spans="1:17" x14ac:dyDescent="0.2">
      <c r="A2561">
        <f>YEAR(D2561)</f>
        <v>2019</v>
      </c>
      <c r="B2561" t="s">
        <v>26</v>
      </c>
      <c r="C2561" s="2" t="s">
        <v>3020</v>
      </c>
      <c r="D2561" s="1">
        <v>43598</v>
      </c>
      <c r="E2561">
        <f>MONTH(D2561)</f>
        <v>5</v>
      </c>
      <c r="F2561" s="2" t="s">
        <v>2098</v>
      </c>
      <c r="G2561" t="s">
        <v>219</v>
      </c>
      <c r="H2561" t="s">
        <v>220</v>
      </c>
      <c r="I2561" t="s">
        <v>22</v>
      </c>
      <c r="J2561" s="2" t="s">
        <v>42</v>
      </c>
      <c r="K2561" s="2" t="s">
        <v>3019</v>
      </c>
      <c r="L2561" t="s">
        <v>25</v>
      </c>
      <c r="M2561" s="10" t="s">
        <v>26</v>
      </c>
      <c r="N2561" t="s">
        <v>26</v>
      </c>
      <c r="O2561" s="10" t="s">
        <v>26</v>
      </c>
      <c r="P2561" s="8" t="s">
        <v>26</v>
      </c>
      <c r="Q2561" s="8">
        <f>(3359412*100)/3462762</f>
        <v>97.015388294084318</v>
      </c>
    </row>
    <row r="2562" spans="1:17" x14ac:dyDescent="0.2">
      <c r="A2562">
        <f>YEAR(D2562)</f>
        <v>2019</v>
      </c>
      <c r="B2562" t="s">
        <v>26</v>
      </c>
      <c r="C2562" s="2" t="s">
        <v>3020</v>
      </c>
      <c r="D2562" s="1">
        <v>43598</v>
      </c>
      <c r="E2562">
        <f>MONTH(D2562)</f>
        <v>5</v>
      </c>
      <c r="F2562" s="2" t="s">
        <v>2098</v>
      </c>
      <c r="G2562" t="s">
        <v>219</v>
      </c>
      <c r="H2562" t="s">
        <v>220</v>
      </c>
      <c r="I2562" t="s">
        <v>22</v>
      </c>
      <c r="J2562" s="2" t="s">
        <v>42</v>
      </c>
      <c r="K2562" s="2" t="s">
        <v>3019</v>
      </c>
      <c r="L2562" t="s">
        <v>25</v>
      </c>
      <c r="M2562" s="10" t="s">
        <v>26</v>
      </c>
      <c r="N2562" t="s">
        <v>26</v>
      </c>
      <c r="O2562" s="10" t="s">
        <v>26</v>
      </c>
      <c r="P2562" s="8" t="s">
        <v>26</v>
      </c>
      <c r="Q2562" s="8">
        <f>(3359412*100)/3462762</f>
        <v>97.015388294084318</v>
      </c>
    </row>
    <row r="2563" spans="1:17" x14ac:dyDescent="0.2">
      <c r="A2563">
        <f>YEAR(D2563)</f>
        <v>2019</v>
      </c>
      <c r="B2563" t="s">
        <v>26</v>
      </c>
      <c r="C2563" s="2" t="s">
        <v>3020</v>
      </c>
      <c r="D2563" s="1">
        <v>43598</v>
      </c>
      <c r="E2563">
        <f>MONTH(D2563)</f>
        <v>5</v>
      </c>
      <c r="F2563" s="2" t="s">
        <v>2098</v>
      </c>
      <c r="G2563" t="s">
        <v>219</v>
      </c>
      <c r="H2563" t="s">
        <v>220</v>
      </c>
      <c r="I2563" t="s">
        <v>22</v>
      </c>
      <c r="J2563" s="2" t="s">
        <v>42</v>
      </c>
      <c r="K2563" s="2" t="s">
        <v>3019</v>
      </c>
      <c r="L2563" t="s">
        <v>25</v>
      </c>
      <c r="M2563" s="10" t="s">
        <v>26</v>
      </c>
      <c r="N2563" t="s">
        <v>26</v>
      </c>
      <c r="O2563" s="10" t="s">
        <v>26</v>
      </c>
      <c r="P2563" s="8" t="s">
        <v>26</v>
      </c>
      <c r="Q2563" s="8">
        <f>(3359412*100)/3462762</f>
        <v>97.015388294084318</v>
      </c>
    </row>
    <row r="2564" spans="1:17" x14ac:dyDescent="0.2">
      <c r="A2564">
        <f>YEAR(D2564)</f>
        <v>2019</v>
      </c>
      <c r="B2564" t="s">
        <v>26</v>
      </c>
      <c r="C2564" s="2" t="s">
        <v>3020</v>
      </c>
      <c r="D2564" s="1">
        <v>43598</v>
      </c>
      <c r="E2564">
        <f>MONTH(D2564)</f>
        <v>5</v>
      </c>
      <c r="F2564" s="2" t="s">
        <v>2098</v>
      </c>
      <c r="G2564" t="s">
        <v>219</v>
      </c>
      <c r="H2564" t="s">
        <v>220</v>
      </c>
      <c r="I2564" t="s">
        <v>22</v>
      </c>
      <c r="J2564" s="2" t="s">
        <v>42</v>
      </c>
      <c r="K2564" s="2" t="s">
        <v>3019</v>
      </c>
      <c r="L2564" t="s">
        <v>25</v>
      </c>
      <c r="M2564" s="10" t="s">
        <v>26</v>
      </c>
      <c r="N2564" t="s">
        <v>26</v>
      </c>
      <c r="O2564" s="10" t="s">
        <v>26</v>
      </c>
      <c r="P2564" s="8" t="s">
        <v>26</v>
      </c>
      <c r="Q2564" s="8">
        <f>(3359412*100)/3462762</f>
        <v>97.015388294084318</v>
      </c>
    </row>
    <row r="2565" spans="1:17" x14ac:dyDescent="0.2">
      <c r="A2565">
        <f>YEAR(D2565)</f>
        <v>2019</v>
      </c>
      <c r="B2565" t="s">
        <v>26</v>
      </c>
      <c r="C2565" s="2" t="s">
        <v>3020</v>
      </c>
      <c r="D2565" s="1">
        <v>43598</v>
      </c>
      <c r="E2565">
        <f>MONTH(D2565)</f>
        <v>5</v>
      </c>
      <c r="F2565" s="2" t="s">
        <v>2098</v>
      </c>
      <c r="G2565" t="s">
        <v>219</v>
      </c>
      <c r="H2565" t="s">
        <v>220</v>
      </c>
      <c r="I2565" t="s">
        <v>22</v>
      </c>
      <c r="J2565" s="2" t="s">
        <v>42</v>
      </c>
      <c r="K2565" s="2" t="s">
        <v>3019</v>
      </c>
      <c r="L2565" t="s">
        <v>25</v>
      </c>
      <c r="M2565" s="10" t="s">
        <v>26</v>
      </c>
      <c r="N2565" t="s">
        <v>26</v>
      </c>
      <c r="O2565" s="10" t="s">
        <v>26</v>
      </c>
      <c r="P2565" s="8" t="s">
        <v>26</v>
      </c>
      <c r="Q2565" s="8">
        <f>(3359412*100)/3462762</f>
        <v>97.015388294084318</v>
      </c>
    </row>
    <row r="2566" spans="1:17" x14ac:dyDescent="0.2">
      <c r="A2566">
        <f>YEAR(D2566)</f>
        <v>2019</v>
      </c>
      <c r="B2566" t="s">
        <v>26</v>
      </c>
      <c r="C2566" s="2" t="s">
        <v>3020</v>
      </c>
      <c r="D2566" s="1">
        <v>43598</v>
      </c>
      <c r="E2566">
        <f>MONTH(D2566)</f>
        <v>5</v>
      </c>
      <c r="F2566" s="2" t="s">
        <v>2098</v>
      </c>
      <c r="G2566" t="s">
        <v>219</v>
      </c>
      <c r="H2566" t="s">
        <v>220</v>
      </c>
      <c r="I2566" t="s">
        <v>22</v>
      </c>
      <c r="J2566" s="2" t="s">
        <v>42</v>
      </c>
      <c r="K2566" s="2" t="s">
        <v>3019</v>
      </c>
      <c r="L2566" t="s">
        <v>25</v>
      </c>
      <c r="M2566" s="10" t="s">
        <v>26</v>
      </c>
      <c r="N2566" t="s">
        <v>26</v>
      </c>
      <c r="O2566" s="10" t="s">
        <v>26</v>
      </c>
      <c r="P2566" s="8" t="s">
        <v>26</v>
      </c>
      <c r="Q2566" s="8">
        <f>(3359412*100)/3462762</f>
        <v>97.015388294084318</v>
      </c>
    </row>
    <row r="2567" spans="1:17" x14ac:dyDescent="0.2">
      <c r="A2567">
        <f>YEAR(D2567)</f>
        <v>2019</v>
      </c>
      <c r="B2567" t="s">
        <v>26</v>
      </c>
      <c r="C2567" s="2" t="s">
        <v>3020</v>
      </c>
      <c r="D2567" s="1">
        <v>43598</v>
      </c>
      <c r="E2567">
        <f>MONTH(D2567)</f>
        <v>5</v>
      </c>
      <c r="F2567" s="2" t="s">
        <v>2098</v>
      </c>
      <c r="G2567" t="s">
        <v>219</v>
      </c>
      <c r="H2567" t="s">
        <v>220</v>
      </c>
      <c r="I2567" t="s">
        <v>22</v>
      </c>
      <c r="J2567" s="2" t="s">
        <v>42</v>
      </c>
      <c r="K2567" s="2" t="s">
        <v>3019</v>
      </c>
      <c r="L2567" t="s">
        <v>25</v>
      </c>
      <c r="M2567" s="10" t="s">
        <v>26</v>
      </c>
      <c r="N2567" t="s">
        <v>26</v>
      </c>
      <c r="O2567" s="10" t="s">
        <v>26</v>
      </c>
      <c r="P2567" s="8" t="s">
        <v>26</v>
      </c>
      <c r="Q2567" s="8">
        <f>(3359412*100)/3462762</f>
        <v>97.015388294084318</v>
      </c>
    </row>
    <row r="2568" spans="1:17" x14ac:dyDescent="0.2">
      <c r="A2568">
        <f>YEAR(D2568)</f>
        <v>2019</v>
      </c>
      <c r="B2568" t="s">
        <v>26</v>
      </c>
      <c r="C2568" s="2" t="s">
        <v>3020</v>
      </c>
      <c r="D2568" s="1">
        <v>43598</v>
      </c>
      <c r="E2568">
        <f>MONTH(D2568)</f>
        <v>5</v>
      </c>
      <c r="F2568" s="2" t="s">
        <v>2098</v>
      </c>
      <c r="G2568" t="s">
        <v>219</v>
      </c>
      <c r="H2568" t="s">
        <v>220</v>
      </c>
      <c r="I2568" t="s">
        <v>22</v>
      </c>
      <c r="J2568" s="2" t="s">
        <v>42</v>
      </c>
      <c r="K2568" s="2" t="s">
        <v>3019</v>
      </c>
      <c r="L2568" t="s">
        <v>25</v>
      </c>
      <c r="M2568" s="10" t="s">
        <v>26</v>
      </c>
      <c r="N2568" t="s">
        <v>26</v>
      </c>
      <c r="O2568" s="10" t="s">
        <v>26</v>
      </c>
      <c r="P2568" s="8" t="s">
        <v>26</v>
      </c>
      <c r="Q2568" s="8">
        <f>(3359412*100)/3462762</f>
        <v>97.015388294084318</v>
      </c>
    </row>
    <row r="2569" spans="1:17" x14ac:dyDescent="0.2">
      <c r="A2569">
        <f>YEAR(D2569)</f>
        <v>2019</v>
      </c>
      <c r="B2569" t="s">
        <v>26</v>
      </c>
      <c r="C2569" s="2" t="s">
        <v>3020</v>
      </c>
      <c r="D2569" s="1">
        <v>43598</v>
      </c>
      <c r="E2569">
        <f>MONTH(D2569)</f>
        <v>5</v>
      </c>
      <c r="F2569" s="2" t="s">
        <v>2098</v>
      </c>
      <c r="G2569" t="s">
        <v>219</v>
      </c>
      <c r="H2569" t="s">
        <v>220</v>
      </c>
      <c r="I2569" t="s">
        <v>22</v>
      </c>
      <c r="J2569" s="2" t="s">
        <v>42</v>
      </c>
      <c r="K2569" s="2" t="s">
        <v>3019</v>
      </c>
      <c r="L2569" t="s">
        <v>25</v>
      </c>
      <c r="M2569" s="10" t="s">
        <v>26</v>
      </c>
      <c r="N2569" t="s">
        <v>26</v>
      </c>
      <c r="O2569" s="10" t="s">
        <v>26</v>
      </c>
      <c r="P2569" s="8" t="s">
        <v>26</v>
      </c>
      <c r="Q2569" s="8">
        <f>(3359412*100)/3462762</f>
        <v>97.015388294084318</v>
      </c>
    </row>
    <row r="2570" spans="1:17" x14ac:dyDescent="0.2">
      <c r="A2570">
        <f>YEAR(D2570)</f>
        <v>2019</v>
      </c>
      <c r="B2570" t="s">
        <v>26</v>
      </c>
      <c r="C2570" s="2" t="s">
        <v>3020</v>
      </c>
      <c r="D2570" s="1">
        <v>43598</v>
      </c>
      <c r="E2570">
        <f>MONTH(D2570)</f>
        <v>5</v>
      </c>
      <c r="F2570" s="2" t="s">
        <v>2098</v>
      </c>
      <c r="G2570" t="s">
        <v>219</v>
      </c>
      <c r="H2570" t="s">
        <v>220</v>
      </c>
      <c r="I2570" t="s">
        <v>22</v>
      </c>
      <c r="J2570" s="2" t="s">
        <v>42</v>
      </c>
      <c r="K2570" s="2" t="s">
        <v>3019</v>
      </c>
      <c r="L2570" t="s">
        <v>25</v>
      </c>
      <c r="M2570" s="10" t="s">
        <v>26</v>
      </c>
      <c r="N2570" t="s">
        <v>26</v>
      </c>
      <c r="O2570" s="10" t="s">
        <v>26</v>
      </c>
      <c r="P2570" s="8" t="s">
        <v>26</v>
      </c>
      <c r="Q2570" s="8">
        <f>(3359412*100)/3462762</f>
        <v>97.015388294084318</v>
      </c>
    </row>
    <row r="2571" spans="1:17" x14ac:dyDescent="0.2">
      <c r="A2571">
        <f>YEAR(D2571)</f>
        <v>2019</v>
      </c>
      <c r="B2571" t="s">
        <v>26</v>
      </c>
      <c r="C2571" s="2" t="s">
        <v>3020</v>
      </c>
      <c r="D2571" s="1">
        <v>43598</v>
      </c>
      <c r="E2571">
        <f>MONTH(D2571)</f>
        <v>5</v>
      </c>
      <c r="F2571" s="2" t="s">
        <v>2098</v>
      </c>
      <c r="G2571" t="s">
        <v>219</v>
      </c>
      <c r="H2571" t="s">
        <v>220</v>
      </c>
      <c r="I2571" t="s">
        <v>22</v>
      </c>
      <c r="J2571" s="2" t="s">
        <v>42</v>
      </c>
      <c r="K2571" s="2" t="s">
        <v>3019</v>
      </c>
      <c r="L2571" t="s">
        <v>25</v>
      </c>
      <c r="M2571" s="10" t="s">
        <v>26</v>
      </c>
      <c r="N2571" t="s">
        <v>26</v>
      </c>
      <c r="O2571" s="10" t="s">
        <v>26</v>
      </c>
      <c r="P2571" s="8" t="s">
        <v>26</v>
      </c>
      <c r="Q2571" s="8">
        <f>(3359412*100)/3462762</f>
        <v>97.015388294084318</v>
      </c>
    </row>
    <row r="2572" spans="1:17" x14ac:dyDescent="0.2">
      <c r="A2572">
        <f>YEAR(D2572)</f>
        <v>2019</v>
      </c>
      <c r="B2572" t="s">
        <v>26</v>
      </c>
      <c r="C2572" s="2" t="s">
        <v>3020</v>
      </c>
      <c r="D2572" s="1">
        <v>43598</v>
      </c>
      <c r="E2572">
        <f>MONTH(D2572)</f>
        <v>5</v>
      </c>
      <c r="F2572" s="2" t="s">
        <v>2098</v>
      </c>
      <c r="G2572" t="s">
        <v>219</v>
      </c>
      <c r="H2572" t="s">
        <v>220</v>
      </c>
      <c r="I2572" t="s">
        <v>22</v>
      </c>
      <c r="J2572" s="2" t="s">
        <v>42</v>
      </c>
      <c r="K2572" s="2" t="s">
        <v>3019</v>
      </c>
      <c r="L2572" t="s">
        <v>25</v>
      </c>
      <c r="M2572" s="10" t="s">
        <v>26</v>
      </c>
      <c r="N2572" t="s">
        <v>26</v>
      </c>
      <c r="O2572" s="10" t="s">
        <v>26</v>
      </c>
      <c r="P2572" s="8" t="s">
        <v>26</v>
      </c>
      <c r="Q2572" s="8">
        <f>(3359412*100)/3462762</f>
        <v>97.015388294084318</v>
      </c>
    </row>
    <row r="2573" spans="1:17" x14ac:dyDescent="0.2">
      <c r="A2573">
        <f>YEAR(D2573)</f>
        <v>2019</v>
      </c>
      <c r="B2573" t="s">
        <v>26</v>
      </c>
      <c r="C2573" s="2" t="s">
        <v>3020</v>
      </c>
      <c r="D2573" s="1">
        <v>43598</v>
      </c>
      <c r="E2573">
        <f>MONTH(D2573)</f>
        <v>5</v>
      </c>
      <c r="F2573" s="2" t="s">
        <v>2098</v>
      </c>
      <c r="G2573" t="s">
        <v>219</v>
      </c>
      <c r="H2573" t="s">
        <v>220</v>
      </c>
      <c r="I2573" t="s">
        <v>22</v>
      </c>
      <c r="J2573" s="2" t="s">
        <v>42</v>
      </c>
      <c r="K2573" s="2" t="s">
        <v>3019</v>
      </c>
      <c r="L2573" t="s">
        <v>25</v>
      </c>
      <c r="M2573" s="10" t="s">
        <v>26</v>
      </c>
      <c r="N2573" t="s">
        <v>26</v>
      </c>
      <c r="O2573" s="10" t="s">
        <v>26</v>
      </c>
      <c r="P2573" s="8" t="s">
        <v>26</v>
      </c>
      <c r="Q2573" s="8">
        <f>(3359412*100)/3462762</f>
        <v>97.015388294084318</v>
      </c>
    </row>
    <row r="2574" spans="1:17" x14ac:dyDescent="0.2">
      <c r="A2574">
        <f>YEAR(D2574)</f>
        <v>2019</v>
      </c>
      <c r="B2574" t="s">
        <v>26</v>
      </c>
      <c r="C2574" s="2" t="s">
        <v>3021</v>
      </c>
      <c r="D2574" s="1">
        <v>43598</v>
      </c>
      <c r="E2574">
        <f>MONTH(D2574)</f>
        <v>5</v>
      </c>
      <c r="F2574" s="2" t="s">
        <v>2098</v>
      </c>
      <c r="G2574" t="s">
        <v>219</v>
      </c>
      <c r="H2574" t="s">
        <v>220</v>
      </c>
      <c r="I2574" t="s">
        <v>22</v>
      </c>
      <c r="J2574" s="2" t="s">
        <v>42</v>
      </c>
      <c r="K2574" s="2" t="s">
        <v>3019</v>
      </c>
      <c r="L2574" t="s">
        <v>25</v>
      </c>
      <c r="M2574" s="10" t="s">
        <v>26</v>
      </c>
      <c r="N2574" t="s">
        <v>26</v>
      </c>
      <c r="O2574" s="10" t="s">
        <v>26</v>
      </c>
      <c r="P2574" s="8" t="s">
        <v>26</v>
      </c>
      <c r="Q2574" s="8">
        <f>(1845879*100)/1946364</f>
        <v>94.837296620775973</v>
      </c>
    </row>
    <row r="2575" spans="1:17" x14ac:dyDescent="0.2">
      <c r="A2575">
        <f>YEAR(D2575)</f>
        <v>2019</v>
      </c>
      <c r="B2575" t="s">
        <v>26</v>
      </c>
      <c r="C2575" s="2" t="s">
        <v>3021</v>
      </c>
      <c r="D2575" s="1">
        <v>43598</v>
      </c>
      <c r="E2575">
        <f>MONTH(D2575)</f>
        <v>5</v>
      </c>
      <c r="F2575" s="2" t="s">
        <v>2098</v>
      </c>
      <c r="G2575" t="s">
        <v>230</v>
      </c>
      <c r="H2575" t="s">
        <v>268</v>
      </c>
      <c r="I2575" t="s">
        <v>22</v>
      </c>
      <c r="J2575" s="2" t="s">
        <v>42</v>
      </c>
      <c r="K2575" s="2" t="s">
        <v>3019</v>
      </c>
      <c r="L2575" t="s">
        <v>25</v>
      </c>
      <c r="M2575" s="8">
        <v>3.5356666670000001</v>
      </c>
      <c r="N2575" t="s">
        <v>26</v>
      </c>
      <c r="O2575" s="8">
        <v>3.5356666670000001</v>
      </c>
      <c r="P2575" s="8">
        <f>EXP(-1.363+3.366*LOG(O2575,10))</f>
        <v>1.6211802664427075</v>
      </c>
      <c r="Q2575" s="8">
        <f>(1845879*100)/1946364</f>
        <v>94.837296620775973</v>
      </c>
    </row>
    <row r="2576" spans="1:17" x14ac:dyDescent="0.2">
      <c r="A2576">
        <f>YEAR(D2576)</f>
        <v>2019</v>
      </c>
      <c r="B2576" t="s">
        <v>26</v>
      </c>
      <c r="C2576" s="2" t="s">
        <v>3021</v>
      </c>
      <c r="D2576" s="1">
        <v>43598</v>
      </c>
      <c r="E2576">
        <f>MONTH(D2576)</f>
        <v>5</v>
      </c>
      <c r="F2576" s="2" t="s">
        <v>2098</v>
      </c>
      <c r="G2576" t="s">
        <v>230</v>
      </c>
      <c r="H2576" t="s">
        <v>268</v>
      </c>
      <c r="I2576" t="s">
        <v>22</v>
      </c>
      <c r="J2576" s="2" t="s">
        <v>42</v>
      </c>
      <c r="K2576" s="2" t="s">
        <v>3019</v>
      </c>
      <c r="L2576" t="s">
        <v>25</v>
      </c>
      <c r="M2576" s="8">
        <v>3.5356666670000001</v>
      </c>
      <c r="N2576" t="s">
        <v>26</v>
      </c>
      <c r="O2576" s="8">
        <v>3.5356666670000001</v>
      </c>
      <c r="P2576" s="8">
        <f>EXP(-1.363+3.366*LOG(O2576,10))</f>
        <v>1.6211802664427075</v>
      </c>
      <c r="Q2576" s="8">
        <f>(1845879*100)/1946364</f>
        <v>94.837296620775973</v>
      </c>
    </row>
    <row r="2577" spans="1:17" x14ac:dyDescent="0.2">
      <c r="A2577">
        <f>YEAR(D2577)</f>
        <v>2019</v>
      </c>
      <c r="B2577" t="s">
        <v>26</v>
      </c>
      <c r="C2577" s="2" t="s">
        <v>3021</v>
      </c>
      <c r="D2577" s="1">
        <v>43598</v>
      </c>
      <c r="E2577">
        <f>MONTH(D2577)</f>
        <v>5</v>
      </c>
      <c r="F2577" s="2" t="s">
        <v>2098</v>
      </c>
      <c r="G2577" t="s">
        <v>230</v>
      </c>
      <c r="H2577" t="s">
        <v>268</v>
      </c>
      <c r="I2577" t="s">
        <v>22</v>
      </c>
      <c r="J2577" s="2" t="s">
        <v>42</v>
      </c>
      <c r="K2577" s="2" t="s">
        <v>3019</v>
      </c>
      <c r="L2577" t="s">
        <v>25</v>
      </c>
      <c r="M2577" s="8">
        <v>3.5356666670000001</v>
      </c>
      <c r="N2577" t="s">
        <v>26</v>
      </c>
      <c r="O2577" s="8">
        <v>3.5356666670000001</v>
      </c>
      <c r="P2577" s="8">
        <f>EXP(-1.363+3.366*LOG(O2577,10))</f>
        <v>1.6211802664427075</v>
      </c>
      <c r="Q2577" s="8">
        <f>(1845879*100)/1946364</f>
        <v>94.837296620775973</v>
      </c>
    </row>
    <row r="2578" spans="1:17" x14ac:dyDescent="0.2">
      <c r="A2578">
        <f>YEAR(D2578)</f>
        <v>2019</v>
      </c>
      <c r="B2578" t="s">
        <v>26</v>
      </c>
      <c r="C2578" s="2" t="s">
        <v>3021</v>
      </c>
      <c r="D2578" s="1">
        <v>43598</v>
      </c>
      <c r="E2578">
        <f>MONTH(D2578)</f>
        <v>5</v>
      </c>
      <c r="F2578" s="2" t="s">
        <v>2098</v>
      </c>
      <c r="G2578" t="s">
        <v>219</v>
      </c>
      <c r="H2578" t="s">
        <v>220</v>
      </c>
      <c r="I2578" t="s">
        <v>22</v>
      </c>
      <c r="J2578" s="2" t="s">
        <v>42</v>
      </c>
      <c r="K2578" s="2" t="s">
        <v>3019</v>
      </c>
      <c r="L2578" t="s">
        <v>25</v>
      </c>
      <c r="M2578" s="10" t="s">
        <v>26</v>
      </c>
      <c r="N2578" t="s">
        <v>26</v>
      </c>
      <c r="O2578" s="10" t="s">
        <v>26</v>
      </c>
      <c r="P2578" s="8" t="s">
        <v>26</v>
      </c>
      <c r="Q2578" s="8">
        <f>(1845879*100)/1946364</f>
        <v>94.837296620775973</v>
      </c>
    </row>
    <row r="2579" spans="1:17" x14ac:dyDescent="0.2">
      <c r="A2579">
        <f>YEAR(D2579)</f>
        <v>2019</v>
      </c>
      <c r="B2579" t="s">
        <v>26</v>
      </c>
      <c r="C2579" s="2" t="s">
        <v>3021</v>
      </c>
      <c r="D2579" s="1">
        <v>43598</v>
      </c>
      <c r="E2579">
        <f>MONTH(D2579)</f>
        <v>5</v>
      </c>
      <c r="F2579" s="2" t="s">
        <v>2098</v>
      </c>
      <c r="G2579" t="s">
        <v>219</v>
      </c>
      <c r="H2579" t="s">
        <v>220</v>
      </c>
      <c r="I2579" t="s">
        <v>22</v>
      </c>
      <c r="J2579" s="2" t="s">
        <v>42</v>
      </c>
      <c r="K2579" s="2" t="s">
        <v>3019</v>
      </c>
      <c r="L2579" t="s">
        <v>25</v>
      </c>
      <c r="M2579" s="10" t="s">
        <v>26</v>
      </c>
      <c r="N2579" t="s">
        <v>26</v>
      </c>
      <c r="O2579" s="10" t="s">
        <v>26</v>
      </c>
      <c r="P2579" s="8" t="s">
        <v>26</v>
      </c>
      <c r="Q2579" s="8">
        <f>(1845879*100)/1946364</f>
        <v>94.837296620775973</v>
      </c>
    </row>
    <row r="2580" spans="1:17" x14ac:dyDescent="0.2">
      <c r="A2580">
        <f>YEAR(D2580)</f>
        <v>2019</v>
      </c>
      <c r="B2580" t="s">
        <v>26</v>
      </c>
      <c r="C2580" s="2" t="s">
        <v>3021</v>
      </c>
      <c r="D2580" s="1">
        <v>43598</v>
      </c>
      <c r="E2580">
        <f>MONTH(D2580)</f>
        <v>5</v>
      </c>
      <c r="F2580" s="2" t="s">
        <v>2098</v>
      </c>
      <c r="G2580" t="s">
        <v>219</v>
      </c>
      <c r="H2580" t="s">
        <v>220</v>
      </c>
      <c r="I2580" t="s">
        <v>22</v>
      </c>
      <c r="J2580" s="2" t="s">
        <v>42</v>
      </c>
      <c r="K2580" s="2" t="s">
        <v>3019</v>
      </c>
      <c r="L2580" t="s">
        <v>25</v>
      </c>
      <c r="M2580" s="10" t="s">
        <v>26</v>
      </c>
      <c r="N2580" t="s">
        <v>26</v>
      </c>
      <c r="O2580" s="10" t="s">
        <v>26</v>
      </c>
      <c r="P2580" s="8" t="s">
        <v>26</v>
      </c>
      <c r="Q2580" s="8">
        <f>(1845879*100)/1946364</f>
        <v>94.837296620775973</v>
      </c>
    </row>
    <row r="2581" spans="1:17" x14ac:dyDescent="0.2">
      <c r="A2581">
        <f>YEAR(D2581)</f>
        <v>2019</v>
      </c>
      <c r="B2581" t="s">
        <v>26</v>
      </c>
      <c r="C2581" s="2" t="s">
        <v>3021</v>
      </c>
      <c r="D2581" s="1">
        <v>43598</v>
      </c>
      <c r="E2581">
        <f>MONTH(D2581)</f>
        <v>5</v>
      </c>
      <c r="F2581" s="2" t="s">
        <v>2098</v>
      </c>
      <c r="G2581" t="s">
        <v>219</v>
      </c>
      <c r="H2581" t="s">
        <v>220</v>
      </c>
      <c r="I2581" t="s">
        <v>22</v>
      </c>
      <c r="J2581" s="2" t="s">
        <v>42</v>
      </c>
      <c r="K2581" s="2" t="s">
        <v>3019</v>
      </c>
      <c r="L2581" t="s">
        <v>25</v>
      </c>
      <c r="M2581" s="10" t="s">
        <v>26</v>
      </c>
      <c r="N2581" t="s">
        <v>26</v>
      </c>
      <c r="O2581" s="10" t="s">
        <v>26</v>
      </c>
      <c r="P2581" s="8" t="s">
        <v>26</v>
      </c>
      <c r="Q2581" s="8">
        <f>(1845879*100)/1946364</f>
        <v>94.837296620775973</v>
      </c>
    </row>
    <row r="2582" spans="1:17" x14ac:dyDescent="0.2">
      <c r="A2582">
        <f>YEAR(D2582)</f>
        <v>2019</v>
      </c>
      <c r="B2582" t="s">
        <v>26</v>
      </c>
      <c r="C2582" s="2" t="s">
        <v>3021</v>
      </c>
      <c r="D2582" s="1">
        <v>43598</v>
      </c>
      <c r="E2582">
        <f>MONTH(D2582)</f>
        <v>5</v>
      </c>
      <c r="F2582" s="2" t="s">
        <v>2098</v>
      </c>
      <c r="G2582" t="s">
        <v>20</v>
      </c>
      <c r="H2582" t="s">
        <v>149</v>
      </c>
      <c r="I2582" t="s">
        <v>22</v>
      </c>
      <c r="J2582" s="2" t="s">
        <v>42</v>
      </c>
      <c r="K2582" s="2" t="s">
        <v>3019</v>
      </c>
      <c r="L2582" t="s">
        <v>25</v>
      </c>
      <c r="M2582" s="8">
        <v>1.45</v>
      </c>
      <c r="N2582" t="s">
        <v>26</v>
      </c>
      <c r="O2582" s="8">
        <v>1.45</v>
      </c>
      <c r="P2582" s="8">
        <f>EXP(-1.363+3.366*LOG(O2582,10))</f>
        <v>0.44050419760124854</v>
      </c>
      <c r="Q2582" s="8">
        <f>(1845879*100)/1946364</f>
        <v>94.837296620775973</v>
      </c>
    </row>
    <row r="2583" spans="1:17" x14ac:dyDescent="0.2">
      <c r="A2583">
        <f>YEAR(D2583)</f>
        <v>2019</v>
      </c>
      <c r="B2583" t="s">
        <v>26</v>
      </c>
      <c r="C2583" s="2" t="s">
        <v>3024</v>
      </c>
      <c r="D2583" s="1">
        <v>43599</v>
      </c>
      <c r="E2583">
        <f>MONTH(D2583)</f>
        <v>5</v>
      </c>
      <c r="F2583" s="2" t="s">
        <v>2098</v>
      </c>
      <c r="G2583" t="s">
        <v>219</v>
      </c>
      <c r="H2583" t="s">
        <v>220</v>
      </c>
      <c r="I2583" t="s">
        <v>22</v>
      </c>
      <c r="J2583" s="2" t="s">
        <v>42</v>
      </c>
      <c r="K2583" s="2" t="s">
        <v>3019</v>
      </c>
      <c r="L2583" t="s">
        <v>25</v>
      </c>
      <c r="M2583" s="10" t="s">
        <v>26</v>
      </c>
      <c r="N2583" t="s">
        <v>26</v>
      </c>
      <c r="O2583" s="10" t="s">
        <v>26</v>
      </c>
      <c r="P2583" s="8" t="s">
        <v>26</v>
      </c>
      <c r="Q2583" s="8">
        <f>(2412691*100)/2623642</f>
        <v>91.959611867777696</v>
      </c>
    </row>
    <row r="2584" spans="1:17" x14ac:dyDescent="0.2">
      <c r="A2584">
        <f>YEAR(D2584)</f>
        <v>2019</v>
      </c>
      <c r="B2584" t="s">
        <v>26</v>
      </c>
      <c r="C2584" s="2" t="s">
        <v>3024</v>
      </c>
      <c r="D2584" s="1">
        <v>43599</v>
      </c>
      <c r="E2584">
        <f>MONTH(D2584)</f>
        <v>5</v>
      </c>
      <c r="F2584" s="2" t="s">
        <v>2098</v>
      </c>
      <c r="G2584" t="s">
        <v>1735</v>
      </c>
      <c r="H2584" t="s">
        <v>2149</v>
      </c>
      <c r="I2584" t="s">
        <v>36</v>
      </c>
      <c r="J2584" s="2" t="s">
        <v>42</v>
      </c>
      <c r="K2584" s="2" t="s">
        <v>3019</v>
      </c>
      <c r="L2584" t="s">
        <v>25</v>
      </c>
      <c r="M2584" s="8">
        <v>2.8763333329999998</v>
      </c>
      <c r="N2584" t="s">
        <v>26</v>
      </c>
      <c r="O2584" s="8">
        <v>2.8763333329999998</v>
      </c>
      <c r="P2584" s="8">
        <f>EXP(-1.363+3.366*LOG(O2584,10))</f>
        <v>1.1989579386384013</v>
      </c>
      <c r="Q2584" s="8">
        <f>(2412691*100)/2623642</f>
        <v>91.959611867777696</v>
      </c>
    </row>
    <row r="2585" spans="1:17" x14ac:dyDescent="0.2">
      <c r="A2585">
        <f>YEAR(D2585)</f>
        <v>2019</v>
      </c>
      <c r="B2585" t="s">
        <v>26</v>
      </c>
      <c r="C2585" s="2" t="s">
        <v>3024</v>
      </c>
      <c r="D2585" s="1">
        <v>43599</v>
      </c>
      <c r="E2585">
        <f>MONTH(D2585)</f>
        <v>5</v>
      </c>
      <c r="F2585" s="2" t="s">
        <v>2098</v>
      </c>
      <c r="G2585" t="s">
        <v>1735</v>
      </c>
      <c r="H2585" t="s">
        <v>2149</v>
      </c>
      <c r="I2585" t="s">
        <v>36</v>
      </c>
      <c r="J2585" s="2" t="s">
        <v>42</v>
      </c>
      <c r="K2585" s="2" t="s">
        <v>3019</v>
      </c>
      <c r="L2585" t="s">
        <v>25</v>
      </c>
      <c r="M2585" s="8">
        <v>2.8763333329999998</v>
      </c>
      <c r="N2585" t="s">
        <v>26</v>
      </c>
      <c r="O2585" s="8">
        <v>2.8763333329999998</v>
      </c>
      <c r="P2585" s="8">
        <f>EXP(-1.363+3.366*LOG(O2585,10))</f>
        <v>1.1989579386384013</v>
      </c>
      <c r="Q2585" s="8">
        <f>(2412691*100)/2623642</f>
        <v>91.959611867777696</v>
      </c>
    </row>
    <row r="2586" spans="1:17" x14ac:dyDescent="0.2">
      <c r="A2586">
        <f>YEAR(D2586)</f>
        <v>2019</v>
      </c>
      <c r="B2586" t="s">
        <v>26</v>
      </c>
      <c r="C2586" s="2" t="s">
        <v>3024</v>
      </c>
      <c r="D2586" s="1">
        <v>43599</v>
      </c>
      <c r="E2586">
        <f>MONTH(D2586)</f>
        <v>5</v>
      </c>
      <c r="F2586" s="2" t="s">
        <v>2098</v>
      </c>
      <c r="G2586" t="s">
        <v>230</v>
      </c>
      <c r="H2586" t="s">
        <v>268</v>
      </c>
      <c r="I2586" t="s">
        <v>22</v>
      </c>
      <c r="J2586" s="2" t="s">
        <v>42</v>
      </c>
      <c r="K2586" s="2" t="s">
        <v>3019</v>
      </c>
      <c r="L2586" t="s">
        <v>25</v>
      </c>
      <c r="M2586" s="8">
        <v>3.5356666670000001</v>
      </c>
      <c r="N2586" t="s">
        <v>26</v>
      </c>
      <c r="O2586" s="8">
        <v>3.5356666670000001</v>
      </c>
      <c r="P2586" s="8">
        <f>EXP(-1.363+3.366*LOG(O2586,10))</f>
        <v>1.6211802664427075</v>
      </c>
      <c r="Q2586" s="8">
        <f>(2412691*100)/2623642</f>
        <v>91.959611867777696</v>
      </c>
    </row>
    <row r="2587" spans="1:17" x14ac:dyDescent="0.2">
      <c r="A2587">
        <f>YEAR(D2587)</f>
        <v>2019</v>
      </c>
      <c r="B2587" t="s">
        <v>26</v>
      </c>
      <c r="C2587" s="2" t="s">
        <v>3024</v>
      </c>
      <c r="D2587" s="1">
        <v>43599</v>
      </c>
      <c r="E2587">
        <f>MONTH(D2587)</f>
        <v>5</v>
      </c>
      <c r="F2587" s="2" t="s">
        <v>2098</v>
      </c>
      <c r="G2587" t="s">
        <v>230</v>
      </c>
      <c r="H2587" t="s">
        <v>268</v>
      </c>
      <c r="I2587" t="s">
        <v>22</v>
      </c>
      <c r="J2587" s="2" t="s">
        <v>42</v>
      </c>
      <c r="K2587" s="2" t="s">
        <v>3019</v>
      </c>
      <c r="L2587" t="s">
        <v>25</v>
      </c>
      <c r="M2587" s="8">
        <v>3.5356666670000001</v>
      </c>
      <c r="N2587" t="s">
        <v>26</v>
      </c>
      <c r="O2587" s="8">
        <v>3.5356666670000001</v>
      </c>
      <c r="P2587" s="8">
        <f>EXP(-1.363+3.366*LOG(O2587,10))</f>
        <v>1.6211802664427075</v>
      </c>
      <c r="Q2587" s="8">
        <f>(2412691*100)/2623642</f>
        <v>91.959611867777696</v>
      </c>
    </row>
    <row r="2588" spans="1:17" x14ac:dyDescent="0.2">
      <c r="A2588">
        <f>YEAR(D2588)</f>
        <v>2019</v>
      </c>
      <c r="B2588" t="s">
        <v>26</v>
      </c>
      <c r="C2588" s="2" t="s">
        <v>3024</v>
      </c>
      <c r="D2588" s="1">
        <v>43599</v>
      </c>
      <c r="E2588">
        <f>MONTH(D2588)</f>
        <v>5</v>
      </c>
      <c r="F2588" s="2" t="s">
        <v>2098</v>
      </c>
      <c r="G2588" t="s">
        <v>230</v>
      </c>
      <c r="H2588" t="s">
        <v>268</v>
      </c>
      <c r="I2588" t="s">
        <v>22</v>
      </c>
      <c r="J2588" s="2" t="s">
        <v>42</v>
      </c>
      <c r="K2588" s="2" t="s">
        <v>3019</v>
      </c>
      <c r="L2588" t="s">
        <v>25</v>
      </c>
      <c r="M2588" s="8">
        <v>3.5356666670000001</v>
      </c>
      <c r="N2588" t="s">
        <v>26</v>
      </c>
      <c r="O2588" s="8">
        <v>3.5356666670000001</v>
      </c>
      <c r="P2588" s="8">
        <f>EXP(-1.363+3.366*LOG(O2588,10))</f>
        <v>1.6211802664427075</v>
      </c>
      <c r="Q2588" s="8">
        <f>(2412691*100)/2623642</f>
        <v>91.959611867777696</v>
      </c>
    </row>
    <row r="2589" spans="1:17" x14ac:dyDescent="0.2">
      <c r="A2589">
        <f>YEAR(D2589)</f>
        <v>2019</v>
      </c>
      <c r="B2589" t="s">
        <v>26</v>
      </c>
      <c r="C2589" s="2" t="s">
        <v>3024</v>
      </c>
      <c r="D2589" s="1">
        <v>43599</v>
      </c>
      <c r="E2589">
        <f>MONTH(D2589)</f>
        <v>5</v>
      </c>
      <c r="F2589" s="2" t="s">
        <v>2098</v>
      </c>
      <c r="G2589" t="s">
        <v>230</v>
      </c>
      <c r="H2589" t="s">
        <v>268</v>
      </c>
      <c r="I2589" t="s">
        <v>22</v>
      </c>
      <c r="J2589" s="2" t="s">
        <v>42</v>
      </c>
      <c r="K2589" s="2" t="s">
        <v>3019</v>
      </c>
      <c r="L2589" t="s">
        <v>25</v>
      </c>
      <c r="M2589" s="8">
        <v>3.5356666670000001</v>
      </c>
      <c r="N2589" t="s">
        <v>26</v>
      </c>
      <c r="O2589" s="8">
        <v>3.5356666670000001</v>
      </c>
      <c r="P2589" s="8">
        <f>EXP(-1.363+3.366*LOG(O2589,10))</f>
        <v>1.6211802664427075</v>
      </c>
      <c r="Q2589" s="8">
        <f>(2412691*100)/2623642</f>
        <v>91.959611867777696</v>
      </c>
    </row>
    <row r="2590" spans="1:17" x14ac:dyDescent="0.2">
      <c r="A2590">
        <f>YEAR(D2590)</f>
        <v>2019</v>
      </c>
      <c r="B2590" t="s">
        <v>26</v>
      </c>
      <c r="C2590" s="2" t="s">
        <v>3024</v>
      </c>
      <c r="D2590" s="1">
        <v>43599</v>
      </c>
      <c r="E2590">
        <f>MONTH(D2590)</f>
        <v>5</v>
      </c>
      <c r="F2590" s="2" t="s">
        <v>2098</v>
      </c>
      <c r="G2590" t="s">
        <v>219</v>
      </c>
      <c r="H2590" t="s">
        <v>220</v>
      </c>
      <c r="I2590" t="s">
        <v>22</v>
      </c>
      <c r="J2590" s="2" t="s">
        <v>42</v>
      </c>
      <c r="K2590" s="2" t="s">
        <v>3019</v>
      </c>
      <c r="L2590" t="s">
        <v>25</v>
      </c>
      <c r="M2590" s="10" t="s">
        <v>26</v>
      </c>
      <c r="N2590" t="s">
        <v>26</v>
      </c>
      <c r="O2590" s="10" t="s">
        <v>26</v>
      </c>
      <c r="P2590" s="8" t="s">
        <v>26</v>
      </c>
      <c r="Q2590" s="8">
        <f>(2412691*100)/2623642</f>
        <v>91.959611867777696</v>
      </c>
    </row>
    <row r="2591" spans="1:17" x14ac:dyDescent="0.2">
      <c r="A2591">
        <f>YEAR(D2591)</f>
        <v>2019</v>
      </c>
      <c r="B2591" t="s">
        <v>26</v>
      </c>
      <c r="C2591" s="2" t="s">
        <v>3024</v>
      </c>
      <c r="D2591" s="1">
        <v>43599</v>
      </c>
      <c r="E2591">
        <f>MONTH(D2591)</f>
        <v>5</v>
      </c>
      <c r="F2591" s="2" t="s">
        <v>2098</v>
      </c>
      <c r="G2591" t="s">
        <v>219</v>
      </c>
      <c r="H2591" t="s">
        <v>220</v>
      </c>
      <c r="I2591" t="s">
        <v>22</v>
      </c>
      <c r="J2591" s="2" t="s">
        <v>42</v>
      </c>
      <c r="K2591" s="2" t="s">
        <v>3019</v>
      </c>
      <c r="L2591" t="s">
        <v>25</v>
      </c>
      <c r="M2591" s="10" t="s">
        <v>26</v>
      </c>
      <c r="N2591" t="s">
        <v>26</v>
      </c>
      <c r="O2591" s="10" t="s">
        <v>26</v>
      </c>
      <c r="P2591" s="8" t="s">
        <v>26</v>
      </c>
      <c r="Q2591" s="8">
        <f>(2412691*100)/2623642</f>
        <v>91.959611867777696</v>
      </c>
    </row>
    <row r="2592" spans="1:17" x14ac:dyDescent="0.2">
      <c r="A2592">
        <f>YEAR(D2592)</f>
        <v>2019</v>
      </c>
      <c r="B2592" t="s">
        <v>26</v>
      </c>
      <c r="C2592" s="2" t="s">
        <v>3024</v>
      </c>
      <c r="D2592" s="1">
        <v>43599</v>
      </c>
      <c r="E2592">
        <f>MONTH(D2592)</f>
        <v>5</v>
      </c>
      <c r="F2592" s="2" t="s">
        <v>2098</v>
      </c>
      <c r="G2592" t="s">
        <v>219</v>
      </c>
      <c r="H2592" t="s">
        <v>220</v>
      </c>
      <c r="I2592" t="s">
        <v>22</v>
      </c>
      <c r="J2592" s="2" t="s">
        <v>42</v>
      </c>
      <c r="K2592" s="2" t="s">
        <v>3019</v>
      </c>
      <c r="L2592" t="s">
        <v>25</v>
      </c>
      <c r="M2592" s="10" t="s">
        <v>26</v>
      </c>
      <c r="N2592" t="s">
        <v>26</v>
      </c>
      <c r="O2592" s="10" t="s">
        <v>26</v>
      </c>
      <c r="P2592" s="8" t="s">
        <v>26</v>
      </c>
      <c r="Q2592" s="8">
        <f>(2412691*100)/2623642</f>
        <v>91.959611867777696</v>
      </c>
    </row>
    <row r="2593" spans="1:17" x14ac:dyDescent="0.2">
      <c r="A2593">
        <f>YEAR(D2593)</f>
        <v>2019</v>
      </c>
      <c r="B2593" t="s">
        <v>26</v>
      </c>
      <c r="C2593" s="2" t="s">
        <v>3024</v>
      </c>
      <c r="D2593" s="1">
        <v>43599</v>
      </c>
      <c r="E2593">
        <f>MONTH(D2593)</f>
        <v>5</v>
      </c>
      <c r="F2593" s="2" t="s">
        <v>2098</v>
      </c>
      <c r="G2593" t="s">
        <v>219</v>
      </c>
      <c r="H2593" t="s">
        <v>220</v>
      </c>
      <c r="I2593" t="s">
        <v>22</v>
      </c>
      <c r="J2593" s="2" t="s">
        <v>42</v>
      </c>
      <c r="K2593" s="2" t="s">
        <v>3019</v>
      </c>
      <c r="L2593" t="s">
        <v>25</v>
      </c>
      <c r="M2593" s="10" t="s">
        <v>26</v>
      </c>
      <c r="N2593" t="s">
        <v>26</v>
      </c>
      <c r="O2593" s="10" t="s">
        <v>26</v>
      </c>
      <c r="P2593" s="8" t="s">
        <v>26</v>
      </c>
      <c r="Q2593" s="8">
        <f>(2412691*100)/2623642</f>
        <v>91.959611867777696</v>
      </c>
    </row>
    <row r="2594" spans="1:17" x14ac:dyDescent="0.2">
      <c r="A2594">
        <f>YEAR(D2594)</f>
        <v>2019</v>
      </c>
      <c r="B2594" t="s">
        <v>26</v>
      </c>
      <c r="C2594" s="2" t="s">
        <v>3024</v>
      </c>
      <c r="D2594" s="1">
        <v>43599</v>
      </c>
      <c r="E2594">
        <f>MONTH(D2594)</f>
        <v>5</v>
      </c>
      <c r="F2594" s="2" t="s">
        <v>2098</v>
      </c>
      <c r="G2594" t="s">
        <v>219</v>
      </c>
      <c r="H2594" t="s">
        <v>220</v>
      </c>
      <c r="I2594" t="s">
        <v>22</v>
      </c>
      <c r="J2594" s="2" t="s">
        <v>42</v>
      </c>
      <c r="K2594" s="2" t="s">
        <v>3019</v>
      </c>
      <c r="L2594" t="s">
        <v>25</v>
      </c>
      <c r="M2594" s="10" t="s">
        <v>26</v>
      </c>
      <c r="N2594" t="s">
        <v>26</v>
      </c>
      <c r="O2594" s="10" t="s">
        <v>26</v>
      </c>
      <c r="P2594" s="8" t="s">
        <v>26</v>
      </c>
      <c r="Q2594" s="8">
        <f>(2412691*100)/2623642</f>
        <v>91.959611867777696</v>
      </c>
    </row>
    <row r="2595" spans="1:17" x14ac:dyDescent="0.2">
      <c r="A2595">
        <f>YEAR(D2595)</f>
        <v>2019</v>
      </c>
      <c r="B2595" t="s">
        <v>26</v>
      </c>
      <c r="C2595" s="2" t="s">
        <v>3024</v>
      </c>
      <c r="D2595" s="1">
        <v>43599</v>
      </c>
      <c r="E2595">
        <f>MONTH(D2595)</f>
        <v>5</v>
      </c>
      <c r="F2595" s="2" t="s">
        <v>2098</v>
      </c>
      <c r="G2595" t="s">
        <v>219</v>
      </c>
      <c r="H2595" t="s">
        <v>220</v>
      </c>
      <c r="I2595" t="s">
        <v>22</v>
      </c>
      <c r="J2595" s="2" t="s">
        <v>42</v>
      </c>
      <c r="K2595" s="2" t="s">
        <v>3019</v>
      </c>
      <c r="L2595" t="s">
        <v>25</v>
      </c>
      <c r="M2595" s="10" t="s">
        <v>26</v>
      </c>
      <c r="N2595" t="s">
        <v>26</v>
      </c>
      <c r="O2595" s="10" t="s">
        <v>26</v>
      </c>
      <c r="P2595" s="8" t="s">
        <v>26</v>
      </c>
      <c r="Q2595" s="8">
        <f>(2412691*100)/2623642</f>
        <v>91.959611867777696</v>
      </c>
    </row>
    <row r="2596" spans="1:17" x14ac:dyDescent="0.2">
      <c r="A2596">
        <f>YEAR(D2596)</f>
        <v>2019</v>
      </c>
      <c r="B2596" t="s">
        <v>26</v>
      </c>
      <c r="C2596" s="2" t="s">
        <v>3024</v>
      </c>
      <c r="D2596" s="1">
        <v>43599</v>
      </c>
      <c r="E2596">
        <f>MONTH(D2596)</f>
        <v>5</v>
      </c>
      <c r="F2596" s="2" t="s">
        <v>2098</v>
      </c>
      <c r="G2596" t="s">
        <v>1735</v>
      </c>
      <c r="H2596" t="s">
        <v>1736</v>
      </c>
      <c r="I2596" t="s">
        <v>22</v>
      </c>
      <c r="J2596" s="2" t="s">
        <v>42</v>
      </c>
      <c r="K2596" s="2" t="s">
        <v>3019</v>
      </c>
      <c r="L2596" t="s">
        <v>25</v>
      </c>
      <c r="M2596" s="8">
        <v>4.1156666670000002</v>
      </c>
      <c r="N2596" t="s">
        <v>26</v>
      </c>
      <c r="O2596" s="8">
        <v>4.1156666670000002</v>
      </c>
      <c r="P2596" s="8">
        <f>EXP(-1.363+3.366*LOG(O2596,10))</f>
        <v>2.0242630151675414</v>
      </c>
      <c r="Q2596" s="8">
        <f>(2412691*100)/2623642</f>
        <v>91.959611867777696</v>
      </c>
    </row>
    <row r="2597" spans="1:17" x14ac:dyDescent="0.2">
      <c r="A2597">
        <f>YEAR(D2597)</f>
        <v>2019</v>
      </c>
      <c r="B2597" t="s">
        <v>26</v>
      </c>
      <c r="C2597" s="2" t="s">
        <v>3024</v>
      </c>
      <c r="D2597" s="1">
        <v>43599</v>
      </c>
      <c r="E2597">
        <f>MONTH(D2597)</f>
        <v>5</v>
      </c>
      <c r="F2597" s="2" t="s">
        <v>2098</v>
      </c>
      <c r="G2597" t="s">
        <v>219</v>
      </c>
      <c r="H2597" t="s">
        <v>220</v>
      </c>
      <c r="I2597" t="s">
        <v>22</v>
      </c>
      <c r="J2597" s="2" t="s">
        <v>42</v>
      </c>
      <c r="K2597" s="2" t="s">
        <v>3019</v>
      </c>
      <c r="L2597" t="s">
        <v>25</v>
      </c>
      <c r="M2597" s="10" t="s">
        <v>26</v>
      </c>
      <c r="N2597" t="s">
        <v>26</v>
      </c>
      <c r="O2597" s="10" t="s">
        <v>26</v>
      </c>
      <c r="P2597" s="8" t="s">
        <v>26</v>
      </c>
      <c r="Q2597" s="8">
        <f>(2412691*100)/2623642</f>
        <v>91.959611867777696</v>
      </c>
    </row>
    <row r="2598" spans="1:17" x14ac:dyDescent="0.2">
      <c r="A2598">
        <f>YEAR(D2598)</f>
        <v>2019</v>
      </c>
      <c r="B2598" t="s">
        <v>26</v>
      </c>
      <c r="C2598" s="2" t="s">
        <v>3024</v>
      </c>
      <c r="D2598" s="1">
        <v>43599</v>
      </c>
      <c r="E2598">
        <f>MONTH(D2598)</f>
        <v>5</v>
      </c>
      <c r="F2598" s="2" t="s">
        <v>2098</v>
      </c>
      <c r="G2598" t="s">
        <v>219</v>
      </c>
      <c r="H2598" t="s">
        <v>220</v>
      </c>
      <c r="I2598" t="s">
        <v>22</v>
      </c>
      <c r="J2598" s="2" t="s">
        <v>42</v>
      </c>
      <c r="K2598" s="2" t="s">
        <v>3019</v>
      </c>
      <c r="L2598" t="s">
        <v>25</v>
      </c>
      <c r="M2598" s="10" t="s">
        <v>26</v>
      </c>
      <c r="N2598" t="s">
        <v>26</v>
      </c>
      <c r="O2598" s="10" t="s">
        <v>26</v>
      </c>
      <c r="P2598" s="8" t="s">
        <v>26</v>
      </c>
      <c r="Q2598" s="8">
        <f>(2412691*100)/2623642</f>
        <v>91.959611867777696</v>
      </c>
    </row>
    <row r="2599" spans="1:17" x14ac:dyDescent="0.2">
      <c r="A2599">
        <f>YEAR(D2599)</f>
        <v>2019</v>
      </c>
      <c r="B2599" t="s">
        <v>26</v>
      </c>
      <c r="C2599" s="2" t="s">
        <v>3024</v>
      </c>
      <c r="D2599" s="1">
        <v>43599</v>
      </c>
      <c r="E2599">
        <f>MONTH(D2599)</f>
        <v>5</v>
      </c>
      <c r="F2599" s="2" t="s">
        <v>2098</v>
      </c>
      <c r="G2599" t="s">
        <v>219</v>
      </c>
      <c r="H2599" t="s">
        <v>220</v>
      </c>
      <c r="I2599" t="s">
        <v>22</v>
      </c>
      <c r="J2599" s="2" t="s">
        <v>42</v>
      </c>
      <c r="K2599" s="2" t="s">
        <v>3019</v>
      </c>
      <c r="L2599" t="s">
        <v>25</v>
      </c>
      <c r="M2599" s="10" t="s">
        <v>26</v>
      </c>
      <c r="N2599" t="s">
        <v>26</v>
      </c>
      <c r="O2599" s="10" t="s">
        <v>26</v>
      </c>
      <c r="P2599" s="8" t="s">
        <v>26</v>
      </c>
      <c r="Q2599" s="8">
        <f>(2412691*100)/2623642</f>
        <v>91.959611867777696</v>
      </c>
    </row>
    <row r="2600" spans="1:17" x14ac:dyDescent="0.2">
      <c r="A2600">
        <f>YEAR(D2600)</f>
        <v>2019</v>
      </c>
      <c r="B2600" t="s">
        <v>26</v>
      </c>
      <c r="C2600" s="2" t="s">
        <v>3024</v>
      </c>
      <c r="D2600" s="1">
        <v>43599</v>
      </c>
      <c r="E2600">
        <f>MONTH(D2600)</f>
        <v>5</v>
      </c>
      <c r="F2600" s="2" t="s">
        <v>2098</v>
      </c>
      <c r="G2600" t="s">
        <v>219</v>
      </c>
      <c r="H2600" t="s">
        <v>220</v>
      </c>
      <c r="I2600" t="s">
        <v>22</v>
      </c>
      <c r="J2600" s="2" t="s">
        <v>42</v>
      </c>
      <c r="K2600" s="2" t="s">
        <v>3019</v>
      </c>
      <c r="L2600" t="s">
        <v>25</v>
      </c>
      <c r="M2600" s="10" t="s">
        <v>26</v>
      </c>
      <c r="N2600" t="s">
        <v>26</v>
      </c>
      <c r="O2600" s="10" t="s">
        <v>26</v>
      </c>
      <c r="P2600" s="8" t="s">
        <v>26</v>
      </c>
      <c r="Q2600" s="8">
        <f>(2412691*100)/2623642</f>
        <v>91.959611867777696</v>
      </c>
    </row>
    <row r="2601" spans="1:17" x14ac:dyDescent="0.2">
      <c r="A2601">
        <f>YEAR(D2601)</f>
        <v>2019</v>
      </c>
      <c r="B2601" t="s">
        <v>26</v>
      </c>
      <c r="C2601" s="2" t="s">
        <v>3024</v>
      </c>
      <c r="D2601" s="1">
        <v>43599</v>
      </c>
      <c r="E2601">
        <f>MONTH(D2601)</f>
        <v>5</v>
      </c>
      <c r="F2601" s="2" t="s">
        <v>2098</v>
      </c>
      <c r="G2601" t="s">
        <v>219</v>
      </c>
      <c r="H2601" t="s">
        <v>220</v>
      </c>
      <c r="I2601" t="s">
        <v>22</v>
      </c>
      <c r="J2601" s="2" t="s">
        <v>42</v>
      </c>
      <c r="K2601" s="2" t="s">
        <v>3019</v>
      </c>
      <c r="L2601" t="s">
        <v>25</v>
      </c>
      <c r="M2601" s="10" t="s">
        <v>26</v>
      </c>
      <c r="N2601" t="s">
        <v>26</v>
      </c>
      <c r="O2601" s="10" t="s">
        <v>26</v>
      </c>
      <c r="P2601" s="8" t="s">
        <v>26</v>
      </c>
      <c r="Q2601" s="8">
        <f>(2412691*100)/2623642</f>
        <v>91.959611867777696</v>
      </c>
    </row>
    <row r="2602" spans="1:17" x14ac:dyDescent="0.2">
      <c r="A2602">
        <f>YEAR(D2602)</f>
        <v>2019</v>
      </c>
      <c r="B2602" t="s">
        <v>26</v>
      </c>
      <c r="C2602" s="2" t="s">
        <v>3024</v>
      </c>
      <c r="D2602" s="1">
        <v>43599</v>
      </c>
      <c r="E2602">
        <f>MONTH(D2602)</f>
        <v>5</v>
      </c>
      <c r="F2602" s="2" t="s">
        <v>2098</v>
      </c>
      <c r="G2602" t="s">
        <v>219</v>
      </c>
      <c r="H2602" t="s">
        <v>220</v>
      </c>
      <c r="I2602" t="s">
        <v>22</v>
      </c>
      <c r="J2602" s="2" t="s">
        <v>42</v>
      </c>
      <c r="K2602" s="2" t="s">
        <v>3019</v>
      </c>
      <c r="L2602" t="s">
        <v>25</v>
      </c>
      <c r="M2602" s="10" t="s">
        <v>26</v>
      </c>
      <c r="N2602" t="s">
        <v>26</v>
      </c>
      <c r="O2602" s="10" t="s">
        <v>26</v>
      </c>
      <c r="P2602" s="8" t="s">
        <v>26</v>
      </c>
      <c r="Q2602" s="8">
        <f>(2412691*100)/2623642</f>
        <v>91.959611867777696</v>
      </c>
    </row>
    <row r="2603" spans="1:17" x14ac:dyDescent="0.2">
      <c r="A2603">
        <f>YEAR(D2603)</f>
        <v>2019</v>
      </c>
      <c r="B2603" t="s">
        <v>26</v>
      </c>
      <c r="C2603" s="2" t="s">
        <v>3024</v>
      </c>
      <c r="D2603" s="1">
        <v>43599</v>
      </c>
      <c r="E2603">
        <f>MONTH(D2603)</f>
        <v>5</v>
      </c>
      <c r="F2603" s="2" t="s">
        <v>2098</v>
      </c>
      <c r="G2603" t="s">
        <v>219</v>
      </c>
      <c r="H2603" t="s">
        <v>220</v>
      </c>
      <c r="I2603" t="s">
        <v>22</v>
      </c>
      <c r="J2603" s="2" t="s">
        <v>42</v>
      </c>
      <c r="K2603" s="2" t="s">
        <v>3019</v>
      </c>
      <c r="L2603" t="s">
        <v>25</v>
      </c>
      <c r="M2603" s="10" t="s">
        <v>26</v>
      </c>
      <c r="N2603" t="s">
        <v>26</v>
      </c>
      <c r="O2603" s="10" t="s">
        <v>26</v>
      </c>
      <c r="P2603" s="8" t="s">
        <v>26</v>
      </c>
      <c r="Q2603" s="8">
        <f>(2412691*100)/2623642</f>
        <v>91.959611867777696</v>
      </c>
    </row>
    <row r="2604" spans="1:17" x14ac:dyDescent="0.2">
      <c r="A2604">
        <f>YEAR(D2604)</f>
        <v>2019</v>
      </c>
      <c r="B2604" t="s">
        <v>26</v>
      </c>
      <c r="C2604" s="2" t="s">
        <v>3024</v>
      </c>
      <c r="D2604" s="1">
        <v>43599</v>
      </c>
      <c r="E2604">
        <f>MONTH(D2604)</f>
        <v>5</v>
      </c>
      <c r="F2604" s="2" t="s">
        <v>2098</v>
      </c>
      <c r="G2604" t="s">
        <v>219</v>
      </c>
      <c r="H2604" t="s">
        <v>220</v>
      </c>
      <c r="I2604" t="s">
        <v>22</v>
      </c>
      <c r="J2604" s="2" t="s">
        <v>42</v>
      </c>
      <c r="K2604" s="2" t="s">
        <v>3019</v>
      </c>
      <c r="L2604" t="s">
        <v>25</v>
      </c>
      <c r="M2604" s="10" t="s">
        <v>26</v>
      </c>
      <c r="N2604" t="s">
        <v>26</v>
      </c>
      <c r="O2604" s="10" t="s">
        <v>26</v>
      </c>
      <c r="P2604" s="8" t="s">
        <v>26</v>
      </c>
      <c r="Q2604" s="8">
        <f>(2412691*100)/2623642</f>
        <v>91.959611867777696</v>
      </c>
    </row>
    <row r="2605" spans="1:17" x14ac:dyDescent="0.2">
      <c r="A2605">
        <f>YEAR(D2605)</f>
        <v>2019</v>
      </c>
      <c r="B2605" t="s">
        <v>26</v>
      </c>
      <c r="C2605" s="2" t="s">
        <v>3024</v>
      </c>
      <c r="D2605" s="1">
        <v>43599</v>
      </c>
      <c r="E2605">
        <f>MONTH(D2605)</f>
        <v>5</v>
      </c>
      <c r="F2605" s="2" t="s">
        <v>2098</v>
      </c>
      <c r="G2605" t="s">
        <v>219</v>
      </c>
      <c r="H2605" t="s">
        <v>220</v>
      </c>
      <c r="I2605" t="s">
        <v>22</v>
      </c>
      <c r="J2605" s="2" t="s">
        <v>42</v>
      </c>
      <c r="K2605" s="2" t="s">
        <v>3019</v>
      </c>
      <c r="L2605" t="s">
        <v>25</v>
      </c>
      <c r="M2605" s="10" t="s">
        <v>26</v>
      </c>
      <c r="N2605" t="s">
        <v>26</v>
      </c>
      <c r="O2605" s="10" t="s">
        <v>26</v>
      </c>
      <c r="P2605" s="8" t="s">
        <v>26</v>
      </c>
      <c r="Q2605" s="8">
        <f>(2412691*100)/2623642</f>
        <v>91.959611867777696</v>
      </c>
    </row>
    <row r="2606" spans="1:17" x14ac:dyDescent="0.2">
      <c r="A2606">
        <f>YEAR(D2606)</f>
        <v>2019</v>
      </c>
      <c r="B2606" t="s">
        <v>26</v>
      </c>
      <c r="C2606" s="2" t="s">
        <v>3024</v>
      </c>
      <c r="D2606" s="1">
        <v>43599</v>
      </c>
      <c r="E2606">
        <f>MONTH(D2606)</f>
        <v>5</v>
      </c>
      <c r="F2606" s="2" t="s">
        <v>2098</v>
      </c>
      <c r="G2606" t="s">
        <v>219</v>
      </c>
      <c r="H2606" t="s">
        <v>220</v>
      </c>
      <c r="I2606" t="s">
        <v>22</v>
      </c>
      <c r="J2606" s="2" t="s">
        <v>42</v>
      </c>
      <c r="K2606" s="2" t="s">
        <v>3019</v>
      </c>
      <c r="L2606" t="s">
        <v>25</v>
      </c>
      <c r="M2606" s="10" t="s">
        <v>26</v>
      </c>
      <c r="N2606" t="s">
        <v>26</v>
      </c>
      <c r="O2606" s="10" t="s">
        <v>26</v>
      </c>
      <c r="P2606" s="8" t="s">
        <v>26</v>
      </c>
      <c r="Q2606" s="8">
        <f>(2412691*100)/2623642</f>
        <v>91.959611867777696</v>
      </c>
    </row>
    <row r="2607" spans="1:17" x14ac:dyDescent="0.2">
      <c r="A2607">
        <f>YEAR(D2607)</f>
        <v>2019</v>
      </c>
      <c r="B2607" t="s">
        <v>26</v>
      </c>
      <c r="C2607" s="2" t="s">
        <v>3024</v>
      </c>
      <c r="D2607" s="1">
        <v>43599</v>
      </c>
      <c r="E2607">
        <f>MONTH(D2607)</f>
        <v>5</v>
      </c>
      <c r="F2607" s="2" t="s">
        <v>2098</v>
      </c>
      <c r="G2607" t="s">
        <v>219</v>
      </c>
      <c r="H2607" t="s">
        <v>220</v>
      </c>
      <c r="I2607" t="s">
        <v>22</v>
      </c>
      <c r="J2607" s="2" t="s">
        <v>42</v>
      </c>
      <c r="K2607" s="2" t="s">
        <v>3019</v>
      </c>
      <c r="L2607" t="s">
        <v>25</v>
      </c>
      <c r="M2607" s="10" t="s">
        <v>26</v>
      </c>
      <c r="N2607" t="s">
        <v>26</v>
      </c>
      <c r="O2607" s="10" t="s">
        <v>26</v>
      </c>
      <c r="P2607" s="8" t="s">
        <v>26</v>
      </c>
      <c r="Q2607" s="8">
        <f>(2412691*100)/2623642</f>
        <v>91.959611867777696</v>
      </c>
    </row>
    <row r="2608" spans="1:17" x14ac:dyDescent="0.2">
      <c r="A2608">
        <f>YEAR(D2608)</f>
        <v>2019</v>
      </c>
      <c r="B2608" t="s">
        <v>26</v>
      </c>
      <c r="C2608" s="2" t="s">
        <v>3024</v>
      </c>
      <c r="D2608" s="1">
        <v>43599</v>
      </c>
      <c r="E2608">
        <f>MONTH(D2608)</f>
        <v>5</v>
      </c>
      <c r="F2608" s="2" t="s">
        <v>2098</v>
      </c>
      <c r="G2608" t="s">
        <v>219</v>
      </c>
      <c r="H2608" t="s">
        <v>220</v>
      </c>
      <c r="I2608" t="s">
        <v>22</v>
      </c>
      <c r="J2608" s="2" t="s">
        <v>42</v>
      </c>
      <c r="K2608" s="2" t="s">
        <v>3019</v>
      </c>
      <c r="L2608" t="s">
        <v>25</v>
      </c>
      <c r="M2608" s="10" t="s">
        <v>26</v>
      </c>
      <c r="N2608" t="s">
        <v>26</v>
      </c>
      <c r="O2608" s="10" t="s">
        <v>26</v>
      </c>
      <c r="P2608" s="8" t="s">
        <v>26</v>
      </c>
      <c r="Q2608" s="8">
        <f>(2412691*100)/2623642</f>
        <v>91.959611867777696</v>
      </c>
    </row>
    <row r="2609" spans="1:17" x14ac:dyDescent="0.2">
      <c r="A2609">
        <f>YEAR(D2609)</f>
        <v>2019</v>
      </c>
      <c r="B2609" t="s">
        <v>26</v>
      </c>
      <c r="C2609" s="2" t="s">
        <v>3024</v>
      </c>
      <c r="D2609" s="1">
        <v>43599</v>
      </c>
      <c r="E2609">
        <f>MONTH(D2609)</f>
        <v>5</v>
      </c>
      <c r="F2609" s="2" t="s">
        <v>2098</v>
      </c>
      <c r="G2609" t="s">
        <v>219</v>
      </c>
      <c r="H2609" t="s">
        <v>220</v>
      </c>
      <c r="I2609" t="s">
        <v>22</v>
      </c>
      <c r="J2609" s="2" t="s">
        <v>42</v>
      </c>
      <c r="K2609" s="2" t="s">
        <v>3019</v>
      </c>
      <c r="L2609" t="s">
        <v>25</v>
      </c>
      <c r="M2609" s="10" t="s">
        <v>26</v>
      </c>
      <c r="N2609" t="s">
        <v>26</v>
      </c>
      <c r="O2609" s="10" t="s">
        <v>26</v>
      </c>
      <c r="P2609" s="8" t="s">
        <v>26</v>
      </c>
      <c r="Q2609" s="8">
        <f>(2412691*100)/2623642</f>
        <v>91.959611867777696</v>
      </c>
    </row>
    <row r="2610" spans="1:17" x14ac:dyDescent="0.2">
      <c r="A2610">
        <f>YEAR(D2610)</f>
        <v>2019</v>
      </c>
      <c r="B2610" t="s">
        <v>26</v>
      </c>
      <c r="C2610" s="2" t="s">
        <v>3024</v>
      </c>
      <c r="D2610" s="1">
        <v>43599</v>
      </c>
      <c r="E2610">
        <f>MONTH(D2610)</f>
        <v>5</v>
      </c>
      <c r="F2610" s="2" t="s">
        <v>2098</v>
      </c>
      <c r="G2610" t="s">
        <v>219</v>
      </c>
      <c r="H2610" t="s">
        <v>220</v>
      </c>
      <c r="I2610" t="s">
        <v>22</v>
      </c>
      <c r="J2610" s="2" t="s">
        <v>42</v>
      </c>
      <c r="K2610" s="2" t="s">
        <v>3019</v>
      </c>
      <c r="L2610" t="s">
        <v>25</v>
      </c>
      <c r="M2610" s="10" t="s">
        <v>26</v>
      </c>
      <c r="N2610" t="s">
        <v>26</v>
      </c>
      <c r="O2610" s="10" t="s">
        <v>26</v>
      </c>
      <c r="P2610" s="8" t="s">
        <v>26</v>
      </c>
      <c r="Q2610" s="8">
        <f>(2412691*100)/2623642</f>
        <v>91.959611867777696</v>
      </c>
    </row>
    <row r="2611" spans="1:17" x14ac:dyDescent="0.2">
      <c r="A2611">
        <f>YEAR(D2611)</f>
        <v>2019</v>
      </c>
      <c r="B2611" t="s">
        <v>26</v>
      </c>
      <c r="C2611" s="2" t="s">
        <v>3024</v>
      </c>
      <c r="D2611" s="1">
        <v>43599</v>
      </c>
      <c r="E2611">
        <f>MONTH(D2611)</f>
        <v>5</v>
      </c>
      <c r="F2611" s="2" t="s">
        <v>2098</v>
      </c>
      <c r="G2611" t="s">
        <v>219</v>
      </c>
      <c r="H2611" t="s">
        <v>220</v>
      </c>
      <c r="I2611" t="s">
        <v>22</v>
      </c>
      <c r="J2611" s="2" t="s">
        <v>42</v>
      </c>
      <c r="K2611" s="2" t="s">
        <v>3019</v>
      </c>
      <c r="L2611" t="s">
        <v>25</v>
      </c>
      <c r="M2611" s="10" t="s">
        <v>26</v>
      </c>
      <c r="N2611" t="s">
        <v>26</v>
      </c>
      <c r="O2611" s="10" t="s">
        <v>26</v>
      </c>
      <c r="P2611" s="8" t="s">
        <v>26</v>
      </c>
      <c r="Q2611" s="8">
        <f>(2412691*100)/2623642</f>
        <v>91.959611867777696</v>
      </c>
    </row>
    <row r="2612" spans="1:17" x14ac:dyDescent="0.2">
      <c r="A2612">
        <f>YEAR(D2612)</f>
        <v>2019</v>
      </c>
      <c r="B2612" t="s">
        <v>26</v>
      </c>
      <c r="C2612" s="2" t="s">
        <v>3024</v>
      </c>
      <c r="D2612" s="1">
        <v>43599</v>
      </c>
      <c r="E2612">
        <f>MONTH(D2612)</f>
        <v>5</v>
      </c>
      <c r="F2612" s="2" t="s">
        <v>2098</v>
      </c>
      <c r="G2612" t="s">
        <v>352</v>
      </c>
      <c r="H2612" t="s">
        <v>975</v>
      </c>
      <c r="I2612" t="s">
        <v>22</v>
      </c>
      <c r="J2612" s="2" t="s">
        <v>42</v>
      </c>
      <c r="K2612" s="2" t="s">
        <v>3019</v>
      </c>
      <c r="L2612" t="s">
        <v>25</v>
      </c>
      <c r="M2612" s="8">
        <v>1.0693333330000001</v>
      </c>
      <c r="N2612" t="s">
        <v>26</v>
      </c>
      <c r="O2612" s="8">
        <v>1.0693333330000001</v>
      </c>
      <c r="P2612" s="8">
        <f>EXP(-1.363+3.366*LOG(O2612,10))</f>
        <v>0.28223780327142356</v>
      </c>
      <c r="Q2612" s="8">
        <f>(2412691*100)/2623642</f>
        <v>91.959611867777696</v>
      </c>
    </row>
    <row r="2613" spans="1:17" x14ac:dyDescent="0.2">
      <c r="A2613">
        <f>YEAR(D2613)</f>
        <v>2019</v>
      </c>
      <c r="B2613" t="s">
        <v>26</v>
      </c>
      <c r="C2613" s="2" t="s">
        <v>50</v>
      </c>
      <c r="D2613" s="1">
        <v>43600</v>
      </c>
      <c r="E2613">
        <f>MONTH(D2613)</f>
        <v>5</v>
      </c>
      <c r="F2613" s="2" t="s">
        <v>2098</v>
      </c>
      <c r="G2613" t="s">
        <v>219</v>
      </c>
      <c r="H2613" t="s">
        <v>220</v>
      </c>
      <c r="I2613" t="s">
        <v>22</v>
      </c>
      <c r="J2613" s="2" t="s">
        <v>42</v>
      </c>
      <c r="K2613" s="2" t="s">
        <v>3019</v>
      </c>
      <c r="L2613" t="s">
        <v>25</v>
      </c>
      <c r="M2613" s="10" t="s">
        <v>26</v>
      </c>
      <c r="N2613" t="s">
        <v>26</v>
      </c>
      <c r="O2613" s="10" t="s">
        <v>26</v>
      </c>
      <c r="P2613" s="8" t="s">
        <v>26</v>
      </c>
      <c r="Q2613" s="8">
        <f>(4488342*100)/4914798</f>
        <v>91.323020803703429</v>
      </c>
    </row>
    <row r="2614" spans="1:17" x14ac:dyDescent="0.2">
      <c r="A2614">
        <f>YEAR(D2614)</f>
        <v>2019</v>
      </c>
      <c r="B2614" t="s">
        <v>26</v>
      </c>
      <c r="C2614" s="2" t="s">
        <v>50</v>
      </c>
      <c r="D2614" s="1">
        <v>43600</v>
      </c>
      <c r="E2614">
        <f>MONTH(D2614)</f>
        <v>5</v>
      </c>
      <c r="F2614" s="2" t="s">
        <v>2098</v>
      </c>
      <c r="G2614" t="s">
        <v>219</v>
      </c>
      <c r="H2614" t="s">
        <v>220</v>
      </c>
      <c r="I2614" t="s">
        <v>22</v>
      </c>
      <c r="J2614" s="2" t="s">
        <v>42</v>
      </c>
      <c r="K2614" s="2" t="s">
        <v>3019</v>
      </c>
      <c r="L2614" t="s">
        <v>25</v>
      </c>
      <c r="M2614" s="10" t="s">
        <v>26</v>
      </c>
      <c r="N2614" t="s">
        <v>26</v>
      </c>
      <c r="O2614" s="10" t="s">
        <v>26</v>
      </c>
      <c r="P2614" s="8" t="s">
        <v>26</v>
      </c>
      <c r="Q2614" s="8">
        <f>(4488342*100)/4914798</f>
        <v>91.323020803703429</v>
      </c>
    </row>
    <row r="2615" spans="1:17" x14ac:dyDescent="0.2">
      <c r="A2615">
        <f>YEAR(D2615)</f>
        <v>2019</v>
      </c>
      <c r="B2615" t="s">
        <v>26</v>
      </c>
      <c r="C2615" s="2" t="s">
        <v>50</v>
      </c>
      <c r="D2615" s="1">
        <v>43600</v>
      </c>
      <c r="E2615">
        <f>MONTH(D2615)</f>
        <v>5</v>
      </c>
      <c r="F2615" s="2" t="s">
        <v>2098</v>
      </c>
      <c r="G2615" t="s">
        <v>219</v>
      </c>
      <c r="H2615" t="s">
        <v>220</v>
      </c>
      <c r="I2615" t="s">
        <v>22</v>
      </c>
      <c r="J2615" s="2" t="s">
        <v>42</v>
      </c>
      <c r="K2615" s="2" t="s">
        <v>3019</v>
      </c>
      <c r="L2615" t="s">
        <v>25</v>
      </c>
      <c r="M2615" s="10" t="s">
        <v>26</v>
      </c>
      <c r="N2615" t="s">
        <v>26</v>
      </c>
      <c r="O2615" s="10" t="s">
        <v>26</v>
      </c>
      <c r="P2615" s="8" t="s">
        <v>26</v>
      </c>
      <c r="Q2615" s="8">
        <f>(4488342*100)/4914798</f>
        <v>91.323020803703429</v>
      </c>
    </row>
    <row r="2616" spans="1:17" x14ac:dyDescent="0.2">
      <c r="A2616">
        <f>YEAR(D2616)</f>
        <v>2019</v>
      </c>
      <c r="B2616" t="s">
        <v>26</v>
      </c>
      <c r="C2616" s="2" t="s">
        <v>50</v>
      </c>
      <c r="D2616" s="1">
        <v>43600</v>
      </c>
      <c r="E2616">
        <f>MONTH(D2616)</f>
        <v>5</v>
      </c>
      <c r="F2616" s="2" t="s">
        <v>2098</v>
      </c>
      <c r="G2616" t="s">
        <v>230</v>
      </c>
      <c r="H2616" t="s">
        <v>259</v>
      </c>
      <c r="I2616" t="s">
        <v>22</v>
      </c>
      <c r="J2616" s="2" t="s">
        <v>42</v>
      </c>
      <c r="K2616" s="2" t="s">
        <v>3019</v>
      </c>
      <c r="L2616" t="s">
        <v>25</v>
      </c>
      <c r="M2616" s="8">
        <v>4.2283333330000001</v>
      </c>
      <c r="N2616" t="s">
        <v>26</v>
      </c>
      <c r="O2616" s="8">
        <v>4.2283333330000001</v>
      </c>
      <c r="P2616" s="8">
        <f>EXP(-1.363+3.366*LOG(O2616,10))</f>
        <v>2.1057792396965977</v>
      </c>
      <c r="Q2616" s="8">
        <f>(4488342*100)/4914798</f>
        <v>91.323020803703429</v>
      </c>
    </row>
    <row r="2617" spans="1:17" x14ac:dyDescent="0.2">
      <c r="A2617">
        <f>YEAR(D2617)</f>
        <v>2019</v>
      </c>
      <c r="B2617" t="s">
        <v>26</v>
      </c>
      <c r="C2617" s="2" t="s">
        <v>50</v>
      </c>
      <c r="D2617" s="1">
        <v>43600</v>
      </c>
      <c r="E2617">
        <f>MONTH(D2617)</f>
        <v>5</v>
      </c>
      <c r="F2617" s="2" t="s">
        <v>2098</v>
      </c>
      <c r="G2617" s="2" t="s">
        <v>20</v>
      </c>
      <c r="H2617" t="s">
        <v>3049</v>
      </c>
      <c r="I2617" t="s">
        <v>36</v>
      </c>
      <c r="J2617" s="2" t="s">
        <v>42</v>
      </c>
      <c r="K2617" s="2" t="s">
        <v>3019</v>
      </c>
      <c r="L2617" t="s">
        <v>187</v>
      </c>
      <c r="M2617" s="8">
        <v>1.8126666666666669</v>
      </c>
      <c r="N2617" t="s">
        <v>26</v>
      </c>
      <c r="O2617" s="8">
        <v>1.8126666666666669</v>
      </c>
      <c r="P2617" s="8">
        <f>EXP(-1.363+3.366*LOG(O2617,10))</f>
        <v>0.61048485990341428</v>
      </c>
      <c r="Q2617" s="8">
        <f>(4488342*100)/4914798</f>
        <v>91.323020803703429</v>
      </c>
    </row>
    <row r="2618" spans="1:17" x14ac:dyDescent="0.2">
      <c r="A2618">
        <f>YEAR(D2618)</f>
        <v>2019</v>
      </c>
      <c r="B2618" t="s">
        <v>26</v>
      </c>
      <c r="C2618" s="2" t="s">
        <v>50</v>
      </c>
      <c r="D2618" s="1">
        <v>43600</v>
      </c>
      <c r="E2618">
        <f>MONTH(D2618)</f>
        <v>5</v>
      </c>
      <c r="F2618" s="2" t="s">
        <v>2098</v>
      </c>
      <c r="G2618" t="s">
        <v>352</v>
      </c>
      <c r="H2618" t="s">
        <v>353</v>
      </c>
      <c r="I2618" t="s">
        <v>22</v>
      </c>
      <c r="J2618" s="2" t="s">
        <v>42</v>
      </c>
      <c r="K2618" s="2" t="s">
        <v>3019</v>
      </c>
      <c r="L2618" t="s">
        <v>25</v>
      </c>
      <c r="M2618" s="8">
        <v>1.1623333330000001</v>
      </c>
      <c r="N2618" t="s">
        <v>26</v>
      </c>
      <c r="O2618" s="8">
        <v>1.1623333330000001</v>
      </c>
      <c r="P2618" s="8">
        <f>EXP(-1.363+3.366*LOG(O2618,10))</f>
        <v>0.31883010989102206</v>
      </c>
      <c r="Q2618" s="8">
        <f>(4488342*100)/4914798</f>
        <v>91.323020803703429</v>
      </c>
    </row>
    <row r="2619" spans="1:17" x14ac:dyDescent="0.2">
      <c r="A2619">
        <f>YEAR(D2619)</f>
        <v>2019</v>
      </c>
      <c r="B2619" t="s">
        <v>26</v>
      </c>
      <c r="C2619" s="2" t="s">
        <v>50</v>
      </c>
      <c r="D2619" s="1">
        <v>43600</v>
      </c>
      <c r="E2619">
        <f>MONTH(D2619)</f>
        <v>5</v>
      </c>
      <c r="F2619" s="2" t="s">
        <v>2098</v>
      </c>
      <c r="G2619" t="s">
        <v>219</v>
      </c>
      <c r="H2619" t="s">
        <v>220</v>
      </c>
      <c r="I2619" t="s">
        <v>22</v>
      </c>
      <c r="J2619" s="2" t="s">
        <v>42</v>
      </c>
      <c r="K2619" s="2" t="s">
        <v>3019</v>
      </c>
      <c r="L2619" t="s">
        <v>25</v>
      </c>
      <c r="M2619" s="10" t="s">
        <v>26</v>
      </c>
      <c r="N2619" t="s">
        <v>26</v>
      </c>
      <c r="O2619" s="10" t="s">
        <v>26</v>
      </c>
      <c r="P2619" s="8" t="s">
        <v>26</v>
      </c>
      <c r="Q2619" s="8">
        <f>(4488342*100)/4914798</f>
        <v>91.323020803703429</v>
      </c>
    </row>
    <row r="2620" spans="1:17" x14ac:dyDescent="0.2">
      <c r="A2620">
        <f>YEAR(D2620)</f>
        <v>2019</v>
      </c>
      <c r="B2620" t="s">
        <v>26</v>
      </c>
      <c r="C2620" s="2" t="s">
        <v>50</v>
      </c>
      <c r="D2620" s="1">
        <v>43600</v>
      </c>
      <c r="E2620">
        <f>MONTH(D2620)</f>
        <v>5</v>
      </c>
      <c r="F2620" s="2" t="s">
        <v>2098</v>
      </c>
      <c r="G2620" t="s">
        <v>219</v>
      </c>
      <c r="H2620" t="s">
        <v>220</v>
      </c>
      <c r="I2620" t="s">
        <v>22</v>
      </c>
      <c r="J2620" s="2" t="s">
        <v>42</v>
      </c>
      <c r="K2620" s="2" t="s">
        <v>3019</v>
      </c>
      <c r="L2620" t="s">
        <v>25</v>
      </c>
      <c r="M2620" s="10" t="s">
        <v>26</v>
      </c>
      <c r="N2620" t="s">
        <v>26</v>
      </c>
      <c r="O2620" s="10" t="s">
        <v>26</v>
      </c>
      <c r="P2620" s="8" t="s">
        <v>26</v>
      </c>
      <c r="Q2620" s="8">
        <f>(4488342*100)/4914798</f>
        <v>91.323020803703429</v>
      </c>
    </row>
    <row r="2621" spans="1:17" x14ac:dyDescent="0.2">
      <c r="A2621">
        <f>YEAR(D2621)</f>
        <v>2019</v>
      </c>
      <c r="B2621" t="s">
        <v>26</v>
      </c>
      <c r="C2621" s="2" t="s">
        <v>50</v>
      </c>
      <c r="D2621" s="1">
        <v>43600</v>
      </c>
      <c r="E2621">
        <f>MONTH(D2621)</f>
        <v>5</v>
      </c>
      <c r="F2621" s="2" t="s">
        <v>2098</v>
      </c>
      <c r="G2621" t="s">
        <v>219</v>
      </c>
      <c r="H2621" t="s">
        <v>220</v>
      </c>
      <c r="I2621" t="s">
        <v>22</v>
      </c>
      <c r="J2621" s="2" t="s">
        <v>42</v>
      </c>
      <c r="K2621" s="2" t="s">
        <v>3019</v>
      </c>
      <c r="L2621" t="s">
        <v>25</v>
      </c>
      <c r="M2621" s="10" t="s">
        <v>26</v>
      </c>
      <c r="N2621" t="s">
        <v>26</v>
      </c>
      <c r="O2621" s="10" t="s">
        <v>26</v>
      </c>
      <c r="P2621" s="8" t="s">
        <v>26</v>
      </c>
      <c r="Q2621" s="8">
        <f>(4488342*100)/4914798</f>
        <v>91.323020803703429</v>
      </c>
    </row>
    <row r="2622" spans="1:17" x14ac:dyDescent="0.2">
      <c r="A2622">
        <f>YEAR(D2622)</f>
        <v>2019</v>
      </c>
      <c r="B2622" t="s">
        <v>26</v>
      </c>
      <c r="C2622" s="2" t="s">
        <v>50</v>
      </c>
      <c r="D2622" s="1">
        <v>43600</v>
      </c>
      <c r="E2622">
        <f>MONTH(D2622)</f>
        <v>5</v>
      </c>
      <c r="F2622" s="2" t="s">
        <v>2098</v>
      </c>
      <c r="G2622" t="s">
        <v>219</v>
      </c>
      <c r="H2622" t="s">
        <v>220</v>
      </c>
      <c r="I2622" t="s">
        <v>22</v>
      </c>
      <c r="J2622" s="2" t="s">
        <v>42</v>
      </c>
      <c r="K2622" s="2" t="s">
        <v>3019</v>
      </c>
      <c r="L2622" t="s">
        <v>25</v>
      </c>
      <c r="M2622" s="10" t="s">
        <v>26</v>
      </c>
      <c r="N2622" t="s">
        <v>26</v>
      </c>
      <c r="O2622" s="10" t="s">
        <v>26</v>
      </c>
      <c r="P2622" s="8" t="s">
        <v>26</v>
      </c>
      <c r="Q2622" s="8">
        <f>(4488342*100)/4914798</f>
        <v>91.323020803703429</v>
      </c>
    </row>
    <row r="2623" spans="1:17" x14ac:dyDescent="0.2">
      <c r="A2623">
        <f>YEAR(D2623)</f>
        <v>2019</v>
      </c>
      <c r="B2623" t="s">
        <v>26</v>
      </c>
      <c r="C2623" s="2" t="s">
        <v>50</v>
      </c>
      <c r="D2623" s="1">
        <v>43600</v>
      </c>
      <c r="E2623">
        <f>MONTH(D2623)</f>
        <v>5</v>
      </c>
      <c r="F2623" s="2" t="s">
        <v>2098</v>
      </c>
      <c r="G2623" t="s">
        <v>219</v>
      </c>
      <c r="H2623" t="s">
        <v>220</v>
      </c>
      <c r="I2623" t="s">
        <v>22</v>
      </c>
      <c r="J2623" s="2" t="s">
        <v>42</v>
      </c>
      <c r="K2623" s="2" t="s">
        <v>3019</v>
      </c>
      <c r="L2623" t="s">
        <v>25</v>
      </c>
      <c r="M2623" s="10" t="s">
        <v>26</v>
      </c>
      <c r="N2623" t="s">
        <v>26</v>
      </c>
      <c r="O2623" s="10" t="s">
        <v>26</v>
      </c>
      <c r="P2623" s="8" t="s">
        <v>26</v>
      </c>
      <c r="Q2623" s="8">
        <f>(4488342*100)/4914798</f>
        <v>91.323020803703429</v>
      </c>
    </row>
    <row r="2624" spans="1:17" x14ac:dyDescent="0.2">
      <c r="A2624">
        <f>YEAR(D2624)</f>
        <v>2019</v>
      </c>
      <c r="B2624" t="s">
        <v>26</v>
      </c>
      <c r="C2624" s="2" t="s">
        <v>50</v>
      </c>
      <c r="D2624" s="1">
        <v>43600</v>
      </c>
      <c r="E2624">
        <f>MONTH(D2624)</f>
        <v>5</v>
      </c>
      <c r="F2624" s="2" t="s">
        <v>2098</v>
      </c>
      <c r="G2624" t="s">
        <v>219</v>
      </c>
      <c r="H2624" t="s">
        <v>220</v>
      </c>
      <c r="I2624" t="s">
        <v>22</v>
      </c>
      <c r="J2624" s="2" t="s">
        <v>42</v>
      </c>
      <c r="K2624" s="2" t="s">
        <v>3019</v>
      </c>
      <c r="L2624" t="s">
        <v>25</v>
      </c>
      <c r="M2624" s="10" t="s">
        <v>26</v>
      </c>
      <c r="N2624" t="s">
        <v>26</v>
      </c>
      <c r="O2624" s="10" t="s">
        <v>26</v>
      </c>
      <c r="P2624" s="8" t="s">
        <v>26</v>
      </c>
      <c r="Q2624" s="8">
        <f>(4488342*100)/4914798</f>
        <v>91.323020803703429</v>
      </c>
    </row>
    <row r="2625" spans="1:17" x14ac:dyDescent="0.2">
      <c r="A2625">
        <f>YEAR(D2625)</f>
        <v>2019</v>
      </c>
      <c r="B2625" t="s">
        <v>26</v>
      </c>
      <c r="C2625" s="2" t="s">
        <v>50</v>
      </c>
      <c r="D2625" s="1">
        <v>43600</v>
      </c>
      <c r="E2625">
        <f>MONTH(D2625)</f>
        <v>5</v>
      </c>
      <c r="F2625" s="2" t="s">
        <v>2098</v>
      </c>
      <c r="G2625" t="s">
        <v>219</v>
      </c>
      <c r="H2625" t="s">
        <v>220</v>
      </c>
      <c r="I2625" t="s">
        <v>22</v>
      </c>
      <c r="J2625" s="2" t="s">
        <v>42</v>
      </c>
      <c r="K2625" s="2" t="s">
        <v>3019</v>
      </c>
      <c r="L2625" t="s">
        <v>25</v>
      </c>
      <c r="M2625" s="10" t="s">
        <v>26</v>
      </c>
      <c r="N2625" t="s">
        <v>26</v>
      </c>
      <c r="O2625" s="10" t="s">
        <v>26</v>
      </c>
      <c r="P2625" s="8" t="s">
        <v>26</v>
      </c>
      <c r="Q2625" s="8">
        <f>(4488342*100)/4914798</f>
        <v>91.323020803703429</v>
      </c>
    </row>
    <row r="2626" spans="1:17" x14ac:dyDescent="0.2">
      <c r="A2626">
        <f>YEAR(D2626)</f>
        <v>2019</v>
      </c>
      <c r="B2626" t="s">
        <v>26</v>
      </c>
      <c r="C2626" s="2" t="s">
        <v>50</v>
      </c>
      <c r="D2626" s="1">
        <v>43600</v>
      </c>
      <c r="E2626">
        <f>MONTH(D2626)</f>
        <v>5</v>
      </c>
      <c r="F2626" s="2" t="s">
        <v>2098</v>
      </c>
      <c r="G2626" t="s">
        <v>219</v>
      </c>
      <c r="H2626" t="s">
        <v>220</v>
      </c>
      <c r="I2626" t="s">
        <v>22</v>
      </c>
      <c r="J2626" s="2" t="s">
        <v>42</v>
      </c>
      <c r="K2626" s="2" t="s">
        <v>3019</v>
      </c>
      <c r="L2626" t="s">
        <v>25</v>
      </c>
      <c r="M2626" s="10" t="s">
        <v>26</v>
      </c>
      <c r="N2626" t="s">
        <v>26</v>
      </c>
      <c r="O2626" s="10" t="s">
        <v>26</v>
      </c>
      <c r="P2626" s="8" t="s">
        <v>26</v>
      </c>
      <c r="Q2626" s="8">
        <f>(4488342*100)/4914798</f>
        <v>91.323020803703429</v>
      </c>
    </row>
    <row r="2627" spans="1:17" x14ac:dyDescent="0.2">
      <c r="A2627">
        <f>YEAR(D2627)</f>
        <v>2019</v>
      </c>
      <c r="B2627" t="s">
        <v>26</v>
      </c>
      <c r="C2627" s="2" t="s">
        <v>50</v>
      </c>
      <c r="D2627" s="1">
        <v>43600</v>
      </c>
      <c r="E2627">
        <f>MONTH(D2627)</f>
        <v>5</v>
      </c>
      <c r="F2627" s="2" t="s">
        <v>2098</v>
      </c>
      <c r="G2627" t="s">
        <v>219</v>
      </c>
      <c r="H2627" t="s">
        <v>220</v>
      </c>
      <c r="I2627" t="s">
        <v>22</v>
      </c>
      <c r="J2627" s="2" t="s">
        <v>42</v>
      </c>
      <c r="K2627" s="2" t="s">
        <v>3019</v>
      </c>
      <c r="L2627" t="s">
        <v>25</v>
      </c>
      <c r="M2627" s="10" t="s">
        <v>26</v>
      </c>
      <c r="N2627" t="s">
        <v>26</v>
      </c>
      <c r="O2627" s="10" t="s">
        <v>26</v>
      </c>
      <c r="P2627" s="8" t="s">
        <v>26</v>
      </c>
      <c r="Q2627" s="8">
        <f>(4488342*100)/4914798</f>
        <v>91.323020803703429</v>
      </c>
    </row>
    <row r="2628" spans="1:17" x14ac:dyDescent="0.2">
      <c r="A2628">
        <f>YEAR(D2628)</f>
        <v>2019</v>
      </c>
      <c r="B2628" t="s">
        <v>26</v>
      </c>
      <c r="C2628" s="2" t="s">
        <v>50</v>
      </c>
      <c r="D2628" s="1">
        <v>43600</v>
      </c>
      <c r="E2628">
        <f>MONTH(D2628)</f>
        <v>5</v>
      </c>
      <c r="F2628" s="2" t="s">
        <v>2098</v>
      </c>
      <c r="G2628" t="s">
        <v>219</v>
      </c>
      <c r="H2628" t="s">
        <v>220</v>
      </c>
      <c r="I2628" t="s">
        <v>22</v>
      </c>
      <c r="J2628" s="2" t="s">
        <v>42</v>
      </c>
      <c r="K2628" s="2" t="s">
        <v>3019</v>
      </c>
      <c r="L2628" t="s">
        <v>25</v>
      </c>
      <c r="M2628" s="10" t="s">
        <v>26</v>
      </c>
      <c r="N2628" t="s">
        <v>26</v>
      </c>
      <c r="O2628" s="10" t="s">
        <v>26</v>
      </c>
      <c r="P2628" s="8" t="s">
        <v>26</v>
      </c>
      <c r="Q2628" s="8">
        <f>(4488342*100)/4914798</f>
        <v>91.323020803703429</v>
      </c>
    </row>
    <row r="2629" spans="1:17" x14ac:dyDescent="0.2">
      <c r="A2629">
        <f>YEAR(D2629)</f>
        <v>2019</v>
      </c>
      <c r="B2629" t="s">
        <v>26</v>
      </c>
      <c r="C2629" s="2" t="s">
        <v>50</v>
      </c>
      <c r="D2629" s="1">
        <v>43600</v>
      </c>
      <c r="E2629">
        <f>MONTH(D2629)</f>
        <v>5</v>
      </c>
      <c r="F2629" s="2" t="s">
        <v>2098</v>
      </c>
      <c r="G2629" t="s">
        <v>219</v>
      </c>
      <c r="H2629" t="s">
        <v>220</v>
      </c>
      <c r="I2629" t="s">
        <v>22</v>
      </c>
      <c r="J2629" s="2" t="s">
        <v>42</v>
      </c>
      <c r="K2629" s="2" t="s">
        <v>3019</v>
      </c>
      <c r="L2629" t="s">
        <v>25</v>
      </c>
      <c r="M2629" s="10" t="s">
        <v>26</v>
      </c>
      <c r="N2629" t="s">
        <v>26</v>
      </c>
      <c r="O2629" s="10" t="s">
        <v>26</v>
      </c>
      <c r="P2629" s="8" t="s">
        <v>26</v>
      </c>
      <c r="Q2629" s="8">
        <f>(4488342*100)/4914798</f>
        <v>91.323020803703429</v>
      </c>
    </row>
    <row r="2630" spans="1:17" x14ac:dyDescent="0.2">
      <c r="A2630">
        <f>YEAR(D2630)</f>
        <v>2019</v>
      </c>
      <c r="B2630" t="s">
        <v>26</v>
      </c>
      <c r="C2630" s="2" t="s">
        <v>50</v>
      </c>
      <c r="D2630" s="1">
        <v>43600</v>
      </c>
      <c r="E2630">
        <f>MONTH(D2630)</f>
        <v>5</v>
      </c>
      <c r="F2630" s="2" t="s">
        <v>2098</v>
      </c>
      <c r="G2630" t="s">
        <v>219</v>
      </c>
      <c r="H2630" t="s">
        <v>220</v>
      </c>
      <c r="I2630" t="s">
        <v>22</v>
      </c>
      <c r="J2630" s="2" t="s">
        <v>42</v>
      </c>
      <c r="K2630" s="2" t="s">
        <v>3019</v>
      </c>
      <c r="L2630" t="s">
        <v>25</v>
      </c>
      <c r="M2630" s="10" t="s">
        <v>26</v>
      </c>
      <c r="N2630" t="s">
        <v>26</v>
      </c>
      <c r="O2630" s="10" t="s">
        <v>26</v>
      </c>
      <c r="P2630" s="8" t="s">
        <v>26</v>
      </c>
      <c r="Q2630" s="8">
        <f>(4488342*100)/4914798</f>
        <v>91.323020803703429</v>
      </c>
    </row>
    <row r="2631" spans="1:17" x14ac:dyDescent="0.2">
      <c r="A2631">
        <f>YEAR(D2631)</f>
        <v>2019</v>
      </c>
      <c r="B2631" t="s">
        <v>26</v>
      </c>
      <c r="C2631" s="2" t="s">
        <v>50</v>
      </c>
      <c r="D2631" s="1">
        <v>43600</v>
      </c>
      <c r="E2631">
        <f>MONTH(D2631)</f>
        <v>5</v>
      </c>
      <c r="F2631" s="2" t="s">
        <v>2098</v>
      </c>
      <c r="G2631" t="s">
        <v>219</v>
      </c>
      <c r="H2631" t="s">
        <v>220</v>
      </c>
      <c r="I2631" t="s">
        <v>22</v>
      </c>
      <c r="J2631" s="2" t="s">
        <v>42</v>
      </c>
      <c r="K2631" s="2" t="s">
        <v>3019</v>
      </c>
      <c r="L2631" t="s">
        <v>25</v>
      </c>
      <c r="M2631" s="10" t="s">
        <v>26</v>
      </c>
      <c r="N2631" t="s">
        <v>26</v>
      </c>
      <c r="O2631" s="10" t="s">
        <v>26</v>
      </c>
      <c r="P2631" s="8" t="s">
        <v>26</v>
      </c>
      <c r="Q2631" s="8">
        <f>(4488342*100)/4914798</f>
        <v>91.323020803703429</v>
      </c>
    </row>
    <row r="2632" spans="1:17" x14ac:dyDescent="0.2">
      <c r="A2632">
        <f>YEAR(D2632)</f>
        <v>2019</v>
      </c>
      <c r="B2632" t="s">
        <v>26</v>
      </c>
      <c r="C2632" s="2" t="s">
        <v>50</v>
      </c>
      <c r="D2632" s="1">
        <v>43600</v>
      </c>
      <c r="E2632">
        <f>MONTH(D2632)</f>
        <v>5</v>
      </c>
      <c r="F2632" s="2" t="s">
        <v>2098</v>
      </c>
      <c r="G2632" t="s">
        <v>219</v>
      </c>
      <c r="H2632" t="s">
        <v>220</v>
      </c>
      <c r="I2632" t="s">
        <v>22</v>
      </c>
      <c r="J2632" s="2" t="s">
        <v>42</v>
      </c>
      <c r="K2632" s="2" t="s">
        <v>3019</v>
      </c>
      <c r="L2632" t="s">
        <v>25</v>
      </c>
      <c r="M2632" s="10" t="s">
        <v>26</v>
      </c>
      <c r="N2632" t="s">
        <v>26</v>
      </c>
      <c r="O2632" s="10" t="s">
        <v>26</v>
      </c>
      <c r="P2632" s="8" t="s">
        <v>26</v>
      </c>
      <c r="Q2632" s="8">
        <f>(4488342*100)/4914798</f>
        <v>91.323020803703429</v>
      </c>
    </row>
    <row r="2633" spans="1:17" x14ac:dyDescent="0.2">
      <c r="A2633">
        <f>YEAR(D2633)</f>
        <v>2019</v>
      </c>
      <c r="B2633" t="s">
        <v>26</v>
      </c>
      <c r="C2633" s="2" t="s">
        <v>50</v>
      </c>
      <c r="D2633" s="1">
        <v>43600</v>
      </c>
      <c r="E2633">
        <f>MONTH(D2633)</f>
        <v>5</v>
      </c>
      <c r="F2633" s="2" t="s">
        <v>2098</v>
      </c>
      <c r="G2633" t="s">
        <v>219</v>
      </c>
      <c r="H2633" t="s">
        <v>220</v>
      </c>
      <c r="I2633" t="s">
        <v>22</v>
      </c>
      <c r="J2633" s="2" t="s">
        <v>42</v>
      </c>
      <c r="K2633" s="2" t="s">
        <v>3019</v>
      </c>
      <c r="L2633" t="s">
        <v>25</v>
      </c>
      <c r="M2633" s="10" t="s">
        <v>26</v>
      </c>
      <c r="N2633" t="s">
        <v>26</v>
      </c>
      <c r="O2633" s="10" t="s">
        <v>26</v>
      </c>
      <c r="P2633" s="8" t="s">
        <v>26</v>
      </c>
      <c r="Q2633" s="8">
        <f>(4488342*100)/4914798</f>
        <v>91.323020803703429</v>
      </c>
    </row>
    <row r="2634" spans="1:17" x14ac:dyDescent="0.2">
      <c r="A2634">
        <f>YEAR(D2634)</f>
        <v>2019</v>
      </c>
      <c r="B2634" t="s">
        <v>26</v>
      </c>
      <c r="C2634" s="2" t="s">
        <v>50</v>
      </c>
      <c r="D2634" s="1">
        <v>43600</v>
      </c>
      <c r="E2634">
        <f>MONTH(D2634)</f>
        <v>5</v>
      </c>
      <c r="F2634" s="2" t="s">
        <v>2098</v>
      </c>
      <c r="G2634" t="s">
        <v>219</v>
      </c>
      <c r="H2634" t="s">
        <v>220</v>
      </c>
      <c r="I2634" t="s">
        <v>22</v>
      </c>
      <c r="J2634" s="2" t="s">
        <v>42</v>
      </c>
      <c r="K2634" s="2" t="s">
        <v>3019</v>
      </c>
      <c r="L2634" t="s">
        <v>25</v>
      </c>
      <c r="M2634" s="10" t="s">
        <v>26</v>
      </c>
      <c r="N2634" t="s">
        <v>26</v>
      </c>
      <c r="O2634" s="10" t="s">
        <v>26</v>
      </c>
      <c r="P2634" s="8" t="s">
        <v>26</v>
      </c>
      <c r="Q2634" s="8">
        <f>(4488342*100)/4914798</f>
        <v>91.323020803703429</v>
      </c>
    </row>
    <row r="2635" spans="1:17" x14ac:dyDescent="0.2">
      <c r="A2635">
        <f>YEAR(D2635)</f>
        <v>2019</v>
      </c>
      <c r="B2635" t="s">
        <v>26</v>
      </c>
      <c r="C2635" s="2" t="s">
        <v>50</v>
      </c>
      <c r="D2635" s="1">
        <v>43600</v>
      </c>
      <c r="E2635">
        <f>MONTH(D2635)</f>
        <v>5</v>
      </c>
      <c r="F2635" s="2" t="s">
        <v>2098</v>
      </c>
      <c r="G2635" t="s">
        <v>219</v>
      </c>
      <c r="H2635" t="s">
        <v>220</v>
      </c>
      <c r="I2635" t="s">
        <v>22</v>
      </c>
      <c r="J2635" s="2" t="s">
        <v>42</v>
      </c>
      <c r="K2635" s="2" t="s">
        <v>3019</v>
      </c>
      <c r="L2635" t="s">
        <v>25</v>
      </c>
      <c r="M2635" s="10" t="s">
        <v>26</v>
      </c>
      <c r="N2635" t="s">
        <v>26</v>
      </c>
      <c r="O2635" s="10" t="s">
        <v>26</v>
      </c>
      <c r="P2635" s="8" t="s">
        <v>26</v>
      </c>
      <c r="Q2635" s="8">
        <f>(4488342*100)/4914798</f>
        <v>91.323020803703429</v>
      </c>
    </row>
    <row r="2636" spans="1:17" x14ac:dyDescent="0.2">
      <c r="A2636">
        <f>YEAR(D2636)</f>
        <v>2019</v>
      </c>
      <c r="B2636" t="s">
        <v>26</v>
      </c>
      <c r="C2636" s="2" t="s">
        <v>50</v>
      </c>
      <c r="D2636" s="1">
        <v>43600</v>
      </c>
      <c r="E2636">
        <f>MONTH(D2636)</f>
        <v>5</v>
      </c>
      <c r="F2636" s="2" t="s">
        <v>2098</v>
      </c>
      <c r="G2636" t="s">
        <v>219</v>
      </c>
      <c r="H2636" t="s">
        <v>220</v>
      </c>
      <c r="I2636" t="s">
        <v>22</v>
      </c>
      <c r="J2636" s="2" t="s">
        <v>42</v>
      </c>
      <c r="K2636" s="2" t="s">
        <v>3019</v>
      </c>
      <c r="L2636" t="s">
        <v>25</v>
      </c>
      <c r="M2636" s="10" t="s">
        <v>26</v>
      </c>
      <c r="N2636" t="s">
        <v>26</v>
      </c>
      <c r="O2636" s="10" t="s">
        <v>26</v>
      </c>
      <c r="P2636" s="8" t="s">
        <v>26</v>
      </c>
      <c r="Q2636" s="8">
        <f>(4488342*100)/4914798</f>
        <v>91.323020803703429</v>
      </c>
    </row>
    <row r="2637" spans="1:17" x14ac:dyDescent="0.2">
      <c r="A2637">
        <f>YEAR(D2637)</f>
        <v>2019</v>
      </c>
      <c r="B2637" t="s">
        <v>26</v>
      </c>
      <c r="C2637" s="2" t="s">
        <v>50</v>
      </c>
      <c r="D2637" s="1">
        <v>43600</v>
      </c>
      <c r="E2637">
        <f>MONTH(D2637)</f>
        <v>5</v>
      </c>
      <c r="F2637" s="2" t="s">
        <v>2098</v>
      </c>
      <c r="G2637" t="s">
        <v>219</v>
      </c>
      <c r="H2637" t="s">
        <v>220</v>
      </c>
      <c r="I2637" t="s">
        <v>22</v>
      </c>
      <c r="J2637" s="2" t="s">
        <v>42</v>
      </c>
      <c r="K2637" s="2" t="s">
        <v>3019</v>
      </c>
      <c r="L2637" t="s">
        <v>25</v>
      </c>
      <c r="M2637" s="10" t="s">
        <v>26</v>
      </c>
      <c r="N2637" t="s">
        <v>26</v>
      </c>
      <c r="O2637" s="10" t="s">
        <v>26</v>
      </c>
      <c r="P2637" s="8" t="s">
        <v>26</v>
      </c>
      <c r="Q2637" s="8">
        <f>(4488342*100)/4914798</f>
        <v>91.323020803703429</v>
      </c>
    </row>
    <row r="2638" spans="1:17" x14ac:dyDescent="0.2">
      <c r="A2638">
        <f>YEAR(D2638)</f>
        <v>2019</v>
      </c>
      <c r="B2638" t="s">
        <v>26</v>
      </c>
      <c r="C2638" s="2" t="s">
        <v>50</v>
      </c>
      <c r="D2638" s="1">
        <v>43600</v>
      </c>
      <c r="E2638">
        <f>MONTH(D2638)</f>
        <v>5</v>
      </c>
      <c r="F2638" s="2" t="s">
        <v>2098</v>
      </c>
      <c r="G2638" t="s">
        <v>219</v>
      </c>
      <c r="H2638" t="s">
        <v>220</v>
      </c>
      <c r="I2638" t="s">
        <v>22</v>
      </c>
      <c r="J2638" s="2" t="s">
        <v>42</v>
      </c>
      <c r="K2638" s="2" t="s">
        <v>3019</v>
      </c>
      <c r="L2638" t="s">
        <v>25</v>
      </c>
      <c r="M2638" s="10" t="s">
        <v>26</v>
      </c>
      <c r="N2638" t="s">
        <v>26</v>
      </c>
      <c r="O2638" s="10" t="s">
        <v>26</v>
      </c>
      <c r="P2638" s="8" t="s">
        <v>26</v>
      </c>
      <c r="Q2638" s="8">
        <f>(4488342*100)/4914798</f>
        <v>91.323020803703429</v>
      </c>
    </row>
    <row r="2639" spans="1:17" x14ac:dyDescent="0.2">
      <c r="A2639">
        <f>YEAR(D2639)</f>
        <v>2019</v>
      </c>
      <c r="B2639" t="s">
        <v>26</v>
      </c>
      <c r="C2639" s="2" t="s">
        <v>50</v>
      </c>
      <c r="D2639" s="1">
        <v>43600</v>
      </c>
      <c r="E2639">
        <f>MONTH(D2639)</f>
        <v>5</v>
      </c>
      <c r="F2639" s="2" t="s">
        <v>2098</v>
      </c>
      <c r="G2639" t="s">
        <v>219</v>
      </c>
      <c r="H2639" t="s">
        <v>220</v>
      </c>
      <c r="I2639" t="s">
        <v>22</v>
      </c>
      <c r="J2639" s="2" t="s">
        <v>42</v>
      </c>
      <c r="K2639" s="2" t="s">
        <v>3019</v>
      </c>
      <c r="L2639" t="s">
        <v>25</v>
      </c>
      <c r="M2639" s="10" t="s">
        <v>26</v>
      </c>
      <c r="N2639" t="s">
        <v>26</v>
      </c>
      <c r="O2639" s="10" t="s">
        <v>26</v>
      </c>
      <c r="P2639" s="8" t="s">
        <v>26</v>
      </c>
      <c r="Q2639" s="8">
        <f>(4488342*100)/4914798</f>
        <v>91.323020803703429</v>
      </c>
    </row>
    <row r="2640" spans="1:17" x14ac:dyDescent="0.2">
      <c r="A2640">
        <f>YEAR(D2640)</f>
        <v>2019</v>
      </c>
      <c r="B2640" t="s">
        <v>26</v>
      </c>
      <c r="C2640" s="2" t="s">
        <v>50</v>
      </c>
      <c r="D2640" s="1">
        <v>43600</v>
      </c>
      <c r="E2640">
        <f>MONTH(D2640)</f>
        <v>5</v>
      </c>
      <c r="F2640" s="2" t="s">
        <v>2098</v>
      </c>
      <c r="G2640" t="s">
        <v>219</v>
      </c>
      <c r="H2640" t="s">
        <v>220</v>
      </c>
      <c r="I2640" t="s">
        <v>22</v>
      </c>
      <c r="J2640" s="2" t="s">
        <v>42</v>
      </c>
      <c r="K2640" s="2" t="s">
        <v>3019</v>
      </c>
      <c r="L2640" t="s">
        <v>25</v>
      </c>
      <c r="M2640" s="10" t="s">
        <v>26</v>
      </c>
      <c r="N2640" t="s">
        <v>26</v>
      </c>
      <c r="O2640" s="10" t="s">
        <v>26</v>
      </c>
      <c r="P2640" s="8" t="s">
        <v>26</v>
      </c>
      <c r="Q2640" s="8">
        <f>(4488342*100)/4914798</f>
        <v>91.323020803703429</v>
      </c>
    </row>
    <row r="2641" spans="1:17" x14ac:dyDescent="0.2">
      <c r="A2641">
        <f>YEAR(D2641)</f>
        <v>2019</v>
      </c>
      <c r="B2641" t="s">
        <v>26</v>
      </c>
      <c r="C2641" s="2" t="s">
        <v>50</v>
      </c>
      <c r="D2641" s="1">
        <v>43600</v>
      </c>
      <c r="E2641">
        <f>MONTH(D2641)</f>
        <v>5</v>
      </c>
      <c r="F2641" s="2" t="s">
        <v>2098</v>
      </c>
      <c r="G2641" t="s">
        <v>219</v>
      </c>
      <c r="H2641" t="s">
        <v>220</v>
      </c>
      <c r="I2641" t="s">
        <v>22</v>
      </c>
      <c r="J2641" s="2" t="s">
        <v>42</v>
      </c>
      <c r="K2641" s="2" t="s">
        <v>3019</v>
      </c>
      <c r="L2641" t="s">
        <v>25</v>
      </c>
      <c r="M2641" s="10" t="s">
        <v>26</v>
      </c>
      <c r="N2641" t="s">
        <v>26</v>
      </c>
      <c r="O2641" s="10" t="s">
        <v>26</v>
      </c>
      <c r="P2641" s="8" t="s">
        <v>26</v>
      </c>
      <c r="Q2641" s="8">
        <f>(4488342*100)/4914798</f>
        <v>91.323020803703429</v>
      </c>
    </row>
    <row r="2642" spans="1:17" x14ac:dyDescent="0.2">
      <c r="A2642">
        <f>YEAR(D2642)</f>
        <v>2019</v>
      </c>
      <c r="B2642" t="s">
        <v>26</v>
      </c>
      <c r="C2642" s="2" t="s">
        <v>50</v>
      </c>
      <c r="D2642" s="1">
        <v>43600</v>
      </c>
      <c r="E2642">
        <f>MONTH(D2642)</f>
        <v>5</v>
      </c>
      <c r="F2642" s="2" t="s">
        <v>2098</v>
      </c>
      <c r="G2642" t="s">
        <v>219</v>
      </c>
      <c r="H2642" t="s">
        <v>220</v>
      </c>
      <c r="I2642" t="s">
        <v>22</v>
      </c>
      <c r="J2642" s="2" t="s">
        <v>42</v>
      </c>
      <c r="K2642" s="2" t="s">
        <v>3019</v>
      </c>
      <c r="L2642" t="s">
        <v>25</v>
      </c>
      <c r="M2642" s="10" t="s">
        <v>26</v>
      </c>
      <c r="N2642" t="s">
        <v>26</v>
      </c>
      <c r="O2642" s="10" t="s">
        <v>26</v>
      </c>
      <c r="P2642" s="8" t="s">
        <v>26</v>
      </c>
      <c r="Q2642" s="8">
        <f>(4488342*100)/4914798</f>
        <v>91.323020803703429</v>
      </c>
    </row>
    <row r="2643" spans="1:17" x14ac:dyDescent="0.2">
      <c r="A2643">
        <f>YEAR(D2643)</f>
        <v>2019</v>
      </c>
      <c r="B2643" t="s">
        <v>26</v>
      </c>
      <c r="C2643" s="2" t="s">
        <v>50</v>
      </c>
      <c r="D2643" s="1">
        <v>43600</v>
      </c>
      <c r="E2643">
        <f>MONTH(D2643)</f>
        <v>5</v>
      </c>
      <c r="F2643" s="2" t="s">
        <v>2098</v>
      </c>
      <c r="G2643" t="s">
        <v>219</v>
      </c>
      <c r="H2643" t="s">
        <v>220</v>
      </c>
      <c r="I2643" t="s">
        <v>22</v>
      </c>
      <c r="J2643" s="2" t="s">
        <v>42</v>
      </c>
      <c r="K2643" s="2" t="s">
        <v>3019</v>
      </c>
      <c r="L2643" t="s">
        <v>25</v>
      </c>
      <c r="M2643" s="10" t="s">
        <v>26</v>
      </c>
      <c r="N2643" t="s">
        <v>26</v>
      </c>
      <c r="O2643" s="10" t="s">
        <v>26</v>
      </c>
      <c r="P2643" s="8" t="s">
        <v>26</v>
      </c>
      <c r="Q2643" s="8">
        <f>(4488342*100)/4914798</f>
        <v>91.323020803703429</v>
      </c>
    </row>
    <row r="2644" spans="1:17" x14ac:dyDescent="0.2">
      <c r="A2644">
        <f>YEAR(D2644)</f>
        <v>2019</v>
      </c>
      <c r="B2644" t="s">
        <v>26</v>
      </c>
      <c r="C2644" s="2" t="s">
        <v>50</v>
      </c>
      <c r="D2644" s="1">
        <v>43600</v>
      </c>
      <c r="E2644">
        <f>MONTH(D2644)</f>
        <v>5</v>
      </c>
      <c r="F2644" s="2" t="s">
        <v>2098</v>
      </c>
      <c r="G2644" t="s">
        <v>219</v>
      </c>
      <c r="H2644" t="s">
        <v>220</v>
      </c>
      <c r="I2644" t="s">
        <v>22</v>
      </c>
      <c r="J2644" s="2" t="s">
        <v>42</v>
      </c>
      <c r="K2644" s="2" t="s">
        <v>3019</v>
      </c>
      <c r="L2644" t="s">
        <v>25</v>
      </c>
      <c r="M2644" s="10" t="s">
        <v>26</v>
      </c>
      <c r="N2644" t="s">
        <v>26</v>
      </c>
      <c r="O2644" s="10" t="s">
        <v>26</v>
      </c>
      <c r="P2644" s="8" t="s">
        <v>26</v>
      </c>
      <c r="Q2644" s="8">
        <f>(4488342*100)/4914798</f>
        <v>91.323020803703429</v>
      </c>
    </row>
    <row r="2645" spans="1:17" x14ac:dyDescent="0.2">
      <c r="A2645">
        <f>YEAR(D2645)</f>
        <v>2019</v>
      </c>
      <c r="B2645" t="s">
        <v>26</v>
      </c>
      <c r="C2645" s="2" t="s">
        <v>50</v>
      </c>
      <c r="D2645" s="1">
        <v>43600</v>
      </c>
      <c r="E2645">
        <f>MONTH(D2645)</f>
        <v>5</v>
      </c>
      <c r="F2645" s="2" t="s">
        <v>2098</v>
      </c>
      <c r="G2645" t="s">
        <v>219</v>
      </c>
      <c r="H2645" t="s">
        <v>220</v>
      </c>
      <c r="I2645" t="s">
        <v>22</v>
      </c>
      <c r="J2645" s="2" t="s">
        <v>42</v>
      </c>
      <c r="K2645" s="2" t="s">
        <v>3019</v>
      </c>
      <c r="L2645" t="s">
        <v>25</v>
      </c>
      <c r="M2645" s="10" t="s">
        <v>26</v>
      </c>
      <c r="N2645" t="s">
        <v>26</v>
      </c>
      <c r="O2645" s="10" t="s">
        <v>26</v>
      </c>
      <c r="P2645" s="8" t="s">
        <v>26</v>
      </c>
      <c r="Q2645" s="8">
        <f>(4488342*100)/4914798</f>
        <v>91.323020803703429</v>
      </c>
    </row>
    <row r="2646" spans="1:17" x14ac:dyDescent="0.2">
      <c r="A2646">
        <f>YEAR(D2646)</f>
        <v>2019</v>
      </c>
      <c r="B2646" t="s">
        <v>26</v>
      </c>
      <c r="C2646" s="2" t="s">
        <v>50</v>
      </c>
      <c r="D2646" s="1">
        <v>43600</v>
      </c>
      <c r="E2646">
        <f>MONTH(D2646)</f>
        <v>5</v>
      </c>
      <c r="F2646" s="2" t="s">
        <v>2098</v>
      </c>
      <c r="G2646" t="s">
        <v>219</v>
      </c>
      <c r="H2646" t="s">
        <v>220</v>
      </c>
      <c r="I2646" t="s">
        <v>22</v>
      </c>
      <c r="J2646" s="2" t="s">
        <v>42</v>
      </c>
      <c r="K2646" s="2" t="s">
        <v>3019</v>
      </c>
      <c r="L2646" t="s">
        <v>25</v>
      </c>
      <c r="M2646" s="10" t="s">
        <v>26</v>
      </c>
      <c r="N2646" t="s">
        <v>26</v>
      </c>
      <c r="O2646" s="10" t="s">
        <v>26</v>
      </c>
      <c r="P2646" s="8" t="s">
        <v>26</v>
      </c>
      <c r="Q2646" s="8">
        <f>(4488342*100)/4914798</f>
        <v>91.323020803703429</v>
      </c>
    </row>
    <row r="2647" spans="1:17" x14ac:dyDescent="0.2">
      <c r="A2647">
        <f>YEAR(D2647)</f>
        <v>2019</v>
      </c>
      <c r="B2647" t="s">
        <v>26</v>
      </c>
      <c r="C2647" s="2" t="s">
        <v>50</v>
      </c>
      <c r="D2647" s="1">
        <v>43600</v>
      </c>
      <c r="E2647">
        <f>MONTH(D2647)</f>
        <v>5</v>
      </c>
      <c r="F2647" s="2" t="s">
        <v>2098</v>
      </c>
      <c r="G2647" t="s">
        <v>219</v>
      </c>
      <c r="H2647" t="s">
        <v>220</v>
      </c>
      <c r="I2647" t="s">
        <v>22</v>
      </c>
      <c r="J2647" s="2" t="s">
        <v>42</v>
      </c>
      <c r="K2647" s="2" t="s">
        <v>3019</v>
      </c>
      <c r="L2647" t="s">
        <v>25</v>
      </c>
      <c r="M2647" s="10" t="s">
        <v>26</v>
      </c>
      <c r="N2647" t="s">
        <v>26</v>
      </c>
      <c r="O2647" s="10" t="s">
        <v>26</v>
      </c>
      <c r="P2647" s="8" t="s">
        <v>26</v>
      </c>
      <c r="Q2647" s="8">
        <f>(4488342*100)/4914798</f>
        <v>91.323020803703429</v>
      </c>
    </row>
    <row r="2648" spans="1:17" x14ac:dyDescent="0.2">
      <c r="A2648">
        <f>YEAR(D2648)</f>
        <v>2019</v>
      </c>
      <c r="B2648" t="s">
        <v>26</v>
      </c>
      <c r="C2648" s="2" t="s">
        <v>50</v>
      </c>
      <c r="D2648" s="1">
        <v>43600</v>
      </c>
      <c r="E2648">
        <f>MONTH(D2648)</f>
        <v>5</v>
      </c>
      <c r="F2648" s="2" t="s">
        <v>2098</v>
      </c>
      <c r="G2648" t="s">
        <v>219</v>
      </c>
      <c r="H2648" t="s">
        <v>220</v>
      </c>
      <c r="I2648" t="s">
        <v>22</v>
      </c>
      <c r="J2648" s="2" t="s">
        <v>42</v>
      </c>
      <c r="K2648" s="2" t="s">
        <v>3019</v>
      </c>
      <c r="L2648" t="s">
        <v>25</v>
      </c>
      <c r="M2648" s="10" t="s">
        <v>26</v>
      </c>
      <c r="N2648" t="s">
        <v>26</v>
      </c>
      <c r="O2648" s="10" t="s">
        <v>26</v>
      </c>
      <c r="P2648" s="8" t="s">
        <v>26</v>
      </c>
      <c r="Q2648" s="8">
        <f>(4488342*100)/4914798</f>
        <v>91.323020803703429</v>
      </c>
    </row>
    <row r="2649" spans="1:17" x14ac:dyDescent="0.2">
      <c r="A2649">
        <f>YEAR(D2649)</f>
        <v>2019</v>
      </c>
      <c r="B2649" t="s">
        <v>26</v>
      </c>
      <c r="C2649" s="2" t="s">
        <v>50</v>
      </c>
      <c r="D2649" s="1">
        <v>43600</v>
      </c>
      <c r="E2649">
        <f>MONTH(D2649)</f>
        <v>5</v>
      </c>
      <c r="F2649" s="2" t="s">
        <v>2098</v>
      </c>
      <c r="G2649" t="s">
        <v>219</v>
      </c>
      <c r="H2649" t="s">
        <v>220</v>
      </c>
      <c r="I2649" t="s">
        <v>22</v>
      </c>
      <c r="J2649" s="2" t="s">
        <v>42</v>
      </c>
      <c r="K2649" s="2" t="s">
        <v>3019</v>
      </c>
      <c r="L2649" t="s">
        <v>25</v>
      </c>
      <c r="M2649" s="10" t="s">
        <v>26</v>
      </c>
      <c r="N2649" t="s">
        <v>26</v>
      </c>
      <c r="O2649" s="10" t="s">
        <v>26</v>
      </c>
      <c r="P2649" s="8" t="s">
        <v>26</v>
      </c>
      <c r="Q2649" s="8">
        <f>(4488342*100)/4914798</f>
        <v>91.323020803703429</v>
      </c>
    </row>
    <row r="2650" spans="1:17" x14ac:dyDescent="0.2">
      <c r="A2650">
        <f>YEAR(D2650)</f>
        <v>2019</v>
      </c>
      <c r="B2650" t="s">
        <v>26</v>
      </c>
      <c r="C2650" s="2" t="s">
        <v>50</v>
      </c>
      <c r="D2650" s="1">
        <v>43600</v>
      </c>
      <c r="E2650">
        <f>MONTH(D2650)</f>
        <v>5</v>
      </c>
      <c r="F2650" s="2" t="s">
        <v>2098</v>
      </c>
      <c r="G2650" t="s">
        <v>219</v>
      </c>
      <c r="H2650" t="s">
        <v>220</v>
      </c>
      <c r="I2650" t="s">
        <v>22</v>
      </c>
      <c r="J2650" s="2" t="s">
        <v>42</v>
      </c>
      <c r="K2650" s="2" t="s">
        <v>3019</v>
      </c>
      <c r="L2650" t="s">
        <v>25</v>
      </c>
      <c r="M2650" s="10" t="s">
        <v>26</v>
      </c>
      <c r="N2650" t="s">
        <v>26</v>
      </c>
      <c r="O2650" s="10" t="s">
        <v>26</v>
      </c>
      <c r="P2650" s="8" t="s">
        <v>26</v>
      </c>
      <c r="Q2650" s="8">
        <f>(4488342*100)/4914798</f>
        <v>91.323020803703429</v>
      </c>
    </row>
    <row r="2651" spans="1:17" x14ac:dyDescent="0.2">
      <c r="A2651">
        <f>YEAR(D2651)</f>
        <v>2019</v>
      </c>
      <c r="B2651" t="s">
        <v>26</v>
      </c>
      <c r="C2651" s="2" t="s">
        <v>50</v>
      </c>
      <c r="D2651" s="1">
        <v>43600</v>
      </c>
      <c r="E2651">
        <f>MONTH(D2651)</f>
        <v>5</v>
      </c>
      <c r="F2651" s="2" t="s">
        <v>2098</v>
      </c>
      <c r="G2651" t="s">
        <v>219</v>
      </c>
      <c r="H2651" t="s">
        <v>220</v>
      </c>
      <c r="I2651" t="s">
        <v>22</v>
      </c>
      <c r="J2651" s="2" t="s">
        <v>42</v>
      </c>
      <c r="K2651" s="2" t="s">
        <v>3019</v>
      </c>
      <c r="L2651" t="s">
        <v>25</v>
      </c>
      <c r="M2651" s="10" t="s">
        <v>26</v>
      </c>
      <c r="N2651" t="s">
        <v>26</v>
      </c>
      <c r="O2651" s="10" t="s">
        <v>26</v>
      </c>
      <c r="P2651" s="8" t="s">
        <v>26</v>
      </c>
      <c r="Q2651" s="8">
        <f>(4488342*100)/4914798</f>
        <v>91.323020803703429</v>
      </c>
    </row>
    <row r="2652" spans="1:17" x14ac:dyDescent="0.2">
      <c r="A2652">
        <f>YEAR(D2652)</f>
        <v>2019</v>
      </c>
      <c r="B2652" t="s">
        <v>26</v>
      </c>
      <c r="C2652" s="2" t="s">
        <v>50</v>
      </c>
      <c r="D2652" s="1">
        <v>43600</v>
      </c>
      <c r="E2652">
        <f>MONTH(D2652)</f>
        <v>5</v>
      </c>
      <c r="F2652" s="2" t="s">
        <v>2098</v>
      </c>
      <c r="G2652" t="s">
        <v>219</v>
      </c>
      <c r="H2652" t="s">
        <v>220</v>
      </c>
      <c r="I2652" t="s">
        <v>22</v>
      </c>
      <c r="J2652" s="2" t="s">
        <v>42</v>
      </c>
      <c r="K2652" s="2" t="s">
        <v>3019</v>
      </c>
      <c r="L2652" t="s">
        <v>25</v>
      </c>
      <c r="M2652" s="10" t="s">
        <v>26</v>
      </c>
      <c r="N2652" t="s">
        <v>26</v>
      </c>
      <c r="O2652" s="10" t="s">
        <v>26</v>
      </c>
      <c r="P2652" s="8" t="s">
        <v>26</v>
      </c>
      <c r="Q2652" s="8">
        <f>(4488342*100)/4914798</f>
        <v>91.323020803703429</v>
      </c>
    </row>
    <row r="2653" spans="1:17" x14ac:dyDescent="0.2">
      <c r="A2653">
        <f>YEAR(D2653)</f>
        <v>2019</v>
      </c>
      <c r="B2653" t="s">
        <v>26</v>
      </c>
      <c r="C2653" s="2" t="s">
        <v>50</v>
      </c>
      <c r="D2653" s="1">
        <v>43600</v>
      </c>
      <c r="E2653">
        <f>MONTH(D2653)</f>
        <v>5</v>
      </c>
      <c r="F2653" s="2" t="s">
        <v>2098</v>
      </c>
      <c r="G2653" t="s">
        <v>219</v>
      </c>
      <c r="H2653" t="s">
        <v>220</v>
      </c>
      <c r="I2653" t="s">
        <v>22</v>
      </c>
      <c r="J2653" s="2" t="s">
        <v>42</v>
      </c>
      <c r="K2653" s="2" t="s">
        <v>3019</v>
      </c>
      <c r="L2653" t="s">
        <v>25</v>
      </c>
      <c r="M2653" s="10" t="s">
        <v>26</v>
      </c>
      <c r="N2653" t="s">
        <v>26</v>
      </c>
      <c r="O2653" s="10" t="s">
        <v>26</v>
      </c>
      <c r="P2653" s="8" t="s">
        <v>26</v>
      </c>
      <c r="Q2653" s="8">
        <f>(4488342*100)/4914798</f>
        <v>91.323020803703429</v>
      </c>
    </row>
    <row r="2654" spans="1:17" x14ac:dyDescent="0.2">
      <c r="A2654">
        <f>YEAR(D2654)</f>
        <v>2019</v>
      </c>
      <c r="B2654" t="s">
        <v>26</v>
      </c>
      <c r="C2654" s="2" t="s">
        <v>50</v>
      </c>
      <c r="D2654" s="1">
        <v>43600</v>
      </c>
      <c r="E2654">
        <f>MONTH(D2654)</f>
        <v>5</v>
      </c>
      <c r="F2654" s="2" t="s">
        <v>2098</v>
      </c>
      <c r="G2654" t="s">
        <v>219</v>
      </c>
      <c r="H2654" t="s">
        <v>220</v>
      </c>
      <c r="I2654" t="s">
        <v>22</v>
      </c>
      <c r="J2654" s="2" t="s">
        <v>42</v>
      </c>
      <c r="K2654" s="2" t="s">
        <v>3019</v>
      </c>
      <c r="L2654" t="s">
        <v>25</v>
      </c>
      <c r="M2654" s="10" t="s">
        <v>26</v>
      </c>
      <c r="N2654" t="s">
        <v>26</v>
      </c>
      <c r="O2654" s="10" t="s">
        <v>26</v>
      </c>
      <c r="P2654" s="8" t="s">
        <v>26</v>
      </c>
      <c r="Q2654" s="8">
        <f>(4488342*100)/4914798</f>
        <v>91.323020803703429</v>
      </c>
    </row>
    <row r="2655" spans="1:17" x14ac:dyDescent="0.2">
      <c r="A2655">
        <f>YEAR(D2655)</f>
        <v>2019</v>
      </c>
      <c r="B2655" t="s">
        <v>26</v>
      </c>
      <c r="C2655" s="2" t="s">
        <v>50</v>
      </c>
      <c r="D2655" s="1">
        <v>43600</v>
      </c>
      <c r="E2655">
        <f>MONTH(D2655)</f>
        <v>5</v>
      </c>
      <c r="F2655" s="2" t="s">
        <v>2098</v>
      </c>
      <c r="G2655" t="s">
        <v>219</v>
      </c>
      <c r="H2655" t="s">
        <v>220</v>
      </c>
      <c r="I2655" t="s">
        <v>22</v>
      </c>
      <c r="J2655" s="2" t="s">
        <v>42</v>
      </c>
      <c r="K2655" s="2" t="s">
        <v>3019</v>
      </c>
      <c r="L2655" t="s">
        <v>25</v>
      </c>
      <c r="M2655" s="10" t="s">
        <v>26</v>
      </c>
      <c r="N2655" t="s">
        <v>26</v>
      </c>
      <c r="O2655" s="10" t="s">
        <v>26</v>
      </c>
      <c r="P2655" s="8" t="s">
        <v>26</v>
      </c>
      <c r="Q2655" s="8">
        <f>(4488342*100)/4914798</f>
        <v>91.323020803703429</v>
      </c>
    </row>
    <row r="2656" spans="1:17" x14ac:dyDescent="0.2">
      <c r="A2656">
        <f>YEAR(D2656)</f>
        <v>2019</v>
      </c>
      <c r="B2656" t="s">
        <v>26</v>
      </c>
      <c r="C2656" s="2" t="s">
        <v>50</v>
      </c>
      <c r="D2656" s="1">
        <v>43600</v>
      </c>
      <c r="E2656">
        <f>MONTH(D2656)</f>
        <v>5</v>
      </c>
      <c r="F2656" s="2" t="s">
        <v>2098</v>
      </c>
      <c r="G2656" t="s">
        <v>219</v>
      </c>
      <c r="H2656" t="s">
        <v>220</v>
      </c>
      <c r="I2656" t="s">
        <v>22</v>
      </c>
      <c r="J2656" s="2" t="s">
        <v>42</v>
      </c>
      <c r="K2656" s="2" t="s">
        <v>3019</v>
      </c>
      <c r="L2656" t="s">
        <v>25</v>
      </c>
      <c r="M2656" s="10" t="s">
        <v>26</v>
      </c>
      <c r="N2656" t="s">
        <v>26</v>
      </c>
      <c r="O2656" s="10" t="s">
        <v>26</v>
      </c>
      <c r="P2656" s="8" t="s">
        <v>26</v>
      </c>
      <c r="Q2656" s="8">
        <f>(4488342*100)/4914798</f>
        <v>91.323020803703429</v>
      </c>
    </row>
    <row r="2657" spans="1:17" x14ac:dyDescent="0.2">
      <c r="A2657">
        <f>YEAR(D2657)</f>
        <v>2019</v>
      </c>
      <c r="B2657" t="s">
        <v>26</v>
      </c>
      <c r="C2657" s="2" t="s">
        <v>50</v>
      </c>
      <c r="D2657" s="1">
        <v>43600</v>
      </c>
      <c r="E2657">
        <f>MONTH(D2657)</f>
        <v>5</v>
      </c>
      <c r="F2657" s="2" t="s">
        <v>2098</v>
      </c>
      <c r="G2657" t="s">
        <v>219</v>
      </c>
      <c r="H2657" t="s">
        <v>220</v>
      </c>
      <c r="I2657" t="s">
        <v>22</v>
      </c>
      <c r="J2657" s="2" t="s">
        <v>42</v>
      </c>
      <c r="K2657" s="2" t="s">
        <v>3019</v>
      </c>
      <c r="L2657" t="s">
        <v>25</v>
      </c>
      <c r="M2657" s="10" t="s">
        <v>26</v>
      </c>
      <c r="N2657" t="s">
        <v>26</v>
      </c>
      <c r="O2657" s="10" t="s">
        <v>26</v>
      </c>
      <c r="P2657" s="8" t="s">
        <v>26</v>
      </c>
      <c r="Q2657" s="8">
        <f>(4488342*100)/4914798</f>
        <v>91.323020803703429</v>
      </c>
    </row>
    <row r="2658" spans="1:17" x14ac:dyDescent="0.2">
      <c r="A2658">
        <f>YEAR(D2658)</f>
        <v>2019</v>
      </c>
      <c r="B2658" t="s">
        <v>26</v>
      </c>
      <c r="C2658" s="2" t="s">
        <v>50</v>
      </c>
      <c r="D2658" s="1">
        <v>43600</v>
      </c>
      <c r="E2658">
        <f>MONTH(D2658)</f>
        <v>5</v>
      </c>
      <c r="F2658" s="2" t="s">
        <v>2098</v>
      </c>
      <c r="G2658" t="s">
        <v>219</v>
      </c>
      <c r="H2658" t="s">
        <v>220</v>
      </c>
      <c r="I2658" t="s">
        <v>22</v>
      </c>
      <c r="J2658" s="2" t="s">
        <v>42</v>
      </c>
      <c r="K2658" s="2" t="s">
        <v>3019</v>
      </c>
      <c r="L2658" t="s">
        <v>25</v>
      </c>
      <c r="M2658" s="10" t="s">
        <v>26</v>
      </c>
      <c r="N2658" t="s">
        <v>26</v>
      </c>
      <c r="O2658" s="10" t="s">
        <v>26</v>
      </c>
      <c r="P2658" s="8" t="s">
        <v>26</v>
      </c>
      <c r="Q2658" s="8">
        <f>(4488342*100)/4914798</f>
        <v>91.323020803703429</v>
      </c>
    </row>
    <row r="2659" spans="1:17" x14ac:dyDescent="0.2">
      <c r="A2659">
        <f>YEAR(D2659)</f>
        <v>2019</v>
      </c>
      <c r="B2659" t="s">
        <v>26</v>
      </c>
      <c r="C2659" s="2" t="s">
        <v>50</v>
      </c>
      <c r="D2659" s="1">
        <v>43600</v>
      </c>
      <c r="E2659">
        <f>MONTH(D2659)</f>
        <v>5</v>
      </c>
      <c r="F2659" s="2" t="s">
        <v>2098</v>
      </c>
      <c r="G2659" t="s">
        <v>219</v>
      </c>
      <c r="H2659" t="s">
        <v>220</v>
      </c>
      <c r="I2659" t="s">
        <v>22</v>
      </c>
      <c r="J2659" s="2" t="s">
        <v>42</v>
      </c>
      <c r="K2659" s="2" t="s">
        <v>3019</v>
      </c>
      <c r="L2659" t="s">
        <v>25</v>
      </c>
      <c r="M2659" s="10" t="s">
        <v>26</v>
      </c>
      <c r="N2659" t="s">
        <v>26</v>
      </c>
      <c r="O2659" s="10" t="s">
        <v>26</v>
      </c>
      <c r="P2659" s="8" t="s">
        <v>26</v>
      </c>
      <c r="Q2659" s="8">
        <f>(4488342*100)/4914798</f>
        <v>91.323020803703429</v>
      </c>
    </row>
    <row r="2660" spans="1:17" x14ac:dyDescent="0.2">
      <c r="A2660">
        <f>YEAR(D2660)</f>
        <v>2019</v>
      </c>
      <c r="B2660" t="s">
        <v>26</v>
      </c>
      <c r="C2660" s="2" t="s">
        <v>50</v>
      </c>
      <c r="D2660" s="1">
        <v>43600</v>
      </c>
      <c r="E2660">
        <f>MONTH(D2660)</f>
        <v>5</v>
      </c>
      <c r="F2660" s="2" t="s">
        <v>2098</v>
      </c>
      <c r="G2660" t="s">
        <v>219</v>
      </c>
      <c r="H2660" t="s">
        <v>220</v>
      </c>
      <c r="I2660" t="s">
        <v>22</v>
      </c>
      <c r="J2660" s="2" t="s">
        <v>42</v>
      </c>
      <c r="K2660" s="2" t="s">
        <v>3019</v>
      </c>
      <c r="L2660" t="s">
        <v>25</v>
      </c>
      <c r="M2660" s="10" t="s">
        <v>26</v>
      </c>
      <c r="N2660" t="s">
        <v>26</v>
      </c>
      <c r="O2660" s="10" t="s">
        <v>26</v>
      </c>
      <c r="P2660" s="8" t="s">
        <v>26</v>
      </c>
      <c r="Q2660" s="8">
        <f>(4488342*100)/4914798</f>
        <v>91.323020803703429</v>
      </c>
    </row>
    <row r="2661" spans="1:17" x14ac:dyDescent="0.2">
      <c r="A2661">
        <f>YEAR(D2661)</f>
        <v>2019</v>
      </c>
      <c r="B2661" t="s">
        <v>26</v>
      </c>
      <c r="C2661" s="2" t="s">
        <v>50</v>
      </c>
      <c r="D2661" s="1">
        <v>43600</v>
      </c>
      <c r="E2661">
        <f>MONTH(D2661)</f>
        <v>5</v>
      </c>
      <c r="F2661" s="2" t="s">
        <v>2098</v>
      </c>
      <c r="G2661" t="s">
        <v>219</v>
      </c>
      <c r="H2661" t="s">
        <v>220</v>
      </c>
      <c r="I2661" t="s">
        <v>22</v>
      </c>
      <c r="J2661" s="2" t="s">
        <v>42</v>
      </c>
      <c r="K2661" s="2" t="s">
        <v>3019</v>
      </c>
      <c r="L2661" t="s">
        <v>25</v>
      </c>
      <c r="M2661" s="10" t="s">
        <v>26</v>
      </c>
      <c r="N2661" t="s">
        <v>26</v>
      </c>
      <c r="O2661" s="10" t="s">
        <v>26</v>
      </c>
      <c r="P2661" s="8" t="s">
        <v>26</v>
      </c>
      <c r="Q2661" s="8">
        <f>(4488342*100)/4914798</f>
        <v>91.323020803703429</v>
      </c>
    </row>
    <row r="2662" spans="1:17" x14ac:dyDescent="0.2">
      <c r="A2662">
        <f>YEAR(D2662)</f>
        <v>2019</v>
      </c>
      <c r="B2662" t="s">
        <v>26</v>
      </c>
      <c r="C2662" s="2" t="s">
        <v>50</v>
      </c>
      <c r="D2662" s="1">
        <v>43600</v>
      </c>
      <c r="E2662">
        <f>MONTH(D2662)</f>
        <v>5</v>
      </c>
      <c r="F2662" s="2" t="s">
        <v>2098</v>
      </c>
      <c r="G2662" t="s">
        <v>219</v>
      </c>
      <c r="H2662" t="s">
        <v>220</v>
      </c>
      <c r="I2662" t="s">
        <v>22</v>
      </c>
      <c r="J2662" s="2" t="s">
        <v>42</v>
      </c>
      <c r="K2662" s="2" t="s">
        <v>3019</v>
      </c>
      <c r="L2662" t="s">
        <v>25</v>
      </c>
      <c r="M2662" s="10" t="s">
        <v>26</v>
      </c>
      <c r="N2662" t="s">
        <v>26</v>
      </c>
      <c r="O2662" s="10" t="s">
        <v>26</v>
      </c>
      <c r="P2662" s="8" t="s">
        <v>26</v>
      </c>
      <c r="Q2662" s="8">
        <f>(4488342*100)/4914798</f>
        <v>91.323020803703429</v>
      </c>
    </row>
    <row r="2663" spans="1:17" x14ac:dyDescent="0.2">
      <c r="A2663">
        <f>YEAR(D2663)</f>
        <v>2019</v>
      </c>
      <c r="B2663" t="s">
        <v>26</v>
      </c>
      <c r="C2663" s="2" t="s">
        <v>50</v>
      </c>
      <c r="D2663" s="1">
        <v>43600</v>
      </c>
      <c r="E2663">
        <f>MONTH(D2663)</f>
        <v>5</v>
      </c>
      <c r="F2663" s="2" t="s">
        <v>2098</v>
      </c>
      <c r="G2663" t="s">
        <v>219</v>
      </c>
      <c r="H2663" t="s">
        <v>220</v>
      </c>
      <c r="I2663" t="s">
        <v>22</v>
      </c>
      <c r="J2663" s="2" t="s">
        <v>42</v>
      </c>
      <c r="K2663" s="2" t="s">
        <v>3019</v>
      </c>
      <c r="L2663" t="s">
        <v>25</v>
      </c>
      <c r="M2663" s="10" t="s">
        <v>26</v>
      </c>
      <c r="N2663" t="s">
        <v>26</v>
      </c>
      <c r="O2663" s="10" t="s">
        <v>26</v>
      </c>
      <c r="P2663" s="8" t="s">
        <v>26</v>
      </c>
      <c r="Q2663" s="8">
        <f>(4488342*100)/4914798</f>
        <v>91.323020803703429</v>
      </c>
    </row>
    <row r="2664" spans="1:17" x14ac:dyDescent="0.2">
      <c r="A2664">
        <f>YEAR(D2664)</f>
        <v>2019</v>
      </c>
      <c r="B2664" t="s">
        <v>26</v>
      </c>
      <c r="C2664" s="2" t="s">
        <v>50</v>
      </c>
      <c r="D2664" s="1">
        <v>43600</v>
      </c>
      <c r="E2664">
        <f>MONTH(D2664)</f>
        <v>5</v>
      </c>
      <c r="F2664" s="2" t="s">
        <v>2098</v>
      </c>
      <c r="G2664" t="s">
        <v>219</v>
      </c>
      <c r="H2664" t="s">
        <v>220</v>
      </c>
      <c r="I2664" t="s">
        <v>22</v>
      </c>
      <c r="J2664" s="2" t="s">
        <v>42</v>
      </c>
      <c r="K2664" s="2" t="s">
        <v>3019</v>
      </c>
      <c r="L2664" t="s">
        <v>25</v>
      </c>
      <c r="M2664" s="10" t="s">
        <v>26</v>
      </c>
      <c r="N2664" t="s">
        <v>26</v>
      </c>
      <c r="O2664" s="10" t="s">
        <v>26</v>
      </c>
      <c r="P2664" s="8" t="s">
        <v>26</v>
      </c>
      <c r="Q2664" s="8">
        <f>(4488342*100)/4914798</f>
        <v>91.323020803703429</v>
      </c>
    </row>
    <row r="2665" spans="1:17" x14ac:dyDescent="0.2">
      <c r="A2665">
        <f>YEAR(D2665)</f>
        <v>2019</v>
      </c>
      <c r="B2665" t="s">
        <v>26</v>
      </c>
      <c r="C2665" s="2" t="s">
        <v>50</v>
      </c>
      <c r="D2665" s="1">
        <v>43600</v>
      </c>
      <c r="E2665">
        <f>MONTH(D2665)</f>
        <v>5</v>
      </c>
      <c r="F2665" s="2" t="s">
        <v>2098</v>
      </c>
      <c r="G2665" t="s">
        <v>219</v>
      </c>
      <c r="H2665" t="s">
        <v>220</v>
      </c>
      <c r="I2665" t="s">
        <v>22</v>
      </c>
      <c r="J2665" s="2" t="s">
        <v>42</v>
      </c>
      <c r="K2665" s="2" t="s">
        <v>3019</v>
      </c>
      <c r="L2665" t="s">
        <v>25</v>
      </c>
      <c r="M2665" s="10" t="s">
        <v>26</v>
      </c>
      <c r="N2665" t="s">
        <v>26</v>
      </c>
      <c r="O2665" s="10" t="s">
        <v>26</v>
      </c>
      <c r="P2665" s="8" t="s">
        <v>26</v>
      </c>
      <c r="Q2665" s="8">
        <f>(4488342*100)/4914798</f>
        <v>91.323020803703429</v>
      </c>
    </row>
    <row r="2666" spans="1:17" x14ac:dyDescent="0.2">
      <c r="A2666">
        <f>YEAR(D2666)</f>
        <v>2019</v>
      </c>
      <c r="B2666" t="s">
        <v>26</v>
      </c>
      <c r="C2666" s="2" t="s">
        <v>50</v>
      </c>
      <c r="D2666" s="1">
        <v>43600</v>
      </c>
      <c r="E2666">
        <f>MONTH(D2666)</f>
        <v>5</v>
      </c>
      <c r="F2666" s="2" t="s">
        <v>2098</v>
      </c>
      <c r="G2666" t="s">
        <v>219</v>
      </c>
      <c r="H2666" t="s">
        <v>220</v>
      </c>
      <c r="I2666" t="s">
        <v>22</v>
      </c>
      <c r="J2666" s="2" t="s">
        <v>42</v>
      </c>
      <c r="K2666" s="2" t="s">
        <v>3019</v>
      </c>
      <c r="L2666" t="s">
        <v>25</v>
      </c>
      <c r="M2666" s="10" t="s">
        <v>26</v>
      </c>
      <c r="N2666" t="s">
        <v>26</v>
      </c>
      <c r="O2666" s="10" t="s">
        <v>26</v>
      </c>
      <c r="P2666" s="8" t="s">
        <v>26</v>
      </c>
      <c r="Q2666" s="8">
        <f>(4488342*100)/4914798</f>
        <v>91.323020803703429</v>
      </c>
    </row>
    <row r="2667" spans="1:17" x14ac:dyDescent="0.2">
      <c r="A2667">
        <f>YEAR(D2667)</f>
        <v>2019</v>
      </c>
      <c r="B2667" t="s">
        <v>26</v>
      </c>
      <c r="C2667" s="2" t="s">
        <v>50</v>
      </c>
      <c r="D2667" s="1">
        <v>43600</v>
      </c>
      <c r="E2667">
        <f>MONTH(D2667)</f>
        <v>5</v>
      </c>
      <c r="F2667" s="2" t="s">
        <v>2098</v>
      </c>
      <c r="G2667" t="s">
        <v>219</v>
      </c>
      <c r="H2667" t="s">
        <v>220</v>
      </c>
      <c r="I2667" t="s">
        <v>22</v>
      </c>
      <c r="J2667" s="2" t="s">
        <v>42</v>
      </c>
      <c r="K2667" s="2" t="s">
        <v>3019</v>
      </c>
      <c r="L2667" t="s">
        <v>25</v>
      </c>
      <c r="M2667" s="10" t="s">
        <v>26</v>
      </c>
      <c r="N2667" t="s">
        <v>26</v>
      </c>
      <c r="O2667" s="10" t="s">
        <v>26</v>
      </c>
      <c r="P2667" s="8" t="s">
        <v>26</v>
      </c>
      <c r="Q2667" s="8">
        <f>(4488342*100)/4914798</f>
        <v>91.323020803703429</v>
      </c>
    </row>
    <row r="2668" spans="1:17" x14ac:dyDescent="0.2">
      <c r="A2668">
        <f>YEAR(D2668)</f>
        <v>2019</v>
      </c>
      <c r="B2668" t="s">
        <v>26</v>
      </c>
      <c r="C2668" s="2" t="s">
        <v>50</v>
      </c>
      <c r="D2668" s="1">
        <v>43600</v>
      </c>
      <c r="E2668">
        <f>MONTH(D2668)</f>
        <v>5</v>
      </c>
      <c r="F2668" s="2" t="s">
        <v>2098</v>
      </c>
      <c r="G2668" t="s">
        <v>219</v>
      </c>
      <c r="H2668" t="s">
        <v>220</v>
      </c>
      <c r="I2668" t="s">
        <v>22</v>
      </c>
      <c r="J2668" s="2" t="s">
        <v>42</v>
      </c>
      <c r="K2668" s="2" t="s">
        <v>3019</v>
      </c>
      <c r="L2668" t="s">
        <v>25</v>
      </c>
      <c r="M2668" s="10" t="s">
        <v>26</v>
      </c>
      <c r="N2668" t="s">
        <v>26</v>
      </c>
      <c r="O2668" s="10" t="s">
        <v>26</v>
      </c>
      <c r="P2668" s="8" t="s">
        <v>26</v>
      </c>
      <c r="Q2668" s="8">
        <f>(4488342*100)/4914798</f>
        <v>91.323020803703429</v>
      </c>
    </row>
    <row r="2669" spans="1:17" x14ac:dyDescent="0.2">
      <c r="A2669">
        <f>YEAR(D2669)</f>
        <v>2019</v>
      </c>
      <c r="B2669" t="s">
        <v>26</v>
      </c>
      <c r="C2669" s="2" t="s">
        <v>50</v>
      </c>
      <c r="D2669" s="1">
        <v>43600</v>
      </c>
      <c r="E2669">
        <f>MONTH(D2669)</f>
        <v>5</v>
      </c>
      <c r="F2669" s="2" t="s">
        <v>2098</v>
      </c>
      <c r="G2669" t="s">
        <v>219</v>
      </c>
      <c r="H2669" t="s">
        <v>220</v>
      </c>
      <c r="I2669" t="s">
        <v>22</v>
      </c>
      <c r="J2669" s="2" t="s">
        <v>42</v>
      </c>
      <c r="K2669" s="2" t="s">
        <v>3019</v>
      </c>
      <c r="L2669" t="s">
        <v>25</v>
      </c>
      <c r="M2669" s="10" t="s">
        <v>26</v>
      </c>
      <c r="N2669" t="s">
        <v>26</v>
      </c>
      <c r="O2669" s="10" t="s">
        <v>26</v>
      </c>
      <c r="P2669" s="8" t="s">
        <v>26</v>
      </c>
      <c r="Q2669" s="8">
        <f>(4488342*100)/4914798</f>
        <v>91.323020803703429</v>
      </c>
    </row>
    <row r="2670" spans="1:17" x14ac:dyDescent="0.2">
      <c r="A2670">
        <f>YEAR(D2670)</f>
        <v>2019</v>
      </c>
      <c r="B2670" t="s">
        <v>26</v>
      </c>
      <c r="C2670" s="2" t="s">
        <v>50</v>
      </c>
      <c r="D2670" s="1">
        <v>43600</v>
      </c>
      <c r="E2670">
        <f>MONTH(D2670)</f>
        <v>5</v>
      </c>
      <c r="F2670" s="2" t="s">
        <v>2098</v>
      </c>
      <c r="G2670" t="s">
        <v>219</v>
      </c>
      <c r="H2670" t="s">
        <v>220</v>
      </c>
      <c r="I2670" t="s">
        <v>22</v>
      </c>
      <c r="J2670" s="2" t="s">
        <v>42</v>
      </c>
      <c r="K2670" s="2" t="s">
        <v>3019</v>
      </c>
      <c r="L2670" t="s">
        <v>25</v>
      </c>
      <c r="M2670" s="10" t="s">
        <v>26</v>
      </c>
      <c r="N2670" t="s">
        <v>26</v>
      </c>
      <c r="O2670" s="10" t="s">
        <v>26</v>
      </c>
      <c r="P2670" s="8" t="s">
        <v>26</v>
      </c>
      <c r="Q2670" s="8">
        <f>(4488342*100)/4914798</f>
        <v>91.323020803703429</v>
      </c>
    </row>
    <row r="2671" spans="1:17" x14ac:dyDescent="0.2">
      <c r="A2671">
        <f>YEAR(D2671)</f>
        <v>2019</v>
      </c>
      <c r="B2671" t="s">
        <v>26</v>
      </c>
      <c r="C2671" s="2" t="s">
        <v>50</v>
      </c>
      <c r="D2671" s="1">
        <v>43600</v>
      </c>
      <c r="E2671">
        <f>MONTH(D2671)</f>
        <v>5</v>
      </c>
      <c r="F2671" s="2" t="s">
        <v>2098</v>
      </c>
      <c r="G2671" t="s">
        <v>219</v>
      </c>
      <c r="H2671" t="s">
        <v>220</v>
      </c>
      <c r="I2671" t="s">
        <v>22</v>
      </c>
      <c r="J2671" s="2" t="s">
        <v>42</v>
      </c>
      <c r="K2671" s="2" t="s">
        <v>3019</v>
      </c>
      <c r="L2671" t="s">
        <v>25</v>
      </c>
      <c r="M2671" s="10" t="s">
        <v>26</v>
      </c>
      <c r="N2671" t="s">
        <v>26</v>
      </c>
      <c r="O2671" s="10" t="s">
        <v>26</v>
      </c>
      <c r="P2671" s="8" t="s">
        <v>26</v>
      </c>
      <c r="Q2671" s="8">
        <f>(4488342*100)/4914798</f>
        <v>91.323020803703429</v>
      </c>
    </row>
    <row r="2672" spans="1:17" x14ac:dyDescent="0.2">
      <c r="A2672">
        <f>YEAR(D2672)</f>
        <v>2019</v>
      </c>
      <c r="B2672" t="s">
        <v>26</v>
      </c>
      <c r="C2672" s="2" t="s">
        <v>50</v>
      </c>
      <c r="D2672" s="1">
        <v>43600</v>
      </c>
      <c r="E2672">
        <f>MONTH(D2672)</f>
        <v>5</v>
      </c>
      <c r="F2672" s="2" t="s">
        <v>2098</v>
      </c>
      <c r="G2672" t="s">
        <v>219</v>
      </c>
      <c r="H2672" t="s">
        <v>220</v>
      </c>
      <c r="I2672" t="s">
        <v>22</v>
      </c>
      <c r="J2672" s="2" t="s">
        <v>42</v>
      </c>
      <c r="K2672" s="2" t="s">
        <v>3019</v>
      </c>
      <c r="L2672" t="s">
        <v>25</v>
      </c>
      <c r="M2672" s="10" t="s">
        <v>26</v>
      </c>
      <c r="N2672" t="s">
        <v>26</v>
      </c>
      <c r="O2672" s="10" t="s">
        <v>26</v>
      </c>
      <c r="P2672" s="8" t="s">
        <v>26</v>
      </c>
      <c r="Q2672" s="8">
        <f>(4488342*100)/4914798</f>
        <v>91.323020803703429</v>
      </c>
    </row>
    <row r="2673" spans="1:17" x14ac:dyDescent="0.2">
      <c r="A2673">
        <f>YEAR(D2673)</f>
        <v>2019</v>
      </c>
      <c r="B2673" t="s">
        <v>26</v>
      </c>
      <c r="C2673" s="2" t="s">
        <v>50</v>
      </c>
      <c r="D2673" s="1">
        <v>43600</v>
      </c>
      <c r="E2673">
        <f>MONTH(D2673)</f>
        <v>5</v>
      </c>
      <c r="F2673" s="2" t="s">
        <v>2098</v>
      </c>
      <c r="G2673" t="s">
        <v>219</v>
      </c>
      <c r="H2673" t="s">
        <v>220</v>
      </c>
      <c r="I2673" t="s">
        <v>22</v>
      </c>
      <c r="J2673" s="2" t="s">
        <v>42</v>
      </c>
      <c r="K2673" s="2" t="s">
        <v>3019</v>
      </c>
      <c r="L2673" t="s">
        <v>25</v>
      </c>
      <c r="M2673" s="10" t="s">
        <v>26</v>
      </c>
      <c r="N2673" t="s">
        <v>26</v>
      </c>
      <c r="O2673" s="10" t="s">
        <v>26</v>
      </c>
      <c r="P2673" s="8" t="s">
        <v>26</v>
      </c>
      <c r="Q2673" s="8">
        <f>(4488342*100)/4914798</f>
        <v>91.323020803703429</v>
      </c>
    </row>
    <row r="2674" spans="1:17" x14ac:dyDescent="0.2">
      <c r="A2674">
        <f>YEAR(D2674)</f>
        <v>2019</v>
      </c>
      <c r="B2674" t="s">
        <v>26</v>
      </c>
      <c r="C2674" s="2" t="s">
        <v>50</v>
      </c>
      <c r="D2674" s="1">
        <v>43600</v>
      </c>
      <c r="E2674">
        <f>MONTH(D2674)</f>
        <v>5</v>
      </c>
      <c r="F2674" s="2" t="s">
        <v>2098</v>
      </c>
      <c r="G2674" t="s">
        <v>219</v>
      </c>
      <c r="H2674" t="s">
        <v>220</v>
      </c>
      <c r="I2674" t="s">
        <v>22</v>
      </c>
      <c r="J2674" s="2" t="s">
        <v>42</v>
      </c>
      <c r="K2674" s="2" t="s">
        <v>3019</v>
      </c>
      <c r="L2674" t="s">
        <v>25</v>
      </c>
      <c r="M2674" s="10" t="s">
        <v>26</v>
      </c>
      <c r="N2674" t="s">
        <v>26</v>
      </c>
      <c r="O2674" s="10" t="s">
        <v>26</v>
      </c>
      <c r="P2674" s="8" t="s">
        <v>26</v>
      </c>
      <c r="Q2674" s="8">
        <f>(4488342*100)/4914798</f>
        <v>91.323020803703429</v>
      </c>
    </row>
    <row r="2675" spans="1:17" x14ac:dyDescent="0.2">
      <c r="A2675">
        <f>YEAR(D2675)</f>
        <v>2019</v>
      </c>
      <c r="B2675" t="s">
        <v>26</v>
      </c>
      <c r="C2675" s="2" t="s">
        <v>50</v>
      </c>
      <c r="D2675" s="1">
        <v>43600</v>
      </c>
      <c r="E2675">
        <f>MONTH(D2675)</f>
        <v>5</v>
      </c>
      <c r="F2675" s="2" t="s">
        <v>2098</v>
      </c>
      <c r="G2675" t="s">
        <v>219</v>
      </c>
      <c r="H2675" t="s">
        <v>220</v>
      </c>
      <c r="I2675" t="s">
        <v>22</v>
      </c>
      <c r="J2675" s="2" t="s">
        <v>42</v>
      </c>
      <c r="K2675" s="2" t="s">
        <v>3019</v>
      </c>
      <c r="L2675" t="s">
        <v>25</v>
      </c>
      <c r="M2675" s="10" t="s">
        <v>26</v>
      </c>
      <c r="N2675" t="s">
        <v>26</v>
      </c>
      <c r="O2675" s="10" t="s">
        <v>26</v>
      </c>
      <c r="P2675" s="8" t="s">
        <v>26</v>
      </c>
      <c r="Q2675" s="8">
        <f>(4488342*100)/4914798</f>
        <v>91.323020803703429</v>
      </c>
    </row>
    <row r="2676" spans="1:17" x14ac:dyDescent="0.2">
      <c r="A2676">
        <f>YEAR(D2676)</f>
        <v>2019</v>
      </c>
      <c r="B2676" t="s">
        <v>26</v>
      </c>
      <c r="C2676" s="2" t="s">
        <v>50</v>
      </c>
      <c r="D2676" s="1">
        <v>43600</v>
      </c>
      <c r="E2676">
        <f>MONTH(D2676)</f>
        <v>5</v>
      </c>
      <c r="F2676" s="2" t="s">
        <v>2098</v>
      </c>
      <c r="G2676" t="s">
        <v>219</v>
      </c>
      <c r="H2676" t="s">
        <v>220</v>
      </c>
      <c r="I2676" t="s">
        <v>22</v>
      </c>
      <c r="J2676" s="2" t="s">
        <v>42</v>
      </c>
      <c r="K2676" s="2" t="s">
        <v>3019</v>
      </c>
      <c r="L2676" t="s">
        <v>25</v>
      </c>
      <c r="M2676" s="10" t="s">
        <v>26</v>
      </c>
      <c r="N2676" t="s">
        <v>26</v>
      </c>
      <c r="O2676" s="10" t="s">
        <v>26</v>
      </c>
      <c r="P2676" s="8" t="s">
        <v>26</v>
      </c>
      <c r="Q2676" s="8">
        <f>(4488342*100)/4914798</f>
        <v>91.323020803703429</v>
      </c>
    </row>
    <row r="2677" spans="1:17" x14ac:dyDescent="0.2">
      <c r="A2677">
        <f>YEAR(D2677)</f>
        <v>2019</v>
      </c>
      <c r="B2677" t="s">
        <v>26</v>
      </c>
      <c r="C2677" s="2" t="s">
        <v>50</v>
      </c>
      <c r="D2677" s="1">
        <v>43600</v>
      </c>
      <c r="E2677">
        <f>MONTH(D2677)</f>
        <v>5</v>
      </c>
      <c r="F2677" s="2" t="s">
        <v>2098</v>
      </c>
      <c r="G2677" t="s">
        <v>219</v>
      </c>
      <c r="H2677" t="s">
        <v>220</v>
      </c>
      <c r="I2677" t="s">
        <v>22</v>
      </c>
      <c r="J2677" s="2" t="s">
        <v>42</v>
      </c>
      <c r="K2677" s="2" t="s">
        <v>3019</v>
      </c>
      <c r="L2677" t="s">
        <v>25</v>
      </c>
      <c r="M2677" s="10" t="s">
        <v>26</v>
      </c>
      <c r="N2677" t="s">
        <v>26</v>
      </c>
      <c r="O2677" s="10" t="s">
        <v>26</v>
      </c>
      <c r="P2677" s="8" t="s">
        <v>26</v>
      </c>
      <c r="Q2677" s="8">
        <f>(4488342*100)/4914798</f>
        <v>91.323020803703429</v>
      </c>
    </row>
    <row r="2678" spans="1:17" x14ac:dyDescent="0.2">
      <c r="A2678">
        <f>YEAR(D2678)</f>
        <v>2019</v>
      </c>
      <c r="B2678" t="s">
        <v>26</v>
      </c>
      <c r="C2678" s="2" t="s">
        <v>50</v>
      </c>
      <c r="D2678" s="1">
        <v>43600</v>
      </c>
      <c r="E2678">
        <f>MONTH(D2678)</f>
        <v>5</v>
      </c>
      <c r="F2678" s="2" t="s">
        <v>2098</v>
      </c>
      <c r="G2678" t="s">
        <v>219</v>
      </c>
      <c r="H2678" t="s">
        <v>220</v>
      </c>
      <c r="I2678" t="s">
        <v>22</v>
      </c>
      <c r="J2678" s="2" t="s">
        <v>42</v>
      </c>
      <c r="K2678" s="2" t="s">
        <v>3019</v>
      </c>
      <c r="L2678" t="s">
        <v>25</v>
      </c>
      <c r="M2678" s="10" t="s">
        <v>26</v>
      </c>
      <c r="N2678" t="s">
        <v>26</v>
      </c>
      <c r="O2678" s="10" t="s">
        <v>26</v>
      </c>
      <c r="P2678" s="8" t="s">
        <v>26</v>
      </c>
      <c r="Q2678" s="8">
        <f>(4488342*100)/4914798</f>
        <v>91.323020803703429</v>
      </c>
    </row>
    <row r="2679" spans="1:17" x14ac:dyDescent="0.2">
      <c r="A2679">
        <f>YEAR(D2679)</f>
        <v>2019</v>
      </c>
      <c r="B2679" t="s">
        <v>26</v>
      </c>
      <c r="C2679" s="2" t="s">
        <v>50</v>
      </c>
      <c r="D2679" s="1">
        <v>43600</v>
      </c>
      <c r="E2679">
        <f>MONTH(D2679)</f>
        <v>5</v>
      </c>
      <c r="F2679" s="2" t="s">
        <v>2098</v>
      </c>
      <c r="G2679" t="s">
        <v>219</v>
      </c>
      <c r="H2679" t="s">
        <v>220</v>
      </c>
      <c r="I2679" t="s">
        <v>22</v>
      </c>
      <c r="J2679" s="2" t="s">
        <v>42</v>
      </c>
      <c r="K2679" s="2" t="s">
        <v>3019</v>
      </c>
      <c r="L2679" t="s">
        <v>25</v>
      </c>
      <c r="M2679" s="10" t="s">
        <v>26</v>
      </c>
      <c r="N2679" t="s">
        <v>26</v>
      </c>
      <c r="O2679" s="10" t="s">
        <v>26</v>
      </c>
      <c r="P2679" s="8" t="s">
        <v>26</v>
      </c>
      <c r="Q2679" s="8">
        <f>(4488342*100)/4914798</f>
        <v>91.323020803703429</v>
      </c>
    </row>
    <row r="2680" spans="1:17" x14ac:dyDescent="0.2">
      <c r="A2680">
        <f>YEAR(D2680)</f>
        <v>2019</v>
      </c>
      <c r="B2680" t="s">
        <v>26</v>
      </c>
      <c r="C2680" s="2" t="s">
        <v>50</v>
      </c>
      <c r="D2680" s="1">
        <v>43600</v>
      </c>
      <c r="E2680">
        <f>MONTH(D2680)</f>
        <v>5</v>
      </c>
      <c r="F2680" s="2" t="s">
        <v>2098</v>
      </c>
      <c r="G2680" t="s">
        <v>219</v>
      </c>
      <c r="H2680" t="s">
        <v>220</v>
      </c>
      <c r="I2680" t="s">
        <v>22</v>
      </c>
      <c r="J2680" s="2" t="s">
        <v>42</v>
      </c>
      <c r="K2680" s="2" t="s">
        <v>3019</v>
      </c>
      <c r="L2680" t="s">
        <v>25</v>
      </c>
      <c r="M2680" s="10" t="s">
        <v>26</v>
      </c>
      <c r="N2680" t="s">
        <v>26</v>
      </c>
      <c r="O2680" s="10" t="s">
        <v>26</v>
      </c>
      <c r="P2680" s="8" t="s">
        <v>26</v>
      </c>
      <c r="Q2680" s="8">
        <f>(4488342*100)/4914798</f>
        <v>91.323020803703429</v>
      </c>
    </row>
    <row r="2681" spans="1:17" x14ac:dyDescent="0.2">
      <c r="A2681">
        <f>YEAR(D2681)</f>
        <v>2019</v>
      </c>
      <c r="B2681" t="s">
        <v>26</v>
      </c>
      <c r="C2681" s="2" t="s">
        <v>50</v>
      </c>
      <c r="D2681" s="1">
        <v>43600</v>
      </c>
      <c r="E2681">
        <f>MONTH(D2681)</f>
        <v>5</v>
      </c>
      <c r="F2681" s="2" t="s">
        <v>2098</v>
      </c>
      <c r="G2681" t="s">
        <v>219</v>
      </c>
      <c r="H2681" t="s">
        <v>220</v>
      </c>
      <c r="I2681" t="s">
        <v>22</v>
      </c>
      <c r="J2681" s="2" t="s">
        <v>42</v>
      </c>
      <c r="K2681" s="2" t="s">
        <v>3019</v>
      </c>
      <c r="L2681" t="s">
        <v>25</v>
      </c>
      <c r="M2681" s="10" t="s">
        <v>26</v>
      </c>
      <c r="N2681" t="s">
        <v>26</v>
      </c>
      <c r="O2681" s="10" t="s">
        <v>26</v>
      </c>
      <c r="P2681" s="8" t="s">
        <v>26</v>
      </c>
      <c r="Q2681" s="8">
        <f>(4488342*100)/4914798</f>
        <v>91.323020803703429</v>
      </c>
    </row>
    <row r="2682" spans="1:17" x14ac:dyDescent="0.2">
      <c r="A2682">
        <f>YEAR(D2682)</f>
        <v>2019</v>
      </c>
      <c r="B2682" t="s">
        <v>26</v>
      </c>
      <c r="C2682" s="2" t="s">
        <v>50</v>
      </c>
      <c r="D2682" s="1">
        <v>43600</v>
      </c>
      <c r="E2682">
        <f>MONTH(D2682)</f>
        <v>5</v>
      </c>
      <c r="F2682" s="2" t="s">
        <v>2098</v>
      </c>
      <c r="G2682" t="s">
        <v>219</v>
      </c>
      <c r="H2682" t="s">
        <v>220</v>
      </c>
      <c r="I2682" t="s">
        <v>22</v>
      </c>
      <c r="J2682" s="2" t="s">
        <v>42</v>
      </c>
      <c r="K2682" s="2" t="s">
        <v>3019</v>
      </c>
      <c r="L2682" t="s">
        <v>25</v>
      </c>
      <c r="M2682" s="10" t="s">
        <v>26</v>
      </c>
      <c r="N2682" t="s">
        <v>26</v>
      </c>
      <c r="O2682" s="10" t="s">
        <v>26</v>
      </c>
      <c r="P2682" s="8" t="s">
        <v>26</v>
      </c>
      <c r="Q2682" s="8">
        <f>(4488342*100)/4914798</f>
        <v>91.323020803703429</v>
      </c>
    </row>
    <row r="2683" spans="1:17" x14ac:dyDescent="0.2">
      <c r="A2683">
        <f>YEAR(D2683)</f>
        <v>2019</v>
      </c>
      <c r="B2683" t="s">
        <v>26</v>
      </c>
      <c r="C2683" s="2" t="s">
        <v>50</v>
      </c>
      <c r="D2683" s="1">
        <v>43600</v>
      </c>
      <c r="E2683">
        <f>MONTH(D2683)</f>
        <v>5</v>
      </c>
      <c r="F2683" s="2" t="s">
        <v>2098</v>
      </c>
      <c r="G2683" t="s">
        <v>219</v>
      </c>
      <c r="H2683" t="s">
        <v>220</v>
      </c>
      <c r="I2683" t="s">
        <v>22</v>
      </c>
      <c r="J2683" s="2" t="s">
        <v>42</v>
      </c>
      <c r="K2683" s="2" t="s">
        <v>3019</v>
      </c>
      <c r="L2683" t="s">
        <v>25</v>
      </c>
      <c r="M2683" s="10" t="s">
        <v>26</v>
      </c>
      <c r="N2683" t="s">
        <v>26</v>
      </c>
      <c r="O2683" s="10" t="s">
        <v>26</v>
      </c>
      <c r="P2683" s="8" t="s">
        <v>26</v>
      </c>
      <c r="Q2683" s="8">
        <f>(4488342*100)/4914798</f>
        <v>91.323020803703429</v>
      </c>
    </row>
    <row r="2684" spans="1:17" x14ac:dyDescent="0.2">
      <c r="A2684">
        <f>YEAR(D2684)</f>
        <v>2019</v>
      </c>
      <c r="B2684" t="s">
        <v>26</v>
      </c>
      <c r="C2684" s="2" t="s">
        <v>50</v>
      </c>
      <c r="D2684" s="1">
        <v>43600</v>
      </c>
      <c r="E2684">
        <f>MONTH(D2684)</f>
        <v>5</v>
      </c>
      <c r="F2684" s="2" t="s">
        <v>2098</v>
      </c>
      <c r="G2684" t="s">
        <v>219</v>
      </c>
      <c r="H2684" t="s">
        <v>220</v>
      </c>
      <c r="I2684" t="s">
        <v>22</v>
      </c>
      <c r="J2684" s="2" t="s">
        <v>42</v>
      </c>
      <c r="K2684" s="2" t="s">
        <v>3019</v>
      </c>
      <c r="L2684" t="s">
        <v>25</v>
      </c>
      <c r="M2684" s="10" t="s">
        <v>26</v>
      </c>
      <c r="N2684" t="s">
        <v>26</v>
      </c>
      <c r="O2684" s="10" t="s">
        <v>26</v>
      </c>
      <c r="P2684" s="8" t="s">
        <v>26</v>
      </c>
      <c r="Q2684" s="8">
        <f>(4488342*100)/4914798</f>
        <v>91.323020803703429</v>
      </c>
    </row>
    <row r="2685" spans="1:17" x14ac:dyDescent="0.2">
      <c r="A2685">
        <f>YEAR(D2685)</f>
        <v>2019</v>
      </c>
      <c r="B2685" t="s">
        <v>26</v>
      </c>
      <c r="C2685" s="2" t="s">
        <v>50</v>
      </c>
      <c r="D2685" s="1">
        <v>43600</v>
      </c>
      <c r="E2685">
        <f>MONTH(D2685)</f>
        <v>5</v>
      </c>
      <c r="F2685" s="2" t="s">
        <v>2098</v>
      </c>
      <c r="G2685" t="s">
        <v>219</v>
      </c>
      <c r="H2685" t="s">
        <v>220</v>
      </c>
      <c r="I2685" t="s">
        <v>22</v>
      </c>
      <c r="J2685" s="2" t="s">
        <v>42</v>
      </c>
      <c r="K2685" s="2" t="s">
        <v>3019</v>
      </c>
      <c r="L2685" t="s">
        <v>25</v>
      </c>
      <c r="M2685" s="10" t="s">
        <v>26</v>
      </c>
      <c r="N2685" t="s">
        <v>26</v>
      </c>
      <c r="O2685" s="10" t="s">
        <v>26</v>
      </c>
      <c r="P2685" s="8" t="s">
        <v>26</v>
      </c>
      <c r="Q2685" s="8">
        <f>(4488342*100)/4914798</f>
        <v>91.323020803703429</v>
      </c>
    </row>
    <row r="2686" spans="1:17" x14ac:dyDescent="0.2">
      <c r="A2686">
        <f>YEAR(D2686)</f>
        <v>2019</v>
      </c>
      <c r="B2686" t="s">
        <v>26</v>
      </c>
      <c r="C2686" s="2" t="s">
        <v>50</v>
      </c>
      <c r="D2686" s="1">
        <v>43600</v>
      </c>
      <c r="E2686">
        <f>MONTH(D2686)</f>
        <v>5</v>
      </c>
      <c r="F2686" s="2" t="s">
        <v>2098</v>
      </c>
      <c r="G2686" t="s">
        <v>219</v>
      </c>
      <c r="H2686" t="s">
        <v>220</v>
      </c>
      <c r="I2686" t="s">
        <v>22</v>
      </c>
      <c r="J2686" s="2" t="s">
        <v>42</v>
      </c>
      <c r="K2686" s="2" t="s">
        <v>3019</v>
      </c>
      <c r="L2686" t="s">
        <v>25</v>
      </c>
      <c r="M2686" s="10" t="s">
        <v>26</v>
      </c>
      <c r="N2686" t="s">
        <v>26</v>
      </c>
      <c r="O2686" s="10" t="s">
        <v>26</v>
      </c>
      <c r="P2686" s="8" t="s">
        <v>26</v>
      </c>
      <c r="Q2686" s="8">
        <f>(4488342*100)/4914798</f>
        <v>91.323020803703429</v>
      </c>
    </row>
    <row r="2687" spans="1:17" x14ac:dyDescent="0.2">
      <c r="A2687">
        <f>YEAR(D2687)</f>
        <v>2019</v>
      </c>
      <c r="B2687" t="s">
        <v>26</v>
      </c>
      <c r="C2687" s="2" t="s">
        <v>50</v>
      </c>
      <c r="D2687" s="1">
        <v>43600</v>
      </c>
      <c r="E2687">
        <f>MONTH(D2687)</f>
        <v>5</v>
      </c>
      <c r="F2687" s="2" t="s">
        <v>2098</v>
      </c>
      <c r="G2687" t="s">
        <v>219</v>
      </c>
      <c r="H2687" t="s">
        <v>220</v>
      </c>
      <c r="I2687" t="s">
        <v>22</v>
      </c>
      <c r="J2687" s="2" t="s">
        <v>42</v>
      </c>
      <c r="K2687" s="2" t="s">
        <v>3019</v>
      </c>
      <c r="L2687" t="s">
        <v>25</v>
      </c>
      <c r="M2687" s="10" t="s">
        <v>26</v>
      </c>
      <c r="N2687" t="s">
        <v>26</v>
      </c>
      <c r="O2687" s="10" t="s">
        <v>26</v>
      </c>
      <c r="P2687" s="8" t="s">
        <v>26</v>
      </c>
      <c r="Q2687" s="8">
        <f>(4488342*100)/4914798</f>
        <v>91.323020803703429</v>
      </c>
    </row>
    <row r="2688" spans="1:17" x14ac:dyDescent="0.2">
      <c r="A2688">
        <f>YEAR(D2688)</f>
        <v>2019</v>
      </c>
      <c r="B2688" t="s">
        <v>26</v>
      </c>
      <c r="C2688" s="2" t="s">
        <v>50</v>
      </c>
      <c r="D2688" s="1">
        <v>43600</v>
      </c>
      <c r="E2688">
        <f>MONTH(D2688)</f>
        <v>5</v>
      </c>
      <c r="F2688" s="2" t="s">
        <v>2098</v>
      </c>
      <c r="G2688" t="s">
        <v>219</v>
      </c>
      <c r="H2688" t="s">
        <v>220</v>
      </c>
      <c r="I2688" t="s">
        <v>22</v>
      </c>
      <c r="J2688" s="2" t="s">
        <v>42</v>
      </c>
      <c r="K2688" s="2" t="s">
        <v>3019</v>
      </c>
      <c r="L2688" t="s">
        <v>25</v>
      </c>
      <c r="M2688" s="10" t="s">
        <v>26</v>
      </c>
      <c r="N2688" t="s">
        <v>26</v>
      </c>
      <c r="O2688" s="10" t="s">
        <v>26</v>
      </c>
      <c r="P2688" s="8" t="s">
        <v>26</v>
      </c>
      <c r="Q2688" s="8">
        <f>(4488342*100)/4914798</f>
        <v>91.323020803703429</v>
      </c>
    </row>
    <row r="2689" spans="1:17" x14ac:dyDescent="0.2">
      <c r="A2689">
        <f>YEAR(D2689)</f>
        <v>2019</v>
      </c>
      <c r="B2689" t="s">
        <v>26</v>
      </c>
      <c r="C2689" s="2" t="s">
        <v>50</v>
      </c>
      <c r="D2689" s="1">
        <v>43600</v>
      </c>
      <c r="E2689">
        <f>MONTH(D2689)</f>
        <v>5</v>
      </c>
      <c r="F2689" s="2" t="s">
        <v>2098</v>
      </c>
      <c r="G2689" t="s">
        <v>219</v>
      </c>
      <c r="H2689" t="s">
        <v>220</v>
      </c>
      <c r="I2689" t="s">
        <v>22</v>
      </c>
      <c r="J2689" s="2" t="s">
        <v>42</v>
      </c>
      <c r="K2689" s="2" t="s">
        <v>3019</v>
      </c>
      <c r="L2689" t="s">
        <v>25</v>
      </c>
      <c r="M2689" s="10" t="s">
        <v>26</v>
      </c>
      <c r="N2689" t="s">
        <v>26</v>
      </c>
      <c r="O2689" s="10" t="s">
        <v>26</v>
      </c>
      <c r="P2689" s="8" t="s">
        <v>26</v>
      </c>
      <c r="Q2689" s="8">
        <f>(4488342*100)/4914798</f>
        <v>91.323020803703429</v>
      </c>
    </row>
    <row r="2690" spans="1:17" x14ac:dyDescent="0.2">
      <c r="A2690">
        <f>YEAR(D2690)</f>
        <v>2019</v>
      </c>
      <c r="B2690" t="s">
        <v>26</v>
      </c>
      <c r="C2690" s="2" t="s">
        <v>50</v>
      </c>
      <c r="D2690" s="1">
        <v>43600</v>
      </c>
      <c r="E2690">
        <f>MONTH(D2690)</f>
        <v>5</v>
      </c>
      <c r="F2690" s="2" t="s">
        <v>2098</v>
      </c>
      <c r="G2690" t="s">
        <v>219</v>
      </c>
      <c r="H2690" t="s">
        <v>220</v>
      </c>
      <c r="I2690" t="s">
        <v>22</v>
      </c>
      <c r="J2690" s="2" t="s">
        <v>42</v>
      </c>
      <c r="K2690" s="2" t="s">
        <v>3019</v>
      </c>
      <c r="L2690" t="s">
        <v>25</v>
      </c>
      <c r="M2690" s="10" t="s">
        <v>26</v>
      </c>
      <c r="N2690" t="s">
        <v>26</v>
      </c>
      <c r="O2690" s="10" t="s">
        <v>26</v>
      </c>
      <c r="P2690" s="8" t="s">
        <v>26</v>
      </c>
      <c r="Q2690" s="8">
        <f>(4488342*100)/4914798</f>
        <v>91.323020803703429</v>
      </c>
    </row>
    <row r="2691" spans="1:17" x14ac:dyDescent="0.2">
      <c r="A2691">
        <f>YEAR(D2691)</f>
        <v>2019</v>
      </c>
      <c r="B2691" t="s">
        <v>26</v>
      </c>
      <c r="C2691" s="2" t="s">
        <v>50</v>
      </c>
      <c r="D2691" s="1">
        <v>43600</v>
      </c>
      <c r="E2691">
        <f>MONTH(D2691)</f>
        <v>5</v>
      </c>
      <c r="F2691" s="2" t="s">
        <v>2098</v>
      </c>
      <c r="G2691" t="s">
        <v>219</v>
      </c>
      <c r="H2691" t="s">
        <v>220</v>
      </c>
      <c r="I2691" t="s">
        <v>22</v>
      </c>
      <c r="J2691" s="2" t="s">
        <v>42</v>
      </c>
      <c r="K2691" s="2" t="s">
        <v>3019</v>
      </c>
      <c r="L2691" t="s">
        <v>25</v>
      </c>
      <c r="M2691" s="10" t="s">
        <v>26</v>
      </c>
      <c r="N2691" t="s">
        <v>26</v>
      </c>
      <c r="O2691" s="10" t="s">
        <v>26</v>
      </c>
      <c r="P2691" s="8" t="s">
        <v>26</v>
      </c>
      <c r="Q2691" s="8">
        <f>(4488342*100)/4914798</f>
        <v>91.323020803703429</v>
      </c>
    </row>
    <row r="2692" spans="1:17" x14ac:dyDescent="0.2">
      <c r="A2692">
        <f>YEAR(D2692)</f>
        <v>2019</v>
      </c>
      <c r="B2692" t="s">
        <v>26</v>
      </c>
      <c r="C2692" s="2" t="s">
        <v>50</v>
      </c>
      <c r="D2692" s="1">
        <v>43600</v>
      </c>
      <c r="E2692">
        <f>MONTH(D2692)</f>
        <v>5</v>
      </c>
      <c r="F2692" s="2" t="s">
        <v>2098</v>
      </c>
      <c r="G2692" t="s">
        <v>219</v>
      </c>
      <c r="H2692" t="s">
        <v>220</v>
      </c>
      <c r="I2692" t="s">
        <v>22</v>
      </c>
      <c r="J2692" s="2" t="s">
        <v>42</v>
      </c>
      <c r="K2692" s="2" t="s">
        <v>3019</v>
      </c>
      <c r="L2692" t="s">
        <v>25</v>
      </c>
      <c r="M2692" s="10" t="s">
        <v>26</v>
      </c>
      <c r="N2692" t="s">
        <v>26</v>
      </c>
      <c r="O2692" s="10" t="s">
        <v>26</v>
      </c>
      <c r="P2692" s="8" t="s">
        <v>26</v>
      </c>
      <c r="Q2692" s="8">
        <f>(4488342*100)/4914798</f>
        <v>91.323020803703429</v>
      </c>
    </row>
    <row r="2693" spans="1:17" x14ac:dyDescent="0.2">
      <c r="A2693">
        <f>YEAR(D2693)</f>
        <v>2019</v>
      </c>
      <c r="B2693" t="s">
        <v>26</v>
      </c>
      <c r="C2693" s="2" t="s">
        <v>50</v>
      </c>
      <c r="D2693" s="1">
        <v>43600</v>
      </c>
      <c r="E2693">
        <f>MONTH(D2693)</f>
        <v>5</v>
      </c>
      <c r="F2693" s="2" t="s">
        <v>2098</v>
      </c>
      <c r="G2693" t="s">
        <v>219</v>
      </c>
      <c r="H2693" t="s">
        <v>220</v>
      </c>
      <c r="I2693" t="s">
        <v>22</v>
      </c>
      <c r="J2693" s="2" t="s">
        <v>42</v>
      </c>
      <c r="K2693" s="2" t="s">
        <v>3019</v>
      </c>
      <c r="L2693" t="s">
        <v>25</v>
      </c>
      <c r="M2693" s="10" t="s">
        <v>26</v>
      </c>
      <c r="N2693" t="s">
        <v>26</v>
      </c>
      <c r="O2693" s="10" t="s">
        <v>26</v>
      </c>
      <c r="P2693" s="8" t="s">
        <v>26</v>
      </c>
      <c r="Q2693" s="8">
        <f>(4488342*100)/4914798</f>
        <v>91.323020803703429</v>
      </c>
    </row>
    <row r="2694" spans="1:17" x14ac:dyDescent="0.2">
      <c r="A2694">
        <f>YEAR(D2694)</f>
        <v>2019</v>
      </c>
      <c r="B2694" t="s">
        <v>26</v>
      </c>
      <c r="C2694" s="2" t="s">
        <v>50</v>
      </c>
      <c r="D2694" s="1">
        <v>43600</v>
      </c>
      <c r="E2694">
        <f>MONTH(D2694)</f>
        <v>5</v>
      </c>
      <c r="F2694" s="2" t="s">
        <v>2098</v>
      </c>
      <c r="G2694" t="s">
        <v>219</v>
      </c>
      <c r="H2694" t="s">
        <v>220</v>
      </c>
      <c r="I2694" t="s">
        <v>22</v>
      </c>
      <c r="J2694" s="2" t="s">
        <v>42</v>
      </c>
      <c r="K2694" s="2" t="s">
        <v>3019</v>
      </c>
      <c r="L2694" t="s">
        <v>25</v>
      </c>
      <c r="M2694" s="10" t="s">
        <v>26</v>
      </c>
      <c r="N2694" t="s">
        <v>26</v>
      </c>
      <c r="O2694" s="10" t="s">
        <v>26</v>
      </c>
      <c r="P2694" s="8" t="s">
        <v>26</v>
      </c>
      <c r="Q2694" s="8">
        <f>(4488342*100)/4914798</f>
        <v>91.323020803703429</v>
      </c>
    </row>
    <row r="2695" spans="1:17" x14ac:dyDescent="0.2">
      <c r="A2695">
        <f>YEAR(D2695)</f>
        <v>2019</v>
      </c>
      <c r="B2695" t="s">
        <v>26</v>
      </c>
      <c r="C2695" s="2" t="s">
        <v>50</v>
      </c>
      <c r="D2695" s="1">
        <v>43600</v>
      </c>
      <c r="E2695">
        <f>MONTH(D2695)</f>
        <v>5</v>
      </c>
      <c r="F2695" s="2" t="s">
        <v>2098</v>
      </c>
      <c r="G2695" t="s">
        <v>352</v>
      </c>
      <c r="H2695" t="s">
        <v>353</v>
      </c>
      <c r="I2695" t="s">
        <v>22</v>
      </c>
      <c r="J2695" s="2" t="s">
        <v>42</v>
      </c>
      <c r="K2695" s="2" t="s">
        <v>3019</v>
      </c>
      <c r="L2695" t="s">
        <v>25</v>
      </c>
      <c r="M2695" s="8">
        <v>1.1623333330000001</v>
      </c>
      <c r="N2695" t="s">
        <v>26</v>
      </c>
      <c r="O2695" s="8">
        <v>1.1623333330000001</v>
      </c>
      <c r="P2695" s="8">
        <f>EXP(-1.363+3.366*LOG(O2695,10))</f>
        <v>0.31883010989102206</v>
      </c>
      <c r="Q2695" s="8">
        <f>(4488342*100)/4914798</f>
        <v>91.323020803703429</v>
      </c>
    </row>
    <row r="2696" spans="1:17" x14ac:dyDescent="0.2">
      <c r="A2696">
        <f>YEAR(D2696)</f>
        <v>2019</v>
      </c>
      <c r="B2696" t="s">
        <v>26</v>
      </c>
      <c r="C2696" s="2" t="s">
        <v>50</v>
      </c>
      <c r="D2696" s="1">
        <v>43600</v>
      </c>
      <c r="E2696">
        <f>MONTH(D2696)</f>
        <v>5</v>
      </c>
      <c r="F2696" s="2" t="s">
        <v>2098</v>
      </c>
      <c r="G2696" s="2" t="s">
        <v>20</v>
      </c>
      <c r="H2696" t="s">
        <v>3053</v>
      </c>
      <c r="I2696" t="s">
        <v>22</v>
      </c>
      <c r="J2696" s="2" t="s">
        <v>42</v>
      </c>
      <c r="K2696" s="2" t="s">
        <v>3019</v>
      </c>
      <c r="L2696" t="s">
        <v>187</v>
      </c>
      <c r="M2696" s="8">
        <v>1.3935</v>
      </c>
      <c r="N2696" t="s">
        <v>26</v>
      </c>
      <c r="O2696" s="8">
        <v>1.3935</v>
      </c>
      <c r="P2696" s="8">
        <f>EXP(-1.363+3.366*LOG(O2696,10))</f>
        <v>0.41563993735545557</v>
      </c>
      <c r="Q2696" s="8">
        <f>(4488342*100)/4914798</f>
        <v>91.323020803703429</v>
      </c>
    </row>
    <row r="2697" spans="1:17" x14ac:dyDescent="0.2">
      <c r="A2697">
        <f>YEAR(D2697)</f>
        <v>2019</v>
      </c>
      <c r="B2697" t="s">
        <v>26</v>
      </c>
      <c r="C2697" s="2" t="s">
        <v>50</v>
      </c>
      <c r="D2697" s="1">
        <v>43600</v>
      </c>
      <c r="E2697">
        <f>MONTH(D2697)</f>
        <v>5</v>
      </c>
      <c r="F2697" s="2" t="s">
        <v>2098</v>
      </c>
      <c r="G2697" t="s">
        <v>20</v>
      </c>
      <c r="H2697" t="s">
        <v>149</v>
      </c>
      <c r="I2697" t="s">
        <v>22</v>
      </c>
      <c r="J2697" s="2" t="s">
        <v>42</v>
      </c>
      <c r="K2697" s="2" t="s">
        <v>3019</v>
      </c>
      <c r="L2697" t="s">
        <v>25</v>
      </c>
      <c r="M2697" s="8">
        <v>1.45</v>
      </c>
      <c r="N2697" t="s">
        <v>26</v>
      </c>
      <c r="O2697" s="8">
        <v>1.45</v>
      </c>
      <c r="P2697" s="8">
        <f>EXP(-1.363+3.366*LOG(O2697,10))</f>
        <v>0.44050419760124854</v>
      </c>
      <c r="Q2697" s="8">
        <f>(4488342*100)/4914798</f>
        <v>91.323020803703429</v>
      </c>
    </row>
    <row r="2698" spans="1:17" x14ac:dyDescent="0.2">
      <c r="A2698">
        <f>YEAR(D2698)</f>
        <v>2019</v>
      </c>
      <c r="B2698" t="s">
        <v>26</v>
      </c>
      <c r="C2698" s="2" t="s">
        <v>50</v>
      </c>
      <c r="D2698" s="1">
        <v>43600</v>
      </c>
      <c r="E2698">
        <f>MONTH(D2698)</f>
        <v>5</v>
      </c>
      <c r="F2698" s="2" t="s">
        <v>2098</v>
      </c>
      <c r="G2698" t="s">
        <v>230</v>
      </c>
      <c r="H2698" t="s">
        <v>255</v>
      </c>
      <c r="I2698" t="s">
        <v>22</v>
      </c>
      <c r="J2698" s="2" t="s">
        <v>42</v>
      </c>
      <c r="K2698" s="2" t="s">
        <v>3019</v>
      </c>
      <c r="L2698" t="s">
        <v>25</v>
      </c>
      <c r="M2698" s="8">
        <v>3.1943333329999999</v>
      </c>
      <c r="N2698" t="s">
        <v>26</v>
      </c>
      <c r="O2698" s="8">
        <v>3.1943333329999999</v>
      </c>
      <c r="P2698" s="8">
        <f>EXP(-1.363+3.366*LOG(O2698,10))</f>
        <v>1.3975823704079444</v>
      </c>
      <c r="Q2698" s="8">
        <f>(4488342*100)/4914798</f>
        <v>91.323020803703429</v>
      </c>
    </row>
    <row r="2699" spans="1:17" x14ac:dyDescent="0.2">
      <c r="A2699">
        <f>YEAR(D2699)</f>
        <v>2019</v>
      </c>
      <c r="B2699" t="s">
        <v>26</v>
      </c>
      <c r="C2699" s="2" t="s">
        <v>50</v>
      </c>
      <c r="D2699" s="1">
        <v>43600</v>
      </c>
      <c r="E2699">
        <f>MONTH(D2699)</f>
        <v>5</v>
      </c>
      <c r="F2699" s="2" t="s">
        <v>2098</v>
      </c>
      <c r="G2699" t="s">
        <v>20</v>
      </c>
      <c r="H2699" t="s">
        <v>171</v>
      </c>
      <c r="I2699" t="s">
        <v>22</v>
      </c>
      <c r="J2699" s="2" t="s">
        <v>42</v>
      </c>
      <c r="K2699" s="2" t="s">
        <v>3019</v>
      </c>
      <c r="L2699" t="s">
        <v>25</v>
      </c>
      <c r="M2699" s="8">
        <v>1.258</v>
      </c>
      <c r="N2699" t="s">
        <v>26</v>
      </c>
      <c r="O2699" s="8">
        <v>1.258</v>
      </c>
      <c r="P2699" s="8">
        <f>EXP(-1.363+3.366*LOG(O2699,10))</f>
        <v>0.35790955576548023</v>
      </c>
      <c r="Q2699" s="8">
        <f>(4488342*100)/4914798</f>
        <v>91.323020803703429</v>
      </c>
    </row>
    <row r="2700" spans="1:17" x14ac:dyDescent="0.2">
      <c r="A2700">
        <f>YEAR(D2700)</f>
        <v>2019</v>
      </c>
      <c r="B2700" t="s">
        <v>26</v>
      </c>
      <c r="C2700" s="2" t="s">
        <v>50</v>
      </c>
      <c r="D2700" s="1">
        <v>43600</v>
      </c>
      <c r="E2700">
        <f>MONTH(D2700)</f>
        <v>5</v>
      </c>
      <c r="F2700" s="2" t="s">
        <v>2098</v>
      </c>
      <c r="G2700" t="s">
        <v>20</v>
      </c>
      <c r="H2700" t="s">
        <v>198</v>
      </c>
      <c r="I2700" t="s">
        <v>22</v>
      </c>
      <c r="J2700" s="2" t="s">
        <v>42</v>
      </c>
      <c r="K2700" s="2" t="s">
        <v>3019</v>
      </c>
      <c r="L2700" t="s">
        <v>187</v>
      </c>
      <c r="M2700" s="8">
        <v>1.7889999999999999</v>
      </c>
      <c r="N2700" t="s">
        <v>26</v>
      </c>
      <c r="O2700" s="8">
        <v>1.7889999999999999</v>
      </c>
      <c r="P2700" s="8">
        <f>EXP(-1.363+3.366*LOG(O2700,10))</f>
        <v>0.59886828672590986</v>
      </c>
      <c r="Q2700" s="8">
        <f>(4488342*100)/4914798</f>
        <v>91.323020803703429</v>
      </c>
    </row>
    <row r="2701" spans="1:17" x14ac:dyDescent="0.2">
      <c r="A2701">
        <f>YEAR(D2701)</f>
        <v>2019</v>
      </c>
      <c r="B2701" t="s">
        <v>26</v>
      </c>
      <c r="C2701" s="2" t="s">
        <v>50</v>
      </c>
      <c r="D2701" s="1">
        <v>43600</v>
      </c>
      <c r="E2701">
        <f>MONTH(D2701)</f>
        <v>5</v>
      </c>
      <c r="F2701" s="2" t="s">
        <v>2098</v>
      </c>
      <c r="G2701" t="s">
        <v>20</v>
      </c>
      <c r="H2701" t="s">
        <v>198</v>
      </c>
      <c r="I2701" t="s">
        <v>22</v>
      </c>
      <c r="J2701" s="2" t="s">
        <v>42</v>
      </c>
      <c r="K2701" s="2" t="s">
        <v>3019</v>
      </c>
      <c r="L2701" t="s">
        <v>187</v>
      </c>
      <c r="M2701" s="8">
        <v>1.7889999999999999</v>
      </c>
      <c r="N2701" t="s">
        <v>26</v>
      </c>
      <c r="O2701" s="8">
        <v>1.7889999999999999</v>
      </c>
      <c r="P2701" s="8">
        <f>EXP(-1.363+3.366*LOG(O2701,10))</f>
        <v>0.59886828672590986</v>
      </c>
      <c r="Q2701" s="8">
        <f>(4488342*100)/4914798</f>
        <v>91.323020803703429</v>
      </c>
    </row>
    <row r="2702" spans="1:17" x14ac:dyDescent="0.2">
      <c r="A2702">
        <f>YEAR(D2702)</f>
        <v>2019</v>
      </c>
      <c r="B2702" t="s">
        <v>26</v>
      </c>
      <c r="C2702" s="2" t="s">
        <v>50</v>
      </c>
      <c r="D2702" s="1">
        <v>43600</v>
      </c>
      <c r="E2702">
        <f>MONTH(D2702)</f>
        <v>5</v>
      </c>
      <c r="F2702" s="2" t="s">
        <v>2098</v>
      </c>
      <c r="G2702" t="s">
        <v>20</v>
      </c>
      <c r="H2702" t="s">
        <v>198</v>
      </c>
      <c r="I2702" t="s">
        <v>22</v>
      </c>
      <c r="J2702" s="2" t="s">
        <v>42</v>
      </c>
      <c r="K2702" s="2" t="s">
        <v>3019</v>
      </c>
      <c r="L2702" t="s">
        <v>187</v>
      </c>
      <c r="M2702" s="8">
        <v>1.7889999999999999</v>
      </c>
      <c r="N2702" t="s">
        <v>26</v>
      </c>
      <c r="O2702" s="8">
        <v>1.7889999999999999</v>
      </c>
      <c r="P2702" s="8">
        <f>EXP(-1.363+3.366*LOG(O2702,10))</f>
        <v>0.59886828672590986</v>
      </c>
      <c r="Q2702" s="8">
        <f>(4488342*100)/4914798</f>
        <v>91.323020803703429</v>
      </c>
    </row>
    <row r="2703" spans="1:17" x14ac:dyDescent="0.2">
      <c r="A2703">
        <f>YEAR(D2703)</f>
        <v>2019</v>
      </c>
      <c r="B2703" t="s">
        <v>26</v>
      </c>
      <c r="C2703" s="2" t="s">
        <v>50</v>
      </c>
      <c r="D2703" s="1">
        <v>43600</v>
      </c>
      <c r="E2703">
        <f>MONTH(D2703)</f>
        <v>5</v>
      </c>
      <c r="F2703" s="2" t="s">
        <v>2098</v>
      </c>
      <c r="G2703" t="s">
        <v>1520</v>
      </c>
      <c r="H2703" t="s">
        <v>1521</v>
      </c>
      <c r="I2703" t="s">
        <v>36</v>
      </c>
      <c r="J2703" s="2" t="s">
        <v>42</v>
      </c>
      <c r="K2703" s="2" t="s">
        <v>3019</v>
      </c>
      <c r="L2703" t="s">
        <v>25</v>
      </c>
      <c r="M2703" s="8">
        <v>2.3340000000000001</v>
      </c>
      <c r="N2703" t="s">
        <v>26</v>
      </c>
      <c r="O2703" s="8">
        <v>2.3340000000000001</v>
      </c>
      <c r="P2703" s="8">
        <f>EXP(-1.363+3.366*LOG(O2703,10))</f>
        <v>0.88340410488080767</v>
      </c>
      <c r="Q2703" s="8">
        <f>(4488342*100)/4914798</f>
        <v>91.323020803703429</v>
      </c>
    </row>
    <row r="2704" spans="1:17" x14ac:dyDescent="0.2">
      <c r="A2704">
        <f>YEAR(D2704)</f>
        <v>2019</v>
      </c>
      <c r="B2704" t="s">
        <v>26</v>
      </c>
      <c r="C2704" s="2" t="s">
        <v>50</v>
      </c>
      <c r="D2704" s="1">
        <v>43600</v>
      </c>
      <c r="E2704">
        <f>MONTH(D2704)</f>
        <v>5</v>
      </c>
      <c r="F2704" s="2" t="s">
        <v>2098</v>
      </c>
      <c r="G2704" t="s">
        <v>1532</v>
      </c>
      <c r="H2704" t="s">
        <v>1995</v>
      </c>
      <c r="I2704" t="s">
        <v>22</v>
      </c>
      <c r="J2704" s="2" t="s">
        <v>42</v>
      </c>
      <c r="K2704" s="2" t="s">
        <v>3019</v>
      </c>
      <c r="L2704" t="s">
        <v>25</v>
      </c>
      <c r="M2704" s="8">
        <v>2.197666667</v>
      </c>
      <c r="N2704" t="s">
        <v>26</v>
      </c>
      <c r="O2704" s="8">
        <v>2.197666667</v>
      </c>
      <c r="P2704" s="8">
        <f>EXP(-1.363+3.366*LOG(O2704,10))</f>
        <v>0.80899988003525158</v>
      </c>
      <c r="Q2704" s="8">
        <f>(4488342*100)/4914798</f>
        <v>91.323020803703429</v>
      </c>
    </row>
    <row r="2705" spans="1:17" x14ac:dyDescent="0.2">
      <c r="A2705">
        <f>YEAR(D2705)</f>
        <v>2019</v>
      </c>
      <c r="B2705" t="s">
        <v>26</v>
      </c>
      <c r="C2705" s="2" t="s">
        <v>3021</v>
      </c>
      <c r="D2705" s="1">
        <v>43598</v>
      </c>
      <c r="E2705">
        <f>MONTH(D2705)</f>
        <v>5</v>
      </c>
      <c r="F2705" s="2" t="s">
        <v>19</v>
      </c>
      <c r="G2705" t="s">
        <v>352</v>
      </c>
      <c r="H2705" t="s">
        <v>975</v>
      </c>
      <c r="I2705" t="s">
        <v>22</v>
      </c>
      <c r="J2705" s="2" t="s">
        <v>42</v>
      </c>
      <c r="K2705" s="2" t="s">
        <v>3019</v>
      </c>
      <c r="L2705" t="s">
        <v>25</v>
      </c>
      <c r="M2705" s="8">
        <v>1.0693333330000001</v>
      </c>
      <c r="N2705" t="s">
        <v>26</v>
      </c>
      <c r="O2705" s="8">
        <v>1.0693333330000001</v>
      </c>
      <c r="P2705" s="8">
        <f>EXP(-1.363+3.366*LOG(O2705,10))</f>
        <v>0.28223780327142356</v>
      </c>
      <c r="Q2705" s="8">
        <f>(1845879*100)/1946364</f>
        <v>94.837296620775973</v>
      </c>
    </row>
    <row r="2706" spans="1:17" x14ac:dyDescent="0.2">
      <c r="A2706">
        <f>YEAR(D2706)</f>
        <v>2019</v>
      </c>
      <c r="B2706" t="s">
        <v>26</v>
      </c>
      <c r="C2706" s="2" t="s">
        <v>3021</v>
      </c>
      <c r="D2706" s="1">
        <v>43598</v>
      </c>
      <c r="E2706">
        <f>MONTH(D2706)</f>
        <v>5</v>
      </c>
      <c r="F2706" s="2" t="s">
        <v>19</v>
      </c>
      <c r="G2706" t="s">
        <v>352</v>
      </c>
      <c r="H2706" t="s">
        <v>975</v>
      </c>
      <c r="I2706" t="s">
        <v>22</v>
      </c>
      <c r="J2706" s="2" t="s">
        <v>42</v>
      </c>
      <c r="K2706" s="2" t="s">
        <v>3019</v>
      </c>
      <c r="L2706" t="s">
        <v>25</v>
      </c>
      <c r="M2706" s="8">
        <v>1.0693333330000001</v>
      </c>
      <c r="N2706" t="s">
        <v>26</v>
      </c>
      <c r="O2706" s="8">
        <v>1.0693333330000001</v>
      </c>
      <c r="P2706" s="8">
        <f>EXP(-1.363+3.366*LOG(O2706,10))</f>
        <v>0.28223780327142356</v>
      </c>
      <c r="Q2706" s="8">
        <f>(1845879*100)/1946364</f>
        <v>94.837296620775973</v>
      </c>
    </row>
    <row r="2707" spans="1:17" x14ac:dyDescent="0.2">
      <c r="A2707">
        <f>YEAR(D2707)</f>
        <v>2019</v>
      </c>
      <c r="B2707" t="s">
        <v>26</v>
      </c>
      <c r="C2707" s="2" t="s">
        <v>3021</v>
      </c>
      <c r="D2707" s="1">
        <v>43598</v>
      </c>
      <c r="E2707">
        <f>MONTH(D2707)</f>
        <v>5</v>
      </c>
      <c r="F2707" s="2" t="s">
        <v>19</v>
      </c>
      <c r="G2707" t="s">
        <v>352</v>
      </c>
      <c r="H2707" t="s">
        <v>1459</v>
      </c>
      <c r="I2707" t="s">
        <v>22</v>
      </c>
      <c r="J2707" s="2" t="s">
        <v>42</v>
      </c>
      <c r="K2707" s="2" t="s">
        <v>3019</v>
      </c>
      <c r="L2707" t="s">
        <v>25</v>
      </c>
      <c r="M2707" s="8">
        <v>1.1910000000000001</v>
      </c>
      <c r="N2707" t="s">
        <v>26</v>
      </c>
      <c r="O2707" s="8">
        <v>1.1910000000000001</v>
      </c>
      <c r="P2707" s="8">
        <f>EXP(-1.363+3.366*LOG(O2707,10))</f>
        <v>0.33039016297752993</v>
      </c>
      <c r="Q2707" s="8">
        <f>(1845879*100)/1946364</f>
        <v>94.837296620775973</v>
      </c>
    </row>
    <row r="2708" spans="1:17" x14ac:dyDescent="0.2">
      <c r="A2708">
        <f>YEAR(D2708)</f>
        <v>2019</v>
      </c>
      <c r="B2708" t="s">
        <v>26</v>
      </c>
      <c r="C2708" s="2" t="s">
        <v>3021</v>
      </c>
      <c r="D2708" s="1">
        <v>43598</v>
      </c>
      <c r="E2708">
        <f>MONTH(D2708)</f>
        <v>5</v>
      </c>
      <c r="F2708" s="2" t="s">
        <v>19</v>
      </c>
      <c r="G2708" t="s">
        <v>20</v>
      </c>
      <c r="H2708" t="s">
        <v>183</v>
      </c>
      <c r="I2708" t="s">
        <v>22</v>
      </c>
      <c r="J2708" s="2" t="s">
        <v>42</v>
      </c>
      <c r="K2708" s="2" t="s">
        <v>3019</v>
      </c>
      <c r="L2708" t="s">
        <v>25</v>
      </c>
      <c r="M2708" s="8">
        <v>2.7893333330000001</v>
      </c>
      <c r="N2708" t="s">
        <v>26</v>
      </c>
      <c r="O2708" s="8">
        <v>2.7893333330000001</v>
      </c>
      <c r="P2708" s="8">
        <f>EXP(-1.363+3.366*LOG(O2708,10))</f>
        <v>1.1463172389308915</v>
      </c>
      <c r="Q2708" s="8">
        <f>(1845879*100)/1946364</f>
        <v>94.837296620775973</v>
      </c>
    </row>
    <row r="2709" spans="1:17" x14ac:dyDescent="0.2">
      <c r="A2709">
        <f>YEAR(D2709)</f>
        <v>2019</v>
      </c>
      <c r="B2709" t="s">
        <v>26</v>
      </c>
      <c r="C2709" s="2" t="s">
        <v>3020</v>
      </c>
      <c r="D2709" s="1">
        <v>43598</v>
      </c>
      <c r="E2709">
        <f>MONTH(D2709)</f>
        <v>5</v>
      </c>
      <c r="F2709" s="2" t="s">
        <v>19</v>
      </c>
      <c r="G2709" t="s">
        <v>219</v>
      </c>
      <c r="H2709" t="s">
        <v>220</v>
      </c>
      <c r="I2709" t="s">
        <v>22</v>
      </c>
      <c r="J2709" s="2" t="s">
        <v>42</v>
      </c>
      <c r="K2709" s="2" t="s">
        <v>3019</v>
      </c>
      <c r="L2709" t="s">
        <v>25</v>
      </c>
      <c r="M2709" s="10" t="s">
        <v>26</v>
      </c>
      <c r="N2709" t="s">
        <v>26</v>
      </c>
      <c r="O2709" s="10" t="s">
        <v>26</v>
      </c>
      <c r="P2709" s="8" t="s">
        <v>26</v>
      </c>
      <c r="Q2709" s="8">
        <f>(3359412*100)/3462762</f>
        <v>97.015388294084318</v>
      </c>
    </row>
    <row r="2710" spans="1:17" x14ac:dyDescent="0.2">
      <c r="A2710">
        <f>YEAR(D2710)</f>
        <v>2019</v>
      </c>
      <c r="B2710" t="s">
        <v>26</v>
      </c>
      <c r="C2710" s="2" t="s">
        <v>3020</v>
      </c>
      <c r="D2710" s="1">
        <v>43598</v>
      </c>
      <c r="E2710">
        <f>MONTH(D2710)</f>
        <v>5</v>
      </c>
      <c r="F2710" s="2" t="s">
        <v>19</v>
      </c>
      <c r="G2710" t="s">
        <v>219</v>
      </c>
      <c r="H2710" t="s">
        <v>220</v>
      </c>
      <c r="I2710" t="s">
        <v>22</v>
      </c>
      <c r="J2710" s="2" t="s">
        <v>42</v>
      </c>
      <c r="K2710" s="2" t="s">
        <v>3019</v>
      </c>
      <c r="L2710" t="s">
        <v>25</v>
      </c>
      <c r="M2710" s="10" t="s">
        <v>26</v>
      </c>
      <c r="N2710" t="s">
        <v>26</v>
      </c>
      <c r="O2710" s="10" t="s">
        <v>26</v>
      </c>
      <c r="P2710" s="8" t="s">
        <v>26</v>
      </c>
      <c r="Q2710" s="8">
        <f>(3359412*100)/3462762</f>
        <v>97.015388294084318</v>
      </c>
    </row>
    <row r="2711" spans="1:17" x14ac:dyDescent="0.2">
      <c r="A2711">
        <f>YEAR(D2711)</f>
        <v>2019</v>
      </c>
      <c r="B2711" t="s">
        <v>26</v>
      </c>
      <c r="C2711" s="2" t="s">
        <v>3020</v>
      </c>
      <c r="D2711" s="1">
        <v>43598</v>
      </c>
      <c r="E2711">
        <f>MONTH(D2711)</f>
        <v>5</v>
      </c>
      <c r="F2711" s="2" t="s">
        <v>19</v>
      </c>
      <c r="G2711" t="s">
        <v>362</v>
      </c>
      <c r="H2711" t="s">
        <v>447</v>
      </c>
      <c r="I2711" t="s">
        <v>22</v>
      </c>
      <c r="J2711" s="2" t="s">
        <v>42</v>
      </c>
      <c r="K2711" s="2" t="s">
        <v>3019</v>
      </c>
      <c r="L2711" t="s">
        <v>25</v>
      </c>
      <c r="M2711" s="8">
        <v>1.421</v>
      </c>
      <c r="N2711" t="s">
        <v>26</v>
      </c>
      <c r="O2711" s="8">
        <v>1.421</v>
      </c>
      <c r="P2711" s="8">
        <f>EXP(-1.363+3.366*LOG(O2711,10))</f>
        <v>0.42768500084673816</v>
      </c>
      <c r="Q2711" s="8">
        <f>(3359412*100)/3462762</f>
        <v>97.015388294084318</v>
      </c>
    </row>
    <row r="2712" spans="1:17" x14ac:dyDescent="0.2">
      <c r="A2712">
        <f>YEAR(D2712)</f>
        <v>2019</v>
      </c>
      <c r="B2712" t="s">
        <v>26</v>
      </c>
      <c r="C2712" s="2" t="s">
        <v>3020</v>
      </c>
      <c r="D2712" s="1">
        <v>43598</v>
      </c>
      <c r="E2712">
        <f>MONTH(D2712)</f>
        <v>5</v>
      </c>
      <c r="F2712" s="2" t="s">
        <v>19</v>
      </c>
      <c r="G2712" t="s">
        <v>20</v>
      </c>
      <c r="H2712" t="s">
        <v>2295</v>
      </c>
      <c r="I2712" t="s">
        <v>22</v>
      </c>
      <c r="J2712" s="2" t="s">
        <v>42</v>
      </c>
      <c r="K2712" s="2" t="s">
        <v>3019</v>
      </c>
      <c r="L2712" t="s">
        <v>25</v>
      </c>
      <c r="M2712" s="8">
        <v>1.1566666670000001</v>
      </c>
      <c r="N2712" t="s">
        <v>26</v>
      </c>
      <c r="O2712" s="8">
        <v>1.1566666670000001</v>
      </c>
      <c r="P2712" s="8">
        <f>EXP(-1.363+3.366*LOG(O2712,10))</f>
        <v>0.31656042770005527</v>
      </c>
      <c r="Q2712" s="8">
        <f>(3359412*100)/3462762</f>
        <v>97.015388294084318</v>
      </c>
    </row>
    <row r="2713" spans="1:17" x14ac:dyDescent="0.2">
      <c r="A2713">
        <f>YEAR(D2713)</f>
        <v>2019</v>
      </c>
      <c r="B2713" t="s">
        <v>26</v>
      </c>
      <c r="C2713" s="2" t="s">
        <v>3020</v>
      </c>
      <c r="D2713" s="1">
        <v>43598</v>
      </c>
      <c r="E2713">
        <f>MONTH(D2713)</f>
        <v>5</v>
      </c>
      <c r="F2713" s="2" t="s">
        <v>19</v>
      </c>
      <c r="G2713" t="s">
        <v>362</v>
      </c>
      <c r="H2713" t="s">
        <v>447</v>
      </c>
      <c r="I2713" t="s">
        <v>22</v>
      </c>
      <c r="J2713" s="2" t="s">
        <v>42</v>
      </c>
      <c r="K2713" s="2" t="s">
        <v>3019</v>
      </c>
      <c r="L2713" t="s">
        <v>25</v>
      </c>
      <c r="M2713" s="8">
        <v>1.421</v>
      </c>
      <c r="N2713" t="s">
        <v>26</v>
      </c>
      <c r="O2713" s="8">
        <v>1.421</v>
      </c>
      <c r="P2713" s="8">
        <f>EXP(-1.363+3.366*LOG(O2713,10))</f>
        <v>0.42768500084673816</v>
      </c>
      <c r="Q2713" s="8">
        <f>(3359412*100)/3462762</f>
        <v>97.015388294084318</v>
      </c>
    </row>
    <row r="2714" spans="1:17" x14ac:dyDescent="0.2">
      <c r="A2714">
        <f>YEAR(D2714)</f>
        <v>2019</v>
      </c>
      <c r="B2714" t="s">
        <v>26</v>
      </c>
      <c r="C2714" s="2" t="s">
        <v>3020</v>
      </c>
      <c r="D2714" s="1">
        <v>43598</v>
      </c>
      <c r="E2714">
        <f>MONTH(D2714)</f>
        <v>5</v>
      </c>
      <c r="F2714" s="2" t="s">
        <v>19</v>
      </c>
      <c r="G2714" t="s">
        <v>1532</v>
      </c>
      <c r="H2714" t="s">
        <v>1533</v>
      </c>
      <c r="I2714" t="s">
        <v>36</v>
      </c>
      <c r="J2714" s="2" t="s">
        <v>42</v>
      </c>
      <c r="K2714" s="2" t="s">
        <v>3019</v>
      </c>
      <c r="L2714" t="s">
        <v>25</v>
      </c>
      <c r="M2714" s="8">
        <v>2.63</v>
      </c>
      <c r="N2714" t="s">
        <v>26</v>
      </c>
      <c r="O2714" s="8">
        <v>2.63</v>
      </c>
      <c r="P2714" s="8">
        <f>EXP(-1.363+3.366*LOG(O2714,10))</f>
        <v>1.0518715955632558</v>
      </c>
      <c r="Q2714" s="8">
        <f>(3359412*100)/3462762</f>
        <v>97.015388294084318</v>
      </c>
    </row>
    <row r="2715" spans="1:17" x14ac:dyDescent="0.2">
      <c r="A2715">
        <f>YEAR(D2715)</f>
        <v>2019</v>
      </c>
      <c r="B2715" t="s">
        <v>26</v>
      </c>
      <c r="C2715" s="2" t="s">
        <v>3020</v>
      </c>
      <c r="D2715" s="1">
        <v>43598</v>
      </c>
      <c r="E2715">
        <f>MONTH(D2715)</f>
        <v>5</v>
      </c>
      <c r="F2715" s="2" t="s">
        <v>19</v>
      </c>
      <c r="G2715" t="s">
        <v>362</v>
      </c>
      <c r="H2715" t="s">
        <v>447</v>
      </c>
      <c r="I2715" t="s">
        <v>22</v>
      </c>
      <c r="J2715" s="2" t="s">
        <v>42</v>
      </c>
      <c r="K2715" s="2" t="s">
        <v>3019</v>
      </c>
      <c r="L2715" t="s">
        <v>25</v>
      </c>
      <c r="M2715" s="8">
        <v>1.421</v>
      </c>
      <c r="N2715" t="s">
        <v>26</v>
      </c>
      <c r="O2715" s="8">
        <v>1.421</v>
      </c>
      <c r="P2715" s="8">
        <f>EXP(-1.363+3.366*LOG(O2715,10))</f>
        <v>0.42768500084673816</v>
      </c>
      <c r="Q2715" s="8">
        <f>(3359412*100)/3462762</f>
        <v>97.015388294084318</v>
      </c>
    </row>
    <row r="2716" spans="1:17" x14ac:dyDescent="0.2">
      <c r="A2716">
        <f>YEAR(D2716)</f>
        <v>2019</v>
      </c>
      <c r="B2716" t="s">
        <v>26</v>
      </c>
      <c r="C2716" s="2" t="s">
        <v>3020</v>
      </c>
      <c r="D2716" s="1">
        <v>43598</v>
      </c>
      <c r="E2716">
        <f>MONTH(D2716)</f>
        <v>5</v>
      </c>
      <c r="F2716" s="2" t="s">
        <v>19</v>
      </c>
      <c r="G2716" t="s">
        <v>20</v>
      </c>
      <c r="H2716" t="s">
        <v>149</v>
      </c>
      <c r="I2716" t="s">
        <v>22</v>
      </c>
      <c r="J2716" s="2" t="s">
        <v>42</v>
      </c>
      <c r="K2716" s="2" t="s">
        <v>3019</v>
      </c>
      <c r="L2716" t="s">
        <v>25</v>
      </c>
      <c r="M2716" s="8">
        <v>1.45</v>
      </c>
      <c r="N2716" t="s">
        <v>26</v>
      </c>
      <c r="O2716" s="8">
        <v>1.45</v>
      </c>
      <c r="P2716" s="8">
        <f>EXP(-1.363+3.366*LOG(O2716,10))</f>
        <v>0.44050419760124854</v>
      </c>
      <c r="Q2716" s="8">
        <f>(3359412*100)/3462762</f>
        <v>97.015388294084318</v>
      </c>
    </row>
    <row r="2717" spans="1:17" x14ac:dyDescent="0.2">
      <c r="A2717">
        <f>YEAR(D2717)</f>
        <v>2019</v>
      </c>
      <c r="B2717" t="s">
        <v>26</v>
      </c>
      <c r="C2717" s="2" t="s">
        <v>3020</v>
      </c>
      <c r="D2717" s="1">
        <v>43598</v>
      </c>
      <c r="E2717">
        <f>MONTH(D2717)</f>
        <v>5</v>
      </c>
      <c r="F2717" s="2" t="s">
        <v>19</v>
      </c>
      <c r="G2717" t="s">
        <v>362</v>
      </c>
      <c r="H2717" t="s">
        <v>447</v>
      </c>
      <c r="I2717" t="s">
        <v>22</v>
      </c>
      <c r="J2717" s="2" t="s">
        <v>42</v>
      </c>
      <c r="K2717" s="2" t="s">
        <v>3019</v>
      </c>
      <c r="L2717" t="s">
        <v>25</v>
      </c>
      <c r="M2717" s="8">
        <v>1.421</v>
      </c>
      <c r="N2717" t="s">
        <v>26</v>
      </c>
      <c r="O2717" s="8">
        <v>1.421</v>
      </c>
      <c r="P2717" s="8">
        <f>EXP(-1.363+3.366*LOG(O2717,10))</f>
        <v>0.42768500084673816</v>
      </c>
      <c r="Q2717" s="8">
        <f>(3359412*100)/3462762</f>
        <v>97.015388294084318</v>
      </c>
    </row>
    <row r="2718" spans="1:17" x14ac:dyDescent="0.2">
      <c r="A2718">
        <f>YEAR(D2718)</f>
        <v>2019</v>
      </c>
      <c r="B2718" t="s">
        <v>26</v>
      </c>
      <c r="C2718" s="2" t="s">
        <v>3018</v>
      </c>
      <c r="D2718" s="1">
        <v>43601</v>
      </c>
      <c r="E2718">
        <f>MONTH(D2718)</f>
        <v>5</v>
      </c>
      <c r="F2718" s="2" t="s">
        <v>2098</v>
      </c>
      <c r="G2718" t="s">
        <v>362</v>
      </c>
      <c r="H2718" t="s">
        <v>447</v>
      </c>
      <c r="I2718" t="s">
        <v>22</v>
      </c>
      <c r="J2718" s="2" t="s">
        <v>42</v>
      </c>
      <c r="K2718" s="2" t="s">
        <v>3019</v>
      </c>
      <c r="L2718" t="s">
        <v>25</v>
      </c>
      <c r="M2718" s="8">
        <v>1.421</v>
      </c>
      <c r="N2718" t="s">
        <v>26</v>
      </c>
      <c r="O2718" s="8">
        <v>1.421</v>
      </c>
      <c r="P2718" s="8">
        <f>EXP(-1.363+3.366*LOG(O2718,10))</f>
        <v>0.42768500084673816</v>
      </c>
      <c r="Q2718" s="8">
        <f>(5996898*100)/6073515</f>
        <v>98.738506449724753</v>
      </c>
    </row>
    <row r="2719" spans="1:17" x14ac:dyDescent="0.2">
      <c r="A2719">
        <f>YEAR(D2719)</f>
        <v>2019</v>
      </c>
      <c r="B2719" t="s">
        <v>26</v>
      </c>
      <c r="C2719" s="2" t="s">
        <v>3018</v>
      </c>
      <c r="D2719" s="1">
        <v>43601</v>
      </c>
      <c r="E2719">
        <f>MONTH(D2719)</f>
        <v>5</v>
      </c>
      <c r="F2719" s="2" t="s">
        <v>2098</v>
      </c>
      <c r="G2719" t="s">
        <v>230</v>
      </c>
      <c r="H2719" t="s">
        <v>268</v>
      </c>
      <c r="I2719" t="s">
        <v>22</v>
      </c>
      <c r="J2719" s="2" t="s">
        <v>42</v>
      </c>
      <c r="K2719" s="2" t="s">
        <v>3019</v>
      </c>
      <c r="L2719" t="s">
        <v>25</v>
      </c>
      <c r="M2719" s="8">
        <v>3.5356666670000001</v>
      </c>
      <c r="N2719" t="s">
        <v>26</v>
      </c>
      <c r="O2719" s="8">
        <v>3.5356666670000001</v>
      </c>
      <c r="P2719" s="8">
        <f>EXP(-1.363+3.366*LOG(O2719,10))</f>
        <v>1.6211802664427075</v>
      </c>
      <c r="Q2719" s="8">
        <f>(5996898*100)/6073515</f>
        <v>98.738506449724753</v>
      </c>
    </row>
    <row r="2720" spans="1:17" x14ac:dyDescent="0.2">
      <c r="A2720">
        <f>YEAR(D2720)</f>
        <v>2019</v>
      </c>
      <c r="B2720" t="s">
        <v>26</v>
      </c>
      <c r="C2720" s="2" t="s">
        <v>3018</v>
      </c>
      <c r="D2720" s="1">
        <v>43601</v>
      </c>
      <c r="E2720">
        <f>MONTH(D2720)</f>
        <v>5</v>
      </c>
      <c r="F2720" s="2" t="s">
        <v>2098</v>
      </c>
      <c r="G2720" t="s">
        <v>352</v>
      </c>
      <c r="H2720" t="s">
        <v>353</v>
      </c>
      <c r="I2720" t="s">
        <v>22</v>
      </c>
      <c r="J2720" s="2" t="s">
        <v>42</v>
      </c>
      <c r="K2720" s="2" t="s">
        <v>3019</v>
      </c>
      <c r="L2720" t="s">
        <v>25</v>
      </c>
      <c r="M2720" s="8">
        <v>1.1623333330000001</v>
      </c>
      <c r="N2720" t="s">
        <v>26</v>
      </c>
      <c r="O2720" s="8">
        <v>1.1623333330000001</v>
      </c>
      <c r="P2720" s="8">
        <f>EXP(-1.363+3.366*LOG(O2720,10))</f>
        <v>0.31883010989102206</v>
      </c>
      <c r="Q2720" s="8">
        <f>(5996898*100)/6073515</f>
        <v>98.738506449724753</v>
      </c>
    </row>
    <row r="2721" spans="1:17" x14ac:dyDescent="0.2">
      <c r="A2721">
        <f>YEAR(D2721)</f>
        <v>2019</v>
      </c>
      <c r="B2721" t="s">
        <v>26</v>
      </c>
      <c r="C2721" s="2" t="s">
        <v>3018</v>
      </c>
      <c r="D2721" s="1">
        <v>43601</v>
      </c>
      <c r="E2721">
        <f>MONTH(D2721)</f>
        <v>5</v>
      </c>
      <c r="F2721" s="2" t="s">
        <v>2098</v>
      </c>
      <c r="G2721" t="s">
        <v>352</v>
      </c>
      <c r="H2721" t="s">
        <v>353</v>
      </c>
      <c r="I2721" t="s">
        <v>22</v>
      </c>
      <c r="J2721" s="2" t="s">
        <v>42</v>
      </c>
      <c r="K2721" s="2" t="s">
        <v>3019</v>
      </c>
      <c r="L2721" t="s">
        <v>25</v>
      </c>
      <c r="M2721" s="8">
        <v>1.1623333330000001</v>
      </c>
      <c r="N2721" t="s">
        <v>26</v>
      </c>
      <c r="O2721" s="8">
        <v>1.1623333330000001</v>
      </c>
      <c r="P2721" s="8">
        <f>EXP(-1.363+3.366*LOG(O2721,10))</f>
        <v>0.31883010989102206</v>
      </c>
      <c r="Q2721" s="8">
        <f>(5996898*100)/6073515</f>
        <v>98.738506449724753</v>
      </c>
    </row>
    <row r="2722" spans="1:17" x14ac:dyDescent="0.2">
      <c r="A2722">
        <f>YEAR(D2722)</f>
        <v>2019</v>
      </c>
      <c r="B2722" t="s">
        <v>26</v>
      </c>
      <c r="C2722" s="2" t="s">
        <v>3018</v>
      </c>
      <c r="D2722" s="1">
        <v>43601</v>
      </c>
      <c r="E2722">
        <f>MONTH(D2722)</f>
        <v>5</v>
      </c>
      <c r="F2722" s="2" t="s">
        <v>2098</v>
      </c>
      <c r="G2722" t="s">
        <v>352</v>
      </c>
      <c r="H2722" t="s">
        <v>1344</v>
      </c>
      <c r="I2722" t="s">
        <v>22</v>
      </c>
      <c r="J2722" s="2" t="s">
        <v>42</v>
      </c>
      <c r="K2722" s="2" t="s">
        <v>3019</v>
      </c>
      <c r="L2722" t="s">
        <v>25</v>
      </c>
      <c r="M2722" s="8">
        <v>0.91800000000000004</v>
      </c>
      <c r="N2722" t="s">
        <v>26</v>
      </c>
      <c r="O2722" s="8">
        <v>0.91800000000000004</v>
      </c>
      <c r="P2722" s="8">
        <f>EXP(-1.363+3.366*LOG(O2722,10))</f>
        <v>0.22580769814771504</v>
      </c>
      <c r="Q2722" s="8">
        <f>(5996898*100)/6073515</f>
        <v>98.738506449724753</v>
      </c>
    </row>
    <row r="2723" spans="1:17" x14ac:dyDescent="0.2">
      <c r="A2723">
        <f>YEAR(D2723)</f>
        <v>2019</v>
      </c>
      <c r="B2723" t="s">
        <v>26</v>
      </c>
      <c r="C2723" s="2" t="s">
        <v>3018</v>
      </c>
      <c r="D2723" s="1">
        <v>43601</v>
      </c>
      <c r="E2723">
        <f>MONTH(D2723)</f>
        <v>5</v>
      </c>
      <c r="F2723" s="2" t="s">
        <v>2098</v>
      </c>
      <c r="G2723" t="s">
        <v>352</v>
      </c>
      <c r="H2723" t="s">
        <v>353</v>
      </c>
      <c r="I2723" t="s">
        <v>22</v>
      </c>
      <c r="J2723" s="2" t="s">
        <v>42</v>
      </c>
      <c r="K2723" s="2" t="s">
        <v>3019</v>
      </c>
      <c r="L2723" t="s">
        <v>25</v>
      </c>
      <c r="M2723" s="8">
        <v>1.1623333330000001</v>
      </c>
      <c r="N2723" t="s">
        <v>26</v>
      </c>
      <c r="O2723" s="8">
        <v>1.1623333330000001</v>
      </c>
      <c r="P2723" s="8">
        <f>EXP(-1.363+3.366*LOG(O2723,10))</f>
        <v>0.31883010989102206</v>
      </c>
      <c r="Q2723" s="8">
        <f>(5996898*100)/6073515</f>
        <v>98.738506449724753</v>
      </c>
    </row>
    <row r="2724" spans="1:17" x14ac:dyDescent="0.2">
      <c r="A2724">
        <f>YEAR(D2724)</f>
        <v>2019</v>
      </c>
      <c r="B2724" t="s">
        <v>26</v>
      </c>
      <c r="C2724" s="2" t="s">
        <v>3018</v>
      </c>
      <c r="D2724" s="1">
        <v>43601</v>
      </c>
      <c r="E2724">
        <f>MONTH(D2724)</f>
        <v>5</v>
      </c>
      <c r="F2724" s="2" t="s">
        <v>2098</v>
      </c>
      <c r="G2724" t="s">
        <v>219</v>
      </c>
      <c r="H2724" t="s">
        <v>220</v>
      </c>
      <c r="I2724" t="s">
        <v>22</v>
      </c>
      <c r="J2724" s="2" t="s">
        <v>42</v>
      </c>
      <c r="K2724" s="2" t="s">
        <v>3019</v>
      </c>
      <c r="L2724" t="s">
        <v>25</v>
      </c>
      <c r="M2724" s="10" t="s">
        <v>26</v>
      </c>
      <c r="N2724" t="s">
        <v>26</v>
      </c>
      <c r="O2724" s="10" t="s">
        <v>26</v>
      </c>
      <c r="P2724" s="8" t="s">
        <v>26</v>
      </c>
      <c r="Q2724" s="8">
        <f>(5996898*100)/6073515</f>
        <v>98.738506449724753</v>
      </c>
    </row>
    <row r="2725" spans="1:17" x14ac:dyDescent="0.2">
      <c r="A2725">
        <f>YEAR(D2725)</f>
        <v>2019</v>
      </c>
      <c r="B2725" t="s">
        <v>26</v>
      </c>
      <c r="C2725" s="2" t="s">
        <v>3018</v>
      </c>
      <c r="D2725" s="1">
        <v>43601</v>
      </c>
      <c r="E2725">
        <f>MONTH(D2725)</f>
        <v>5</v>
      </c>
      <c r="F2725" s="2" t="s">
        <v>2098</v>
      </c>
      <c r="G2725" t="s">
        <v>1735</v>
      </c>
      <c r="H2725" t="s">
        <v>1736</v>
      </c>
      <c r="I2725" t="s">
        <v>36</v>
      </c>
      <c r="J2725" s="2" t="s">
        <v>42</v>
      </c>
      <c r="K2725" s="2" t="s">
        <v>3019</v>
      </c>
      <c r="L2725" t="s">
        <v>25</v>
      </c>
      <c r="M2725" s="8">
        <v>3.8633333329999999</v>
      </c>
      <c r="N2725" t="s">
        <v>26</v>
      </c>
      <c r="O2725" s="8">
        <v>3.8633333329999999</v>
      </c>
      <c r="P2725" s="8">
        <f>EXP(-1.363+3.366*LOG(O2725,10))</f>
        <v>1.8454344092406809</v>
      </c>
      <c r="Q2725" s="8">
        <f>(5996898*100)/6073515</f>
        <v>98.738506449724753</v>
      </c>
    </row>
    <row r="2726" spans="1:17" x14ac:dyDescent="0.2">
      <c r="A2726">
        <f>YEAR(D2726)</f>
        <v>2019</v>
      </c>
      <c r="B2726" t="s">
        <v>26</v>
      </c>
      <c r="C2726" s="2" t="s">
        <v>3018</v>
      </c>
      <c r="D2726" s="1">
        <v>43601</v>
      </c>
      <c r="E2726">
        <f>MONTH(D2726)</f>
        <v>5</v>
      </c>
      <c r="F2726" s="2" t="s">
        <v>2098</v>
      </c>
      <c r="G2726" t="s">
        <v>1735</v>
      </c>
      <c r="H2726" t="s">
        <v>1736</v>
      </c>
      <c r="I2726" t="s">
        <v>22</v>
      </c>
      <c r="J2726" s="2" t="s">
        <v>42</v>
      </c>
      <c r="K2726" s="2" t="s">
        <v>3019</v>
      </c>
      <c r="L2726" t="s">
        <v>25</v>
      </c>
      <c r="M2726" s="8">
        <v>4.1156666670000002</v>
      </c>
      <c r="N2726" t="s">
        <v>26</v>
      </c>
      <c r="O2726" s="8">
        <v>4.1156666670000002</v>
      </c>
      <c r="P2726" s="8">
        <f>EXP(-1.363+3.366*LOG(O2726,10))</f>
        <v>2.0242630151675414</v>
      </c>
      <c r="Q2726" s="8">
        <f>(5996898*100)/6073515</f>
        <v>98.738506449724753</v>
      </c>
    </row>
    <row r="2727" spans="1:17" x14ac:dyDescent="0.2">
      <c r="A2727">
        <f>YEAR(D2727)</f>
        <v>2019</v>
      </c>
      <c r="B2727" t="s">
        <v>26</v>
      </c>
      <c r="C2727" s="2" t="s">
        <v>3018</v>
      </c>
      <c r="D2727" s="1">
        <v>43601</v>
      </c>
      <c r="E2727">
        <f>MONTH(D2727)</f>
        <v>5</v>
      </c>
      <c r="F2727" s="2" t="s">
        <v>2098</v>
      </c>
      <c r="G2727" t="s">
        <v>1735</v>
      </c>
      <c r="H2727" t="s">
        <v>1736</v>
      </c>
      <c r="I2727" t="s">
        <v>36</v>
      </c>
      <c r="J2727" s="2" t="s">
        <v>42</v>
      </c>
      <c r="K2727" s="2" t="s">
        <v>3019</v>
      </c>
      <c r="L2727" t="s">
        <v>25</v>
      </c>
      <c r="M2727" s="8">
        <v>3.8633333329999999</v>
      </c>
      <c r="N2727" t="s">
        <v>26</v>
      </c>
      <c r="O2727" s="8">
        <v>3.8633333329999999</v>
      </c>
      <c r="P2727" s="8">
        <f>EXP(-1.363+3.366*LOG(O2727,10))</f>
        <v>1.8454344092406809</v>
      </c>
      <c r="Q2727" s="8">
        <f>(5996898*100)/6073515</f>
        <v>98.738506449724753</v>
      </c>
    </row>
    <row r="2728" spans="1:17" x14ac:dyDescent="0.2">
      <c r="A2728">
        <f>YEAR(D2728)</f>
        <v>2019</v>
      </c>
      <c r="B2728" t="s">
        <v>26</v>
      </c>
      <c r="C2728" s="2" t="s">
        <v>3018</v>
      </c>
      <c r="D2728" s="1">
        <v>43601</v>
      </c>
      <c r="E2728">
        <f>MONTH(D2728)</f>
        <v>5</v>
      </c>
      <c r="F2728" s="2" t="s">
        <v>2098</v>
      </c>
      <c r="G2728" t="s">
        <v>1735</v>
      </c>
      <c r="H2728" t="s">
        <v>1736</v>
      </c>
      <c r="I2728" t="s">
        <v>22</v>
      </c>
      <c r="J2728" s="2" t="s">
        <v>42</v>
      </c>
      <c r="K2728" s="2" t="s">
        <v>3019</v>
      </c>
      <c r="L2728" t="s">
        <v>25</v>
      </c>
      <c r="M2728" s="8">
        <v>4.1156666670000002</v>
      </c>
      <c r="N2728" t="s">
        <v>26</v>
      </c>
      <c r="O2728" s="8">
        <v>4.1156666670000002</v>
      </c>
      <c r="P2728" s="8">
        <f>EXP(-1.363+3.366*LOG(O2728,10))</f>
        <v>2.0242630151675414</v>
      </c>
      <c r="Q2728" s="8">
        <f>(5996898*100)/6073515</f>
        <v>98.738506449724753</v>
      </c>
    </row>
    <row r="2729" spans="1:17" x14ac:dyDescent="0.2">
      <c r="A2729">
        <f>YEAR(D2729)</f>
        <v>2019</v>
      </c>
      <c r="B2729" t="s">
        <v>26</v>
      </c>
      <c r="C2729" s="2" t="s">
        <v>3018</v>
      </c>
      <c r="D2729" s="1">
        <v>43601</v>
      </c>
      <c r="E2729">
        <f>MONTH(D2729)</f>
        <v>5</v>
      </c>
      <c r="F2729" s="2" t="s">
        <v>2098</v>
      </c>
      <c r="G2729" t="s">
        <v>1735</v>
      </c>
      <c r="H2729" t="s">
        <v>1736</v>
      </c>
      <c r="I2729" t="s">
        <v>22</v>
      </c>
      <c r="J2729" s="2" t="s">
        <v>42</v>
      </c>
      <c r="K2729" s="2" t="s">
        <v>3019</v>
      </c>
      <c r="L2729" t="s">
        <v>25</v>
      </c>
      <c r="M2729" s="8">
        <v>4.1156666670000002</v>
      </c>
      <c r="N2729" t="s">
        <v>26</v>
      </c>
      <c r="O2729" s="8">
        <v>4.1156666670000002</v>
      </c>
      <c r="P2729" s="8">
        <f>EXP(-1.363+3.366*LOG(O2729,10))</f>
        <v>2.0242630151675414</v>
      </c>
      <c r="Q2729" s="8">
        <f>(5996898*100)/6073515</f>
        <v>98.738506449724753</v>
      </c>
    </row>
    <row r="2730" spans="1:17" x14ac:dyDescent="0.2">
      <c r="A2730">
        <f>YEAR(D2730)</f>
        <v>2019</v>
      </c>
      <c r="B2730" t="s">
        <v>26</v>
      </c>
      <c r="C2730" s="2" t="s">
        <v>3018</v>
      </c>
      <c r="D2730" s="1">
        <v>43601</v>
      </c>
      <c r="E2730">
        <f>MONTH(D2730)</f>
        <v>5</v>
      </c>
      <c r="F2730" s="2" t="s">
        <v>2098</v>
      </c>
      <c r="G2730" t="s">
        <v>1735</v>
      </c>
      <c r="H2730" t="s">
        <v>1736</v>
      </c>
      <c r="I2730" t="s">
        <v>36</v>
      </c>
      <c r="J2730" s="2" t="s">
        <v>42</v>
      </c>
      <c r="K2730" s="2" t="s">
        <v>3019</v>
      </c>
      <c r="L2730" t="s">
        <v>25</v>
      </c>
      <c r="M2730" s="8">
        <v>3.8633333329999999</v>
      </c>
      <c r="N2730" t="s">
        <v>26</v>
      </c>
      <c r="O2730" s="8">
        <v>3.8633333329999999</v>
      </c>
      <c r="P2730" s="8">
        <f>EXP(-1.363+3.366*LOG(O2730,10))</f>
        <v>1.8454344092406809</v>
      </c>
      <c r="Q2730" s="8">
        <f>(5996898*100)/6073515</f>
        <v>98.738506449724753</v>
      </c>
    </row>
    <row r="2731" spans="1:17" x14ac:dyDescent="0.2">
      <c r="A2731">
        <f>YEAR(D2731)</f>
        <v>2019</v>
      </c>
      <c r="B2731" t="s">
        <v>26</v>
      </c>
      <c r="C2731" s="2" t="s">
        <v>3018</v>
      </c>
      <c r="D2731" s="1">
        <v>43601</v>
      </c>
      <c r="E2731">
        <f>MONTH(D2731)</f>
        <v>5</v>
      </c>
      <c r="F2731" s="2" t="s">
        <v>2098</v>
      </c>
      <c r="G2731" t="s">
        <v>1735</v>
      </c>
      <c r="H2731" t="s">
        <v>1736</v>
      </c>
      <c r="I2731" t="s">
        <v>36</v>
      </c>
      <c r="J2731" s="2" t="s">
        <v>42</v>
      </c>
      <c r="K2731" s="2" t="s">
        <v>3019</v>
      </c>
      <c r="L2731" t="s">
        <v>25</v>
      </c>
      <c r="M2731" s="8">
        <v>3.8633333329999999</v>
      </c>
      <c r="N2731" t="s">
        <v>26</v>
      </c>
      <c r="O2731" s="8">
        <v>3.8633333329999999</v>
      </c>
      <c r="P2731" s="8">
        <f>EXP(-1.363+3.366*LOG(O2731,10))</f>
        <v>1.8454344092406809</v>
      </c>
      <c r="Q2731" s="8">
        <f>(5996898*100)/6073515</f>
        <v>98.738506449724753</v>
      </c>
    </row>
    <row r="2732" spans="1:17" x14ac:dyDescent="0.2">
      <c r="A2732">
        <f>YEAR(D2732)</f>
        <v>2019</v>
      </c>
      <c r="B2732" t="s">
        <v>26</v>
      </c>
      <c r="C2732" s="2" t="s">
        <v>3018</v>
      </c>
      <c r="D2732" s="1">
        <v>43601</v>
      </c>
      <c r="E2732">
        <f>MONTH(D2732)</f>
        <v>5</v>
      </c>
      <c r="F2732" s="2" t="s">
        <v>2098</v>
      </c>
      <c r="G2732" t="s">
        <v>219</v>
      </c>
      <c r="H2732" t="s">
        <v>220</v>
      </c>
      <c r="I2732" t="s">
        <v>22</v>
      </c>
      <c r="J2732" s="2" t="s">
        <v>42</v>
      </c>
      <c r="K2732" s="2" t="s">
        <v>3019</v>
      </c>
      <c r="L2732" t="s">
        <v>25</v>
      </c>
      <c r="M2732" s="10" t="s">
        <v>26</v>
      </c>
      <c r="N2732" t="s">
        <v>26</v>
      </c>
      <c r="O2732" s="10" t="s">
        <v>26</v>
      </c>
      <c r="P2732" s="8" t="s">
        <v>26</v>
      </c>
      <c r="Q2732" s="8">
        <f>(5996898*100)/6073515</f>
        <v>98.738506449724753</v>
      </c>
    </row>
    <row r="2733" spans="1:17" x14ac:dyDescent="0.2">
      <c r="A2733">
        <f>YEAR(D2733)</f>
        <v>2019</v>
      </c>
      <c r="B2733" t="s">
        <v>26</v>
      </c>
      <c r="C2733" s="2" t="s">
        <v>3018</v>
      </c>
      <c r="D2733" s="1">
        <v>43601</v>
      </c>
      <c r="E2733">
        <f>MONTH(D2733)</f>
        <v>5</v>
      </c>
      <c r="F2733" s="2" t="s">
        <v>2098</v>
      </c>
      <c r="G2733" t="s">
        <v>352</v>
      </c>
      <c r="H2733" t="s">
        <v>353</v>
      </c>
      <c r="I2733" t="s">
        <v>22</v>
      </c>
      <c r="J2733" s="2" t="s">
        <v>42</v>
      </c>
      <c r="K2733" s="2" t="s">
        <v>3019</v>
      </c>
      <c r="L2733" t="s">
        <v>25</v>
      </c>
      <c r="M2733" s="8">
        <v>1.1623333330000001</v>
      </c>
      <c r="N2733" t="s">
        <v>26</v>
      </c>
      <c r="O2733" s="8">
        <v>1.1623333330000001</v>
      </c>
      <c r="P2733" s="8">
        <f>EXP(-1.363+3.366*LOG(O2733,10))</f>
        <v>0.31883010989102206</v>
      </c>
      <c r="Q2733" s="8">
        <f>(5996898*100)/6073515</f>
        <v>98.738506449724753</v>
      </c>
    </row>
    <row r="2734" spans="1:17" x14ac:dyDescent="0.2">
      <c r="A2734">
        <f>YEAR(D2734)</f>
        <v>2019</v>
      </c>
      <c r="B2734" t="s">
        <v>26</v>
      </c>
      <c r="C2734" s="2" t="s">
        <v>3018</v>
      </c>
      <c r="D2734" s="1">
        <v>43601</v>
      </c>
      <c r="E2734">
        <f>MONTH(D2734)</f>
        <v>5</v>
      </c>
      <c r="F2734" s="2" t="s">
        <v>2098</v>
      </c>
      <c r="G2734" t="s">
        <v>352</v>
      </c>
      <c r="H2734" t="s">
        <v>353</v>
      </c>
      <c r="I2734" t="s">
        <v>22</v>
      </c>
      <c r="J2734" s="2" t="s">
        <v>42</v>
      </c>
      <c r="K2734" s="2" t="s">
        <v>3019</v>
      </c>
      <c r="L2734" t="s">
        <v>25</v>
      </c>
      <c r="M2734" s="8">
        <v>1.1623333330000001</v>
      </c>
      <c r="N2734" t="s">
        <v>26</v>
      </c>
      <c r="O2734" s="8">
        <v>1.1623333330000001</v>
      </c>
      <c r="P2734" s="8">
        <f>EXP(-1.363+3.366*LOG(O2734,10))</f>
        <v>0.31883010989102206</v>
      </c>
      <c r="Q2734" s="8">
        <f>(5996898*100)/6073515</f>
        <v>98.738506449724753</v>
      </c>
    </row>
    <row r="2735" spans="1:17" x14ac:dyDescent="0.2">
      <c r="A2735">
        <f>YEAR(D2735)</f>
        <v>2019</v>
      </c>
      <c r="B2735" t="s">
        <v>26</v>
      </c>
      <c r="C2735" s="2" t="s">
        <v>3018</v>
      </c>
      <c r="D2735" s="1">
        <v>43601</v>
      </c>
      <c r="E2735">
        <f>MONTH(D2735)</f>
        <v>5</v>
      </c>
      <c r="F2735" s="2" t="s">
        <v>2098</v>
      </c>
      <c r="G2735" t="s">
        <v>352</v>
      </c>
      <c r="H2735" t="s">
        <v>353</v>
      </c>
      <c r="I2735" t="s">
        <v>22</v>
      </c>
      <c r="J2735" s="2" t="s">
        <v>42</v>
      </c>
      <c r="K2735" s="2" t="s">
        <v>3019</v>
      </c>
      <c r="L2735" t="s">
        <v>25</v>
      </c>
      <c r="M2735" s="8">
        <v>1.1623333330000001</v>
      </c>
      <c r="N2735" t="s">
        <v>26</v>
      </c>
      <c r="O2735" s="8">
        <v>1.1623333330000001</v>
      </c>
      <c r="P2735" s="8">
        <f>EXP(-1.363+3.366*LOG(O2735,10))</f>
        <v>0.31883010989102206</v>
      </c>
      <c r="Q2735" s="8">
        <f>(5996898*100)/6073515</f>
        <v>98.738506449724753</v>
      </c>
    </row>
    <row r="2736" spans="1:17" x14ac:dyDescent="0.2">
      <c r="A2736">
        <f>YEAR(D2736)</f>
        <v>2019</v>
      </c>
      <c r="B2736" t="s">
        <v>26</v>
      </c>
      <c r="C2736" s="2" t="s">
        <v>3018</v>
      </c>
      <c r="D2736" s="1">
        <v>43601</v>
      </c>
      <c r="E2736">
        <f>MONTH(D2736)</f>
        <v>5</v>
      </c>
      <c r="F2736" s="2" t="s">
        <v>2098</v>
      </c>
      <c r="G2736" t="s">
        <v>352</v>
      </c>
      <c r="H2736" t="s">
        <v>975</v>
      </c>
      <c r="I2736" t="s">
        <v>22</v>
      </c>
      <c r="J2736" s="2" t="s">
        <v>42</v>
      </c>
      <c r="K2736" s="2" t="s">
        <v>3019</v>
      </c>
      <c r="L2736" t="s">
        <v>25</v>
      </c>
      <c r="M2736" s="8">
        <v>1.0693333330000001</v>
      </c>
      <c r="N2736" t="s">
        <v>26</v>
      </c>
      <c r="O2736" s="8">
        <v>1.0693333330000001</v>
      </c>
      <c r="P2736" s="8">
        <f>EXP(-1.363+3.366*LOG(O2736,10))</f>
        <v>0.28223780327142356</v>
      </c>
      <c r="Q2736" s="8">
        <f>(5996898*100)/6073515</f>
        <v>98.738506449724753</v>
      </c>
    </row>
    <row r="2737" spans="1:17" x14ac:dyDescent="0.2">
      <c r="A2737">
        <f>YEAR(D2737)</f>
        <v>2019</v>
      </c>
      <c r="B2737" t="s">
        <v>26</v>
      </c>
      <c r="C2737" s="2" t="s">
        <v>3018</v>
      </c>
      <c r="D2737" s="1">
        <v>43601</v>
      </c>
      <c r="E2737">
        <f>MONTH(D2737)</f>
        <v>5</v>
      </c>
      <c r="F2737" s="2" t="s">
        <v>2098</v>
      </c>
      <c r="G2737" t="s">
        <v>352</v>
      </c>
      <c r="H2737" t="s">
        <v>353</v>
      </c>
      <c r="I2737" t="s">
        <v>22</v>
      </c>
      <c r="J2737" s="2" t="s">
        <v>42</v>
      </c>
      <c r="K2737" s="2" t="s">
        <v>3019</v>
      </c>
      <c r="L2737" t="s">
        <v>25</v>
      </c>
      <c r="M2737" s="8">
        <v>1.1623333330000001</v>
      </c>
      <c r="N2737" t="s">
        <v>26</v>
      </c>
      <c r="O2737" s="8">
        <v>1.1623333330000001</v>
      </c>
      <c r="P2737" s="8">
        <f>EXP(-1.363+3.366*LOG(O2737,10))</f>
        <v>0.31883010989102206</v>
      </c>
      <c r="Q2737" s="8">
        <f>(5996898*100)/6073515</f>
        <v>98.738506449724753</v>
      </c>
    </row>
    <row r="2738" spans="1:17" x14ac:dyDescent="0.2">
      <c r="A2738">
        <f>YEAR(D2738)</f>
        <v>2019</v>
      </c>
      <c r="B2738" t="s">
        <v>26</v>
      </c>
      <c r="C2738" s="2" t="s">
        <v>3018</v>
      </c>
      <c r="D2738" s="1">
        <v>43601</v>
      </c>
      <c r="E2738">
        <f>MONTH(D2738)</f>
        <v>5</v>
      </c>
      <c r="F2738" s="2" t="s">
        <v>2098</v>
      </c>
      <c r="G2738" t="s">
        <v>352</v>
      </c>
      <c r="H2738" t="s">
        <v>353</v>
      </c>
      <c r="I2738" t="s">
        <v>22</v>
      </c>
      <c r="J2738" s="2" t="s">
        <v>42</v>
      </c>
      <c r="K2738" s="2" t="s">
        <v>3019</v>
      </c>
      <c r="L2738" t="s">
        <v>25</v>
      </c>
      <c r="M2738" s="8">
        <v>1.1623333330000001</v>
      </c>
      <c r="N2738" t="s">
        <v>26</v>
      </c>
      <c r="O2738" s="8">
        <v>1.1623333330000001</v>
      </c>
      <c r="P2738" s="8">
        <f>EXP(-1.363+3.366*LOG(O2738,10))</f>
        <v>0.31883010989102206</v>
      </c>
      <c r="Q2738" s="8">
        <f>(5996898*100)/6073515</f>
        <v>98.738506449724753</v>
      </c>
    </row>
    <row r="2739" spans="1:17" x14ac:dyDescent="0.2">
      <c r="A2739">
        <f>YEAR(D2739)</f>
        <v>2019</v>
      </c>
      <c r="B2739" t="s">
        <v>26</v>
      </c>
      <c r="C2739" s="2" t="s">
        <v>3018</v>
      </c>
      <c r="D2739" s="1">
        <v>43601</v>
      </c>
      <c r="E2739">
        <f>MONTH(D2739)</f>
        <v>5</v>
      </c>
      <c r="F2739" s="2" t="s">
        <v>2098</v>
      </c>
      <c r="G2739" t="s">
        <v>352</v>
      </c>
      <c r="H2739" t="s">
        <v>353</v>
      </c>
      <c r="I2739" t="s">
        <v>22</v>
      </c>
      <c r="J2739" s="2" t="s">
        <v>42</v>
      </c>
      <c r="K2739" s="2" t="s">
        <v>3019</v>
      </c>
      <c r="L2739" t="s">
        <v>25</v>
      </c>
      <c r="M2739" s="8">
        <v>1.1623333330000001</v>
      </c>
      <c r="N2739" t="s">
        <v>26</v>
      </c>
      <c r="O2739" s="8">
        <v>1.1623333330000001</v>
      </c>
      <c r="P2739" s="8">
        <f>EXP(-1.363+3.366*LOG(O2739,10))</f>
        <v>0.31883010989102206</v>
      </c>
      <c r="Q2739" s="8">
        <f>(5996898*100)/6073515</f>
        <v>98.738506449724753</v>
      </c>
    </row>
    <row r="2740" spans="1:17" x14ac:dyDescent="0.2">
      <c r="A2740">
        <f>YEAR(D2740)</f>
        <v>2019</v>
      </c>
      <c r="B2740" t="s">
        <v>26</v>
      </c>
      <c r="C2740" s="2" t="s">
        <v>3018</v>
      </c>
      <c r="D2740" s="1">
        <v>43601</v>
      </c>
      <c r="E2740">
        <f>MONTH(D2740)</f>
        <v>5</v>
      </c>
      <c r="F2740" s="2" t="s">
        <v>2098</v>
      </c>
      <c r="G2740" t="s">
        <v>20</v>
      </c>
      <c r="H2740" t="s">
        <v>2601</v>
      </c>
      <c r="I2740" t="s">
        <v>22</v>
      </c>
      <c r="J2740" s="2" t="s">
        <v>42</v>
      </c>
      <c r="K2740" s="2" t="s">
        <v>3019</v>
      </c>
      <c r="L2740" t="s">
        <v>25</v>
      </c>
      <c r="M2740" s="8">
        <v>1.3069999999999999</v>
      </c>
      <c r="N2740" t="s">
        <v>26</v>
      </c>
      <c r="O2740" s="8">
        <v>1.3069999999999999</v>
      </c>
      <c r="P2740" s="8">
        <f>EXP(-1.363+3.366*LOG(O2740,10))</f>
        <v>0.37847079375831261</v>
      </c>
      <c r="Q2740" s="8">
        <f>(5996898*100)/6073515</f>
        <v>98.738506449724753</v>
      </c>
    </row>
    <row r="2741" spans="1:17" x14ac:dyDescent="0.2">
      <c r="A2741">
        <f>YEAR(D2741)</f>
        <v>2019</v>
      </c>
      <c r="B2741" t="s">
        <v>26</v>
      </c>
      <c r="C2741" s="2" t="s">
        <v>3018</v>
      </c>
      <c r="D2741" s="1">
        <v>43601</v>
      </c>
      <c r="E2741">
        <f>MONTH(D2741)</f>
        <v>5</v>
      </c>
      <c r="F2741" s="2" t="s">
        <v>2098</v>
      </c>
      <c r="G2741" t="s">
        <v>230</v>
      </c>
      <c r="H2741" t="s">
        <v>259</v>
      </c>
      <c r="I2741" t="s">
        <v>22</v>
      </c>
      <c r="J2741" s="2" t="s">
        <v>42</v>
      </c>
      <c r="K2741" s="2" t="s">
        <v>3019</v>
      </c>
      <c r="L2741" t="s">
        <v>25</v>
      </c>
      <c r="M2741" s="8">
        <v>4.2283333330000001</v>
      </c>
      <c r="N2741" t="s">
        <v>26</v>
      </c>
      <c r="O2741" s="8">
        <v>4.2283333330000001</v>
      </c>
      <c r="P2741" s="8">
        <f>EXP(-1.363+3.366*LOG(O2741,10))</f>
        <v>2.1057792396965977</v>
      </c>
      <c r="Q2741" s="8">
        <f>(5996898*100)/6073515</f>
        <v>98.738506449724753</v>
      </c>
    </row>
    <row r="2742" spans="1:17" x14ac:dyDescent="0.2">
      <c r="A2742">
        <f>YEAR(D2742)</f>
        <v>2019</v>
      </c>
      <c r="B2742" t="s">
        <v>26</v>
      </c>
      <c r="C2742" s="2" t="s">
        <v>3018</v>
      </c>
      <c r="D2742" s="1">
        <v>43601</v>
      </c>
      <c r="E2742">
        <f>MONTH(D2742)</f>
        <v>5</v>
      </c>
      <c r="F2742" s="2" t="s">
        <v>2098</v>
      </c>
      <c r="G2742" t="s">
        <v>219</v>
      </c>
      <c r="H2742" t="s">
        <v>220</v>
      </c>
      <c r="I2742" t="s">
        <v>22</v>
      </c>
      <c r="J2742" s="2" t="s">
        <v>42</v>
      </c>
      <c r="K2742" s="2" t="s">
        <v>3019</v>
      </c>
      <c r="L2742" t="s">
        <v>25</v>
      </c>
      <c r="M2742" s="10" t="s">
        <v>26</v>
      </c>
      <c r="N2742" t="s">
        <v>26</v>
      </c>
      <c r="O2742" s="10" t="s">
        <v>26</v>
      </c>
      <c r="P2742" s="8" t="s">
        <v>26</v>
      </c>
      <c r="Q2742" s="8">
        <f>(5996898*100)/6073515</f>
        <v>98.738506449724753</v>
      </c>
    </row>
    <row r="2743" spans="1:17" x14ac:dyDescent="0.2">
      <c r="A2743">
        <f>YEAR(D2743)</f>
        <v>2019</v>
      </c>
      <c r="B2743" t="s">
        <v>26</v>
      </c>
      <c r="C2743" s="2" t="s">
        <v>3018</v>
      </c>
      <c r="D2743" s="1">
        <v>43601</v>
      </c>
      <c r="E2743">
        <f>MONTH(D2743)</f>
        <v>5</v>
      </c>
      <c r="F2743" s="2" t="s">
        <v>2098</v>
      </c>
      <c r="G2743" t="s">
        <v>219</v>
      </c>
      <c r="H2743" t="s">
        <v>220</v>
      </c>
      <c r="I2743" t="s">
        <v>22</v>
      </c>
      <c r="J2743" s="2" t="s">
        <v>42</v>
      </c>
      <c r="K2743" s="2" t="s">
        <v>3019</v>
      </c>
      <c r="L2743" t="s">
        <v>25</v>
      </c>
      <c r="M2743" s="10" t="s">
        <v>26</v>
      </c>
      <c r="N2743" t="s">
        <v>26</v>
      </c>
      <c r="O2743" s="10" t="s">
        <v>26</v>
      </c>
      <c r="P2743" s="8" t="s">
        <v>26</v>
      </c>
      <c r="Q2743" s="8">
        <f>(5996898*100)/6073515</f>
        <v>98.738506449724753</v>
      </c>
    </row>
    <row r="2744" spans="1:17" x14ac:dyDescent="0.2">
      <c r="A2744">
        <f>YEAR(D2744)</f>
        <v>2019</v>
      </c>
      <c r="B2744" t="s">
        <v>26</v>
      </c>
      <c r="C2744" s="2" t="s">
        <v>3018</v>
      </c>
      <c r="D2744" s="1">
        <v>43601</v>
      </c>
      <c r="E2744">
        <f>MONTH(D2744)</f>
        <v>5</v>
      </c>
      <c r="F2744" s="2" t="s">
        <v>2098</v>
      </c>
      <c r="G2744" t="s">
        <v>219</v>
      </c>
      <c r="H2744" t="s">
        <v>220</v>
      </c>
      <c r="I2744" t="s">
        <v>22</v>
      </c>
      <c r="J2744" s="2" t="s">
        <v>42</v>
      </c>
      <c r="K2744" s="2" t="s">
        <v>3019</v>
      </c>
      <c r="L2744" t="s">
        <v>25</v>
      </c>
      <c r="M2744" s="10" t="s">
        <v>26</v>
      </c>
      <c r="N2744" t="s">
        <v>26</v>
      </c>
      <c r="O2744" s="10" t="s">
        <v>26</v>
      </c>
      <c r="P2744" s="8" t="s">
        <v>26</v>
      </c>
      <c r="Q2744" s="8">
        <f>(5996898*100)/6073515</f>
        <v>98.738506449724753</v>
      </c>
    </row>
    <row r="2745" spans="1:17" x14ac:dyDescent="0.2">
      <c r="A2745">
        <f>YEAR(D2745)</f>
        <v>2019</v>
      </c>
      <c r="B2745" t="s">
        <v>26</v>
      </c>
      <c r="C2745" s="2" t="s">
        <v>3018</v>
      </c>
      <c r="D2745" s="1">
        <v>43601</v>
      </c>
      <c r="E2745">
        <f>MONTH(D2745)</f>
        <v>5</v>
      </c>
      <c r="F2745" s="2" t="s">
        <v>2098</v>
      </c>
      <c r="G2745" t="s">
        <v>219</v>
      </c>
      <c r="H2745" t="s">
        <v>220</v>
      </c>
      <c r="I2745" t="s">
        <v>22</v>
      </c>
      <c r="J2745" s="2" t="s">
        <v>42</v>
      </c>
      <c r="K2745" s="2" t="s">
        <v>3019</v>
      </c>
      <c r="L2745" t="s">
        <v>25</v>
      </c>
      <c r="M2745" s="10" t="s">
        <v>26</v>
      </c>
      <c r="N2745" t="s">
        <v>26</v>
      </c>
      <c r="O2745" s="10" t="s">
        <v>26</v>
      </c>
      <c r="P2745" s="8" t="s">
        <v>26</v>
      </c>
      <c r="Q2745" s="8">
        <f>(5996898*100)/6073515</f>
        <v>98.738506449724753</v>
      </c>
    </row>
    <row r="2746" spans="1:17" x14ac:dyDescent="0.2">
      <c r="A2746">
        <f>YEAR(D2746)</f>
        <v>2019</v>
      </c>
      <c r="B2746" t="s">
        <v>26</v>
      </c>
      <c r="C2746" s="2" t="s">
        <v>3018</v>
      </c>
      <c r="D2746" s="1">
        <v>43601</v>
      </c>
      <c r="E2746">
        <f>MONTH(D2746)</f>
        <v>5</v>
      </c>
      <c r="F2746" s="2" t="s">
        <v>2098</v>
      </c>
      <c r="G2746" t="s">
        <v>219</v>
      </c>
      <c r="H2746" t="s">
        <v>220</v>
      </c>
      <c r="I2746" t="s">
        <v>22</v>
      </c>
      <c r="J2746" s="2" t="s">
        <v>42</v>
      </c>
      <c r="K2746" s="2" t="s">
        <v>3019</v>
      </c>
      <c r="L2746" t="s">
        <v>25</v>
      </c>
      <c r="M2746" s="10" t="s">
        <v>26</v>
      </c>
      <c r="N2746" t="s">
        <v>26</v>
      </c>
      <c r="O2746" s="10" t="s">
        <v>26</v>
      </c>
      <c r="P2746" s="8" t="s">
        <v>26</v>
      </c>
      <c r="Q2746" s="8">
        <f>(5996898*100)/6073515</f>
        <v>98.738506449724753</v>
      </c>
    </row>
    <row r="2747" spans="1:17" x14ac:dyDescent="0.2">
      <c r="A2747">
        <f>YEAR(D2747)</f>
        <v>2019</v>
      </c>
      <c r="B2747" t="s">
        <v>26</v>
      </c>
      <c r="C2747" s="2" t="s">
        <v>3018</v>
      </c>
      <c r="D2747" s="1">
        <v>43601</v>
      </c>
      <c r="E2747">
        <f>MONTH(D2747)</f>
        <v>5</v>
      </c>
      <c r="F2747" s="2" t="s">
        <v>2098</v>
      </c>
      <c r="G2747" t="s">
        <v>219</v>
      </c>
      <c r="H2747" t="s">
        <v>220</v>
      </c>
      <c r="I2747" t="s">
        <v>22</v>
      </c>
      <c r="J2747" s="2" t="s">
        <v>42</v>
      </c>
      <c r="K2747" s="2" t="s">
        <v>3019</v>
      </c>
      <c r="L2747" t="s">
        <v>25</v>
      </c>
      <c r="M2747" s="10" t="s">
        <v>26</v>
      </c>
      <c r="N2747" t="s">
        <v>26</v>
      </c>
      <c r="O2747" s="10" t="s">
        <v>26</v>
      </c>
      <c r="P2747" s="8" t="s">
        <v>26</v>
      </c>
      <c r="Q2747" s="8">
        <f>(5996898*100)/6073515</f>
        <v>98.738506449724753</v>
      </c>
    </row>
    <row r="2748" spans="1:17" x14ac:dyDescent="0.2">
      <c r="A2748">
        <f>YEAR(D2748)</f>
        <v>2019</v>
      </c>
      <c r="B2748" t="s">
        <v>26</v>
      </c>
      <c r="C2748" s="2" t="s">
        <v>3018</v>
      </c>
      <c r="D2748" s="1">
        <v>43601</v>
      </c>
      <c r="E2748">
        <f>MONTH(D2748)</f>
        <v>5</v>
      </c>
      <c r="F2748" s="2" t="s">
        <v>2098</v>
      </c>
      <c r="G2748" t="s">
        <v>219</v>
      </c>
      <c r="H2748" t="s">
        <v>220</v>
      </c>
      <c r="I2748" t="s">
        <v>22</v>
      </c>
      <c r="J2748" s="2" t="s">
        <v>42</v>
      </c>
      <c r="K2748" s="2" t="s">
        <v>3019</v>
      </c>
      <c r="L2748" t="s">
        <v>25</v>
      </c>
      <c r="M2748" s="10" t="s">
        <v>26</v>
      </c>
      <c r="N2748" t="s">
        <v>26</v>
      </c>
      <c r="O2748" s="10" t="s">
        <v>26</v>
      </c>
      <c r="P2748" s="8" t="s">
        <v>26</v>
      </c>
      <c r="Q2748" s="8">
        <f>(5996898*100)/6073515</f>
        <v>98.738506449724753</v>
      </c>
    </row>
    <row r="2749" spans="1:17" x14ac:dyDescent="0.2">
      <c r="A2749">
        <f>YEAR(D2749)</f>
        <v>2019</v>
      </c>
      <c r="B2749" t="s">
        <v>26</v>
      </c>
      <c r="C2749" s="2" t="s">
        <v>3018</v>
      </c>
      <c r="D2749" s="1">
        <v>43601</v>
      </c>
      <c r="E2749">
        <f>MONTH(D2749)</f>
        <v>5</v>
      </c>
      <c r="F2749" s="2" t="s">
        <v>2098</v>
      </c>
      <c r="G2749" t="s">
        <v>219</v>
      </c>
      <c r="H2749" t="s">
        <v>220</v>
      </c>
      <c r="I2749" t="s">
        <v>22</v>
      </c>
      <c r="J2749" s="2" t="s">
        <v>42</v>
      </c>
      <c r="K2749" s="2" t="s">
        <v>3019</v>
      </c>
      <c r="L2749" t="s">
        <v>25</v>
      </c>
      <c r="M2749" s="10" t="s">
        <v>26</v>
      </c>
      <c r="N2749" t="s">
        <v>26</v>
      </c>
      <c r="O2749" s="10" t="s">
        <v>26</v>
      </c>
      <c r="P2749" s="8" t="s">
        <v>26</v>
      </c>
      <c r="Q2749" s="8">
        <f>(5996898*100)/6073515</f>
        <v>98.738506449724753</v>
      </c>
    </row>
    <row r="2750" spans="1:17" x14ac:dyDescent="0.2">
      <c r="A2750">
        <f>YEAR(D2750)</f>
        <v>2019</v>
      </c>
      <c r="B2750" t="s">
        <v>26</v>
      </c>
      <c r="C2750" s="2" t="s">
        <v>3018</v>
      </c>
      <c r="D2750" s="1">
        <v>43601</v>
      </c>
      <c r="E2750">
        <f>MONTH(D2750)</f>
        <v>5</v>
      </c>
      <c r="F2750" s="2" t="s">
        <v>2098</v>
      </c>
      <c r="G2750" t="s">
        <v>219</v>
      </c>
      <c r="H2750" t="s">
        <v>220</v>
      </c>
      <c r="I2750" t="s">
        <v>22</v>
      </c>
      <c r="J2750" s="2" t="s">
        <v>42</v>
      </c>
      <c r="K2750" s="2" t="s">
        <v>3019</v>
      </c>
      <c r="L2750" t="s">
        <v>25</v>
      </c>
      <c r="M2750" s="10" t="s">
        <v>26</v>
      </c>
      <c r="N2750" t="s">
        <v>26</v>
      </c>
      <c r="O2750" s="10" t="s">
        <v>26</v>
      </c>
      <c r="P2750" s="8" t="s">
        <v>26</v>
      </c>
      <c r="Q2750" s="8">
        <f>(5996898*100)/6073515</f>
        <v>98.738506449724753</v>
      </c>
    </row>
    <row r="2751" spans="1:17" x14ac:dyDescent="0.2">
      <c r="A2751">
        <f>YEAR(D2751)</f>
        <v>2019</v>
      </c>
      <c r="B2751" t="s">
        <v>26</v>
      </c>
      <c r="C2751" s="2" t="s">
        <v>3018</v>
      </c>
      <c r="D2751" s="1">
        <v>43601</v>
      </c>
      <c r="E2751">
        <f>MONTH(D2751)</f>
        <v>5</v>
      </c>
      <c r="F2751" s="2" t="s">
        <v>2098</v>
      </c>
      <c r="G2751" t="s">
        <v>230</v>
      </c>
      <c r="H2751" t="s">
        <v>268</v>
      </c>
      <c r="I2751" t="s">
        <v>22</v>
      </c>
      <c r="J2751" s="2" t="s">
        <v>42</v>
      </c>
      <c r="K2751" s="2" t="s">
        <v>3019</v>
      </c>
      <c r="L2751" t="s">
        <v>25</v>
      </c>
      <c r="M2751" s="8">
        <v>3.5356666670000001</v>
      </c>
      <c r="N2751" t="s">
        <v>26</v>
      </c>
      <c r="O2751" s="8">
        <v>3.5356666670000001</v>
      </c>
      <c r="P2751" s="8">
        <f>EXP(-1.363+3.366*LOG(O2751,10))</f>
        <v>1.6211802664427075</v>
      </c>
      <c r="Q2751" s="8">
        <f>(5996898*100)/6073515</f>
        <v>98.738506449724753</v>
      </c>
    </row>
    <row r="2752" spans="1:17" x14ac:dyDescent="0.2">
      <c r="A2752">
        <f>YEAR(D2752)</f>
        <v>2019</v>
      </c>
      <c r="B2752" t="s">
        <v>26</v>
      </c>
      <c r="C2752" s="2" t="s">
        <v>3024</v>
      </c>
      <c r="D2752" s="1">
        <v>43599</v>
      </c>
      <c r="E2752">
        <f>MONTH(D2752)</f>
        <v>5</v>
      </c>
      <c r="F2752" s="2" t="s">
        <v>19</v>
      </c>
      <c r="G2752" t="s">
        <v>352</v>
      </c>
      <c r="H2752" t="s">
        <v>975</v>
      </c>
      <c r="I2752" t="s">
        <v>22</v>
      </c>
      <c r="J2752" s="2" t="s">
        <v>42</v>
      </c>
      <c r="K2752" s="2" t="s">
        <v>3019</v>
      </c>
      <c r="L2752" t="s">
        <v>25</v>
      </c>
      <c r="M2752" s="8">
        <v>1.0693333330000001</v>
      </c>
      <c r="N2752" t="s">
        <v>26</v>
      </c>
      <c r="O2752" s="8">
        <v>1.0693333330000001</v>
      </c>
      <c r="P2752" s="8">
        <f>EXP(-1.363+3.366*LOG(O2752,10))</f>
        <v>0.28223780327142356</v>
      </c>
      <c r="Q2752" s="8">
        <f>(2412691*100)/2623642</f>
        <v>91.959611867777696</v>
      </c>
    </row>
    <row r="2753" spans="1:17" x14ac:dyDescent="0.2">
      <c r="A2753">
        <f>YEAR(D2753)</f>
        <v>2019</v>
      </c>
      <c r="B2753" t="s">
        <v>26</v>
      </c>
      <c r="C2753" s="2" t="s">
        <v>3024</v>
      </c>
      <c r="D2753" s="1">
        <v>43599</v>
      </c>
      <c r="E2753">
        <f>MONTH(D2753)</f>
        <v>5</v>
      </c>
      <c r="F2753" s="2" t="s">
        <v>19</v>
      </c>
      <c r="G2753" t="s">
        <v>352</v>
      </c>
      <c r="H2753" t="s">
        <v>1142</v>
      </c>
      <c r="I2753" t="s">
        <v>22</v>
      </c>
      <c r="J2753" s="2" t="s">
        <v>42</v>
      </c>
      <c r="K2753" s="2" t="s">
        <v>3019</v>
      </c>
      <c r="L2753" t="s">
        <v>25</v>
      </c>
      <c r="M2753" s="8">
        <v>1.1423333330000001</v>
      </c>
      <c r="N2753" t="s">
        <v>26</v>
      </c>
      <c r="O2753" s="8">
        <v>1.1423333330000001</v>
      </c>
      <c r="P2753" s="8">
        <f>EXP(-1.363+3.366*LOG(O2753,10))</f>
        <v>0.31084239358261528</v>
      </c>
      <c r="Q2753" s="8">
        <f>(2412691*100)/2623642</f>
        <v>91.959611867777696</v>
      </c>
    </row>
    <row r="2754" spans="1:17" x14ac:dyDescent="0.2">
      <c r="A2754">
        <f>YEAR(D2754)</f>
        <v>2019</v>
      </c>
      <c r="B2754" t="s">
        <v>26</v>
      </c>
      <c r="C2754" s="2" t="s">
        <v>3024</v>
      </c>
      <c r="D2754" s="1">
        <v>43599</v>
      </c>
      <c r="E2754">
        <f>MONTH(D2754)</f>
        <v>5</v>
      </c>
      <c r="F2754" s="2" t="s">
        <v>19</v>
      </c>
      <c r="G2754" t="s">
        <v>352</v>
      </c>
      <c r="H2754" t="s">
        <v>494</v>
      </c>
      <c r="I2754" t="s">
        <v>22</v>
      </c>
      <c r="J2754" s="2" t="s">
        <v>42</v>
      </c>
      <c r="K2754" s="2" t="s">
        <v>3019</v>
      </c>
      <c r="L2754" t="s">
        <v>25</v>
      </c>
      <c r="M2754" s="8">
        <v>1.7226666669999999</v>
      </c>
      <c r="N2754" t="s">
        <v>26</v>
      </c>
      <c r="O2754" s="8">
        <v>1.7226666669999999</v>
      </c>
      <c r="P2754" s="8">
        <f>EXP(-1.363+3.366*LOG(O2754,10))</f>
        <v>0.56668788662759551</v>
      </c>
      <c r="Q2754" s="8">
        <f>(2412691*100)/2623642</f>
        <v>91.959611867777696</v>
      </c>
    </row>
    <row r="2755" spans="1:17" x14ac:dyDescent="0.2">
      <c r="A2755">
        <f>YEAR(D2755)</f>
        <v>2019</v>
      </c>
      <c r="B2755" t="s">
        <v>26</v>
      </c>
      <c r="C2755" s="2" t="s">
        <v>3024</v>
      </c>
      <c r="D2755" s="1">
        <v>43599</v>
      </c>
      <c r="E2755">
        <f>MONTH(D2755)</f>
        <v>5</v>
      </c>
      <c r="F2755" s="2" t="s">
        <v>19</v>
      </c>
      <c r="G2755" t="s">
        <v>352</v>
      </c>
      <c r="H2755" t="s">
        <v>747</v>
      </c>
      <c r="I2755" t="s">
        <v>22</v>
      </c>
      <c r="J2755" s="2" t="s">
        <v>42</v>
      </c>
      <c r="K2755" s="2" t="s">
        <v>3019</v>
      </c>
      <c r="L2755" t="s">
        <v>25</v>
      </c>
      <c r="M2755" s="8">
        <v>1.3726666670000001</v>
      </c>
      <c r="N2755" t="s">
        <v>26</v>
      </c>
      <c r="O2755" s="8">
        <v>1.3726666670000001</v>
      </c>
      <c r="P2755" s="8">
        <f>EXP(-1.363+3.366*LOG(O2755,10))</f>
        <v>0.40658758379567089</v>
      </c>
      <c r="Q2755" s="8">
        <f>(2412691*100)/2623642</f>
        <v>91.959611867777696</v>
      </c>
    </row>
    <row r="2756" spans="1:17" x14ac:dyDescent="0.2">
      <c r="A2756">
        <f>YEAR(D2756)</f>
        <v>2019</v>
      </c>
      <c r="B2756" t="s">
        <v>26</v>
      </c>
      <c r="C2756" s="2" t="s">
        <v>3024</v>
      </c>
      <c r="D2756" s="1">
        <v>43599</v>
      </c>
      <c r="E2756">
        <f>MONTH(D2756)</f>
        <v>5</v>
      </c>
      <c r="F2756" s="2" t="s">
        <v>19</v>
      </c>
      <c r="G2756" t="s">
        <v>352</v>
      </c>
      <c r="H2756" t="s">
        <v>1142</v>
      </c>
      <c r="I2756" t="s">
        <v>22</v>
      </c>
      <c r="J2756" s="2" t="s">
        <v>42</v>
      </c>
      <c r="K2756" s="2" t="s">
        <v>3019</v>
      </c>
      <c r="L2756" t="s">
        <v>25</v>
      </c>
      <c r="M2756" s="8">
        <v>1.1423333330000001</v>
      </c>
      <c r="N2756" t="s">
        <v>26</v>
      </c>
      <c r="O2756" s="8">
        <v>1.1423333330000001</v>
      </c>
      <c r="P2756" s="8">
        <f>EXP(-1.363+3.366*LOG(O2756,10))</f>
        <v>0.31084239358261528</v>
      </c>
      <c r="Q2756" s="8">
        <f>(2412691*100)/2623642</f>
        <v>91.959611867777696</v>
      </c>
    </row>
    <row r="2757" spans="1:17" x14ac:dyDescent="0.2">
      <c r="A2757">
        <f>YEAR(D2757)</f>
        <v>2019</v>
      </c>
      <c r="B2757" t="s">
        <v>26</v>
      </c>
      <c r="C2757" s="2" t="s">
        <v>3024</v>
      </c>
      <c r="D2757" s="1">
        <v>43599</v>
      </c>
      <c r="E2757">
        <f>MONTH(D2757)</f>
        <v>5</v>
      </c>
      <c r="F2757" s="2" t="s">
        <v>19</v>
      </c>
      <c r="G2757" t="s">
        <v>20</v>
      </c>
      <c r="H2757" t="s">
        <v>149</v>
      </c>
      <c r="I2757" t="s">
        <v>22</v>
      </c>
      <c r="J2757" s="2" t="s">
        <v>42</v>
      </c>
      <c r="K2757" s="2" t="s">
        <v>3019</v>
      </c>
      <c r="L2757" t="s">
        <v>25</v>
      </c>
      <c r="M2757" s="8">
        <v>1.45</v>
      </c>
      <c r="N2757" t="s">
        <v>26</v>
      </c>
      <c r="O2757" s="8">
        <v>1.45</v>
      </c>
      <c r="P2757" s="8">
        <f>EXP(-1.363+3.366*LOG(O2757,10))</f>
        <v>0.44050419760124854</v>
      </c>
      <c r="Q2757" s="8">
        <f>(2412691*100)/2623642</f>
        <v>91.959611867777696</v>
      </c>
    </row>
    <row r="2758" spans="1:17" x14ac:dyDescent="0.2">
      <c r="A2758">
        <f>YEAR(D2758)</f>
        <v>2019</v>
      </c>
      <c r="B2758" t="s">
        <v>26</v>
      </c>
      <c r="C2758" s="2" t="s">
        <v>3024</v>
      </c>
      <c r="D2758" s="1">
        <v>43599</v>
      </c>
      <c r="E2758">
        <f>MONTH(D2758)</f>
        <v>5</v>
      </c>
      <c r="F2758" s="2" t="s">
        <v>19</v>
      </c>
      <c r="G2758" t="s">
        <v>352</v>
      </c>
      <c r="H2758" t="s">
        <v>1142</v>
      </c>
      <c r="I2758" t="s">
        <v>22</v>
      </c>
      <c r="J2758" s="2" t="s">
        <v>42</v>
      </c>
      <c r="K2758" s="2" t="s">
        <v>3019</v>
      </c>
      <c r="L2758" t="s">
        <v>25</v>
      </c>
      <c r="M2758" s="8">
        <v>1.1423333330000001</v>
      </c>
      <c r="N2758" t="s">
        <v>26</v>
      </c>
      <c r="O2758" s="8">
        <v>1.1423333330000001</v>
      </c>
      <c r="P2758" s="8">
        <f>EXP(-1.363+3.366*LOG(O2758,10))</f>
        <v>0.31084239358261528</v>
      </c>
      <c r="Q2758" s="8">
        <f>(2412691*100)/2623642</f>
        <v>91.959611867777696</v>
      </c>
    </row>
    <row r="2759" spans="1:17" x14ac:dyDescent="0.2">
      <c r="A2759">
        <f>YEAR(D2759)</f>
        <v>2019</v>
      </c>
      <c r="B2759" t="s">
        <v>26</v>
      </c>
      <c r="C2759" s="2" t="s">
        <v>3024</v>
      </c>
      <c r="D2759" s="1">
        <v>43599</v>
      </c>
      <c r="E2759">
        <f>MONTH(D2759)</f>
        <v>5</v>
      </c>
      <c r="F2759" s="2" t="s">
        <v>19</v>
      </c>
      <c r="G2759" t="s">
        <v>352</v>
      </c>
      <c r="H2759" t="s">
        <v>623</v>
      </c>
      <c r="I2759" t="s">
        <v>22</v>
      </c>
      <c r="J2759" s="2" t="s">
        <v>42</v>
      </c>
      <c r="K2759" s="2" t="s">
        <v>3019</v>
      </c>
      <c r="L2759" t="s">
        <v>25</v>
      </c>
      <c r="M2759" s="8">
        <v>1.387</v>
      </c>
      <c r="N2759" t="s">
        <v>26</v>
      </c>
      <c r="O2759" s="8">
        <v>1.387</v>
      </c>
      <c r="P2759" s="8">
        <f>EXP(-1.363+3.366*LOG(O2759,10))</f>
        <v>0.41280884754947733</v>
      </c>
      <c r="Q2759" s="8">
        <f>(2412691*100)/2623642</f>
        <v>91.959611867777696</v>
      </c>
    </row>
    <row r="2760" spans="1:17" x14ac:dyDescent="0.2">
      <c r="A2760">
        <f>YEAR(D2760)</f>
        <v>2019</v>
      </c>
      <c r="B2760" t="s">
        <v>26</v>
      </c>
      <c r="C2760" s="2" t="s">
        <v>3024</v>
      </c>
      <c r="D2760" s="1">
        <v>43599</v>
      </c>
      <c r="E2760">
        <f>MONTH(D2760)</f>
        <v>5</v>
      </c>
      <c r="F2760" s="2" t="s">
        <v>19</v>
      </c>
      <c r="G2760" t="s">
        <v>352</v>
      </c>
      <c r="H2760" t="s">
        <v>1459</v>
      </c>
      <c r="I2760" t="s">
        <v>22</v>
      </c>
      <c r="J2760" s="2" t="s">
        <v>42</v>
      </c>
      <c r="K2760" s="2" t="s">
        <v>3019</v>
      </c>
      <c r="L2760" t="s">
        <v>25</v>
      </c>
      <c r="M2760" s="8">
        <v>1.1910000000000001</v>
      </c>
      <c r="N2760" t="s">
        <v>26</v>
      </c>
      <c r="O2760" s="8">
        <v>1.1910000000000001</v>
      </c>
      <c r="P2760" s="8">
        <f>EXP(-1.363+3.366*LOG(O2760,10))</f>
        <v>0.33039016297752993</v>
      </c>
      <c r="Q2760" s="8">
        <f>(2412691*100)/2623642</f>
        <v>91.959611867777696</v>
      </c>
    </row>
    <row r="2761" spans="1:17" x14ac:dyDescent="0.2">
      <c r="A2761">
        <f>YEAR(D2761)</f>
        <v>2019</v>
      </c>
      <c r="B2761" t="s">
        <v>26</v>
      </c>
      <c r="C2761" s="2" t="s">
        <v>50</v>
      </c>
      <c r="D2761" s="1">
        <v>43600</v>
      </c>
      <c r="E2761">
        <f>MONTH(D2761)</f>
        <v>5</v>
      </c>
      <c r="F2761" s="2" t="s">
        <v>19</v>
      </c>
      <c r="G2761" t="s">
        <v>352</v>
      </c>
      <c r="H2761" t="s">
        <v>623</v>
      </c>
      <c r="I2761" t="s">
        <v>22</v>
      </c>
      <c r="J2761" s="2" t="s">
        <v>42</v>
      </c>
      <c r="K2761" s="2" t="s">
        <v>3019</v>
      </c>
      <c r="L2761" t="s">
        <v>25</v>
      </c>
      <c r="M2761" s="8">
        <v>1.387</v>
      </c>
      <c r="N2761" t="s">
        <v>26</v>
      </c>
      <c r="O2761" s="8">
        <v>1.387</v>
      </c>
      <c r="P2761" s="8">
        <f>EXP(-1.363+3.366*LOG(O2761,10))</f>
        <v>0.41280884754947733</v>
      </c>
      <c r="Q2761" s="8">
        <f>(4488342*100)/4914798</f>
        <v>91.323020803703429</v>
      </c>
    </row>
    <row r="2762" spans="1:17" x14ac:dyDescent="0.2">
      <c r="A2762">
        <f>YEAR(D2762)</f>
        <v>2019</v>
      </c>
      <c r="B2762" t="s">
        <v>26</v>
      </c>
      <c r="C2762" s="2" t="s">
        <v>50</v>
      </c>
      <c r="D2762" s="1">
        <v>43600</v>
      </c>
      <c r="E2762">
        <f>MONTH(D2762)</f>
        <v>5</v>
      </c>
      <c r="F2762" s="2" t="s">
        <v>19</v>
      </c>
      <c r="G2762" t="s">
        <v>219</v>
      </c>
      <c r="H2762" t="s">
        <v>220</v>
      </c>
      <c r="I2762" t="s">
        <v>22</v>
      </c>
      <c r="J2762" s="2" t="s">
        <v>42</v>
      </c>
      <c r="K2762" s="2" t="s">
        <v>3019</v>
      </c>
      <c r="L2762" t="s">
        <v>25</v>
      </c>
      <c r="M2762" s="10" t="s">
        <v>26</v>
      </c>
      <c r="N2762" t="s">
        <v>26</v>
      </c>
      <c r="O2762" s="10" t="s">
        <v>26</v>
      </c>
      <c r="P2762" s="8" t="s">
        <v>26</v>
      </c>
      <c r="Q2762" s="8">
        <f>(4488342*100)/4914798</f>
        <v>91.323020803703429</v>
      </c>
    </row>
    <row r="2763" spans="1:17" x14ac:dyDescent="0.2">
      <c r="A2763">
        <f>YEAR(D2763)</f>
        <v>2019</v>
      </c>
      <c r="B2763" t="s">
        <v>26</v>
      </c>
      <c r="C2763" s="2" t="s">
        <v>50</v>
      </c>
      <c r="D2763" s="1">
        <v>43600</v>
      </c>
      <c r="E2763">
        <f>MONTH(D2763)</f>
        <v>5</v>
      </c>
      <c r="F2763" s="2" t="s">
        <v>19</v>
      </c>
      <c r="G2763" t="s">
        <v>362</v>
      </c>
      <c r="H2763" t="s">
        <v>447</v>
      </c>
      <c r="I2763" t="s">
        <v>22</v>
      </c>
      <c r="J2763" s="2" t="s">
        <v>42</v>
      </c>
      <c r="K2763" s="2" t="s">
        <v>3019</v>
      </c>
      <c r="L2763" t="s">
        <v>25</v>
      </c>
      <c r="M2763" s="8">
        <v>1.421</v>
      </c>
      <c r="N2763" t="s">
        <v>26</v>
      </c>
      <c r="O2763" s="8">
        <v>1.421</v>
      </c>
      <c r="P2763" s="8">
        <f>EXP(-1.363+3.366*LOG(O2763,10))</f>
        <v>0.42768500084673816</v>
      </c>
      <c r="Q2763" s="8">
        <f>(4488342*100)/4914798</f>
        <v>91.323020803703429</v>
      </c>
    </row>
    <row r="2764" spans="1:17" x14ac:dyDescent="0.2">
      <c r="A2764">
        <f>YEAR(D2764)</f>
        <v>2019</v>
      </c>
      <c r="B2764" t="s">
        <v>26</v>
      </c>
      <c r="C2764" s="2" t="s">
        <v>50</v>
      </c>
      <c r="D2764" s="1">
        <v>43600</v>
      </c>
      <c r="E2764">
        <f>MONTH(D2764)</f>
        <v>5</v>
      </c>
      <c r="F2764" s="2" t="s">
        <v>19</v>
      </c>
      <c r="G2764" t="s">
        <v>362</v>
      </c>
      <c r="H2764" t="s">
        <v>447</v>
      </c>
      <c r="I2764" t="s">
        <v>22</v>
      </c>
      <c r="J2764" s="2" t="s">
        <v>42</v>
      </c>
      <c r="K2764" s="2" t="s">
        <v>3019</v>
      </c>
      <c r="L2764" t="s">
        <v>25</v>
      </c>
      <c r="M2764" s="8">
        <v>1.421</v>
      </c>
      <c r="N2764" t="s">
        <v>26</v>
      </c>
      <c r="O2764" s="8">
        <v>1.421</v>
      </c>
      <c r="P2764" s="8">
        <f>EXP(-1.363+3.366*LOG(O2764,10))</f>
        <v>0.42768500084673816</v>
      </c>
      <c r="Q2764" s="8">
        <f>(4488342*100)/4914798</f>
        <v>91.323020803703429</v>
      </c>
    </row>
    <row r="2765" spans="1:17" x14ac:dyDescent="0.2">
      <c r="A2765">
        <f>YEAR(D2765)</f>
        <v>2019</v>
      </c>
      <c r="B2765" t="e">
        <f>CONCATENATE(K2765,#REF!)</f>
        <v>#REF!</v>
      </c>
      <c r="C2765" s="2" t="s">
        <v>50</v>
      </c>
      <c r="D2765" s="1">
        <v>43600</v>
      </c>
      <c r="E2765">
        <f>MONTH(D2765)</f>
        <v>5</v>
      </c>
      <c r="F2765" s="2" t="s">
        <v>19</v>
      </c>
      <c r="G2765" s="2" t="s">
        <v>20</v>
      </c>
      <c r="H2765" t="s">
        <v>103</v>
      </c>
      <c r="I2765" t="s">
        <v>22</v>
      </c>
      <c r="J2765" s="2" t="s">
        <v>42</v>
      </c>
      <c r="K2765" s="2" t="s">
        <v>3019</v>
      </c>
      <c r="L2765" t="s">
        <v>25</v>
      </c>
      <c r="M2765" s="8">
        <v>2.177</v>
      </c>
      <c r="N2765" t="s">
        <v>26</v>
      </c>
      <c r="O2765" s="8">
        <v>2.177</v>
      </c>
      <c r="P2765" s="8">
        <f>EXP(-1.363+3.366*LOG(O2765,10))</f>
        <v>0.79790277256387487</v>
      </c>
      <c r="Q2765" s="8">
        <f>(4488342*100)/4914798</f>
        <v>91.323020803703429</v>
      </c>
    </row>
    <row r="2766" spans="1:17" x14ac:dyDescent="0.2">
      <c r="A2766">
        <f>YEAR(D2766)</f>
        <v>2019</v>
      </c>
      <c r="B2766" t="s">
        <v>26</v>
      </c>
      <c r="C2766" s="2" t="s">
        <v>50</v>
      </c>
      <c r="D2766" s="1">
        <v>43600</v>
      </c>
      <c r="E2766">
        <f>MONTH(D2766)</f>
        <v>5</v>
      </c>
      <c r="F2766" s="2" t="s">
        <v>19</v>
      </c>
      <c r="G2766" t="s">
        <v>219</v>
      </c>
      <c r="H2766" t="s">
        <v>220</v>
      </c>
      <c r="I2766" t="s">
        <v>22</v>
      </c>
      <c r="J2766" s="2" t="s">
        <v>42</v>
      </c>
      <c r="K2766" s="2" t="s">
        <v>3019</v>
      </c>
      <c r="L2766" t="s">
        <v>25</v>
      </c>
      <c r="M2766" s="10" t="s">
        <v>26</v>
      </c>
      <c r="N2766" t="s">
        <v>26</v>
      </c>
      <c r="O2766" s="10" t="s">
        <v>26</v>
      </c>
      <c r="P2766" s="8" t="s">
        <v>26</v>
      </c>
      <c r="Q2766" s="8">
        <f>(4488342*100)/4914798</f>
        <v>91.323020803703429</v>
      </c>
    </row>
    <row r="2767" spans="1:17" x14ac:dyDescent="0.2">
      <c r="A2767">
        <f>YEAR(D2767)</f>
        <v>2019</v>
      </c>
      <c r="B2767" t="s">
        <v>26</v>
      </c>
      <c r="C2767" s="2" t="s">
        <v>50</v>
      </c>
      <c r="D2767" s="1">
        <v>43600</v>
      </c>
      <c r="E2767">
        <f>MONTH(D2767)</f>
        <v>5</v>
      </c>
      <c r="F2767" s="2" t="s">
        <v>19</v>
      </c>
      <c r="G2767" t="s">
        <v>352</v>
      </c>
      <c r="H2767" t="s">
        <v>623</v>
      </c>
      <c r="I2767" t="s">
        <v>22</v>
      </c>
      <c r="J2767" s="2" t="s">
        <v>42</v>
      </c>
      <c r="K2767" s="2" t="s">
        <v>3019</v>
      </c>
      <c r="L2767" t="s">
        <v>25</v>
      </c>
      <c r="M2767" s="8">
        <v>1.387</v>
      </c>
      <c r="N2767" t="s">
        <v>26</v>
      </c>
      <c r="O2767" s="8">
        <v>1.387</v>
      </c>
      <c r="P2767" s="8">
        <f>EXP(-1.363+3.366*LOG(O2767,10))</f>
        <v>0.41280884754947733</v>
      </c>
      <c r="Q2767" s="8">
        <f>(4488342*100)/4914798</f>
        <v>91.323020803703429</v>
      </c>
    </row>
    <row r="2768" spans="1:17" x14ac:dyDescent="0.2">
      <c r="A2768">
        <f>YEAR(D2768)</f>
        <v>2019</v>
      </c>
      <c r="B2768" t="s">
        <v>26</v>
      </c>
      <c r="C2768" s="2" t="s">
        <v>50</v>
      </c>
      <c r="D2768" s="1">
        <v>43600</v>
      </c>
      <c r="E2768">
        <f>MONTH(D2768)</f>
        <v>5</v>
      </c>
      <c r="F2768" s="2" t="s">
        <v>19</v>
      </c>
      <c r="G2768" t="s">
        <v>219</v>
      </c>
      <c r="H2768" t="s">
        <v>220</v>
      </c>
      <c r="I2768" t="s">
        <v>22</v>
      </c>
      <c r="J2768" s="2" t="s">
        <v>42</v>
      </c>
      <c r="K2768" s="2" t="s">
        <v>3019</v>
      </c>
      <c r="L2768" t="s">
        <v>25</v>
      </c>
      <c r="M2768" s="10" t="s">
        <v>26</v>
      </c>
      <c r="N2768" t="s">
        <v>26</v>
      </c>
      <c r="O2768" s="10" t="s">
        <v>26</v>
      </c>
      <c r="P2768" s="8" t="s">
        <v>26</v>
      </c>
      <c r="Q2768" s="8">
        <f>(4488342*100)/4914798</f>
        <v>91.323020803703429</v>
      </c>
    </row>
    <row r="2769" spans="1:17" x14ac:dyDescent="0.2">
      <c r="A2769">
        <f>YEAR(D2769)</f>
        <v>2019</v>
      </c>
      <c r="B2769" t="s">
        <v>26</v>
      </c>
      <c r="C2769" s="2" t="s">
        <v>50</v>
      </c>
      <c r="D2769" s="1">
        <v>43600</v>
      </c>
      <c r="E2769">
        <f>MONTH(D2769)</f>
        <v>5</v>
      </c>
      <c r="F2769" s="2" t="s">
        <v>19</v>
      </c>
      <c r="G2769" t="s">
        <v>352</v>
      </c>
      <c r="H2769" t="s">
        <v>494</v>
      </c>
      <c r="I2769" t="s">
        <v>22</v>
      </c>
      <c r="J2769" s="2" t="s">
        <v>42</v>
      </c>
      <c r="K2769" s="2" t="s">
        <v>3019</v>
      </c>
      <c r="L2769" t="s">
        <v>25</v>
      </c>
      <c r="M2769" s="8">
        <v>1.7226666669999999</v>
      </c>
      <c r="N2769" t="s">
        <v>26</v>
      </c>
      <c r="O2769" s="8">
        <v>1.7226666669999999</v>
      </c>
      <c r="P2769" s="8">
        <f>EXP(-1.363+3.366*LOG(O2769,10))</f>
        <v>0.56668788662759551</v>
      </c>
      <c r="Q2769" s="8">
        <f>(4488342*100)/4914798</f>
        <v>91.323020803703429</v>
      </c>
    </row>
    <row r="2770" spans="1:17" x14ac:dyDescent="0.2">
      <c r="A2770">
        <f>YEAR(D2770)</f>
        <v>2019</v>
      </c>
      <c r="B2770" t="s">
        <v>26</v>
      </c>
      <c r="C2770" s="2" t="s">
        <v>50</v>
      </c>
      <c r="D2770" s="1">
        <v>43600</v>
      </c>
      <c r="E2770">
        <f>MONTH(D2770)</f>
        <v>5</v>
      </c>
      <c r="F2770" s="2" t="s">
        <v>19</v>
      </c>
      <c r="G2770" t="s">
        <v>20</v>
      </c>
      <c r="H2770" t="s">
        <v>2601</v>
      </c>
      <c r="I2770" t="s">
        <v>36</v>
      </c>
      <c r="J2770" s="2" t="s">
        <v>42</v>
      </c>
      <c r="K2770" s="2" t="s">
        <v>3019</v>
      </c>
      <c r="L2770" t="s">
        <v>25</v>
      </c>
      <c r="M2770" s="8">
        <v>1.2030000000000001</v>
      </c>
      <c r="N2770" t="s">
        <v>26</v>
      </c>
      <c r="O2770" s="8">
        <v>1.2030000000000001</v>
      </c>
      <c r="P2770" s="8">
        <f>EXP(-1.363+3.366*LOG(O2770,10))</f>
        <v>0.3352677212624659</v>
      </c>
      <c r="Q2770" s="8">
        <f>(4488342*100)/4914798</f>
        <v>91.323020803703429</v>
      </c>
    </row>
    <row r="2771" spans="1:17" x14ac:dyDescent="0.2">
      <c r="A2771">
        <f>YEAR(D2771)</f>
        <v>2019</v>
      </c>
      <c r="B2771" t="s">
        <v>26</v>
      </c>
      <c r="C2771" s="2" t="s">
        <v>50</v>
      </c>
      <c r="D2771" s="1">
        <v>43600</v>
      </c>
      <c r="E2771">
        <f>MONTH(D2771)</f>
        <v>5</v>
      </c>
      <c r="F2771" s="2" t="s">
        <v>19</v>
      </c>
      <c r="G2771" t="s">
        <v>362</v>
      </c>
      <c r="H2771" t="s">
        <v>447</v>
      </c>
      <c r="I2771" t="s">
        <v>22</v>
      </c>
      <c r="J2771" s="2" t="s">
        <v>42</v>
      </c>
      <c r="K2771" s="2" t="s">
        <v>3019</v>
      </c>
      <c r="L2771" t="s">
        <v>25</v>
      </c>
      <c r="M2771" s="8">
        <v>1.421</v>
      </c>
      <c r="N2771" t="s">
        <v>26</v>
      </c>
      <c r="O2771" s="8">
        <v>1.421</v>
      </c>
      <c r="P2771" s="8">
        <f>EXP(-1.363+3.366*LOG(O2771,10))</f>
        <v>0.42768500084673816</v>
      </c>
      <c r="Q2771" s="8">
        <f>(4488342*100)/4914798</f>
        <v>91.323020803703429</v>
      </c>
    </row>
    <row r="2772" spans="1:17" x14ac:dyDescent="0.2">
      <c r="A2772">
        <f>YEAR(D2772)</f>
        <v>2019</v>
      </c>
      <c r="B2772" t="s">
        <v>26</v>
      </c>
      <c r="C2772" s="2" t="s">
        <v>50</v>
      </c>
      <c r="D2772" s="1">
        <v>43600</v>
      </c>
      <c r="E2772">
        <f>MONTH(D2772)</f>
        <v>5</v>
      </c>
      <c r="F2772" s="2" t="s">
        <v>19</v>
      </c>
      <c r="G2772" t="s">
        <v>352</v>
      </c>
      <c r="H2772" t="s">
        <v>975</v>
      </c>
      <c r="I2772" t="s">
        <v>22</v>
      </c>
      <c r="J2772" s="2" t="s">
        <v>42</v>
      </c>
      <c r="K2772" s="2" t="s">
        <v>3019</v>
      </c>
      <c r="L2772" t="s">
        <v>25</v>
      </c>
      <c r="M2772" s="8">
        <v>1.0693333330000001</v>
      </c>
      <c r="N2772" t="s">
        <v>26</v>
      </c>
      <c r="O2772" s="8">
        <v>1.0693333330000001</v>
      </c>
      <c r="P2772" s="8">
        <f>EXP(-1.363+3.366*LOG(O2772,10))</f>
        <v>0.28223780327142356</v>
      </c>
      <c r="Q2772" s="8">
        <f>(4488342*100)/4914798</f>
        <v>91.323020803703429</v>
      </c>
    </row>
    <row r="2773" spans="1:17" x14ac:dyDescent="0.2">
      <c r="A2773">
        <f>YEAR(D2773)</f>
        <v>2019</v>
      </c>
      <c r="B2773" t="s">
        <v>26</v>
      </c>
      <c r="C2773" s="2" t="s">
        <v>50</v>
      </c>
      <c r="D2773" s="1">
        <v>43600</v>
      </c>
      <c r="E2773">
        <f>MONTH(D2773)</f>
        <v>5</v>
      </c>
      <c r="F2773" s="2" t="s">
        <v>19</v>
      </c>
      <c r="G2773" t="s">
        <v>352</v>
      </c>
      <c r="H2773" t="s">
        <v>610</v>
      </c>
      <c r="I2773" t="s">
        <v>22</v>
      </c>
      <c r="J2773" s="2" t="s">
        <v>42</v>
      </c>
      <c r="K2773" s="2" t="s">
        <v>3019</v>
      </c>
      <c r="L2773" t="s">
        <v>25</v>
      </c>
      <c r="M2773" s="8">
        <v>0.86499999999999999</v>
      </c>
      <c r="N2773" t="s">
        <v>26</v>
      </c>
      <c r="O2773" s="8">
        <v>0.86499999999999999</v>
      </c>
      <c r="P2773" s="8">
        <f>EXP(-1.363+3.366*LOG(O2773,10))</f>
        <v>0.20700676972346591</v>
      </c>
      <c r="Q2773" s="8">
        <f>(4488342*100)/4914798</f>
        <v>91.323020803703429</v>
      </c>
    </row>
    <row r="2774" spans="1:17" x14ac:dyDescent="0.2">
      <c r="A2774">
        <f>YEAR(D2774)</f>
        <v>2019</v>
      </c>
      <c r="B2774" t="s">
        <v>26</v>
      </c>
      <c r="C2774" s="2" t="s">
        <v>3027</v>
      </c>
      <c r="D2774" s="1">
        <v>43605</v>
      </c>
      <c r="E2774">
        <f>MONTH(D2774)</f>
        <v>5</v>
      </c>
      <c r="F2774" s="2" t="s">
        <v>2098</v>
      </c>
      <c r="G2774" t="s">
        <v>219</v>
      </c>
      <c r="H2774" t="s">
        <v>220</v>
      </c>
      <c r="I2774" t="s">
        <v>22</v>
      </c>
      <c r="J2774" s="2" t="s">
        <v>42</v>
      </c>
      <c r="K2774" s="2" t="s">
        <v>3019</v>
      </c>
      <c r="L2774" t="s">
        <v>25</v>
      </c>
      <c r="M2774" s="10" t="s">
        <v>26</v>
      </c>
      <c r="N2774" t="s">
        <v>26</v>
      </c>
      <c r="O2774" s="10" t="s">
        <v>26</v>
      </c>
      <c r="P2774" s="8" t="s">
        <v>26</v>
      </c>
      <c r="Q2774" s="8">
        <f>(3939723*100)/4442581</f>
        <v>88.680949204977921</v>
      </c>
    </row>
    <row r="2775" spans="1:17" x14ac:dyDescent="0.2">
      <c r="A2775">
        <f>YEAR(D2775)</f>
        <v>2019</v>
      </c>
      <c r="B2775" t="s">
        <v>26</v>
      </c>
      <c r="C2775" s="2" t="s">
        <v>3027</v>
      </c>
      <c r="D2775" s="1">
        <v>43605</v>
      </c>
      <c r="E2775">
        <f>MONTH(D2775)</f>
        <v>5</v>
      </c>
      <c r="F2775" s="2" t="s">
        <v>2098</v>
      </c>
      <c r="G2775" t="s">
        <v>230</v>
      </c>
      <c r="H2775" t="s">
        <v>268</v>
      </c>
      <c r="I2775" t="s">
        <v>36</v>
      </c>
      <c r="J2775" s="2" t="s">
        <v>42</v>
      </c>
      <c r="K2775" s="2" t="s">
        <v>3019</v>
      </c>
      <c r="L2775" t="s">
        <v>25</v>
      </c>
      <c r="M2775" s="8">
        <v>3.3683333329999998</v>
      </c>
      <c r="N2775" t="s">
        <v>26</v>
      </c>
      <c r="O2775" s="8">
        <v>3.3683333329999998</v>
      </c>
      <c r="P2775" s="8">
        <f>EXP(-1.363+3.366*LOG(O2775,10))</f>
        <v>1.510255893489963</v>
      </c>
      <c r="Q2775" s="8">
        <f>(3939723*100)/4442581</f>
        <v>88.680949204977921</v>
      </c>
    </row>
    <row r="2776" spans="1:17" x14ac:dyDescent="0.2">
      <c r="A2776">
        <f>YEAR(D2776)</f>
        <v>2019</v>
      </c>
      <c r="B2776" t="s">
        <v>26</v>
      </c>
      <c r="C2776" s="2" t="s">
        <v>3027</v>
      </c>
      <c r="D2776" s="1">
        <v>43605</v>
      </c>
      <c r="E2776">
        <f>MONTH(D2776)</f>
        <v>5</v>
      </c>
      <c r="F2776" s="2" t="s">
        <v>2098</v>
      </c>
      <c r="G2776" t="s">
        <v>230</v>
      </c>
      <c r="H2776" t="s">
        <v>268</v>
      </c>
      <c r="I2776" t="s">
        <v>22</v>
      </c>
      <c r="J2776" s="2" t="s">
        <v>42</v>
      </c>
      <c r="K2776" s="2" t="s">
        <v>3019</v>
      </c>
      <c r="L2776" t="s">
        <v>25</v>
      </c>
      <c r="M2776" s="8">
        <v>3.5356666670000001</v>
      </c>
      <c r="N2776" t="s">
        <v>26</v>
      </c>
      <c r="O2776" s="8">
        <v>3.5356666670000001</v>
      </c>
      <c r="P2776" s="8">
        <f>EXP(-1.363+3.366*LOG(O2776,10))</f>
        <v>1.6211802664427075</v>
      </c>
      <c r="Q2776" s="8">
        <f>(3939723*100)/4442581</f>
        <v>88.680949204977921</v>
      </c>
    </row>
    <row r="2777" spans="1:17" x14ac:dyDescent="0.2">
      <c r="A2777">
        <f>YEAR(D2777)</f>
        <v>2019</v>
      </c>
      <c r="B2777" t="s">
        <v>26</v>
      </c>
      <c r="C2777" s="2" t="s">
        <v>50</v>
      </c>
      <c r="D2777" s="1">
        <v>43600</v>
      </c>
      <c r="E2777">
        <f>MONTH(D2777)</f>
        <v>5</v>
      </c>
      <c r="F2777" s="2" t="s">
        <v>19</v>
      </c>
      <c r="G2777" t="s">
        <v>362</v>
      </c>
      <c r="H2777" t="s">
        <v>2030</v>
      </c>
      <c r="I2777" t="s">
        <v>22</v>
      </c>
      <c r="J2777" s="2" t="s">
        <v>42</v>
      </c>
      <c r="K2777" s="2" t="s">
        <v>3019</v>
      </c>
      <c r="L2777" t="s">
        <v>25</v>
      </c>
      <c r="M2777" s="8">
        <v>1.4923333329999999</v>
      </c>
      <c r="N2777" t="s">
        <v>26</v>
      </c>
      <c r="O2777" s="8">
        <v>1.4923333329999999</v>
      </c>
      <c r="P2777" s="8">
        <f>EXP(-1.363+3.366*LOG(O2777,10))</f>
        <v>0.45943050733617752</v>
      </c>
      <c r="Q2777" s="8">
        <f>(4488342*100)/4914798</f>
        <v>91.323020803703429</v>
      </c>
    </row>
    <row r="2778" spans="1:17" x14ac:dyDescent="0.2">
      <c r="A2778">
        <f>YEAR(D2778)</f>
        <v>2019</v>
      </c>
      <c r="B2778" t="s">
        <v>26</v>
      </c>
      <c r="C2778" s="2" t="s">
        <v>50</v>
      </c>
      <c r="D2778" s="1">
        <v>43600</v>
      </c>
      <c r="E2778">
        <f>MONTH(D2778)</f>
        <v>5</v>
      </c>
      <c r="F2778" s="2" t="s">
        <v>19</v>
      </c>
      <c r="G2778" t="s">
        <v>362</v>
      </c>
      <c r="H2778" t="s">
        <v>447</v>
      </c>
      <c r="I2778" t="s">
        <v>22</v>
      </c>
      <c r="J2778" s="2" t="s">
        <v>42</v>
      </c>
      <c r="K2778" s="2" t="s">
        <v>3019</v>
      </c>
      <c r="L2778" t="s">
        <v>25</v>
      </c>
      <c r="M2778" s="8">
        <v>1.421</v>
      </c>
      <c r="N2778" t="s">
        <v>26</v>
      </c>
      <c r="O2778" s="8">
        <v>1.421</v>
      </c>
      <c r="P2778" s="8">
        <f>EXP(-1.363+3.366*LOG(O2778,10))</f>
        <v>0.42768500084673816</v>
      </c>
      <c r="Q2778" s="8">
        <f>(4488342*100)/4914798</f>
        <v>91.323020803703429</v>
      </c>
    </row>
    <row r="2779" spans="1:17" x14ac:dyDescent="0.2">
      <c r="A2779">
        <f>YEAR(D2779)</f>
        <v>2019</v>
      </c>
      <c r="B2779" t="s">
        <v>26</v>
      </c>
      <c r="C2779" s="2" t="s">
        <v>50</v>
      </c>
      <c r="D2779" s="1">
        <v>43600</v>
      </c>
      <c r="E2779">
        <f>MONTH(D2779)</f>
        <v>5</v>
      </c>
      <c r="F2779" s="2" t="s">
        <v>19</v>
      </c>
      <c r="G2779" t="s">
        <v>362</v>
      </c>
      <c r="H2779" t="s">
        <v>447</v>
      </c>
      <c r="I2779" t="s">
        <v>22</v>
      </c>
      <c r="J2779" s="2" t="s">
        <v>42</v>
      </c>
      <c r="K2779" s="2" t="s">
        <v>3019</v>
      </c>
      <c r="L2779" t="s">
        <v>25</v>
      </c>
      <c r="M2779" s="8">
        <v>1.421</v>
      </c>
      <c r="N2779" t="s">
        <v>26</v>
      </c>
      <c r="O2779" s="8">
        <v>1.421</v>
      </c>
      <c r="P2779" s="8">
        <f>EXP(-1.363+3.366*LOG(O2779,10))</f>
        <v>0.42768500084673816</v>
      </c>
      <c r="Q2779" s="8">
        <f>(4488342*100)/4914798</f>
        <v>91.323020803703429</v>
      </c>
    </row>
    <row r="2780" spans="1:17" x14ac:dyDescent="0.2">
      <c r="A2780">
        <f>YEAR(D2780)</f>
        <v>2019</v>
      </c>
      <c r="B2780" t="s">
        <v>26</v>
      </c>
      <c r="C2780" s="2" t="s">
        <v>50</v>
      </c>
      <c r="D2780" s="1">
        <v>43600</v>
      </c>
      <c r="E2780">
        <f>MONTH(D2780)</f>
        <v>5</v>
      </c>
      <c r="F2780" s="2" t="s">
        <v>19</v>
      </c>
      <c r="G2780" t="s">
        <v>362</v>
      </c>
      <c r="H2780" t="s">
        <v>447</v>
      </c>
      <c r="I2780" t="s">
        <v>22</v>
      </c>
      <c r="J2780" s="2" t="s">
        <v>42</v>
      </c>
      <c r="K2780" s="2" t="s">
        <v>3019</v>
      </c>
      <c r="L2780" t="s">
        <v>25</v>
      </c>
      <c r="M2780" s="8">
        <v>1.421</v>
      </c>
      <c r="N2780" t="s">
        <v>26</v>
      </c>
      <c r="O2780" s="8">
        <v>1.421</v>
      </c>
      <c r="P2780" s="8">
        <f>EXP(-1.363+3.366*LOG(O2780,10))</f>
        <v>0.42768500084673816</v>
      </c>
      <c r="Q2780" s="8">
        <f>(4488342*100)/4914798</f>
        <v>91.323020803703429</v>
      </c>
    </row>
    <row r="2781" spans="1:17" x14ac:dyDescent="0.2">
      <c r="A2781">
        <f>YEAR(D2781)</f>
        <v>2019</v>
      </c>
      <c r="B2781" t="s">
        <v>26</v>
      </c>
      <c r="C2781" s="2" t="s">
        <v>50</v>
      </c>
      <c r="D2781" s="1">
        <v>43600</v>
      </c>
      <c r="E2781">
        <f>MONTH(D2781)</f>
        <v>5</v>
      </c>
      <c r="F2781" s="2" t="s">
        <v>19</v>
      </c>
      <c r="G2781" t="s">
        <v>352</v>
      </c>
      <c r="H2781" t="s">
        <v>1459</v>
      </c>
      <c r="I2781" t="s">
        <v>22</v>
      </c>
      <c r="J2781" s="2" t="s">
        <v>42</v>
      </c>
      <c r="K2781" s="2" t="s">
        <v>3019</v>
      </c>
      <c r="L2781" t="s">
        <v>25</v>
      </c>
      <c r="M2781" s="8">
        <v>1.1910000000000001</v>
      </c>
      <c r="N2781" t="s">
        <v>26</v>
      </c>
      <c r="O2781" s="8">
        <v>1.1910000000000001</v>
      </c>
      <c r="P2781" s="8">
        <f>EXP(-1.363+3.366*LOG(O2781,10))</f>
        <v>0.33039016297752993</v>
      </c>
      <c r="Q2781" s="8">
        <f>(4488342*100)/4914798</f>
        <v>91.323020803703429</v>
      </c>
    </row>
    <row r="2782" spans="1:17" x14ac:dyDescent="0.2">
      <c r="A2782">
        <f>YEAR(D2782)</f>
        <v>2019</v>
      </c>
      <c r="B2782" t="s">
        <v>26</v>
      </c>
      <c r="C2782" s="2" t="s">
        <v>50</v>
      </c>
      <c r="D2782" s="1">
        <v>43600</v>
      </c>
      <c r="E2782">
        <f>MONTH(D2782)</f>
        <v>5</v>
      </c>
      <c r="F2782" s="2" t="s">
        <v>19</v>
      </c>
      <c r="G2782" t="s">
        <v>352</v>
      </c>
      <c r="H2782" t="s">
        <v>1459</v>
      </c>
      <c r="I2782" t="s">
        <v>22</v>
      </c>
      <c r="J2782" s="2" t="s">
        <v>42</v>
      </c>
      <c r="K2782" s="2" t="s">
        <v>3019</v>
      </c>
      <c r="L2782" t="s">
        <v>25</v>
      </c>
      <c r="M2782" s="8">
        <v>1.1910000000000001</v>
      </c>
      <c r="N2782" t="s">
        <v>26</v>
      </c>
      <c r="O2782" s="8">
        <v>1.1910000000000001</v>
      </c>
      <c r="P2782" s="8">
        <f>EXP(-1.363+3.366*LOG(O2782,10))</f>
        <v>0.33039016297752993</v>
      </c>
      <c r="Q2782" s="8">
        <f>(4488342*100)/4914798</f>
        <v>91.323020803703429</v>
      </c>
    </row>
    <row r="2783" spans="1:17" x14ac:dyDescent="0.2">
      <c r="A2783">
        <f>YEAR(D2783)</f>
        <v>2019</v>
      </c>
      <c r="B2783" t="s">
        <v>26</v>
      </c>
      <c r="C2783" s="2" t="s">
        <v>50</v>
      </c>
      <c r="D2783" s="1">
        <v>43600</v>
      </c>
      <c r="E2783">
        <f>MONTH(D2783)</f>
        <v>5</v>
      </c>
      <c r="F2783" s="2" t="s">
        <v>19</v>
      </c>
      <c r="G2783" t="s">
        <v>352</v>
      </c>
      <c r="H2783" t="s">
        <v>353</v>
      </c>
      <c r="I2783" t="s">
        <v>22</v>
      </c>
      <c r="J2783" s="2" t="s">
        <v>42</v>
      </c>
      <c r="K2783" s="2" t="s">
        <v>3019</v>
      </c>
      <c r="L2783" t="s">
        <v>25</v>
      </c>
      <c r="M2783" s="8">
        <v>1.1623333330000001</v>
      </c>
      <c r="N2783" t="s">
        <v>26</v>
      </c>
      <c r="O2783" s="8">
        <v>1.1623333330000001</v>
      </c>
      <c r="P2783" s="8">
        <f>EXP(-1.363+3.366*LOG(O2783,10))</f>
        <v>0.31883010989102206</v>
      </c>
      <c r="Q2783" s="8">
        <f>(4488342*100)/4914798</f>
        <v>91.323020803703429</v>
      </c>
    </row>
    <row r="2784" spans="1:17" x14ac:dyDescent="0.2">
      <c r="A2784">
        <f>YEAR(D2784)</f>
        <v>2019</v>
      </c>
      <c r="B2784" t="s">
        <v>26</v>
      </c>
      <c r="C2784" s="2" t="s">
        <v>50</v>
      </c>
      <c r="D2784" s="1">
        <v>43600</v>
      </c>
      <c r="E2784">
        <f>MONTH(D2784)</f>
        <v>5</v>
      </c>
      <c r="F2784" s="2" t="s">
        <v>19</v>
      </c>
      <c r="G2784" t="s">
        <v>352</v>
      </c>
      <c r="H2784" t="s">
        <v>353</v>
      </c>
      <c r="I2784" t="s">
        <v>22</v>
      </c>
      <c r="J2784" s="2" t="s">
        <v>42</v>
      </c>
      <c r="K2784" s="2" t="s">
        <v>3019</v>
      </c>
      <c r="L2784" t="s">
        <v>25</v>
      </c>
      <c r="M2784" s="8">
        <v>1.1623333330000001</v>
      </c>
      <c r="N2784" t="s">
        <v>26</v>
      </c>
      <c r="O2784" s="8">
        <v>1.1623333330000001</v>
      </c>
      <c r="P2784" s="8">
        <f>EXP(-1.363+3.366*LOG(O2784,10))</f>
        <v>0.31883010989102206</v>
      </c>
      <c r="Q2784" s="8">
        <f>(4488342*100)/4914798</f>
        <v>91.323020803703429</v>
      </c>
    </row>
    <row r="2785" spans="1:17" x14ac:dyDescent="0.2">
      <c r="A2785">
        <f>YEAR(D2785)</f>
        <v>2019</v>
      </c>
      <c r="B2785" t="s">
        <v>26</v>
      </c>
      <c r="C2785" s="2" t="s">
        <v>50</v>
      </c>
      <c r="D2785" s="1">
        <v>43600</v>
      </c>
      <c r="E2785">
        <f>MONTH(D2785)</f>
        <v>5</v>
      </c>
      <c r="F2785" s="2" t="s">
        <v>19</v>
      </c>
      <c r="G2785" t="s">
        <v>352</v>
      </c>
      <c r="H2785" t="s">
        <v>610</v>
      </c>
      <c r="I2785" t="s">
        <v>22</v>
      </c>
      <c r="J2785" s="2" t="s">
        <v>42</v>
      </c>
      <c r="K2785" s="2" t="s">
        <v>3019</v>
      </c>
      <c r="L2785" t="s">
        <v>25</v>
      </c>
      <c r="M2785" s="8">
        <v>0.86499999999999999</v>
      </c>
      <c r="N2785" t="s">
        <v>26</v>
      </c>
      <c r="O2785" s="8">
        <v>0.86499999999999999</v>
      </c>
      <c r="P2785" s="8">
        <f>EXP(-1.363+3.366*LOG(O2785,10))</f>
        <v>0.20700676972346591</v>
      </c>
      <c r="Q2785" s="8">
        <f>(4488342*100)/4914798</f>
        <v>91.323020803703429</v>
      </c>
    </row>
    <row r="2786" spans="1:17" x14ac:dyDescent="0.2">
      <c r="A2786">
        <f>YEAR(D2786)</f>
        <v>2019</v>
      </c>
      <c r="B2786" t="s">
        <v>26</v>
      </c>
      <c r="C2786" s="2" t="s">
        <v>50</v>
      </c>
      <c r="D2786" s="1">
        <v>43600</v>
      </c>
      <c r="E2786">
        <f>MONTH(D2786)</f>
        <v>5</v>
      </c>
      <c r="F2786" s="2" t="s">
        <v>19</v>
      </c>
      <c r="G2786" t="s">
        <v>352</v>
      </c>
      <c r="H2786" t="s">
        <v>1344</v>
      </c>
      <c r="I2786" t="s">
        <v>22</v>
      </c>
      <c r="J2786" s="2" t="s">
        <v>42</v>
      </c>
      <c r="K2786" s="2" t="s">
        <v>3019</v>
      </c>
      <c r="L2786" t="s">
        <v>25</v>
      </c>
      <c r="M2786" s="8">
        <v>0.91800000000000004</v>
      </c>
      <c r="N2786" t="s">
        <v>26</v>
      </c>
      <c r="O2786" s="8">
        <v>0.91800000000000004</v>
      </c>
      <c r="P2786" s="8">
        <f>EXP(-1.363+3.366*LOG(O2786,10))</f>
        <v>0.22580769814771504</v>
      </c>
      <c r="Q2786" s="8">
        <f>(4488342*100)/4914798</f>
        <v>91.323020803703429</v>
      </c>
    </row>
    <row r="2787" spans="1:17" x14ac:dyDescent="0.2">
      <c r="A2787">
        <f>YEAR(D2787)</f>
        <v>2019</v>
      </c>
      <c r="B2787" t="s">
        <v>26</v>
      </c>
      <c r="C2787" s="2" t="s">
        <v>50</v>
      </c>
      <c r="D2787" s="1">
        <v>43600</v>
      </c>
      <c r="E2787">
        <f>MONTH(D2787)</f>
        <v>5</v>
      </c>
      <c r="F2787" s="2" t="s">
        <v>19</v>
      </c>
      <c r="G2787" t="s">
        <v>352</v>
      </c>
      <c r="H2787" t="s">
        <v>1344</v>
      </c>
      <c r="I2787" t="s">
        <v>22</v>
      </c>
      <c r="J2787" s="2" t="s">
        <v>42</v>
      </c>
      <c r="K2787" s="2" t="s">
        <v>3019</v>
      </c>
      <c r="L2787" t="s">
        <v>25</v>
      </c>
      <c r="M2787" s="8">
        <v>0.91800000000000004</v>
      </c>
      <c r="N2787" t="s">
        <v>26</v>
      </c>
      <c r="O2787" s="8">
        <v>0.91800000000000004</v>
      </c>
      <c r="P2787" s="8">
        <f>EXP(-1.363+3.366*LOG(O2787,10))</f>
        <v>0.22580769814771504</v>
      </c>
      <c r="Q2787" s="8">
        <f>(4488342*100)/4914798</f>
        <v>91.323020803703429</v>
      </c>
    </row>
    <row r="2788" spans="1:17" x14ac:dyDescent="0.2">
      <c r="A2788">
        <f>YEAR(D2788)</f>
        <v>2019</v>
      </c>
      <c r="B2788" t="s">
        <v>26</v>
      </c>
      <c r="C2788" s="2" t="s">
        <v>50</v>
      </c>
      <c r="D2788" s="1">
        <v>43600</v>
      </c>
      <c r="E2788">
        <f>MONTH(D2788)</f>
        <v>5</v>
      </c>
      <c r="F2788" s="2" t="s">
        <v>19</v>
      </c>
      <c r="G2788" t="s">
        <v>352</v>
      </c>
      <c r="H2788" t="s">
        <v>1344</v>
      </c>
      <c r="I2788" t="s">
        <v>22</v>
      </c>
      <c r="J2788" s="2" t="s">
        <v>42</v>
      </c>
      <c r="K2788" s="2" t="s">
        <v>3019</v>
      </c>
      <c r="L2788" t="s">
        <v>25</v>
      </c>
      <c r="M2788" s="8">
        <v>0.91800000000000004</v>
      </c>
      <c r="N2788" t="s">
        <v>26</v>
      </c>
      <c r="O2788" s="8">
        <v>0.91800000000000004</v>
      </c>
      <c r="P2788" s="8">
        <f>EXP(-1.363+3.366*LOG(O2788,10))</f>
        <v>0.22580769814771504</v>
      </c>
      <c r="Q2788" s="8">
        <f>(4488342*100)/4914798</f>
        <v>91.323020803703429</v>
      </c>
    </row>
    <row r="2789" spans="1:17" x14ac:dyDescent="0.2">
      <c r="A2789">
        <f>YEAR(D2789)</f>
        <v>2019</v>
      </c>
      <c r="B2789" t="s">
        <v>26</v>
      </c>
      <c r="C2789" s="2" t="s">
        <v>3018</v>
      </c>
      <c r="D2789" s="1">
        <v>43601</v>
      </c>
      <c r="E2789">
        <f>MONTH(D2789)</f>
        <v>5</v>
      </c>
      <c r="F2789" s="2" t="s">
        <v>19</v>
      </c>
      <c r="G2789" t="s">
        <v>352</v>
      </c>
      <c r="H2789" t="s">
        <v>353</v>
      </c>
      <c r="I2789" t="s">
        <v>22</v>
      </c>
      <c r="J2789" s="2" t="s">
        <v>42</v>
      </c>
      <c r="K2789" s="2" t="s">
        <v>3019</v>
      </c>
      <c r="L2789" t="s">
        <v>25</v>
      </c>
      <c r="M2789" s="8">
        <v>1.1623333330000001</v>
      </c>
      <c r="N2789" t="s">
        <v>26</v>
      </c>
      <c r="O2789" s="8">
        <v>1.1623333330000001</v>
      </c>
      <c r="P2789" s="8">
        <f>EXP(-1.363+3.366*LOG(O2789,10))</f>
        <v>0.31883010989102206</v>
      </c>
      <c r="Q2789" s="8">
        <f>(5996898*100)/6073515</f>
        <v>98.738506449724753</v>
      </c>
    </row>
    <row r="2790" spans="1:17" x14ac:dyDescent="0.2">
      <c r="A2790">
        <f>YEAR(D2790)</f>
        <v>2019</v>
      </c>
      <c r="B2790" t="s">
        <v>26</v>
      </c>
      <c r="C2790" s="2" t="s">
        <v>3018</v>
      </c>
      <c r="D2790" s="1">
        <v>43601</v>
      </c>
      <c r="E2790">
        <f>MONTH(D2790)</f>
        <v>5</v>
      </c>
      <c r="F2790" s="2" t="s">
        <v>19</v>
      </c>
      <c r="G2790" t="s">
        <v>352</v>
      </c>
      <c r="H2790" t="s">
        <v>1585</v>
      </c>
      <c r="I2790" t="s">
        <v>22</v>
      </c>
      <c r="J2790" s="2" t="s">
        <v>42</v>
      </c>
      <c r="K2790" s="2" t="s">
        <v>3019</v>
      </c>
      <c r="L2790" t="s">
        <v>25</v>
      </c>
      <c r="M2790" s="8">
        <v>0.77266666699999997</v>
      </c>
      <c r="N2790" t="s">
        <v>26</v>
      </c>
      <c r="O2790" s="8">
        <v>0.77266666699999997</v>
      </c>
      <c r="P2790" s="8">
        <f>EXP(-1.363+3.366*LOG(O2790,10))</f>
        <v>0.17551718302452865</v>
      </c>
      <c r="Q2790" s="8">
        <f>(5996898*100)/6073515</f>
        <v>98.738506449724753</v>
      </c>
    </row>
    <row r="2791" spans="1:17" x14ac:dyDescent="0.2">
      <c r="A2791">
        <f>YEAR(D2791)</f>
        <v>2019</v>
      </c>
      <c r="B2791" t="s">
        <v>26</v>
      </c>
      <c r="C2791" s="2" t="s">
        <v>3018</v>
      </c>
      <c r="D2791" s="1">
        <v>43601</v>
      </c>
      <c r="E2791">
        <f>MONTH(D2791)</f>
        <v>5</v>
      </c>
      <c r="F2791" s="2" t="s">
        <v>19</v>
      </c>
      <c r="G2791" t="s">
        <v>352</v>
      </c>
      <c r="H2791" t="s">
        <v>1344</v>
      </c>
      <c r="I2791" t="s">
        <v>22</v>
      </c>
      <c r="J2791" s="2" t="s">
        <v>42</v>
      </c>
      <c r="K2791" s="2" t="s">
        <v>3019</v>
      </c>
      <c r="L2791" t="s">
        <v>25</v>
      </c>
      <c r="M2791" s="8">
        <v>0.91800000000000004</v>
      </c>
      <c r="N2791" t="s">
        <v>26</v>
      </c>
      <c r="O2791" s="8">
        <v>0.91800000000000004</v>
      </c>
      <c r="P2791" s="8">
        <f>EXP(-1.363+3.366*LOG(O2791,10))</f>
        <v>0.22580769814771504</v>
      </c>
      <c r="Q2791" s="8">
        <f>(5996898*100)/6073515</f>
        <v>98.738506449724753</v>
      </c>
    </row>
    <row r="2792" spans="1:17" x14ac:dyDescent="0.2">
      <c r="A2792">
        <f>YEAR(D2792)</f>
        <v>2019</v>
      </c>
      <c r="B2792" t="s">
        <v>26</v>
      </c>
      <c r="C2792" s="2" t="s">
        <v>3018</v>
      </c>
      <c r="D2792" s="1">
        <v>43601</v>
      </c>
      <c r="E2792">
        <f>MONTH(D2792)</f>
        <v>5</v>
      </c>
      <c r="F2792" s="2" t="s">
        <v>19</v>
      </c>
      <c r="G2792" t="s">
        <v>352</v>
      </c>
      <c r="H2792" t="s">
        <v>353</v>
      </c>
      <c r="I2792" t="s">
        <v>22</v>
      </c>
      <c r="J2792" s="2" t="s">
        <v>42</v>
      </c>
      <c r="K2792" s="2" t="s">
        <v>3019</v>
      </c>
      <c r="L2792" t="s">
        <v>25</v>
      </c>
      <c r="M2792" s="8">
        <v>1.1623333330000001</v>
      </c>
      <c r="N2792" t="s">
        <v>26</v>
      </c>
      <c r="O2792" s="8">
        <v>1.1623333330000001</v>
      </c>
      <c r="P2792" s="8">
        <f>EXP(-1.363+3.366*LOG(O2792,10))</f>
        <v>0.31883010989102206</v>
      </c>
      <c r="Q2792" s="8">
        <f>(5996898*100)/6073515</f>
        <v>98.738506449724753</v>
      </c>
    </row>
    <row r="2793" spans="1:17" x14ac:dyDescent="0.2">
      <c r="A2793">
        <f>YEAR(D2793)</f>
        <v>2019</v>
      </c>
      <c r="B2793" t="s">
        <v>26</v>
      </c>
      <c r="C2793" s="2" t="s">
        <v>3018</v>
      </c>
      <c r="D2793" s="1">
        <v>43601</v>
      </c>
      <c r="E2793">
        <f>MONTH(D2793)</f>
        <v>5</v>
      </c>
      <c r="F2793" s="2" t="s">
        <v>19</v>
      </c>
      <c r="G2793" t="s">
        <v>352</v>
      </c>
      <c r="H2793" t="s">
        <v>1344</v>
      </c>
      <c r="I2793" t="s">
        <v>22</v>
      </c>
      <c r="J2793" s="2" t="s">
        <v>42</v>
      </c>
      <c r="K2793" s="2" t="s">
        <v>3019</v>
      </c>
      <c r="L2793" t="s">
        <v>25</v>
      </c>
      <c r="M2793" s="8">
        <v>0.91800000000000004</v>
      </c>
      <c r="N2793" t="s">
        <v>26</v>
      </c>
      <c r="O2793" s="8">
        <v>0.91800000000000004</v>
      </c>
      <c r="P2793" s="8">
        <f>EXP(-1.363+3.366*LOG(O2793,10))</f>
        <v>0.22580769814771504</v>
      </c>
      <c r="Q2793" s="8">
        <f>(5996898*100)/6073515</f>
        <v>98.738506449724753</v>
      </c>
    </row>
    <row r="2794" spans="1:17" x14ac:dyDescent="0.2">
      <c r="A2794">
        <f>YEAR(D2794)</f>
        <v>2019</v>
      </c>
      <c r="B2794" t="s">
        <v>26</v>
      </c>
      <c r="C2794" s="2" t="s">
        <v>3018</v>
      </c>
      <c r="D2794" s="1">
        <v>43601</v>
      </c>
      <c r="E2794">
        <f>MONTH(D2794)</f>
        <v>5</v>
      </c>
      <c r="F2794" s="2" t="s">
        <v>19</v>
      </c>
      <c r="G2794" t="s">
        <v>352</v>
      </c>
      <c r="H2794" t="s">
        <v>353</v>
      </c>
      <c r="I2794" t="s">
        <v>22</v>
      </c>
      <c r="J2794" s="2" t="s">
        <v>42</v>
      </c>
      <c r="K2794" s="2" t="s">
        <v>3019</v>
      </c>
      <c r="L2794" t="s">
        <v>25</v>
      </c>
      <c r="M2794" s="8">
        <v>1.1623333330000001</v>
      </c>
      <c r="N2794" t="s">
        <v>26</v>
      </c>
      <c r="O2794" s="8">
        <v>1.1623333330000001</v>
      </c>
      <c r="P2794" s="8">
        <f>EXP(-1.363+3.366*LOG(O2794,10))</f>
        <v>0.31883010989102206</v>
      </c>
      <c r="Q2794" s="8">
        <f>(5996898*100)/6073515</f>
        <v>98.738506449724753</v>
      </c>
    </row>
    <row r="2795" spans="1:17" x14ac:dyDescent="0.2">
      <c r="A2795">
        <f>YEAR(D2795)</f>
        <v>2019</v>
      </c>
      <c r="B2795" t="s">
        <v>26</v>
      </c>
      <c r="C2795" s="2" t="s">
        <v>3018</v>
      </c>
      <c r="D2795" s="1">
        <v>43601</v>
      </c>
      <c r="E2795">
        <f>MONTH(D2795)</f>
        <v>5</v>
      </c>
      <c r="F2795" s="2" t="s">
        <v>19</v>
      </c>
      <c r="G2795" t="s">
        <v>352</v>
      </c>
      <c r="H2795" t="s">
        <v>975</v>
      </c>
      <c r="I2795" t="s">
        <v>22</v>
      </c>
      <c r="J2795" s="2" t="s">
        <v>42</v>
      </c>
      <c r="K2795" s="2" t="s">
        <v>3019</v>
      </c>
      <c r="L2795" t="s">
        <v>25</v>
      </c>
      <c r="M2795" s="8">
        <v>1.0693333330000001</v>
      </c>
      <c r="N2795" t="s">
        <v>26</v>
      </c>
      <c r="O2795" s="8">
        <v>1.0693333330000001</v>
      </c>
      <c r="P2795" s="8">
        <f>EXP(-1.363+3.366*LOG(O2795,10))</f>
        <v>0.28223780327142356</v>
      </c>
      <c r="Q2795" s="8">
        <f>(5996898*100)/6073515</f>
        <v>98.738506449724753</v>
      </c>
    </row>
    <row r="2796" spans="1:17" x14ac:dyDescent="0.2">
      <c r="A2796">
        <f>YEAR(D2796)</f>
        <v>2019</v>
      </c>
      <c r="B2796" t="s">
        <v>26</v>
      </c>
      <c r="C2796" s="2" t="s">
        <v>3018</v>
      </c>
      <c r="D2796" s="1">
        <v>43601</v>
      </c>
      <c r="E2796">
        <f>MONTH(D2796)</f>
        <v>5</v>
      </c>
      <c r="F2796" s="2" t="s">
        <v>19</v>
      </c>
      <c r="G2796" t="s">
        <v>352</v>
      </c>
      <c r="H2796" t="s">
        <v>353</v>
      </c>
      <c r="I2796" t="s">
        <v>22</v>
      </c>
      <c r="J2796" s="2" t="s">
        <v>42</v>
      </c>
      <c r="K2796" s="2" t="s">
        <v>3019</v>
      </c>
      <c r="L2796" t="s">
        <v>25</v>
      </c>
      <c r="M2796" s="8">
        <v>1.1623333330000001</v>
      </c>
      <c r="N2796" t="s">
        <v>26</v>
      </c>
      <c r="O2796" s="8">
        <v>1.1623333330000001</v>
      </c>
      <c r="P2796" s="8">
        <f>EXP(-1.363+3.366*LOG(O2796,10))</f>
        <v>0.31883010989102206</v>
      </c>
      <c r="Q2796" s="8">
        <f>(5996898*100)/6073515</f>
        <v>98.738506449724753</v>
      </c>
    </row>
    <row r="2797" spans="1:17" x14ac:dyDescent="0.2">
      <c r="A2797">
        <f>YEAR(D2797)</f>
        <v>2019</v>
      </c>
      <c r="B2797" t="s">
        <v>26</v>
      </c>
      <c r="C2797" s="2" t="s">
        <v>3018</v>
      </c>
      <c r="D2797" s="1">
        <v>43601</v>
      </c>
      <c r="E2797">
        <f>MONTH(D2797)</f>
        <v>5</v>
      </c>
      <c r="F2797" s="2" t="s">
        <v>19</v>
      </c>
      <c r="G2797" t="s">
        <v>219</v>
      </c>
      <c r="H2797" t="s">
        <v>220</v>
      </c>
      <c r="I2797" t="s">
        <v>22</v>
      </c>
      <c r="J2797" s="2" t="s">
        <v>42</v>
      </c>
      <c r="K2797" s="2" t="s">
        <v>3019</v>
      </c>
      <c r="L2797" t="s">
        <v>25</v>
      </c>
      <c r="M2797" s="10" t="s">
        <v>26</v>
      </c>
      <c r="N2797" t="s">
        <v>26</v>
      </c>
      <c r="O2797" s="10" t="s">
        <v>26</v>
      </c>
      <c r="P2797" s="8" t="s">
        <v>26</v>
      </c>
      <c r="Q2797" s="8">
        <f>(5996898*100)/6073515</f>
        <v>98.738506449724753</v>
      </c>
    </row>
    <row r="2798" spans="1:17" x14ac:dyDescent="0.2">
      <c r="A2798">
        <f>YEAR(D2798)</f>
        <v>2019</v>
      </c>
      <c r="B2798" t="s">
        <v>26</v>
      </c>
      <c r="C2798" s="2" t="s">
        <v>3018</v>
      </c>
      <c r="D2798" s="1">
        <v>43601</v>
      </c>
      <c r="E2798">
        <f>MONTH(D2798)</f>
        <v>5</v>
      </c>
      <c r="F2798" s="2" t="s">
        <v>19</v>
      </c>
      <c r="G2798" t="s">
        <v>352</v>
      </c>
      <c r="H2798" t="s">
        <v>1142</v>
      </c>
      <c r="I2798" t="s">
        <v>22</v>
      </c>
      <c r="J2798" s="2" t="s">
        <v>42</v>
      </c>
      <c r="K2798" s="2" t="s">
        <v>3019</v>
      </c>
      <c r="L2798" t="s">
        <v>25</v>
      </c>
      <c r="M2798" s="8">
        <v>1.1423333330000001</v>
      </c>
      <c r="N2798" t="s">
        <v>26</v>
      </c>
      <c r="O2798" s="8">
        <v>1.1423333330000001</v>
      </c>
      <c r="P2798" s="8">
        <f>EXP(-1.363+3.366*LOG(O2798,10))</f>
        <v>0.31084239358261528</v>
      </c>
      <c r="Q2798" s="8">
        <f>(5996898*100)/6073515</f>
        <v>98.738506449724753</v>
      </c>
    </row>
    <row r="2799" spans="1:17" x14ac:dyDescent="0.2">
      <c r="A2799">
        <f>YEAR(D2799)</f>
        <v>2019</v>
      </c>
      <c r="B2799" t="s">
        <v>26</v>
      </c>
      <c r="C2799" s="2" t="s">
        <v>3018</v>
      </c>
      <c r="D2799" s="1">
        <v>43601</v>
      </c>
      <c r="E2799">
        <f>MONTH(D2799)</f>
        <v>5</v>
      </c>
      <c r="F2799" s="2" t="s">
        <v>19</v>
      </c>
      <c r="G2799" t="s">
        <v>352</v>
      </c>
      <c r="H2799" t="s">
        <v>1344</v>
      </c>
      <c r="I2799" t="s">
        <v>22</v>
      </c>
      <c r="J2799" s="2" t="s">
        <v>42</v>
      </c>
      <c r="K2799" s="2" t="s">
        <v>3019</v>
      </c>
      <c r="L2799" t="s">
        <v>25</v>
      </c>
      <c r="M2799" s="8">
        <v>0.91800000000000004</v>
      </c>
      <c r="N2799" t="s">
        <v>26</v>
      </c>
      <c r="O2799" s="8">
        <v>0.91800000000000004</v>
      </c>
      <c r="P2799" s="8">
        <f>EXP(-1.363+3.366*LOG(O2799,10))</f>
        <v>0.22580769814771504</v>
      </c>
      <c r="Q2799" s="8">
        <f>(5996898*100)/6073515</f>
        <v>98.738506449724753</v>
      </c>
    </row>
    <row r="2800" spans="1:17" x14ac:dyDescent="0.2">
      <c r="A2800">
        <f>YEAR(D2800)</f>
        <v>2019</v>
      </c>
      <c r="B2800" t="s">
        <v>26</v>
      </c>
      <c r="C2800" s="2" t="s">
        <v>3018</v>
      </c>
      <c r="D2800" s="1">
        <v>43601</v>
      </c>
      <c r="E2800">
        <f>MONTH(D2800)</f>
        <v>5</v>
      </c>
      <c r="F2800" s="2" t="s">
        <v>19</v>
      </c>
      <c r="G2800" t="s">
        <v>352</v>
      </c>
      <c r="H2800" t="s">
        <v>353</v>
      </c>
      <c r="I2800" t="s">
        <v>22</v>
      </c>
      <c r="J2800" s="2" t="s">
        <v>42</v>
      </c>
      <c r="K2800" s="2" t="s">
        <v>3019</v>
      </c>
      <c r="L2800" t="s">
        <v>25</v>
      </c>
      <c r="M2800" s="8">
        <v>1.1623333330000001</v>
      </c>
      <c r="N2800" t="s">
        <v>26</v>
      </c>
      <c r="O2800" s="8">
        <v>1.1623333330000001</v>
      </c>
      <c r="P2800" s="8">
        <f>EXP(-1.363+3.366*LOG(O2800,10))</f>
        <v>0.31883010989102206</v>
      </c>
      <c r="Q2800" s="8">
        <f>(5996898*100)/6073515</f>
        <v>98.738506449724753</v>
      </c>
    </row>
    <row r="2801" spans="1:17" x14ac:dyDescent="0.2">
      <c r="A2801">
        <f>YEAR(D2801)</f>
        <v>2019</v>
      </c>
      <c r="B2801" t="s">
        <v>26</v>
      </c>
      <c r="C2801" s="2" t="s">
        <v>3018</v>
      </c>
      <c r="D2801" s="1">
        <v>43601</v>
      </c>
      <c r="E2801">
        <f>MONTH(D2801)</f>
        <v>5</v>
      </c>
      <c r="F2801" s="2" t="s">
        <v>19</v>
      </c>
      <c r="G2801" t="s">
        <v>352</v>
      </c>
      <c r="H2801" t="s">
        <v>1344</v>
      </c>
      <c r="I2801" t="s">
        <v>22</v>
      </c>
      <c r="J2801" s="2" t="s">
        <v>42</v>
      </c>
      <c r="K2801" s="2" t="s">
        <v>3019</v>
      </c>
      <c r="L2801" t="s">
        <v>25</v>
      </c>
      <c r="M2801" s="8">
        <v>0.91800000000000004</v>
      </c>
      <c r="N2801" t="s">
        <v>26</v>
      </c>
      <c r="O2801" s="8">
        <v>0.91800000000000004</v>
      </c>
      <c r="P2801" s="8">
        <f>EXP(-1.363+3.366*LOG(O2801,10))</f>
        <v>0.22580769814771504</v>
      </c>
      <c r="Q2801" s="8">
        <f>(5996898*100)/6073515</f>
        <v>98.738506449724753</v>
      </c>
    </row>
    <row r="2802" spans="1:17" x14ac:dyDescent="0.2">
      <c r="A2802">
        <f>YEAR(D2802)</f>
        <v>2019</v>
      </c>
      <c r="B2802" t="s">
        <v>26</v>
      </c>
      <c r="C2802" s="2" t="s">
        <v>3018</v>
      </c>
      <c r="D2802" s="1">
        <v>43601</v>
      </c>
      <c r="E2802">
        <f>MONTH(D2802)</f>
        <v>5</v>
      </c>
      <c r="F2802" s="2" t="s">
        <v>19</v>
      </c>
      <c r="G2802" t="s">
        <v>352</v>
      </c>
      <c r="H2802" t="s">
        <v>353</v>
      </c>
      <c r="I2802" t="s">
        <v>22</v>
      </c>
      <c r="J2802" s="2" t="s">
        <v>42</v>
      </c>
      <c r="K2802" s="2" t="s">
        <v>3019</v>
      </c>
      <c r="L2802" t="s">
        <v>25</v>
      </c>
      <c r="M2802" s="8">
        <v>1.1623333330000001</v>
      </c>
      <c r="N2802" t="s">
        <v>26</v>
      </c>
      <c r="O2802" s="8">
        <v>1.1623333330000001</v>
      </c>
      <c r="P2802" s="8">
        <f>EXP(-1.363+3.366*LOG(O2802,10))</f>
        <v>0.31883010989102206</v>
      </c>
      <c r="Q2802" s="8">
        <f>(5996898*100)/6073515</f>
        <v>98.738506449724753</v>
      </c>
    </row>
    <row r="2803" spans="1:17" x14ac:dyDescent="0.2">
      <c r="A2803">
        <f>YEAR(D2803)</f>
        <v>2019</v>
      </c>
      <c r="B2803" t="s">
        <v>26</v>
      </c>
      <c r="C2803" s="2" t="s">
        <v>3018</v>
      </c>
      <c r="D2803" s="1">
        <v>43601</v>
      </c>
      <c r="E2803">
        <f>MONTH(D2803)</f>
        <v>5</v>
      </c>
      <c r="F2803" s="2" t="s">
        <v>19</v>
      </c>
      <c r="G2803" t="s">
        <v>352</v>
      </c>
      <c r="H2803" t="s">
        <v>1344</v>
      </c>
      <c r="I2803" t="s">
        <v>22</v>
      </c>
      <c r="J2803" s="2" t="s">
        <v>42</v>
      </c>
      <c r="K2803" s="2" t="s">
        <v>3019</v>
      </c>
      <c r="L2803" t="s">
        <v>25</v>
      </c>
      <c r="M2803" s="8">
        <v>0.91800000000000004</v>
      </c>
      <c r="N2803" t="s">
        <v>26</v>
      </c>
      <c r="O2803" s="8">
        <v>0.91800000000000004</v>
      </c>
      <c r="P2803" s="8">
        <f>EXP(-1.363+3.366*LOG(O2803,10))</f>
        <v>0.22580769814771504</v>
      </c>
      <c r="Q2803" s="8">
        <f>(5996898*100)/6073515</f>
        <v>98.738506449724753</v>
      </c>
    </row>
    <row r="2804" spans="1:17" x14ac:dyDescent="0.2">
      <c r="A2804">
        <f>YEAR(D2804)</f>
        <v>2019</v>
      </c>
      <c r="B2804" t="s">
        <v>26</v>
      </c>
      <c r="C2804" s="2" t="s">
        <v>3018</v>
      </c>
      <c r="D2804" s="1">
        <v>43601</v>
      </c>
      <c r="E2804">
        <f>MONTH(D2804)</f>
        <v>5</v>
      </c>
      <c r="F2804" s="2" t="s">
        <v>19</v>
      </c>
      <c r="G2804" t="s">
        <v>352</v>
      </c>
      <c r="H2804" t="s">
        <v>975</v>
      </c>
      <c r="I2804" t="s">
        <v>22</v>
      </c>
      <c r="J2804" s="2" t="s">
        <v>42</v>
      </c>
      <c r="K2804" s="2" t="s">
        <v>3019</v>
      </c>
      <c r="L2804" t="s">
        <v>25</v>
      </c>
      <c r="M2804" s="8">
        <v>1.0693333330000001</v>
      </c>
      <c r="N2804" t="s">
        <v>26</v>
      </c>
      <c r="O2804" s="8">
        <v>1.0693333330000001</v>
      </c>
      <c r="P2804" s="8">
        <f>EXP(-1.363+3.366*LOG(O2804,10))</f>
        <v>0.28223780327142356</v>
      </c>
      <c r="Q2804" s="8">
        <f>(5996898*100)/6073515</f>
        <v>98.738506449724753</v>
      </c>
    </row>
    <row r="2805" spans="1:17" x14ac:dyDescent="0.2">
      <c r="A2805">
        <f>YEAR(D2805)</f>
        <v>2019</v>
      </c>
      <c r="B2805" t="s">
        <v>26</v>
      </c>
      <c r="C2805" s="2" t="s">
        <v>3018</v>
      </c>
      <c r="D2805" s="1">
        <v>43601</v>
      </c>
      <c r="E2805">
        <f>MONTH(D2805)</f>
        <v>5</v>
      </c>
      <c r="F2805" s="2" t="s">
        <v>19</v>
      </c>
      <c r="G2805" t="s">
        <v>352</v>
      </c>
      <c r="H2805" t="s">
        <v>353</v>
      </c>
      <c r="I2805" t="s">
        <v>22</v>
      </c>
      <c r="J2805" s="2" t="s">
        <v>42</v>
      </c>
      <c r="K2805" s="2" t="s">
        <v>3019</v>
      </c>
      <c r="L2805" t="s">
        <v>25</v>
      </c>
      <c r="M2805" s="8">
        <v>1.1623333330000001</v>
      </c>
      <c r="N2805" t="s">
        <v>26</v>
      </c>
      <c r="O2805" s="8">
        <v>1.1623333330000001</v>
      </c>
      <c r="P2805" s="8">
        <f>EXP(-1.363+3.366*LOG(O2805,10))</f>
        <v>0.31883010989102206</v>
      </c>
      <c r="Q2805" s="8">
        <f>(5996898*100)/6073515</f>
        <v>98.738506449724753</v>
      </c>
    </row>
    <row r="2806" spans="1:17" x14ac:dyDescent="0.2">
      <c r="A2806">
        <f>YEAR(D2806)</f>
        <v>2019</v>
      </c>
      <c r="B2806" t="s">
        <v>26</v>
      </c>
      <c r="C2806" s="2" t="s">
        <v>3018</v>
      </c>
      <c r="D2806" s="1">
        <v>43601</v>
      </c>
      <c r="E2806">
        <f>MONTH(D2806)</f>
        <v>5</v>
      </c>
      <c r="F2806" s="2" t="s">
        <v>19</v>
      </c>
      <c r="G2806" t="s">
        <v>352</v>
      </c>
      <c r="H2806" t="s">
        <v>1344</v>
      </c>
      <c r="I2806" t="s">
        <v>22</v>
      </c>
      <c r="J2806" s="2" t="s">
        <v>42</v>
      </c>
      <c r="K2806" s="2" t="s">
        <v>3019</v>
      </c>
      <c r="L2806" t="s">
        <v>25</v>
      </c>
      <c r="M2806" s="8">
        <v>0.91800000000000004</v>
      </c>
      <c r="N2806" t="s">
        <v>26</v>
      </c>
      <c r="O2806" s="8">
        <v>0.91800000000000004</v>
      </c>
      <c r="P2806" s="8">
        <f>EXP(-1.363+3.366*LOG(O2806,10))</f>
        <v>0.22580769814771504</v>
      </c>
      <c r="Q2806" s="8">
        <f>(5996898*100)/6073515</f>
        <v>98.738506449724753</v>
      </c>
    </row>
    <row r="2807" spans="1:17" x14ac:dyDescent="0.2">
      <c r="A2807">
        <f>YEAR(D2807)</f>
        <v>2019</v>
      </c>
      <c r="B2807" t="s">
        <v>26</v>
      </c>
      <c r="C2807" s="2" t="s">
        <v>3018</v>
      </c>
      <c r="D2807" s="1">
        <v>43601</v>
      </c>
      <c r="E2807">
        <f>MONTH(D2807)</f>
        <v>5</v>
      </c>
      <c r="F2807" s="2" t="s">
        <v>19</v>
      </c>
      <c r="G2807" t="s">
        <v>219</v>
      </c>
      <c r="H2807" t="s">
        <v>220</v>
      </c>
      <c r="I2807" t="s">
        <v>22</v>
      </c>
      <c r="J2807" s="2" t="s">
        <v>42</v>
      </c>
      <c r="K2807" s="2" t="s">
        <v>3019</v>
      </c>
      <c r="L2807" t="s">
        <v>25</v>
      </c>
      <c r="M2807" s="10" t="s">
        <v>26</v>
      </c>
      <c r="N2807" t="s">
        <v>26</v>
      </c>
      <c r="O2807" s="10" t="s">
        <v>26</v>
      </c>
      <c r="P2807" s="8" t="s">
        <v>26</v>
      </c>
      <c r="Q2807" s="8">
        <f>(5996898*100)/6073515</f>
        <v>98.738506449724753</v>
      </c>
    </row>
    <row r="2808" spans="1:17" x14ac:dyDescent="0.2">
      <c r="A2808">
        <f>YEAR(D2808)</f>
        <v>2019</v>
      </c>
      <c r="B2808" t="s">
        <v>26</v>
      </c>
      <c r="C2808" s="2" t="s">
        <v>3018</v>
      </c>
      <c r="D2808" s="1">
        <v>43601</v>
      </c>
      <c r="E2808">
        <f>MONTH(D2808)</f>
        <v>5</v>
      </c>
      <c r="F2808" s="2" t="s">
        <v>19</v>
      </c>
      <c r="G2808" t="s">
        <v>352</v>
      </c>
      <c r="H2808" t="s">
        <v>623</v>
      </c>
      <c r="I2808" t="s">
        <v>22</v>
      </c>
      <c r="J2808" s="2" t="s">
        <v>42</v>
      </c>
      <c r="K2808" s="2" t="s">
        <v>3019</v>
      </c>
      <c r="L2808" t="s">
        <v>25</v>
      </c>
      <c r="M2808" s="8">
        <v>1.387</v>
      </c>
      <c r="N2808" t="s">
        <v>26</v>
      </c>
      <c r="O2808" s="8">
        <v>1.387</v>
      </c>
      <c r="P2808" s="8">
        <f>EXP(-1.363+3.366*LOG(O2808,10))</f>
        <v>0.41280884754947733</v>
      </c>
      <c r="Q2808" s="8">
        <f>(5996898*100)/6073515</f>
        <v>98.738506449724753</v>
      </c>
    </row>
    <row r="2809" spans="1:17" x14ac:dyDescent="0.2">
      <c r="A2809">
        <f>YEAR(D2809)</f>
        <v>2019</v>
      </c>
      <c r="B2809" t="s">
        <v>26</v>
      </c>
      <c r="C2809" s="2" t="s">
        <v>3018</v>
      </c>
      <c r="D2809" s="1">
        <v>43601</v>
      </c>
      <c r="E2809">
        <f>MONTH(D2809)</f>
        <v>5</v>
      </c>
      <c r="F2809" s="2" t="s">
        <v>19</v>
      </c>
      <c r="G2809" s="2" t="s">
        <v>20</v>
      </c>
      <c r="H2809" t="s">
        <v>3053</v>
      </c>
      <c r="I2809" t="s">
        <v>22</v>
      </c>
      <c r="J2809" s="2" t="s">
        <v>42</v>
      </c>
      <c r="K2809" s="2" t="s">
        <v>3019</v>
      </c>
      <c r="L2809" t="s">
        <v>187</v>
      </c>
      <c r="M2809" s="8">
        <v>1.3935</v>
      </c>
      <c r="N2809" t="s">
        <v>26</v>
      </c>
      <c r="O2809" s="8">
        <v>1.3935</v>
      </c>
      <c r="P2809" s="8">
        <f>EXP(-1.363+3.366*LOG(O2809,10))</f>
        <v>0.41563993735545557</v>
      </c>
      <c r="Q2809" s="8">
        <f>(5996898*100)/6073515</f>
        <v>98.738506449724753</v>
      </c>
    </row>
    <row r="2810" spans="1:17" x14ac:dyDescent="0.2">
      <c r="A2810">
        <f>YEAR(D2810)</f>
        <v>2019</v>
      </c>
      <c r="B2810" t="s">
        <v>26</v>
      </c>
      <c r="C2810" s="2" t="s">
        <v>3018</v>
      </c>
      <c r="D2810" s="1">
        <v>43601</v>
      </c>
      <c r="E2810">
        <f>MONTH(D2810)</f>
        <v>5</v>
      </c>
      <c r="F2810" s="2" t="s">
        <v>19</v>
      </c>
      <c r="G2810" t="s">
        <v>352</v>
      </c>
      <c r="H2810" t="s">
        <v>975</v>
      </c>
      <c r="I2810" t="s">
        <v>22</v>
      </c>
      <c r="J2810" s="2" t="s">
        <v>42</v>
      </c>
      <c r="K2810" s="2" t="s">
        <v>3019</v>
      </c>
      <c r="L2810" t="s">
        <v>25</v>
      </c>
      <c r="M2810" s="8">
        <v>1.0693333330000001</v>
      </c>
      <c r="N2810" t="s">
        <v>26</v>
      </c>
      <c r="O2810" s="8">
        <v>1.0693333330000001</v>
      </c>
      <c r="P2810" s="8">
        <f>EXP(-1.363+3.366*LOG(O2810,10))</f>
        <v>0.28223780327142356</v>
      </c>
      <c r="Q2810" s="8">
        <f>(5996898*100)/6073515</f>
        <v>98.738506449724753</v>
      </c>
    </row>
    <row r="2811" spans="1:17" x14ac:dyDescent="0.2">
      <c r="A2811">
        <f>YEAR(D2811)</f>
        <v>2019</v>
      </c>
      <c r="B2811" t="s">
        <v>26</v>
      </c>
      <c r="C2811" s="2" t="s">
        <v>3018</v>
      </c>
      <c r="D2811" s="1">
        <v>43601</v>
      </c>
      <c r="E2811">
        <f>MONTH(D2811)</f>
        <v>5</v>
      </c>
      <c r="F2811" s="2" t="s">
        <v>19</v>
      </c>
      <c r="G2811" t="s">
        <v>352</v>
      </c>
      <c r="H2811" t="s">
        <v>975</v>
      </c>
      <c r="I2811" t="s">
        <v>22</v>
      </c>
      <c r="J2811" s="2" t="s">
        <v>42</v>
      </c>
      <c r="K2811" s="2" t="s">
        <v>3019</v>
      </c>
      <c r="L2811" t="s">
        <v>25</v>
      </c>
      <c r="M2811" s="8">
        <v>1.0693333330000001</v>
      </c>
      <c r="N2811" t="s">
        <v>26</v>
      </c>
      <c r="O2811" s="8">
        <v>1.0693333330000001</v>
      </c>
      <c r="P2811" s="8">
        <f>EXP(-1.363+3.366*LOG(O2811,10))</f>
        <v>0.28223780327142356</v>
      </c>
      <c r="Q2811" s="8">
        <f>(5996898*100)/6073515</f>
        <v>98.738506449724753</v>
      </c>
    </row>
    <row r="2812" spans="1:17" x14ac:dyDescent="0.2">
      <c r="A2812">
        <f>YEAR(D2812)</f>
        <v>2019</v>
      </c>
      <c r="B2812" t="s">
        <v>26</v>
      </c>
      <c r="C2812" s="2" t="s">
        <v>3018</v>
      </c>
      <c r="D2812" s="1">
        <v>43601</v>
      </c>
      <c r="E2812">
        <f>MONTH(D2812)</f>
        <v>5</v>
      </c>
      <c r="F2812" s="2" t="s">
        <v>19</v>
      </c>
      <c r="G2812" t="s">
        <v>352</v>
      </c>
      <c r="H2812" t="s">
        <v>975</v>
      </c>
      <c r="I2812" t="s">
        <v>22</v>
      </c>
      <c r="J2812" s="2" t="s">
        <v>42</v>
      </c>
      <c r="K2812" s="2" t="s">
        <v>3019</v>
      </c>
      <c r="L2812" t="s">
        <v>25</v>
      </c>
      <c r="M2812" s="8">
        <v>1.0693333330000001</v>
      </c>
      <c r="N2812" t="s">
        <v>26</v>
      </c>
      <c r="O2812" s="8">
        <v>1.0693333330000001</v>
      </c>
      <c r="P2812" s="8">
        <f>EXP(-1.363+3.366*LOG(O2812,10))</f>
        <v>0.28223780327142356</v>
      </c>
      <c r="Q2812" s="8">
        <f>(5996898*100)/6073515</f>
        <v>98.738506449724753</v>
      </c>
    </row>
    <row r="2813" spans="1:17" x14ac:dyDescent="0.2">
      <c r="A2813">
        <f>YEAR(D2813)</f>
        <v>2019</v>
      </c>
      <c r="B2813" t="s">
        <v>26</v>
      </c>
      <c r="C2813" s="2" t="s">
        <v>3018</v>
      </c>
      <c r="D2813" s="1">
        <v>43601</v>
      </c>
      <c r="E2813">
        <f>MONTH(D2813)</f>
        <v>5</v>
      </c>
      <c r="F2813" s="2" t="s">
        <v>19</v>
      </c>
      <c r="G2813" t="s">
        <v>352</v>
      </c>
      <c r="H2813" t="s">
        <v>1344</v>
      </c>
      <c r="I2813" t="s">
        <v>22</v>
      </c>
      <c r="J2813" s="2" t="s">
        <v>42</v>
      </c>
      <c r="K2813" s="2" t="s">
        <v>3019</v>
      </c>
      <c r="L2813" t="s">
        <v>25</v>
      </c>
      <c r="M2813" s="8">
        <v>0.91800000000000004</v>
      </c>
      <c r="N2813" t="s">
        <v>26</v>
      </c>
      <c r="O2813" s="8">
        <v>0.91800000000000004</v>
      </c>
      <c r="P2813" s="8">
        <f>EXP(-1.363+3.366*LOG(O2813,10))</f>
        <v>0.22580769814771504</v>
      </c>
      <c r="Q2813" s="8">
        <f>(5996898*100)/6073515</f>
        <v>98.738506449724753</v>
      </c>
    </row>
    <row r="2814" spans="1:17" x14ac:dyDescent="0.2">
      <c r="A2814">
        <f>YEAR(D2814)</f>
        <v>2019</v>
      </c>
      <c r="B2814" t="s">
        <v>26</v>
      </c>
      <c r="C2814" s="2" t="s">
        <v>3018</v>
      </c>
      <c r="D2814" s="1">
        <v>43601</v>
      </c>
      <c r="E2814">
        <f>MONTH(D2814)</f>
        <v>5</v>
      </c>
      <c r="F2814" s="2" t="s">
        <v>19</v>
      </c>
      <c r="G2814" t="s">
        <v>352</v>
      </c>
      <c r="H2814" t="s">
        <v>353</v>
      </c>
      <c r="I2814" t="s">
        <v>22</v>
      </c>
      <c r="J2814" s="2" t="s">
        <v>42</v>
      </c>
      <c r="K2814" s="2" t="s">
        <v>3019</v>
      </c>
      <c r="L2814" t="s">
        <v>25</v>
      </c>
      <c r="M2814" s="8">
        <v>1.1623333330000001</v>
      </c>
      <c r="N2814" t="s">
        <v>26</v>
      </c>
      <c r="O2814" s="8">
        <v>1.1623333330000001</v>
      </c>
      <c r="P2814" s="8">
        <f>EXP(-1.363+3.366*LOG(O2814,10))</f>
        <v>0.31883010989102206</v>
      </c>
      <c r="Q2814" s="8">
        <f>(5996898*100)/6073515</f>
        <v>98.738506449724753</v>
      </c>
    </row>
    <row r="2815" spans="1:17" x14ac:dyDescent="0.2">
      <c r="A2815">
        <f>YEAR(D2815)</f>
        <v>2019</v>
      </c>
      <c r="B2815" t="s">
        <v>26</v>
      </c>
      <c r="C2815" s="2" t="s">
        <v>3018</v>
      </c>
      <c r="D2815" s="1">
        <v>43601</v>
      </c>
      <c r="E2815">
        <f>MONTH(D2815)</f>
        <v>5</v>
      </c>
      <c r="F2815" s="2" t="s">
        <v>19</v>
      </c>
      <c r="G2815" t="s">
        <v>352</v>
      </c>
      <c r="H2815" t="s">
        <v>975</v>
      </c>
      <c r="I2815" t="s">
        <v>22</v>
      </c>
      <c r="J2815" s="2" t="s">
        <v>42</v>
      </c>
      <c r="K2815" s="2" t="s">
        <v>3019</v>
      </c>
      <c r="L2815" t="s">
        <v>25</v>
      </c>
      <c r="M2815" s="8">
        <v>1.0693333330000001</v>
      </c>
      <c r="N2815" t="s">
        <v>26</v>
      </c>
      <c r="O2815" s="8">
        <v>1.0693333330000001</v>
      </c>
      <c r="P2815" s="8">
        <f>EXP(-1.363+3.366*LOG(O2815,10))</f>
        <v>0.28223780327142356</v>
      </c>
      <c r="Q2815" s="8">
        <f>(5996898*100)/6073515</f>
        <v>98.738506449724753</v>
      </c>
    </row>
    <row r="2816" spans="1:17" x14ac:dyDescent="0.2">
      <c r="A2816">
        <f>YEAR(D2816)</f>
        <v>2019</v>
      </c>
      <c r="B2816" t="s">
        <v>26</v>
      </c>
      <c r="C2816" s="2" t="s">
        <v>3018</v>
      </c>
      <c r="D2816" s="1">
        <v>43601</v>
      </c>
      <c r="E2816">
        <f>MONTH(D2816)</f>
        <v>5</v>
      </c>
      <c r="F2816" s="2" t="s">
        <v>19</v>
      </c>
      <c r="G2816" t="s">
        <v>352</v>
      </c>
      <c r="H2816" t="s">
        <v>975</v>
      </c>
      <c r="I2816" t="s">
        <v>22</v>
      </c>
      <c r="J2816" s="2" t="s">
        <v>42</v>
      </c>
      <c r="K2816" s="2" t="s">
        <v>3019</v>
      </c>
      <c r="L2816" t="s">
        <v>25</v>
      </c>
      <c r="M2816" s="8">
        <v>1.0693333330000001</v>
      </c>
      <c r="N2816" t="s">
        <v>26</v>
      </c>
      <c r="O2816" s="8">
        <v>1.0693333330000001</v>
      </c>
      <c r="P2816" s="8">
        <f>EXP(-1.363+3.366*LOG(O2816,10))</f>
        <v>0.28223780327142356</v>
      </c>
      <c r="Q2816" s="8">
        <f>(5996898*100)/6073515</f>
        <v>98.738506449724753</v>
      </c>
    </row>
    <row r="2817" spans="1:17" x14ac:dyDescent="0.2">
      <c r="A2817">
        <f>YEAR(D2817)</f>
        <v>2019</v>
      </c>
      <c r="B2817" t="s">
        <v>26</v>
      </c>
      <c r="C2817" s="2" t="s">
        <v>3018</v>
      </c>
      <c r="D2817" s="1">
        <v>43601</v>
      </c>
      <c r="E2817">
        <f>MONTH(D2817)</f>
        <v>5</v>
      </c>
      <c r="F2817" s="2" t="s">
        <v>19</v>
      </c>
      <c r="G2817" t="s">
        <v>352</v>
      </c>
      <c r="H2817" t="s">
        <v>1344</v>
      </c>
      <c r="I2817" t="s">
        <v>22</v>
      </c>
      <c r="J2817" s="2" t="s">
        <v>42</v>
      </c>
      <c r="K2817" s="2" t="s">
        <v>3019</v>
      </c>
      <c r="L2817" t="s">
        <v>25</v>
      </c>
      <c r="M2817" s="8">
        <v>0.91800000000000004</v>
      </c>
      <c r="N2817" t="s">
        <v>26</v>
      </c>
      <c r="O2817" s="8">
        <v>0.91800000000000004</v>
      </c>
      <c r="P2817" s="8">
        <f>EXP(-1.363+3.366*LOG(O2817,10))</f>
        <v>0.22580769814771504</v>
      </c>
      <c r="Q2817" s="8">
        <f>(5996898*100)/6073515</f>
        <v>98.738506449724753</v>
      </c>
    </row>
    <row r="2818" spans="1:17" x14ac:dyDescent="0.2">
      <c r="A2818">
        <f>YEAR(D2818)</f>
        <v>2019</v>
      </c>
      <c r="B2818" t="s">
        <v>26</v>
      </c>
      <c r="C2818" s="2" t="s">
        <v>3018</v>
      </c>
      <c r="D2818" s="1">
        <v>43601</v>
      </c>
      <c r="E2818">
        <f>MONTH(D2818)</f>
        <v>5</v>
      </c>
      <c r="F2818" s="2" t="s">
        <v>19</v>
      </c>
      <c r="G2818" t="s">
        <v>352</v>
      </c>
      <c r="H2818" t="s">
        <v>1344</v>
      </c>
      <c r="I2818" t="s">
        <v>22</v>
      </c>
      <c r="J2818" s="2" t="s">
        <v>42</v>
      </c>
      <c r="K2818" s="2" t="s">
        <v>3019</v>
      </c>
      <c r="L2818" t="s">
        <v>25</v>
      </c>
      <c r="M2818" s="8">
        <v>0.91800000000000004</v>
      </c>
      <c r="N2818" t="s">
        <v>26</v>
      </c>
      <c r="O2818" s="8">
        <v>0.91800000000000004</v>
      </c>
      <c r="P2818" s="8">
        <f>EXP(-1.363+3.366*LOG(O2818,10))</f>
        <v>0.22580769814771504</v>
      </c>
      <c r="Q2818" s="8">
        <f>(5996898*100)/6073515</f>
        <v>98.738506449724753</v>
      </c>
    </row>
    <row r="2819" spans="1:17" x14ac:dyDescent="0.2">
      <c r="A2819">
        <f>YEAR(D2819)</f>
        <v>2019</v>
      </c>
      <c r="B2819" t="s">
        <v>26</v>
      </c>
      <c r="C2819" s="2" t="s">
        <v>3018</v>
      </c>
      <c r="D2819" s="1">
        <v>43601</v>
      </c>
      <c r="E2819">
        <f>MONTH(D2819)</f>
        <v>5</v>
      </c>
      <c r="F2819" s="2" t="s">
        <v>19</v>
      </c>
      <c r="G2819" t="s">
        <v>352</v>
      </c>
      <c r="H2819" t="s">
        <v>975</v>
      </c>
      <c r="I2819" t="s">
        <v>22</v>
      </c>
      <c r="J2819" s="2" t="s">
        <v>42</v>
      </c>
      <c r="K2819" s="2" t="s">
        <v>3019</v>
      </c>
      <c r="L2819" t="s">
        <v>25</v>
      </c>
      <c r="M2819" s="8">
        <v>1.0693333330000001</v>
      </c>
      <c r="N2819" t="s">
        <v>26</v>
      </c>
      <c r="O2819" s="8">
        <v>1.0693333330000001</v>
      </c>
      <c r="P2819" s="8">
        <f>EXP(-1.363+3.366*LOG(O2819,10))</f>
        <v>0.28223780327142356</v>
      </c>
      <c r="Q2819" s="8">
        <f>(5996898*100)/6073515</f>
        <v>98.738506449724753</v>
      </c>
    </row>
    <row r="2820" spans="1:17" x14ac:dyDescent="0.2">
      <c r="A2820">
        <f>YEAR(D2820)</f>
        <v>2019</v>
      </c>
      <c r="B2820" t="s">
        <v>26</v>
      </c>
      <c r="C2820" s="2" t="s">
        <v>1540</v>
      </c>
      <c r="D2820" s="1">
        <v>43619</v>
      </c>
      <c r="E2820">
        <f>MONTH(D2820)</f>
        <v>6</v>
      </c>
      <c r="F2820" s="2" t="s">
        <v>2098</v>
      </c>
      <c r="G2820" t="s">
        <v>219</v>
      </c>
      <c r="H2820" t="s">
        <v>220</v>
      </c>
      <c r="I2820" t="s">
        <v>22</v>
      </c>
      <c r="J2820" s="2" t="s">
        <v>42</v>
      </c>
      <c r="K2820" s="2" t="s">
        <v>3019</v>
      </c>
      <c r="L2820" t="s">
        <v>25</v>
      </c>
      <c r="M2820" s="10" t="s">
        <v>26</v>
      </c>
      <c r="N2820" t="s">
        <v>26</v>
      </c>
      <c r="O2820" s="10" t="s">
        <v>26</v>
      </c>
      <c r="P2820" s="8" t="s">
        <v>26</v>
      </c>
      <c r="Q2820" s="8">
        <f>(2618262*100)/2995732</f>
        <v>87.399740697766021</v>
      </c>
    </row>
    <row r="2821" spans="1:17" x14ac:dyDescent="0.2">
      <c r="A2821">
        <f>YEAR(D2821)</f>
        <v>2019</v>
      </c>
      <c r="B2821" t="s">
        <v>26</v>
      </c>
      <c r="C2821" s="2" t="s">
        <v>1540</v>
      </c>
      <c r="D2821" s="1">
        <v>43619</v>
      </c>
      <c r="E2821">
        <f>MONTH(D2821)</f>
        <v>6</v>
      </c>
      <c r="F2821" s="2" t="s">
        <v>2098</v>
      </c>
      <c r="G2821" t="s">
        <v>219</v>
      </c>
      <c r="H2821" t="s">
        <v>220</v>
      </c>
      <c r="I2821" t="s">
        <v>22</v>
      </c>
      <c r="J2821" s="2" t="s">
        <v>42</v>
      </c>
      <c r="K2821" s="2" t="s">
        <v>3019</v>
      </c>
      <c r="L2821" t="s">
        <v>25</v>
      </c>
      <c r="M2821" s="10" t="s">
        <v>26</v>
      </c>
      <c r="N2821" t="s">
        <v>26</v>
      </c>
      <c r="O2821" s="10" t="s">
        <v>26</v>
      </c>
      <c r="P2821" s="8" t="s">
        <v>26</v>
      </c>
      <c r="Q2821" s="8">
        <f>(2618262*100)/2995732</f>
        <v>87.399740697766021</v>
      </c>
    </row>
    <row r="2822" spans="1:17" x14ac:dyDescent="0.2">
      <c r="A2822">
        <f>YEAR(D2822)</f>
        <v>2019</v>
      </c>
      <c r="B2822" t="s">
        <v>26</v>
      </c>
      <c r="C2822" s="2" t="s">
        <v>1540</v>
      </c>
      <c r="D2822" s="1">
        <v>43619</v>
      </c>
      <c r="E2822">
        <f>MONTH(D2822)</f>
        <v>6</v>
      </c>
      <c r="F2822" s="2" t="s">
        <v>2098</v>
      </c>
      <c r="G2822" t="s">
        <v>219</v>
      </c>
      <c r="H2822" t="s">
        <v>220</v>
      </c>
      <c r="I2822" t="s">
        <v>22</v>
      </c>
      <c r="J2822" s="2" t="s">
        <v>42</v>
      </c>
      <c r="K2822" s="2" t="s">
        <v>3019</v>
      </c>
      <c r="L2822" t="s">
        <v>25</v>
      </c>
      <c r="M2822" s="10" t="s">
        <v>26</v>
      </c>
      <c r="N2822" t="s">
        <v>26</v>
      </c>
      <c r="O2822" s="10" t="s">
        <v>26</v>
      </c>
      <c r="P2822" s="8" t="s">
        <v>26</v>
      </c>
      <c r="Q2822" s="8">
        <f>(2618262*100)/2995732</f>
        <v>87.399740697766021</v>
      </c>
    </row>
    <row r="2823" spans="1:17" x14ac:dyDescent="0.2">
      <c r="A2823">
        <f>YEAR(D2823)</f>
        <v>2019</v>
      </c>
      <c r="B2823" t="s">
        <v>26</v>
      </c>
      <c r="C2823" s="2" t="s">
        <v>1540</v>
      </c>
      <c r="D2823" s="1">
        <v>43619</v>
      </c>
      <c r="E2823">
        <f>MONTH(D2823)</f>
        <v>6</v>
      </c>
      <c r="F2823" s="2" t="s">
        <v>2098</v>
      </c>
      <c r="G2823" t="s">
        <v>219</v>
      </c>
      <c r="H2823" t="s">
        <v>220</v>
      </c>
      <c r="I2823" t="s">
        <v>22</v>
      </c>
      <c r="J2823" s="2" t="s">
        <v>42</v>
      </c>
      <c r="K2823" s="2" t="s">
        <v>3019</v>
      </c>
      <c r="L2823" t="s">
        <v>25</v>
      </c>
      <c r="M2823" s="10" t="s">
        <v>26</v>
      </c>
      <c r="N2823" t="s">
        <v>26</v>
      </c>
      <c r="O2823" s="10" t="s">
        <v>26</v>
      </c>
      <c r="P2823" s="8" t="s">
        <v>26</v>
      </c>
      <c r="Q2823" s="8">
        <f>(2618262*100)/2995732</f>
        <v>87.399740697766021</v>
      </c>
    </row>
    <row r="2824" spans="1:17" x14ac:dyDescent="0.2">
      <c r="A2824">
        <f>YEAR(D2824)</f>
        <v>2019</v>
      </c>
      <c r="B2824" t="s">
        <v>26</v>
      </c>
      <c r="C2824" s="2" t="s">
        <v>1540</v>
      </c>
      <c r="D2824" s="1">
        <v>43619</v>
      </c>
      <c r="E2824">
        <f>MONTH(D2824)</f>
        <v>6</v>
      </c>
      <c r="F2824" s="2" t="s">
        <v>2098</v>
      </c>
      <c r="G2824" t="s">
        <v>1520</v>
      </c>
      <c r="H2824" t="s">
        <v>1528</v>
      </c>
      <c r="I2824" t="s">
        <v>22</v>
      </c>
      <c r="J2824" s="2" t="s">
        <v>42</v>
      </c>
      <c r="K2824" s="2" t="s">
        <v>3019</v>
      </c>
      <c r="L2824" t="s">
        <v>25</v>
      </c>
      <c r="M2824" s="8">
        <v>3.624333333</v>
      </c>
      <c r="N2824" t="s">
        <v>26</v>
      </c>
      <c r="O2824" s="8">
        <v>3.624333333</v>
      </c>
      <c r="P2824" s="8">
        <f>EXP(-1.363+3.366*LOG(O2824,10))</f>
        <v>1.6809546844949765</v>
      </c>
      <c r="Q2824" s="8">
        <f>(2618262*100)/2995732</f>
        <v>87.399740697766021</v>
      </c>
    </row>
    <row r="2825" spans="1:17" x14ac:dyDescent="0.2">
      <c r="A2825">
        <f>YEAR(D2825)</f>
        <v>2019</v>
      </c>
      <c r="B2825" t="s">
        <v>26</v>
      </c>
      <c r="C2825" s="2" t="s">
        <v>1540</v>
      </c>
      <c r="D2825" s="1">
        <v>43619</v>
      </c>
      <c r="E2825">
        <f>MONTH(D2825)</f>
        <v>6</v>
      </c>
      <c r="F2825" s="2" t="s">
        <v>2098</v>
      </c>
      <c r="G2825" t="s">
        <v>1520</v>
      </c>
      <c r="H2825" t="s">
        <v>1528</v>
      </c>
      <c r="I2825" t="s">
        <v>22</v>
      </c>
      <c r="J2825" s="2" t="s">
        <v>42</v>
      </c>
      <c r="K2825" s="2" t="s">
        <v>3019</v>
      </c>
      <c r="L2825" t="s">
        <v>25</v>
      </c>
      <c r="M2825" s="8">
        <v>3.624333333</v>
      </c>
      <c r="N2825" t="s">
        <v>26</v>
      </c>
      <c r="O2825" s="8">
        <v>3.624333333</v>
      </c>
      <c r="P2825" s="8">
        <f>EXP(-1.363+3.366*LOG(O2825,10))</f>
        <v>1.6809546844949765</v>
      </c>
      <c r="Q2825" s="8">
        <f>(2618262*100)/2995732</f>
        <v>87.399740697766021</v>
      </c>
    </row>
    <row r="2826" spans="1:17" x14ac:dyDescent="0.2">
      <c r="A2826">
        <f>YEAR(D2826)</f>
        <v>2019</v>
      </c>
      <c r="B2826" t="s">
        <v>26</v>
      </c>
      <c r="C2826" s="2" t="s">
        <v>1540</v>
      </c>
      <c r="D2826" s="1">
        <v>43619</v>
      </c>
      <c r="E2826">
        <f>MONTH(D2826)</f>
        <v>6</v>
      </c>
      <c r="F2826" s="2" t="s">
        <v>2098</v>
      </c>
      <c r="G2826" t="s">
        <v>352</v>
      </c>
      <c r="H2826" t="s">
        <v>491</v>
      </c>
      <c r="I2826" t="s">
        <v>22</v>
      </c>
      <c r="J2826" s="2" t="s">
        <v>42</v>
      </c>
      <c r="K2826" s="2" t="s">
        <v>3019</v>
      </c>
      <c r="L2826" t="s">
        <v>25</v>
      </c>
      <c r="M2826" s="8">
        <v>1.298</v>
      </c>
      <c r="N2826" t="s">
        <v>26</v>
      </c>
      <c r="O2826" s="8">
        <v>1.298</v>
      </c>
      <c r="P2826" s="8">
        <f>EXP(-1.363+3.366*LOG(O2826,10))</f>
        <v>0.37466709829475997</v>
      </c>
      <c r="Q2826" s="8">
        <f>(2618262*100)/2995732</f>
        <v>87.399740697766021</v>
      </c>
    </row>
    <row r="2827" spans="1:17" x14ac:dyDescent="0.2">
      <c r="A2827">
        <f>YEAR(D2827)</f>
        <v>2019</v>
      </c>
      <c r="B2827" t="s">
        <v>26</v>
      </c>
      <c r="C2827" s="2" t="s">
        <v>1540</v>
      </c>
      <c r="D2827" s="1">
        <v>43619</v>
      </c>
      <c r="E2827">
        <f>MONTH(D2827)</f>
        <v>6</v>
      </c>
      <c r="F2827" s="2" t="s">
        <v>2098</v>
      </c>
      <c r="G2827" t="s">
        <v>230</v>
      </c>
      <c r="H2827" t="s">
        <v>259</v>
      </c>
      <c r="I2827" t="s">
        <v>22</v>
      </c>
      <c r="J2827" s="2" t="s">
        <v>42</v>
      </c>
      <c r="K2827" s="2" t="s">
        <v>3019</v>
      </c>
      <c r="L2827" t="s">
        <v>25</v>
      </c>
      <c r="M2827" s="8">
        <v>4.2283333330000001</v>
      </c>
      <c r="N2827" t="s">
        <v>26</v>
      </c>
      <c r="O2827" s="8">
        <v>4.2283333330000001</v>
      </c>
      <c r="P2827" s="8">
        <f>EXP(-1.363+3.366*LOG(O2827,10))</f>
        <v>2.1057792396965977</v>
      </c>
      <c r="Q2827" s="8">
        <f>(2618262*100)/2995732</f>
        <v>87.399740697766021</v>
      </c>
    </row>
    <row r="2828" spans="1:17" x14ac:dyDescent="0.2">
      <c r="A2828">
        <f>YEAR(D2828)</f>
        <v>2019</v>
      </c>
      <c r="B2828" t="s">
        <v>26</v>
      </c>
      <c r="C2828" s="2" t="s">
        <v>1540</v>
      </c>
      <c r="D2828" s="1">
        <v>43619</v>
      </c>
      <c r="E2828">
        <f>MONTH(D2828)</f>
        <v>6</v>
      </c>
      <c r="F2828" s="2" t="s">
        <v>2098</v>
      </c>
      <c r="G2828" t="s">
        <v>230</v>
      </c>
      <c r="H2828" t="s">
        <v>259</v>
      </c>
      <c r="I2828" t="s">
        <v>22</v>
      </c>
      <c r="J2828" s="2" t="s">
        <v>42</v>
      </c>
      <c r="K2828" s="2" t="s">
        <v>3019</v>
      </c>
      <c r="L2828" t="s">
        <v>25</v>
      </c>
      <c r="M2828" s="8">
        <v>4.2283333330000001</v>
      </c>
      <c r="N2828" t="s">
        <v>26</v>
      </c>
      <c r="O2828" s="8">
        <v>4.2283333330000001</v>
      </c>
      <c r="P2828" s="8">
        <f>EXP(-1.363+3.366*LOG(O2828,10))</f>
        <v>2.1057792396965977</v>
      </c>
      <c r="Q2828" s="8">
        <f>(2618262*100)/2995732</f>
        <v>87.399740697766021</v>
      </c>
    </row>
    <row r="2829" spans="1:17" x14ac:dyDescent="0.2">
      <c r="A2829">
        <f>YEAR(D2829)</f>
        <v>2019</v>
      </c>
      <c r="B2829" t="s">
        <v>26</v>
      </c>
      <c r="C2829" s="2" t="s">
        <v>1540</v>
      </c>
      <c r="D2829" s="1">
        <v>43619</v>
      </c>
      <c r="E2829">
        <f>MONTH(D2829)</f>
        <v>6</v>
      </c>
      <c r="F2829" s="2" t="s">
        <v>2098</v>
      </c>
      <c r="G2829" t="s">
        <v>230</v>
      </c>
      <c r="H2829" t="s">
        <v>259</v>
      </c>
      <c r="I2829" t="s">
        <v>22</v>
      </c>
      <c r="J2829" s="2" t="s">
        <v>42</v>
      </c>
      <c r="K2829" s="2" t="s">
        <v>3019</v>
      </c>
      <c r="L2829" t="s">
        <v>25</v>
      </c>
      <c r="M2829" s="8">
        <v>4.2283333330000001</v>
      </c>
      <c r="N2829" t="s">
        <v>26</v>
      </c>
      <c r="O2829" s="8">
        <v>4.2283333330000001</v>
      </c>
      <c r="P2829" s="8">
        <f>EXP(-1.363+3.366*LOG(O2829,10))</f>
        <v>2.1057792396965977</v>
      </c>
      <c r="Q2829" s="8">
        <f>(2618262*100)/2995732</f>
        <v>87.399740697766021</v>
      </c>
    </row>
    <row r="2830" spans="1:17" x14ac:dyDescent="0.2">
      <c r="A2830">
        <f>YEAR(D2830)</f>
        <v>2019</v>
      </c>
      <c r="B2830" t="s">
        <v>26</v>
      </c>
      <c r="C2830" s="2" t="s">
        <v>1540</v>
      </c>
      <c r="D2830" s="1">
        <v>43619</v>
      </c>
      <c r="E2830">
        <f>MONTH(D2830)</f>
        <v>6</v>
      </c>
      <c r="F2830" s="2" t="s">
        <v>2098</v>
      </c>
      <c r="G2830" t="s">
        <v>230</v>
      </c>
      <c r="H2830" t="s">
        <v>259</v>
      </c>
      <c r="I2830" t="s">
        <v>22</v>
      </c>
      <c r="J2830" s="2" t="s">
        <v>42</v>
      </c>
      <c r="K2830" s="2" t="s">
        <v>3019</v>
      </c>
      <c r="L2830" t="s">
        <v>25</v>
      </c>
      <c r="M2830" s="8">
        <v>4.2283333330000001</v>
      </c>
      <c r="N2830" t="s">
        <v>26</v>
      </c>
      <c r="O2830" s="8">
        <v>4.2283333330000001</v>
      </c>
      <c r="P2830" s="8">
        <f>EXP(-1.363+3.366*LOG(O2830,10))</f>
        <v>2.1057792396965977</v>
      </c>
      <c r="Q2830" s="8">
        <f>(2618262*100)/2995732</f>
        <v>87.399740697766021</v>
      </c>
    </row>
    <row r="2831" spans="1:17" x14ac:dyDescent="0.2">
      <c r="A2831">
        <f>YEAR(D2831)</f>
        <v>2019</v>
      </c>
      <c r="B2831" t="s">
        <v>26</v>
      </c>
      <c r="C2831" s="2" t="s">
        <v>1540</v>
      </c>
      <c r="D2831" s="1">
        <v>43619</v>
      </c>
      <c r="E2831">
        <f>MONTH(D2831)</f>
        <v>6</v>
      </c>
      <c r="F2831" s="2" t="s">
        <v>2098</v>
      </c>
      <c r="G2831" t="s">
        <v>230</v>
      </c>
      <c r="H2831" t="s">
        <v>259</v>
      </c>
      <c r="I2831" t="s">
        <v>22</v>
      </c>
      <c r="J2831" s="2" t="s">
        <v>42</v>
      </c>
      <c r="K2831" s="2" t="s">
        <v>3019</v>
      </c>
      <c r="L2831" t="s">
        <v>25</v>
      </c>
      <c r="M2831" s="8">
        <v>4.2283333330000001</v>
      </c>
      <c r="N2831" t="s">
        <v>26</v>
      </c>
      <c r="O2831" s="8">
        <v>4.2283333330000001</v>
      </c>
      <c r="P2831" s="8">
        <f>EXP(-1.363+3.366*LOG(O2831,10))</f>
        <v>2.1057792396965977</v>
      </c>
      <c r="Q2831" s="8">
        <f>(2618262*100)/2995732</f>
        <v>87.399740697766021</v>
      </c>
    </row>
    <row r="2832" spans="1:17" x14ac:dyDescent="0.2">
      <c r="A2832">
        <f>YEAR(D2832)</f>
        <v>2019</v>
      </c>
      <c r="B2832" t="s">
        <v>26</v>
      </c>
      <c r="C2832" s="2" t="s">
        <v>1540</v>
      </c>
      <c r="D2832" s="1">
        <v>43619</v>
      </c>
      <c r="E2832">
        <f>MONTH(D2832)</f>
        <v>6</v>
      </c>
      <c r="F2832" s="2" t="s">
        <v>2098</v>
      </c>
      <c r="G2832" t="s">
        <v>230</v>
      </c>
      <c r="H2832" t="s">
        <v>259</v>
      </c>
      <c r="I2832" t="s">
        <v>22</v>
      </c>
      <c r="J2832" s="2" t="s">
        <v>42</v>
      </c>
      <c r="K2832" s="2" t="s">
        <v>3019</v>
      </c>
      <c r="L2832" t="s">
        <v>25</v>
      </c>
      <c r="M2832" s="8">
        <v>4.2283333330000001</v>
      </c>
      <c r="N2832" t="s">
        <v>26</v>
      </c>
      <c r="O2832" s="8">
        <v>4.2283333330000001</v>
      </c>
      <c r="P2832" s="8">
        <f>EXP(-1.363+3.366*LOG(O2832,10))</f>
        <v>2.1057792396965977</v>
      </c>
      <c r="Q2832" s="8">
        <f>(2618262*100)/2995732</f>
        <v>87.399740697766021</v>
      </c>
    </row>
    <row r="2833" spans="1:17" x14ac:dyDescent="0.2">
      <c r="A2833">
        <f>YEAR(D2833)</f>
        <v>2019</v>
      </c>
      <c r="B2833" t="s">
        <v>26</v>
      </c>
      <c r="C2833" s="2" t="s">
        <v>1540</v>
      </c>
      <c r="D2833" s="1">
        <v>43619</v>
      </c>
      <c r="E2833">
        <f>MONTH(D2833)</f>
        <v>6</v>
      </c>
      <c r="F2833" s="2" t="s">
        <v>2098</v>
      </c>
      <c r="G2833" t="s">
        <v>230</v>
      </c>
      <c r="H2833" t="s">
        <v>268</v>
      </c>
      <c r="I2833" t="s">
        <v>22</v>
      </c>
      <c r="J2833" s="2" t="s">
        <v>42</v>
      </c>
      <c r="K2833" s="2" t="s">
        <v>3019</v>
      </c>
      <c r="L2833" t="s">
        <v>25</v>
      </c>
      <c r="M2833" s="8">
        <v>3.5356666670000001</v>
      </c>
      <c r="N2833" t="s">
        <v>26</v>
      </c>
      <c r="O2833" s="8">
        <v>3.5356666670000001</v>
      </c>
      <c r="P2833" s="8">
        <f>EXP(-1.363+3.366*LOG(O2833,10))</f>
        <v>1.6211802664427075</v>
      </c>
      <c r="Q2833" s="8">
        <f>(2618262*100)/2995732</f>
        <v>87.399740697766021</v>
      </c>
    </row>
    <row r="2834" spans="1:17" x14ac:dyDescent="0.2">
      <c r="A2834">
        <f>YEAR(D2834)</f>
        <v>2019</v>
      </c>
      <c r="B2834" t="s">
        <v>26</v>
      </c>
      <c r="C2834" s="2" t="s">
        <v>1540</v>
      </c>
      <c r="D2834" s="1">
        <v>43619</v>
      </c>
      <c r="E2834">
        <f>MONTH(D2834)</f>
        <v>6</v>
      </c>
      <c r="F2834" s="2" t="s">
        <v>2098</v>
      </c>
      <c r="G2834" t="s">
        <v>230</v>
      </c>
      <c r="H2834" t="s">
        <v>268</v>
      </c>
      <c r="I2834" t="s">
        <v>22</v>
      </c>
      <c r="J2834" s="2" t="s">
        <v>42</v>
      </c>
      <c r="K2834" s="2" t="s">
        <v>3019</v>
      </c>
      <c r="L2834" t="s">
        <v>25</v>
      </c>
      <c r="M2834" s="8">
        <v>3.5356666670000001</v>
      </c>
      <c r="N2834" t="s">
        <v>26</v>
      </c>
      <c r="O2834" s="8">
        <v>3.5356666670000001</v>
      </c>
      <c r="P2834" s="8">
        <f>EXP(-1.363+3.366*LOG(O2834,10))</f>
        <v>1.6211802664427075</v>
      </c>
      <c r="Q2834" s="8">
        <f>(2618262*100)/2995732</f>
        <v>87.399740697766021</v>
      </c>
    </row>
    <row r="2835" spans="1:17" x14ac:dyDescent="0.2">
      <c r="A2835">
        <f>YEAR(D2835)</f>
        <v>2019</v>
      </c>
      <c r="B2835" t="s">
        <v>26</v>
      </c>
      <c r="C2835" s="2" t="s">
        <v>1540</v>
      </c>
      <c r="D2835" s="1">
        <v>43619</v>
      </c>
      <c r="E2835">
        <f>MONTH(D2835)</f>
        <v>6</v>
      </c>
      <c r="F2835" s="2" t="s">
        <v>2098</v>
      </c>
      <c r="G2835" t="s">
        <v>230</v>
      </c>
      <c r="H2835" t="s">
        <v>268</v>
      </c>
      <c r="I2835" t="s">
        <v>22</v>
      </c>
      <c r="J2835" s="2" t="s">
        <v>42</v>
      </c>
      <c r="K2835" s="2" t="s">
        <v>3019</v>
      </c>
      <c r="L2835" t="s">
        <v>25</v>
      </c>
      <c r="M2835" s="8">
        <v>3.5356666670000001</v>
      </c>
      <c r="N2835" t="s">
        <v>26</v>
      </c>
      <c r="O2835" s="8">
        <v>3.5356666670000001</v>
      </c>
      <c r="P2835" s="8">
        <f>EXP(-1.363+3.366*LOG(O2835,10))</f>
        <v>1.6211802664427075</v>
      </c>
      <c r="Q2835" s="8">
        <f>(2618262*100)/2995732</f>
        <v>87.399740697766021</v>
      </c>
    </row>
    <row r="2836" spans="1:17" x14ac:dyDescent="0.2">
      <c r="A2836">
        <f>YEAR(D2836)</f>
        <v>2019</v>
      </c>
      <c r="B2836" t="s">
        <v>26</v>
      </c>
      <c r="C2836" s="2" t="s">
        <v>1552</v>
      </c>
      <c r="D2836" s="1">
        <v>43619</v>
      </c>
      <c r="E2836">
        <f>MONTH(D2836)</f>
        <v>6</v>
      </c>
      <c r="F2836" s="2" t="s">
        <v>2098</v>
      </c>
      <c r="G2836" t="s">
        <v>219</v>
      </c>
      <c r="H2836" t="s">
        <v>220</v>
      </c>
      <c r="I2836" t="s">
        <v>22</v>
      </c>
      <c r="J2836" s="2" t="s">
        <v>42</v>
      </c>
      <c r="K2836" s="2" t="s">
        <v>3019</v>
      </c>
      <c r="L2836" t="s">
        <v>25</v>
      </c>
      <c r="M2836" s="10" t="s">
        <v>26</v>
      </c>
      <c r="N2836" t="s">
        <v>26</v>
      </c>
      <c r="O2836" s="10" t="s">
        <v>26</v>
      </c>
      <c r="P2836" s="8" t="s">
        <v>26</v>
      </c>
      <c r="Q2836" s="8">
        <f>(3738946*100)/3915493</f>
        <v>95.491065875995687</v>
      </c>
    </row>
    <row r="2837" spans="1:17" x14ac:dyDescent="0.2">
      <c r="A2837">
        <f>YEAR(D2837)</f>
        <v>2019</v>
      </c>
      <c r="B2837" t="s">
        <v>26</v>
      </c>
      <c r="C2837" s="2" t="s">
        <v>1552</v>
      </c>
      <c r="D2837" s="1">
        <v>43619</v>
      </c>
      <c r="E2837">
        <f>MONTH(D2837)</f>
        <v>6</v>
      </c>
      <c r="F2837" s="2" t="s">
        <v>2098</v>
      </c>
      <c r="G2837" t="s">
        <v>219</v>
      </c>
      <c r="H2837" t="s">
        <v>220</v>
      </c>
      <c r="I2837" t="s">
        <v>22</v>
      </c>
      <c r="J2837" s="2" t="s">
        <v>42</v>
      </c>
      <c r="K2837" s="2" t="s">
        <v>3019</v>
      </c>
      <c r="L2837" t="s">
        <v>25</v>
      </c>
      <c r="M2837" s="10" t="s">
        <v>26</v>
      </c>
      <c r="N2837" t="s">
        <v>26</v>
      </c>
      <c r="O2837" s="10" t="s">
        <v>26</v>
      </c>
      <c r="P2837" s="8" t="s">
        <v>26</v>
      </c>
      <c r="Q2837" s="8">
        <f>(3738946*100)/3915493</f>
        <v>95.491065875995687</v>
      </c>
    </row>
    <row r="2838" spans="1:17" x14ac:dyDescent="0.2">
      <c r="A2838">
        <f>YEAR(D2838)</f>
        <v>2019</v>
      </c>
      <c r="B2838" t="s">
        <v>26</v>
      </c>
      <c r="C2838" s="2" t="s">
        <v>1552</v>
      </c>
      <c r="D2838" s="1">
        <v>43619</v>
      </c>
      <c r="E2838">
        <f>MONTH(D2838)</f>
        <v>6</v>
      </c>
      <c r="F2838" s="2" t="s">
        <v>2098</v>
      </c>
      <c r="G2838" t="s">
        <v>219</v>
      </c>
      <c r="H2838" t="s">
        <v>220</v>
      </c>
      <c r="I2838" t="s">
        <v>22</v>
      </c>
      <c r="J2838" s="2" t="s">
        <v>42</v>
      </c>
      <c r="K2838" s="2" t="s">
        <v>3019</v>
      </c>
      <c r="L2838" t="s">
        <v>25</v>
      </c>
      <c r="M2838" s="10" t="s">
        <v>26</v>
      </c>
      <c r="N2838" t="s">
        <v>26</v>
      </c>
      <c r="O2838" s="10" t="s">
        <v>26</v>
      </c>
      <c r="P2838" s="8" t="s">
        <v>26</v>
      </c>
      <c r="Q2838" s="8">
        <f>(3738946*100)/3915493</f>
        <v>95.491065875995687</v>
      </c>
    </row>
    <row r="2839" spans="1:17" x14ac:dyDescent="0.2">
      <c r="A2839">
        <f>YEAR(D2839)</f>
        <v>2019</v>
      </c>
      <c r="B2839" t="s">
        <v>26</v>
      </c>
      <c r="C2839" s="2" t="s">
        <v>1552</v>
      </c>
      <c r="D2839" s="1">
        <v>43619</v>
      </c>
      <c r="E2839">
        <f>MONTH(D2839)</f>
        <v>6</v>
      </c>
      <c r="F2839" s="2" t="s">
        <v>2098</v>
      </c>
      <c r="G2839" t="s">
        <v>219</v>
      </c>
      <c r="H2839" t="s">
        <v>220</v>
      </c>
      <c r="I2839" t="s">
        <v>22</v>
      </c>
      <c r="J2839" s="2" t="s">
        <v>42</v>
      </c>
      <c r="K2839" s="2" t="s">
        <v>3019</v>
      </c>
      <c r="L2839" t="s">
        <v>25</v>
      </c>
      <c r="M2839" s="10" t="s">
        <v>26</v>
      </c>
      <c r="N2839" t="s">
        <v>26</v>
      </c>
      <c r="O2839" s="10" t="s">
        <v>26</v>
      </c>
      <c r="P2839" s="8" t="s">
        <v>26</v>
      </c>
      <c r="Q2839" s="8">
        <f>(3738946*100)/3915493</f>
        <v>95.491065875995687</v>
      </c>
    </row>
    <row r="2840" spans="1:17" x14ac:dyDescent="0.2">
      <c r="A2840">
        <f>YEAR(D2840)</f>
        <v>2019</v>
      </c>
      <c r="B2840" t="s">
        <v>26</v>
      </c>
      <c r="C2840" s="2" t="s">
        <v>1552</v>
      </c>
      <c r="D2840" s="1">
        <v>43619</v>
      </c>
      <c r="E2840">
        <f>MONTH(D2840)</f>
        <v>6</v>
      </c>
      <c r="F2840" s="2" t="s">
        <v>2098</v>
      </c>
      <c r="G2840" t="s">
        <v>219</v>
      </c>
      <c r="H2840" t="s">
        <v>220</v>
      </c>
      <c r="I2840" t="s">
        <v>22</v>
      </c>
      <c r="J2840" s="2" t="s">
        <v>42</v>
      </c>
      <c r="K2840" s="2" t="s">
        <v>3019</v>
      </c>
      <c r="L2840" t="s">
        <v>25</v>
      </c>
      <c r="M2840" s="10" t="s">
        <v>26</v>
      </c>
      <c r="N2840" t="s">
        <v>26</v>
      </c>
      <c r="O2840" s="10" t="s">
        <v>26</v>
      </c>
      <c r="P2840" s="8" t="s">
        <v>26</v>
      </c>
      <c r="Q2840" s="8">
        <f>(3738946*100)/3915493</f>
        <v>95.491065875995687</v>
      </c>
    </row>
    <row r="2841" spans="1:17" x14ac:dyDescent="0.2">
      <c r="A2841">
        <f>YEAR(D2841)</f>
        <v>2019</v>
      </c>
      <c r="B2841" t="s">
        <v>26</v>
      </c>
      <c r="C2841" s="2" t="s">
        <v>1552</v>
      </c>
      <c r="D2841" s="1">
        <v>43619</v>
      </c>
      <c r="E2841">
        <f>MONTH(D2841)</f>
        <v>6</v>
      </c>
      <c r="F2841" s="2" t="s">
        <v>2098</v>
      </c>
      <c r="G2841" t="s">
        <v>219</v>
      </c>
      <c r="H2841" t="s">
        <v>220</v>
      </c>
      <c r="I2841" t="s">
        <v>22</v>
      </c>
      <c r="J2841" s="2" t="s">
        <v>42</v>
      </c>
      <c r="K2841" s="2" t="s">
        <v>3019</v>
      </c>
      <c r="L2841" t="s">
        <v>25</v>
      </c>
      <c r="M2841" s="10" t="s">
        <v>26</v>
      </c>
      <c r="N2841" t="s">
        <v>26</v>
      </c>
      <c r="O2841" s="10" t="s">
        <v>26</v>
      </c>
      <c r="P2841" s="8" t="s">
        <v>26</v>
      </c>
      <c r="Q2841" s="8">
        <f>(3738946*100)/3915493</f>
        <v>95.491065875995687</v>
      </c>
    </row>
    <row r="2842" spans="1:17" x14ac:dyDescent="0.2">
      <c r="A2842">
        <f>YEAR(D2842)</f>
        <v>2019</v>
      </c>
      <c r="B2842" t="s">
        <v>26</v>
      </c>
      <c r="C2842" s="2" t="s">
        <v>1540</v>
      </c>
      <c r="D2842" s="1">
        <v>43619</v>
      </c>
      <c r="E2842">
        <f>MONTH(D2842)</f>
        <v>6</v>
      </c>
      <c r="F2842" s="2" t="s">
        <v>19</v>
      </c>
      <c r="G2842" t="s">
        <v>352</v>
      </c>
      <c r="H2842" t="s">
        <v>1394</v>
      </c>
      <c r="I2842" t="s">
        <v>22</v>
      </c>
      <c r="J2842" s="2" t="s">
        <v>42</v>
      </c>
      <c r="K2842" s="2" t="s">
        <v>3019</v>
      </c>
      <c r="L2842" t="s">
        <v>25</v>
      </c>
      <c r="M2842" s="8">
        <v>1.2776666670000001</v>
      </c>
      <c r="N2842" t="s">
        <v>26</v>
      </c>
      <c r="O2842" s="8">
        <v>1.2776666670000001</v>
      </c>
      <c r="P2842" s="8">
        <f>EXP(-1.363+3.366*LOG(O2842,10))</f>
        <v>0.36611840850570582</v>
      </c>
      <c r="Q2842" s="8">
        <f>(2618262*100)/2995732</f>
        <v>87.399740697766021</v>
      </c>
    </row>
    <row r="2843" spans="1:17" x14ac:dyDescent="0.2">
      <c r="A2843">
        <f>YEAR(D2843)</f>
        <v>2019</v>
      </c>
      <c r="B2843" t="s">
        <v>26</v>
      </c>
      <c r="C2843" s="2" t="s">
        <v>1552</v>
      </c>
      <c r="D2843" s="1">
        <v>43619</v>
      </c>
      <c r="E2843">
        <f>MONTH(D2843)</f>
        <v>6</v>
      </c>
      <c r="F2843" s="2" t="s">
        <v>19</v>
      </c>
      <c r="G2843" s="2" t="s">
        <v>20</v>
      </c>
      <c r="H2843" t="s">
        <v>145</v>
      </c>
      <c r="I2843" t="s">
        <v>22</v>
      </c>
      <c r="J2843" s="2" t="s">
        <v>42</v>
      </c>
      <c r="K2843" s="2" t="s">
        <v>3019</v>
      </c>
      <c r="L2843" t="s">
        <v>25</v>
      </c>
      <c r="M2843" s="8">
        <v>2.399666667</v>
      </c>
      <c r="N2843" t="s">
        <v>26</v>
      </c>
      <c r="O2843" s="8">
        <v>2.399666667</v>
      </c>
      <c r="P2843" s="8">
        <f>EXP(-1.363+3.366*LOG(O2843,10))</f>
        <v>0.91997203423956198</v>
      </c>
      <c r="Q2843" s="8">
        <f>(3738946*100)/3915493</f>
        <v>95.491065875995687</v>
      </c>
    </row>
    <row r="2844" spans="1:17" x14ac:dyDescent="0.2">
      <c r="A2844">
        <f>YEAR(D2844)</f>
        <v>2019</v>
      </c>
      <c r="B2844" t="s">
        <v>26</v>
      </c>
      <c r="C2844" s="2" t="s">
        <v>50</v>
      </c>
      <c r="D2844" s="1">
        <v>43620</v>
      </c>
      <c r="E2844">
        <f>MONTH(D2844)</f>
        <v>6</v>
      </c>
      <c r="F2844" s="2" t="s">
        <v>19</v>
      </c>
      <c r="G2844" t="s">
        <v>352</v>
      </c>
      <c r="H2844" t="s">
        <v>975</v>
      </c>
      <c r="I2844" t="s">
        <v>22</v>
      </c>
      <c r="J2844" s="2" t="s">
        <v>42</v>
      </c>
      <c r="K2844" s="2" t="s">
        <v>3019</v>
      </c>
      <c r="L2844" t="s">
        <v>25</v>
      </c>
      <c r="M2844" s="8">
        <v>1.0693333330000001</v>
      </c>
      <c r="N2844" t="s">
        <v>26</v>
      </c>
      <c r="O2844" s="8">
        <v>1.0693333330000001</v>
      </c>
      <c r="P2844" s="8">
        <f>EXP(-1.363+3.366*LOG(O2844,10))</f>
        <v>0.28223780327142356</v>
      </c>
      <c r="Q2844" s="8">
        <f>(4488342*100)/4914798</f>
        <v>91.323020803703429</v>
      </c>
    </row>
    <row r="2845" spans="1:17" x14ac:dyDescent="0.2">
      <c r="A2845">
        <f>YEAR(D2845)</f>
        <v>2019</v>
      </c>
      <c r="B2845" t="s">
        <v>26</v>
      </c>
      <c r="C2845" s="2" t="s">
        <v>50</v>
      </c>
      <c r="D2845" s="1">
        <v>43620</v>
      </c>
      <c r="E2845">
        <f>MONTH(D2845)</f>
        <v>6</v>
      </c>
      <c r="F2845" s="2" t="s">
        <v>19</v>
      </c>
      <c r="G2845" t="s">
        <v>352</v>
      </c>
      <c r="H2845" t="s">
        <v>975</v>
      </c>
      <c r="I2845" t="s">
        <v>22</v>
      </c>
      <c r="J2845" s="2" t="s">
        <v>42</v>
      </c>
      <c r="K2845" s="2" t="s">
        <v>3019</v>
      </c>
      <c r="L2845" t="s">
        <v>25</v>
      </c>
      <c r="M2845" s="8">
        <v>1.0693333330000001</v>
      </c>
      <c r="N2845" t="s">
        <v>26</v>
      </c>
      <c r="O2845" s="8">
        <v>1.0693333330000001</v>
      </c>
      <c r="P2845" s="8">
        <f>EXP(-1.363+3.366*LOG(O2845,10))</f>
        <v>0.28223780327142356</v>
      </c>
      <c r="Q2845" s="8">
        <f>(4488342*100)/4914798</f>
        <v>91.323020803703429</v>
      </c>
    </row>
    <row r="2846" spans="1:17" x14ac:dyDescent="0.2">
      <c r="A2846">
        <f>YEAR(D2846)</f>
        <v>2019</v>
      </c>
      <c r="B2846" t="s">
        <v>26</v>
      </c>
      <c r="C2846" s="2" t="s">
        <v>50</v>
      </c>
      <c r="D2846" s="1">
        <v>43620</v>
      </c>
      <c r="E2846">
        <f>MONTH(D2846)</f>
        <v>6</v>
      </c>
      <c r="F2846" s="2" t="s">
        <v>19</v>
      </c>
      <c r="G2846" t="s">
        <v>352</v>
      </c>
      <c r="H2846" t="s">
        <v>623</v>
      </c>
      <c r="I2846" t="s">
        <v>22</v>
      </c>
      <c r="J2846" s="2" t="s">
        <v>42</v>
      </c>
      <c r="K2846" s="2" t="s">
        <v>3019</v>
      </c>
      <c r="L2846" t="s">
        <v>25</v>
      </c>
      <c r="M2846" s="8">
        <v>1.387</v>
      </c>
      <c r="N2846" t="s">
        <v>26</v>
      </c>
      <c r="O2846" s="8">
        <v>1.387</v>
      </c>
      <c r="P2846" s="8">
        <f>EXP(-1.363+3.366*LOG(O2846,10))</f>
        <v>0.41280884754947733</v>
      </c>
      <c r="Q2846" s="8">
        <f>(4488342*100)/4914798</f>
        <v>91.323020803703429</v>
      </c>
    </row>
    <row r="2847" spans="1:17" x14ac:dyDescent="0.2">
      <c r="A2847">
        <f>YEAR(D2847)</f>
        <v>2019</v>
      </c>
      <c r="B2847" t="s">
        <v>26</v>
      </c>
      <c r="C2847" s="2" t="s">
        <v>50</v>
      </c>
      <c r="D2847" s="1">
        <v>43620</v>
      </c>
      <c r="E2847">
        <f>MONTH(D2847)</f>
        <v>6</v>
      </c>
      <c r="F2847" s="2" t="s">
        <v>19</v>
      </c>
      <c r="G2847" t="s">
        <v>352</v>
      </c>
      <c r="H2847" t="s">
        <v>623</v>
      </c>
      <c r="I2847" t="s">
        <v>22</v>
      </c>
      <c r="J2847" s="2" t="s">
        <v>42</v>
      </c>
      <c r="K2847" s="2" t="s">
        <v>3019</v>
      </c>
      <c r="L2847" t="s">
        <v>25</v>
      </c>
      <c r="M2847" s="8">
        <v>1.387</v>
      </c>
      <c r="N2847" t="s">
        <v>26</v>
      </c>
      <c r="O2847" s="8">
        <v>1.387</v>
      </c>
      <c r="P2847" s="8">
        <f>EXP(-1.363+3.366*LOG(O2847,10))</f>
        <v>0.41280884754947733</v>
      </c>
      <c r="Q2847" s="8">
        <f>(4488342*100)/4914798</f>
        <v>91.323020803703429</v>
      </c>
    </row>
    <row r="2848" spans="1:17" x14ac:dyDescent="0.2">
      <c r="A2848">
        <f>YEAR(D2848)</f>
        <v>2019</v>
      </c>
      <c r="B2848" t="s">
        <v>26</v>
      </c>
      <c r="C2848" s="2" t="s">
        <v>50</v>
      </c>
      <c r="D2848" s="1">
        <v>43620</v>
      </c>
      <c r="E2848">
        <f>MONTH(D2848)</f>
        <v>6</v>
      </c>
      <c r="F2848" s="2" t="s">
        <v>19</v>
      </c>
      <c r="G2848" t="s">
        <v>352</v>
      </c>
      <c r="H2848" t="s">
        <v>975</v>
      </c>
      <c r="I2848" t="s">
        <v>22</v>
      </c>
      <c r="J2848" s="2" t="s">
        <v>42</v>
      </c>
      <c r="K2848" s="2" t="s">
        <v>3019</v>
      </c>
      <c r="L2848" t="s">
        <v>25</v>
      </c>
      <c r="M2848" s="8">
        <v>1.0693333330000001</v>
      </c>
      <c r="N2848" t="s">
        <v>26</v>
      </c>
      <c r="O2848" s="8">
        <v>1.0693333330000001</v>
      </c>
      <c r="P2848" s="8">
        <f>EXP(-1.363+3.366*LOG(O2848,10))</f>
        <v>0.28223780327142356</v>
      </c>
      <c r="Q2848" s="8">
        <f>(4488342*100)/4914798</f>
        <v>91.323020803703429</v>
      </c>
    </row>
    <row r="2849" spans="1:17" x14ac:dyDescent="0.2">
      <c r="A2849">
        <f>YEAR(D2849)</f>
        <v>2019</v>
      </c>
      <c r="B2849" t="s">
        <v>26</v>
      </c>
      <c r="C2849" s="2" t="s">
        <v>50</v>
      </c>
      <c r="D2849" s="1">
        <v>43620</v>
      </c>
      <c r="E2849">
        <f>MONTH(D2849)</f>
        <v>6</v>
      </c>
      <c r="F2849" s="2" t="s">
        <v>2098</v>
      </c>
      <c r="G2849" t="s">
        <v>1735</v>
      </c>
      <c r="H2849" t="s">
        <v>2149</v>
      </c>
      <c r="I2849" t="s">
        <v>22</v>
      </c>
      <c r="J2849" s="2" t="s">
        <v>42</v>
      </c>
      <c r="K2849" s="2" t="s">
        <v>3019</v>
      </c>
      <c r="L2849" t="s">
        <v>25</v>
      </c>
      <c r="M2849" s="8">
        <v>2.9416666669999998</v>
      </c>
      <c r="N2849" t="s">
        <v>26</v>
      </c>
      <c r="O2849" s="8">
        <v>2.9416666669999998</v>
      </c>
      <c r="P2849" s="8">
        <f>EXP(-1.363+3.366*LOG(O2849,10))</f>
        <v>1.2389764364980187</v>
      </c>
      <c r="Q2849" s="8">
        <f>(4488342*100)/4914798</f>
        <v>91.323020803703429</v>
      </c>
    </row>
    <row r="2850" spans="1:17" x14ac:dyDescent="0.2">
      <c r="A2850">
        <f>YEAR(D2850)</f>
        <v>2019</v>
      </c>
      <c r="B2850" t="s">
        <v>26</v>
      </c>
      <c r="C2850" s="2" t="s">
        <v>50</v>
      </c>
      <c r="D2850" s="1">
        <v>43620</v>
      </c>
      <c r="E2850">
        <f>MONTH(D2850)</f>
        <v>6</v>
      </c>
      <c r="F2850" s="2" t="s">
        <v>2098</v>
      </c>
      <c r="G2850" t="s">
        <v>230</v>
      </c>
      <c r="H2850" t="s">
        <v>268</v>
      </c>
      <c r="I2850" t="s">
        <v>22</v>
      </c>
      <c r="J2850" s="2" t="s">
        <v>42</v>
      </c>
      <c r="K2850" s="2" t="s">
        <v>3019</v>
      </c>
      <c r="L2850" t="s">
        <v>25</v>
      </c>
      <c r="M2850" s="8">
        <v>3.5356666670000001</v>
      </c>
      <c r="N2850" t="s">
        <v>26</v>
      </c>
      <c r="O2850" s="8">
        <v>3.5356666670000001</v>
      </c>
      <c r="P2850" s="8">
        <f>EXP(-1.363+3.366*LOG(O2850,10))</f>
        <v>1.6211802664427075</v>
      </c>
      <c r="Q2850" s="8">
        <f>(4488342*100)/4914798</f>
        <v>91.323020803703429</v>
      </c>
    </row>
    <row r="2851" spans="1:17" x14ac:dyDescent="0.2">
      <c r="A2851">
        <f>YEAR(D2851)</f>
        <v>2019</v>
      </c>
      <c r="B2851" t="s">
        <v>26</v>
      </c>
      <c r="C2851" s="2" t="s">
        <v>50</v>
      </c>
      <c r="D2851" s="1">
        <v>43620</v>
      </c>
      <c r="E2851">
        <f>MONTH(D2851)</f>
        <v>6</v>
      </c>
      <c r="F2851" s="2" t="s">
        <v>2098</v>
      </c>
      <c r="G2851" t="s">
        <v>1735</v>
      </c>
      <c r="H2851" t="s">
        <v>2149</v>
      </c>
      <c r="I2851" t="s">
        <v>22</v>
      </c>
      <c r="J2851" s="2" t="s">
        <v>42</v>
      </c>
      <c r="K2851" s="2" t="s">
        <v>3019</v>
      </c>
      <c r="L2851" t="s">
        <v>25</v>
      </c>
      <c r="M2851" s="8">
        <v>2.9416666669999998</v>
      </c>
      <c r="N2851" t="s">
        <v>26</v>
      </c>
      <c r="O2851" s="8">
        <v>2.9416666669999998</v>
      </c>
      <c r="P2851" s="8">
        <f>EXP(-1.363+3.366*LOG(O2851,10))</f>
        <v>1.2389764364980187</v>
      </c>
      <c r="Q2851" s="8">
        <f>(4488342*100)/4914798</f>
        <v>91.323020803703429</v>
      </c>
    </row>
    <row r="2852" spans="1:17" x14ac:dyDescent="0.2">
      <c r="A2852">
        <f>YEAR(D2852)</f>
        <v>2019</v>
      </c>
      <c r="B2852" t="s">
        <v>26</v>
      </c>
      <c r="C2852" s="2" t="s">
        <v>50</v>
      </c>
      <c r="D2852" s="1">
        <v>43620</v>
      </c>
      <c r="E2852">
        <f>MONTH(D2852)</f>
        <v>6</v>
      </c>
      <c r="F2852" s="2" t="s">
        <v>2098</v>
      </c>
      <c r="G2852" t="s">
        <v>1735</v>
      </c>
      <c r="H2852" t="s">
        <v>2149</v>
      </c>
      <c r="I2852" t="s">
        <v>22</v>
      </c>
      <c r="J2852" s="2" t="s">
        <v>42</v>
      </c>
      <c r="K2852" s="2" t="s">
        <v>3019</v>
      </c>
      <c r="L2852" t="s">
        <v>25</v>
      </c>
      <c r="M2852" s="8">
        <v>2.9416666669999998</v>
      </c>
      <c r="N2852" t="s">
        <v>26</v>
      </c>
      <c r="O2852" s="8">
        <v>2.9416666669999998</v>
      </c>
      <c r="P2852" s="8">
        <f>EXP(-1.363+3.366*LOG(O2852,10))</f>
        <v>1.2389764364980187</v>
      </c>
      <c r="Q2852" s="8">
        <f>(4488342*100)/4914798</f>
        <v>91.323020803703429</v>
      </c>
    </row>
    <row r="2853" spans="1:17" x14ac:dyDescent="0.2">
      <c r="A2853">
        <f>YEAR(D2853)</f>
        <v>2019</v>
      </c>
      <c r="B2853" t="s">
        <v>26</v>
      </c>
      <c r="C2853" s="2" t="s">
        <v>50</v>
      </c>
      <c r="D2853" s="1">
        <v>43620</v>
      </c>
      <c r="E2853">
        <f>MONTH(D2853)</f>
        <v>6</v>
      </c>
      <c r="F2853" s="2" t="s">
        <v>2098</v>
      </c>
      <c r="G2853" t="s">
        <v>219</v>
      </c>
      <c r="H2853" t="s">
        <v>220</v>
      </c>
      <c r="I2853" t="s">
        <v>22</v>
      </c>
      <c r="J2853" s="2" t="s">
        <v>42</v>
      </c>
      <c r="K2853" s="2" t="s">
        <v>3019</v>
      </c>
      <c r="L2853" t="s">
        <v>25</v>
      </c>
      <c r="M2853" s="10" t="s">
        <v>26</v>
      </c>
      <c r="N2853" t="s">
        <v>26</v>
      </c>
      <c r="O2853" s="10" t="s">
        <v>26</v>
      </c>
      <c r="P2853" s="8" t="s">
        <v>26</v>
      </c>
      <c r="Q2853" s="8">
        <f>(4488342*100)/4914798</f>
        <v>91.323020803703429</v>
      </c>
    </row>
    <row r="2854" spans="1:17" x14ac:dyDescent="0.2">
      <c r="A2854">
        <f>YEAR(D2854)</f>
        <v>2019</v>
      </c>
      <c r="B2854" t="s">
        <v>26</v>
      </c>
      <c r="C2854" s="2" t="s">
        <v>50</v>
      </c>
      <c r="D2854" s="1">
        <v>43620</v>
      </c>
      <c r="E2854">
        <f>MONTH(D2854)</f>
        <v>6</v>
      </c>
      <c r="F2854" s="2" t="s">
        <v>2098</v>
      </c>
      <c r="G2854" t="s">
        <v>352</v>
      </c>
      <c r="H2854" t="s">
        <v>1344</v>
      </c>
      <c r="I2854" t="s">
        <v>22</v>
      </c>
      <c r="J2854" s="2" t="s">
        <v>42</v>
      </c>
      <c r="K2854" s="2" t="s">
        <v>3019</v>
      </c>
      <c r="L2854" t="s">
        <v>25</v>
      </c>
      <c r="M2854" s="8">
        <v>0.91800000000000004</v>
      </c>
      <c r="N2854" t="s">
        <v>26</v>
      </c>
      <c r="O2854" s="8">
        <v>0.91800000000000004</v>
      </c>
      <c r="P2854" s="8">
        <f>EXP(-1.363+3.366*LOG(O2854,10))</f>
        <v>0.22580769814771504</v>
      </c>
      <c r="Q2854" s="8">
        <f>(4488342*100)/4914798</f>
        <v>91.323020803703429</v>
      </c>
    </row>
    <row r="2855" spans="1:17" x14ac:dyDescent="0.2">
      <c r="A2855">
        <f>YEAR(D2855)</f>
        <v>2019</v>
      </c>
      <c r="B2855" t="s">
        <v>26</v>
      </c>
      <c r="C2855" s="2" t="s">
        <v>50</v>
      </c>
      <c r="D2855" s="1">
        <v>43620</v>
      </c>
      <c r="E2855">
        <f>MONTH(D2855)</f>
        <v>6</v>
      </c>
      <c r="F2855" s="2" t="s">
        <v>2098</v>
      </c>
      <c r="G2855" t="s">
        <v>219</v>
      </c>
      <c r="H2855" t="s">
        <v>220</v>
      </c>
      <c r="I2855" t="s">
        <v>22</v>
      </c>
      <c r="J2855" s="2" t="s">
        <v>42</v>
      </c>
      <c r="K2855" s="2" t="s">
        <v>3019</v>
      </c>
      <c r="L2855" t="s">
        <v>25</v>
      </c>
      <c r="M2855" s="10" t="s">
        <v>26</v>
      </c>
      <c r="N2855" t="s">
        <v>26</v>
      </c>
      <c r="O2855" s="10" t="s">
        <v>26</v>
      </c>
      <c r="P2855" s="8" t="s">
        <v>26</v>
      </c>
      <c r="Q2855" s="8">
        <f>(4488342*100)/4914798</f>
        <v>91.323020803703429</v>
      </c>
    </row>
    <row r="2856" spans="1:17" x14ac:dyDescent="0.2">
      <c r="A2856">
        <f>YEAR(D2856)</f>
        <v>2019</v>
      </c>
      <c r="B2856" t="s">
        <v>26</v>
      </c>
      <c r="C2856" s="2" t="s">
        <v>50</v>
      </c>
      <c r="D2856" s="1">
        <v>43620</v>
      </c>
      <c r="E2856">
        <f>MONTH(D2856)</f>
        <v>6</v>
      </c>
      <c r="F2856" s="2" t="s">
        <v>2098</v>
      </c>
      <c r="G2856" t="s">
        <v>219</v>
      </c>
      <c r="H2856" t="s">
        <v>220</v>
      </c>
      <c r="I2856" t="s">
        <v>22</v>
      </c>
      <c r="J2856" s="2" t="s">
        <v>42</v>
      </c>
      <c r="K2856" s="2" t="s">
        <v>3019</v>
      </c>
      <c r="L2856" t="s">
        <v>25</v>
      </c>
      <c r="M2856" s="10" t="s">
        <v>26</v>
      </c>
      <c r="N2856" t="s">
        <v>26</v>
      </c>
      <c r="O2856" s="10" t="s">
        <v>26</v>
      </c>
      <c r="P2856" s="8" t="s">
        <v>26</v>
      </c>
      <c r="Q2856" s="8">
        <f>(4488342*100)/4914798</f>
        <v>91.323020803703429</v>
      </c>
    </row>
    <row r="2857" spans="1:17" x14ac:dyDescent="0.2">
      <c r="A2857">
        <f>YEAR(D2857)</f>
        <v>2019</v>
      </c>
      <c r="B2857" t="s">
        <v>26</v>
      </c>
      <c r="C2857" s="2" t="s">
        <v>50</v>
      </c>
      <c r="D2857" s="1">
        <v>43620</v>
      </c>
      <c r="E2857">
        <f>MONTH(D2857)</f>
        <v>6</v>
      </c>
      <c r="F2857" s="2" t="s">
        <v>2098</v>
      </c>
      <c r="G2857" t="s">
        <v>219</v>
      </c>
      <c r="H2857" t="s">
        <v>220</v>
      </c>
      <c r="I2857" t="s">
        <v>22</v>
      </c>
      <c r="J2857" s="2" t="s">
        <v>42</v>
      </c>
      <c r="K2857" s="2" t="s">
        <v>3019</v>
      </c>
      <c r="L2857" t="s">
        <v>25</v>
      </c>
      <c r="M2857" s="10" t="s">
        <v>26</v>
      </c>
      <c r="N2857" t="s">
        <v>26</v>
      </c>
      <c r="O2857" s="10" t="s">
        <v>26</v>
      </c>
      <c r="P2857" s="8" t="s">
        <v>26</v>
      </c>
      <c r="Q2857" s="8">
        <f>(4488342*100)/4914798</f>
        <v>91.323020803703429</v>
      </c>
    </row>
    <row r="2858" spans="1:17" x14ac:dyDescent="0.2">
      <c r="A2858">
        <f>YEAR(D2858)</f>
        <v>2019</v>
      </c>
      <c r="B2858" t="s">
        <v>26</v>
      </c>
      <c r="C2858" s="2" t="s">
        <v>50</v>
      </c>
      <c r="D2858" s="1">
        <v>43620</v>
      </c>
      <c r="E2858">
        <f>MONTH(D2858)</f>
        <v>6</v>
      </c>
      <c r="F2858" s="2" t="s">
        <v>2098</v>
      </c>
      <c r="G2858" t="s">
        <v>219</v>
      </c>
      <c r="H2858" t="s">
        <v>220</v>
      </c>
      <c r="I2858" t="s">
        <v>22</v>
      </c>
      <c r="J2858" s="2" t="s">
        <v>42</v>
      </c>
      <c r="K2858" s="2" t="s">
        <v>3019</v>
      </c>
      <c r="L2858" t="s">
        <v>25</v>
      </c>
      <c r="M2858" s="10" t="s">
        <v>26</v>
      </c>
      <c r="N2858" t="s">
        <v>26</v>
      </c>
      <c r="O2858" s="10" t="s">
        <v>26</v>
      </c>
      <c r="P2858" s="8" t="s">
        <v>26</v>
      </c>
      <c r="Q2858" s="8">
        <f>(4488342*100)/4914798</f>
        <v>91.323020803703429</v>
      </c>
    </row>
    <row r="2859" spans="1:17" x14ac:dyDescent="0.2">
      <c r="A2859">
        <f>YEAR(D2859)</f>
        <v>2019</v>
      </c>
      <c r="B2859" t="s">
        <v>26</v>
      </c>
      <c r="C2859" s="2" t="s">
        <v>50</v>
      </c>
      <c r="D2859" s="1">
        <v>43620</v>
      </c>
      <c r="E2859">
        <f>MONTH(D2859)</f>
        <v>6</v>
      </c>
      <c r="F2859" s="2" t="s">
        <v>2098</v>
      </c>
      <c r="G2859" s="2" t="s">
        <v>20</v>
      </c>
      <c r="H2859" t="s">
        <v>3049</v>
      </c>
      <c r="I2859" t="s">
        <v>22</v>
      </c>
      <c r="J2859" s="2" t="s">
        <v>42</v>
      </c>
      <c r="K2859" s="2" t="s">
        <v>3019</v>
      </c>
      <c r="L2859" t="s">
        <v>187</v>
      </c>
      <c r="M2859" s="8">
        <v>2.0760000000000001</v>
      </c>
      <c r="N2859" t="s">
        <v>26</v>
      </c>
      <c r="O2859" s="8">
        <v>2.0760000000000001</v>
      </c>
      <c r="P2859" s="8">
        <f>EXP(-1.363+3.366*LOG(O2859,10))</f>
        <v>0.74437321067382567</v>
      </c>
      <c r="Q2859" s="8">
        <f>(4488342*100)/4914798</f>
        <v>91.323020803703429</v>
      </c>
    </row>
    <row r="2860" spans="1:17" x14ac:dyDescent="0.2">
      <c r="A2860">
        <f>YEAR(D2860)</f>
        <v>2019</v>
      </c>
      <c r="B2860" t="s">
        <v>26</v>
      </c>
      <c r="C2860" s="2" t="s">
        <v>50</v>
      </c>
      <c r="D2860" s="1">
        <v>43620</v>
      </c>
      <c r="E2860">
        <f>MONTH(D2860)</f>
        <v>6</v>
      </c>
      <c r="F2860" s="2" t="s">
        <v>2098</v>
      </c>
      <c r="G2860" s="2" t="s">
        <v>20</v>
      </c>
      <c r="H2860" t="s">
        <v>3049</v>
      </c>
      <c r="I2860" t="s">
        <v>22</v>
      </c>
      <c r="J2860" s="2" t="s">
        <v>42</v>
      </c>
      <c r="K2860" s="2" t="s">
        <v>3019</v>
      </c>
      <c r="L2860" t="s">
        <v>187</v>
      </c>
      <c r="M2860" s="8">
        <v>2.0760000000000001</v>
      </c>
      <c r="N2860" t="s">
        <v>26</v>
      </c>
      <c r="O2860" s="8">
        <v>2.0760000000000001</v>
      </c>
      <c r="P2860" s="8">
        <f>EXP(-1.363+3.366*LOG(O2860,10))</f>
        <v>0.74437321067382567</v>
      </c>
      <c r="Q2860" s="8">
        <f>(4488342*100)/4914798</f>
        <v>91.323020803703429</v>
      </c>
    </row>
    <row r="2861" spans="1:17" x14ac:dyDescent="0.2">
      <c r="A2861">
        <f>YEAR(D2861)</f>
        <v>2019</v>
      </c>
      <c r="B2861" t="s">
        <v>26</v>
      </c>
      <c r="C2861" s="2" t="s">
        <v>50</v>
      </c>
      <c r="D2861" s="1">
        <v>43620</v>
      </c>
      <c r="E2861">
        <f>MONTH(D2861)</f>
        <v>6</v>
      </c>
      <c r="F2861" s="2" t="s">
        <v>2098</v>
      </c>
      <c r="G2861" s="2" t="s">
        <v>20</v>
      </c>
      <c r="H2861" t="s">
        <v>3049</v>
      </c>
      <c r="I2861" t="s">
        <v>22</v>
      </c>
      <c r="J2861" s="2" t="s">
        <v>42</v>
      </c>
      <c r="K2861" s="2" t="s">
        <v>3019</v>
      </c>
      <c r="L2861" t="s">
        <v>187</v>
      </c>
      <c r="M2861" s="8">
        <v>2.0760000000000001</v>
      </c>
      <c r="N2861" t="s">
        <v>26</v>
      </c>
      <c r="O2861" s="8">
        <v>2.0760000000000001</v>
      </c>
      <c r="P2861" s="8">
        <f>EXP(-1.363+3.366*LOG(O2861,10))</f>
        <v>0.74437321067382567</v>
      </c>
      <c r="Q2861" s="8">
        <f>(4488342*100)/4914798</f>
        <v>91.323020803703429</v>
      </c>
    </row>
    <row r="2862" spans="1:17" x14ac:dyDescent="0.2">
      <c r="A2862">
        <f>YEAR(D2862)</f>
        <v>2019</v>
      </c>
      <c r="B2862" t="s">
        <v>26</v>
      </c>
      <c r="C2862" s="2" t="s">
        <v>50</v>
      </c>
      <c r="D2862" s="1">
        <v>43620</v>
      </c>
      <c r="E2862">
        <f>MONTH(D2862)</f>
        <v>6</v>
      </c>
      <c r="F2862" s="2" t="s">
        <v>2098</v>
      </c>
      <c r="G2862" s="2" t="s">
        <v>20</v>
      </c>
      <c r="H2862" t="s">
        <v>3049</v>
      </c>
      <c r="I2862" t="s">
        <v>22</v>
      </c>
      <c r="J2862" s="2" t="s">
        <v>42</v>
      </c>
      <c r="K2862" s="2" t="s">
        <v>3019</v>
      </c>
      <c r="L2862" t="s">
        <v>187</v>
      </c>
      <c r="M2862" s="8">
        <v>2.0760000000000001</v>
      </c>
      <c r="N2862" t="s">
        <v>26</v>
      </c>
      <c r="O2862" s="8">
        <v>2.0760000000000001</v>
      </c>
      <c r="P2862" s="8">
        <f>EXP(-1.363+3.366*LOG(O2862,10))</f>
        <v>0.74437321067382567</v>
      </c>
      <c r="Q2862" s="8">
        <f>(4488342*100)/4914798</f>
        <v>91.323020803703429</v>
      </c>
    </row>
    <row r="2863" spans="1:17" x14ac:dyDescent="0.2">
      <c r="A2863">
        <f>YEAR(D2863)</f>
        <v>2019</v>
      </c>
      <c r="B2863" t="s">
        <v>26</v>
      </c>
      <c r="C2863" s="2" t="s">
        <v>50</v>
      </c>
      <c r="D2863" s="1">
        <v>43620</v>
      </c>
      <c r="E2863">
        <f>MONTH(D2863)</f>
        <v>6</v>
      </c>
      <c r="F2863" s="2" t="s">
        <v>2098</v>
      </c>
      <c r="G2863" s="2" t="s">
        <v>20</v>
      </c>
      <c r="H2863" t="s">
        <v>3049</v>
      </c>
      <c r="I2863" t="s">
        <v>22</v>
      </c>
      <c r="J2863" s="2" t="s">
        <v>42</v>
      </c>
      <c r="K2863" s="2" t="s">
        <v>3019</v>
      </c>
      <c r="L2863" t="s">
        <v>187</v>
      </c>
      <c r="M2863" s="8">
        <v>2.0760000000000001</v>
      </c>
      <c r="N2863" t="s">
        <v>26</v>
      </c>
      <c r="O2863" s="8">
        <v>2.0760000000000001</v>
      </c>
      <c r="P2863" s="8">
        <f>EXP(-1.363+3.366*LOG(O2863,10))</f>
        <v>0.74437321067382567</v>
      </c>
      <c r="Q2863" s="8">
        <f>(4488342*100)/4914798</f>
        <v>91.323020803703429</v>
      </c>
    </row>
    <row r="2864" spans="1:17" x14ac:dyDescent="0.2">
      <c r="A2864">
        <f>YEAR(D2864)</f>
        <v>2019</v>
      </c>
      <c r="B2864" t="s">
        <v>26</v>
      </c>
      <c r="C2864" s="2" t="s">
        <v>50</v>
      </c>
      <c r="D2864" s="1">
        <v>43620</v>
      </c>
      <c r="E2864">
        <f>MONTH(D2864)</f>
        <v>6</v>
      </c>
      <c r="F2864" s="2" t="s">
        <v>2098</v>
      </c>
      <c r="G2864" s="2" t="s">
        <v>20</v>
      </c>
      <c r="H2864" t="s">
        <v>3049</v>
      </c>
      <c r="I2864" t="s">
        <v>22</v>
      </c>
      <c r="J2864" s="2" t="s">
        <v>42</v>
      </c>
      <c r="K2864" s="2" t="s">
        <v>3019</v>
      </c>
      <c r="L2864" t="s">
        <v>187</v>
      </c>
      <c r="M2864" s="8">
        <v>2.0760000000000001</v>
      </c>
      <c r="N2864" t="s">
        <v>26</v>
      </c>
      <c r="O2864" s="8">
        <v>2.0760000000000001</v>
      </c>
      <c r="P2864" s="8">
        <f>EXP(-1.363+3.366*LOG(O2864,10))</f>
        <v>0.74437321067382567</v>
      </c>
      <c r="Q2864" s="8">
        <f>(4488342*100)/4914798</f>
        <v>91.323020803703429</v>
      </c>
    </row>
    <row r="2865" spans="1:17" x14ac:dyDescent="0.2">
      <c r="A2865">
        <f>YEAR(D2865)</f>
        <v>2019</v>
      </c>
      <c r="B2865" t="s">
        <v>26</v>
      </c>
      <c r="C2865" s="2" t="s">
        <v>50</v>
      </c>
      <c r="D2865" s="1">
        <v>43620</v>
      </c>
      <c r="E2865">
        <f>MONTH(D2865)</f>
        <v>6</v>
      </c>
      <c r="F2865" s="2" t="s">
        <v>2098</v>
      </c>
      <c r="G2865" t="s">
        <v>352</v>
      </c>
      <c r="H2865" t="s">
        <v>623</v>
      </c>
      <c r="I2865" t="s">
        <v>22</v>
      </c>
      <c r="J2865" s="2" t="s">
        <v>42</v>
      </c>
      <c r="K2865" s="2" t="s">
        <v>3019</v>
      </c>
      <c r="L2865" t="s">
        <v>25</v>
      </c>
      <c r="M2865" s="8">
        <v>1.387</v>
      </c>
      <c r="N2865" t="s">
        <v>26</v>
      </c>
      <c r="O2865" s="8">
        <v>1.387</v>
      </c>
      <c r="P2865" s="8">
        <f>EXP(-1.363+3.366*LOG(O2865,10))</f>
        <v>0.41280884754947733</v>
      </c>
      <c r="Q2865" s="8">
        <f>(4488342*100)/4914798</f>
        <v>91.323020803703429</v>
      </c>
    </row>
    <row r="2866" spans="1:17" x14ac:dyDescent="0.2">
      <c r="A2866">
        <f>YEAR(D2866)</f>
        <v>2019</v>
      </c>
      <c r="B2866" t="s">
        <v>26</v>
      </c>
      <c r="C2866" s="2" t="s">
        <v>50</v>
      </c>
      <c r="D2866" s="1">
        <v>43620</v>
      </c>
      <c r="E2866">
        <f>MONTH(D2866)</f>
        <v>6</v>
      </c>
      <c r="F2866" s="2" t="s">
        <v>2098</v>
      </c>
      <c r="G2866" t="s">
        <v>1520</v>
      </c>
      <c r="H2866" t="s">
        <v>1528</v>
      </c>
      <c r="I2866" t="s">
        <v>22</v>
      </c>
      <c r="J2866" s="2" t="s">
        <v>42</v>
      </c>
      <c r="K2866" s="2" t="s">
        <v>3019</v>
      </c>
      <c r="L2866" t="s">
        <v>25</v>
      </c>
      <c r="M2866" s="8">
        <v>3.624333333</v>
      </c>
      <c r="N2866" t="s">
        <v>26</v>
      </c>
      <c r="O2866" s="8">
        <v>3.624333333</v>
      </c>
      <c r="P2866" s="8">
        <f>EXP(-1.363+3.366*LOG(O2866,10))</f>
        <v>1.6809546844949765</v>
      </c>
      <c r="Q2866" s="8">
        <f>(4488342*100)/4914798</f>
        <v>91.323020803703429</v>
      </c>
    </row>
    <row r="2867" spans="1:17" x14ac:dyDescent="0.2">
      <c r="A2867">
        <f>YEAR(D2867)</f>
        <v>2019</v>
      </c>
      <c r="B2867" t="s">
        <v>26</v>
      </c>
      <c r="C2867" s="2" t="s">
        <v>50</v>
      </c>
      <c r="D2867" s="1">
        <v>43620</v>
      </c>
      <c r="E2867">
        <f>MONTH(D2867)</f>
        <v>6</v>
      </c>
      <c r="F2867" s="2" t="s">
        <v>2098</v>
      </c>
      <c r="G2867" s="2" t="s">
        <v>230</v>
      </c>
      <c r="H2867" t="s">
        <v>3054</v>
      </c>
      <c r="I2867" t="s">
        <v>36</v>
      </c>
      <c r="J2867" s="2" t="s">
        <v>42</v>
      </c>
      <c r="K2867" s="2" t="s">
        <v>3019</v>
      </c>
      <c r="L2867" t="s">
        <v>25</v>
      </c>
      <c r="M2867" s="8">
        <v>3.3713333333333337</v>
      </c>
      <c r="N2867" t="s">
        <v>26</v>
      </c>
      <c r="O2867" s="8">
        <v>3.3713333333333337</v>
      </c>
      <c r="P2867" s="8">
        <f>EXP(-1.363+3.366*LOG(O2867,10))</f>
        <v>1.5122226223843516</v>
      </c>
      <c r="Q2867" s="8">
        <f>(4488342*100)/4914798</f>
        <v>91.323020803703429</v>
      </c>
    </row>
    <row r="2868" spans="1:17" x14ac:dyDescent="0.2">
      <c r="A2868">
        <f>YEAR(D2868)</f>
        <v>2019</v>
      </c>
      <c r="B2868" t="s">
        <v>26</v>
      </c>
      <c r="C2868" s="2" t="s">
        <v>50</v>
      </c>
      <c r="D2868" s="1">
        <v>43620</v>
      </c>
      <c r="E2868">
        <f>MONTH(D2868)</f>
        <v>6</v>
      </c>
      <c r="F2868" s="2" t="s">
        <v>2098</v>
      </c>
      <c r="G2868" t="s">
        <v>1520</v>
      </c>
      <c r="H2868" t="s">
        <v>1524</v>
      </c>
      <c r="I2868" t="s">
        <v>36</v>
      </c>
      <c r="J2868" s="2" t="s">
        <v>42</v>
      </c>
      <c r="K2868" s="2" t="s">
        <v>3019</v>
      </c>
      <c r="L2868" t="s">
        <v>187</v>
      </c>
      <c r="M2868" s="8">
        <v>3.0609999999999999</v>
      </c>
      <c r="N2868" t="s">
        <v>26</v>
      </c>
      <c r="O2868" s="8">
        <v>3.0609999999999999</v>
      </c>
      <c r="P2868" s="8">
        <f>EXP(-1.363+3.366*LOG(O2868,10))</f>
        <v>1.3131331083191324</v>
      </c>
      <c r="Q2868" s="8">
        <f>(4488342*100)/4914798</f>
        <v>91.323020803703429</v>
      </c>
    </row>
    <row r="2869" spans="1:17" x14ac:dyDescent="0.2">
      <c r="A2869">
        <f>YEAR(D2869)</f>
        <v>2019</v>
      </c>
      <c r="B2869" t="s">
        <v>26</v>
      </c>
      <c r="C2869" s="2" t="s">
        <v>50</v>
      </c>
      <c r="D2869" s="1">
        <v>43620</v>
      </c>
      <c r="E2869">
        <f>MONTH(D2869)</f>
        <v>6</v>
      </c>
      <c r="F2869" s="2" t="s">
        <v>2098</v>
      </c>
      <c r="G2869" t="s">
        <v>2206</v>
      </c>
      <c r="H2869" t="s">
        <v>2263</v>
      </c>
      <c r="I2869" t="s">
        <v>22</v>
      </c>
      <c r="J2869" s="2" t="s">
        <v>42</v>
      </c>
      <c r="K2869" s="2" t="s">
        <v>3019</v>
      </c>
      <c r="L2869" t="s">
        <v>25</v>
      </c>
      <c r="M2869" s="8">
        <v>3.7376666670000001</v>
      </c>
      <c r="N2869" t="s">
        <v>26</v>
      </c>
      <c r="O2869" s="8">
        <v>3.7376666670000001</v>
      </c>
      <c r="P2869" s="8">
        <f>EXP(-1.363+3.366*LOG(O2869,10))</f>
        <v>1.7583458516827115</v>
      </c>
      <c r="Q2869" s="8">
        <f>(4488342*100)/4914798</f>
        <v>91.323020803703429</v>
      </c>
    </row>
    <row r="2870" spans="1:17" x14ac:dyDescent="0.2">
      <c r="A2870">
        <f>YEAR(D2870)</f>
        <v>2019</v>
      </c>
      <c r="B2870" t="s">
        <v>26</v>
      </c>
      <c r="C2870" s="2" t="s">
        <v>50</v>
      </c>
      <c r="D2870" s="1">
        <v>43620</v>
      </c>
      <c r="E2870">
        <f>MONTH(D2870)</f>
        <v>6</v>
      </c>
      <c r="F2870" s="2" t="s">
        <v>2098</v>
      </c>
      <c r="G2870" t="s">
        <v>230</v>
      </c>
      <c r="H2870" t="s">
        <v>235</v>
      </c>
      <c r="I2870" t="s">
        <v>22</v>
      </c>
      <c r="J2870" s="2" t="s">
        <v>42</v>
      </c>
      <c r="K2870" s="2" t="s">
        <v>3019</v>
      </c>
      <c r="L2870" t="s">
        <v>25</v>
      </c>
      <c r="M2870" s="8">
        <v>3.4609999999999999</v>
      </c>
      <c r="N2870" t="s">
        <v>26</v>
      </c>
      <c r="O2870" s="8">
        <v>3.4609999999999999</v>
      </c>
      <c r="P2870" s="8">
        <f>EXP(-1.363+3.366*LOG(O2870,10))</f>
        <v>1.5713774371592206</v>
      </c>
      <c r="Q2870" s="8">
        <f>(4488342*100)/4914798</f>
        <v>91.323020803703429</v>
      </c>
    </row>
    <row r="2871" spans="1:17" x14ac:dyDescent="0.2">
      <c r="A2871">
        <f>YEAR(D2871)</f>
        <v>2019</v>
      </c>
      <c r="B2871" t="s">
        <v>26</v>
      </c>
      <c r="C2871" s="2" t="s">
        <v>50</v>
      </c>
      <c r="D2871" s="1">
        <v>43620</v>
      </c>
      <c r="E2871">
        <f>MONTH(D2871)</f>
        <v>6</v>
      </c>
      <c r="F2871" s="2" t="s">
        <v>2098</v>
      </c>
      <c r="G2871" t="s">
        <v>2206</v>
      </c>
      <c r="H2871" t="s">
        <v>2207</v>
      </c>
      <c r="I2871" t="s">
        <v>22</v>
      </c>
      <c r="J2871" s="2" t="s">
        <v>42</v>
      </c>
      <c r="K2871" s="2" t="s">
        <v>3019</v>
      </c>
      <c r="L2871" t="s">
        <v>25</v>
      </c>
      <c r="M2871" s="8">
        <v>3.249333333</v>
      </c>
      <c r="N2871" t="s">
        <v>26</v>
      </c>
      <c r="O2871" s="8">
        <v>3.249333333</v>
      </c>
      <c r="P2871" s="8">
        <f>EXP(-1.363+3.366*LOG(O2871,10))</f>
        <v>1.4328987616438449</v>
      </c>
      <c r="Q2871" s="8">
        <f>(4488342*100)/4914798</f>
        <v>91.323020803703429</v>
      </c>
    </row>
    <row r="2872" spans="1:17" x14ac:dyDescent="0.2">
      <c r="A2872">
        <f>YEAR(D2872)</f>
        <v>2019</v>
      </c>
      <c r="B2872" t="s">
        <v>26</v>
      </c>
      <c r="C2872" s="2" t="s">
        <v>50</v>
      </c>
      <c r="D2872" s="1">
        <v>43620</v>
      </c>
      <c r="E2872">
        <f>MONTH(D2872)</f>
        <v>6</v>
      </c>
      <c r="F2872" s="2" t="s">
        <v>2098</v>
      </c>
      <c r="G2872" t="s">
        <v>2206</v>
      </c>
      <c r="H2872" t="s">
        <v>2207</v>
      </c>
      <c r="I2872" t="s">
        <v>22</v>
      </c>
      <c r="J2872" s="2" t="s">
        <v>42</v>
      </c>
      <c r="K2872" s="2" t="s">
        <v>3019</v>
      </c>
      <c r="L2872" t="s">
        <v>25</v>
      </c>
      <c r="M2872" s="8">
        <v>3.249333333</v>
      </c>
      <c r="N2872" t="s">
        <v>26</v>
      </c>
      <c r="O2872" s="8">
        <v>3.249333333</v>
      </c>
      <c r="P2872" s="8">
        <f>EXP(-1.363+3.366*LOG(O2872,10))</f>
        <v>1.4328987616438449</v>
      </c>
      <c r="Q2872" s="8">
        <f>(4488342*100)/4914798</f>
        <v>91.323020803703429</v>
      </c>
    </row>
    <row r="2873" spans="1:17" x14ac:dyDescent="0.2">
      <c r="A2873">
        <f>YEAR(D2873)</f>
        <v>2019</v>
      </c>
      <c r="B2873" t="s">
        <v>26</v>
      </c>
      <c r="C2873" s="2" t="s">
        <v>50</v>
      </c>
      <c r="D2873" s="1">
        <v>43620</v>
      </c>
      <c r="E2873">
        <f>MONTH(D2873)</f>
        <v>6</v>
      </c>
      <c r="F2873" s="2" t="s">
        <v>2098</v>
      </c>
      <c r="G2873" t="s">
        <v>2206</v>
      </c>
      <c r="H2873" t="s">
        <v>2207</v>
      </c>
      <c r="I2873" t="s">
        <v>22</v>
      </c>
      <c r="J2873" s="2" t="s">
        <v>42</v>
      </c>
      <c r="K2873" s="2" t="s">
        <v>3019</v>
      </c>
      <c r="L2873" t="s">
        <v>25</v>
      </c>
      <c r="M2873" s="8">
        <v>3.249333333</v>
      </c>
      <c r="N2873" t="s">
        <v>26</v>
      </c>
      <c r="O2873" s="8">
        <v>3.249333333</v>
      </c>
      <c r="P2873" s="8">
        <f>EXP(-1.363+3.366*LOG(O2873,10))</f>
        <v>1.4328987616438449</v>
      </c>
      <c r="Q2873" s="8">
        <f>(4488342*100)/4914798</f>
        <v>91.323020803703429</v>
      </c>
    </row>
    <row r="2874" spans="1:17" x14ac:dyDescent="0.2">
      <c r="A2874">
        <f>YEAR(D2874)</f>
        <v>2019</v>
      </c>
      <c r="B2874" t="s">
        <v>26</v>
      </c>
      <c r="C2874" s="2" t="s">
        <v>50</v>
      </c>
      <c r="D2874" s="1">
        <v>43620</v>
      </c>
      <c r="E2874">
        <f>MONTH(D2874)</f>
        <v>6</v>
      </c>
      <c r="F2874" s="2" t="s">
        <v>2098</v>
      </c>
      <c r="G2874" t="s">
        <v>2206</v>
      </c>
      <c r="H2874" t="s">
        <v>2207</v>
      </c>
      <c r="I2874" t="s">
        <v>22</v>
      </c>
      <c r="J2874" s="2" t="s">
        <v>42</v>
      </c>
      <c r="K2874" s="2" t="s">
        <v>3019</v>
      </c>
      <c r="L2874" t="s">
        <v>25</v>
      </c>
      <c r="M2874" s="8">
        <v>3.249333333</v>
      </c>
      <c r="N2874" t="s">
        <v>26</v>
      </c>
      <c r="O2874" s="8">
        <v>3.249333333</v>
      </c>
      <c r="P2874" s="8">
        <f>EXP(-1.363+3.366*LOG(O2874,10))</f>
        <v>1.4328987616438449</v>
      </c>
      <c r="Q2874" s="8">
        <f>(4488342*100)/4914798</f>
        <v>91.323020803703429</v>
      </c>
    </row>
    <row r="2875" spans="1:17" x14ac:dyDescent="0.2">
      <c r="A2875">
        <f>YEAR(D2875)</f>
        <v>2019</v>
      </c>
      <c r="B2875" t="s">
        <v>26</v>
      </c>
      <c r="C2875" s="2" t="s">
        <v>50</v>
      </c>
      <c r="D2875" s="1">
        <v>43620</v>
      </c>
      <c r="E2875">
        <f>MONTH(D2875)</f>
        <v>6</v>
      </c>
      <c r="F2875" s="2" t="s">
        <v>2098</v>
      </c>
      <c r="G2875" t="s">
        <v>2206</v>
      </c>
      <c r="H2875" t="s">
        <v>2207</v>
      </c>
      <c r="I2875" t="s">
        <v>36</v>
      </c>
      <c r="J2875" s="2" t="s">
        <v>42</v>
      </c>
      <c r="K2875" s="2" t="s">
        <v>3019</v>
      </c>
      <c r="L2875" t="s">
        <v>25</v>
      </c>
      <c r="M2875" s="8">
        <v>3.6386666669999999</v>
      </c>
      <c r="N2875" t="s">
        <v>26</v>
      </c>
      <c r="O2875" s="8">
        <v>3.6386666669999999</v>
      </c>
      <c r="P2875" s="8">
        <f>EXP(-1.363+3.366*LOG(O2875,10))</f>
        <v>1.6906814772344552</v>
      </c>
      <c r="Q2875" s="8">
        <f>(4488342*100)/4914798</f>
        <v>91.323020803703429</v>
      </c>
    </row>
    <row r="2876" spans="1:17" x14ac:dyDescent="0.2">
      <c r="A2876">
        <f>YEAR(D2876)</f>
        <v>2019</v>
      </c>
      <c r="B2876" t="s">
        <v>26</v>
      </c>
      <c r="C2876" s="2" t="s">
        <v>50</v>
      </c>
      <c r="D2876" s="1">
        <v>43620</v>
      </c>
      <c r="E2876">
        <f>MONTH(D2876)</f>
        <v>6</v>
      </c>
      <c r="F2876" s="2" t="s">
        <v>2098</v>
      </c>
      <c r="G2876" t="s">
        <v>2206</v>
      </c>
      <c r="H2876" t="s">
        <v>2207</v>
      </c>
      <c r="I2876" t="s">
        <v>22</v>
      </c>
      <c r="J2876" s="2" t="s">
        <v>42</v>
      </c>
      <c r="K2876" s="2" t="s">
        <v>3019</v>
      </c>
      <c r="L2876" t="s">
        <v>25</v>
      </c>
      <c r="M2876" s="8">
        <v>3.249333333</v>
      </c>
      <c r="N2876" t="s">
        <v>26</v>
      </c>
      <c r="O2876" s="8">
        <v>3.249333333</v>
      </c>
      <c r="P2876" s="8">
        <f>EXP(-1.363+3.366*LOG(O2876,10))</f>
        <v>1.4328987616438449</v>
      </c>
      <c r="Q2876" s="8">
        <f>(4488342*100)/4914798</f>
        <v>91.323020803703429</v>
      </c>
    </row>
    <row r="2877" spans="1:17" x14ac:dyDescent="0.2">
      <c r="A2877">
        <f>YEAR(D2877)</f>
        <v>2019</v>
      </c>
      <c r="B2877" t="s">
        <v>26</v>
      </c>
      <c r="C2877" s="2" t="s">
        <v>50</v>
      </c>
      <c r="D2877" s="1">
        <v>43620</v>
      </c>
      <c r="E2877">
        <f>MONTH(D2877)</f>
        <v>6</v>
      </c>
      <c r="F2877" s="2" t="s">
        <v>2098</v>
      </c>
      <c r="G2877" t="s">
        <v>2206</v>
      </c>
      <c r="H2877" t="s">
        <v>2207</v>
      </c>
      <c r="I2877" t="s">
        <v>22</v>
      </c>
      <c r="J2877" s="2" t="s">
        <v>42</v>
      </c>
      <c r="K2877" s="2" t="s">
        <v>3019</v>
      </c>
      <c r="L2877" t="s">
        <v>25</v>
      </c>
      <c r="M2877" s="8">
        <v>3.249333333</v>
      </c>
      <c r="N2877" t="s">
        <v>26</v>
      </c>
      <c r="O2877" s="8">
        <v>3.249333333</v>
      </c>
      <c r="P2877" s="8">
        <f>EXP(-1.363+3.366*LOG(O2877,10))</f>
        <v>1.4328987616438449</v>
      </c>
      <c r="Q2877" s="8">
        <f>(4488342*100)/4914798</f>
        <v>91.323020803703429</v>
      </c>
    </row>
    <row r="2878" spans="1:17" x14ac:dyDescent="0.2">
      <c r="A2878">
        <f>YEAR(D2878)</f>
        <v>2019</v>
      </c>
      <c r="B2878" t="s">
        <v>26</v>
      </c>
      <c r="C2878" s="2" t="s">
        <v>50</v>
      </c>
      <c r="D2878" s="1">
        <v>43620</v>
      </c>
      <c r="E2878">
        <f>MONTH(D2878)</f>
        <v>6</v>
      </c>
      <c r="F2878" s="2" t="s">
        <v>2098</v>
      </c>
      <c r="G2878" t="s">
        <v>1520</v>
      </c>
      <c r="H2878" t="s">
        <v>1528</v>
      </c>
      <c r="I2878" t="s">
        <v>22</v>
      </c>
      <c r="J2878" s="2" t="s">
        <v>42</v>
      </c>
      <c r="K2878" s="2" t="s">
        <v>3019</v>
      </c>
      <c r="L2878" t="s">
        <v>25</v>
      </c>
      <c r="M2878" s="8">
        <v>3.624333333</v>
      </c>
      <c r="N2878" t="s">
        <v>26</v>
      </c>
      <c r="O2878" s="8">
        <v>3.624333333</v>
      </c>
      <c r="P2878" s="8">
        <f>EXP(-1.363+3.366*LOG(O2878,10))</f>
        <v>1.6809546844949765</v>
      </c>
      <c r="Q2878" s="8">
        <f>(4488342*100)/4914798</f>
        <v>91.323020803703429</v>
      </c>
    </row>
    <row r="2879" spans="1:17" x14ac:dyDescent="0.2">
      <c r="A2879">
        <f>YEAR(D2879)</f>
        <v>2019</v>
      </c>
      <c r="B2879" t="s">
        <v>26</v>
      </c>
      <c r="C2879" s="2" t="s">
        <v>50</v>
      </c>
      <c r="D2879" s="1">
        <v>43620</v>
      </c>
      <c r="E2879">
        <f>MONTH(D2879)</f>
        <v>6</v>
      </c>
      <c r="F2879" s="2" t="s">
        <v>2098</v>
      </c>
      <c r="G2879" t="s">
        <v>1520</v>
      </c>
      <c r="H2879" t="s">
        <v>1528</v>
      </c>
      <c r="I2879" t="s">
        <v>22</v>
      </c>
      <c r="J2879" s="2" t="s">
        <v>42</v>
      </c>
      <c r="K2879" s="2" t="s">
        <v>3019</v>
      </c>
      <c r="L2879" t="s">
        <v>25</v>
      </c>
      <c r="M2879" s="8">
        <v>3.624333333</v>
      </c>
      <c r="N2879" t="s">
        <v>26</v>
      </c>
      <c r="O2879" s="8">
        <v>3.624333333</v>
      </c>
      <c r="P2879" s="8">
        <f>EXP(-1.363+3.366*LOG(O2879,10))</f>
        <v>1.6809546844949765</v>
      </c>
      <c r="Q2879" s="8">
        <f>(4488342*100)/4914798</f>
        <v>91.323020803703429</v>
      </c>
    </row>
    <row r="2880" spans="1:17" x14ac:dyDescent="0.2">
      <c r="A2880">
        <f>YEAR(D2880)</f>
        <v>2019</v>
      </c>
      <c r="B2880" t="s">
        <v>26</v>
      </c>
      <c r="C2880" s="2" t="s">
        <v>50</v>
      </c>
      <c r="D2880" s="1">
        <v>43620</v>
      </c>
      <c r="E2880">
        <f>MONTH(D2880)</f>
        <v>6</v>
      </c>
      <c r="F2880" s="2" t="s">
        <v>2098</v>
      </c>
      <c r="G2880" t="s">
        <v>1520</v>
      </c>
      <c r="H2880" t="s">
        <v>1528</v>
      </c>
      <c r="I2880" t="s">
        <v>22</v>
      </c>
      <c r="J2880" s="2" t="s">
        <v>42</v>
      </c>
      <c r="K2880" s="2" t="s">
        <v>3019</v>
      </c>
      <c r="L2880" t="s">
        <v>25</v>
      </c>
      <c r="M2880" s="8">
        <v>3.624333333</v>
      </c>
      <c r="N2880" t="s">
        <v>26</v>
      </c>
      <c r="O2880" s="8">
        <v>3.624333333</v>
      </c>
      <c r="P2880" s="8">
        <f>EXP(-1.363+3.366*LOG(O2880,10))</f>
        <v>1.6809546844949765</v>
      </c>
      <c r="Q2880" s="8">
        <f>(4488342*100)/4914798</f>
        <v>91.323020803703429</v>
      </c>
    </row>
    <row r="2881" spans="1:17" x14ac:dyDescent="0.2">
      <c r="A2881">
        <f>YEAR(D2881)</f>
        <v>2019</v>
      </c>
      <c r="B2881" t="s">
        <v>26</v>
      </c>
      <c r="C2881" s="2" t="s">
        <v>3023</v>
      </c>
      <c r="D2881" s="1">
        <v>43622</v>
      </c>
      <c r="E2881">
        <f>MONTH(D2881)</f>
        <v>6</v>
      </c>
      <c r="F2881" s="2" t="s">
        <v>2098</v>
      </c>
      <c r="G2881" t="s">
        <v>352</v>
      </c>
      <c r="H2881" t="s">
        <v>1459</v>
      </c>
      <c r="I2881" t="s">
        <v>22</v>
      </c>
      <c r="J2881" s="2" t="s">
        <v>42</v>
      </c>
      <c r="K2881" s="2" t="s">
        <v>3019</v>
      </c>
      <c r="L2881" t="s">
        <v>25</v>
      </c>
      <c r="M2881" s="8">
        <v>1.1910000000000001</v>
      </c>
      <c r="N2881" t="s">
        <v>26</v>
      </c>
      <c r="O2881" s="8">
        <v>1.1910000000000001</v>
      </c>
      <c r="P2881" s="8">
        <f>EXP(-1.363+3.366*LOG(O2881,10))</f>
        <v>0.33039016297752993</v>
      </c>
      <c r="Q2881" s="8">
        <f>(8197453*100)/8541008</f>
        <v>95.977582505484136</v>
      </c>
    </row>
    <row r="2882" spans="1:17" x14ac:dyDescent="0.2">
      <c r="A2882">
        <f>YEAR(D2882)</f>
        <v>2019</v>
      </c>
      <c r="B2882" t="s">
        <v>26</v>
      </c>
      <c r="C2882" s="2" t="s">
        <v>3023</v>
      </c>
      <c r="D2882" s="1">
        <v>43622</v>
      </c>
      <c r="E2882">
        <f>MONTH(D2882)</f>
        <v>6</v>
      </c>
      <c r="F2882" s="2" t="s">
        <v>2098</v>
      </c>
      <c r="G2882" t="s">
        <v>352</v>
      </c>
      <c r="H2882" t="s">
        <v>1459</v>
      </c>
      <c r="I2882" t="s">
        <v>22</v>
      </c>
      <c r="J2882" s="2" t="s">
        <v>42</v>
      </c>
      <c r="K2882" s="2" t="s">
        <v>3019</v>
      </c>
      <c r="L2882" t="s">
        <v>25</v>
      </c>
      <c r="M2882" s="8">
        <v>1.1910000000000001</v>
      </c>
      <c r="N2882" t="s">
        <v>26</v>
      </c>
      <c r="O2882" s="8">
        <v>1.1910000000000001</v>
      </c>
      <c r="P2882" s="8">
        <f>EXP(-1.363+3.366*LOG(O2882,10))</f>
        <v>0.33039016297752993</v>
      </c>
      <c r="Q2882" s="8">
        <f>(8197453*100)/8541008</f>
        <v>95.977582505484136</v>
      </c>
    </row>
    <row r="2883" spans="1:17" x14ac:dyDescent="0.2">
      <c r="A2883">
        <f>YEAR(D2883)</f>
        <v>2019</v>
      </c>
      <c r="B2883" t="s">
        <v>26</v>
      </c>
      <c r="C2883" s="2" t="s">
        <v>3023</v>
      </c>
      <c r="D2883" s="1">
        <v>43622</v>
      </c>
      <c r="E2883">
        <f>MONTH(D2883)</f>
        <v>6</v>
      </c>
      <c r="F2883" s="2" t="s">
        <v>2098</v>
      </c>
      <c r="G2883" t="s">
        <v>1520</v>
      </c>
      <c r="H2883" t="s">
        <v>1521</v>
      </c>
      <c r="I2883" t="s">
        <v>36</v>
      </c>
      <c r="J2883" s="2" t="s">
        <v>42</v>
      </c>
      <c r="K2883" s="2" t="s">
        <v>3019</v>
      </c>
      <c r="L2883" t="s">
        <v>25</v>
      </c>
      <c r="M2883" s="8">
        <v>2.3340000000000001</v>
      </c>
      <c r="N2883" t="s">
        <v>26</v>
      </c>
      <c r="O2883" s="8">
        <v>2.3340000000000001</v>
      </c>
      <c r="P2883" s="8">
        <f>EXP(-1.363+3.366*LOG(O2883,10))</f>
        <v>0.88340410488080767</v>
      </c>
      <c r="Q2883" s="8">
        <f>(8197453*100)/8541008</f>
        <v>95.977582505484136</v>
      </c>
    </row>
    <row r="2884" spans="1:17" x14ac:dyDescent="0.2">
      <c r="A2884">
        <f>YEAR(D2884)</f>
        <v>2019</v>
      </c>
      <c r="B2884" t="s">
        <v>26</v>
      </c>
      <c r="C2884" s="2" t="s">
        <v>3023</v>
      </c>
      <c r="D2884" s="1">
        <v>43622</v>
      </c>
      <c r="E2884">
        <f>MONTH(D2884)</f>
        <v>6</v>
      </c>
      <c r="F2884" s="2" t="s">
        <v>2098</v>
      </c>
      <c r="G2884" t="s">
        <v>219</v>
      </c>
      <c r="H2884" t="s">
        <v>220</v>
      </c>
      <c r="I2884" t="s">
        <v>22</v>
      </c>
      <c r="J2884" s="2" t="s">
        <v>42</v>
      </c>
      <c r="K2884" s="2" t="s">
        <v>3019</v>
      </c>
      <c r="L2884" t="s">
        <v>25</v>
      </c>
      <c r="M2884" s="10" t="s">
        <v>26</v>
      </c>
      <c r="N2884" t="s">
        <v>26</v>
      </c>
      <c r="O2884" s="10" t="s">
        <v>26</v>
      </c>
      <c r="P2884" s="8" t="s">
        <v>26</v>
      </c>
      <c r="Q2884" s="8">
        <f>(8197453*100)/8541008</f>
        <v>95.977582505484136</v>
      </c>
    </row>
    <row r="2885" spans="1:17" x14ac:dyDescent="0.2">
      <c r="A2885">
        <f>YEAR(D2885)</f>
        <v>2019</v>
      </c>
      <c r="B2885" t="s">
        <v>26</v>
      </c>
      <c r="C2885" s="2" t="s">
        <v>3023</v>
      </c>
      <c r="D2885" s="1">
        <v>43622</v>
      </c>
      <c r="E2885">
        <f>MONTH(D2885)</f>
        <v>6</v>
      </c>
      <c r="F2885" s="2" t="s">
        <v>2098</v>
      </c>
      <c r="G2885" t="s">
        <v>219</v>
      </c>
      <c r="H2885" t="s">
        <v>220</v>
      </c>
      <c r="I2885" t="s">
        <v>22</v>
      </c>
      <c r="J2885" s="2" t="s">
        <v>42</v>
      </c>
      <c r="K2885" s="2" t="s">
        <v>3019</v>
      </c>
      <c r="L2885" t="s">
        <v>25</v>
      </c>
      <c r="M2885" s="10" t="s">
        <v>26</v>
      </c>
      <c r="N2885" t="s">
        <v>26</v>
      </c>
      <c r="O2885" s="10" t="s">
        <v>26</v>
      </c>
      <c r="P2885" s="8" t="s">
        <v>26</v>
      </c>
      <c r="Q2885" s="8">
        <f>(8197453*100)/8541008</f>
        <v>95.977582505484136</v>
      </c>
    </row>
    <row r="2886" spans="1:17" x14ac:dyDescent="0.2">
      <c r="A2886">
        <f>YEAR(D2886)</f>
        <v>2019</v>
      </c>
      <c r="B2886" t="s">
        <v>26</v>
      </c>
      <c r="C2886" s="2" t="s">
        <v>3023</v>
      </c>
      <c r="D2886" s="1">
        <v>43622</v>
      </c>
      <c r="E2886">
        <f>MONTH(D2886)</f>
        <v>6</v>
      </c>
      <c r="F2886" s="2" t="s">
        <v>2098</v>
      </c>
      <c r="G2886" t="s">
        <v>230</v>
      </c>
      <c r="H2886" t="s">
        <v>259</v>
      </c>
      <c r="I2886" t="s">
        <v>36</v>
      </c>
      <c r="J2886" s="2" t="s">
        <v>42</v>
      </c>
      <c r="K2886" s="2" t="s">
        <v>3019</v>
      </c>
      <c r="L2886" t="s">
        <v>25</v>
      </c>
      <c r="M2886" s="8">
        <v>4.745333333333333</v>
      </c>
      <c r="N2886" t="s">
        <v>26</v>
      </c>
      <c r="O2886" s="8">
        <v>4.745333333333333</v>
      </c>
      <c r="P2886" s="8">
        <f>EXP(-1.363+3.366*LOG(O2886,10))</f>
        <v>2.4925687246325761</v>
      </c>
      <c r="Q2886" s="8">
        <f>(8197453*100)/8541008</f>
        <v>95.977582505484136</v>
      </c>
    </row>
    <row r="2887" spans="1:17" x14ac:dyDescent="0.2">
      <c r="A2887">
        <f>YEAR(D2887)</f>
        <v>2019</v>
      </c>
      <c r="B2887" t="s">
        <v>26</v>
      </c>
      <c r="C2887" s="2" t="s">
        <v>3023</v>
      </c>
      <c r="D2887" s="1">
        <v>43622</v>
      </c>
      <c r="E2887">
        <f>MONTH(D2887)</f>
        <v>6</v>
      </c>
      <c r="F2887" s="2" t="s">
        <v>2098</v>
      </c>
      <c r="G2887" t="s">
        <v>230</v>
      </c>
      <c r="H2887" t="s">
        <v>268</v>
      </c>
      <c r="I2887" t="s">
        <v>22</v>
      </c>
      <c r="J2887" s="2" t="s">
        <v>42</v>
      </c>
      <c r="K2887" s="2" t="s">
        <v>3019</v>
      </c>
      <c r="L2887" t="s">
        <v>25</v>
      </c>
      <c r="M2887" s="8">
        <v>3.5356666670000001</v>
      </c>
      <c r="N2887" t="s">
        <v>26</v>
      </c>
      <c r="O2887" s="8">
        <v>3.5356666670000001</v>
      </c>
      <c r="P2887" s="8">
        <f>EXP(-1.363+3.366*LOG(O2887,10))</f>
        <v>1.6211802664427075</v>
      </c>
      <c r="Q2887" s="8">
        <f>(8197453*100)/8541008</f>
        <v>95.977582505484136</v>
      </c>
    </row>
    <row r="2888" spans="1:17" x14ac:dyDescent="0.2">
      <c r="A2888">
        <f>YEAR(D2888)</f>
        <v>2019</v>
      </c>
      <c r="B2888" t="s">
        <v>26</v>
      </c>
      <c r="C2888" s="2" t="s">
        <v>3023</v>
      </c>
      <c r="D2888" s="1">
        <v>43622</v>
      </c>
      <c r="E2888">
        <f>MONTH(D2888)</f>
        <v>6</v>
      </c>
      <c r="F2888" s="2" t="s">
        <v>2098</v>
      </c>
      <c r="G2888" t="s">
        <v>230</v>
      </c>
      <c r="H2888" t="s">
        <v>268</v>
      </c>
      <c r="I2888" t="s">
        <v>22</v>
      </c>
      <c r="J2888" s="2" t="s">
        <v>42</v>
      </c>
      <c r="K2888" s="2" t="s">
        <v>3019</v>
      </c>
      <c r="L2888" t="s">
        <v>25</v>
      </c>
      <c r="M2888" s="8">
        <v>3.5356666670000001</v>
      </c>
      <c r="N2888" t="s">
        <v>26</v>
      </c>
      <c r="O2888" s="8">
        <v>3.5356666670000001</v>
      </c>
      <c r="P2888" s="8">
        <f>EXP(-1.363+3.366*LOG(O2888,10))</f>
        <v>1.6211802664427075</v>
      </c>
      <c r="Q2888" s="8">
        <f>(8197453*100)/8541008</f>
        <v>95.977582505484136</v>
      </c>
    </row>
    <row r="2889" spans="1:17" x14ac:dyDescent="0.2">
      <c r="A2889">
        <f>YEAR(D2889)</f>
        <v>2019</v>
      </c>
      <c r="B2889" t="s">
        <v>26</v>
      </c>
      <c r="C2889" s="2" t="s">
        <v>3023</v>
      </c>
      <c r="D2889" s="1">
        <v>43622</v>
      </c>
      <c r="E2889">
        <f>MONTH(D2889)</f>
        <v>6</v>
      </c>
      <c r="F2889" s="2" t="s">
        <v>2098</v>
      </c>
      <c r="G2889" t="s">
        <v>230</v>
      </c>
      <c r="H2889" t="s">
        <v>268</v>
      </c>
      <c r="I2889" t="s">
        <v>22</v>
      </c>
      <c r="J2889" s="2" t="s">
        <v>42</v>
      </c>
      <c r="K2889" s="2" t="s">
        <v>3019</v>
      </c>
      <c r="L2889" t="s">
        <v>25</v>
      </c>
      <c r="M2889" s="8">
        <v>3.5356666670000001</v>
      </c>
      <c r="N2889" t="s">
        <v>26</v>
      </c>
      <c r="O2889" s="8">
        <v>3.5356666670000001</v>
      </c>
      <c r="P2889" s="8">
        <f>EXP(-1.363+3.366*LOG(O2889,10))</f>
        <v>1.6211802664427075</v>
      </c>
      <c r="Q2889" s="8">
        <f>(8197453*100)/8541008</f>
        <v>95.977582505484136</v>
      </c>
    </row>
    <row r="2890" spans="1:17" x14ac:dyDescent="0.2">
      <c r="A2890">
        <f>YEAR(D2890)</f>
        <v>2019</v>
      </c>
      <c r="B2890" t="s">
        <v>26</v>
      </c>
      <c r="C2890" s="2" t="s">
        <v>3022</v>
      </c>
      <c r="D2890" s="1">
        <v>43622</v>
      </c>
      <c r="E2890">
        <f>MONTH(D2890)</f>
        <v>6</v>
      </c>
      <c r="F2890" s="2" t="s">
        <v>2098</v>
      </c>
      <c r="G2890" t="s">
        <v>332</v>
      </c>
      <c r="H2890" t="s">
        <v>327</v>
      </c>
      <c r="I2890" t="s">
        <v>22</v>
      </c>
      <c r="J2890" s="2" t="s">
        <v>42</v>
      </c>
      <c r="K2890" s="2" t="s">
        <v>3019</v>
      </c>
      <c r="L2890" t="s">
        <v>25</v>
      </c>
      <c r="M2890" s="8">
        <v>1.239333333</v>
      </c>
      <c r="N2890" t="s">
        <v>26</v>
      </c>
      <c r="O2890" s="8">
        <v>1.239333333</v>
      </c>
      <c r="P2890" s="8">
        <f>EXP(-1.363+3.366*LOG(O2890,10))</f>
        <v>0.35017272283851147</v>
      </c>
      <c r="Q2890" s="8">
        <f>(4437920*100)/4638971</f>
        <v>95.666043180696747</v>
      </c>
    </row>
    <row r="2891" spans="1:17" x14ac:dyDescent="0.2">
      <c r="A2891">
        <f>YEAR(D2891)</f>
        <v>2019</v>
      </c>
      <c r="B2891" t="s">
        <v>26</v>
      </c>
      <c r="C2891" s="2" t="s">
        <v>3023</v>
      </c>
      <c r="D2891" s="1">
        <v>43622</v>
      </c>
      <c r="E2891">
        <f>MONTH(D2891)</f>
        <v>6</v>
      </c>
      <c r="F2891" s="2" t="s">
        <v>2098</v>
      </c>
      <c r="G2891" t="s">
        <v>219</v>
      </c>
      <c r="H2891" t="s">
        <v>220</v>
      </c>
      <c r="I2891" t="s">
        <v>22</v>
      </c>
      <c r="J2891" s="2" t="s">
        <v>42</v>
      </c>
      <c r="K2891" s="2" t="s">
        <v>3019</v>
      </c>
      <c r="L2891" t="s">
        <v>25</v>
      </c>
      <c r="M2891" s="10" t="s">
        <v>26</v>
      </c>
      <c r="N2891" t="s">
        <v>26</v>
      </c>
      <c r="O2891" s="10" t="s">
        <v>26</v>
      </c>
      <c r="P2891" s="8" t="s">
        <v>26</v>
      </c>
      <c r="Q2891" s="8">
        <f>(8197453*100)/8541008</f>
        <v>95.977582505484136</v>
      </c>
    </row>
    <row r="2892" spans="1:17" x14ac:dyDescent="0.2">
      <c r="A2892">
        <f>YEAR(D2892)</f>
        <v>2019</v>
      </c>
      <c r="B2892" t="s">
        <v>26</v>
      </c>
      <c r="C2892" s="2" t="s">
        <v>3023</v>
      </c>
      <c r="D2892" s="1">
        <v>43622</v>
      </c>
      <c r="E2892">
        <f>MONTH(D2892)</f>
        <v>6</v>
      </c>
      <c r="F2892" s="2" t="s">
        <v>2098</v>
      </c>
      <c r="G2892" t="s">
        <v>230</v>
      </c>
      <c r="H2892" t="s">
        <v>255</v>
      </c>
      <c r="I2892" t="s">
        <v>22</v>
      </c>
      <c r="J2892" s="2" t="s">
        <v>42</v>
      </c>
      <c r="K2892" s="2" t="s">
        <v>3019</v>
      </c>
      <c r="L2892" t="s">
        <v>25</v>
      </c>
      <c r="M2892" s="8">
        <v>3.1943333329999999</v>
      </c>
      <c r="N2892" t="s">
        <v>26</v>
      </c>
      <c r="O2892" s="8">
        <v>3.1943333329999999</v>
      </c>
      <c r="P2892" s="8">
        <f>EXP(-1.363+3.366*LOG(O2892,10))</f>
        <v>1.3975823704079444</v>
      </c>
      <c r="Q2892" s="8">
        <f>(8197453*100)/8541008</f>
        <v>95.977582505484136</v>
      </c>
    </row>
    <row r="2893" spans="1:17" x14ac:dyDescent="0.2">
      <c r="A2893">
        <f>YEAR(D2893)</f>
        <v>2019</v>
      </c>
      <c r="B2893" t="s">
        <v>26</v>
      </c>
      <c r="C2893" s="2" t="s">
        <v>3023</v>
      </c>
      <c r="D2893" s="1">
        <v>43622</v>
      </c>
      <c r="E2893">
        <f>MONTH(D2893)</f>
        <v>6</v>
      </c>
      <c r="F2893" s="2" t="s">
        <v>2098</v>
      </c>
      <c r="G2893" t="s">
        <v>230</v>
      </c>
      <c r="H2893" t="s">
        <v>259</v>
      </c>
      <c r="I2893" t="s">
        <v>22</v>
      </c>
      <c r="J2893" s="2" t="s">
        <v>42</v>
      </c>
      <c r="K2893" s="2" t="s">
        <v>3019</v>
      </c>
      <c r="L2893" t="s">
        <v>25</v>
      </c>
      <c r="M2893" s="8">
        <v>4.2283333330000001</v>
      </c>
      <c r="N2893" t="s">
        <v>26</v>
      </c>
      <c r="O2893" s="8">
        <v>4.2283333330000001</v>
      </c>
      <c r="P2893" s="8">
        <f>EXP(-1.363+3.366*LOG(O2893,10))</f>
        <v>2.1057792396965977</v>
      </c>
      <c r="Q2893" s="8">
        <f>(8197453*100)/8541008</f>
        <v>95.977582505484136</v>
      </c>
    </row>
    <row r="2894" spans="1:17" x14ac:dyDescent="0.2">
      <c r="A2894">
        <f>YEAR(D2894)</f>
        <v>2019</v>
      </c>
      <c r="B2894" t="s">
        <v>26</v>
      </c>
      <c r="C2894" s="2" t="s">
        <v>3023</v>
      </c>
      <c r="D2894" s="1">
        <v>43622</v>
      </c>
      <c r="E2894">
        <f>MONTH(D2894)</f>
        <v>6</v>
      </c>
      <c r="F2894" s="2" t="s">
        <v>2098</v>
      </c>
      <c r="G2894" t="s">
        <v>230</v>
      </c>
      <c r="H2894" t="s">
        <v>259</v>
      </c>
      <c r="I2894" t="s">
        <v>22</v>
      </c>
      <c r="J2894" s="2" t="s">
        <v>42</v>
      </c>
      <c r="K2894" s="2" t="s">
        <v>3019</v>
      </c>
      <c r="L2894" t="s">
        <v>25</v>
      </c>
      <c r="M2894" s="8">
        <v>4.2283333330000001</v>
      </c>
      <c r="N2894" t="s">
        <v>26</v>
      </c>
      <c r="O2894" s="8">
        <v>4.2283333330000001</v>
      </c>
      <c r="P2894" s="8">
        <f>EXP(-1.363+3.366*LOG(O2894,10))</f>
        <v>2.1057792396965977</v>
      </c>
      <c r="Q2894" s="8">
        <f>(8197453*100)/8541008</f>
        <v>95.977582505484136</v>
      </c>
    </row>
    <row r="2895" spans="1:17" x14ac:dyDescent="0.2">
      <c r="A2895">
        <f>YEAR(D2895)</f>
        <v>2019</v>
      </c>
      <c r="B2895" t="s">
        <v>26</v>
      </c>
      <c r="C2895" s="2" t="s">
        <v>3022</v>
      </c>
      <c r="D2895" s="1">
        <v>43622</v>
      </c>
      <c r="E2895">
        <f>MONTH(D2895)</f>
        <v>6</v>
      </c>
      <c r="F2895" s="2" t="s">
        <v>2098</v>
      </c>
      <c r="G2895" t="s">
        <v>20</v>
      </c>
      <c r="H2895" t="s">
        <v>171</v>
      </c>
      <c r="I2895" t="s">
        <v>22</v>
      </c>
      <c r="J2895" s="2" t="s">
        <v>42</v>
      </c>
      <c r="K2895" s="2" t="s">
        <v>3019</v>
      </c>
      <c r="L2895" t="s">
        <v>25</v>
      </c>
      <c r="M2895" s="8">
        <v>1.258</v>
      </c>
      <c r="N2895" t="s">
        <v>26</v>
      </c>
      <c r="O2895" s="8">
        <v>1.258</v>
      </c>
      <c r="P2895" s="8">
        <f>EXP(-1.363+3.366*LOG(O2895,10))</f>
        <v>0.35790955576548023</v>
      </c>
      <c r="Q2895" s="8">
        <f>(4437920*100)/4638971</f>
        <v>95.666043180696747</v>
      </c>
    </row>
    <row r="2896" spans="1:17" x14ac:dyDescent="0.2">
      <c r="A2896">
        <f>YEAR(D2896)</f>
        <v>2019</v>
      </c>
      <c r="B2896" t="s">
        <v>26</v>
      </c>
      <c r="C2896" s="2" t="s">
        <v>3022</v>
      </c>
      <c r="D2896" s="1">
        <v>43622</v>
      </c>
      <c r="E2896">
        <f>MONTH(D2896)</f>
        <v>6</v>
      </c>
      <c r="F2896" s="2" t="s">
        <v>2098</v>
      </c>
      <c r="G2896" t="s">
        <v>20</v>
      </c>
      <c r="H2896" t="s">
        <v>171</v>
      </c>
      <c r="I2896" t="s">
        <v>22</v>
      </c>
      <c r="J2896" s="2" t="s">
        <v>42</v>
      </c>
      <c r="K2896" s="2" t="s">
        <v>3019</v>
      </c>
      <c r="L2896" t="s">
        <v>25</v>
      </c>
      <c r="M2896" s="8">
        <v>1.258</v>
      </c>
      <c r="N2896" t="s">
        <v>26</v>
      </c>
      <c r="O2896" s="8">
        <v>1.258</v>
      </c>
      <c r="P2896" s="8">
        <f>EXP(-1.363+3.366*LOG(O2896,10))</f>
        <v>0.35790955576548023</v>
      </c>
      <c r="Q2896" s="8">
        <f>(4437920*100)/4638971</f>
        <v>95.666043180696747</v>
      </c>
    </row>
    <row r="2897" spans="1:17" x14ac:dyDescent="0.2">
      <c r="A2897">
        <f>YEAR(D2897)</f>
        <v>2019</v>
      </c>
      <c r="B2897" t="s">
        <v>26</v>
      </c>
      <c r="C2897" s="2" t="s">
        <v>3022</v>
      </c>
      <c r="D2897" s="1">
        <v>43622</v>
      </c>
      <c r="E2897">
        <f>MONTH(D2897)</f>
        <v>6</v>
      </c>
      <c r="F2897" s="2" t="s">
        <v>2098</v>
      </c>
      <c r="G2897" t="s">
        <v>219</v>
      </c>
      <c r="H2897" t="s">
        <v>220</v>
      </c>
      <c r="I2897" t="s">
        <v>22</v>
      </c>
      <c r="J2897" s="2" t="s">
        <v>42</v>
      </c>
      <c r="K2897" s="2" t="s">
        <v>3019</v>
      </c>
      <c r="L2897" t="s">
        <v>25</v>
      </c>
      <c r="M2897" s="10" t="s">
        <v>26</v>
      </c>
      <c r="N2897" t="s">
        <v>26</v>
      </c>
      <c r="O2897" s="10" t="s">
        <v>26</v>
      </c>
      <c r="P2897" s="8" t="s">
        <v>26</v>
      </c>
      <c r="Q2897" s="8">
        <f>(4437920*100)/4638971</f>
        <v>95.666043180696747</v>
      </c>
    </row>
    <row r="2898" spans="1:17" x14ac:dyDescent="0.2">
      <c r="A2898">
        <f>YEAR(D2898)</f>
        <v>2019</v>
      </c>
      <c r="B2898" t="s">
        <v>26</v>
      </c>
      <c r="C2898" s="2" t="s">
        <v>3022</v>
      </c>
      <c r="D2898" s="1">
        <v>43622</v>
      </c>
      <c r="E2898">
        <f>MONTH(D2898)</f>
        <v>6</v>
      </c>
      <c r="F2898" s="2" t="s">
        <v>2098</v>
      </c>
      <c r="G2898" t="s">
        <v>219</v>
      </c>
      <c r="H2898" t="s">
        <v>220</v>
      </c>
      <c r="I2898" t="s">
        <v>22</v>
      </c>
      <c r="J2898" s="2" t="s">
        <v>42</v>
      </c>
      <c r="K2898" s="2" t="s">
        <v>3019</v>
      </c>
      <c r="L2898" t="s">
        <v>25</v>
      </c>
      <c r="M2898" s="10" t="s">
        <v>26</v>
      </c>
      <c r="N2898" t="s">
        <v>26</v>
      </c>
      <c r="O2898" s="10" t="s">
        <v>26</v>
      </c>
      <c r="P2898" s="8" t="s">
        <v>26</v>
      </c>
      <c r="Q2898" s="8">
        <f>(4437920*100)/4638971</f>
        <v>95.666043180696747</v>
      </c>
    </row>
    <row r="2899" spans="1:17" x14ac:dyDescent="0.2">
      <c r="A2899">
        <f>YEAR(D2899)</f>
        <v>2019</v>
      </c>
      <c r="B2899" t="s">
        <v>26</v>
      </c>
      <c r="C2899" s="2" t="s">
        <v>3022</v>
      </c>
      <c r="D2899" s="1">
        <v>43622</v>
      </c>
      <c r="E2899">
        <f>MONTH(D2899)</f>
        <v>6</v>
      </c>
      <c r="F2899" s="2" t="s">
        <v>2098</v>
      </c>
      <c r="G2899" t="s">
        <v>219</v>
      </c>
      <c r="H2899" t="s">
        <v>220</v>
      </c>
      <c r="I2899" t="s">
        <v>22</v>
      </c>
      <c r="J2899" s="2" t="s">
        <v>42</v>
      </c>
      <c r="K2899" s="2" t="s">
        <v>3019</v>
      </c>
      <c r="L2899" t="s">
        <v>25</v>
      </c>
      <c r="M2899" s="10" t="s">
        <v>26</v>
      </c>
      <c r="N2899" t="s">
        <v>26</v>
      </c>
      <c r="O2899" s="10" t="s">
        <v>26</v>
      </c>
      <c r="P2899" s="8" t="s">
        <v>26</v>
      </c>
      <c r="Q2899" s="8">
        <f>(4437920*100)/4638971</f>
        <v>95.666043180696747</v>
      </c>
    </row>
    <row r="2900" spans="1:17" x14ac:dyDescent="0.2">
      <c r="A2900">
        <f>YEAR(D2900)</f>
        <v>2019</v>
      </c>
      <c r="B2900" t="s">
        <v>26</v>
      </c>
      <c r="C2900" s="2" t="s">
        <v>3022</v>
      </c>
      <c r="D2900" s="1">
        <v>43622</v>
      </c>
      <c r="E2900">
        <f>MONTH(D2900)</f>
        <v>6</v>
      </c>
      <c r="F2900" s="2" t="s">
        <v>2098</v>
      </c>
      <c r="G2900" t="s">
        <v>219</v>
      </c>
      <c r="H2900" t="s">
        <v>220</v>
      </c>
      <c r="I2900" t="s">
        <v>22</v>
      </c>
      <c r="J2900" s="2" t="s">
        <v>42</v>
      </c>
      <c r="K2900" s="2" t="s">
        <v>3019</v>
      </c>
      <c r="L2900" t="s">
        <v>25</v>
      </c>
      <c r="M2900" s="10" t="s">
        <v>26</v>
      </c>
      <c r="N2900" t="s">
        <v>26</v>
      </c>
      <c r="O2900" s="10" t="s">
        <v>26</v>
      </c>
      <c r="P2900" s="8" t="s">
        <v>26</v>
      </c>
      <c r="Q2900" s="8">
        <f>(4437920*100)/4638971</f>
        <v>95.666043180696747</v>
      </c>
    </row>
    <row r="2901" spans="1:17" x14ac:dyDescent="0.2">
      <c r="A2901">
        <f>YEAR(D2901)</f>
        <v>2019</v>
      </c>
      <c r="B2901" t="s">
        <v>26</v>
      </c>
      <c r="C2901" s="2" t="s">
        <v>3022</v>
      </c>
      <c r="D2901" s="1">
        <v>43622</v>
      </c>
      <c r="E2901">
        <f>MONTH(D2901)</f>
        <v>6</v>
      </c>
      <c r="F2901" s="2" t="s">
        <v>2098</v>
      </c>
      <c r="G2901" t="s">
        <v>219</v>
      </c>
      <c r="H2901" t="s">
        <v>220</v>
      </c>
      <c r="I2901" t="s">
        <v>22</v>
      </c>
      <c r="J2901" s="2" t="s">
        <v>42</v>
      </c>
      <c r="K2901" s="2" t="s">
        <v>3019</v>
      </c>
      <c r="L2901" t="s">
        <v>25</v>
      </c>
      <c r="M2901" s="10" t="s">
        <v>26</v>
      </c>
      <c r="N2901" t="s">
        <v>26</v>
      </c>
      <c r="O2901" s="10" t="s">
        <v>26</v>
      </c>
      <c r="P2901" s="8" t="s">
        <v>26</v>
      </c>
      <c r="Q2901" s="8">
        <f>(4437920*100)/4638971</f>
        <v>95.666043180696747</v>
      </c>
    </row>
    <row r="2902" spans="1:17" x14ac:dyDescent="0.2">
      <c r="A2902">
        <f>YEAR(D2902)</f>
        <v>2019</v>
      </c>
      <c r="B2902" t="s">
        <v>26</v>
      </c>
      <c r="C2902" s="2" t="s">
        <v>3022</v>
      </c>
      <c r="D2902" s="1">
        <v>43622</v>
      </c>
      <c r="E2902">
        <f>MONTH(D2902)</f>
        <v>6</v>
      </c>
      <c r="F2902" s="2" t="s">
        <v>2098</v>
      </c>
      <c r="G2902" t="s">
        <v>352</v>
      </c>
      <c r="H2902" t="s">
        <v>494</v>
      </c>
      <c r="I2902" t="s">
        <v>22</v>
      </c>
      <c r="J2902" s="2" t="s">
        <v>42</v>
      </c>
      <c r="K2902" s="2" t="s">
        <v>3019</v>
      </c>
      <c r="L2902" t="s">
        <v>25</v>
      </c>
      <c r="M2902" s="8">
        <v>1.7226666669999999</v>
      </c>
      <c r="N2902" t="s">
        <v>26</v>
      </c>
      <c r="O2902" s="8">
        <v>1.7226666669999999</v>
      </c>
      <c r="P2902" s="8">
        <f>EXP(-1.363+3.366*LOG(O2902,10))</f>
        <v>0.56668788662759551</v>
      </c>
      <c r="Q2902" s="8">
        <f>(4437920*100)/4638971</f>
        <v>95.666043180696747</v>
      </c>
    </row>
    <row r="2903" spans="1:17" x14ac:dyDescent="0.2">
      <c r="A2903">
        <f>YEAR(D2903)</f>
        <v>2019</v>
      </c>
      <c r="B2903" t="s">
        <v>26</v>
      </c>
      <c r="C2903" s="2" t="s">
        <v>3022</v>
      </c>
      <c r="D2903" s="1">
        <v>43622</v>
      </c>
      <c r="E2903">
        <f>MONTH(D2903)</f>
        <v>6</v>
      </c>
      <c r="F2903" s="2" t="s">
        <v>2098</v>
      </c>
      <c r="G2903" t="s">
        <v>352</v>
      </c>
      <c r="H2903" t="s">
        <v>623</v>
      </c>
      <c r="I2903" t="s">
        <v>22</v>
      </c>
      <c r="J2903" s="2" t="s">
        <v>42</v>
      </c>
      <c r="K2903" s="2" t="s">
        <v>3019</v>
      </c>
      <c r="L2903" t="s">
        <v>25</v>
      </c>
      <c r="M2903" s="8">
        <v>1.387</v>
      </c>
      <c r="N2903" t="s">
        <v>26</v>
      </c>
      <c r="O2903" s="8">
        <v>1.387</v>
      </c>
      <c r="P2903" s="8">
        <f>EXP(-1.363+3.366*LOG(O2903,10))</f>
        <v>0.41280884754947733</v>
      </c>
      <c r="Q2903" s="8">
        <f>(4437920*100)/4638971</f>
        <v>95.666043180696747</v>
      </c>
    </row>
    <row r="2904" spans="1:17" x14ac:dyDescent="0.2">
      <c r="A2904">
        <f>YEAR(D2904)</f>
        <v>2019</v>
      </c>
      <c r="B2904" t="s">
        <v>26</v>
      </c>
      <c r="C2904" s="2" t="s">
        <v>3022</v>
      </c>
      <c r="D2904" s="1">
        <v>43622</v>
      </c>
      <c r="E2904">
        <f>MONTH(D2904)</f>
        <v>6</v>
      </c>
      <c r="F2904" s="2" t="s">
        <v>2098</v>
      </c>
      <c r="G2904" t="s">
        <v>352</v>
      </c>
      <c r="H2904" t="s">
        <v>623</v>
      </c>
      <c r="I2904" t="s">
        <v>22</v>
      </c>
      <c r="J2904" s="2" t="s">
        <v>42</v>
      </c>
      <c r="K2904" s="2" t="s">
        <v>3019</v>
      </c>
      <c r="L2904" t="s">
        <v>25</v>
      </c>
      <c r="M2904" s="8">
        <v>1.387</v>
      </c>
      <c r="N2904" t="s">
        <v>26</v>
      </c>
      <c r="O2904" s="8">
        <v>1.387</v>
      </c>
      <c r="P2904" s="8">
        <f>EXP(-1.363+3.366*LOG(O2904,10))</f>
        <v>0.41280884754947733</v>
      </c>
      <c r="Q2904" s="8">
        <f>(4437920*100)/4638971</f>
        <v>95.666043180696747</v>
      </c>
    </row>
    <row r="2905" spans="1:17" x14ac:dyDescent="0.2">
      <c r="A2905">
        <f>YEAR(D2905)</f>
        <v>2019</v>
      </c>
      <c r="B2905" t="s">
        <v>26</v>
      </c>
      <c r="C2905" s="2" t="s">
        <v>3022</v>
      </c>
      <c r="D2905" s="1">
        <v>43622</v>
      </c>
      <c r="E2905">
        <f>MONTH(D2905)</f>
        <v>6</v>
      </c>
      <c r="F2905" s="2" t="s">
        <v>2098</v>
      </c>
      <c r="G2905" t="s">
        <v>352</v>
      </c>
      <c r="H2905" t="s">
        <v>623</v>
      </c>
      <c r="I2905" t="s">
        <v>22</v>
      </c>
      <c r="J2905" s="2" t="s">
        <v>42</v>
      </c>
      <c r="K2905" s="2" t="s">
        <v>3019</v>
      </c>
      <c r="L2905" t="s">
        <v>25</v>
      </c>
      <c r="M2905" s="8">
        <v>1.387</v>
      </c>
      <c r="N2905" t="s">
        <v>26</v>
      </c>
      <c r="O2905" s="8">
        <v>1.387</v>
      </c>
      <c r="P2905" s="8">
        <f>EXP(-1.363+3.366*LOG(O2905,10))</f>
        <v>0.41280884754947733</v>
      </c>
      <c r="Q2905" s="8">
        <f>(4437920*100)/4638971</f>
        <v>95.666043180696747</v>
      </c>
    </row>
    <row r="2906" spans="1:17" x14ac:dyDescent="0.2">
      <c r="A2906">
        <f>YEAR(D2906)</f>
        <v>2019</v>
      </c>
      <c r="B2906" t="s">
        <v>26</v>
      </c>
      <c r="C2906" s="2" t="s">
        <v>3022</v>
      </c>
      <c r="D2906" s="1">
        <v>43622</v>
      </c>
      <c r="E2906">
        <f>MONTH(D2906)</f>
        <v>6</v>
      </c>
      <c r="F2906" s="2" t="s">
        <v>2098</v>
      </c>
      <c r="G2906" t="s">
        <v>352</v>
      </c>
      <c r="H2906" t="s">
        <v>623</v>
      </c>
      <c r="I2906" t="s">
        <v>22</v>
      </c>
      <c r="J2906" s="2" t="s">
        <v>42</v>
      </c>
      <c r="K2906" s="2" t="s">
        <v>3019</v>
      </c>
      <c r="L2906" t="s">
        <v>25</v>
      </c>
      <c r="M2906" s="8">
        <v>1.387</v>
      </c>
      <c r="N2906" t="s">
        <v>26</v>
      </c>
      <c r="O2906" s="8">
        <v>1.387</v>
      </c>
      <c r="P2906" s="8">
        <f>EXP(-1.363+3.366*LOG(O2906,10))</f>
        <v>0.41280884754947733</v>
      </c>
      <c r="Q2906" s="8">
        <f>(4437920*100)/4638971</f>
        <v>95.666043180696747</v>
      </c>
    </row>
    <row r="2907" spans="1:17" x14ac:dyDescent="0.2">
      <c r="A2907">
        <f>YEAR(D2907)</f>
        <v>2019</v>
      </c>
      <c r="B2907" t="s">
        <v>26</v>
      </c>
      <c r="C2907" s="2" t="s">
        <v>3022</v>
      </c>
      <c r="D2907" s="1">
        <v>43622</v>
      </c>
      <c r="E2907">
        <f>MONTH(D2907)</f>
        <v>6</v>
      </c>
      <c r="F2907" s="2" t="s">
        <v>2098</v>
      </c>
      <c r="G2907" t="s">
        <v>352</v>
      </c>
      <c r="H2907" t="s">
        <v>623</v>
      </c>
      <c r="I2907" t="s">
        <v>22</v>
      </c>
      <c r="J2907" s="2" t="s">
        <v>42</v>
      </c>
      <c r="K2907" s="2" t="s">
        <v>3019</v>
      </c>
      <c r="L2907" t="s">
        <v>25</v>
      </c>
      <c r="M2907" s="8">
        <v>1.387</v>
      </c>
      <c r="N2907" t="s">
        <v>26</v>
      </c>
      <c r="O2907" s="8">
        <v>1.387</v>
      </c>
      <c r="P2907" s="8">
        <f>EXP(-1.363+3.366*LOG(O2907,10))</f>
        <v>0.41280884754947733</v>
      </c>
      <c r="Q2907" s="8">
        <f>(4437920*100)/4638971</f>
        <v>95.666043180696747</v>
      </c>
    </row>
    <row r="2908" spans="1:17" x14ac:dyDescent="0.2">
      <c r="A2908">
        <f>YEAR(D2908)</f>
        <v>2019</v>
      </c>
      <c r="B2908" t="s">
        <v>26</v>
      </c>
      <c r="C2908" s="2" t="s">
        <v>3022</v>
      </c>
      <c r="D2908" s="1">
        <v>43622</v>
      </c>
      <c r="E2908">
        <f>MONTH(D2908)</f>
        <v>6</v>
      </c>
      <c r="F2908" s="2" t="s">
        <v>2098</v>
      </c>
      <c r="G2908" t="s">
        <v>219</v>
      </c>
      <c r="H2908" t="s">
        <v>220</v>
      </c>
      <c r="I2908" t="s">
        <v>22</v>
      </c>
      <c r="J2908" s="2" t="s">
        <v>42</v>
      </c>
      <c r="K2908" s="2" t="s">
        <v>3019</v>
      </c>
      <c r="L2908" t="s">
        <v>25</v>
      </c>
      <c r="M2908" s="10" t="s">
        <v>26</v>
      </c>
      <c r="N2908" t="s">
        <v>26</v>
      </c>
      <c r="O2908" s="10" t="s">
        <v>26</v>
      </c>
      <c r="P2908" s="8" t="s">
        <v>26</v>
      </c>
      <c r="Q2908" s="8">
        <f>(4437920*100)/4638971</f>
        <v>95.666043180696747</v>
      </c>
    </row>
    <row r="2909" spans="1:17" x14ac:dyDescent="0.2">
      <c r="A2909">
        <f>YEAR(D2909)</f>
        <v>2019</v>
      </c>
      <c r="B2909" t="s">
        <v>26</v>
      </c>
      <c r="C2909" s="2" t="s">
        <v>3022</v>
      </c>
      <c r="D2909" s="1">
        <v>43622</v>
      </c>
      <c r="E2909">
        <f>MONTH(D2909)</f>
        <v>6</v>
      </c>
      <c r="F2909" s="2" t="s">
        <v>2098</v>
      </c>
      <c r="G2909" t="s">
        <v>219</v>
      </c>
      <c r="H2909" t="s">
        <v>220</v>
      </c>
      <c r="I2909" t="s">
        <v>22</v>
      </c>
      <c r="J2909" s="2" t="s">
        <v>42</v>
      </c>
      <c r="K2909" s="2" t="s">
        <v>3019</v>
      </c>
      <c r="L2909" t="s">
        <v>25</v>
      </c>
      <c r="M2909" s="10" t="s">
        <v>26</v>
      </c>
      <c r="N2909" t="s">
        <v>26</v>
      </c>
      <c r="O2909" s="10" t="s">
        <v>26</v>
      </c>
      <c r="P2909" s="8" t="s">
        <v>26</v>
      </c>
      <c r="Q2909" s="8">
        <f>(4437920*100)/4638971</f>
        <v>95.666043180696747</v>
      </c>
    </row>
    <row r="2910" spans="1:17" x14ac:dyDescent="0.2">
      <c r="A2910">
        <f>YEAR(D2910)</f>
        <v>2019</v>
      </c>
      <c r="B2910" t="s">
        <v>26</v>
      </c>
      <c r="C2910" s="2" t="s">
        <v>3022</v>
      </c>
      <c r="D2910" s="1">
        <v>43622</v>
      </c>
      <c r="E2910">
        <f>MONTH(D2910)</f>
        <v>6</v>
      </c>
      <c r="F2910" s="2" t="s">
        <v>2098</v>
      </c>
      <c r="G2910" t="s">
        <v>219</v>
      </c>
      <c r="H2910" t="s">
        <v>220</v>
      </c>
      <c r="I2910" t="s">
        <v>22</v>
      </c>
      <c r="J2910" s="2" t="s">
        <v>42</v>
      </c>
      <c r="K2910" s="2" t="s">
        <v>3019</v>
      </c>
      <c r="L2910" t="s">
        <v>25</v>
      </c>
      <c r="M2910" s="10" t="s">
        <v>26</v>
      </c>
      <c r="N2910" t="s">
        <v>26</v>
      </c>
      <c r="O2910" s="10" t="s">
        <v>26</v>
      </c>
      <c r="P2910" s="8" t="s">
        <v>26</v>
      </c>
      <c r="Q2910" s="8">
        <f>(4437920*100)/4638971</f>
        <v>95.666043180696747</v>
      </c>
    </row>
    <row r="2911" spans="1:17" x14ac:dyDescent="0.2">
      <c r="A2911">
        <f>YEAR(D2911)</f>
        <v>2019</v>
      </c>
      <c r="B2911" t="s">
        <v>26</v>
      </c>
      <c r="C2911" s="2" t="s">
        <v>3022</v>
      </c>
      <c r="D2911" s="1">
        <v>43622</v>
      </c>
      <c r="E2911">
        <f>MONTH(D2911)</f>
        <v>6</v>
      </c>
      <c r="F2911" s="2" t="s">
        <v>2098</v>
      </c>
      <c r="G2911" t="s">
        <v>219</v>
      </c>
      <c r="H2911" t="s">
        <v>220</v>
      </c>
      <c r="I2911" t="s">
        <v>22</v>
      </c>
      <c r="J2911" s="2" t="s">
        <v>42</v>
      </c>
      <c r="K2911" s="2" t="s">
        <v>3019</v>
      </c>
      <c r="L2911" t="s">
        <v>25</v>
      </c>
      <c r="M2911" s="10" t="s">
        <v>26</v>
      </c>
      <c r="N2911" t="s">
        <v>26</v>
      </c>
      <c r="O2911" s="10" t="s">
        <v>26</v>
      </c>
      <c r="P2911" s="8" t="s">
        <v>26</v>
      </c>
      <c r="Q2911" s="8">
        <f>(4437920*100)/4638971</f>
        <v>95.666043180696747</v>
      </c>
    </row>
    <row r="2912" spans="1:17" x14ac:dyDescent="0.2">
      <c r="A2912">
        <f>YEAR(D2912)</f>
        <v>2019</v>
      </c>
      <c r="B2912" t="s">
        <v>26</v>
      </c>
      <c r="C2912" s="2" t="s">
        <v>3022</v>
      </c>
      <c r="D2912" s="1">
        <v>43622</v>
      </c>
      <c r="E2912">
        <f>MONTH(D2912)</f>
        <v>6</v>
      </c>
      <c r="F2912" s="2" t="s">
        <v>2098</v>
      </c>
      <c r="G2912" t="s">
        <v>219</v>
      </c>
      <c r="H2912" t="s">
        <v>220</v>
      </c>
      <c r="I2912" t="s">
        <v>22</v>
      </c>
      <c r="J2912" s="2" t="s">
        <v>42</v>
      </c>
      <c r="K2912" s="2" t="s">
        <v>3019</v>
      </c>
      <c r="L2912" t="s">
        <v>25</v>
      </c>
      <c r="M2912" s="10" t="s">
        <v>26</v>
      </c>
      <c r="N2912" t="s">
        <v>26</v>
      </c>
      <c r="O2912" s="10" t="s">
        <v>26</v>
      </c>
      <c r="P2912" s="8" t="s">
        <v>26</v>
      </c>
      <c r="Q2912" s="8">
        <f>(4437920*100)/4638971</f>
        <v>95.666043180696747</v>
      </c>
    </row>
    <row r="2913" spans="1:17" x14ac:dyDescent="0.2">
      <c r="A2913">
        <f>YEAR(D2913)</f>
        <v>2019</v>
      </c>
      <c r="B2913" t="s">
        <v>26</v>
      </c>
      <c r="C2913" s="2" t="s">
        <v>3022</v>
      </c>
      <c r="D2913" s="1">
        <v>43622</v>
      </c>
      <c r="E2913">
        <f>MONTH(D2913)</f>
        <v>6</v>
      </c>
      <c r="F2913" s="2" t="s">
        <v>2098</v>
      </c>
      <c r="G2913" t="s">
        <v>219</v>
      </c>
      <c r="H2913" t="s">
        <v>220</v>
      </c>
      <c r="I2913" t="s">
        <v>22</v>
      </c>
      <c r="J2913" s="2" t="s">
        <v>42</v>
      </c>
      <c r="K2913" s="2" t="s">
        <v>3019</v>
      </c>
      <c r="L2913" t="s">
        <v>25</v>
      </c>
      <c r="M2913" s="10" t="s">
        <v>26</v>
      </c>
      <c r="N2913" t="s">
        <v>26</v>
      </c>
      <c r="O2913" s="10" t="s">
        <v>26</v>
      </c>
      <c r="P2913" s="8" t="s">
        <v>26</v>
      </c>
      <c r="Q2913" s="8">
        <f>(4437920*100)/4638971</f>
        <v>95.666043180696747</v>
      </c>
    </row>
    <row r="2914" spans="1:17" x14ac:dyDescent="0.2">
      <c r="A2914">
        <f>YEAR(D2914)</f>
        <v>2019</v>
      </c>
      <c r="B2914" t="s">
        <v>26</v>
      </c>
      <c r="C2914" s="2" t="s">
        <v>3022</v>
      </c>
      <c r="D2914" s="1">
        <v>43622</v>
      </c>
      <c r="E2914">
        <f>MONTH(D2914)</f>
        <v>6</v>
      </c>
      <c r="F2914" s="2" t="s">
        <v>2098</v>
      </c>
      <c r="G2914" t="s">
        <v>219</v>
      </c>
      <c r="H2914" t="s">
        <v>220</v>
      </c>
      <c r="I2914" t="s">
        <v>22</v>
      </c>
      <c r="J2914" s="2" t="s">
        <v>42</v>
      </c>
      <c r="K2914" s="2" t="s">
        <v>3019</v>
      </c>
      <c r="L2914" t="s">
        <v>25</v>
      </c>
      <c r="M2914" s="10" t="s">
        <v>26</v>
      </c>
      <c r="N2914" t="s">
        <v>26</v>
      </c>
      <c r="O2914" s="10" t="s">
        <v>26</v>
      </c>
      <c r="P2914" s="8" t="s">
        <v>26</v>
      </c>
      <c r="Q2914" s="8">
        <f>(4437920*100)/4638971</f>
        <v>95.666043180696747</v>
      </c>
    </row>
    <row r="2915" spans="1:17" x14ac:dyDescent="0.2">
      <c r="A2915">
        <f>YEAR(D2915)</f>
        <v>2019</v>
      </c>
      <c r="B2915" t="s">
        <v>26</v>
      </c>
      <c r="C2915" s="2" t="s">
        <v>3022</v>
      </c>
      <c r="D2915" s="1">
        <v>43622</v>
      </c>
      <c r="E2915">
        <f>MONTH(D2915)</f>
        <v>6</v>
      </c>
      <c r="F2915" s="2" t="s">
        <v>2098</v>
      </c>
      <c r="G2915" t="s">
        <v>219</v>
      </c>
      <c r="H2915" t="s">
        <v>220</v>
      </c>
      <c r="I2915" t="s">
        <v>22</v>
      </c>
      <c r="J2915" s="2" t="s">
        <v>42</v>
      </c>
      <c r="K2915" s="2" t="s">
        <v>3019</v>
      </c>
      <c r="L2915" t="s">
        <v>25</v>
      </c>
      <c r="M2915" s="10" t="s">
        <v>26</v>
      </c>
      <c r="N2915" t="s">
        <v>26</v>
      </c>
      <c r="O2915" s="10" t="s">
        <v>26</v>
      </c>
      <c r="P2915" s="8" t="s">
        <v>26</v>
      </c>
      <c r="Q2915" s="8">
        <f>(4437920*100)/4638971</f>
        <v>95.666043180696747</v>
      </c>
    </row>
    <row r="2916" spans="1:17" x14ac:dyDescent="0.2">
      <c r="A2916">
        <f>YEAR(D2916)</f>
        <v>2019</v>
      </c>
      <c r="B2916" t="s">
        <v>26</v>
      </c>
      <c r="C2916" s="2" t="s">
        <v>3022</v>
      </c>
      <c r="D2916" s="1">
        <v>43622</v>
      </c>
      <c r="E2916">
        <f>MONTH(D2916)</f>
        <v>6</v>
      </c>
      <c r="F2916" s="2" t="s">
        <v>2098</v>
      </c>
      <c r="G2916" t="s">
        <v>230</v>
      </c>
      <c r="H2916" t="s">
        <v>259</v>
      </c>
      <c r="I2916" t="s">
        <v>22</v>
      </c>
      <c r="J2916" s="2" t="s">
        <v>42</v>
      </c>
      <c r="K2916" s="2" t="s">
        <v>3019</v>
      </c>
      <c r="L2916" t="s">
        <v>25</v>
      </c>
      <c r="M2916" s="8">
        <v>4.2283333330000001</v>
      </c>
      <c r="N2916" t="s">
        <v>26</v>
      </c>
      <c r="O2916" s="8">
        <v>4.2283333330000001</v>
      </c>
      <c r="P2916" s="8">
        <f>EXP(-1.363+3.366*LOG(O2916,10))</f>
        <v>2.1057792396965977</v>
      </c>
      <c r="Q2916" s="8">
        <f>(4437920*100)/4638971</f>
        <v>95.666043180696747</v>
      </c>
    </row>
    <row r="2917" spans="1:17" x14ac:dyDescent="0.2">
      <c r="A2917">
        <f>YEAR(D2917)</f>
        <v>2019</v>
      </c>
      <c r="B2917" t="s">
        <v>26</v>
      </c>
      <c r="C2917" s="2" t="s">
        <v>3022</v>
      </c>
      <c r="D2917" s="1">
        <v>43622</v>
      </c>
      <c r="E2917">
        <f>MONTH(D2917)</f>
        <v>6</v>
      </c>
      <c r="F2917" s="2" t="s">
        <v>2098</v>
      </c>
      <c r="G2917" t="s">
        <v>1520</v>
      </c>
      <c r="H2917" t="s">
        <v>1528</v>
      </c>
      <c r="I2917" t="s">
        <v>22</v>
      </c>
      <c r="J2917" s="2" t="s">
        <v>42</v>
      </c>
      <c r="K2917" s="2" t="s">
        <v>3019</v>
      </c>
      <c r="L2917" t="s">
        <v>25</v>
      </c>
      <c r="M2917" s="8">
        <v>3.624333333</v>
      </c>
      <c r="N2917" t="s">
        <v>26</v>
      </c>
      <c r="O2917" s="8">
        <v>3.624333333</v>
      </c>
      <c r="P2917" s="8">
        <f>EXP(-1.363+3.366*LOG(O2917,10))</f>
        <v>1.6809546844949765</v>
      </c>
      <c r="Q2917" s="8">
        <f>(4437920*100)/4638971</f>
        <v>95.666043180696747</v>
      </c>
    </row>
    <row r="2918" spans="1:17" x14ac:dyDescent="0.2">
      <c r="A2918">
        <f>YEAR(D2918)</f>
        <v>2019</v>
      </c>
      <c r="B2918" t="s">
        <v>26</v>
      </c>
      <c r="C2918" s="2" t="s">
        <v>3022</v>
      </c>
      <c r="D2918" s="1">
        <v>43622</v>
      </c>
      <c r="E2918">
        <f>MONTH(D2918)</f>
        <v>6</v>
      </c>
      <c r="F2918" s="2" t="s">
        <v>2098</v>
      </c>
      <c r="G2918" t="s">
        <v>1520</v>
      </c>
      <c r="H2918" t="s">
        <v>1528</v>
      </c>
      <c r="I2918" t="s">
        <v>22</v>
      </c>
      <c r="J2918" s="2" t="s">
        <v>42</v>
      </c>
      <c r="K2918" s="2" t="s">
        <v>3019</v>
      </c>
      <c r="L2918" t="s">
        <v>25</v>
      </c>
      <c r="M2918" s="8">
        <v>3.624333333</v>
      </c>
      <c r="N2918" t="s">
        <v>26</v>
      </c>
      <c r="O2918" s="8">
        <v>3.624333333</v>
      </c>
      <c r="P2918" s="8">
        <f>EXP(-1.363+3.366*LOG(O2918,10))</f>
        <v>1.6809546844949765</v>
      </c>
      <c r="Q2918" s="8">
        <f>(4437920*100)/4638971</f>
        <v>95.666043180696747</v>
      </c>
    </row>
    <row r="2919" spans="1:17" x14ac:dyDescent="0.2">
      <c r="A2919">
        <f>YEAR(D2919)</f>
        <v>2019</v>
      </c>
      <c r="B2919" t="s">
        <v>26</v>
      </c>
      <c r="C2919" s="2" t="s">
        <v>3022</v>
      </c>
      <c r="D2919" s="1">
        <v>43622</v>
      </c>
      <c r="E2919">
        <f>MONTH(D2919)</f>
        <v>6</v>
      </c>
      <c r="F2919" s="2" t="s">
        <v>2098</v>
      </c>
      <c r="G2919" t="s">
        <v>1520</v>
      </c>
      <c r="H2919" t="s">
        <v>1528</v>
      </c>
      <c r="I2919" t="s">
        <v>36</v>
      </c>
      <c r="J2919" s="2" t="s">
        <v>42</v>
      </c>
      <c r="K2919" s="2" t="s">
        <v>3019</v>
      </c>
      <c r="L2919" t="s">
        <v>25</v>
      </c>
      <c r="M2919" s="8">
        <v>3.3860000000000001</v>
      </c>
      <c r="N2919" t="s">
        <v>26</v>
      </c>
      <c r="O2919" s="8">
        <v>3.3860000000000001</v>
      </c>
      <c r="P2919" s="8">
        <f>EXP(-1.363+3.366*LOG(O2919,10))</f>
        <v>1.5218493704875904</v>
      </c>
      <c r="Q2919" s="8">
        <f>(4437920*100)/4638971</f>
        <v>95.666043180696747</v>
      </c>
    </row>
    <row r="2920" spans="1:17" x14ac:dyDescent="0.2">
      <c r="A2920">
        <f>YEAR(D2920)</f>
        <v>2019</v>
      </c>
      <c r="B2920" t="s">
        <v>26</v>
      </c>
      <c r="C2920" s="2" t="s">
        <v>3022</v>
      </c>
      <c r="D2920" s="1">
        <v>43622</v>
      </c>
      <c r="E2920">
        <f>MONTH(D2920)</f>
        <v>6</v>
      </c>
      <c r="F2920" s="2" t="s">
        <v>2098</v>
      </c>
      <c r="G2920" t="s">
        <v>219</v>
      </c>
      <c r="H2920" t="s">
        <v>220</v>
      </c>
      <c r="I2920" t="s">
        <v>22</v>
      </c>
      <c r="J2920" s="2" t="s">
        <v>42</v>
      </c>
      <c r="K2920" s="2" t="s">
        <v>3019</v>
      </c>
      <c r="L2920" t="s">
        <v>25</v>
      </c>
      <c r="M2920" s="10" t="s">
        <v>26</v>
      </c>
      <c r="N2920" t="s">
        <v>26</v>
      </c>
      <c r="O2920" s="10" t="s">
        <v>26</v>
      </c>
      <c r="P2920" s="8" t="s">
        <v>26</v>
      </c>
      <c r="Q2920" s="8">
        <f>(4437920*100)/4638971</f>
        <v>95.666043180696747</v>
      </c>
    </row>
    <row r="2921" spans="1:17" x14ac:dyDescent="0.2">
      <c r="A2921">
        <f>YEAR(D2921)</f>
        <v>2019</v>
      </c>
      <c r="B2921" t="s">
        <v>26</v>
      </c>
      <c r="C2921" s="2" t="s">
        <v>3022</v>
      </c>
      <c r="D2921" s="1">
        <v>43622</v>
      </c>
      <c r="E2921">
        <f>MONTH(D2921)</f>
        <v>6</v>
      </c>
      <c r="F2921" s="2" t="s">
        <v>2098</v>
      </c>
      <c r="G2921" t="s">
        <v>219</v>
      </c>
      <c r="H2921" t="s">
        <v>220</v>
      </c>
      <c r="I2921" t="s">
        <v>22</v>
      </c>
      <c r="J2921" s="2" t="s">
        <v>42</v>
      </c>
      <c r="K2921" s="2" t="s">
        <v>3019</v>
      </c>
      <c r="L2921" t="s">
        <v>25</v>
      </c>
      <c r="M2921" s="10" t="s">
        <v>26</v>
      </c>
      <c r="N2921" t="s">
        <v>26</v>
      </c>
      <c r="O2921" s="10" t="s">
        <v>26</v>
      </c>
      <c r="P2921" s="8" t="s">
        <v>26</v>
      </c>
      <c r="Q2921" s="8">
        <f>(4437920*100)/4638971</f>
        <v>95.666043180696747</v>
      </c>
    </row>
    <row r="2922" spans="1:17" x14ac:dyDescent="0.2">
      <c r="A2922">
        <f>YEAR(D2922)</f>
        <v>2019</v>
      </c>
      <c r="B2922" t="s">
        <v>26</v>
      </c>
      <c r="C2922" s="2" t="s">
        <v>3022</v>
      </c>
      <c r="D2922" s="1">
        <v>43622</v>
      </c>
      <c r="E2922">
        <f>MONTH(D2922)</f>
        <v>6</v>
      </c>
      <c r="F2922" s="2" t="s">
        <v>2098</v>
      </c>
      <c r="G2922" t="s">
        <v>219</v>
      </c>
      <c r="H2922" t="s">
        <v>220</v>
      </c>
      <c r="I2922" t="s">
        <v>22</v>
      </c>
      <c r="J2922" s="2" t="s">
        <v>42</v>
      </c>
      <c r="K2922" s="2" t="s">
        <v>3019</v>
      </c>
      <c r="L2922" t="s">
        <v>25</v>
      </c>
      <c r="M2922" s="10" t="s">
        <v>26</v>
      </c>
      <c r="N2922" t="s">
        <v>26</v>
      </c>
      <c r="O2922" s="10" t="s">
        <v>26</v>
      </c>
      <c r="P2922" s="8" t="s">
        <v>26</v>
      </c>
      <c r="Q2922" s="8">
        <f>(4437920*100)/4638971</f>
        <v>95.666043180696747</v>
      </c>
    </row>
    <row r="2923" spans="1:17" x14ac:dyDescent="0.2">
      <c r="A2923">
        <f>YEAR(D2923)</f>
        <v>2019</v>
      </c>
      <c r="B2923" t="s">
        <v>26</v>
      </c>
      <c r="C2923" s="2" t="s">
        <v>3022</v>
      </c>
      <c r="D2923" s="1">
        <v>43622</v>
      </c>
      <c r="E2923">
        <f>MONTH(D2923)</f>
        <v>6</v>
      </c>
      <c r="F2923" s="2" t="s">
        <v>2098</v>
      </c>
      <c r="G2923" t="s">
        <v>219</v>
      </c>
      <c r="H2923" t="s">
        <v>220</v>
      </c>
      <c r="I2923" t="s">
        <v>22</v>
      </c>
      <c r="J2923" s="2" t="s">
        <v>42</v>
      </c>
      <c r="K2923" s="2" t="s">
        <v>3019</v>
      </c>
      <c r="L2923" t="s">
        <v>25</v>
      </c>
      <c r="M2923" s="10" t="s">
        <v>26</v>
      </c>
      <c r="N2923" t="s">
        <v>26</v>
      </c>
      <c r="O2923" s="10" t="s">
        <v>26</v>
      </c>
      <c r="P2923" s="8" t="s">
        <v>26</v>
      </c>
      <c r="Q2923" s="8">
        <f>(4437920*100)/4638971</f>
        <v>95.666043180696747</v>
      </c>
    </row>
    <row r="2924" spans="1:17" x14ac:dyDescent="0.2">
      <c r="A2924">
        <f>YEAR(D2924)</f>
        <v>2019</v>
      </c>
      <c r="B2924" t="s">
        <v>26</v>
      </c>
      <c r="C2924" s="2" t="s">
        <v>3022</v>
      </c>
      <c r="D2924" s="1">
        <v>43622</v>
      </c>
      <c r="E2924">
        <f>MONTH(D2924)</f>
        <v>6</v>
      </c>
      <c r="F2924" s="2" t="s">
        <v>2098</v>
      </c>
      <c r="G2924" t="s">
        <v>352</v>
      </c>
      <c r="H2924" t="s">
        <v>623</v>
      </c>
      <c r="I2924" t="s">
        <v>22</v>
      </c>
      <c r="J2924" s="2" t="s">
        <v>42</v>
      </c>
      <c r="K2924" s="2" t="s">
        <v>3019</v>
      </c>
      <c r="L2924" t="s">
        <v>25</v>
      </c>
      <c r="M2924" s="8">
        <v>1.387</v>
      </c>
      <c r="N2924" t="s">
        <v>26</v>
      </c>
      <c r="O2924" s="8">
        <v>1.387</v>
      </c>
      <c r="P2924" s="8">
        <f>EXP(-1.363+3.366*LOG(O2924,10))</f>
        <v>0.41280884754947733</v>
      </c>
      <c r="Q2924" s="8">
        <f>(4437920*100)/4638971</f>
        <v>95.666043180696747</v>
      </c>
    </row>
    <row r="2925" spans="1:17" x14ac:dyDescent="0.2">
      <c r="A2925">
        <f>YEAR(D2925)</f>
        <v>2019</v>
      </c>
      <c r="B2925" t="s">
        <v>26</v>
      </c>
      <c r="C2925" s="2" t="s">
        <v>3022</v>
      </c>
      <c r="D2925" s="1">
        <v>43622</v>
      </c>
      <c r="E2925">
        <f>MONTH(D2925)</f>
        <v>6</v>
      </c>
      <c r="F2925" s="2" t="s">
        <v>2098</v>
      </c>
      <c r="G2925" t="s">
        <v>230</v>
      </c>
      <c r="H2925" t="s">
        <v>268</v>
      </c>
      <c r="I2925" t="s">
        <v>22</v>
      </c>
      <c r="J2925" s="2" t="s">
        <v>42</v>
      </c>
      <c r="K2925" s="2" t="s">
        <v>3019</v>
      </c>
      <c r="L2925" t="s">
        <v>25</v>
      </c>
      <c r="M2925" s="8">
        <v>3.5356666670000001</v>
      </c>
      <c r="N2925" t="s">
        <v>26</v>
      </c>
      <c r="O2925" s="8">
        <v>3.5356666670000001</v>
      </c>
      <c r="P2925" s="8">
        <f>EXP(-1.363+3.366*LOG(O2925,10))</f>
        <v>1.6211802664427075</v>
      </c>
      <c r="Q2925" s="8">
        <f>(4437920*100)/4638971</f>
        <v>95.666043180696747</v>
      </c>
    </row>
    <row r="2926" spans="1:17" x14ac:dyDescent="0.2">
      <c r="A2926">
        <f>YEAR(D2926)</f>
        <v>2019</v>
      </c>
      <c r="B2926" t="s">
        <v>26</v>
      </c>
      <c r="C2926" s="2" t="s">
        <v>3026</v>
      </c>
      <c r="D2926" s="1">
        <v>43627</v>
      </c>
      <c r="E2926">
        <f>MONTH(D2926)</f>
        <v>6</v>
      </c>
      <c r="F2926" s="2" t="s">
        <v>2098</v>
      </c>
      <c r="G2926" t="s">
        <v>230</v>
      </c>
      <c r="H2926" t="s">
        <v>259</v>
      </c>
      <c r="I2926" t="s">
        <v>22</v>
      </c>
      <c r="J2926" s="2" t="s">
        <v>42</v>
      </c>
      <c r="K2926" s="2" t="s">
        <v>3019</v>
      </c>
      <c r="L2926" t="s">
        <v>25</v>
      </c>
      <c r="M2926" s="8">
        <v>4.2283333330000001</v>
      </c>
      <c r="N2926" t="s">
        <v>26</v>
      </c>
      <c r="O2926" s="8">
        <v>4.2283333330000001</v>
      </c>
      <c r="P2926" s="8">
        <f>EXP(-1.363+3.366*LOG(O2926,10))</f>
        <v>2.1057792396965977</v>
      </c>
      <c r="Q2926" s="8">
        <f>(2317420*100)/2442061</f>
        <v>94.896073439606951</v>
      </c>
    </row>
    <row r="2927" spans="1:17" x14ac:dyDescent="0.2">
      <c r="A2927">
        <f>YEAR(D2927)</f>
        <v>2019</v>
      </c>
      <c r="B2927" t="s">
        <v>26</v>
      </c>
      <c r="C2927" s="2" t="s">
        <v>3026</v>
      </c>
      <c r="D2927" s="1">
        <v>43627</v>
      </c>
      <c r="E2927">
        <f>MONTH(D2927)</f>
        <v>6</v>
      </c>
      <c r="F2927" s="2" t="s">
        <v>2098</v>
      </c>
      <c r="G2927" t="s">
        <v>219</v>
      </c>
      <c r="H2927" t="s">
        <v>220</v>
      </c>
      <c r="I2927" t="s">
        <v>22</v>
      </c>
      <c r="J2927" s="2" t="s">
        <v>42</v>
      </c>
      <c r="K2927" s="2" t="s">
        <v>3019</v>
      </c>
      <c r="L2927" t="s">
        <v>25</v>
      </c>
      <c r="M2927" s="10" t="s">
        <v>26</v>
      </c>
      <c r="N2927" t="s">
        <v>26</v>
      </c>
      <c r="O2927" s="10" t="s">
        <v>26</v>
      </c>
      <c r="P2927" s="8" t="s">
        <v>26</v>
      </c>
      <c r="Q2927" s="8">
        <f>(2317420*100)/2442061</f>
        <v>94.896073439606951</v>
      </c>
    </row>
    <row r="2928" spans="1:17" x14ac:dyDescent="0.2">
      <c r="A2928">
        <f>YEAR(D2928)</f>
        <v>2019</v>
      </c>
      <c r="B2928" t="s">
        <v>26</v>
      </c>
      <c r="C2928" s="2" t="s">
        <v>3026</v>
      </c>
      <c r="D2928" s="1">
        <v>43627</v>
      </c>
      <c r="E2928">
        <f>MONTH(D2928)</f>
        <v>6</v>
      </c>
      <c r="F2928" s="2" t="s">
        <v>2098</v>
      </c>
      <c r="G2928" t="s">
        <v>219</v>
      </c>
      <c r="H2928" t="s">
        <v>220</v>
      </c>
      <c r="I2928" t="s">
        <v>22</v>
      </c>
      <c r="J2928" s="2" t="s">
        <v>42</v>
      </c>
      <c r="K2928" s="2" t="s">
        <v>3019</v>
      </c>
      <c r="L2928" t="s">
        <v>25</v>
      </c>
      <c r="M2928" s="10" t="s">
        <v>26</v>
      </c>
      <c r="N2928" t="s">
        <v>26</v>
      </c>
      <c r="O2928" s="10" t="s">
        <v>26</v>
      </c>
      <c r="P2928" s="8" t="s">
        <v>26</v>
      </c>
      <c r="Q2928" s="8">
        <f>(2317420*100)/2442061</f>
        <v>94.896073439606951</v>
      </c>
    </row>
    <row r="2929" spans="1:17" x14ac:dyDescent="0.2">
      <c r="A2929">
        <f>YEAR(D2929)</f>
        <v>2019</v>
      </c>
      <c r="B2929" t="s">
        <v>26</v>
      </c>
      <c r="C2929" s="2" t="s">
        <v>3026</v>
      </c>
      <c r="D2929" s="1">
        <v>43627</v>
      </c>
      <c r="E2929">
        <f>MONTH(D2929)</f>
        <v>6</v>
      </c>
      <c r="F2929" s="2" t="s">
        <v>2098</v>
      </c>
      <c r="G2929" t="s">
        <v>1520</v>
      </c>
      <c r="H2929" t="s">
        <v>1521</v>
      </c>
      <c r="I2929" t="s">
        <v>36</v>
      </c>
      <c r="J2929" s="2" t="s">
        <v>42</v>
      </c>
      <c r="K2929" s="2" t="s">
        <v>3019</v>
      </c>
      <c r="L2929" t="s">
        <v>25</v>
      </c>
      <c r="M2929" s="8">
        <v>2.3340000000000001</v>
      </c>
      <c r="N2929" t="s">
        <v>26</v>
      </c>
      <c r="O2929" s="8">
        <v>2.3340000000000001</v>
      </c>
      <c r="P2929" s="8">
        <f>EXP(-1.363+3.366*LOG(O2929,10))</f>
        <v>0.88340410488080767</v>
      </c>
      <c r="Q2929" s="8">
        <f>(2317420*100)/2442061</f>
        <v>94.896073439606951</v>
      </c>
    </row>
    <row r="2930" spans="1:17" x14ac:dyDescent="0.2">
      <c r="A2930">
        <f>YEAR(D2930)</f>
        <v>2019</v>
      </c>
      <c r="B2930" t="s">
        <v>26</v>
      </c>
      <c r="C2930" s="2" t="s">
        <v>3026</v>
      </c>
      <c r="D2930" s="1">
        <v>43627</v>
      </c>
      <c r="E2930">
        <f>MONTH(D2930)</f>
        <v>6</v>
      </c>
      <c r="F2930" s="2" t="s">
        <v>2098</v>
      </c>
      <c r="G2930" t="s">
        <v>219</v>
      </c>
      <c r="H2930" t="s">
        <v>220</v>
      </c>
      <c r="I2930" t="s">
        <v>22</v>
      </c>
      <c r="J2930" s="2" t="s">
        <v>42</v>
      </c>
      <c r="K2930" s="2" t="s">
        <v>3019</v>
      </c>
      <c r="L2930" t="s">
        <v>25</v>
      </c>
      <c r="M2930" s="10" t="s">
        <v>26</v>
      </c>
      <c r="N2930" t="s">
        <v>26</v>
      </c>
      <c r="O2930" s="10" t="s">
        <v>26</v>
      </c>
      <c r="P2930" s="8" t="s">
        <v>26</v>
      </c>
      <c r="Q2930" s="8">
        <f>(2317420*100)/2442061</f>
        <v>94.896073439606951</v>
      </c>
    </row>
    <row r="2931" spans="1:17" x14ac:dyDescent="0.2">
      <c r="A2931">
        <f>YEAR(D2931)</f>
        <v>2019</v>
      </c>
      <c r="B2931" t="s">
        <v>26</v>
      </c>
      <c r="C2931" s="2" t="s">
        <v>3026</v>
      </c>
      <c r="D2931" s="1">
        <v>43627</v>
      </c>
      <c r="E2931">
        <f>MONTH(D2931)</f>
        <v>6</v>
      </c>
      <c r="F2931" s="2" t="s">
        <v>2098</v>
      </c>
      <c r="G2931" t="s">
        <v>219</v>
      </c>
      <c r="H2931" t="s">
        <v>220</v>
      </c>
      <c r="I2931" t="s">
        <v>22</v>
      </c>
      <c r="J2931" s="2" t="s">
        <v>42</v>
      </c>
      <c r="K2931" s="2" t="s">
        <v>3019</v>
      </c>
      <c r="L2931" t="s">
        <v>25</v>
      </c>
      <c r="M2931" s="10" t="s">
        <v>26</v>
      </c>
      <c r="N2931" t="s">
        <v>26</v>
      </c>
      <c r="O2931" s="10" t="s">
        <v>26</v>
      </c>
      <c r="P2931" s="8" t="s">
        <v>26</v>
      </c>
      <c r="Q2931" s="8">
        <f>(2317420*100)/2442061</f>
        <v>94.896073439606951</v>
      </c>
    </row>
    <row r="2932" spans="1:17" x14ac:dyDescent="0.2">
      <c r="A2932">
        <f>YEAR(D2932)</f>
        <v>2019</v>
      </c>
      <c r="B2932" t="s">
        <v>26</v>
      </c>
      <c r="C2932" s="2" t="s">
        <v>3026</v>
      </c>
      <c r="D2932" s="1">
        <v>43627</v>
      </c>
      <c r="E2932">
        <f>MONTH(D2932)</f>
        <v>6</v>
      </c>
      <c r="F2932" s="2" t="s">
        <v>2098</v>
      </c>
      <c r="G2932" t="s">
        <v>230</v>
      </c>
      <c r="H2932" t="s">
        <v>268</v>
      </c>
      <c r="I2932" t="s">
        <v>22</v>
      </c>
      <c r="J2932" s="2" t="s">
        <v>42</v>
      </c>
      <c r="K2932" s="2" t="s">
        <v>3019</v>
      </c>
      <c r="L2932" t="s">
        <v>25</v>
      </c>
      <c r="M2932" s="8">
        <v>3.5356666670000001</v>
      </c>
      <c r="N2932" t="s">
        <v>26</v>
      </c>
      <c r="O2932" s="8">
        <v>3.5356666670000001</v>
      </c>
      <c r="P2932" s="8">
        <f>EXP(-1.363+3.366*LOG(O2932,10))</f>
        <v>1.6211802664427075</v>
      </c>
      <c r="Q2932" s="8">
        <f>(2317420*100)/2442061</f>
        <v>94.896073439606951</v>
      </c>
    </row>
    <row r="2933" spans="1:17" x14ac:dyDescent="0.2">
      <c r="A2933">
        <f>YEAR(D2933)</f>
        <v>2019</v>
      </c>
      <c r="B2933" t="s">
        <v>26</v>
      </c>
      <c r="C2933" s="2" t="s">
        <v>3026</v>
      </c>
      <c r="D2933" s="1">
        <v>43627</v>
      </c>
      <c r="E2933">
        <f>MONTH(D2933)</f>
        <v>6</v>
      </c>
      <c r="F2933" s="2" t="s">
        <v>2098</v>
      </c>
      <c r="G2933" t="s">
        <v>230</v>
      </c>
      <c r="H2933" t="s">
        <v>268</v>
      </c>
      <c r="I2933" t="s">
        <v>22</v>
      </c>
      <c r="J2933" s="2" t="s">
        <v>42</v>
      </c>
      <c r="K2933" s="2" t="s">
        <v>3019</v>
      </c>
      <c r="L2933" t="s">
        <v>25</v>
      </c>
      <c r="M2933" s="8">
        <v>3.5356666670000001</v>
      </c>
      <c r="N2933" t="s">
        <v>26</v>
      </c>
      <c r="O2933" s="8">
        <v>3.5356666670000001</v>
      </c>
      <c r="P2933" s="8">
        <f>EXP(-1.363+3.366*LOG(O2933,10))</f>
        <v>1.6211802664427075</v>
      </c>
      <c r="Q2933" s="8">
        <f>(2317420*100)/2442061</f>
        <v>94.896073439606951</v>
      </c>
    </row>
    <row r="2934" spans="1:17" x14ac:dyDescent="0.2">
      <c r="A2934">
        <f>YEAR(D2934)</f>
        <v>2019</v>
      </c>
      <c r="B2934" t="s">
        <v>26</v>
      </c>
      <c r="C2934" s="2" t="s">
        <v>3026</v>
      </c>
      <c r="D2934" s="1">
        <v>43627</v>
      </c>
      <c r="E2934">
        <f>MONTH(D2934)</f>
        <v>6</v>
      </c>
      <c r="F2934" s="2" t="s">
        <v>2098</v>
      </c>
      <c r="G2934" t="s">
        <v>219</v>
      </c>
      <c r="H2934" t="s">
        <v>220</v>
      </c>
      <c r="I2934" t="s">
        <v>22</v>
      </c>
      <c r="J2934" s="2" t="s">
        <v>42</v>
      </c>
      <c r="K2934" s="2" t="s">
        <v>3019</v>
      </c>
      <c r="L2934" t="s">
        <v>25</v>
      </c>
      <c r="M2934" s="10" t="s">
        <v>26</v>
      </c>
      <c r="N2934" t="s">
        <v>26</v>
      </c>
      <c r="O2934" s="10" t="s">
        <v>26</v>
      </c>
      <c r="P2934" s="8" t="s">
        <v>26</v>
      </c>
      <c r="Q2934" s="8">
        <f>(2317420*100)/2442061</f>
        <v>94.896073439606951</v>
      </c>
    </row>
    <row r="2935" spans="1:17" x14ac:dyDescent="0.2">
      <c r="A2935">
        <f>YEAR(D2935)</f>
        <v>2019</v>
      </c>
      <c r="B2935" t="s">
        <v>26</v>
      </c>
      <c r="C2935" s="2" t="s">
        <v>3026</v>
      </c>
      <c r="D2935" s="1">
        <v>43627</v>
      </c>
      <c r="E2935">
        <f>MONTH(D2935)</f>
        <v>6</v>
      </c>
      <c r="F2935" s="2" t="s">
        <v>2098</v>
      </c>
      <c r="G2935" t="s">
        <v>219</v>
      </c>
      <c r="H2935" t="s">
        <v>220</v>
      </c>
      <c r="I2935" t="s">
        <v>22</v>
      </c>
      <c r="J2935" s="2" t="s">
        <v>42</v>
      </c>
      <c r="K2935" s="2" t="s">
        <v>3019</v>
      </c>
      <c r="L2935" t="s">
        <v>25</v>
      </c>
      <c r="M2935" s="10" t="s">
        <v>26</v>
      </c>
      <c r="N2935" t="s">
        <v>26</v>
      </c>
      <c r="O2935" s="10" t="s">
        <v>26</v>
      </c>
      <c r="P2935" s="8" t="s">
        <v>26</v>
      </c>
      <c r="Q2935" s="8">
        <f>(2317420*100)/2442061</f>
        <v>94.896073439606951</v>
      </c>
    </row>
    <row r="2936" spans="1:17" x14ac:dyDescent="0.2">
      <c r="A2936">
        <f>YEAR(D2936)</f>
        <v>2019</v>
      </c>
      <c r="B2936" t="s">
        <v>26</v>
      </c>
      <c r="C2936" s="2" t="s">
        <v>3026</v>
      </c>
      <c r="D2936" s="1">
        <v>43627</v>
      </c>
      <c r="E2936">
        <f>MONTH(D2936)</f>
        <v>6</v>
      </c>
      <c r="F2936" s="2" t="s">
        <v>2098</v>
      </c>
      <c r="G2936" t="s">
        <v>230</v>
      </c>
      <c r="H2936" t="s">
        <v>268</v>
      </c>
      <c r="I2936" t="s">
        <v>22</v>
      </c>
      <c r="J2936" s="2" t="s">
        <v>42</v>
      </c>
      <c r="K2936" s="2" t="s">
        <v>3019</v>
      </c>
      <c r="L2936" t="s">
        <v>25</v>
      </c>
      <c r="M2936" s="8">
        <v>3.5356666670000001</v>
      </c>
      <c r="N2936" t="s">
        <v>26</v>
      </c>
      <c r="O2936" s="8">
        <v>3.5356666670000001</v>
      </c>
      <c r="P2936" s="8">
        <f>EXP(-1.363+3.366*LOG(O2936,10))</f>
        <v>1.6211802664427075</v>
      </c>
      <c r="Q2936" s="8">
        <f>(2317420*100)/2442061</f>
        <v>94.896073439606951</v>
      </c>
    </row>
    <row r="2937" spans="1:17" x14ac:dyDescent="0.2">
      <c r="A2937">
        <f>YEAR(D2937)</f>
        <v>2019</v>
      </c>
      <c r="B2937" t="s">
        <v>26</v>
      </c>
      <c r="C2937" s="2" t="s">
        <v>3026</v>
      </c>
      <c r="D2937" s="1">
        <v>43627</v>
      </c>
      <c r="E2937">
        <f>MONTH(D2937)</f>
        <v>6</v>
      </c>
      <c r="F2937" s="2" t="s">
        <v>2098</v>
      </c>
      <c r="G2937" t="s">
        <v>20</v>
      </c>
      <c r="H2937" t="s">
        <v>2295</v>
      </c>
      <c r="I2937" t="s">
        <v>36</v>
      </c>
      <c r="J2937" s="2" t="s">
        <v>42</v>
      </c>
      <c r="K2937" s="2" t="s">
        <v>3019</v>
      </c>
      <c r="L2937" t="s">
        <v>25</v>
      </c>
      <c r="M2937" s="8">
        <v>1.0436666670000001</v>
      </c>
      <c r="N2937" t="s">
        <v>26</v>
      </c>
      <c r="O2937" s="8">
        <v>1.0436666670000001</v>
      </c>
      <c r="P2937" s="8">
        <f>EXP(-1.363+3.366*LOG(O2937,10))</f>
        <v>0.27238985802470567</v>
      </c>
      <c r="Q2937" s="8">
        <f>(2317420*100)/2442061</f>
        <v>94.896073439606951</v>
      </c>
    </row>
    <row r="2938" spans="1:17" x14ac:dyDescent="0.2">
      <c r="A2938">
        <f>YEAR(D2938)</f>
        <v>2019</v>
      </c>
      <c r="B2938" t="s">
        <v>26</v>
      </c>
      <c r="C2938" s="2" t="s">
        <v>3026</v>
      </c>
      <c r="D2938" s="1">
        <v>43627</v>
      </c>
      <c r="E2938">
        <f>MONTH(D2938)</f>
        <v>6</v>
      </c>
      <c r="F2938" s="2" t="s">
        <v>2098</v>
      </c>
      <c r="G2938" t="s">
        <v>230</v>
      </c>
      <c r="H2938" t="s">
        <v>268</v>
      </c>
      <c r="I2938" t="s">
        <v>22</v>
      </c>
      <c r="J2938" s="2" t="s">
        <v>42</v>
      </c>
      <c r="K2938" s="2" t="s">
        <v>3019</v>
      </c>
      <c r="L2938" t="s">
        <v>25</v>
      </c>
      <c r="M2938" s="8">
        <v>3.5356666670000001</v>
      </c>
      <c r="N2938" t="s">
        <v>26</v>
      </c>
      <c r="O2938" s="8">
        <v>3.5356666670000001</v>
      </c>
      <c r="P2938" s="8">
        <f>EXP(-1.363+3.366*LOG(O2938,10))</f>
        <v>1.6211802664427075</v>
      </c>
      <c r="Q2938" s="8">
        <f>(2317420*100)/2442061</f>
        <v>94.896073439606951</v>
      </c>
    </row>
    <row r="2939" spans="1:17" x14ac:dyDescent="0.2">
      <c r="A2939">
        <f>YEAR(D2939)</f>
        <v>2019</v>
      </c>
      <c r="B2939" t="s">
        <v>26</v>
      </c>
      <c r="C2939" s="2" t="s">
        <v>3026</v>
      </c>
      <c r="D2939" s="1">
        <v>43627</v>
      </c>
      <c r="E2939">
        <f>MONTH(D2939)</f>
        <v>6</v>
      </c>
      <c r="F2939" s="2" t="s">
        <v>2098</v>
      </c>
      <c r="G2939" t="s">
        <v>230</v>
      </c>
      <c r="H2939" t="s">
        <v>268</v>
      </c>
      <c r="I2939" t="s">
        <v>22</v>
      </c>
      <c r="J2939" s="2" t="s">
        <v>42</v>
      </c>
      <c r="K2939" s="2" t="s">
        <v>3019</v>
      </c>
      <c r="L2939" t="s">
        <v>25</v>
      </c>
      <c r="M2939" s="8">
        <v>3.5356666670000001</v>
      </c>
      <c r="N2939" t="s">
        <v>26</v>
      </c>
      <c r="O2939" s="8">
        <v>3.5356666670000001</v>
      </c>
      <c r="P2939" s="8">
        <f>EXP(-1.363+3.366*LOG(O2939,10))</f>
        <v>1.6211802664427075</v>
      </c>
      <c r="Q2939" s="8">
        <f>(2317420*100)/2442061</f>
        <v>94.896073439606951</v>
      </c>
    </row>
    <row r="2940" spans="1:17" x14ac:dyDescent="0.2">
      <c r="A2940">
        <f>YEAR(D2940)</f>
        <v>2019</v>
      </c>
      <c r="B2940" t="s">
        <v>26</v>
      </c>
      <c r="C2940" s="2" t="s">
        <v>3026</v>
      </c>
      <c r="D2940" s="1">
        <v>43627</v>
      </c>
      <c r="E2940">
        <f>MONTH(D2940)</f>
        <v>6</v>
      </c>
      <c r="F2940" s="2" t="s">
        <v>2098</v>
      </c>
      <c r="G2940" t="s">
        <v>230</v>
      </c>
      <c r="H2940" t="s">
        <v>268</v>
      </c>
      <c r="I2940" t="s">
        <v>22</v>
      </c>
      <c r="J2940" s="2" t="s">
        <v>42</v>
      </c>
      <c r="K2940" s="2" t="s">
        <v>3019</v>
      </c>
      <c r="L2940" t="s">
        <v>25</v>
      </c>
      <c r="M2940" s="8">
        <v>3.5356666670000001</v>
      </c>
      <c r="N2940" t="s">
        <v>26</v>
      </c>
      <c r="O2940" s="8">
        <v>3.5356666670000001</v>
      </c>
      <c r="P2940" s="8">
        <f>EXP(-1.363+3.366*LOG(O2940,10))</f>
        <v>1.6211802664427075</v>
      </c>
      <c r="Q2940" s="8">
        <f>(2317420*100)/2442061</f>
        <v>94.896073439606951</v>
      </c>
    </row>
    <row r="2941" spans="1:17" x14ac:dyDescent="0.2">
      <c r="A2941">
        <f>YEAR(D2941)</f>
        <v>2019</v>
      </c>
      <c r="B2941" t="s">
        <v>26</v>
      </c>
      <c r="C2941" s="2" t="s">
        <v>3026</v>
      </c>
      <c r="D2941" s="1">
        <v>43627</v>
      </c>
      <c r="E2941">
        <f>MONTH(D2941)</f>
        <v>6</v>
      </c>
      <c r="F2941" s="2" t="s">
        <v>2098</v>
      </c>
      <c r="G2941" t="s">
        <v>230</v>
      </c>
      <c r="H2941" t="s">
        <v>268</v>
      </c>
      <c r="I2941" t="s">
        <v>22</v>
      </c>
      <c r="J2941" s="2" t="s">
        <v>42</v>
      </c>
      <c r="K2941" s="2" t="s">
        <v>3019</v>
      </c>
      <c r="L2941" t="s">
        <v>25</v>
      </c>
      <c r="M2941" s="8">
        <v>3.5356666670000001</v>
      </c>
      <c r="N2941" t="s">
        <v>26</v>
      </c>
      <c r="O2941" s="8">
        <v>3.5356666670000001</v>
      </c>
      <c r="P2941" s="8">
        <f>EXP(-1.363+3.366*LOG(O2941,10))</f>
        <v>1.6211802664427075</v>
      </c>
      <c r="Q2941" s="8">
        <f>(2317420*100)/2442061</f>
        <v>94.896073439606951</v>
      </c>
    </row>
    <row r="2942" spans="1:17" x14ac:dyDescent="0.2">
      <c r="A2942">
        <f>YEAR(D2942)</f>
        <v>2019</v>
      </c>
      <c r="B2942" t="s">
        <v>26</v>
      </c>
      <c r="C2942" s="2" t="s">
        <v>3025</v>
      </c>
      <c r="D2942" s="1">
        <v>43627</v>
      </c>
      <c r="E2942">
        <f>MONTH(D2942)</f>
        <v>6</v>
      </c>
      <c r="F2942" s="2" t="s">
        <v>2098</v>
      </c>
      <c r="G2942" t="s">
        <v>219</v>
      </c>
      <c r="H2942" t="s">
        <v>220</v>
      </c>
      <c r="I2942" t="s">
        <v>22</v>
      </c>
      <c r="J2942" s="2" t="s">
        <v>42</v>
      </c>
      <c r="K2942" s="2" t="s">
        <v>3019</v>
      </c>
      <c r="L2942" t="s">
        <v>25</v>
      </c>
      <c r="M2942" s="10" t="s">
        <v>26</v>
      </c>
      <c r="N2942" t="s">
        <v>26</v>
      </c>
      <c r="O2942" s="10" t="s">
        <v>26</v>
      </c>
      <c r="P2942" s="8" t="s">
        <v>26</v>
      </c>
      <c r="Q2942" s="8">
        <f>(1955155*100)/2180255</f>
        <v>89.67551960665152</v>
      </c>
    </row>
    <row r="2943" spans="1:17" x14ac:dyDescent="0.2">
      <c r="A2943">
        <f>YEAR(D2943)</f>
        <v>2019</v>
      </c>
      <c r="B2943" t="s">
        <v>26</v>
      </c>
      <c r="C2943" s="2" t="s">
        <v>3025</v>
      </c>
      <c r="D2943" s="1">
        <v>43627</v>
      </c>
      <c r="E2943">
        <f>MONTH(D2943)</f>
        <v>6</v>
      </c>
      <c r="F2943" s="2" t="s">
        <v>2098</v>
      </c>
      <c r="G2943" t="s">
        <v>219</v>
      </c>
      <c r="H2943" t="s">
        <v>220</v>
      </c>
      <c r="I2943" t="s">
        <v>22</v>
      </c>
      <c r="J2943" s="2" t="s">
        <v>42</v>
      </c>
      <c r="K2943" s="2" t="s">
        <v>3019</v>
      </c>
      <c r="L2943" t="s">
        <v>25</v>
      </c>
      <c r="M2943" s="10" t="s">
        <v>26</v>
      </c>
      <c r="N2943" t="s">
        <v>26</v>
      </c>
      <c r="O2943" s="10" t="s">
        <v>26</v>
      </c>
      <c r="P2943" s="8" t="s">
        <v>26</v>
      </c>
      <c r="Q2943" s="8">
        <f>(1955155*100)/2180255</f>
        <v>89.67551960665152</v>
      </c>
    </row>
    <row r="2944" spans="1:17" x14ac:dyDescent="0.2">
      <c r="A2944">
        <f>YEAR(D2944)</f>
        <v>2019</v>
      </c>
      <c r="B2944" t="s">
        <v>26</v>
      </c>
      <c r="C2944" s="2" t="s">
        <v>3025</v>
      </c>
      <c r="D2944" s="1">
        <v>43627</v>
      </c>
      <c r="E2944">
        <f>MONTH(D2944)</f>
        <v>6</v>
      </c>
      <c r="F2944" s="2" t="s">
        <v>2098</v>
      </c>
      <c r="G2944" t="s">
        <v>219</v>
      </c>
      <c r="H2944" t="s">
        <v>220</v>
      </c>
      <c r="I2944" t="s">
        <v>22</v>
      </c>
      <c r="J2944" s="2" t="s">
        <v>42</v>
      </c>
      <c r="K2944" s="2" t="s">
        <v>3019</v>
      </c>
      <c r="L2944" t="s">
        <v>25</v>
      </c>
      <c r="M2944" s="10" t="s">
        <v>26</v>
      </c>
      <c r="N2944" t="s">
        <v>26</v>
      </c>
      <c r="O2944" s="10" t="s">
        <v>26</v>
      </c>
      <c r="P2944" s="8" t="s">
        <v>26</v>
      </c>
      <c r="Q2944" s="8">
        <f>(1955155*100)/2180255</f>
        <v>89.67551960665152</v>
      </c>
    </row>
    <row r="2945" spans="1:17" x14ac:dyDescent="0.2">
      <c r="A2945">
        <f>YEAR(D2945)</f>
        <v>2019</v>
      </c>
      <c r="B2945" t="s">
        <v>26</v>
      </c>
      <c r="C2945" s="2" t="s">
        <v>3025</v>
      </c>
      <c r="D2945" s="1">
        <v>43627</v>
      </c>
      <c r="E2945">
        <f>MONTH(D2945)</f>
        <v>6</v>
      </c>
      <c r="F2945" s="2" t="s">
        <v>2098</v>
      </c>
      <c r="G2945" t="s">
        <v>219</v>
      </c>
      <c r="H2945" t="s">
        <v>220</v>
      </c>
      <c r="I2945" t="s">
        <v>22</v>
      </c>
      <c r="J2945" s="2" t="s">
        <v>42</v>
      </c>
      <c r="K2945" s="2" t="s">
        <v>3019</v>
      </c>
      <c r="L2945" t="s">
        <v>25</v>
      </c>
      <c r="M2945" s="10" t="s">
        <v>26</v>
      </c>
      <c r="N2945" t="s">
        <v>26</v>
      </c>
      <c r="O2945" s="10" t="s">
        <v>26</v>
      </c>
      <c r="P2945" s="8" t="s">
        <v>26</v>
      </c>
      <c r="Q2945" s="8">
        <f>(1955155*100)/2180255</f>
        <v>89.67551960665152</v>
      </c>
    </row>
    <row r="2946" spans="1:17" x14ac:dyDescent="0.2">
      <c r="A2946">
        <f>YEAR(D2946)</f>
        <v>2019</v>
      </c>
      <c r="B2946" t="s">
        <v>26</v>
      </c>
      <c r="C2946" s="2" t="s">
        <v>3025</v>
      </c>
      <c r="D2946" s="1">
        <v>43627</v>
      </c>
      <c r="E2946">
        <f>MONTH(D2946)</f>
        <v>6</v>
      </c>
      <c r="F2946" s="2" t="s">
        <v>2098</v>
      </c>
      <c r="G2946" t="s">
        <v>1520</v>
      </c>
      <c r="H2946" t="s">
        <v>1528</v>
      </c>
      <c r="I2946" t="s">
        <v>22</v>
      </c>
      <c r="J2946" s="2" t="s">
        <v>42</v>
      </c>
      <c r="K2946" s="2" t="s">
        <v>3019</v>
      </c>
      <c r="L2946" t="s">
        <v>25</v>
      </c>
      <c r="M2946" s="8">
        <v>3.624333333</v>
      </c>
      <c r="N2946" t="s">
        <v>26</v>
      </c>
      <c r="O2946" s="8">
        <v>3.624333333</v>
      </c>
      <c r="P2946" s="8">
        <f>EXP(-1.363+3.366*LOG(O2946,10))</f>
        <v>1.6809546844949765</v>
      </c>
      <c r="Q2946" s="8">
        <f>(1955155*100)/2180255</f>
        <v>89.67551960665152</v>
      </c>
    </row>
    <row r="2947" spans="1:17" x14ac:dyDescent="0.2">
      <c r="A2947">
        <f>YEAR(D2947)</f>
        <v>2019</v>
      </c>
      <c r="B2947" t="e">
        <f>CONCATENATE(K2947,#REF!)</f>
        <v>#REF!</v>
      </c>
      <c r="C2947" s="2" t="s">
        <v>3025</v>
      </c>
      <c r="D2947" s="1">
        <v>43627</v>
      </c>
      <c r="E2947">
        <f>MONTH(D2947)</f>
        <v>6</v>
      </c>
      <c r="F2947" s="2" t="s">
        <v>2098</v>
      </c>
      <c r="G2947" s="2" t="s">
        <v>20</v>
      </c>
      <c r="H2947" t="s">
        <v>103</v>
      </c>
      <c r="I2947" t="s">
        <v>36</v>
      </c>
      <c r="J2947" s="2" t="s">
        <v>42</v>
      </c>
      <c r="K2947" s="2" t="s">
        <v>3019</v>
      </c>
      <c r="L2947" t="s">
        <v>25</v>
      </c>
      <c r="M2947" s="8">
        <v>1.856666667</v>
      </c>
      <c r="N2947" t="s">
        <v>26</v>
      </c>
      <c r="O2947" s="8">
        <v>1.856666667</v>
      </c>
      <c r="P2947" s="8">
        <f>EXP(-1.363+3.366*LOG(O2947,10))</f>
        <v>0.63226823262235543</v>
      </c>
      <c r="Q2947" s="8">
        <f>(1955155*100)/2180255</f>
        <v>89.67551960665152</v>
      </c>
    </row>
    <row r="2948" spans="1:17" x14ac:dyDescent="0.2">
      <c r="A2948">
        <f>YEAR(D2948)</f>
        <v>2019</v>
      </c>
      <c r="B2948" t="s">
        <v>26</v>
      </c>
      <c r="C2948" s="2" t="s">
        <v>3025</v>
      </c>
      <c r="D2948" s="1">
        <v>43627</v>
      </c>
      <c r="E2948">
        <f>MONTH(D2948)</f>
        <v>6</v>
      </c>
      <c r="F2948" s="2" t="s">
        <v>2098</v>
      </c>
      <c r="G2948" t="s">
        <v>352</v>
      </c>
      <c r="H2948" t="s">
        <v>747</v>
      </c>
      <c r="I2948" t="s">
        <v>22</v>
      </c>
      <c r="J2948" s="2" t="s">
        <v>42</v>
      </c>
      <c r="K2948" s="2" t="s">
        <v>3019</v>
      </c>
      <c r="L2948" t="s">
        <v>25</v>
      </c>
      <c r="M2948" s="8">
        <v>1.3726666670000001</v>
      </c>
      <c r="N2948" t="s">
        <v>26</v>
      </c>
      <c r="O2948" s="8">
        <v>1.3726666670000001</v>
      </c>
      <c r="P2948" s="8">
        <f>EXP(-1.363+3.366*LOG(O2948,10))</f>
        <v>0.40658758379567089</v>
      </c>
      <c r="Q2948" s="8">
        <f>(1955155*100)/2180255</f>
        <v>89.67551960665152</v>
      </c>
    </row>
    <row r="2949" spans="1:17" x14ac:dyDescent="0.2">
      <c r="A2949">
        <f>YEAR(D2949)</f>
        <v>2019</v>
      </c>
      <c r="B2949" t="s">
        <v>26</v>
      </c>
      <c r="C2949" s="2" t="s">
        <v>3025</v>
      </c>
      <c r="D2949" s="1">
        <v>43627</v>
      </c>
      <c r="E2949">
        <f>MONTH(D2949)</f>
        <v>6</v>
      </c>
      <c r="F2949" s="2" t="s">
        <v>2098</v>
      </c>
      <c r="G2949" t="s">
        <v>219</v>
      </c>
      <c r="H2949" t="s">
        <v>220</v>
      </c>
      <c r="I2949" t="s">
        <v>22</v>
      </c>
      <c r="J2949" s="2" t="s">
        <v>42</v>
      </c>
      <c r="K2949" s="2" t="s">
        <v>3019</v>
      </c>
      <c r="L2949" t="s">
        <v>25</v>
      </c>
      <c r="M2949" s="10" t="s">
        <v>26</v>
      </c>
      <c r="N2949" t="s">
        <v>26</v>
      </c>
      <c r="O2949" s="10" t="s">
        <v>26</v>
      </c>
      <c r="P2949" s="8" t="s">
        <v>26</v>
      </c>
      <c r="Q2949" s="8">
        <f>(1955155*100)/2180255</f>
        <v>89.67551960665152</v>
      </c>
    </row>
    <row r="2950" spans="1:17" x14ac:dyDescent="0.2">
      <c r="A2950">
        <f>YEAR(D2950)</f>
        <v>2019</v>
      </c>
      <c r="B2950" t="s">
        <v>26</v>
      </c>
      <c r="C2950" s="2" t="s">
        <v>3025</v>
      </c>
      <c r="D2950" s="1">
        <v>43627</v>
      </c>
      <c r="E2950">
        <f>MONTH(D2950)</f>
        <v>6</v>
      </c>
      <c r="F2950" s="2" t="s">
        <v>2098</v>
      </c>
      <c r="G2950" t="s">
        <v>219</v>
      </c>
      <c r="H2950" t="s">
        <v>220</v>
      </c>
      <c r="I2950" t="s">
        <v>22</v>
      </c>
      <c r="J2950" s="2" t="s">
        <v>42</v>
      </c>
      <c r="K2950" s="2" t="s">
        <v>3019</v>
      </c>
      <c r="L2950" t="s">
        <v>25</v>
      </c>
      <c r="M2950" s="10" t="s">
        <v>26</v>
      </c>
      <c r="N2950" t="s">
        <v>26</v>
      </c>
      <c r="O2950" s="10" t="s">
        <v>26</v>
      </c>
      <c r="P2950" s="8" t="s">
        <v>26</v>
      </c>
      <c r="Q2950" s="8">
        <f>(1955155*100)/2180255</f>
        <v>89.67551960665152</v>
      </c>
    </row>
    <row r="2951" spans="1:17" x14ac:dyDescent="0.2">
      <c r="A2951">
        <f>YEAR(D2951)</f>
        <v>2019</v>
      </c>
      <c r="B2951" t="s">
        <v>26</v>
      </c>
      <c r="C2951" s="2" t="s">
        <v>3025</v>
      </c>
      <c r="D2951" s="1">
        <v>43627</v>
      </c>
      <c r="E2951">
        <f>MONTH(D2951)</f>
        <v>6</v>
      </c>
      <c r="F2951" s="2" t="s">
        <v>2098</v>
      </c>
      <c r="G2951" t="s">
        <v>303</v>
      </c>
      <c r="H2951" t="s">
        <v>307</v>
      </c>
      <c r="I2951" t="s">
        <v>36</v>
      </c>
      <c r="J2951" s="2" t="s">
        <v>42</v>
      </c>
      <c r="K2951" s="2" t="s">
        <v>3019</v>
      </c>
      <c r="L2951" t="s">
        <v>305</v>
      </c>
      <c r="M2951" s="8">
        <v>1.01</v>
      </c>
      <c r="N2951" t="s">
        <v>26</v>
      </c>
      <c r="O2951" s="8">
        <v>1.01</v>
      </c>
      <c r="P2951" s="8">
        <f>EXP(-1.363+3.366*LOG(O2951,10))</f>
        <v>0.25964128962709732</v>
      </c>
      <c r="Q2951" s="8">
        <f>(1955155*100)/2180255</f>
        <v>89.67551960665152</v>
      </c>
    </row>
    <row r="2952" spans="1:17" x14ac:dyDescent="0.2">
      <c r="A2952">
        <f>YEAR(D2952)</f>
        <v>2019</v>
      </c>
      <c r="B2952" t="s">
        <v>26</v>
      </c>
      <c r="C2952" s="2" t="s">
        <v>3025</v>
      </c>
      <c r="D2952" s="1">
        <v>43627</v>
      </c>
      <c r="E2952">
        <f>MONTH(D2952)</f>
        <v>6</v>
      </c>
      <c r="F2952" s="2" t="s">
        <v>2098</v>
      </c>
      <c r="G2952" t="s">
        <v>303</v>
      </c>
      <c r="H2952" t="s">
        <v>307</v>
      </c>
      <c r="I2952" t="s">
        <v>36</v>
      </c>
      <c r="J2952" s="2" t="s">
        <v>42</v>
      </c>
      <c r="K2952" s="2" t="s">
        <v>3019</v>
      </c>
      <c r="L2952" t="s">
        <v>305</v>
      </c>
      <c r="M2952" s="8">
        <v>1.01</v>
      </c>
      <c r="N2952" t="s">
        <v>26</v>
      </c>
      <c r="O2952" s="8">
        <v>1.01</v>
      </c>
      <c r="P2952" s="8">
        <f>EXP(-1.363+3.366*LOG(O2952,10))</f>
        <v>0.25964128962709732</v>
      </c>
      <c r="Q2952" s="8">
        <f>(1955155*100)/2180255</f>
        <v>89.67551960665152</v>
      </c>
    </row>
    <row r="2953" spans="1:17" x14ac:dyDescent="0.2">
      <c r="A2953">
        <f>YEAR(D2953)</f>
        <v>2019</v>
      </c>
      <c r="B2953" t="s">
        <v>26</v>
      </c>
      <c r="C2953" s="2" t="s">
        <v>3025</v>
      </c>
      <c r="D2953" s="1">
        <v>43627</v>
      </c>
      <c r="E2953">
        <f>MONTH(D2953)</f>
        <v>6</v>
      </c>
      <c r="F2953" s="2" t="s">
        <v>2098</v>
      </c>
      <c r="G2953" t="s">
        <v>219</v>
      </c>
      <c r="H2953" t="s">
        <v>220</v>
      </c>
      <c r="I2953" t="s">
        <v>22</v>
      </c>
      <c r="J2953" s="2" t="s">
        <v>42</v>
      </c>
      <c r="K2953" s="2" t="s">
        <v>3019</v>
      </c>
      <c r="L2953" t="s">
        <v>25</v>
      </c>
      <c r="M2953" s="10" t="s">
        <v>26</v>
      </c>
      <c r="N2953" t="s">
        <v>26</v>
      </c>
      <c r="O2953" s="10" t="s">
        <v>26</v>
      </c>
      <c r="P2953" s="8" t="s">
        <v>26</v>
      </c>
      <c r="Q2953" s="8">
        <f>(1955155*100)/2180255</f>
        <v>89.67551960665152</v>
      </c>
    </row>
    <row r="2954" spans="1:17" x14ac:dyDescent="0.2">
      <c r="A2954">
        <f>YEAR(D2954)</f>
        <v>2019</v>
      </c>
      <c r="B2954" t="s">
        <v>26</v>
      </c>
      <c r="C2954" s="2" t="s">
        <v>3025</v>
      </c>
      <c r="D2954" s="1">
        <v>43627</v>
      </c>
      <c r="E2954">
        <f>MONTH(D2954)</f>
        <v>6</v>
      </c>
      <c r="F2954" s="2" t="s">
        <v>2098</v>
      </c>
      <c r="G2954" t="s">
        <v>219</v>
      </c>
      <c r="H2954" t="s">
        <v>220</v>
      </c>
      <c r="I2954" t="s">
        <v>22</v>
      </c>
      <c r="J2954" s="2" t="s">
        <v>42</v>
      </c>
      <c r="K2954" s="2" t="s">
        <v>3019</v>
      </c>
      <c r="L2954" t="s">
        <v>25</v>
      </c>
      <c r="M2954" s="10" t="s">
        <v>26</v>
      </c>
      <c r="N2954" t="s">
        <v>26</v>
      </c>
      <c r="O2954" s="10" t="s">
        <v>26</v>
      </c>
      <c r="P2954" s="8" t="s">
        <v>26</v>
      </c>
      <c r="Q2954" s="8">
        <f>(1955155*100)/2180255</f>
        <v>89.67551960665152</v>
      </c>
    </row>
    <row r="2955" spans="1:17" x14ac:dyDescent="0.2">
      <c r="A2955">
        <f>YEAR(D2955)</f>
        <v>2019</v>
      </c>
      <c r="B2955" t="s">
        <v>26</v>
      </c>
      <c r="C2955" s="2" t="s">
        <v>3025</v>
      </c>
      <c r="D2955" s="1">
        <v>43627</v>
      </c>
      <c r="E2955">
        <f>MONTH(D2955)</f>
        <v>6</v>
      </c>
      <c r="F2955" s="2" t="s">
        <v>2098</v>
      </c>
      <c r="G2955" t="s">
        <v>352</v>
      </c>
      <c r="H2955" t="s">
        <v>623</v>
      </c>
      <c r="I2955" t="s">
        <v>22</v>
      </c>
      <c r="J2955" s="2" t="s">
        <v>42</v>
      </c>
      <c r="K2955" s="2" t="s">
        <v>3019</v>
      </c>
      <c r="L2955" t="s">
        <v>25</v>
      </c>
      <c r="M2955" s="8">
        <v>1.387</v>
      </c>
      <c r="N2955" t="s">
        <v>26</v>
      </c>
      <c r="O2955" s="8">
        <v>1.387</v>
      </c>
      <c r="P2955" s="8">
        <f>EXP(-1.363+3.366*LOG(O2955,10))</f>
        <v>0.41280884754947733</v>
      </c>
      <c r="Q2955" s="8">
        <f>(1955155*100)/2180255</f>
        <v>89.67551960665152</v>
      </c>
    </row>
    <row r="2956" spans="1:17" x14ac:dyDescent="0.2">
      <c r="A2956">
        <f>YEAR(D2956)</f>
        <v>2019</v>
      </c>
      <c r="B2956" t="s">
        <v>26</v>
      </c>
      <c r="C2956" s="2" t="s">
        <v>3022</v>
      </c>
      <c r="D2956" s="1">
        <v>43622</v>
      </c>
      <c r="E2956">
        <f>MONTH(D2956)</f>
        <v>6</v>
      </c>
      <c r="F2956" s="2" t="s">
        <v>19</v>
      </c>
      <c r="G2956" t="s">
        <v>352</v>
      </c>
      <c r="H2956" t="s">
        <v>1459</v>
      </c>
      <c r="I2956" t="s">
        <v>22</v>
      </c>
      <c r="J2956" s="2" t="s">
        <v>42</v>
      </c>
      <c r="K2956" s="2" t="s">
        <v>3019</v>
      </c>
      <c r="L2956" t="s">
        <v>25</v>
      </c>
      <c r="M2956" s="8">
        <v>1.1910000000000001</v>
      </c>
      <c r="N2956" t="s">
        <v>26</v>
      </c>
      <c r="O2956" s="8">
        <v>1.1910000000000001</v>
      </c>
      <c r="P2956" s="8">
        <f>EXP(-1.363+3.366*LOG(O2956,10))</f>
        <v>0.33039016297752993</v>
      </c>
      <c r="Q2956" s="8">
        <f>(4437920*100)/4638971</f>
        <v>95.666043180696747</v>
      </c>
    </row>
    <row r="2957" spans="1:17" x14ac:dyDescent="0.2">
      <c r="A2957">
        <f>YEAR(D2957)</f>
        <v>2019</v>
      </c>
      <c r="B2957" t="s">
        <v>26</v>
      </c>
      <c r="C2957" s="2" t="s">
        <v>3022</v>
      </c>
      <c r="D2957" s="1">
        <v>43622</v>
      </c>
      <c r="E2957">
        <f>MONTH(D2957)</f>
        <v>6</v>
      </c>
      <c r="F2957" s="2" t="s">
        <v>19</v>
      </c>
      <c r="G2957" t="s">
        <v>352</v>
      </c>
      <c r="H2957" t="s">
        <v>975</v>
      </c>
      <c r="I2957" t="s">
        <v>36</v>
      </c>
      <c r="J2957" s="2" t="s">
        <v>42</v>
      </c>
      <c r="K2957" s="2" t="s">
        <v>3019</v>
      </c>
      <c r="L2957" t="s">
        <v>25</v>
      </c>
      <c r="M2957" s="8">
        <v>0.95199999999999996</v>
      </c>
      <c r="N2957" t="s">
        <v>26</v>
      </c>
      <c r="O2957" s="8">
        <v>0.95199999999999996</v>
      </c>
      <c r="P2957" s="8">
        <f>EXP(-1.363+3.366*LOG(O2957,10))</f>
        <v>0.23813726407794436</v>
      </c>
      <c r="Q2957" s="8">
        <f>(4437920*100)/4638971</f>
        <v>95.666043180696747</v>
      </c>
    </row>
    <row r="2958" spans="1:17" x14ac:dyDescent="0.2">
      <c r="A2958">
        <f>YEAR(D2958)</f>
        <v>2019</v>
      </c>
      <c r="B2958" t="s">
        <v>26</v>
      </c>
      <c r="C2958" s="2" t="s">
        <v>3022</v>
      </c>
      <c r="D2958" s="1">
        <v>43622</v>
      </c>
      <c r="E2958">
        <f>MONTH(D2958)</f>
        <v>6</v>
      </c>
      <c r="F2958" s="2" t="s">
        <v>19</v>
      </c>
      <c r="G2958" t="s">
        <v>219</v>
      </c>
      <c r="H2958" t="s">
        <v>220</v>
      </c>
      <c r="I2958" t="s">
        <v>22</v>
      </c>
      <c r="J2958" s="2" t="s">
        <v>42</v>
      </c>
      <c r="K2958" s="2" t="s">
        <v>3019</v>
      </c>
      <c r="L2958" t="s">
        <v>25</v>
      </c>
      <c r="M2958" s="10" t="s">
        <v>26</v>
      </c>
      <c r="N2958" t="s">
        <v>26</v>
      </c>
      <c r="O2958" s="10" t="s">
        <v>26</v>
      </c>
      <c r="P2958" s="8" t="s">
        <v>26</v>
      </c>
      <c r="Q2958" s="8">
        <f>(4437920*100)/4638971</f>
        <v>95.666043180696747</v>
      </c>
    </row>
    <row r="2959" spans="1:17" x14ac:dyDescent="0.2">
      <c r="A2959">
        <f>YEAR(D2959)</f>
        <v>2019</v>
      </c>
      <c r="B2959" t="s">
        <v>26</v>
      </c>
      <c r="C2959" s="2" t="s">
        <v>3022</v>
      </c>
      <c r="D2959" s="1">
        <v>43622</v>
      </c>
      <c r="E2959">
        <f>MONTH(D2959)</f>
        <v>6</v>
      </c>
      <c r="F2959" s="2" t="s">
        <v>19</v>
      </c>
      <c r="G2959" t="s">
        <v>352</v>
      </c>
      <c r="H2959" t="s">
        <v>975</v>
      </c>
      <c r="I2959" t="s">
        <v>22</v>
      </c>
      <c r="J2959" s="2" t="s">
        <v>42</v>
      </c>
      <c r="K2959" s="2" t="s">
        <v>3019</v>
      </c>
      <c r="L2959" t="s">
        <v>25</v>
      </c>
      <c r="M2959" s="8">
        <v>1.0693333330000001</v>
      </c>
      <c r="N2959" t="s">
        <v>26</v>
      </c>
      <c r="O2959" s="8">
        <v>1.0693333330000001</v>
      </c>
      <c r="P2959" s="8">
        <f>EXP(-1.363+3.366*LOG(O2959,10))</f>
        <v>0.28223780327142356</v>
      </c>
      <c r="Q2959" s="8">
        <f>(4437920*100)/4638971</f>
        <v>95.666043180696747</v>
      </c>
    </row>
    <row r="2960" spans="1:17" x14ac:dyDescent="0.2">
      <c r="A2960">
        <f>YEAR(D2960)</f>
        <v>2019</v>
      </c>
      <c r="B2960" t="s">
        <v>26</v>
      </c>
      <c r="C2960" s="2" t="s">
        <v>3022</v>
      </c>
      <c r="D2960" s="1">
        <v>43622</v>
      </c>
      <c r="E2960">
        <f>MONTH(D2960)</f>
        <v>6</v>
      </c>
      <c r="F2960" s="2" t="s">
        <v>19</v>
      </c>
      <c r="G2960" t="s">
        <v>352</v>
      </c>
      <c r="H2960" t="s">
        <v>623</v>
      </c>
      <c r="I2960" t="s">
        <v>22</v>
      </c>
      <c r="J2960" s="2" t="s">
        <v>42</v>
      </c>
      <c r="K2960" s="2" t="s">
        <v>3019</v>
      </c>
      <c r="L2960" t="s">
        <v>25</v>
      </c>
      <c r="M2960" s="8">
        <v>1.387</v>
      </c>
      <c r="N2960" t="s">
        <v>26</v>
      </c>
      <c r="O2960" s="8">
        <v>1.387</v>
      </c>
      <c r="P2960" s="8">
        <f>EXP(-1.363+3.366*LOG(O2960,10))</f>
        <v>0.41280884754947733</v>
      </c>
      <c r="Q2960" s="8">
        <f>(4437920*100)/4638971</f>
        <v>95.666043180696747</v>
      </c>
    </row>
    <row r="2961" spans="1:17" x14ac:dyDescent="0.2">
      <c r="A2961">
        <f>YEAR(D2961)</f>
        <v>2019</v>
      </c>
      <c r="B2961" t="s">
        <v>26</v>
      </c>
      <c r="C2961" s="2" t="s">
        <v>3022</v>
      </c>
      <c r="D2961" s="1">
        <v>43622</v>
      </c>
      <c r="E2961">
        <f>MONTH(D2961)</f>
        <v>6</v>
      </c>
      <c r="F2961" s="2" t="s">
        <v>19</v>
      </c>
      <c r="G2961" t="s">
        <v>352</v>
      </c>
      <c r="H2961" t="s">
        <v>623</v>
      </c>
      <c r="I2961" t="s">
        <v>22</v>
      </c>
      <c r="J2961" s="2" t="s">
        <v>42</v>
      </c>
      <c r="K2961" s="2" t="s">
        <v>3019</v>
      </c>
      <c r="L2961" t="s">
        <v>25</v>
      </c>
      <c r="M2961" s="8">
        <v>1.387</v>
      </c>
      <c r="N2961" t="s">
        <v>26</v>
      </c>
      <c r="O2961" s="8">
        <v>1.387</v>
      </c>
      <c r="P2961" s="8">
        <f>EXP(-1.363+3.366*LOG(O2961,10))</f>
        <v>0.41280884754947733</v>
      </c>
      <c r="Q2961" s="8">
        <f>(4437920*100)/4638971</f>
        <v>95.666043180696747</v>
      </c>
    </row>
    <row r="2962" spans="1:17" x14ac:dyDescent="0.2">
      <c r="A2962">
        <f>YEAR(D2962)</f>
        <v>2019</v>
      </c>
      <c r="B2962" t="s">
        <v>26</v>
      </c>
      <c r="C2962" s="2" t="s">
        <v>3022</v>
      </c>
      <c r="D2962" s="1">
        <v>43622</v>
      </c>
      <c r="E2962">
        <f>MONTH(D2962)</f>
        <v>6</v>
      </c>
      <c r="F2962" s="2" t="s">
        <v>19</v>
      </c>
      <c r="G2962" t="s">
        <v>20</v>
      </c>
      <c r="H2962" t="s">
        <v>171</v>
      </c>
      <c r="I2962" t="s">
        <v>22</v>
      </c>
      <c r="J2962" s="2" t="s">
        <v>42</v>
      </c>
      <c r="K2962" s="2" t="s">
        <v>3019</v>
      </c>
      <c r="L2962" t="s">
        <v>25</v>
      </c>
      <c r="M2962" s="8">
        <v>1.258</v>
      </c>
      <c r="N2962" t="s">
        <v>26</v>
      </c>
      <c r="O2962" s="8">
        <v>1.258</v>
      </c>
      <c r="P2962" s="8">
        <f>EXP(-1.363+3.366*LOG(O2962,10))</f>
        <v>0.35790955576548023</v>
      </c>
      <c r="Q2962" s="8">
        <f>(4437920*100)/4638971</f>
        <v>95.666043180696747</v>
      </c>
    </row>
    <row r="2963" spans="1:17" x14ac:dyDescent="0.2">
      <c r="A2963">
        <f>YEAR(D2963)</f>
        <v>2019</v>
      </c>
      <c r="B2963" t="s">
        <v>26</v>
      </c>
      <c r="C2963" s="2" t="s">
        <v>3022</v>
      </c>
      <c r="D2963" s="1">
        <v>43622</v>
      </c>
      <c r="E2963">
        <f>MONTH(D2963)</f>
        <v>6</v>
      </c>
      <c r="F2963" s="2" t="s">
        <v>19</v>
      </c>
      <c r="G2963" t="s">
        <v>352</v>
      </c>
      <c r="H2963" t="s">
        <v>353</v>
      </c>
      <c r="I2963" t="s">
        <v>22</v>
      </c>
      <c r="J2963" s="2" t="s">
        <v>42</v>
      </c>
      <c r="K2963" s="2" t="s">
        <v>3019</v>
      </c>
      <c r="L2963" t="s">
        <v>25</v>
      </c>
      <c r="M2963" s="8">
        <v>1.1623333330000001</v>
      </c>
      <c r="N2963" t="s">
        <v>26</v>
      </c>
      <c r="O2963" s="8">
        <v>1.1623333330000001</v>
      </c>
      <c r="P2963" s="8">
        <f>EXP(-1.363+3.366*LOG(O2963,10))</f>
        <v>0.31883010989102206</v>
      </c>
      <c r="Q2963" s="8">
        <f>(4437920*100)/4638971</f>
        <v>95.666043180696747</v>
      </c>
    </row>
    <row r="2964" spans="1:17" x14ac:dyDescent="0.2">
      <c r="A2964">
        <f>YEAR(D2964)</f>
        <v>2019</v>
      </c>
      <c r="B2964" t="s">
        <v>26</v>
      </c>
      <c r="C2964" s="2" t="s">
        <v>3022</v>
      </c>
      <c r="D2964" s="1">
        <v>43622</v>
      </c>
      <c r="E2964">
        <f>MONTH(D2964)</f>
        <v>6</v>
      </c>
      <c r="F2964" s="2" t="s">
        <v>19</v>
      </c>
      <c r="G2964" s="2" t="s">
        <v>20</v>
      </c>
      <c r="H2964" t="s">
        <v>45</v>
      </c>
      <c r="I2964" t="s">
        <v>22</v>
      </c>
      <c r="J2964" s="2" t="s">
        <v>42</v>
      </c>
      <c r="K2964" s="2" t="s">
        <v>3019</v>
      </c>
      <c r="L2964" t="s">
        <v>25</v>
      </c>
      <c r="M2964" s="8">
        <v>1.903333333</v>
      </c>
      <c r="N2964" t="s">
        <v>26</v>
      </c>
      <c r="O2964" s="8">
        <v>1.903333333</v>
      </c>
      <c r="P2964" s="8">
        <f>EXP(-1.363+3.366*LOG(O2964,10))</f>
        <v>0.65563371760507783</v>
      </c>
      <c r="Q2964" s="8">
        <f>(4437920*100)/4638971</f>
        <v>95.666043180696747</v>
      </c>
    </row>
    <row r="2965" spans="1:17" x14ac:dyDescent="0.2">
      <c r="A2965">
        <f>YEAR(D2965)</f>
        <v>2019</v>
      </c>
      <c r="B2965" t="s">
        <v>26</v>
      </c>
      <c r="C2965" s="2" t="s">
        <v>3022</v>
      </c>
      <c r="D2965" s="1">
        <v>43622</v>
      </c>
      <c r="E2965">
        <f>MONTH(D2965)</f>
        <v>6</v>
      </c>
      <c r="F2965" s="2" t="s">
        <v>19</v>
      </c>
      <c r="G2965" t="s">
        <v>352</v>
      </c>
      <c r="H2965" t="s">
        <v>623</v>
      </c>
      <c r="I2965" t="s">
        <v>22</v>
      </c>
      <c r="J2965" s="2" t="s">
        <v>42</v>
      </c>
      <c r="K2965" s="2" t="s">
        <v>3019</v>
      </c>
      <c r="L2965" t="s">
        <v>25</v>
      </c>
      <c r="M2965" s="8">
        <v>1.387</v>
      </c>
      <c r="N2965" t="s">
        <v>26</v>
      </c>
      <c r="O2965" s="8">
        <v>1.387</v>
      </c>
      <c r="P2965" s="8">
        <f>EXP(-1.363+3.366*LOG(O2965,10))</f>
        <v>0.41280884754947733</v>
      </c>
      <c r="Q2965" s="8">
        <f>(4437920*100)/4638971</f>
        <v>95.666043180696747</v>
      </c>
    </row>
    <row r="2966" spans="1:17" x14ac:dyDescent="0.2">
      <c r="A2966">
        <f>YEAR(D2966)</f>
        <v>2019</v>
      </c>
      <c r="B2966" t="s">
        <v>26</v>
      </c>
      <c r="C2966" s="2" t="s">
        <v>3022</v>
      </c>
      <c r="D2966" s="1">
        <v>43622</v>
      </c>
      <c r="E2966">
        <f>MONTH(D2966)</f>
        <v>6</v>
      </c>
      <c r="F2966" s="2" t="s">
        <v>19</v>
      </c>
      <c r="G2966" t="s">
        <v>352</v>
      </c>
      <c r="H2966" t="s">
        <v>747</v>
      </c>
      <c r="I2966" t="s">
        <v>22</v>
      </c>
      <c r="J2966" s="2" t="s">
        <v>42</v>
      </c>
      <c r="K2966" s="2" t="s">
        <v>3019</v>
      </c>
      <c r="L2966" t="s">
        <v>25</v>
      </c>
      <c r="M2966" s="8">
        <v>1.3726666670000001</v>
      </c>
      <c r="N2966" t="s">
        <v>26</v>
      </c>
      <c r="O2966" s="8">
        <v>1.3726666670000001</v>
      </c>
      <c r="P2966" s="8">
        <f>EXP(-1.363+3.366*LOG(O2966,10))</f>
        <v>0.40658758379567089</v>
      </c>
      <c r="Q2966" s="8">
        <f>(4437920*100)/4638971</f>
        <v>95.666043180696747</v>
      </c>
    </row>
    <row r="2967" spans="1:17" x14ac:dyDescent="0.2">
      <c r="A2967">
        <f>YEAR(D2967)</f>
        <v>2019</v>
      </c>
      <c r="B2967" t="s">
        <v>26</v>
      </c>
      <c r="C2967" s="2" t="s">
        <v>3022</v>
      </c>
      <c r="D2967" s="1">
        <v>43622</v>
      </c>
      <c r="E2967">
        <f>MONTH(D2967)</f>
        <v>6</v>
      </c>
      <c r="F2967" s="2" t="s">
        <v>19</v>
      </c>
      <c r="G2967" t="s">
        <v>352</v>
      </c>
      <c r="H2967" t="s">
        <v>623</v>
      </c>
      <c r="I2967" t="s">
        <v>22</v>
      </c>
      <c r="J2967" s="2" t="s">
        <v>42</v>
      </c>
      <c r="K2967" s="2" t="s">
        <v>3019</v>
      </c>
      <c r="L2967" t="s">
        <v>25</v>
      </c>
      <c r="M2967" s="8">
        <v>1.387</v>
      </c>
      <c r="N2967" t="s">
        <v>26</v>
      </c>
      <c r="O2967" s="8">
        <v>1.387</v>
      </c>
      <c r="P2967" s="8">
        <f>EXP(-1.363+3.366*LOG(O2967,10))</f>
        <v>0.41280884754947733</v>
      </c>
      <c r="Q2967" s="8">
        <f>(4437920*100)/4638971</f>
        <v>95.666043180696747</v>
      </c>
    </row>
    <row r="2968" spans="1:17" x14ac:dyDescent="0.2">
      <c r="A2968">
        <f>YEAR(D2968)</f>
        <v>2019</v>
      </c>
      <c r="B2968" t="s">
        <v>26</v>
      </c>
      <c r="C2968" s="2" t="s">
        <v>3022</v>
      </c>
      <c r="D2968" s="1">
        <v>43622</v>
      </c>
      <c r="E2968">
        <f>MONTH(D2968)</f>
        <v>6</v>
      </c>
      <c r="F2968" s="2" t="s">
        <v>19</v>
      </c>
      <c r="G2968" t="s">
        <v>352</v>
      </c>
      <c r="H2968" t="s">
        <v>623</v>
      </c>
      <c r="I2968" t="s">
        <v>22</v>
      </c>
      <c r="J2968" s="2" t="s">
        <v>42</v>
      </c>
      <c r="K2968" s="2" t="s">
        <v>3019</v>
      </c>
      <c r="L2968" t="s">
        <v>25</v>
      </c>
      <c r="M2968" s="8">
        <v>1.387</v>
      </c>
      <c r="N2968" t="s">
        <v>26</v>
      </c>
      <c r="O2968" s="8">
        <v>1.387</v>
      </c>
      <c r="P2968" s="8">
        <f>EXP(-1.363+3.366*LOG(O2968,10))</f>
        <v>0.41280884754947733</v>
      </c>
      <c r="Q2968" s="8">
        <f>(4437920*100)/4638971</f>
        <v>95.666043180696747</v>
      </c>
    </row>
    <row r="2969" spans="1:17" x14ac:dyDescent="0.2">
      <c r="A2969">
        <f>YEAR(D2969)</f>
        <v>2019</v>
      </c>
      <c r="B2969" t="s">
        <v>26</v>
      </c>
      <c r="C2969" s="2" t="s">
        <v>3022</v>
      </c>
      <c r="D2969" s="1">
        <v>43622</v>
      </c>
      <c r="E2969">
        <f>MONTH(D2969)</f>
        <v>6</v>
      </c>
      <c r="F2969" s="2" t="s">
        <v>19</v>
      </c>
      <c r="G2969" t="s">
        <v>352</v>
      </c>
      <c r="H2969" t="s">
        <v>623</v>
      </c>
      <c r="I2969" t="s">
        <v>22</v>
      </c>
      <c r="J2969" s="2" t="s">
        <v>42</v>
      </c>
      <c r="K2969" s="2" t="s">
        <v>3019</v>
      </c>
      <c r="L2969" t="s">
        <v>25</v>
      </c>
      <c r="M2969" s="8">
        <v>1.387</v>
      </c>
      <c r="N2969" t="s">
        <v>26</v>
      </c>
      <c r="O2969" s="8">
        <v>1.387</v>
      </c>
      <c r="P2969" s="8">
        <f>EXP(-1.363+3.366*LOG(O2969,10))</f>
        <v>0.41280884754947733</v>
      </c>
      <c r="Q2969" s="8">
        <f>(4437920*100)/4638971</f>
        <v>95.666043180696747</v>
      </c>
    </row>
    <row r="2970" spans="1:17" x14ac:dyDescent="0.2">
      <c r="A2970">
        <f>YEAR(D2970)</f>
        <v>2019</v>
      </c>
      <c r="B2970" t="s">
        <v>26</v>
      </c>
      <c r="C2970" s="2" t="s">
        <v>3023</v>
      </c>
      <c r="D2970" s="1">
        <v>43622</v>
      </c>
      <c r="E2970">
        <f>MONTH(D2970)</f>
        <v>6</v>
      </c>
      <c r="F2970" s="2" t="s">
        <v>19</v>
      </c>
      <c r="G2970" t="s">
        <v>230</v>
      </c>
      <c r="H2970" t="s">
        <v>268</v>
      </c>
      <c r="I2970" t="s">
        <v>22</v>
      </c>
      <c r="J2970" s="2" t="s">
        <v>42</v>
      </c>
      <c r="K2970" s="2" t="s">
        <v>3019</v>
      </c>
      <c r="L2970" t="s">
        <v>25</v>
      </c>
      <c r="M2970" s="8">
        <v>3.5356666670000001</v>
      </c>
      <c r="N2970" t="s">
        <v>26</v>
      </c>
      <c r="O2970" s="8">
        <v>3.5356666670000001</v>
      </c>
      <c r="P2970" s="8">
        <f>EXP(-1.363+3.366*LOG(O2970,10))</f>
        <v>1.6211802664427075</v>
      </c>
      <c r="Q2970" s="8">
        <f>(8197453*100)/8541008</f>
        <v>95.977582505484136</v>
      </c>
    </row>
    <row r="2971" spans="1:17" x14ac:dyDescent="0.2">
      <c r="A2971">
        <f>YEAR(D2971)</f>
        <v>2019</v>
      </c>
      <c r="B2971" t="s">
        <v>26</v>
      </c>
      <c r="C2971" s="2" t="s">
        <v>3023</v>
      </c>
      <c r="D2971" s="1">
        <v>43622</v>
      </c>
      <c r="E2971">
        <f>MONTH(D2971)</f>
        <v>6</v>
      </c>
      <c r="F2971" s="2" t="s">
        <v>19</v>
      </c>
      <c r="G2971" t="s">
        <v>352</v>
      </c>
      <c r="H2971" t="s">
        <v>1459</v>
      </c>
      <c r="I2971" t="s">
        <v>22</v>
      </c>
      <c r="J2971" s="2" t="s">
        <v>42</v>
      </c>
      <c r="K2971" s="2" t="s">
        <v>3019</v>
      </c>
      <c r="L2971" t="s">
        <v>25</v>
      </c>
      <c r="M2971" s="8">
        <v>1.1910000000000001</v>
      </c>
      <c r="N2971" t="s">
        <v>26</v>
      </c>
      <c r="O2971" s="8">
        <v>1.1910000000000001</v>
      </c>
      <c r="P2971" s="8">
        <f>EXP(-1.363+3.366*LOG(O2971,10))</f>
        <v>0.33039016297752993</v>
      </c>
      <c r="Q2971" s="8">
        <f>(8197453*100)/8541008</f>
        <v>95.977582505484136</v>
      </c>
    </row>
    <row r="2972" spans="1:17" x14ac:dyDescent="0.2">
      <c r="A2972">
        <f>YEAR(D2972)</f>
        <v>2019</v>
      </c>
      <c r="B2972" t="s">
        <v>26</v>
      </c>
      <c r="C2972" s="2" t="s">
        <v>3023</v>
      </c>
      <c r="D2972" s="1">
        <v>43622</v>
      </c>
      <c r="E2972">
        <f>MONTH(D2972)</f>
        <v>6</v>
      </c>
      <c r="F2972" s="2" t="s">
        <v>19</v>
      </c>
      <c r="G2972" t="s">
        <v>352</v>
      </c>
      <c r="H2972" t="s">
        <v>1459</v>
      </c>
      <c r="I2972" t="s">
        <v>22</v>
      </c>
      <c r="J2972" s="2" t="s">
        <v>42</v>
      </c>
      <c r="K2972" s="2" t="s">
        <v>3019</v>
      </c>
      <c r="L2972" t="s">
        <v>25</v>
      </c>
      <c r="M2972" s="8">
        <v>1.1910000000000001</v>
      </c>
      <c r="N2972" t="s">
        <v>26</v>
      </c>
      <c r="O2972" s="8">
        <v>1.1910000000000001</v>
      </c>
      <c r="P2972" s="8">
        <f>EXP(-1.363+3.366*LOG(O2972,10))</f>
        <v>0.33039016297752993</v>
      </c>
      <c r="Q2972" s="8">
        <f>(8197453*100)/8541008</f>
        <v>95.977582505484136</v>
      </c>
    </row>
    <row r="2973" spans="1:17" x14ac:dyDescent="0.2">
      <c r="A2973">
        <f>YEAR(D2973)</f>
        <v>2019</v>
      </c>
      <c r="B2973" t="s">
        <v>26</v>
      </c>
      <c r="C2973" s="2" t="s">
        <v>3023</v>
      </c>
      <c r="D2973" s="1">
        <v>43622</v>
      </c>
      <c r="E2973">
        <f>MONTH(D2973)</f>
        <v>6</v>
      </c>
      <c r="F2973" s="2" t="s">
        <v>19</v>
      </c>
      <c r="G2973" t="s">
        <v>352</v>
      </c>
      <c r="H2973" t="s">
        <v>623</v>
      </c>
      <c r="I2973" t="s">
        <v>22</v>
      </c>
      <c r="J2973" s="2" t="s">
        <v>42</v>
      </c>
      <c r="K2973" s="2" t="s">
        <v>3019</v>
      </c>
      <c r="L2973" t="s">
        <v>25</v>
      </c>
      <c r="M2973" s="8">
        <v>1.387</v>
      </c>
      <c r="N2973" t="s">
        <v>26</v>
      </c>
      <c r="O2973" s="8">
        <v>1.387</v>
      </c>
      <c r="P2973" s="8">
        <f>EXP(-1.363+3.366*LOG(O2973,10))</f>
        <v>0.41280884754947733</v>
      </c>
      <c r="Q2973" s="8">
        <f>(8197453*100)/8541008</f>
        <v>95.977582505484136</v>
      </c>
    </row>
    <row r="2974" spans="1:17" x14ac:dyDescent="0.2">
      <c r="A2974">
        <f>YEAR(D2974)</f>
        <v>2019</v>
      </c>
      <c r="B2974" t="s">
        <v>26</v>
      </c>
      <c r="C2974" s="2" t="s">
        <v>3023</v>
      </c>
      <c r="D2974" s="1">
        <v>43622</v>
      </c>
      <c r="E2974">
        <f>MONTH(D2974)</f>
        <v>6</v>
      </c>
      <c r="F2974" s="2" t="s">
        <v>19</v>
      </c>
      <c r="G2974" t="s">
        <v>352</v>
      </c>
      <c r="H2974" t="s">
        <v>728</v>
      </c>
      <c r="I2974" t="s">
        <v>22</v>
      </c>
      <c r="J2974" s="2" t="s">
        <v>42</v>
      </c>
      <c r="K2974" s="2" t="s">
        <v>3019</v>
      </c>
      <c r="L2974" t="s">
        <v>187</v>
      </c>
      <c r="M2974" s="8">
        <v>1.8093333330000001</v>
      </c>
      <c r="N2974" t="s">
        <v>26</v>
      </c>
      <c r="O2974" s="8">
        <v>1.8093333330000001</v>
      </c>
      <c r="P2974" s="8">
        <f>EXP(-1.363+3.366*LOG(O2974,10))</f>
        <v>0.6088444603462565</v>
      </c>
      <c r="Q2974" s="8">
        <f>(8197453*100)/8541008</f>
        <v>95.977582505484136</v>
      </c>
    </row>
    <row r="2975" spans="1:17" x14ac:dyDescent="0.2">
      <c r="A2975">
        <f>YEAR(D2975)</f>
        <v>2019</v>
      </c>
      <c r="B2975" t="s">
        <v>26</v>
      </c>
      <c r="C2975" s="2" t="s">
        <v>3023</v>
      </c>
      <c r="D2975" s="1">
        <v>43622</v>
      </c>
      <c r="E2975">
        <f>MONTH(D2975)</f>
        <v>6</v>
      </c>
      <c r="F2975" s="2" t="s">
        <v>19</v>
      </c>
      <c r="G2975" t="s">
        <v>352</v>
      </c>
      <c r="H2975" t="s">
        <v>1459</v>
      </c>
      <c r="I2975" t="s">
        <v>22</v>
      </c>
      <c r="J2975" s="2" t="s">
        <v>42</v>
      </c>
      <c r="K2975" s="2" t="s">
        <v>3019</v>
      </c>
      <c r="L2975" t="s">
        <v>25</v>
      </c>
      <c r="M2975" s="8">
        <v>1.1910000000000001</v>
      </c>
      <c r="N2975" t="s">
        <v>26</v>
      </c>
      <c r="O2975" s="8">
        <v>1.1910000000000001</v>
      </c>
      <c r="P2975" s="8">
        <f>EXP(-1.363+3.366*LOG(O2975,10))</f>
        <v>0.33039016297752993</v>
      </c>
      <c r="Q2975" s="8">
        <f>(8197453*100)/8541008</f>
        <v>95.977582505484136</v>
      </c>
    </row>
    <row r="2976" spans="1:17" x14ac:dyDescent="0.2">
      <c r="A2976">
        <f>YEAR(D2976)</f>
        <v>2019</v>
      </c>
      <c r="B2976" t="s">
        <v>26</v>
      </c>
      <c r="C2976" s="2" t="s">
        <v>3023</v>
      </c>
      <c r="D2976" s="1">
        <v>43622</v>
      </c>
      <c r="E2976">
        <f>MONTH(D2976)</f>
        <v>6</v>
      </c>
      <c r="F2976" s="2" t="s">
        <v>19</v>
      </c>
      <c r="G2976" t="s">
        <v>352</v>
      </c>
      <c r="H2976" t="s">
        <v>1459</v>
      </c>
      <c r="I2976" t="s">
        <v>22</v>
      </c>
      <c r="J2976" s="2" t="s">
        <v>42</v>
      </c>
      <c r="K2976" s="2" t="s">
        <v>3019</v>
      </c>
      <c r="L2976" t="s">
        <v>25</v>
      </c>
      <c r="M2976" s="8">
        <v>1.1910000000000001</v>
      </c>
      <c r="N2976" t="s">
        <v>26</v>
      </c>
      <c r="O2976" s="8">
        <v>1.1910000000000001</v>
      </c>
      <c r="P2976" s="8">
        <f>EXP(-1.363+3.366*LOG(O2976,10))</f>
        <v>0.33039016297752993</v>
      </c>
      <c r="Q2976" s="8">
        <f>(8197453*100)/8541008</f>
        <v>95.977582505484136</v>
      </c>
    </row>
    <row r="2977" spans="1:17" x14ac:dyDescent="0.2">
      <c r="A2977">
        <f>YEAR(D2977)</f>
        <v>2019</v>
      </c>
      <c r="B2977" t="s">
        <v>26</v>
      </c>
      <c r="C2977" s="2" t="s">
        <v>3023</v>
      </c>
      <c r="D2977" s="1">
        <v>43622</v>
      </c>
      <c r="E2977">
        <f>MONTH(D2977)</f>
        <v>6</v>
      </c>
      <c r="F2977" s="2" t="s">
        <v>19</v>
      </c>
      <c r="G2977" t="s">
        <v>20</v>
      </c>
      <c r="H2977" t="s">
        <v>171</v>
      </c>
      <c r="I2977" t="s">
        <v>22</v>
      </c>
      <c r="J2977" s="2" t="s">
        <v>42</v>
      </c>
      <c r="K2977" s="2" t="s">
        <v>3019</v>
      </c>
      <c r="L2977" t="s">
        <v>25</v>
      </c>
      <c r="M2977" s="8">
        <v>1.258</v>
      </c>
      <c r="N2977" t="s">
        <v>26</v>
      </c>
      <c r="O2977" s="8">
        <v>1.258</v>
      </c>
      <c r="P2977" s="8">
        <f>EXP(-1.363+3.366*LOG(O2977,10))</f>
        <v>0.35790955576548023</v>
      </c>
      <c r="Q2977" s="8">
        <f>(8197453*100)/8541008</f>
        <v>95.977582505484136</v>
      </c>
    </row>
    <row r="2978" spans="1:17" x14ac:dyDescent="0.2">
      <c r="A2978">
        <f>YEAR(D2978)</f>
        <v>2019</v>
      </c>
      <c r="B2978" t="s">
        <v>26</v>
      </c>
      <c r="C2978" s="2" t="s">
        <v>3023</v>
      </c>
      <c r="D2978" s="1">
        <v>43622</v>
      </c>
      <c r="E2978">
        <f>MONTH(D2978)</f>
        <v>6</v>
      </c>
      <c r="F2978" s="2" t="s">
        <v>19</v>
      </c>
      <c r="G2978" t="s">
        <v>352</v>
      </c>
      <c r="H2978" t="s">
        <v>1459</v>
      </c>
      <c r="I2978" t="s">
        <v>22</v>
      </c>
      <c r="J2978" s="2" t="s">
        <v>42</v>
      </c>
      <c r="K2978" s="2" t="s">
        <v>3019</v>
      </c>
      <c r="L2978" t="s">
        <v>25</v>
      </c>
      <c r="M2978" s="8">
        <v>1.1910000000000001</v>
      </c>
      <c r="N2978" t="s">
        <v>26</v>
      </c>
      <c r="O2978" s="8">
        <v>1.1910000000000001</v>
      </c>
      <c r="P2978" s="8">
        <f>EXP(-1.363+3.366*LOG(O2978,10))</f>
        <v>0.33039016297752993</v>
      </c>
      <c r="Q2978" s="8">
        <f>(8197453*100)/8541008</f>
        <v>95.977582505484136</v>
      </c>
    </row>
    <row r="2979" spans="1:17" x14ac:dyDescent="0.2">
      <c r="A2979">
        <f>YEAR(D2979)</f>
        <v>2019</v>
      </c>
      <c r="B2979" t="s">
        <v>26</v>
      </c>
      <c r="C2979" s="2" t="s">
        <v>3023</v>
      </c>
      <c r="D2979" s="1">
        <v>43622</v>
      </c>
      <c r="E2979">
        <f>MONTH(D2979)</f>
        <v>6</v>
      </c>
      <c r="F2979" s="2" t="s">
        <v>19</v>
      </c>
      <c r="G2979" t="s">
        <v>352</v>
      </c>
      <c r="H2979" t="s">
        <v>1459</v>
      </c>
      <c r="I2979" t="s">
        <v>22</v>
      </c>
      <c r="J2979" s="2" t="s">
        <v>42</v>
      </c>
      <c r="K2979" s="2" t="s">
        <v>3019</v>
      </c>
      <c r="L2979" t="s">
        <v>25</v>
      </c>
      <c r="M2979" s="8">
        <v>1.1910000000000001</v>
      </c>
      <c r="N2979" t="s">
        <v>26</v>
      </c>
      <c r="O2979" s="8">
        <v>1.1910000000000001</v>
      </c>
      <c r="P2979" s="8">
        <f>EXP(-1.363+3.366*LOG(O2979,10))</f>
        <v>0.33039016297752993</v>
      </c>
      <c r="Q2979" s="8">
        <f>(8197453*100)/8541008</f>
        <v>95.977582505484136</v>
      </c>
    </row>
    <row r="2980" spans="1:17" x14ac:dyDescent="0.2">
      <c r="A2980">
        <f>YEAR(D2980)</f>
        <v>2019</v>
      </c>
      <c r="B2980" t="s">
        <v>26</v>
      </c>
      <c r="C2980" s="2" t="s">
        <v>3023</v>
      </c>
      <c r="D2980" s="1">
        <v>43622</v>
      </c>
      <c r="E2980">
        <f>MONTH(D2980)</f>
        <v>6</v>
      </c>
      <c r="F2980" s="2" t="s">
        <v>19</v>
      </c>
      <c r="G2980" t="s">
        <v>1532</v>
      </c>
      <c r="H2980" t="s">
        <v>1533</v>
      </c>
      <c r="I2980" t="s">
        <v>22</v>
      </c>
      <c r="J2980" s="2" t="s">
        <v>42</v>
      </c>
      <c r="K2980" s="2" t="s">
        <v>3019</v>
      </c>
      <c r="L2980" t="s">
        <v>25</v>
      </c>
      <c r="M2980" s="8">
        <v>3.08</v>
      </c>
      <c r="N2980" t="s">
        <v>26</v>
      </c>
      <c r="O2980" s="8">
        <v>3.08</v>
      </c>
      <c r="P2980" s="8">
        <f>EXP(-1.363+3.366*LOG(O2980,10))</f>
        <v>1.3250652609076723</v>
      </c>
      <c r="Q2980" s="8">
        <f>(8197453*100)/8541008</f>
        <v>95.977582505484136</v>
      </c>
    </row>
    <row r="2981" spans="1:17" x14ac:dyDescent="0.2">
      <c r="A2981">
        <f>YEAR(D2981)</f>
        <v>2019</v>
      </c>
      <c r="B2981" t="s">
        <v>26</v>
      </c>
      <c r="C2981" s="2" t="s">
        <v>3023</v>
      </c>
      <c r="D2981" s="1">
        <v>43622</v>
      </c>
      <c r="E2981">
        <f>MONTH(D2981)</f>
        <v>6</v>
      </c>
      <c r="F2981" s="2" t="s">
        <v>19</v>
      </c>
      <c r="G2981" t="s">
        <v>352</v>
      </c>
      <c r="H2981" t="s">
        <v>728</v>
      </c>
      <c r="I2981" t="s">
        <v>22</v>
      </c>
      <c r="J2981" s="2" t="s">
        <v>42</v>
      </c>
      <c r="K2981" s="2" t="s">
        <v>3019</v>
      </c>
      <c r="L2981" t="s">
        <v>187</v>
      </c>
      <c r="M2981" s="8">
        <v>1.8093333330000001</v>
      </c>
      <c r="N2981" t="s">
        <v>26</v>
      </c>
      <c r="O2981" s="8">
        <v>1.8093333330000001</v>
      </c>
      <c r="P2981" s="8">
        <f>EXP(-1.363+3.366*LOG(O2981,10))</f>
        <v>0.6088444603462565</v>
      </c>
      <c r="Q2981" s="8">
        <f>(8197453*100)/8541008</f>
        <v>95.977582505484136</v>
      </c>
    </row>
    <row r="2982" spans="1:17" x14ac:dyDescent="0.2">
      <c r="A2982">
        <f>YEAR(D2982)</f>
        <v>2019</v>
      </c>
      <c r="B2982" t="s">
        <v>26</v>
      </c>
      <c r="C2982" s="2" t="s">
        <v>3023</v>
      </c>
      <c r="D2982" s="1">
        <v>43622</v>
      </c>
      <c r="E2982">
        <f>MONTH(D2982)</f>
        <v>6</v>
      </c>
      <c r="F2982" s="2" t="s">
        <v>19</v>
      </c>
      <c r="G2982" t="s">
        <v>352</v>
      </c>
      <c r="H2982" t="s">
        <v>1459</v>
      </c>
      <c r="I2982" t="s">
        <v>22</v>
      </c>
      <c r="J2982" s="2" t="s">
        <v>42</v>
      </c>
      <c r="K2982" s="2" t="s">
        <v>3019</v>
      </c>
      <c r="L2982" t="s">
        <v>25</v>
      </c>
      <c r="M2982" s="8">
        <v>1.1910000000000001</v>
      </c>
      <c r="N2982" t="s">
        <v>26</v>
      </c>
      <c r="O2982" s="8">
        <v>1.1910000000000001</v>
      </c>
      <c r="P2982" s="8">
        <f>EXP(-1.363+3.366*LOG(O2982,10))</f>
        <v>0.33039016297752993</v>
      </c>
      <c r="Q2982" s="8">
        <f>(8197453*100)/8541008</f>
        <v>95.977582505484136</v>
      </c>
    </row>
    <row r="2983" spans="1:17" x14ac:dyDescent="0.2">
      <c r="A2983">
        <f>YEAR(D2983)</f>
        <v>2019</v>
      </c>
      <c r="B2983" t="s">
        <v>26</v>
      </c>
      <c r="C2983" s="2" t="s">
        <v>3023</v>
      </c>
      <c r="D2983" s="1">
        <v>43622</v>
      </c>
      <c r="E2983">
        <f>MONTH(D2983)</f>
        <v>6</v>
      </c>
      <c r="F2983" s="2" t="s">
        <v>19</v>
      </c>
      <c r="G2983" t="s">
        <v>352</v>
      </c>
      <c r="H2983" t="s">
        <v>1459</v>
      </c>
      <c r="I2983" t="s">
        <v>22</v>
      </c>
      <c r="J2983" s="2" t="s">
        <v>42</v>
      </c>
      <c r="K2983" s="2" t="s">
        <v>3019</v>
      </c>
      <c r="L2983" t="s">
        <v>25</v>
      </c>
      <c r="M2983" s="8">
        <v>1.1910000000000001</v>
      </c>
      <c r="N2983" t="s">
        <v>26</v>
      </c>
      <c r="O2983" s="8">
        <v>1.1910000000000001</v>
      </c>
      <c r="P2983" s="8">
        <f>EXP(-1.363+3.366*LOG(O2983,10))</f>
        <v>0.33039016297752993</v>
      </c>
      <c r="Q2983" s="8">
        <f>(8197453*100)/8541008</f>
        <v>95.977582505484136</v>
      </c>
    </row>
    <row r="2984" spans="1:17" x14ac:dyDescent="0.2">
      <c r="A2984">
        <f>YEAR(D2984)</f>
        <v>2019</v>
      </c>
      <c r="B2984" t="s">
        <v>26</v>
      </c>
      <c r="C2984" s="2" t="s">
        <v>3023</v>
      </c>
      <c r="D2984" s="1">
        <v>43622</v>
      </c>
      <c r="E2984">
        <f>MONTH(D2984)</f>
        <v>6</v>
      </c>
      <c r="F2984" s="2" t="s">
        <v>19</v>
      </c>
      <c r="G2984" t="s">
        <v>352</v>
      </c>
      <c r="H2984" t="s">
        <v>728</v>
      </c>
      <c r="I2984" t="s">
        <v>22</v>
      </c>
      <c r="J2984" s="2" t="s">
        <v>42</v>
      </c>
      <c r="K2984" s="2" t="s">
        <v>3019</v>
      </c>
      <c r="L2984" t="s">
        <v>187</v>
      </c>
      <c r="M2984" s="8">
        <v>1.8093333330000001</v>
      </c>
      <c r="N2984" t="s">
        <v>26</v>
      </c>
      <c r="O2984" s="8">
        <v>1.8093333330000001</v>
      </c>
      <c r="P2984" s="8">
        <f>EXP(-1.363+3.366*LOG(O2984,10))</f>
        <v>0.6088444603462565</v>
      </c>
      <c r="Q2984" s="8">
        <f>(8197453*100)/8541008</f>
        <v>95.977582505484136</v>
      </c>
    </row>
    <row r="2985" spans="1:17" x14ac:dyDescent="0.2">
      <c r="A2985">
        <f>YEAR(D2985)</f>
        <v>2019</v>
      </c>
      <c r="B2985" t="s">
        <v>26</v>
      </c>
      <c r="C2985" s="2" t="s">
        <v>3023</v>
      </c>
      <c r="D2985" s="1">
        <v>43622</v>
      </c>
      <c r="E2985">
        <f>MONTH(D2985)</f>
        <v>6</v>
      </c>
      <c r="F2985" s="2" t="s">
        <v>19</v>
      </c>
      <c r="G2985" t="s">
        <v>352</v>
      </c>
      <c r="H2985" t="s">
        <v>1459</v>
      </c>
      <c r="I2985" t="s">
        <v>22</v>
      </c>
      <c r="J2985" s="2" t="s">
        <v>42</v>
      </c>
      <c r="K2985" s="2" t="s">
        <v>3019</v>
      </c>
      <c r="L2985" t="s">
        <v>25</v>
      </c>
      <c r="M2985" s="8">
        <v>1.1910000000000001</v>
      </c>
      <c r="N2985" t="s">
        <v>26</v>
      </c>
      <c r="O2985" s="8">
        <v>1.1910000000000001</v>
      </c>
      <c r="P2985" s="8">
        <f>EXP(-1.363+3.366*LOG(O2985,10))</f>
        <v>0.33039016297752993</v>
      </c>
      <c r="Q2985" s="8">
        <f>(8197453*100)/8541008</f>
        <v>95.977582505484136</v>
      </c>
    </row>
    <row r="2986" spans="1:17" x14ac:dyDescent="0.2">
      <c r="A2986">
        <f>YEAR(D2986)</f>
        <v>2019</v>
      </c>
      <c r="B2986" t="s">
        <v>26</v>
      </c>
      <c r="C2986" s="2" t="s">
        <v>3023</v>
      </c>
      <c r="D2986" s="1">
        <v>43622</v>
      </c>
      <c r="E2986">
        <f>MONTH(D2986)</f>
        <v>6</v>
      </c>
      <c r="F2986" s="2" t="s">
        <v>19</v>
      </c>
      <c r="G2986" t="s">
        <v>352</v>
      </c>
      <c r="H2986" t="s">
        <v>1459</v>
      </c>
      <c r="I2986" t="s">
        <v>22</v>
      </c>
      <c r="J2986" s="2" t="s">
        <v>42</v>
      </c>
      <c r="K2986" s="2" t="s">
        <v>3019</v>
      </c>
      <c r="L2986" t="s">
        <v>25</v>
      </c>
      <c r="M2986" s="8">
        <v>1.1910000000000001</v>
      </c>
      <c r="N2986" t="s">
        <v>26</v>
      </c>
      <c r="O2986" s="8">
        <v>1.1910000000000001</v>
      </c>
      <c r="P2986" s="8">
        <f>EXP(-1.363+3.366*LOG(O2986,10))</f>
        <v>0.33039016297752993</v>
      </c>
      <c r="Q2986" s="8">
        <f>(8197453*100)/8541008</f>
        <v>95.977582505484136</v>
      </c>
    </row>
    <row r="2987" spans="1:17" x14ac:dyDescent="0.2">
      <c r="A2987">
        <f>YEAR(D2987)</f>
        <v>2019</v>
      </c>
      <c r="B2987" t="s">
        <v>26</v>
      </c>
      <c r="C2987" s="2" t="s">
        <v>3023</v>
      </c>
      <c r="D2987" s="1">
        <v>43622</v>
      </c>
      <c r="E2987">
        <f>MONTH(D2987)</f>
        <v>6</v>
      </c>
      <c r="F2987" s="2" t="s">
        <v>19</v>
      </c>
      <c r="G2987" t="s">
        <v>352</v>
      </c>
      <c r="H2987" t="s">
        <v>1459</v>
      </c>
      <c r="I2987" t="s">
        <v>22</v>
      </c>
      <c r="J2987" s="2" t="s">
        <v>42</v>
      </c>
      <c r="K2987" s="2" t="s">
        <v>3019</v>
      </c>
      <c r="L2987" t="s">
        <v>25</v>
      </c>
      <c r="M2987" s="8">
        <v>1.1910000000000001</v>
      </c>
      <c r="N2987" t="s">
        <v>26</v>
      </c>
      <c r="O2987" s="8">
        <v>1.1910000000000001</v>
      </c>
      <c r="P2987" s="8">
        <f>EXP(-1.363+3.366*LOG(O2987,10))</f>
        <v>0.33039016297752993</v>
      </c>
      <c r="Q2987" s="8">
        <f>(8197453*100)/8541008</f>
        <v>95.977582505484136</v>
      </c>
    </row>
    <row r="2988" spans="1:17" x14ac:dyDescent="0.2">
      <c r="A2988">
        <f>YEAR(D2988)</f>
        <v>2019</v>
      </c>
      <c r="B2988" t="s">
        <v>26</v>
      </c>
      <c r="C2988" s="2" t="s">
        <v>3023</v>
      </c>
      <c r="D2988" s="1">
        <v>43622</v>
      </c>
      <c r="E2988">
        <f>MONTH(D2988)</f>
        <v>6</v>
      </c>
      <c r="F2988" s="2" t="s">
        <v>19</v>
      </c>
      <c r="G2988" t="s">
        <v>352</v>
      </c>
      <c r="H2988" t="s">
        <v>1459</v>
      </c>
      <c r="I2988" t="s">
        <v>22</v>
      </c>
      <c r="J2988" s="2" t="s">
        <v>42</v>
      </c>
      <c r="K2988" s="2" t="s">
        <v>3019</v>
      </c>
      <c r="L2988" t="s">
        <v>25</v>
      </c>
      <c r="M2988" s="8">
        <v>1.1910000000000001</v>
      </c>
      <c r="N2988" t="s">
        <v>26</v>
      </c>
      <c r="O2988" s="8">
        <v>1.1910000000000001</v>
      </c>
      <c r="P2988" s="8">
        <f>EXP(-1.363+3.366*LOG(O2988,10))</f>
        <v>0.33039016297752993</v>
      </c>
      <c r="Q2988" s="8">
        <f>(8197453*100)/8541008</f>
        <v>95.977582505484136</v>
      </c>
    </row>
    <row r="2989" spans="1:17" x14ac:dyDescent="0.2">
      <c r="A2989">
        <f>YEAR(D2989)</f>
        <v>2019</v>
      </c>
      <c r="B2989" t="s">
        <v>26</v>
      </c>
      <c r="C2989" s="2" t="s">
        <v>3023</v>
      </c>
      <c r="D2989" s="1">
        <v>43622</v>
      </c>
      <c r="E2989">
        <f>MONTH(D2989)</f>
        <v>6</v>
      </c>
      <c r="F2989" s="2" t="s">
        <v>19</v>
      </c>
      <c r="G2989" t="s">
        <v>352</v>
      </c>
      <c r="H2989" t="s">
        <v>1459</v>
      </c>
      <c r="I2989" t="s">
        <v>22</v>
      </c>
      <c r="J2989" s="2" t="s">
        <v>42</v>
      </c>
      <c r="K2989" s="2" t="s">
        <v>3019</v>
      </c>
      <c r="L2989" t="s">
        <v>25</v>
      </c>
      <c r="M2989" s="8">
        <v>1.1910000000000001</v>
      </c>
      <c r="N2989" t="s">
        <v>26</v>
      </c>
      <c r="O2989" s="8">
        <v>1.1910000000000001</v>
      </c>
      <c r="P2989" s="8">
        <f>EXP(-1.363+3.366*LOG(O2989,10))</f>
        <v>0.33039016297752993</v>
      </c>
      <c r="Q2989" s="8">
        <f>(8197453*100)/8541008</f>
        <v>95.977582505484136</v>
      </c>
    </row>
    <row r="2990" spans="1:17" x14ac:dyDescent="0.2">
      <c r="A2990">
        <f>YEAR(D2990)</f>
        <v>2019</v>
      </c>
      <c r="B2990" t="s">
        <v>26</v>
      </c>
      <c r="C2990" s="2" t="s">
        <v>3023</v>
      </c>
      <c r="D2990" s="1">
        <v>43622</v>
      </c>
      <c r="E2990">
        <f>MONTH(D2990)</f>
        <v>6</v>
      </c>
      <c r="F2990" s="2" t="s">
        <v>19</v>
      </c>
      <c r="G2990" t="s">
        <v>352</v>
      </c>
      <c r="H2990" t="s">
        <v>1459</v>
      </c>
      <c r="I2990" t="s">
        <v>22</v>
      </c>
      <c r="J2990" s="2" t="s">
        <v>42</v>
      </c>
      <c r="K2990" s="2" t="s">
        <v>3019</v>
      </c>
      <c r="L2990" t="s">
        <v>25</v>
      </c>
      <c r="M2990" s="8">
        <v>1.1910000000000001</v>
      </c>
      <c r="N2990" t="s">
        <v>26</v>
      </c>
      <c r="O2990" s="8">
        <v>1.1910000000000001</v>
      </c>
      <c r="P2990" s="8">
        <f>EXP(-1.363+3.366*LOG(O2990,10))</f>
        <v>0.33039016297752993</v>
      </c>
      <c r="Q2990" s="8">
        <f>(8197453*100)/8541008</f>
        <v>95.977582505484136</v>
      </c>
    </row>
    <row r="2991" spans="1:17" x14ac:dyDescent="0.2">
      <c r="A2991">
        <f>YEAR(D2991)</f>
        <v>2019</v>
      </c>
      <c r="B2991" t="s">
        <v>26</v>
      </c>
      <c r="C2991" s="2" t="s">
        <v>3023</v>
      </c>
      <c r="D2991" s="1">
        <v>43622</v>
      </c>
      <c r="E2991">
        <f>MONTH(D2991)</f>
        <v>6</v>
      </c>
      <c r="F2991" s="2" t="s">
        <v>19</v>
      </c>
      <c r="G2991" t="s">
        <v>352</v>
      </c>
      <c r="H2991" t="s">
        <v>1459</v>
      </c>
      <c r="I2991" t="s">
        <v>22</v>
      </c>
      <c r="J2991" s="2" t="s">
        <v>42</v>
      </c>
      <c r="K2991" s="2" t="s">
        <v>3019</v>
      </c>
      <c r="L2991" t="s">
        <v>25</v>
      </c>
      <c r="M2991" s="8">
        <v>1.1910000000000001</v>
      </c>
      <c r="N2991" t="s">
        <v>26</v>
      </c>
      <c r="O2991" s="8">
        <v>1.1910000000000001</v>
      </c>
      <c r="P2991" s="8">
        <f>EXP(-1.363+3.366*LOG(O2991,10))</f>
        <v>0.33039016297752993</v>
      </c>
      <c r="Q2991" s="8">
        <f>(8197453*100)/8541008</f>
        <v>95.977582505484136</v>
      </c>
    </row>
    <row r="2992" spans="1:17" x14ac:dyDescent="0.2">
      <c r="A2992">
        <f>YEAR(D2992)</f>
        <v>2019</v>
      </c>
      <c r="B2992" t="s">
        <v>26</v>
      </c>
      <c r="C2992" s="2" t="s">
        <v>3023</v>
      </c>
      <c r="D2992" s="1">
        <v>43622</v>
      </c>
      <c r="E2992">
        <f>MONTH(D2992)</f>
        <v>6</v>
      </c>
      <c r="F2992" s="2" t="s">
        <v>19</v>
      </c>
      <c r="G2992" t="s">
        <v>352</v>
      </c>
      <c r="H2992" t="s">
        <v>1459</v>
      </c>
      <c r="I2992" t="s">
        <v>22</v>
      </c>
      <c r="J2992" s="2" t="s">
        <v>42</v>
      </c>
      <c r="K2992" s="2" t="s">
        <v>3019</v>
      </c>
      <c r="L2992" t="s">
        <v>25</v>
      </c>
      <c r="M2992" s="8">
        <v>1.1910000000000001</v>
      </c>
      <c r="N2992" t="s">
        <v>26</v>
      </c>
      <c r="O2992" s="8">
        <v>1.1910000000000001</v>
      </c>
      <c r="P2992" s="8">
        <f>EXP(-1.363+3.366*LOG(O2992,10))</f>
        <v>0.33039016297752993</v>
      </c>
      <c r="Q2992" s="8">
        <f>(8197453*100)/8541008</f>
        <v>95.977582505484136</v>
      </c>
    </row>
    <row r="2993" spans="1:17" x14ac:dyDescent="0.2">
      <c r="A2993">
        <f>YEAR(D2993)</f>
        <v>2019</v>
      </c>
      <c r="B2993" t="s">
        <v>26</v>
      </c>
      <c r="C2993" s="2" t="s">
        <v>3023</v>
      </c>
      <c r="D2993" s="1">
        <v>43622</v>
      </c>
      <c r="E2993">
        <f>MONTH(D2993)</f>
        <v>6</v>
      </c>
      <c r="F2993" s="2" t="s">
        <v>19</v>
      </c>
      <c r="G2993" t="s">
        <v>352</v>
      </c>
      <c r="H2993" t="s">
        <v>1459</v>
      </c>
      <c r="I2993" t="s">
        <v>22</v>
      </c>
      <c r="J2993" s="2" t="s">
        <v>42</v>
      </c>
      <c r="K2993" s="2" t="s">
        <v>3019</v>
      </c>
      <c r="L2993" t="s">
        <v>25</v>
      </c>
      <c r="M2993" s="8">
        <v>1.1910000000000001</v>
      </c>
      <c r="N2993" t="s">
        <v>26</v>
      </c>
      <c r="O2993" s="8">
        <v>1.1910000000000001</v>
      </c>
      <c r="P2993" s="8">
        <f>EXP(-1.363+3.366*LOG(O2993,10))</f>
        <v>0.33039016297752993</v>
      </c>
      <c r="Q2993" s="8">
        <f>(8197453*100)/8541008</f>
        <v>95.977582505484136</v>
      </c>
    </row>
    <row r="2994" spans="1:17" x14ac:dyDescent="0.2">
      <c r="A2994">
        <f>YEAR(D2994)</f>
        <v>2019</v>
      </c>
      <c r="B2994" t="s">
        <v>26</v>
      </c>
      <c r="C2994" s="2" t="s">
        <v>3023</v>
      </c>
      <c r="D2994" s="1">
        <v>43622</v>
      </c>
      <c r="E2994">
        <f>MONTH(D2994)</f>
        <v>6</v>
      </c>
      <c r="F2994" s="2" t="s">
        <v>19</v>
      </c>
      <c r="G2994" t="s">
        <v>352</v>
      </c>
      <c r="H2994" t="s">
        <v>1459</v>
      </c>
      <c r="I2994" t="s">
        <v>22</v>
      </c>
      <c r="J2994" s="2" t="s">
        <v>42</v>
      </c>
      <c r="K2994" s="2" t="s">
        <v>3019</v>
      </c>
      <c r="L2994" t="s">
        <v>25</v>
      </c>
      <c r="M2994" s="8">
        <v>1.1910000000000001</v>
      </c>
      <c r="N2994" t="s">
        <v>26</v>
      </c>
      <c r="O2994" s="8">
        <v>1.1910000000000001</v>
      </c>
      <c r="P2994" s="8">
        <f>EXP(-1.363+3.366*LOG(O2994,10))</f>
        <v>0.33039016297752993</v>
      </c>
      <c r="Q2994" s="8">
        <f>(8197453*100)/8541008</f>
        <v>95.977582505484136</v>
      </c>
    </row>
    <row r="2995" spans="1:17" x14ac:dyDescent="0.2">
      <c r="A2995">
        <f>YEAR(D2995)</f>
        <v>2019</v>
      </c>
      <c r="B2995" t="s">
        <v>26</v>
      </c>
      <c r="C2995" s="2" t="s">
        <v>3023</v>
      </c>
      <c r="D2995" s="1">
        <v>43622</v>
      </c>
      <c r="E2995">
        <f>MONTH(D2995)</f>
        <v>6</v>
      </c>
      <c r="F2995" s="2" t="s">
        <v>19</v>
      </c>
      <c r="G2995" t="s">
        <v>352</v>
      </c>
      <c r="H2995" t="s">
        <v>1459</v>
      </c>
      <c r="I2995" t="s">
        <v>22</v>
      </c>
      <c r="J2995" s="2" t="s">
        <v>42</v>
      </c>
      <c r="K2995" s="2" t="s">
        <v>3019</v>
      </c>
      <c r="L2995" t="s">
        <v>25</v>
      </c>
      <c r="M2995" s="8">
        <v>1.1910000000000001</v>
      </c>
      <c r="N2995" t="s">
        <v>26</v>
      </c>
      <c r="O2995" s="8">
        <v>1.1910000000000001</v>
      </c>
      <c r="P2995" s="8">
        <f>EXP(-1.363+3.366*LOG(O2995,10))</f>
        <v>0.33039016297752993</v>
      </c>
      <c r="Q2995" s="8">
        <f>(8197453*100)/8541008</f>
        <v>95.977582505484136</v>
      </c>
    </row>
    <row r="2996" spans="1:17" x14ac:dyDescent="0.2">
      <c r="A2996">
        <f>YEAR(D2996)</f>
        <v>2019</v>
      </c>
      <c r="B2996" t="s">
        <v>26</v>
      </c>
      <c r="C2996" s="2" t="s">
        <v>3023</v>
      </c>
      <c r="D2996" s="1">
        <v>43622</v>
      </c>
      <c r="E2996">
        <f>MONTH(D2996)</f>
        <v>6</v>
      </c>
      <c r="F2996" s="2" t="s">
        <v>19</v>
      </c>
      <c r="G2996" t="s">
        <v>352</v>
      </c>
      <c r="H2996" t="s">
        <v>1459</v>
      </c>
      <c r="I2996" t="s">
        <v>22</v>
      </c>
      <c r="J2996" s="2" t="s">
        <v>42</v>
      </c>
      <c r="K2996" s="2" t="s">
        <v>3019</v>
      </c>
      <c r="L2996" t="s">
        <v>25</v>
      </c>
      <c r="M2996" s="8">
        <v>1.1910000000000001</v>
      </c>
      <c r="N2996" t="s">
        <v>26</v>
      </c>
      <c r="O2996" s="8">
        <v>1.1910000000000001</v>
      </c>
      <c r="P2996" s="8">
        <f>EXP(-1.363+3.366*LOG(O2996,10))</f>
        <v>0.33039016297752993</v>
      </c>
      <c r="Q2996" s="8">
        <f>(8197453*100)/8541008</f>
        <v>95.977582505484136</v>
      </c>
    </row>
    <row r="2997" spans="1:17" x14ac:dyDescent="0.2">
      <c r="A2997">
        <f>YEAR(D2997)</f>
        <v>2019</v>
      </c>
      <c r="B2997" t="s">
        <v>26</v>
      </c>
      <c r="C2997" s="2" t="s">
        <v>3023</v>
      </c>
      <c r="D2997" s="1">
        <v>43622</v>
      </c>
      <c r="E2997">
        <f>MONTH(D2997)</f>
        <v>6</v>
      </c>
      <c r="F2997" s="2" t="s">
        <v>19</v>
      </c>
      <c r="G2997" t="s">
        <v>352</v>
      </c>
      <c r="H2997" t="s">
        <v>1459</v>
      </c>
      <c r="I2997" t="s">
        <v>22</v>
      </c>
      <c r="J2997" s="2" t="s">
        <v>42</v>
      </c>
      <c r="K2997" s="2" t="s">
        <v>3019</v>
      </c>
      <c r="L2997" t="s">
        <v>25</v>
      </c>
      <c r="M2997" s="8">
        <v>1.1910000000000001</v>
      </c>
      <c r="N2997" t="s">
        <v>26</v>
      </c>
      <c r="O2997" s="8">
        <v>1.1910000000000001</v>
      </c>
      <c r="P2997" s="8">
        <f>EXP(-1.363+3.366*LOG(O2997,10))</f>
        <v>0.33039016297752993</v>
      </c>
      <c r="Q2997" s="8">
        <f>(8197453*100)/8541008</f>
        <v>95.977582505484136</v>
      </c>
    </row>
    <row r="2998" spans="1:17" x14ac:dyDescent="0.2">
      <c r="A2998">
        <f>YEAR(D2998)</f>
        <v>2019</v>
      </c>
      <c r="B2998" t="s">
        <v>26</v>
      </c>
      <c r="C2998" s="2" t="s">
        <v>3023</v>
      </c>
      <c r="D2998" s="1">
        <v>43622</v>
      </c>
      <c r="E2998">
        <f>MONTH(D2998)</f>
        <v>6</v>
      </c>
      <c r="F2998" s="2" t="s">
        <v>19</v>
      </c>
      <c r="G2998" t="s">
        <v>352</v>
      </c>
      <c r="H2998" t="s">
        <v>747</v>
      </c>
      <c r="I2998" t="s">
        <v>36</v>
      </c>
      <c r="J2998" s="2" t="s">
        <v>42</v>
      </c>
      <c r="K2998" s="2" t="s">
        <v>3019</v>
      </c>
      <c r="L2998" t="s">
        <v>25</v>
      </c>
      <c r="M2998" s="8">
        <v>1.2526666666666666</v>
      </c>
      <c r="N2998" t="s">
        <v>26</v>
      </c>
      <c r="O2998" s="8">
        <v>1.2526666666666666</v>
      </c>
      <c r="P2998" s="8">
        <f>EXP(-1.363+3.366*LOG(O2998,10))</f>
        <v>0.35569358460451905</v>
      </c>
      <c r="Q2998" s="8">
        <f>(8197453*100)/8541008</f>
        <v>95.977582505484136</v>
      </c>
    </row>
    <row r="2999" spans="1:17" x14ac:dyDescent="0.2">
      <c r="A2999">
        <f>YEAR(D2999)</f>
        <v>2019</v>
      </c>
      <c r="B2999" t="s">
        <v>26</v>
      </c>
      <c r="C2999" s="2" t="s">
        <v>3023</v>
      </c>
      <c r="D2999" s="1">
        <v>43622</v>
      </c>
      <c r="E2999">
        <f>MONTH(D2999)</f>
        <v>6</v>
      </c>
      <c r="F2999" s="2" t="s">
        <v>19</v>
      </c>
      <c r="G2999" t="s">
        <v>352</v>
      </c>
      <c r="H2999" t="s">
        <v>975</v>
      </c>
      <c r="I2999" t="s">
        <v>22</v>
      </c>
      <c r="J2999" s="2" t="s">
        <v>42</v>
      </c>
      <c r="K2999" s="2" t="s">
        <v>3019</v>
      </c>
      <c r="L2999" t="s">
        <v>25</v>
      </c>
      <c r="M2999" s="8">
        <v>1.0693333330000001</v>
      </c>
      <c r="N2999" t="s">
        <v>26</v>
      </c>
      <c r="O2999" s="8">
        <v>1.0693333330000001</v>
      </c>
      <c r="P2999" s="8">
        <f>EXP(-1.363+3.366*LOG(O2999,10))</f>
        <v>0.28223780327142356</v>
      </c>
      <c r="Q2999" s="8">
        <f>(8197453*100)/8541008</f>
        <v>95.977582505484136</v>
      </c>
    </row>
    <row r="3000" spans="1:17" x14ac:dyDescent="0.2">
      <c r="A3000">
        <f>YEAR(D3000)</f>
        <v>2019</v>
      </c>
      <c r="B3000" t="s">
        <v>26</v>
      </c>
      <c r="C3000" s="2" t="s">
        <v>3023</v>
      </c>
      <c r="D3000" s="1">
        <v>43622</v>
      </c>
      <c r="E3000">
        <f>MONTH(D3000)</f>
        <v>6</v>
      </c>
      <c r="F3000" s="2" t="s">
        <v>19</v>
      </c>
      <c r="G3000" t="s">
        <v>352</v>
      </c>
      <c r="H3000" t="s">
        <v>1459</v>
      </c>
      <c r="I3000" t="s">
        <v>22</v>
      </c>
      <c r="J3000" s="2" t="s">
        <v>42</v>
      </c>
      <c r="K3000" s="2" t="s">
        <v>3019</v>
      </c>
      <c r="L3000" t="s">
        <v>25</v>
      </c>
      <c r="M3000" s="8">
        <v>1.1910000000000001</v>
      </c>
      <c r="N3000" t="s">
        <v>26</v>
      </c>
      <c r="O3000" s="8">
        <v>1.1910000000000001</v>
      </c>
      <c r="P3000" s="8">
        <f>EXP(-1.363+3.366*LOG(O3000,10))</f>
        <v>0.33039016297752993</v>
      </c>
      <c r="Q3000" s="8">
        <f>(8197453*100)/8541008</f>
        <v>95.977582505484136</v>
      </c>
    </row>
    <row r="3001" spans="1:17" x14ac:dyDescent="0.2">
      <c r="A3001">
        <f>YEAR(D3001)</f>
        <v>2019</v>
      </c>
      <c r="B3001" t="s">
        <v>26</v>
      </c>
      <c r="C3001" s="2" t="s">
        <v>3023</v>
      </c>
      <c r="D3001" s="1">
        <v>43622</v>
      </c>
      <c r="E3001">
        <f>MONTH(D3001)</f>
        <v>6</v>
      </c>
      <c r="F3001" s="2" t="s">
        <v>19</v>
      </c>
      <c r="G3001" t="s">
        <v>352</v>
      </c>
      <c r="H3001" t="s">
        <v>1459</v>
      </c>
      <c r="I3001" t="s">
        <v>22</v>
      </c>
      <c r="J3001" s="2" t="s">
        <v>42</v>
      </c>
      <c r="K3001" s="2" t="s">
        <v>3019</v>
      </c>
      <c r="L3001" t="s">
        <v>25</v>
      </c>
      <c r="M3001" s="8">
        <v>1.1910000000000001</v>
      </c>
      <c r="N3001" t="s">
        <v>26</v>
      </c>
      <c r="O3001" s="8">
        <v>1.1910000000000001</v>
      </c>
      <c r="P3001" s="8">
        <f>EXP(-1.363+3.366*LOG(O3001,10))</f>
        <v>0.33039016297752993</v>
      </c>
      <c r="Q3001" s="8">
        <f>(8197453*100)/8541008</f>
        <v>95.977582505484136</v>
      </c>
    </row>
    <row r="3002" spans="1:17" x14ac:dyDescent="0.2">
      <c r="A3002">
        <f>YEAR(D3002)</f>
        <v>2019</v>
      </c>
      <c r="B3002" t="s">
        <v>26</v>
      </c>
      <c r="C3002" s="2" t="s">
        <v>3023</v>
      </c>
      <c r="D3002" s="1">
        <v>43622</v>
      </c>
      <c r="E3002">
        <f>MONTH(D3002)</f>
        <v>6</v>
      </c>
      <c r="F3002" s="2" t="s">
        <v>19</v>
      </c>
      <c r="G3002" t="s">
        <v>352</v>
      </c>
      <c r="H3002" t="s">
        <v>1459</v>
      </c>
      <c r="I3002" t="s">
        <v>22</v>
      </c>
      <c r="J3002" s="2" t="s">
        <v>42</v>
      </c>
      <c r="K3002" s="2" t="s">
        <v>3019</v>
      </c>
      <c r="L3002" t="s">
        <v>25</v>
      </c>
      <c r="M3002" s="8">
        <v>1.1910000000000001</v>
      </c>
      <c r="N3002" t="s">
        <v>26</v>
      </c>
      <c r="O3002" s="8">
        <v>1.1910000000000001</v>
      </c>
      <c r="P3002" s="8">
        <f>EXP(-1.363+3.366*LOG(O3002,10))</f>
        <v>0.33039016297752993</v>
      </c>
      <c r="Q3002" s="8">
        <f>(8197453*100)/8541008</f>
        <v>95.977582505484136</v>
      </c>
    </row>
    <row r="3003" spans="1:17" x14ac:dyDescent="0.2">
      <c r="A3003">
        <f>YEAR(D3003)</f>
        <v>2019</v>
      </c>
      <c r="B3003" t="s">
        <v>26</v>
      </c>
      <c r="C3003" s="2" t="s">
        <v>3023</v>
      </c>
      <c r="D3003" s="1">
        <v>43622</v>
      </c>
      <c r="E3003">
        <f>MONTH(D3003)</f>
        <v>6</v>
      </c>
      <c r="F3003" s="2" t="s">
        <v>19</v>
      </c>
      <c r="G3003" t="s">
        <v>352</v>
      </c>
      <c r="H3003" t="s">
        <v>1459</v>
      </c>
      <c r="I3003" t="s">
        <v>22</v>
      </c>
      <c r="J3003" s="2" t="s">
        <v>42</v>
      </c>
      <c r="K3003" s="2" t="s">
        <v>3019</v>
      </c>
      <c r="L3003" t="s">
        <v>25</v>
      </c>
      <c r="M3003" s="8">
        <v>1.1910000000000001</v>
      </c>
      <c r="N3003" t="s">
        <v>26</v>
      </c>
      <c r="O3003" s="8">
        <v>1.1910000000000001</v>
      </c>
      <c r="P3003" s="8">
        <f>EXP(-1.363+3.366*LOG(O3003,10))</f>
        <v>0.33039016297752993</v>
      </c>
      <c r="Q3003" s="8">
        <f>(8197453*100)/8541008</f>
        <v>95.977582505484136</v>
      </c>
    </row>
    <row r="3004" spans="1:17" x14ac:dyDescent="0.2">
      <c r="A3004">
        <f>YEAR(D3004)</f>
        <v>2019</v>
      </c>
      <c r="B3004" t="s">
        <v>26</v>
      </c>
      <c r="C3004" s="2" t="s">
        <v>3023</v>
      </c>
      <c r="D3004" s="1">
        <v>43622</v>
      </c>
      <c r="E3004">
        <f>MONTH(D3004)</f>
        <v>6</v>
      </c>
      <c r="F3004" s="2" t="s">
        <v>19</v>
      </c>
      <c r="G3004" t="s">
        <v>352</v>
      </c>
      <c r="H3004" t="s">
        <v>975</v>
      </c>
      <c r="I3004" t="s">
        <v>22</v>
      </c>
      <c r="J3004" s="2" t="s">
        <v>42</v>
      </c>
      <c r="K3004" s="2" t="s">
        <v>3019</v>
      </c>
      <c r="L3004" t="s">
        <v>25</v>
      </c>
      <c r="M3004" s="8">
        <v>1.0693333330000001</v>
      </c>
      <c r="N3004" t="s">
        <v>26</v>
      </c>
      <c r="O3004" s="8">
        <v>1.0693333330000001</v>
      </c>
      <c r="P3004" s="8">
        <f>EXP(-1.363+3.366*LOG(O3004,10))</f>
        <v>0.28223780327142356</v>
      </c>
      <c r="Q3004" s="8">
        <f>(8197453*100)/8541008</f>
        <v>95.977582505484136</v>
      </c>
    </row>
    <row r="3005" spans="1:17" x14ac:dyDescent="0.2">
      <c r="A3005">
        <f>YEAR(D3005)</f>
        <v>2019</v>
      </c>
      <c r="B3005" t="s">
        <v>26</v>
      </c>
      <c r="C3005" s="2" t="s">
        <v>3023</v>
      </c>
      <c r="D3005" s="1">
        <v>43622</v>
      </c>
      <c r="E3005">
        <f>MONTH(D3005)</f>
        <v>6</v>
      </c>
      <c r="F3005" s="2" t="s">
        <v>19</v>
      </c>
      <c r="G3005" s="2" t="s">
        <v>332</v>
      </c>
      <c r="H3005" t="s">
        <v>3055</v>
      </c>
      <c r="I3005" t="s">
        <v>36</v>
      </c>
      <c r="J3005" s="2" t="s">
        <v>42</v>
      </c>
      <c r="K3005" s="2" t="s">
        <v>3019</v>
      </c>
      <c r="L3005" t="s">
        <v>25</v>
      </c>
      <c r="M3005" s="8">
        <v>1.0585</v>
      </c>
      <c r="N3005" t="s">
        <v>26</v>
      </c>
      <c r="O3005" s="8">
        <v>1.0585</v>
      </c>
      <c r="P3005" s="8">
        <f>EXP(-1.363+3.366*LOG(O3005,10))</f>
        <v>0.27806773126801038</v>
      </c>
      <c r="Q3005" s="8">
        <f>(8197453*100)/8541008</f>
        <v>95.977582505484136</v>
      </c>
    </row>
    <row r="3006" spans="1:17" x14ac:dyDescent="0.2">
      <c r="A3006">
        <f>YEAR(D3006)</f>
        <v>2019</v>
      </c>
      <c r="B3006" t="s">
        <v>26</v>
      </c>
      <c r="C3006" s="2" t="s">
        <v>3025</v>
      </c>
      <c r="D3006" s="1">
        <v>43627</v>
      </c>
      <c r="E3006">
        <f>MONTH(D3006)</f>
        <v>6</v>
      </c>
      <c r="F3006" s="2" t="s">
        <v>19</v>
      </c>
      <c r="G3006" t="s">
        <v>303</v>
      </c>
      <c r="H3006" t="s">
        <v>307</v>
      </c>
      <c r="I3006" t="s">
        <v>36</v>
      </c>
      <c r="J3006" s="2" t="s">
        <v>42</v>
      </c>
      <c r="K3006" s="2" t="s">
        <v>3019</v>
      </c>
      <c r="L3006" t="s">
        <v>305</v>
      </c>
      <c r="M3006" s="8">
        <v>1.01</v>
      </c>
      <c r="N3006" t="s">
        <v>26</v>
      </c>
      <c r="O3006" s="8">
        <v>1.01</v>
      </c>
      <c r="P3006" s="8">
        <f>EXP(-1.363+3.366*LOG(O3006,10))</f>
        <v>0.25964128962709732</v>
      </c>
      <c r="Q3006" s="8">
        <f>(1955155*100)/2180255</f>
        <v>89.67551960665152</v>
      </c>
    </row>
    <row r="3007" spans="1:17" x14ac:dyDescent="0.2">
      <c r="A3007">
        <f>YEAR(D3007)</f>
        <v>2019</v>
      </c>
      <c r="B3007" t="s">
        <v>26</v>
      </c>
      <c r="C3007" s="2" t="s">
        <v>3025</v>
      </c>
      <c r="D3007" s="1">
        <v>43627</v>
      </c>
      <c r="E3007">
        <f>MONTH(D3007)</f>
        <v>6</v>
      </c>
      <c r="F3007" s="2" t="s">
        <v>19</v>
      </c>
      <c r="G3007" t="s">
        <v>352</v>
      </c>
      <c r="H3007" t="s">
        <v>623</v>
      </c>
      <c r="I3007" t="s">
        <v>22</v>
      </c>
      <c r="J3007" s="2" t="s">
        <v>42</v>
      </c>
      <c r="K3007" s="2" t="s">
        <v>3019</v>
      </c>
      <c r="L3007" t="s">
        <v>25</v>
      </c>
      <c r="M3007" s="8">
        <v>1.387</v>
      </c>
      <c r="N3007" t="s">
        <v>26</v>
      </c>
      <c r="O3007" s="8">
        <v>1.387</v>
      </c>
      <c r="P3007" s="8">
        <f>EXP(-1.363+3.366*LOG(O3007,10))</f>
        <v>0.41280884754947733</v>
      </c>
      <c r="Q3007" s="8">
        <f>(1955155*100)/2180255</f>
        <v>89.67551960665152</v>
      </c>
    </row>
    <row r="3008" spans="1:17" x14ac:dyDescent="0.2">
      <c r="A3008">
        <f>YEAR(D3008)</f>
        <v>2019</v>
      </c>
      <c r="B3008" t="s">
        <v>26</v>
      </c>
      <c r="C3008" s="2" t="s">
        <v>3025</v>
      </c>
      <c r="D3008" s="1">
        <v>43627</v>
      </c>
      <c r="E3008">
        <f>MONTH(D3008)</f>
        <v>6</v>
      </c>
      <c r="F3008" s="2" t="s">
        <v>19</v>
      </c>
      <c r="G3008" t="s">
        <v>352</v>
      </c>
      <c r="H3008" t="s">
        <v>623</v>
      </c>
      <c r="I3008" t="s">
        <v>22</v>
      </c>
      <c r="J3008" s="2" t="s">
        <v>42</v>
      </c>
      <c r="K3008" s="2" t="s">
        <v>3019</v>
      </c>
      <c r="L3008" t="s">
        <v>25</v>
      </c>
      <c r="M3008" s="8">
        <v>1.387</v>
      </c>
      <c r="N3008" t="s">
        <v>26</v>
      </c>
      <c r="O3008" s="8">
        <v>1.387</v>
      </c>
      <c r="P3008" s="8">
        <f>EXP(-1.363+3.366*LOG(O3008,10))</f>
        <v>0.41280884754947733</v>
      </c>
      <c r="Q3008" s="8">
        <f>(1955155*100)/2180255</f>
        <v>89.67551960665152</v>
      </c>
    </row>
    <row r="3009" spans="1:17" x14ac:dyDescent="0.2">
      <c r="A3009">
        <f>YEAR(D3009)</f>
        <v>2019</v>
      </c>
      <c r="B3009" t="s">
        <v>26</v>
      </c>
      <c r="C3009" s="2" t="s">
        <v>3025</v>
      </c>
      <c r="D3009" s="1">
        <v>43627</v>
      </c>
      <c r="E3009">
        <f>MONTH(D3009)</f>
        <v>6</v>
      </c>
      <c r="F3009" s="2" t="s">
        <v>19</v>
      </c>
      <c r="G3009" t="s">
        <v>352</v>
      </c>
      <c r="H3009" t="s">
        <v>623</v>
      </c>
      <c r="I3009" t="s">
        <v>22</v>
      </c>
      <c r="J3009" s="2" t="s">
        <v>42</v>
      </c>
      <c r="K3009" s="2" t="s">
        <v>3019</v>
      </c>
      <c r="L3009" t="s">
        <v>25</v>
      </c>
      <c r="M3009" s="8">
        <v>1.387</v>
      </c>
      <c r="N3009" t="s">
        <v>26</v>
      </c>
      <c r="O3009" s="8">
        <v>1.387</v>
      </c>
      <c r="P3009" s="8">
        <f>EXP(-1.363+3.366*LOG(O3009,10))</f>
        <v>0.41280884754947733</v>
      </c>
      <c r="Q3009" s="8">
        <f>(1955155*100)/2180255</f>
        <v>89.67551960665152</v>
      </c>
    </row>
    <row r="3010" spans="1:17" x14ac:dyDescent="0.2">
      <c r="A3010">
        <f>YEAR(D3010)</f>
        <v>2019</v>
      </c>
      <c r="B3010" t="s">
        <v>26</v>
      </c>
      <c r="C3010" s="2" t="s">
        <v>3025</v>
      </c>
      <c r="D3010" s="1">
        <v>43627</v>
      </c>
      <c r="E3010">
        <f>MONTH(D3010)</f>
        <v>6</v>
      </c>
      <c r="F3010" s="2" t="s">
        <v>19</v>
      </c>
      <c r="G3010" t="s">
        <v>352</v>
      </c>
      <c r="H3010" t="s">
        <v>610</v>
      </c>
      <c r="I3010" t="s">
        <v>22</v>
      </c>
      <c r="J3010" s="2" t="s">
        <v>42</v>
      </c>
      <c r="K3010" s="2" t="s">
        <v>3019</v>
      </c>
      <c r="L3010" t="s">
        <v>25</v>
      </c>
      <c r="M3010" s="8">
        <v>0.86499999999999999</v>
      </c>
      <c r="N3010" t="s">
        <v>26</v>
      </c>
      <c r="O3010" s="8">
        <v>0.86499999999999999</v>
      </c>
      <c r="P3010" s="8">
        <f>EXP(-1.363+3.366*LOG(O3010,10))</f>
        <v>0.20700676972346591</v>
      </c>
      <c r="Q3010" s="8">
        <f>(1955155*100)/2180255</f>
        <v>89.67551960665152</v>
      </c>
    </row>
    <row r="3011" spans="1:17" x14ac:dyDescent="0.2">
      <c r="A3011">
        <f>YEAR(D3011)</f>
        <v>2019</v>
      </c>
      <c r="B3011" t="s">
        <v>26</v>
      </c>
      <c r="C3011" s="2" t="s">
        <v>3025</v>
      </c>
      <c r="D3011" s="1">
        <v>43627</v>
      </c>
      <c r="E3011">
        <f>MONTH(D3011)</f>
        <v>6</v>
      </c>
      <c r="F3011" s="2" t="s">
        <v>19</v>
      </c>
      <c r="G3011" t="s">
        <v>352</v>
      </c>
      <c r="H3011" t="s">
        <v>975</v>
      </c>
      <c r="I3011" t="s">
        <v>22</v>
      </c>
      <c r="J3011" s="2" t="s">
        <v>42</v>
      </c>
      <c r="K3011" s="2" t="s">
        <v>3019</v>
      </c>
      <c r="L3011" t="s">
        <v>25</v>
      </c>
      <c r="M3011" s="8">
        <v>1.0693333330000001</v>
      </c>
      <c r="N3011" t="s">
        <v>26</v>
      </c>
      <c r="O3011" s="8">
        <v>1.0693333330000001</v>
      </c>
      <c r="P3011" s="8">
        <f>EXP(-1.363+3.366*LOG(O3011,10))</f>
        <v>0.28223780327142356</v>
      </c>
      <c r="Q3011" s="8">
        <f>(1955155*100)/2180255</f>
        <v>89.67551960665152</v>
      </c>
    </row>
    <row r="3012" spans="1:17" x14ac:dyDescent="0.2">
      <c r="A3012">
        <f>YEAR(D3012)</f>
        <v>2019</v>
      </c>
      <c r="B3012" t="s">
        <v>26</v>
      </c>
      <c r="C3012" s="2" t="s">
        <v>3025</v>
      </c>
      <c r="D3012" s="1">
        <v>43627</v>
      </c>
      <c r="E3012">
        <f>MONTH(D3012)</f>
        <v>6</v>
      </c>
      <c r="F3012" s="2" t="s">
        <v>19</v>
      </c>
      <c r="G3012" t="s">
        <v>352</v>
      </c>
      <c r="H3012" t="s">
        <v>623</v>
      </c>
      <c r="I3012" t="s">
        <v>22</v>
      </c>
      <c r="J3012" s="2" t="s">
        <v>42</v>
      </c>
      <c r="K3012" s="2" t="s">
        <v>3019</v>
      </c>
      <c r="L3012" t="s">
        <v>25</v>
      </c>
      <c r="M3012" s="8">
        <v>1.387</v>
      </c>
      <c r="N3012" t="s">
        <v>26</v>
      </c>
      <c r="O3012" s="8">
        <v>1.387</v>
      </c>
      <c r="P3012" s="8">
        <f>EXP(-1.363+3.366*LOG(O3012,10))</f>
        <v>0.41280884754947733</v>
      </c>
      <c r="Q3012" s="8">
        <f>(1955155*100)/2180255</f>
        <v>89.67551960665152</v>
      </c>
    </row>
    <row r="3013" spans="1:17" x14ac:dyDescent="0.2">
      <c r="A3013">
        <f>YEAR(D3013)</f>
        <v>2019</v>
      </c>
      <c r="B3013" t="s">
        <v>26</v>
      </c>
      <c r="C3013" s="2" t="s">
        <v>3025</v>
      </c>
      <c r="D3013" s="1">
        <v>43627</v>
      </c>
      <c r="E3013">
        <f>MONTH(D3013)</f>
        <v>6</v>
      </c>
      <c r="F3013" s="2" t="s">
        <v>19</v>
      </c>
      <c r="G3013" t="s">
        <v>352</v>
      </c>
      <c r="H3013" t="s">
        <v>623</v>
      </c>
      <c r="I3013" t="s">
        <v>22</v>
      </c>
      <c r="J3013" s="2" t="s">
        <v>42</v>
      </c>
      <c r="K3013" s="2" t="s">
        <v>3019</v>
      </c>
      <c r="L3013" t="s">
        <v>25</v>
      </c>
      <c r="M3013" s="8">
        <v>1.387</v>
      </c>
      <c r="N3013" t="s">
        <v>26</v>
      </c>
      <c r="O3013" s="8">
        <v>1.387</v>
      </c>
      <c r="P3013" s="8">
        <f>EXP(-1.363+3.366*LOG(O3013,10))</f>
        <v>0.41280884754947733</v>
      </c>
      <c r="Q3013" s="8">
        <f>(1955155*100)/2180255</f>
        <v>89.67551960665152</v>
      </c>
    </row>
    <row r="3014" spans="1:17" x14ac:dyDescent="0.2">
      <c r="A3014">
        <f>YEAR(D3014)</f>
        <v>2019</v>
      </c>
      <c r="B3014" t="s">
        <v>26</v>
      </c>
      <c r="C3014" s="2" t="s">
        <v>3025</v>
      </c>
      <c r="D3014" s="1">
        <v>43627</v>
      </c>
      <c r="E3014">
        <f>MONTH(D3014)</f>
        <v>6</v>
      </c>
      <c r="F3014" s="2" t="s">
        <v>19</v>
      </c>
      <c r="G3014" t="s">
        <v>352</v>
      </c>
      <c r="H3014" t="s">
        <v>623</v>
      </c>
      <c r="I3014" t="s">
        <v>22</v>
      </c>
      <c r="J3014" s="2" t="s">
        <v>42</v>
      </c>
      <c r="K3014" s="2" t="s">
        <v>3019</v>
      </c>
      <c r="L3014" t="s">
        <v>25</v>
      </c>
      <c r="M3014" s="8">
        <v>1.387</v>
      </c>
      <c r="N3014" t="s">
        <v>26</v>
      </c>
      <c r="O3014" s="8">
        <v>1.387</v>
      </c>
      <c r="P3014" s="8">
        <f>EXP(-1.363+3.366*LOG(O3014,10))</f>
        <v>0.41280884754947733</v>
      </c>
      <c r="Q3014" s="8">
        <f>(1955155*100)/2180255</f>
        <v>89.67551960665152</v>
      </c>
    </row>
    <row r="3015" spans="1:17" x14ac:dyDescent="0.2">
      <c r="A3015">
        <f>YEAR(D3015)</f>
        <v>2019</v>
      </c>
      <c r="B3015" t="s">
        <v>26</v>
      </c>
      <c r="C3015" s="2" t="s">
        <v>3026</v>
      </c>
      <c r="D3015" s="1">
        <v>43627</v>
      </c>
      <c r="E3015">
        <f>MONTH(D3015)</f>
        <v>6</v>
      </c>
      <c r="F3015" s="2" t="s">
        <v>19</v>
      </c>
      <c r="G3015" t="s">
        <v>230</v>
      </c>
      <c r="H3015" t="s">
        <v>255</v>
      </c>
      <c r="I3015" t="s">
        <v>22</v>
      </c>
      <c r="J3015" s="2" t="s">
        <v>42</v>
      </c>
      <c r="K3015" s="2" t="s">
        <v>3019</v>
      </c>
      <c r="L3015" t="s">
        <v>25</v>
      </c>
      <c r="M3015" s="8">
        <v>3.1943333329999999</v>
      </c>
      <c r="N3015" t="s">
        <v>26</v>
      </c>
      <c r="O3015" s="8">
        <v>3.1943333329999999</v>
      </c>
      <c r="P3015" s="8">
        <f>EXP(-1.363+3.366*LOG(O3015,10))</f>
        <v>1.3975823704079444</v>
      </c>
      <c r="Q3015" s="8">
        <f>(2317420*100)/2442061</f>
        <v>94.896073439606951</v>
      </c>
    </row>
    <row r="3016" spans="1:17" x14ac:dyDescent="0.2">
      <c r="A3016">
        <f>YEAR(D3016)</f>
        <v>2019</v>
      </c>
      <c r="B3016" t="s">
        <v>26</v>
      </c>
      <c r="C3016" s="2" t="s">
        <v>3026</v>
      </c>
      <c r="D3016" s="1">
        <v>43627</v>
      </c>
      <c r="E3016">
        <f>MONTH(D3016)</f>
        <v>6</v>
      </c>
      <c r="F3016" s="2" t="s">
        <v>19</v>
      </c>
      <c r="G3016" t="s">
        <v>352</v>
      </c>
      <c r="H3016" t="s">
        <v>1459</v>
      </c>
      <c r="I3016" t="s">
        <v>22</v>
      </c>
      <c r="J3016" s="2" t="s">
        <v>42</v>
      </c>
      <c r="K3016" s="2" t="s">
        <v>3019</v>
      </c>
      <c r="L3016" t="s">
        <v>25</v>
      </c>
      <c r="M3016" s="8">
        <v>1.1910000000000001</v>
      </c>
      <c r="N3016" t="s">
        <v>26</v>
      </c>
      <c r="O3016" s="8">
        <v>1.1910000000000001</v>
      </c>
      <c r="P3016" s="8">
        <f>EXP(-1.363+3.366*LOG(O3016,10))</f>
        <v>0.33039016297752993</v>
      </c>
      <c r="Q3016" s="8">
        <f>(2317420*100)/2442061</f>
        <v>94.896073439606951</v>
      </c>
    </row>
    <row r="3017" spans="1:17" x14ac:dyDescent="0.2">
      <c r="A3017">
        <f>YEAR(D3017)</f>
        <v>2019</v>
      </c>
      <c r="B3017" t="s">
        <v>26</v>
      </c>
      <c r="C3017" s="2" t="s">
        <v>3026</v>
      </c>
      <c r="D3017" s="1">
        <v>43627</v>
      </c>
      <c r="E3017">
        <f>MONTH(D3017)</f>
        <v>6</v>
      </c>
      <c r="F3017" s="2" t="s">
        <v>19</v>
      </c>
      <c r="G3017" t="s">
        <v>352</v>
      </c>
      <c r="H3017" t="s">
        <v>1459</v>
      </c>
      <c r="I3017" t="s">
        <v>22</v>
      </c>
      <c r="J3017" s="2" t="s">
        <v>42</v>
      </c>
      <c r="K3017" s="2" t="s">
        <v>3019</v>
      </c>
      <c r="L3017" t="s">
        <v>25</v>
      </c>
      <c r="M3017" s="8">
        <v>1.1910000000000001</v>
      </c>
      <c r="N3017" t="s">
        <v>26</v>
      </c>
      <c r="O3017" s="8">
        <v>1.1910000000000001</v>
      </c>
      <c r="P3017" s="8">
        <f>EXP(-1.363+3.366*LOG(O3017,10))</f>
        <v>0.33039016297752993</v>
      </c>
      <c r="Q3017" s="8">
        <f>(2317420*100)/2442061</f>
        <v>94.896073439606951</v>
      </c>
    </row>
    <row r="3018" spans="1:17" x14ac:dyDescent="0.2">
      <c r="A3018">
        <f>YEAR(D3018)</f>
        <v>2019</v>
      </c>
      <c r="B3018" t="s">
        <v>26</v>
      </c>
      <c r="C3018" s="2" t="s">
        <v>3026</v>
      </c>
      <c r="D3018" s="1">
        <v>43627</v>
      </c>
      <c r="E3018">
        <f>MONTH(D3018)</f>
        <v>6</v>
      </c>
      <c r="F3018" s="2" t="s">
        <v>19</v>
      </c>
      <c r="G3018" t="s">
        <v>352</v>
      </c>
      <c r="H3018" t="s">
        <v>1459</v>
      </c>
      <c r="I3018" t="s">
        <v>22</v>
      </c>
      <c r="J3018" s="2" t="s">
        <v>42</v>
      </c>
      <c r="K3018" s="2" t="s">
        <v>3019</v>
      </c>
      <c r="L3018" t="s">
        <v>25</v>
      </c>
      <c r="M3018" s="8">
        <v>1.1910000000000001</v>
      </c>
      <c r="N3018" t="s">
        <v>26</v>
      </c>
      <c r="O3018" s="8">
        <v>1.1910000000000001</v>
      </c>
      <c r="P3018" s="8">
        <f>EXP(-1.363+3.366*LOG(O3018,10))</f>
        <v>0.33039016297752993</v>
      </c>
      <c r="Q3018" s="8">
        <f>(2317420*100)/2442061</f>
        <v>94.896073439606951</v>
      </c>
    </row>
    <row r="3019" spans="1:17" x14ac:dyDescent="0.2">
      <c r="A3019">
        <f>YEAR(D3019)</f>
        <v>2019</v>
      </c>
      <c r="B3019" t="s">
        <v>26</v>
      </c>
      <c r="C3019" s="2" t="s">
        <v>3026</v>
      </c>
      <c r="D3019" s="1">
        <v>43627</v>
      </c>
      <c r="E3019">
        <f>MONTH(D3019)</f>
        <v>6</v>
      </c>
      <c r="F3019" s="2" t="s">
        <v>19</v>
      </c>
      <c r="G3019" t="s">
        <v>20</v>
      </c>
      <c r="H3019" t="s">
        <v>171</v>
      </c>
      <c r="I3019" t="s">
        <v>36</v>
      </c>
      <c r="J3019" s="2" t="s">
        <v>42</v>
      </c>
      <c r="K3019" s="2" t="s">
        <v>3019</v>
      </c>
      <c r="L3019" t="s">
        <v>25</v>
      </c>
      <c r="M3019" s="8">
        <v>1.104666667</v>
      </c>
      <c r="N3019" t="s">
        <v>26</v>
      </c>
      <c r="O3019" s="8">
        <v>1.104666667</v>
      </c>
      <c r="P3019" s="8">
        <f>EXP(-1.363+3.366*LOG(O3019,10))</f>
        <v>0.29597401543594926</v>
      </c>
      <c r="Q3019" s="8">
        <f>(2317420*100)/2442061</f>
        <v>94.896073439606951</v>
      </c>
    </row>
    <row r="3020" spans="1:17" x14ac:dyDescent="0.2">
      <c r="A3020">
        <f>YEAR(D3020)</f>
        <v>2019</v>
      </c>
      <c r="B3020" t="s">
        <v>26</v>
      </c>
      <c r="C3020" s="2" t="s">
        <v>3026</v>
      </c>
      <c r="D3020" s="1">
        <v>43627</v>
      </c>
      <c r="E3020">
        <f>MONTH(D3020)</f>
        <v>6</v>
      </c>
      <c r="F3020" s="2" t="s">
        <v>19</v>
      </c>
      <c r="G3020" t="s">
        <v>352</v>
      </c>
      <c r="H3020" t="s">
        <v>1459</v>
      </c>
      <c r="I3020" t="s">
        <v>22</v>
      </c>
      <c r="J3020" s="2" t="s">
        <v>42</v>
      </c>
      <c r="K3020" s="2" t="s">
        <v>3019</v>
      </c>
      <c r="L3020" t="s">
        <v>25</v>
      </c>
      <c r="M3020" s="8">
        <v>1.1910000000000001</v>
      </c>
      <c r="N3020" t="s">
        <v>26</v>
      </c>
      <c r="O3020" s="8">
        <v>1.1910000000000001</v>
      </c>
      <c r="P3020" s="8">
        <f>EXP(-1.363+3.366*LOG(O3020,10))</f>
        <v>0.33039016297752993</v>
      </c>
      <c r="Q3020" s="8">
        <f>(2317420*100)/2442061</f>
        <v>94.896073439606951</v>
      </c>
    </row>
    <row r="3021" spans="1:17" x14ac:dyDescent="0.2">
      <c r="A3021">
        <f>YEAR(D3021)</f>
        <v>2019</v>
      </c>
      <c r="B3021" t="s">
        <v>26</v>
      </c>
      <c r="C3021" s="2" t="s">
        <v>3026</v>
      </c>
      <c r="D3021" s="1">
        <v>43627</v>
      </c>
      <c r="E3021">
        <f>MONTH(D3021)</f>
        <v>6</v>
      </c>
      <c r="F3021" s="2" t="s">
        <v>19</v>
      </c>
      <c r="G3021" t="s">
        <v>352</v>
      </c>
      <c r="H3021" t="s">
        <v>1344</v>
      </c>
      <c r="I3021" t="s">
        <v>22</v>
      </c>
      <c r="J3021" s="2" t="s">
        <v>42</v>
      </c>
      <c r="K3021" s="2" t="s">
        <v>3019</v>
      </c>
      <c r="L3021" t="s">
        <v>25</v>
      </c>
      <c r="M3021" s="8">
        <v>0.91800000000000004</v>
      </c>
      <c r="N3021" t="s">
        <v>26</v>
      </c>
      <c r="O3021" s="8">
        <v>0.91800000000000004</v>
      </c>
      <c r="P3021" s="8">
        <f>EXP(-1.363+3.366*LOG(O3021,10))</f>
        <v>0.22580769814771504</v>
      </c>
      <c r="Q3021" s="8">
        <f>(2317420*100)/2442061</f>
        <v>94.896073439606951</v>
      </c>
    </row>
    <row r="3022" spans="1:17" x14ac:dyDescent="0.2">
      <c r="A3022">
        <f>YEAR(D3022)</f>
        <v>2019</v>
      </c>
      <c r="B3022" t="s">
        <v>26</v>
      </c>
      <c r="C3022" s="2" t="s">
        <v>3026</v>
      </c>
      <c r="D3022" s="1">
        <v>43627</v>
      </c>
      <c r="E3022">
        <f>MONTH(D3022)</f>
        <v>6</v>
      </c>
      <c r="F3022" s="2" t="s">
        <v>19</v>
      </c>
      <c r="G3022" t="s">
        <v>20</v>
      </c>
      <c r="H3022" t="s">
        <v>171</v>
      </c>
      <c r="I3022" t="s">
        <v>36</v>
      </c>
      <c r="J3022" s="2" t="s">
        <v>42</v>
      </c>
      <c r="K3022" s="2" t="s">
        <v>3019</v>
      </c>
      <c r="L3022" t="s">
        <v>25</v>
      </c>
      <c r="M3022" s="8">
        <v>1.104666667</v>
      </c>
      <c r="N3022" t="s">
        <v>26</v>
      </c>
      <c r="O3022" s="8">
        <v>1.104666667</v>
      </c>
      <c r="P3022" s="8">
        <f>EXP(-1.363+3.366*LOG(O3022,10))</f>
        <v>0.29597401543594926</v>
      </c>
      <c r="Q3022" s="8">
        <f>(2317420*100)/2442061</f>
        <v>94.896073439606951</v>
      </c>
    </row>
    <row r="3023" spans="1:17" x14ac:dyDescent="0.2">
      <c r="A3023">
        <f>YEAR(D3023)</f>
        <v>2019</v>
      </c>
      <c r="B3023" t="s">
        <v>26</v>
      </c>
      <c r="C3023" s="2" t="s">
        <v>3026</v>
      </c>
      <c r="D3023" s="1">
        <v>43627</v>
      </c>
      <c r="E3023">
        <f>MONTH(D3023)</f>
        <v>6</v>
      </c>
      <c r="F3023" s="2" t="s">
        <v>19</v>
      </c>
      <c r="G3023" t="s">
        <v>352</v>
      </c>
      <c r="H3023" t="s">
        <v>1459</v>
      </c>
      <c r="I3023" t="s">
        <v>22</v>
      </c>
      <c r="J3023" s="2" t="s">
        <v>42</v>
      </c>
      <c r="K3023" s="2" t="s">
        <v>3019</v>
      </c>
      <c r="L3023" t="s">
        <v>25</v>
      </c>
      <c r="M3023" s="8">
        <v>1.1910000000000001</v>
      </c>
      <c r="N3023" t="s">
        <v>26</v>
      </c>
      <c r="O3023" s="8">
        <v>1.1910000000000001</v>
      </c>
      <c r="P3023" s="8">
        <f>EXP(-1.363+3.366*LOG(O3023,10))</f>
        <v>0.33039016297752993</v>
      </c>
      <c r="Q3023" s="8">
        <f>(2317420*100)/2442061</f>
        <v>94.896073439606951</v>
      </c>
    </row>
    <row r="3024" spans="1:17" x14ac:dyDescent="0.2">
      <c r="A3024">
        <f>YEAR(D3024)</f>
        <v>2019</v>
      </c>
      <c r="B3024" t="s">
        <v>26</v>
      </c>
      <c r="C3024" s="2" t="s">
        <v>3026</v>
      </c>
      <c r="D3024" s="1">
        <v>43627</v>
      </c>
      <c r="E3024">
        <f>MONTH(D3024)</f>
        <v>6</v>
      </c>
      <c r="F3024" s="2" t="s">
        <v>19</v>
      </c>
      <c r="G3024" t="s">
        <v>352</v>
      </c>
      <c r="H3024" t="s">
        <v>1459</v>
      </c>
      <c r="I3024" t="s">
        <v>22</v>
      </c>
      <c r="J3024" s="2" t="s">
        <v>42</v>
      </c>
      <c r="K3024" s="2" t="s">
        <v>3019</v>
      </c>
      <c r="L3024" t="s">
        <v>25</v>
      </c>
      <c r="M3024" s="8">
        <v>1.1910000000000001</v>
      </c>
      <c r="N3024" t="s">
        <v>26</v>
      </c>
      <c r="O3024" s="8">
        <v>1.1910000000000001</v>
      </c>
      <c r="P3024" s="8">
        <f>EXP(-1.363+3.366*LOG(O3024,10))</f>
        <v>0.33039016297752993</v>
      </c>
      <c r="Q3024" s="8">
        <f>(2317420*100)/2442061</f>
        <v>94.896073439606951</v>
      </c>
    </row>
    <row r="3025" spans="1:17" x14ac:dyDescent="0.2">
      <c r="A3025">
        <f>YEAR(D3025)</f>
        <v>2019</v>
      </c>
      <c r="B3025" t="s">
        <v>26</v>
      </c>
      <c r="C3025" s="2" t="s">
        <v>3021</v>
      </c>
      <c r="D3025" s="1">
        <v>43630</v>
      </c>
      <c r="E3025">
        <f>MONTH(D3025)</f>
        <v>6</v>
      </c>
      <c r="F3025" s="2" t="s">
        <v>2098</v>
      </c>
      <c r="G3025" t="s">
        <v>352</v>
      </c>
      <c r="H3025" t="s">
        <v>1459</v>
      </c>
      <c r="I3025" t="s">
        <v>22</v>
      </c>
      <c r="J3025" s="2" t="s">
        <v>42</v>
      </c>
      <c r="K3025" s="2" t="s">
        <v>3019</v>
      </c>
      <c r="L3025" t="s">
        <v>25</v>
      </c>
      <c r="M3025" s="8">
        <v>1.1910000000000001</v>
      </c>
      <c r="N3025" t="s">
        <v>26</v>
      </c>
      <c r="O3025" s="8">
        <v>1.1910000000000001</v>
      </c>
      <c r="P3025" s="8">
        <f>EXP(-1.363+3.366*LOG(O3025,10))</f>
        <v>0.33039016297752993</v>
      </c>
      <c r="Q3025" s="8">
        <f>(1845879*100)/1946364</f>
        <v>94.837296620775973</v>
      </c>
    </row>
    <row r="3026" spans="1:17" x14ac:dyDescent="0.2">
      <c r="A3026">
        <f>YEAR(D3026)</f>
        <v>2019</v>
      </c>
      <c r="B3026" t="s">
        <v>26</v>
      </c>
      <c r="C3026" s="2" t="s">
        <v>3021</v>
      </c>
      <c r="D3026" s="1">
        <v>43630</v>
      </c>
      <c r="E3026">
        <f>MONTH(D3026)</f>
        <v>6</v>
      </c>
      <c r="F3026" s="2" t="s">
        <v>2098</v>
      </c>
      <c r="G3026" t="s">
        <v>219</v>
      </c>
      <c r="H3026" t="s">
        <v>220</v>
      </c>
      <c r="I3026" t="s">
        <v>22</v>
      </c>
      <c r="J3026" s="2" t="s">
        <v>42</v>
      </c>
      <c r="K3026" s="2" t="s">
        <v>3019</v>
      </c>
      <c r="L3026" t="s">
        <v>25</v>
      </c>
      <c r="M3026" s="10" t="s">
        <v>26</v>
      </c>
      <c r="N3026" t="s">
        <v>26</v>
      </c>
      <c r="O3026" s="10" t="s">
        <v>26</v>
      </c>
      <c r="P3026" s="8" t="s">
        <v>26</v>
      </c>
      <c r="Q3026" s="8">
        <f>(1845879*100)/1946364</f>
        <v>94.837296620775973</v>
      </c>
    </row>
    <row r="3027" spans="1:17" x14ac:dyDescent="0.2">
      <c r="A3027">
        <f>YEAR(D3027)</f>
        <v>2019</v>
      </c>
      <c r="B3027" t="s">
        <v>26</v>
      </c>
      <c r="C3027" s="2" t="s">
        <v>3021</v>
      </c>
      <c r="D3027" s="1">
        <v>43630</v>
      </c>
      <c r="E3027">
        <f>MONTH(D3027)</f>
        <v>6</v>
      </c>
      <c r="F3027" s="2" t="s">
        <v>2098</v>
      </c>
      <c r="G3027" t="s">
        <v>219</v>
      </c>
      <c r="H3027" t="s">
        <v>220</v>
      </c>
      <c r="I3027" t="s">
        <v>22</v>
      </c>
      <c r="J3027" s="2" t="s">
        <v>42</v>
      </c>
      <c r="K3027" s="2" t="s">
        <v>3019</v>
      </c>
      <c r="L3027" t="s">
        <v>25</v>
      </c>
      <c r="M3027" s="10" t="s">
        <v>26</v>
      </c>
      <c r="N3027" t="s">
        <v>26</v>
      </c>
      <c r="O3027" s="10" t="s">
        <v>26</v>
      </c>
      <c r="P3027" s="8" t="s">
        <v>26</v>
      </c>
      <c r="Q3027" s="8">
        <f>(1845879*100)/1946364</f>
        <v>94.837296620775973</v>
      </c>
    </row>
    <row r="3028" spans="1:17" x14ac:dyDescent="0.2">
      <c r="A3028">
        <f>YEAR(D3028)</f>
        <v>2019</v>
      </c>
      <c r="B3028" t="s">
        <v>26</v>
      </c>
      <c r="C3028" s="2" t="s">
        <v>3021</v>
      </c>
      <c r="D3028" s="1">
        <v>43630</v>
      </c>
      <c r="E3028">
        <f>MONTH(D3028)</f>
        <v>6</v>
      </c>
      <c r="F3028" s="2" t="s">
        <v>2098</v>
      </c>
      <c r="G3028" t="s">
        <v>219</v>
      </c>
      <c r="H3028" t="s">
        <v>220</v>
      </c>
      <c r="I3028" t="s">
        <v>22</v>
      </c>
      <c r="J3028" s="2" t="s">
        <v>42</v>
      </c>
      <c r="K3028" s="2" t="s">
        <v>3019</v>
      </c>
      <c r="L3028" t="s">
        <v>25</v>
      </c>
      <c r="M3028" s="10" t="s">
        <v>26</v>
      </c>
      <c r="N3028" t="s">
        <v>26</v>
      </c>
      <c r="O3028" s="10" t="s">
        <v>26</v>
      </c>
      <c r="P3028" s="8" t="s">
        <v>26</v>
      </c>
      <c r="Q3028" s="8">
        <f>(1845879*100)/1946364</f>
        <v>94.837296620775973</v>
      </c>
    </row>
    <row r="3029" spans="1:17" x14ac:dyDescent="0.2">
      <c r="A3029">
        <f>YEAR(D3029)</f>
        <v>2019</v>
      </c>
      <c r="B3029" t="s">
        <v>26</v>
      </c>
      <c r="C3029" s="2" t="s">
        <v>3021</v>
      </c>
      <c r="D3029" s="1">
        <v>43630</v>
      </c>
      <c r="E3029">
        <f>MONTH(D3029)</f>
        <v>6</v>
      </c>
      <c r="F3029" s="2" t="s">
        <v>2098</v>
      </c>
      <c r="G3029" t="s">
        <v>219</v>
      </c>
      <c r="H3029" t="s">
        <v>220</v>
      </c>
      <c r="I3029" t="s">
        <v>22</v>
      </c>
      <c r="J3029" s="2" t="s">
        <v>42</v>
      </c>
      <c r="K3029" s="2" t="s">
        <v>3019</v>
      </c>
      <c r="L3029" t="s">
        <v>25</v>
      </c>
      <c r="M3029" s="10" t="s">
        <v>26</v>
      </c>
      <c r="N3029" t="s">
        <v>26</v>
      </c>
      <c r="O3029" s="10" t="s">
        <v>26</v>
      </c>
      <c r="P3029" s="8" t="s">
        <v>26</v>
      </c>
      <c r="Q3029" s="8">
        <f>(1845879*100)/1946364</f>
        <v>94.837296620775973</v>
      </c>
    </row>
    <row r="3030" spans="1:17" x14ac:dyDescent="0.2">
      <c r="A3030">
        <f>YEAR(D3030)</f>
        <v>2019</v>
      </c>
      <c r="B3030" t="s">
        <v>26</v>
      </c>
      <c r="C3030" s="2" t="s">
        <v>3021</v>
      </c>
      <c r="D3030" s="1">
        <v>43630</v>
      </c>
      <c r="E3030">
        <f>MONTH(D3030)</f>
        <v>6</v>
      </c>
      <c r="F3030" s="2" t="s">
        <v>2098</v>
      </c>
      <c r="G3030" s="2" t="s">
        <v>20</v>
      </c>
      <c r="H3030" t="s">
        <v>45</v>
      </c>
      <c r="I3030" t="s">
        <v>22</v>
      </c>
      <c r="J3030" s="2" t="s">
        <v>42</v>
      </c>
      <c r="K3030" s="2" t="s">
        <v>3019</v>
      </c>
      <c r="L3030" t="s">
        <v>25</v>
      </c>
      <c r="M3030" s="8">
        <v>1.903333333</v>
      </c>
      <c r="N3030" t="s">
        <v>26</v>
      </c>
      <c r="O3030" s="8">
        <v>1.903333333</v>
      </c>
      <c r="P3030" s="8">
        <f>EXP(-1.363+3.366*LOG(O3030,10))</f>
        <v>0.65563371760507783</v>
      </c>
      <c r="Q3030" s="8">
        <f>(1845879*100)/1946364</f>
        <v>94.837296620775973</v>
      </c>
    </row>
    <row r="3031" spans="1:17" x14ac:dyDescent="0.2">
      <c r="A3031">
        <f>YEAR(D3031)</f>
        <v>2019</v>
      </c>
      <c r="B3031" t="s">
        <v>26</v>
      </c>
      <c r="C3031" s="2" t="s">
        <v>3021</v>
      </c>
      <c r="D3031" s="1">
        <v>43630</v>
      </c>
      <c r="E3031">
        <f>MONTH(D3031)</f>
        <v>6</v>
      </c>
      <c r="F3031" s="2" t="s">
        <v>2098</v>
      </c>
      <c r="G3031" t="s">
        <v>1520</v>
      </c>
      <c r="H3031" t="s">
        <v>1521</v>
      </c>
      <c r="I3031" t="s">
        <v>36</v>
      </c>
      <c r="J3031" s="2" t="s">
        <v>42</v>
      </c>
      <c r="K3031" s="2" t="s">
        <v>3019</v>
      </c>
      <c r="L3031" t="s">
        <v>25</v>
      </c>
      <c r="M3031" s="8">
        <v>2.3340000000000001</v>
      </c>
      <c r="N3031" t="s">
        <v>26</v>
      </c>
      <c r="O3031" s="8">
        <v>2.3340000000000001</v>
      </c>
      <c r="P3031" s="8">
        <f>EXP(-1.363+3.366*LOG(O3031,10))</f>
        <v>0.88340410488080767</v>
      </c>
      <c r="Q3031" s="8">
        <f>(1845879*100)/1946364</f>
        <v>94.837296620775973</v>
      </c>
    </row>
    <row r="3032" spans="1:17" x14ac:dyDescent="0.2">
      <c r="A3032">
        <f>YEAR(D3032)</f>
        <v>2019</v>
      </c>
      <c r="B3032" t="s">
        <v>26</v>
      </c>
      <c r="C3032" s="2" t="s">
        <v>3021</v>
      </c>
      <c r="D3032" s="1">
        <v>43630</v>
      </c>
      <c r="E3032">
        <f>MONTH(D3032)</f>
        <v>6</v>
      </c>
      <c r="F3032" s="2" t="s">
        <v>2098</v>
      </c>
      <c r="G3032" t="s">
        <v>352</v>
      </c>
      <c r="H3032" t="s">
        <v>1459</v>
      </c>
      <c r="I3032" t="s">
        <v>22</v>
      </c>
      <c r="J3032" s="2" t="s">
        <v>42</v>
      </c>
      <c r="K3032" s="2" t="s">
        <v>3019</v>
      </c>
      <c r="L3032" t="s">
        <v>25</v>
      </c>
      <c r="M3032" s="8">
        <v>1.1910000000000001</v>
      </c>
      <c r="N3032" t="s">
        <v>26</v>
      </c>
      <c r="O3032" s="8">
        <v>1.1910000000000001</v>
      </c>
      <c r="P3032" s="8">
        <f>EXP(-1.363+3.366*LOG(O3032,10))</f>
        <v>0.33039016297752993</v>
      </c>
      <c r="Q3032" s="8">
        <f>(1845879*100)/1946364</f>
        <v>94.837296620775973</v>
      </c>
    </row>
    <row r="3033" spans="1:17" x14ac:dyDescent="0.2">
      <c r="A3033">
        <f>YEAR(D3033)</f>
        <v>2019</v>
      </c>
      <c r="B3033" t="s">
        <v>26</v>
      </c>
      <c r="C3033" s="2" t="s">
        <v>3021</v>
      </c>
      <c r="D3033" s="1">
        <v>43630</v>
      </c>
      <c r="E3033">
        <f>MONTH(D3033)</f>
        <v>6</v>
      </c>
      <c r="F3033" s="2" t="s">
        <v>2098</v>
      </c>
      <c r="G3033" t="s">
        <v>1520</v>
      </c>
      <c r="H3033" t="s">
        <v>1521</v>
      </c>
      <c r="I3033" t="s">
        <v>36</v>
      </c>
      <c r="J3033" s="2" t="s">
        <v>42</v>
      </c>
      <c r="K3033" s="2" t="s">
        <v>3019</v>
      </c>
      <c r="L3033" t="s">
        <v>25</v>
      </c>
      <c r="M3033" s="8">
        <v>2.3340000000000001</v>
      </c>
      <c r="N3033" t="s">
        <v>26</v>
      </c>
      <c r="O3033" s="8">
        <v>2.3340000000000001</v>
      </c>
      <c r="P3033" s="8">
        <f>EXP(-1.363+3.366*LOG(O3033,10))</f>
        <v>0.88340410488080767</v>
      </c>
      <c r="Q3033" s="8">
        <f>(1845879*100)/1946364</f>
        <v>94.837296620775973</v>
      </c>
    </row>
    <row r="3034" spans="1:17" x14ac:dyDescent="0.2">
      <c r="A3034">
        <f>YEAR(D3034)</f>
        <v>2019</v>
      </c>
      <c r="B3034" t="s">
        <v>26</v>
      </c>
      <c r="C3034" s="2" t="s">
        <v>3021</v>
      </c>
      <c r="D3034" s="1">
        <v>43630</v>
      </c>
      <c r="E3034">
        <f>MONTH(D3034)</f>
        <v>6</v>
      </c>
      <c r="F3034" s="2" t="s">
        <v>2098</v>
      </c>
      <c r="G3034" t="s">
        <v>219</v>
      </c>
      <c r="H3034" t="s">
        <v>220</v>
      </c>
      <c r="I3034" t="s">
        <v>22</v>
      </c>
      <c r="J3034" s="2" t="s">
        <v>42</v>
      </c>
      <c r="K3034" s="2" t="s">
        <v>3019</v>
      </c>
      <c r="L3034" t="s">
        <v>25</v>
      </c>
      <c r="M3034" s="10" t="s">
        <v>26</v>
      </c>
      <c r="N3034" t="s">
        <v>26</v>
      </c>
      <c r="O3034" s="10" t="s">
        <v>26</v>
      </c>
      <c r="P3034" s="8" t="s">
        <v>26</v>
      </c>
      <c r="Q3034" s="8">
        <f>(1845879*100)/1946364</f>
        <v>94.837296620775973</v>
      </c>
    </row>
    <row r="3035" spans="1:17" x14ac:dyDescent="0.2">
      <c r="A3035">
        <f>YEAR(D3035)</f>
        <v>2019</v>
      </c>
      <c r="B3035" t="s">
        <v>26</v>
      </c>
      <c r="C3035" s="2" t="s">
        <v>3021</v>
      </c>
      <c r="D3035" s="1">
        <v>43630</v>
      </c>
      <c r="E3035">
        <f>MONTH(D3035)</f>
        <v>6</v>
      </c>
      <c r="F3035" s="2" t="s">
        <v>2098</v>
      </c>
      <c r="G3035" t="s">
        <v>230</v>
      </c>
      <c r="H3035" t="s">
        <v>268</v>
      </c>
      <c r="I3035" t="s">
        <v>22</v>
      </c>
      <c r="J3035" s="2" t="s">
        <v>42</v>
      </c>
      <c r="K3035" s="2" t="s">
        <v>3019</v>
      </c>
      <c r="L3035" t="s">
        <v>25</v>
      </c>
      <c r="M3035" s="8">
        <v>3.5356666670000001</v>
      </c>
      <c r="N3035" t="s">
        <v>26</v>
      </c>
      <c r="O3035" s="8">
        <v>3.5356666670000001</v>
      </c>
      <c r="P3035" s="8">
        <f>EXP(-1.363+3.366*LOG(O3035,10))</f>
        <v>1.6211802664427075</v>
      </c>
      <c r="Q3035" s="8">
        <f>(1845879*100)/1946364</f>
        <v>94.837296620775973</v>
      </c>
    </row>
    <row r="3036" spans="1:17" x14ac:dyDescent="0.2">
      <c r="A3036">
        <f>YEAR(D3036)</f>
        <v>2019</v>
      </c>
      <c r="B3036" t="s">
        <v>26</v>
      </c>
      <c r="C3036" s="2" t="s">
        <v>3021</v>
      </c>
      <c r="D3036" s="1">
        <v>43630</v>
      </c>
      <c r="E3036">
        <f>MONTH(D3036)</f>
        <v>6</v>
      </c>
      <c r="F3036" s="2" t="s">
        <v>2098</v>
      </c>
      <c r="G3036" s="2" t="s">
        <v>20</v>
      </c>
      <c r="H3036" t="s">
        <v>45</v>
      </c>
      <c r="I3036" t="s">
        <v>22</v>
      </c>
      <c r="J3036" s="2" t="s">
        <v>42</v>
      </c>
      <c r="K3036" s="2" t="s">
        <v>3019</v>
      </c>
      <c r="L3036" t="s">
        <v>25</v>
      </c>
      <c r="M3036" s="8">
        <v>1.903333333</v>
      </c>
      <c r="N3036" t="s">
        <v>26</v>
      </c>
      <c r="O3036" s="8">
        <v>1.903333333</v>
      </c>
      <c r="P3036" s="8">
        <f>EXP(-1.363+3.366*LOG(O3036,10))</f>
        <v>0.65563371760507783</v>
      </c>
      <c r="Q3036" s="8">
        <f>(1845879*100)/1946364</f>
        <v>94.837296620775973</v>
      </c>
    </row>
    <row r="3037" spans="1:17" x14ac:dyDescent="0.2">
      <c r="A3037">
        <f>YEAR(D3037)</f>
        <v>2019</v>
      </c>
      <c r="B3037" t="s">
        <v>26</v>
      </c>
      <c r="C3037" s="2" t="s">
        <v>3020</v>
      </c>
      <c r="D3037" s="1">
        <v>43630</v>
      </c>
      <c r="E3037">
        <f>MONTH(D3037)</f>
        <v>6</v>
      </c>
      <c r="F3037" s="2" t="s">
        <v>2098</v>
      </c>
      <c r="G3037" t="s">
        <v>219</v>
      </c>
      <c r="H3037" t="s">
        <v>220</v>
      </c>
      <c r="I3037" t="s">
        <v>22</v>
      </c>
      <c r="J3037" s="2" t="s">
        <v>42</v>
      </c>
      <c r="K3037" s="2" t="s">
        <v>3019</v>
      </c>
      <c r="L3037" t="s">
        <v>25</v>
      </c>
      <c r="M3037" s="10" t="s">
        <v>26</v>
      </c>
      <c r="N3037" t="s">
        <v>26</v>
      </c>
      <c r="O3037" s="10" t="s">
        <v>26</v>
      </c>
      <c r="P3037" s="8" t="s">
        <v>26</v>
      </c>
      <c r="Q3037" s="8">
        <f>(3359412*100)/3462762</f>
        <v>97.015388294084318</v>
      </c>
    </row>
    <row r="3038" spans="1:17" x14ac:dyDescent="0.2">
      <c r="A3038">
        <f>YEAR(D3038)</f>
        <v>2019</v>
      </c>
      <c r="B3038" t="s">
        <v>26</v>
      </c>
      <c r="C3038" s="2" t="s">
        <v>3020</v>
      </c>
      <c r="D3038" s="1">
        <v>43630</v>
      </c>
      <c r="E3038">
        <f>MONTH(D3038)</f>
        <v>6</v>
      </c>
      <c r="F3038" s="2" t="s">
        <v>2098</v>
      </c>
      <c r="G3038" t="s">
        <v>352</v>
      </c>
      <c r="H3038" t="s">
        <v>353</v>
      </c>
      <c r="I3038" t="s">
        <v>22</v>
      </c>
      <c r="J3038" s="2" t="s">
        <v>42</v>
      </c>
      <c r="K3038" s="2" t="s">
        <v>3019</v>
      </c>
      <c r="L3038" t="s">
        <v>25</v>
      </c>
      <c r="M3038" s="8">
        <v>1.1623333330000001</v>
      </c>
      <c r="N3038" t="s">
        <v>26</v>
      </c>
      <c r="O3038" s="8">
        <v>1.1623333330000001</v>
      </c>
      <c r="P3038" s="8">
        <f>EXP(-1.363+3.366*LOG(O3038,10))</f>
        <v>0.31883010989102206</v>
      </c>
      <c r="Q3038" s="8">
        <f>(3359412*100)/3462762</f>
        <v>97.015388294084318</v>
      </c>
    </row>
    <row r="3039" spans="1:17" x14ac:dyDescent="0.2">
      <c r="A3039">
        <f>YEAR(D3039)</f>
        <v>2019</v>
      </c>
      <c r="B3039" t="s">
        <v>26</v>
      </c>
      <c r="C3039" s="2" t="s">
        <v>3020</v>
      </c>
      <c r="D3039" s="1">
        <v>43630</v>
      </c>
      <c r="E3039">
        <f>MONTH(D3039)</f>
        <v>6</v>
      </c>
      <c r="F3039" s="2" t="s">
        <v>2098</v>
      </c>
      <c r="G3039" t="s">
        <v>352</v>
      </c>
      <c r="H3039" t="s">
        <v>975</v>
      </c>
      <c r="I3039" t="s">
        <v>22</v>
      </c>
      <c r="J3039" s="2" t="s">
        <v>42</v>
      </c>
      <c r="K3039" s="2" t="s">
        <v>3019</v>
      </c>
      <c r="L3039" t="s">
        <v>25</v>
      </c>
      <c r="M3039" s="8">
        <v>1.0693333330000001</v>
      </c>
      <c r="N3039" t="s">
        <v>26</v>
      </c>
      <c r="O3039" s="8">
        <v>1.0693333330000001</v>
      </c>
      <c r="P3039" s="8">
        <f>EXP(-1.363+3.366*LOG(O3039,10))</f>
        <v>0.28223780327142356</v>
      </c>
      <c r="Q3039" s="8">
        <f>(3359412*100)/3462762</f>
        <v>97.015388294084318</v>
      </c>
    </row>
    <row r="3040" spans="1:17" x14ac:dyDescent="0.2">
      <c r="A3040">
        <f>YEAR(D3040)</f>
        <v>2019</v>
      </c>
      <c r="B3040" t="s">
        <v>26</v>
      </c>
      <c r="C3040" s="2" t="s">
        <v>3020</v>
      </c>
      <c r="D3040" s="1">
        <v>43630</v>
      </c>
      <c r="E3040">
        <f>MONTH(D3040)</f>
        <v>6</v>
      </c>
      <c r="F3040" s="2" t="s">
        <v>2098</v>
      </c>
      <c r="G3040" t="s">
        <v>362</v>
      </c>
      <c r="H3040" t="s">
        <v>447</v>
      </c>
      <c r="I3040" t="s">
        <v>22</v>
      </c>
      <c r="J3040" s="2" t="s">
        <v>42</v>
      </c>
      <c r="K3040" s="2" t="s">
        <v>3019</v>
      </c>
      <c r="L3040" t="s">
        <v>25</v>
      </c>
      <c r="M3040" s="8">
        <v>1.421</v>
      </c>
      <c r="N3040" t="s">
        <v>26</v>
      </c>
      <c r="O3040" s="8">
        <v>1.421</v>
      </c>
      <c r="P3040" s="8">
        <f>EXP(-1.363+3.366*LOG(O3040,10))</f>
        <v>0.42768500084673816</v>
      </c>
      <c r="Q3040" s="8">
        <f>(3359412*100)/3462762</f>
        <v>97.015388294084318</v>
      </c>
    </row>
    <row r="3041" spans="1:17" x14ac:dyDescent="0.2">
      <c r="A3041">
        <f>YEAR(D3041)</f>
        <v>2019</v>
      </c>
      <c r="B3041" t="s">
        <v>26</v>
      </c>
      <c r="C3041" s="2" t="s">
        <v>3020</v>
      </c>
      <c r="D3041" s="1">
        <v>43630</v>
      </c>
      <c r="E3041">
        <f>MONTH(D3041)</f>
        <v>6</v>
      </c>
      <c r="F3041" s="2" t="s">
        <v>2098</v>
      </c>
      <c r="G3041" t="s">
        <v>362</v>
      </c>
      <c r="H3041" t="s">
        <v>447</v>
      </c>
      <c r="I3041" t="s">
        <v>22</v>
      </c>
      <c r="J3041" s="2" t="s">
        <v>42</v>
      </c>
      <c r="K3041" s="2" t="s">
        <v>3019</v>
      </c>
      <c r="L3041" t="s">
        <v>25</v>
      </c>
      <c r="M3041" s="8">
        <v>1.421</v>
      </c>
      <c r="N3041" t="s">
        <v>26</v>
      </c>
      <c r="O3041" s="8">
        <v>1.421</v>
      </c>
      <c r="P3041" s="8">
        <f>EXP(-1.363+3.366*LOG(O3041,10))</f>
        <v>0.42768500084673816</v>
      </c>
      <c r="Q3041" s="8">
        <f>(3359412*100)/3462762</f>
        <v>97.015388294084318</v>
      </c>
    </row>
    <row r="3042" spans="1:17" x14ac:dyDescent="0.2">
      <c r="A3042">
        <f>YEAR(D3042)</f>
        <v>2019</v>
      </c>
      <c r="B3042" t="s">
        <v>26</v>
      </c>
      <c r="C3042" s="2" t="s">
        <v>3021</v>
      </c>
      <c r="D3042" s="1">
        <v>43630</v>
      </c>
      <c r="E3042">
        <f>MONTH(D3042)</f>
        <v>6</v>
      </c>
      <c r="F3042" s="2" t="s">
        <v>2098</v>
      </c>
      <c r="G3042" t="s">
        <v>352</v>
      </c>
      <c r="H3042" t="s">
        <v>623</v>
      </c>
      <c r="I3042" t="s">
        <v>22</v>
      </c>
      <c r="J3042" s="2" t="s">
        <v>42</v>
      </c>
      <c r="K3042" s="2" t="s">
        <v>3019</v>
      </c>
      <c r="L3042" t="s">
        <v>25</v>
      </c>
      <c r="M3042" s="8">
        <v>1.387</v>
      </c>
      <c r="N3042" t="s">
        <v>26</v>
      </c>
      <c r="O3042" s="8">
        <v>1.387</v>
      </c>
      <c r="P3042" s="8">
        <f>EXP(-1.363+3.366*LOG(O3042,10))</f>
        <v>0.41280884754947733</v>
      </c>
      <c r="Q3042" s="8">
        <f>(1845879*100)/1946364</f>
        <v>94.837296620775973</v>
      </c>
    </row>
    <row r="3043" spans="1:17" x14ac:dyDescent="0.2">
      <c r="A3043">
        <f>YEAR(D3043)</f>
        <v>2019</v>
      </c>
      <c r="B3043" t="s">
        <v>26</v>
      </c>
      <c r="C3043" s="2" t="s">
        <v>3021</v>
      </c>
      <c r="D3043" s="1">
        <v>43630</v>
      </c>
      <c r="E3043">
        <f>MONTH(D3043)</f>
        <v>6</v>
      </c>
      <c r="F3043" s="2" t="s">
        <v>2098</v>
      </c>
      <c r="G3043" s="2" t="s">
        <v>20</v>
      </c>
      <c r="H3043" t="s">
        <v>45</v>
      </c>
      <c r="I3043" t="s">
        <v>22</v>
      </c>
      <c r="J3043" s="2" t="s">
        <v>42</v>
      </c>
      <c r="K3043" s="2" t="s">
        <v>3019</v>
      </c>
      <c r="L3043" t="s">
        <v>25</v>
      </c>
      <c r="M3043" s="8">
        <v>1.903333333</v>
      </c>
      <c r="N3043" t="s">
        <v>26</v>
      </c>
      <c r="O3043" s="8">
        <v>1.903333333</v>
      </c>
      <c r="P3043" s="8">
        <f>EXP(-1.363+3.366*LOG(O3043,10))</f>
        <v>0.65563371760507783</v>
      </c>
      <c r="Q3043" s="8">
        <f>(1845879*100)/1946364</f>
        <v>94.837296620775973</v>
      </c>
    </row>
    <row r="3044" spans="1:17" x14ac:dyDescent="0.2">
      <c r="A3044">
        <f>YEAR(D3044)</f>
        <v>2019</v>
      </c>
      <c r="B3044" t="s">
        <v>26</v>
      </c>
      <c r="C3044" s="2" t="s">
        <v>3020</v>
      </c>
      <c r="D3044" s="1">
        <v>43630</v>
      </c>
      <c r="E3044">
        <f>MONTH(D3044)</f>
        <v>6</v>
      </c>
      <c r="F3044" s="2" t="s">
        <v>2098</v>
      </c>
      <c r="G3044" t="s">
        <v>1520</v>
      </c>
      <c r="H3044" t="s">
        <v>1528</v>
      </c>
      <c r="I3044" t="s">
        <v>22</v>
      </c>
      <c r="J3044" s="2" t="s">
        <v>42</v>
      </c>
      <c r="K3044" s="2" t="s">
        <v>3019</v>
      </c>
      <c r="L3044" t="s">
        <v>25</v>
      </c>
      <c r="M3044" s="8">
        <v>3.624333333</v>
      </c>
      <c r="N3044" t="s">
        <v>26</v>
      </c>
      <c r="O3044" s="8">
        <v>3.624333333</v>
      </c>
      <c r="P3044" s="8">
        <f>EXP(-1.363+3.366*LOG(O3044,10))</f>
        <v>1.6809546844949765</v>
      </c>
      <c r="Q3044" s="8">
        <f>(3359412*100)/3462762</f>
        <v>97.015388294084318</v>
      </c>
    </row>
    <row r="3045" spans="1:17" x14ac:dyDescent="0.2">
      <c r="A3045">
        <f>YEAR(D3045)</f>
        <v>2019</v>
      </c>
      <c r="B3045" t="s">
        <v>26</v>
      </c>
      <c r="C3045" s="2" t="s">
        <v>3020</v>
      </c>
      <c r="D3045" s="1">
        <v>43630</v>
      </c>
      <c r="E3045">
        <f>MONTH(D3045)</f>
        <v>6</v>
      </c>
      <c r="F3045" s="2" t="s">
        <v>2098</v>
      </c>
      <c r="G3045" t="s">
        <v>1520</v>
      </c>
      <c r="H3045" t="s">
        <v>1521</v>
      </c>
      <c r="I3045" t="s">
        <v>22</v>
      </c>
      <c r="J3045" s="2" t="s">
        <v>42</v>
      </c>
      <c r="K3045" s="2" t="s">
        <v>3019</v>
      </c>
      <c r="L3045" t="s">
        <v>25</v>
      </c>
      <c r="M3045" s="8">
        <v>2.952</v>
      </c>
      <c r="N3045" t="s">
        <v>26</v>
      </c>
      <c r="O3045" s="8">
        <v>2.952</v>
      </c>
      <c r="P3045" s="8">
        <f>EXP(-1.363+3.366*LOG(O3045,10))</f>
        <v>1.2453438103764427</v>
      </c>
      <c r="Q3045" s="8">
        <f>(3359412*100)/3462762</f>
        <v>97.015388294084318</v>
      </c>
    </row>
    <row r="3046" spans="1:17" x14ac:dyDescent="0.2">
      <c r="A3046">
        <f>YEAR(D3046)</f>
        <v>2019</v>
      </c>
      <c r="B3046" t="s">
        <v>26</v>
      </c>
      <c r="C3046" s="2" t="s">
        <v>3021</v>
      </c>
      <c r="D3046" s="1">
        <v>43630</v>
      </c>
      <c r="E3046">
        <f>MONTH(D3046)</f>
        <v>6</v>
      </c>
      <c r="F3046" s="2" t="s">
        <v>2098</v>
      </c>
      <c r="G3046" t="s">
        <v>230</v>
      </c>
      <c r="H3046" t="s">
        <v>2260</v>
      </c>
      <c r="I3046" t="s">
        <v>36</v>
      </c>
      <c r="J3046" s="2" t="s">
        <v>42</v>
      </c>
      <c r="K3046" s="2" t="s">
        <v>3019</v>
      </c>
      <c r="L3046" t="s">
        <v>305</v>
      </c>
      <c r="M3046" s="8">
        <v>3.9023333330000001</v>
      </c>
      <c r="N3046" t="s">
        <v>26</v>
      </c>
      <c r="O3046" s="8">
        <v>3.9023333330000001</v>
      </c>
      <c r="P3046" s="8">
        <f>EXP(-1.363+3.366*LOG(O3046,10))</f>
        <v>1.8727310273101283</v>
      </c>
      <c r="Q3046" s="8">
        <f>(1845879*100)/1946364</f>
        <v>94.837296620775973</v>
      </c>
    </row>
    <row r="3047" spans="1:17" x14ac:dyDescent="0.2">
      <c r="A3047">
        <f>YEAR(D3047)</f>
        <v>2019</v>
      </c>
      <c r="B3047" t="s">
        <v>26</v>
      </c>
      <c r="C3047" s="2" t="s">
        <v>3021</v>
      </c>
      <c r="D3047" s="1">
        <v>43630</v>
      </c>
      <c r="E3047">
        <f>MONTH(D3047)</f>
        <v>6</v>
      </c>
      <c r="F3047" s="2" t="s">
        <v>2098</v>
      </c>
      <c r="G3047" t="s">
        <v>230</v>
      </c>
      <c r="H3047" t="s">
        <v>268</v>
      </c>
      <c r="I3047" t="s">
        <v>22</v>
      </c>
      <c r="J3047" s="2" t="s">
        <v>42</v>
      </c>
      <c r="K3047" s="2" t="s">
        <v>3019</v>
      </c>
      <c r="L3047" t="s">
        <v>25</v>
      </c>
      <c r="M3047" s="8">
        <v>3.5356666670000001</v>
      </c>
      <c r="N3047" t="s">
        <v>26</v>
      </c>
      <c r="O3047" s="8">
        <v>3.5356666670000001</v>
      </c>
      <c r="P3047" s="8">
        <f>EXP(-1.363+3.366*LOG(O3047,10))</f>
        <v>1.6211802664427075</v>
      </c>
      <c r="Q3047" s="8">
        <f>(1845879*100)/1946364</f>
        <v>94.837296620775973</v>
      </c>
    </row>
    <row r="3048" spans="1:17" x14ac:dyDescent="0.2">
      <c r="A3048">
        <f>YEAR(D3048)</f>
        <v>2019</v>
      </c>
      <c r="B3048" t="s">
        <v>26</v>
      </c>
      <c r="C3048" s="2" t="s">
        <v>3020</v>
      </c>
      <c r="D3048" s="1">
        <v>43630</v>
      </c>
      <c r="E3048">
        <f>MONTH(D3048)</f>
        <v>6</v>
      </c>
      <c r="F3048" s="2" t="s">
        <v>2098</v>
      </c>
      <c r="G3048" t="s">
        <v>332</v>
      </c>
      <c r="H3048" t="s">
        <v>330</v>
      </c>
      <c r="I3048" t="s">
        <v>22</v>
      </c>
      <c r="J3048" s="2" t="s">
        <v>42</v>
      </c>
      <c r="K3048" s="2" t="s">
        <v>3019</v>
      </c>
      <c r="L3048" t="s">
        <v>25</v>
      </c>
      <c r="M3048" s="8">
        <v>1.2170000000000001</v>
      </c>
      <c r="N3048" t="s">
        <v>26</v>
      </c>
      <c r="O3048" s="8">
        <v>1.2170000000000001</v>
      </c>
      <c r="P3048" s="8">
        <f>EXP(-1.363+3.366*LOG(O3048,10))</f>
        <v>0.34098666307598596</v>
      </c>
      <c r="Q3048" s="8">
        <f>(3359412*100)/3462762</f>
        <v>97.015388294084318</v>
      </c>
    </row>
    <row r="3049" spans="1:17" x14ac:dyDescent="0.2">
      <c r="A3049">
        <f>YEAR(D3049)</f>
        <v>2019</v>
      </c>
      <c r="B3049" t="s">
        <v>26</v>
      </c>
      <c r="C3049" s="2" t="s">
        <v>3020</v>
      </c>
      <c r="D3049" s="1">
        <v>43630</v>
      </c>
      <c r="E3049">
        <f>MONTH(D3049)</f>
        <v>6</v>
      </c>
      <c r="F3049" s="2" t="s">
        <v>2098</v>
      </c>
      <c r="G3049" t="s">
        <v>219</v>
      </c>
      <c r="H3049" t="s">
        <v>220</v>
      </c>
      <c r="I3049" t="s">
        <v>22</v>
      </c>
      <c r="J3049" s="2" t="s">
        <v>42</v>
      </c>
      <c r="K3049" s="2" t="s">
        <v>3019</v>
      </c>
      <c r="L3049" t="s">
        <v>25</v>
      </c>
      <c r="M3049" s="10" t="s">
        <v>26</v>
      </c>
      <c r="N3049" t="s">
        <v>26</v>
      </c>
      <c r="O3049" s="10" t="s">
        <v>26</v>
      </c>
      <c r="P3049" s="8" t="s">
        <v>26</v>
      </c>
      <c r="Q3049" s="8">
        <f>(3359412*100)/3462762</f>
        <v>97.015388294084318</v>
      </c>
    </row>
    <row r="3050" spans="1:17" x14ac:dyDescent="0.2">
      <c r="A3050">
        <f>YEAR(D3050)</f>
        <v>2019</v>
      </c>
      <c r="B3050" t="s">
        <v>26</v>
      </c>
      <c r="C3050" s="2" t="s">
        <v>3020</v>
      </c>
      <c r="D3050" s="1">
        <v>43630</v>
      </c>
      <c r="E3050">
        <f>MONTH(D3050)</f>
        <v>6</v>
      </c>
      <c r="F3050" s="2" t="s">
        <v>2098</v>
      </c>
      <c r="G3050" t="s">
        <v>219</v>
      </c>
      <c r="H3050" t="s">
        <v>220</v>
      </c>
      <c r="I3050" t="s">
        <v>22</v>
      </c>
      <c r="J3050" s="2" t="s">
        <v>42</v>
      </c>
      <c r="K3050" s="2" t="s">
        <v>3019</v>
      </c>
      <c r="L3050" t="s">
        <v>25</v>
      </c>
      <c r="M3050" s="10" t="s">
        <v>26</v>
      </c>
      <c r="N3050" t="s">
        <v>26</v>
      </c>
      <c r="O3050" s="10" t="s">
        <v>26</v>
      </c>
      <c r="P3050" s="8" t="s">
        <v>26</v>
      </c>
      <c r="Q3050" s="8">
        <f>(3359412*100)/3462762</f>
        <v>97.015388294084318</v>
      </c>
    </row>
    <row r="3051" spans="1:17" x14ac:dyDescent="0.2">
      <c r="A3051">
        <f>YEAR(D3051)</f>
        <v>2019</v>
      </c>
      <c r="B3051" t="s">
        <v>26</v>
      </c>
      <c r="C3051" s="2" t="s">
        <v>3020</v>
      </c>
      <c r="D3051" s="1">
        <v>43630</v>
      </c>
      <c r="E3051">
        <f>MONTH(D3051)</f>
        <v>6</v>
      </c>
      <c r="F3051" s="2" t="s">
        <v>2098</v>
      </c>
      <c r="G3051" t="s">
        <v>219</v>
      </c>
      <c r="H3051" t="s">
        <v>220</v>
      </c>
      <c r="I3051" t="s">
        <v>22</v>
      </c>
      <c r="J3051" s="2" t="s">
        <v>42</v>
      </c>
      <c r="K3051" s="2" t="s">
        <v>3019</v>
      </c>
      <c r="L3051" t="s">
        <v>25</v>
      </c>
      <c r="M3051" s="10" t="s">
        <v>26</v>
      </c>
      <c r="N3051" t="s">
        <v>26</v>
      </c>
      <c r="O3051" s="10" t="s">
        <v>26</v>
      </c>
      <c r="P3051" s="8" t="s">
        <v>26</v>
      </c>
      <c r="Q3051" s="8">
        <f>(3359412*100)/3462762</f>
        <v>97.015388294084318</v>
      </c>
    </row>
    <row r="3052" spans="1:17" x14ac:dyDescent="0.2">
      <c r="A3052">
        <f>YEAR(D3052)</f>
        <v>2019</v>
      </c>
      <c r="B3052" t="s">
        <v>26</v>
      </c>
      <c r="C3052" s="2" t="s">
        <v>3020</v>
      </c>
      <c r="D3052" s="1">
        <v>43630</v>
      </c>
      <c r="E3052">
        <f>MONTH(D3052)</f>
        <v>6</v>
      </c>
      <c r="F3052" s="2" t="s">
        <v>2098</v>
      </c>
      <c r="G3052" t="s">
        <v>219</v>
      </c>
      <c r="H3052" t="s">
        <v>220</v>
      </c>
      <c r="I3052" t="s">
        <v>22</v>
      </c>
      <c r="J3052" s="2" t="s">
        <v>42</v>
      </c>
      <c r="K3052" s="2" t="s">
        <v>3019</v>
      </c>
      <c r="L3052" t="s">
        <v>25</v>
      </c>
      <c r="M3052" s="10" t="s">
        <v>26</v>
      </c>
      <c r="N3052" t="s">
        <v>26</v>
      </c>
      <c r="O3052" s="10" t="s">
        <v>26</v>
      </c>
      <c r="P3052" s="8" t="s">
        <v>26</v>
      </c>
      <c r="Q3052" s="8">
        <f>(3359412*100)/3462762</f>
        <v>97.015388294084318</v>
      </c>
    </row>
    <row r="3053" spans="1:17" x14ac:dyDescent="0.2">
      <c r="A3053">
        <f>YEAR(D3053)</f>
        <v>2019</v>
      </c>
      <c r="B3053" t="s">
        <v>26</v>
      </c>
      <c r="C3053" s="2" t="s">
        <v>3020</v>
      </c>
      <c r="D3053" s="1">
        <v>43630</v>
      </c>
      <c r="E3053">
        <f>MONTH(D3053)</f>
        <v>6</v>
      </c>
      <c r="F3053" s="2" t="s">
        <v>2098</v>
      </c>
      <c r="G3053" t="s">
        <v>230</v>
      </c>
      <c r="H3053" t="s">
        <v>268</v>
      </c>
      <c r="I3053" t="s">
        <v>22</v>
      </c>
      <c r="J3053" s="2" t="s">
        <v>42</v>
      </c>
      <c r="K3053" s="2" t="s">
        <v>3019</v>
      </c>
      <c r="L3053" t="s">
        <v>25</v>
      </c>
      <c r="M3053" s="8">
        <v>3.5356666670000001</v>
      </c>
      <c r="N3053" t="s">
        <v>26</v>
      </c>
      <c r="O3053" s="8">
        <v>3.5356666670000001</v>
      </c>
      <c r="P3053" s="8">
        <f>EXP(-1.363+3.366*LOG(O3053,10))</f>
        <v>1.6211802664427075</v>
      </c>
      <c r="Q3053" s="8">
        <f>(3359412*100)/3462762</f>
        <v>97.015388294084318</v>
      </c>
    </row>
    <row r="3054" spans="1:17" x14ac:dyDescent="0.2">
      <c r="A3054">
        <f>YEAR(D3054)</f>
        <v>2019</v>
      </c>
      <c r="B3054" t="s">
        <v>26</v>
      </c>
      <c r="C3054" s="2" t="s">
        <v>3020</v>
      </c>
      <c r="D3054" s="1">
        <v>43630</v>
      </c>
      <c r="E3054">
        <f>MONTH(D3054)</f>
        <v>6</v>
      </c>
      <c r="F3054" s="2" t="s">
        <v>2098</v>
      </c>
      <c r="G3054" t="s">
        <v>1520</v>
      </c>
      <c r="H3054" t="s">
        <v>1528</v>
      </c>
      <c r="I3054" t="s">
        <v>22</v>
      </c>
      <c r="J3054" s="2" t="s">
        <v>42</v>
      </c>
      <c r="K3054" s="2" t="s">
        <v>3019</v>
      </c>
      <c r="L3054" t="s">
        <v>25</v>
      </c>
      <c r="M3054" s="8">
        <v>3.624333333</v>
      </c>
      <c r="N3054" t="s">
        <v>26</v>
      </c>
      <c r="O3054" s="8">
        <v>3.624333333</v>
      </c>
      <c r="P3054" s="8">
        <f>EXP(-1.363+3.366*LOG(O3054,10))</f>
        <v>1.6809546844949765</v>
      </c>
      <c r="Q3054" s="8">
        <f>(3359412*100)/3462762</f>
        <v>97.015388294084318</v>
      </c>
    </row>
    <row r="3055" spans="1:17" x14ac:dyDescent="0.2">
      <c r="A3055">
        <f>YEAR(D3055)</f>
        <v>2019</v>
      </c>
      <c r="B3055" t="s">
        <v>26</v>
      </c>
      <c r="C3055" s="2" t="s">
        <v>3020</v>
      </c>
      <c r="D3055" s="1">
        <v>43630</v>
      </c>
      <c r="E3055">
        <f>MONTH(D3055)</f>
        <v>6</v>
      </c>
      <c r="F3055" s="2" t="s">
        <v>2098</v>
      </c>
      <c r="G3055" t="s">
        <v>230</v>
      </c>
      <c r="H3055" t="s">
        <v>268</v>
      </c>
      <c r="I3055" t="s">
        <v>22</v>
      </c>
      <c r="J3055" s="2" t="s">
        <v>42</v>
      </c>
      <c r="K3055" s="2" t="s">
        <v>3019</v>
      </c>
      <c r="L3055" t="s">
        <v>25</v>
      </c>
      <c r="M3055" s="8">
        <v>3.5356666670000001</v>
      </c>
      <c r="N3055" t="s">
        <v>26</v>
      </c>
      <c r="O3055" s="8">
        <v>3.5356666670000001</v>
      </c>
      <c r="P3055" s="8">
        <f>EXP(-1.363+3.366*LOG(O3055,10))</f>
        <v>1.6211802664427075</v>
      </c>
      <c r="Q3055" s="8">
        <f>(3359412*100)/3462762</f>
        <v>97.015388294084318</v>
      </c>
    </row>
    <row r="3056" spans="1:17" x14ac:dyDescent="0.2">
      <c r="A3056">
        <f>YEAR(D3056)</f>
        <v>2019</v>
      </c>
      <c r="B3056" t="s">
        <v>26</v>
      </c>
      <c r="C3056" s="2" t="s">
        <v>3020</v>
      </c>
      <c r="D3056" s="1">
        <v>43630</v>
      </c>
      <c r="E3056">
        <f>MONTH(D3056)</f>
        <v>6</v>
      </c>
      <c r="F3056" s="2" t="s">
        <v>2098</v>
      </c>
      <c r="G3056" t="s">
        <v>230</v>
      </c>
      <c r="H3056" t="s">
        <v>259</v>
      </c>
      <c r="I3056" t="s">
        <v>22</v>
      </c>
      <c r="J3056" s="2" t="s">
        <v>42</v>
      </c>
      <c r="K3056" s="2" t="s">
        <v>3019</v>
      </c>
      <c r="L3056" t="s">
        <v>25</v>
      </c>
      <c r="M3056" s="8">
        <v>4.2283333330000001</v>
      </c>
      <c r="N3056" t="s">
        <v>26</v>
      </c>
      <c r="O3056" s="8">
        <v>4.2283333330000001</v>
      </c>
      <c r="P3056" s="8">
        <f>EXP(-1.363+3.366*LOG(O3056,10))</f>
        <v>2.1057792396965977</v>
      </c>
      <c r="Q3056" s="8">
        <f>(3359412*100)/3462762</f>
        <v>97.015388294084318</v>
      </c>
    </row>
    <row r="3057" spans="1:17" x14ac:dyDescent="0.2">
      <c r="A3057">
        <f>YEAR(D3057)</f>
        <v>2019</v>
      </c>
      <c r="B3057" t="s">
        <v>26</v>
      </c>
      <c r="C3057" s="2" t="s">
        <v>3020</v>
      </c>
      <c r="D3057" s="1">
        <v>43630</v>
      </c>
      <c r="E3057">
        <f>MONTH(D3057)</f>
        <v>6</v>
      </c>
      <c r="F3057" s="2" t="s">
        <v>2098</v>
      </c>
      <c r="G3057" t="s">
        <v>230</v>
      </c>
      <c r="H3057" t="s">
        <v>268</v>
      </c>
      <c r="I3057" t="s">
        <v>22</v>
      </c>
      <c r="J3057" s="2" t="s">
        <v>42</v>
      </c>
      <c r="K3057" s="2" t="s">
        <v>3019</v>
      </c>
      <c r="L3057" t="s">
        <v>25</v>
      </c>
      <c r="M3057" s="8">
        <v>3.5356666670000001</v>
      </c>
      <c r="N3057" t="s">
        <v>26</v>
      </c>
      <c r="O3057" s="8">
        <v>3.5356666670000001</v>
      </c>
      <c r="P3057" s="8">
        <f>EXP(-1.363+3.366*LOG(O3057,10))</f>
        <v>1.6211802664427075</v>
      </c>
      <c r="Q3057" s="8">
        <f>(3359412*100)/3462762</f>
        <v>97.015388294084318</v>
      </c>
    </row>
    <row r="3058" spans="1:17" x14ac:dyDescent="0.2">
      <c r="A3058">
        <f>YEAR(D3058)</f>
        <v>2019</v>
      </c>
      <c r="B3058" t="s">
        <v>26</v>
      </c>
      <c r="C3058" s="2" t="s">
        <v>3020</v>
      </c>
      <c r="D3058" s="1">
        <v>43630</v>
      </c>
      <c r="E3058">
        <f>MONTH(D3058)</f>
        <v>6</v>
      </c>
      <c r="F3058" s="2" t="s">
        <v>2098</v>
      </c>
      <c r="G3058" t="s">
        <v>230</v>
      </c>
      <c r="H3058" t="s">
        <v>268</v>
      </c>
      <c r="I3058" t="s">
        <v>22</v>
      </c>
      <c r="J3058" s="2" t="s">
        <v>42</v>
      </c>
      <c r="K3058" s="2" t="s">
        <v>3019</v>
      </c>
      <c r="L3058" t="s">
        <v>25</v>
      </c>
      <c r="M3058" s="8">
        <v>3.5356666670000001</v>
      </c>
      <c r="N3058" t="s">
        <v>26</v>
      </c>
      <c r="O3058" s="8">
        <v>3.5356666670000001</v>
      </c>
      <c r="P3058" s="8">
        <f>EXP(-1.363+3.366*LOG(O3058,10))</f>
        <v>1.6211802664427075</v>
      </c>
      <c r="Q3058" s="8">
        <f>(3359412*100)/3462762</f>
        <v>97.015388294084318</v>
      </c>
    </row>
    <row r="3059" spans="1:17" x14ac:dyDescent="0.2">
      <c r="A3059">
        <f>YEAR(D3059)</f>
        <v>2019</v>
      </c>
      <c r="B3059" t="s">
        <v>26</v>
      </c>
      <c r="C3059" s="2" t="s">
        <v>3020</v>
      </c>
      <c r="D3059" s="1">
        <v>43630</v>
      </c>
      <c r="E3059">
        <f>MONTH(D3059)</f>
        <v>6</v>
      </c>
      <c r="F3059" s="2" t="s">
        <v>2098</v>
      </c>
      <c r="G3059" t="s">
        <v>230</v>
      </c>
      <c r="H3059" t="s">
        <v>268</v>
      </c>
      <c r="I3059" t="s">
        <v>22</v>
      </c>
      <c r="J3059" s="2" t="s">
        <v>42</v>
      </c>
      <c r="K3059" s="2" t="s">
        <v>3019</v>
      </c>
      <c r="L3059" t="s">
        <v>25</v>
      </c>
      <c r="M3059" s="8">
        <v>3.5356666670000001</v>
      </c>
      <c r="N3059" t="s">
        <v>26</v>
      </c>
      <c r="O3059" s="8">
        <v>3.5356666670000001</v>
      </c>
      <c r="P3059" s="8">
        <f>EXP(-1.363+3.366*LOG(O3059,10))</f>
        <v>1.6211802664427075</v>
      </c>
      <c r="Q3059" s="8">
        <f>(3359412*100)/3462762</f>
        <v>97.015388294084318</v>
      </c>
    </row>
    <row r="3060" spans="1:17" x14ac:dyDescent="0.2">
      <c r="A3060">
        <f>YEAR(D3060)</f>
        <v>2019</v>
      </c>
      <c r="B3060" t="s">
        <v>26</v>
      </c>
      <c r="C3060" s="2" t="s">
        <v>3020</v>
      </c>
      <c r="D3060" s="1">
        <v>43630</v>
      </c>
      <c r="E3060">
        <f>MONTH(D3060)</f>
        <v>6</v>
      </c>
      <c r="F3060" s="2" t="s">
        <v>2098</v>
      </c>
      <c r="G3060" t="s">
        <v>219</v>
      </c>
      <c r="H3060" t="s">
        <v>220</v>
      </c>
      <c r="I3060" t="s">
        <v>22</v>
      </c>
      <c r="J3060" s="2" t="s">
        <v>42</v>
      </c>
      <c r="K3060" s="2" t="s">
        <v>3019</v>
      </c>
      <c r="L3060" t="s">
        <v>25</v>
      </c>
      <c r="M3060" s="10" t="s">
        <v>26</v>
      </c>
      <c r="N3060" t="s">
        <v>26</v>
      </c>
      <c r="O3060" s="10" t="s">
        <v>26</v>
      </c>
      <c r="P3060" s="8" t="s">
        <v>26</v>
      </c>
      <c r="Q3060" s="8">
        <f>(3359412*100)/3462762</f>
        <v>97.015388294084318</v>
      </c>
    </row>
    <row r="3061" spans="1:17" x14ac:dyDescent="0.2">
      <c r="A3061">
        <f>YEAR(D3061)</f>
        <v>2019</v>
      </c>
      <c r="B3061" t="s">
        <v>26</v>
      </c>
      <c r="C3061" s="2" t="s">
        <v>3020</v>
      </c>
      <c r="D3061" s="1">
        <v>43630</v>
      </c>
      <c r="E3061">
        <f>MONTH(D3061)</f>
        <v>6</v>
      </c>
      <c r="F3061" s="2" t="s">
        <v>2098</v>
      </c>
      <c r="G3061" t="s">
        <v>219</v>
      </c>
      <c r="H3061" t="s">
        <v>220</v>
      </c>
      <c r="I3061" t="s">
        <v>22</v>
      </c>
      <c r="J3061" s="2" t="s">
        <v>42</v>
      </c>
      <c r="K3061" s="2" t="s">
        <v>3019</v>
      </c>
      <c r="L3061" t="s">
        <v>25</v>
      </c>
      <c r="M3061" s="10" t="s">
        <v>26</v>
      </c>
      <c r="N3061" t="s">
        <v>26</v>
      </c>
      <c r="O3061" s="10" t="s">
        <v>26</v>
      </c>
      <c r="P3061" s="8" t="s">
        <v>26</v>
      </c>
      <c r="Q3061" s="8">
        <f>(3359412*100)/3462762</f>
        <v>97.015388294084318</v>
      </c>
    </row>
    <row r="3062" spans="1:17" x14ac:dyDescent="0.2">
      <c r="A3062">
        <f>YEAR(D3062)</f>
        <v>2019</v>
      </c>
      <c r="B3062" t="s">
        <v>26</v>
      </c>
      <c r="C3062" s="2" t="s">
        <v>3020</v>
      </c>
      <c r="D3062" s="1">
        <v>43630</v>
      </c>
      <c r="E3062">
        <f>MONTH(D3062)</f>
        <v>6</v>
      </c>
      <c r="F3062" s="2" t="s">
        <v>2098</v>
      </c>
      <c r="G3062" t="s">
        <v>219</v>
      </c>
      <c r="H3062" t="s">
        <v>220</v>
      </c>
      <c r="I3062" t="s">
        <v>22</v>
      </c>
      <c r="J3062" s="2" t="s">
        <v>42</v>
      </c>
      <c r="K3062" s="2" t="s">
        <v>3019</v>
      </c>
      <c r="L3062" t="s">
        <v>25</v>
      </c>
      <c r="M3062" s="10" t="s">
        <v>26</v>
      </c>
      <c r="N3062" t="s">
        <v>26</v>
      </c>
      <c r="O3062" s="10" t="s">
        <v>26</v>
      </c>
      <c r="P3062" s="8" t="s">
        <v>26</v>
      </c>
      <c r="Q3062" s="8">
        <f>(3359412*100)/3462762</f>
        <v>97.015388294084318</v>
      </c>
    </row>
    <row r="3063" spans="1:17" x14ac:dyDescent="0.2">
      <c r="A3063">
        <f>YEAR(D3063)</f>
        <v>2019</v>
      </c>
      <c r="B3063" t="s">
        <v>26</v>
      </c>
      <c r="C3063" s="2" t="s">
        <v>3020</v>
      </c>
      <c r="D3063" s="1">
        <v>43630</v>
      </c>
      <c r="E3063">
        <f>MONTH(D3063)</f>
        <v>6</v>
      </c>
      <c r="F3063" s="2" t="s">
        <v>2098</v>
      </c>
      <c r="G3063" t="s">
        <v>219</v>
      </c>
      <c r="H3063" t="s">
        <v>220</v>
      </c>
      <c r="I3063" t="s">
        <v>22</v>
      </c>
      <c r="J3063" s="2" t="s">
        <v>42</v>
      </c>
      <c r="K3063" s="2" t="s">
        <v>3019</v>
      </c>
      <c r="L3063" t="s">
        <v>25</v>
      </c>
      <c r="M3063" s="10" t="s">
        <v>26</v>
      </c>
      <c r="N3063" t="s">
        <v>26</v>
      </c>
      <c r="O3063" s="10" t="s">
        <v>26</v>
      </c>
      <c r="P3063" s="8" t="s">
        <v>26</v>
      </c>
      <c r="Q3063" s="8">
        <f>(3359412*100)/3462762</f>
        <v>97.015388294084318</v>
      </c>
    </row>
    <row r="3064" spans="1:17" x14ac:dyDescent="0.2">
      <c r="A3064">
        <f>YEAR(D3064)</f>
        <v>2019</v>
      </c>
      <c r="B3064" t="s">
        <v>26</v>
      </c>
      <c r="C3064" s="2" t="s">
        <v>3020</v>
      </c>
      <c r="D3064" s="1">
        <v>43630</v>
      </c>
      <c r="E3064">
        <f>MONTH(D3064)</f>
        <v>6</v>
      </c>
      <c r="F3064" s="2" t="s">
        <v>2098</v>
      </c>
      <c r="G3064" t="s">
        <v>219</v>
      </c>
      <c r="H3064" t="s">
        <v>220</v>
      </c>
      <c r="I3064" t="s">
        <v>22</v>
      </c>
      <c r="J3064" s="2" t="s">
        <v>42</v>
      </c>
      <c r="K3064" s="2" t="s">
        <v>3019</v>
      </c>
      <c r="L3064" t="s">
        <v>25</v>
      </c>
      <c r="M3064" s="10" t="s">
        <v>26</v>
      </c>
      <c r="N3064" t="s">
        <v>26</v>
      </c>
      <c r="O3064" s="10" t="s">
        <v>26</v>
      </c>
      <c r="P3064" s="8" t="s">
        <v>26</v>
      </c>
      <c r="Q3064" s="8">
        <f>(3359412*100)/3462762</f>
        <v>97.015388294084318</v>
      </c>
    </row>
    <row r="3065" spans="1:17" x14ac:dyDescent="0.2">
      <c r="A3065">
        <f>YEAR(D3065)</f>
        <v>2019</v>
      </c>
      <c r="B3065" t="s">
        <v>26</v>
      </c>
      <c r="C3065" s="2" t="s">
        <v>3020</v>
      </c>
      <c r="D3065" s="1">
        <v>43630</v>
      </c>
      <c r="E3065">
        <f>MONTH(D3065)</f>
        <v>6</v>
      </c>
      <c r="F3065" s="2" t="s">
        <v>2098</v>
      </c>
      <c r="G3065" t="s">
        <v>219</v>
      </c>
      <c r="H3065" t="s">
        <v>220</v>
      </c>
      <c r="I3065" t="s">
        <v>22</v>
      </c>
      <c r="J3065" s="2" t="s">
        <v>42</v>
      </c>
      <c r="K3065" s="2" t="s">
        <v>3019</v>
      </c>
      <c r="L3065" t="s">
        <v>25</v>
      </c>
      <c r="M3065" s="10" t="s">
        <v>26</v>
      </c>
      <c r="N3065" t="s">
        <v>26</v>
      </c>
      <c r="O3065" s="10" t="s">
        <v>26</v>
      </c>
      <c r="P3065" s="8" t="s">
        <v>26</v>
      </c>
      <c r="Q3065" s="8">
        <f>(3359412*100)/3462762</f>
        <v>97.015388294084318</v>
      </c>
    </row>
    <row r="3066" spans="1:17" x14ac:dyDescent="0.2">
      <c r="A3066">
        <f>YEAR(D3066)</f>
        <v>2019</v>
      </c>
      <c r="B3066" t="s">
        <v>26</v>
      </c>
      <c r="C3066" s="2" t="s">
        <v>3020</v>
      </c>
      <c r="D3066" s="1">
        <v>43630</v>
      </c>
      <c r="E3066">
        <f>MONTH(D3066)</f>
        <v>6</v>
      </c>
      <c r="F3066" s="2" t="s">
        <v>2098</v>
      </c>
      <c r="G3066" t="s">
        <v>219</v>
      </c>
      <c r="H3066" t="s">
        <v>220</v>
      </c>
      <c r="I3066" t="s">
        <v>22</v>
      </c>
      <c r="J3066" s="2" t="s">
        <v>42</v>
      </c>
      <c r="K3066" s="2" t="s">
        <v>3019</v>
      </c>
      <c r="L3066" t="s">
        <v>25</v>
      </c>
      <c r="M3066" s="10" t="s">
        <v>26</v>
      </c>
      <c r="N3066" t="s">
        <v>26</v>
      </c>
      <c r="O3066" s="10" t="s">
        <v>26</v>
      </c>
      <c r="P3066" s="8" t="s">
        <v>26</v>
      </c>
      <c r="Q3066" s="8">
        <f>(3359412*100)/3462762</f>
        <v>97.015388294084318</v>
      </c>
    </row>
    <row r="3067" spans="1:17" x14ac:dyDescent="0.2">
      <c r="A3067">
        <f>YEAR(D3067)</f>
        <v>2019</v>
      </c>
      <c r="B3067" t="s">
        <v>26</v>
      </c>
      <c r="C3067" s="2" t="s">
        <v>3020</v>
      </c>
      <c r="D3067" s="1">
        <v>43630</v>
      </c>
      <c r="E3067">
        <f>MONTH(D3067)</f>
        <v>6</v>
      </c>
      <c r="F3067" s="2" t="s">
        <v>2098</v>
      </c>
      <c r="G3067" t="s">
        <v>219</v>
      </c>
      <c r="H3067" t="s">
        <v>220</v>
      </c>
      <c r="I3067" t="s">
        <v>22</v>
      </c>
      <c r="J3067" s="2" t="s">
        <v>42</v>
      </c>
      <c r="K3067" s="2" t="s">
        <v>3019</v>
      </c>
      <c r="L3067" t="s">
        <v>25</v>
      </c>
      <c r="M3067" s="10" t="s">
        <v>26</v>
      </c>
      <c r="N3067" t="s">
        <v>26</v>
      </c>
      <c r="O3067" s="10" t="s">
        <v>26</v>
      </c>
      <c r="P3067" s="8" t="s">
        <v>26</v>
      </c>
      <c r="Q3067" s="8">
        <f>(3359412*100)/3462762</f>
        <v>97.015388294084318</v>
      </c>
    </row>
    <row r="3068" spans="1:17" x14ac:dyDescent="0.2">
      <c r="A3068">
        <f>YEAR(D3068)</f>
        <v>2019</v>
      </c>
      <c r="B3068" t="s">
        <v>26</v>
      </c>
      <c r="C3068" s="2" t="s">
        <v>3020</v>
      </c>
      <c r="D3068" s="1">
        <v>43630</v>
      </c>
      <c r="E3068">
        <f>MONTH(D3068)</f>
        <v>6</v>
      </c>
      <c r="F3068" s="2" t="s">
        <v>2098</v>
      </c>
      <c r="G3068" t="s">
        <v>219</v>
      </c>
      <c r="H3068" t="s">
        <v>220</v>
      </c>
      <c r="I3068" t="s">
        <v>22</v>
      </c>
      <c r="J3068" s="2" t="s">
        <v>42</v>
      </c>
      <c r="K3068" s="2" t="s">
        <v>3019</v>
      </c>
      <c r="L3068" t="s">
        <v>25</v>
      </c>
      <c r="M3068" s="10" t="s">
        <v>26</v>
      </c>
      <c r="N3068" t="s">
        <v>26</v>
      </c>
      <c r="O3068" s="10" t="s">
        <v>26</v>
      </c>
      <c r="P3068" s="8" t="s">
        <v>26</v>
      </c>
      <c r="Q3068" s="8">
        <f>(3359412*100)/3462762</f>
        <v>97.015388294084318</v>
      </c>
    </row>
    <row r="3069" spans="1:17" x14ac:dyDescent="0.2">
      <c r="A3069">
        <f>YEAR(D3069)</f>
        <v>2019</v>
      </c>
      <c r="B3069" t="s">
        <v>26</v>
      </c>
      <c r="C3069" s="2" t="s">
        <v>3020</v>
      </c>
      <c r="D3069" s="1">
        <v>43630</v>
      </c>
      <c r="E3069">
        <f>MONTH(D3069)</f>
        <v>6</v>
      </c>
      <c r="F3069" s="2" t="s">
        <v>2098</v>
      </c>
      <c r="G3069" t="s">
        <v>219</v>
      </c>
      <c r="H3069" t="s">
        <v>220</v>
      </c>
      <c r="I3069" t="s">
        <v>22</v>
      </c>
      <c r="J3069" s="2" t="s">
        <v>42</v>
      </c>
      <c r="K3069" s="2" t="s">
        <v>3019</v>
      </c>
      <c r="L3069" t="s">
        <v>25</v>
      </c>
      <c r="M3069" s="10" t="s">
        <v>26</v>
      </c>
      <c r="N3069" t="s">
        <v>26</v>
      </c>
      <c r="O3069" s="10" t="s">
        <v>26</v>
      </c>
      <c r="P3069" s="8" t="s">
        <v>26</v>
      </c>
      <c r="Q3069" s="8">
        <f>(3359412*100)/3462762</f>
        <v>97.015388294084318</v>
      </c>
    </row>
    <row r="3070" spans="1:17" x14ac:dyDescent="0.2">
      <c r="A3070">
        <f>YEAR(D3070)</f>
        <v>2019</v>
      </c>
      <c r="B3070" t="s">
        <v>26</v>
      </c>
      <c r="C3070" s="2" t="s">
        <v>3020</v>
      </c>
      <c r="D3070" s="1">
        <v>43630</v>
      </c>
      <c r="E3070">
        <f>MONTH(D3070)</f>
        <v>6</v>
      </c>
      <c r="F3070" s="2" t="s">
        <v>2098</v>
      </c>
      <c r="G3070" t="s">
        <v>219</v>
      </c>
      <c r="H3070" t="s">
        <v>220</v>
      </c>
      <c r="I3070" t="s">
        <v>22</v>
      </c>
      <c r="J3070" s="2" t="s">
        <v>42</v>
      </c>
      <c r="K3070" s="2" t="s">
        <v>3019</v>
      </c>
      <c r="L3070" t="s">
        <v>25</v>
      </c>
      <c r="M3070" s="10" t="s">
        <v>26</v>
      </c>
      <c r="N3070" t="s">
        <v>26</v>
      </c>
      <c r="O3070" s="10" t="s">
        <v>26</v>
      </c>
      <c r="P3070" s="8" t="s">
        <v>26</v>
      </c>
      <c r="Q3070" s="8">
        <f>(3359412*100)/3462762</f>
        <v>97.015388294084318</v>
      </c>
    </row>
    <row r="3071" spans="1:17" x14ac:dyDescent="0.2">
      <c r="A3071">
        <f>YEAR(D3071)</f>
        <v>2019</v>
      </c>
      <c r="B3071" t="s">
        <v>26</v>
      </c>
      <c r="C3071" s="2" t="s">
        <v>3020</v>
      </c>
      <c r="D3071" s="1">
        <v>43630</v>
      </c>
      <c r="E3071">
        <f>MONTH(D3071)</f>
        <v>6</v>
      </c>
      <c r="F3071" s="2" t="s">
        <v>2098</v>
      </c>
      <c r="G3071" t="s">
        <v>219</v>
      </c>
      <c r="H3071" t="s">
        <v>220</v>
      </c>
      <c r="I3071" t="s">
        <v>22</v>
      </c>
      <c r="J3071" s="2" t="s">
        <v>42</v>
      </c>
      <c r="K3071" s="2" t="s">
        <v>3019</v>
      </c>
      <c r="L3071" t="s">
        <v>25</v>
      </c>
      <c r="M3071" s="10" t="s">
        <v>26</v>
      </c>
      <c r="N3071" t="s">
        <v>26</v>
      </c>
      <c r="O3071" s="10" t="s">
        <v>26</v>
      </c>
      <c r="P3071" s="8" t="s">
        <v>26</v>
      </c>
      <c r="Q3071" s="8">
        <f>(3359412*100)/3462762</f>
        <v>97.015388294084318</v>
      </c>
    </row>
    <row r="3072" spans="1:17" x14ac:dyDescent="0.2">
      <c r="A3072">
        <f>YEAR(D3072)</f>
        <v>2019</v>
      </c>
      <c r="B3072" t="s">
        <v>26</v>
      </c>
      <c r="C3072" s="2" t="s">
        <v>3020</v>
      </c>
      <c r="D3072" s="1">
        <v>43630</v>
      </c>
      <c r="E3072">
        <f>MONTH(D3072)</f>
        <v>6</v>
      </c>
      <c r="F3072" s="2" t="s">
        <v>2098</v>
      </c>
      <c r="G3072" t="s">
        <v>219</v>
      </c>
      <c r="H3072" t="s">
        <v>220</v>
      </c>
      <c r="I3072" t="s">
        <v>22</v>
      </c>
      <c r="J3072" s="2" t="s">
        <v>42</v>
      </c>
      <c r="K3072" s="2" t="s">
        <v>3019</v>
      </c>
      <c r="L3072" t="s">
        <v>25</v>
      </c>
      <c r="M3072" s="10" t="s">
        <v>26</v>
      </c>
      <c r="N3072" t="s">
        <v>26</v>
      </c>
      <c r="O3072" s="10" t="s">
        <v>26</v>
      </c>
      <c r="P3072" s="8" t="s">
        <v>26</v>
      </c>
      <c r="Q3072" s="8">
        <f>(3359412*100)/3462762</f>
        <v>97.015388294084318</v>
      </c>
    </row>
    <row r="3073" spans="1:17" x14ac:dyDescent="0.2">
      <c r="A3073">
        <f>YEAR(D3073)</f>
        <v>2019</v>
      </c>
      <c r="B3073" t="s">
        <v>26</v>
      </c>
      <c r="C3073" s="2" t="s">
        <v>3020</v>
      </c>
      <c r="D3073" s="1">
        <v>43630</v>
      </c>
      <c r="E3073">
        <f>MONTH(D3073)</f>
        <v>6</v>
      </c>
      <c r="F3073" s="2" t="s">
        <v>2098</v>
      </c>
      <c r="G3073" t="s">
        <v>219</v>
      </c>
      <c r="H3073" t="s">
        <v>220</v>
      </c>
      <c r="I3073" t="s">
        <v>22</v>
      </c>
      <c r="J3073" s="2" t="s">
        <v>42</v>
      </c>
      <c r="K3073" s="2" t="s">
        <v>3019</v>
      </c>
      <c r="L3073" t="s">
        <v>25</v>
      </c>
      <c r="M3073" s="10" t="s">
        <v>26</v>
      </c>
      <c r="N3073" t="s">
        <v>26</v>
      </c>
      <c r="O3073" s="10" t="s">
        <v>26</v>
      </c>
      <c r="P3073" s="8" t="s">
        <v>26</v>
      </c>
      <c r="Q3073" s="8">
        <f>(3359412*100)/3462762</f>
        <v>97.015388294084318</v>
      </c>
    </row>
    <row r="3074" spans="1:17" x14ac:dyDescent="0.2">
      <c r="A3074">
        <f>YEAR(D3074)</f>
        <v>2019</v>
      </c>
      <c r="B3074" t="s">
        <v>26</v>
      </c>
      <c r="C3074" s="2" t="s">
        <v>3020</v>
      </c>
      <c r="D3074" s="1">
        <v>43630</v>
      </c>
      <c r="E3074">
        <f>MONTH(D3074)</f>
        <v>6</v>
      </c>
      <c r="F3074" s="2" t="s">
        <v>2098</v>
      </c>
      <c r="G3074" t="s">
        <v>332</v>
      </c>
      <c r="H3074" t="s">
        <v>330</v>
      </c>
      <c r="I3074" t="s">
        <v>22</v>
      </c>
      <c r="J3074" s="2" t="s">
        <v>42</v>
      </c>
      <c r="K3074" s="2" t="s">
        <v>3019</v>
      </c>
      <c r="L3074" t="s">
        <v>25</v>
      </c>
      <c r="M3074" s="8">
        <v>1.2170000000000001</v>
      </c>
      <c r="N3074" t="s">
        <v>26</v>
      </c>
      <c r="O3074" s="8">
        <v>1.2170000000000001</v>
      </c>
      <c r="P3074" s="8">
        <f>EXP(-1.363+3.366*LOG(O3074,10))</f>
        <v>0.34098666307598596</v>
      </c>
      <c r="Q3074" s="8">
        <f>(3359412*100)/3462762</f>
        <v>97.015388294084318</v>
      </c>
    </row>
    <row r="3075" spans="1:17" x14ac:dyDescent="0.2">
      <c r="A3075">
        <f>YEAR(D3075)</f>
        <v>2019</v>
      </c>
      <c r="B3075" t="s">
        <v>26</v>
      </c>
      <c r="C3075" s="2" t="s">
        <v>3020</v>
      </c>
      <c r="D3075" s="1">
        <v>43630</v>
      </c>
      <c r="E3075">
        <f>MONTH(D3075)</f>
        <v>6</v>
      </c>
      <c r="F3075" s="2" t="s">
        <v>2098</v>
      </c>
      <c r="G3075" t="s">
        <v>362</v>
      </c>
      <c r="H3075" t="s">
        <v>447</v>
      </c>
      <c r="I3075" t="s">
        <v>22</v>
      </c>
      <c r="J3075" s="2" t="s">
        <v>42</v>
      </c>
      <c r="K3075" s="2" t="s">
        <v>3019</v>
      </c>
      <c r="L3075" t="s">
        <v>25</v>
      </c>
      <c r="M3075" s="8">
        <v>1.421</v>
      </c>
      <c r="N3075" t="s">
        <v>26</v>
      </c>
      <c r="O3075" s="8">
        <v>1.421</v>
      </c>
      <c r="P3075" s="8">
        <f>EXP(-1.363+3.366*LOG(O3075,10))</f>
        <v>0.42768500084673816</v>
      </c>
      <c r="Q3075" s="8">
        <f>(3359412*100)/3462762</f>
        <v>97.015388294084318</v>
      </c>
    </row>
    <row r="3076" spans="1:17" x14ac:dyDescent="0.2">
      <c r="A3076">
        <f>YEAR(D3076)</f>
        <v>2019</v>
      </c>
      <c r="B3076" t="s">
        <v>26</v>
      </c>
      <c r="C3076" s="2" t="s">
        <v>3020</v>
      </c>
      <c r="D3076" s="1">
        <v>43630</v>
      </c>
      <c r="E3076">
        <f>MONTH(D3076)</f>
        <v>6</v>
      </c>
      <c r="F3076" s="2" t="s">
        <v>2098</v>
      </c>
      <c r="G3076" t="s">
        <v>362</v>
      </c>
      <c r="H3076" t="s">
        <v>447</v>
      </c>
      <c r="I3076" t="s">
        <v>22</v>
      </c>
      <c r="J3076" s="2" t="s">
        <v>42</v>
      </c>
      <c r="K3076" s="2" t="s">
        <v>3019</v>
      </c>
      <c r="L3076" t="s">
        <v>25</v>
      </c>
      <c r="M3076" s="8">
        <v>1.421</v>
      </c>
      <c r="N3076" t="s">
        <v>26</v>
      </c>
      <c r="O3076" s="8">
        <v>1.421</v>
      </c>
      <c r="P3076" s="8">
        <f>EXP(-1.363+3.366*LOG(O3076,10))</f>
        <v>0.42768500084673816</v>
      </c>
      <c r="Q3076" s="8">
        <f>(3359412*100)/3462762</f>
        <v>97.015388294084318</v>
      </c>
    </row>
    <row r="3077" spans="1:17" x14ac:dyDescent="0.2">
      <c r="A3077">
        <f>YEAR(D3077)</f>
        <v>2019</v>
      </c>
      <c r="B3077" t="s">
        <v>26</v>
      </c>
      <c r="C3077" s="2" t="s">
        <v>3020</v>
      </c>
      <c r="D3077" s="1">
        <v>43630</v>
      </c>
      <c r="E3077">
        <f>MONTH(D3077)</f>
        <v>6</v>
      </c>
      <c r="F3077" s="2" t="s">
        <v>2098</v>
      </c>
      <c r="G3077" t="s">
        <v>1520</v>
      </c>
      <c r="H3077" t="s">
        <v>1528</v>
      </c>
      <c r="I3077" t="s">
        <v>36</v>
      </c>
      <c r="J3077" s="2" t="s">
        <v>42</v>
      </c>
      <c r="K3077" s="2" t="s">
        <v>3019</v>
      </c>
      <c r="L3077" t="s">
        <v>25</v>
      </c>
      <c r="M3077" s="8">
        <v>3.3860000000000001</v>
      </c>
      <c r="N3077" t="s">
        <v>26</v>
      </c>
      <c r="O3077" s="8">
        <v>3.3860000000000001</v>
      </c>
      <c r="P3077" s="8">
        <f>EXP(-1.363+3.366*LOG(O3077,10))</f>
        <v>1.5218493704875904</v>
      </c>
      <c r="Q3077" s="8">
        <f>(3359412*100)/3462762</f>
        <v>97.015388294084318</v>
      </c>
    </row>
    <row r="3078" spans="1:17" x14ac:dyDescent="0.2">
      <c r="A3078">
        <f>YEAR(D3078)</f>
        <v>2019</v>
      </c>
      <c r="B3078" t="s">
        <v>26</v>
      </c>
      <c r="C3078" s="2" t="s">
        <v>3020</v>
      </c>
      <c r="D3078" s="1">
        <v>43630</v>
      </c>
      <c r="E3078">
        <f>MONTH(D3078)</f>
        <v>6</v>
      </c>
      <c r="F3078" s="2" t="s">
        <v>2098</v>
      </c>
      <c r="G3078" t="s">
        <v>230</v>
      </c>
      <c r="H3078" t="s">
        <v>255</v>
      </c>
      <c r="I3078" t="s">
        <v>22</v>
      </c>
      <c r="J3078" s="2" t="s">
        <v>42</v>
      </c>
      <c r="K3078" s="2" t="s">
        <v>3019</v>
      </c>
      <c r="L3078" t="s">
        <v>25</v>
      </c>
      <c r="M3078" s="8">
        <v>3.1943333329999999</v>
      </c>
      <c r="N3078" t="s">
        <v>26</v>
      </c>
      <c r="O3078" s="8">
        <v>3.1943333329999999</v>
      </c>
      <c r="P3078" s="8">
        <f>EXP(-1.363+3.366*LOG(O3078,10))</f>
        <v>1.3975823704079444</v>
      </c>
      <c r="Q3078" s="8">
        <f>(3359412*100)/3462762</f>
        <v>97.015388294084318</v>
      </c>
    </row>
    <row r="3079" spans="1:17" x14ac:dyDescent="0.2">
      <c r="A3079">
        <f>YEAR(D3079)</f>
        <v>2019</v>
      </c>
      <c r="B3079" t="s">
        <v>26</v>
      </c>
      <c r="C3079" s="2" t="s">
        <v>3020</v>
      </c>
      <c r="D3079" s="1">
        <v>43630</v>
      </c>
      <c r="E3079">
        <f>MONTH(D3079)</f>
        <v>6</v>
      </c>
      <c r="F3079" s="2" t="s">
        <v>2098</v>
      </c>
      <c r="G3079" t="s">
        <v>230</v>
      </c>
      <c r="H3079" t="s">
        <v>268</v>
      </c>
      <c r="I3079" t="s">
        <v>22</v>
      </c>
      <c r="J3079" s="2" t="s">
        <v>42</v>
      </c>
      <c r="K3079" s="2" t="s">
        <v>3019</v>
      </c>
      <c r="L3079" t="s">
        <v>25</v>
      </c>
      <c r="M3079" s="8">
        <v>3.5356666670000001</v>
      </c>
      <c r="N3079" t="s">
        <v>26</v>
      </c>
      <c r="O3079" s="8">
        <v>3.5356666670000001</v>
      </c>
      <c r="P3079" s="8">
        <f>EXP(-1.363+3.366*LOG(O3079,10))</f>
        <v>1.6211802664427075</v>
      </c>
      <c r="Q3079" s="8">
        <f>(3359412*100)/3462762</f>
        <v>97.015388294084318</v>
      </c>
    </row>
    <row r="3080" spans="1:17" x14ac:dyDescent="0.2">
      <c r="A3080">
        <f>YEAR(D3080)</f>
        <v>2019</v>
      </c>
      <c r="B3080" t="s">
        <v>26</v>
      </c>
      <c r="C3080" s="2" t="s">
        <v>3020</v>
      </c>
      <c r="D3080" s="1">
        <v>43630</v>
      </c>
      <c r="E3080">
        <f>MONTH(D3080)</f>
        <v>6</v>
      </c>
      <c r="F3080" s="2" t="s">
        <v>2098</v>
      </c>
      <c r="G3080" t="s">
        <v>230</v>
      </c>
      <c r="H3080" t="s">
        <v>255</v>
      </c>
      <c r="I3080" t="s">
        <v>22</v>
      </c>
      <c r="J3080" s="2" t="s">
        <v>42</v>
      </c>
      <c r="K3080" s="2" t="s">
        <v>3019</v>
      </c>
      <c r="L3080" t="s">
        <v>25</v>
      </c>
      <c r="M3080" s="8">
        <v>3.1943333329999999</v>
      </c>
      <c r="N3080" t="s">
        <v>26</v>
      </c>
      <c r="O3080" s="8">
        <v>3.1943333329999999</v>
      </c>
      <c r="P3080" s="8">
        <f>EXP(-1.363+3.366*LOG(O3080,10))</f>
        <v>1.3975823704079444</v>
      </c>
      <c r="Q3080" s="8">
        <f>(3359412*100)/3462762</f>
        <v>97.015388294084318</v>
      </c>
    </row>
    <row r="3081" spans="1:17" x14ac:dyDescent="0.2">
      <c r="A3081">
        <f>YEAR(D3081)</f>
        <v>2019</v>
      </c>
      <c r="B3081" t="s">
        <v>26</v>
      </c>
      <c r="C3081" s="2" t="s">
        <v>3020</v>
      </c>
      <c r="D3081" s="1">
        <v>43630</v>
      </c>
      <c r="E3081">
        <f>MONTH(D3081)</f>
        <v>6</v>
      </c>
      <c r="F3081" s="2" t="s">
        <v>2098</v>
      </c>
      <c r="G3081" t="s">
        <v>230</v>
      </c>
      <c r="H3081" t="s">
        <v>259</v>
      </c>
      <c r="I3081" t="s">
        <v>22</v>
      </c>
      <c r="J3081" s="2" t="s">
        <v>42</v>
      </c>
      <c r="K3081" s="2" t="s">
        <v>3019</v>
      </c>
      <c r="L3081" t="s">
        <v>25</v>
      </c>
      <c r="M3081" s="8">
        <v>4.2283333330000001</v>
      </c>
      <c r="N3081" t="s">
        <v>26</v>
      </c>
      <c r="O3081" s="8">
        <v>4.2283333330000001</v>
      </c>
      <c r="P3081" s="8">
        <f>EXP(-1.363+3.366*LOG(O3081,10))</f>
        <v>2.1057792396965977</v>
      </c>
      <c r="Q3081" s="8">
        <f>(3359412*100)/3462762</f>
        <v>97.015388294084318</v>
      </c>
    </row>
    <row r="3082" spans="1:17" x14ac:dyDescent="0.2">
      <c r="A3082">
        <f>YEAR(D3082)</f>
        <v>2019</v>
      </c>
      <c r="B3082" t="s">
        <v>26</v>
      </c>
      <c r="C3082" s="2" t="s">
        <v>3020</v>
      </c>
      <c r="D3082" s="1">
        <v>43630</v>
      </c>
      <c r="E3082">
        <f>MONTH(D3082)</f>
        <v>6</v>
      </c>
      <c r="F3082" s="2" t="s">
        <v>2098</v>
      </c>
      <c r="G3082" t="s">
        <v>230</v>
      </c>
      <c r="H3082" t="s">
        <v>255</v>
      </c>
      <c r="I3082" t="s">
        <v>22</v>
      </c>
      <c r="J3082" s="2" t="s">
        <v>42</v>
      </c>
      <c r="K3082" s="2" t="s">
        <v>3019</v>
      </c>
      <c r="L3082" t="s">
        <v>25</v>
      </c>
      <c r="M3082" s="8">
        <v>3.1943333329999999</v>
      </c>
      <c r="N3082" t="s">
        <v>26</v>
      </c>
      <c r="O3082" s="8">
        <v>3.1943333329999999</v>
      </c>
      <c r="P3082" s="8">
        <f>EXP(-1.363+3.366*LOG(O3082,10))</f>
        <v>1.3975823704079444</v>
      </c>
      <c r="Q3082" s="8">
        <f>(3359412*100)/3462762</f>
        <v>97.015388294084318</v>
      </c>
    </row>
    <row r="3083" spans="1:17" x14ac:dyDescent="0.2">
      <c r="A3083">
        <f>YEAR(D3083)</f>
        <v>2019</v>
      </c>
      <c r="B3083" t="s">
        <v>26</v>
      </c>
      <c r="C3083" s="2" t="s">
        <v>3020</v>
      </c>
      <c r="D3083" s="1">
        <v>43630</v>
      </c>
      <c r="E3083">
        <f>MONTH(D3083)</f>
        <v>6</v>
      </c>
      <c r="F3083" s="2" t="s">
        <v>2098</v>
      </c>
      <c r="G3083" t="s">
        <v>230</v>
      </c>
      <c r="H3083" t="s">
        <v>2260</v>
      </c>
      <c r="I3083" t="s">
        <v>36</v>
      </c>
      <c r="J3083" s="2" t="s">
        <v>42</v>
      </c>
      <c r="K3083" s="2" t="s">
        <v>3019</v>
      </c>
      <c r="L3083" t="s">
        <v>305</v>
      </c>
      <c r="M3083" s="8">
        <v>3.9023333330000001</v>
      </c>
      <c r="N3083" t="s">
        <v>26</v>
      </c>
      <c r="O3083" s="8">
        <v>3.9023333330000001</v>
      </c>
      <c r="P3083" s="8">
        <f>EXP(-1.363+3.366*LOG(O3083,10))</f>
        <v>1.8727310273101283</v>
      </c>
      <c r="Q3083" s="8">
        <f>(3359412*100)/3462762</f>
        <v>97.015388294084318</v>
      </c>
    </row>
    <row r="3084" spans="1:17" x14ac:dyDescent="0.2">
      <c r="A3084">
        <f>YEAR(D3084)</f>
        <v>2019</v>
      </c>
      <c r="B3084" t="s">
        <v>26</v>
      </c>
      <c r="C3084" s="2" t="s">
        <v>3020</v>
      </c>
      <c r="D3084" s="1">
        <v>43630</v>
      </c>
      <c r="E3084">
        <f>MONTH(D3084)</f>
        <v>6</v>
      </c>
      <c r="F3084" s="2" t="s">
        <v>2098</v>
      </c>
      <c r="G3084" t="s">
        <v>230</v>
      </c>
      <c r="H3084" t="s">
        <v>2260</v>
      </c>
      <c r="I3084" t="s">
        <v>36</v>
      </c>
      <c r="J3084" s="2" t="s">
        <v>42</v>
      </c>
      <c r="K3084" s="2" t="s">
        <v>3019</v>
      </c>
      <c r="L3084" t="s">
        <v>305</v>
      </c>
      <c r="M3084" s="8">
        <v>3.9023333330000001</v>
      </c>
      <c r="N3084" t="s">
        <v>26</v>
      </c>
      <c r="O3084" s="8">
        <v>3.9023333330000001</v>
      </c>
      <c r="P3084" s="8">
        <f>EXP(-1.363+3.366*LOG(O3084,10))</f>
        <v>1.8727310273101283</v>
      </c>
      <c r="Q3084" s="8">
        <f>(3359412*100)/3462762</f>
        <v>97.015388294084318</v>
      </c>
    </row>
    <row r="3085" spans="1:17" x14ac:dyDescent="0.2">
      <c r="A3085">
        <f>YEAR(D3085)</f>
        <v>2019</v>
      </c>
      <c r="B3085" t="s">
        <v>26</v>
      </c>
      <c r="C3085" s="2" t="s">
        <v>3020</v>
      </c>
      <c r="D3085" s="1">
        <v>43630</v>
      </c>
      <c r="E3085">
        <f>MONTH(D3085)</f>
        <v>6</v>
      </c>
      <c r="F3085" s="2" t="s">
        <v>2098</v>
      </c>
      <c r="G3085" t="s">
        <v>230</v>
      </c>
      <c r="H3085" t="s">
        <v>2260</v>
      </c>
      <c r="I3085" t="s">
        <v>36</v>
      </c>
      <c r="J3085" s="2" t="s">
        <v>42</v>
      </c>
      <c r="K3085" s="2" t="s">
        <v>3019</v>
      </c>
      <c r="L3085" t="s">
        <v>305</v>
      </c>
      <c r="M3085" s="8">
        <v>3.9023333330000001</v>
      </c>
      <c r="N3085" t="s">
        <v>26</v>
      </c>
      <c r="O3085" s="8">
        <v>3.9023333330000001</v>
      </c>
      <c r="P3085" s="8">
        <f>EXP(-1.363+3.366*LOG(O3085,10))</f>
        <v>1.8727310273101283</v>
      </c>
      <c r="Q3085" s="8">
        <f>(3359412*100)/3462762</f>
        <v>97.015388294084318</v>
      </c>
    </row>
    <row r="3086" spans="1:17" x14ac:dyDescent="0.2">
      <c r="A3086">
        <f>YEAR(D3086)</f>
        <v>2019</v>
      </c>
      <c r="B3086" t="s">
        <v>26</v>
      </c>
      <c r="C3086" s="2" t="s">
        <v>3024</v>
      </c>
      <c r="D3086" s="1">
        <v>43633</v>
      </c>
      <c r="E3086">
        <f>MONTH(D3086)</f>
        <v>6</v>
      </c>
      <c r="F3086" s="2" t="s">
        <v>2098</v>
      </c>
      <c r="G3086" t="s">
        <v>219</v>
      </c>
      <c r="H3086" t="s">
        <v>220</v>
      </c>
      <c r="I3086" t="s">
        <v>22</v>
      </c>
      <c r="J3086" s="2" t="s">
        <v>42</v>
      </c>
      <c r="K3086" s="2" t="s">
        <v>3019</v>
      </c>
      <c r="L3086" t="s">
        <v>25</v>
      </c>
      <c r="M3086" s="10" t="s">
        <v>26</v>
      </c>
      <c r="N3086" t="s">
        <v>26</v>
      </c>
      <c r="O3086" s="10" t="s">
        <v>26</v>
      </c>
      <c r="P3086" s="8" t="s">
        <v>26</v>
      </c>
      <c r="Q3086" s="8">
        <f>(2412691*100)/2623642</f>
        <v>91.959611867777696</v>
      </c>
    </row>
    <row r="3087" spans="1:17" x14ac:dyDescent="0.2">
      <c r="A3087">
        <f>YEAR(D3087)</f>
        <v>2019</v>
      </c>
      <c r="B3087" t="s">
        <v>26</v>
      </c>
      <c r="C3087" s="2" t="s">
        <v>3024</v>
      </c>
      <c r="D3087" s="1">
        <v>43633</v>
      </c>
      <c r="E3087">
        <f>MONTH(D3087)</f>
        <v>6</v>
      </c>
      <c r="F3087" s="2" t="s">
        <v>2098</v>
      </c>
      <c r="G3087" t="s">
        <v>219</v>
      </c>
      <c r="H3087" t="s">
        <v>220</v>
      </c>
      <c r="I3087" t="s">
        <v>22</v>
      </c>
      <c r="J3087" s="2" t="s">
        <v>42</v>
      </c>
      <c r="K3087" s="2" t="s">
        <v>3019</v>
      </c>
      <c r="L3087" t="s">
        <v>25</v>
      </c>
      <c r="M3087" s="10" t="s">
        <v>26</v>
      </c>
      <c r="N3087" t="s">
        <v>26</v>
      </c>
      <c r="O3087" s="10" t="s">
        <v>26</v>
      </c>
      <c r="P3087" s="8" t="s">
        <v>26</v>
      </c>
      <c r="Q3087" s="8">
        <f>(2412691*100)/2623642</f>
        <v>91.959611867777696</v>
      </c>
    </row>
    <row r="3088" spans="1:17" x14ac:dyDescent="0.2">
      <c r="A3088">
        <f>YEAR(D3088)</f>
        <v>2019</v>
      </c>
      <c r="B3088" t="s">
        <v>26</v>
      </c>
      <c r="C3088" s="2" t="s">
        <v>3024</v>
      </c>
      <c r="D3088" s="1">
        <v>43633</v>
      </c>
      <c r="E3088">
        <f>MONTH(D3088)</f>
        <v>6</v>
      </c>
      <c r="F3088" s="2" t="s">
        <v>2098</v>
      </c>
      <c r="G3088" t="s">
        <v>219</v>
      </c>
      <c r="H3088" t="s">
        <v>220</v>
      </c>
      <c r="I3088" t="s">
        <v>22</v>
      </c>
      <c r="J3088" s="2" t="s">
        <v>42</v>
      </c>
      <c r="K3088" s="2" t="s">
        <v>3019</v>
      </c>
      <c r="L3088" t="s">
        <v>25</v>
      </c>
      <c r="M3088" s="10" t="s">
        <v>26</v>
      </c>
      <c r="N3088" t="s">
        <v>26</v>
      </c>
      <c r="O3088" s="10" t="s">
        <v>26</v>
      </c>
      <c r="P3088" s="8" t="s">
        <v>26</v>
      </c>
      <c r="Q3088" s="8">
        <f>(2412691*100)/2623642</f>
        <v>91.959611867777696</v>
      </c>
    </row>
    <row r="3089" spans="1:17" x14ac:dyDescent="0.2">
      <c r="A3089">
        <f>YEAR(D3089)</f>
        <v>2019</v>
      </c>
      <c r="B3089" t="s">
        <v>26</v>
      </c>
      <c r="C3089" s="2" t="s">
        <v>3024</v>
      </c>
      <c r="D3089" s="1">
        <v>43633</v>
      </c>
      <c r="E3089">
        <f>MONTH(D3089)</f>
        <v>6</v>
      </c>
      <c r="F3089" s="2" t="s">
        <v>2098</v>
      </c>
      <c r="G3089" t="s">
        <v>219</v>
      </c>
      <c r="H3089" t="s">
        <v>220</v>
      </c>
      <c r="I3089" t="s">
        <v>22</v>
      </c>
      <c r="J3089" s="2" t="s">
        <v>42</v>
      </c>
      <c r="K3089" s="2" t="s">
        <v>3019</v>
      </c>
      <c r="L3089" t="s">
        <v>25</v>
      </c>
      <c r="M3089" s="10" t="s">
        <v>26</v>
      </c>
      <c r="N3089" t="s">
        <v>26</v>
      </c>
      <c r="O3089" s="10" t="s">
        <v>26</v>
      </c>
      <c r="P3089" s="8" t="s">
        <v>26</v>
      </c>
      <c r="Q3089" s="8">
        <f>(2412691*100)/2623642</f>
        <v>91.959611867777696</v>
      </c>
    </row>
    <row r="3090" spans="1:17" x14ac:dyDescent="0.2">
      <c r="A3090">
        <f>YEAR(D3090)</f>
        <v>2019</v>
      </c>
      <c r="B3090" t="s">
        <v>26</v>
      </c>
      <c r="C3090" s="2" t="s">
        <v>3024</v>
      </c>
      <c r="D3090" s="1">
        <v>43633</v>
      </c>
      <c r="E3090">
        <f>MONTH(D3090)</f>
        <v>6</v>
      </c>
      <c r="F3090" s="2" t="s">
        <v>2098</v>
      </c>
      <c r="G3090" t="s">
        <v>219</v>
      </c>
      <c r="H3090" t="s">
        <v>220</v>
      </c>
      <c r="I3090" t="s">
        <v>22</v>
      </c>
      <c r="J3090" s="2" t="s">
        <v>42</v>
      </c>
      <c r="K3090" s="2" t="s">
        <v>3019</v>
      </c>
      <c r="L3090" t="s">
        <v>25</v>
      </c>
      <c r="M3090" s="10" t="s">
        <v>26</v>
      </c>
      <c r="N3090" t="s">
        <v>26</v>
      </c>
      <c r="O3090" s="10" t="s">
        <v>26</v>
      </c>
      <c r="P3090" s="8" t="s">
        <v>26</v>
      </c>
      <c r="Q3090" s="8">
        <f>(2412691*100)/2623642</f>
        <v>91.959611867777696</v>
      </c>
    </row>
    <row r="3091" spans="1:17" x14ac:dyDescent="0.2">
      <c r="A3091">
        <f>YEAR(D3091)</f>
        <v>2019</v>
      </c>
      <c r="B3091" t="s">
        <v>26</v>
      </c>
      <c r="C3091" s="2" t="s">
        <v>3024</v>
      </c>
      <c r="D3091" s="1">
        <v>43633</v>
      </c>
      <c r="E3091">
        <f>MONTH(D3091)</f>
        <v>6</v>
      </c>
      <c r="F3091" s="2" t="s">
        <v>2098</v>
      </c>
      <c r="G3091" t="s">
        <v>219</v>
      </c>
      <c r="H3091" t="s">
        <v>220</v>
      </c>
      <c r="I3091" t="s">
        <v>22</v>
      </c>
      <c r="J3091" s="2" t="s">
        <v>42</v>
      </c>
      <c r="K3091" s="2" t="s">
        <v>3019</v>
      </c>
      <c r="L3091" t="s">
        <v>25</v>
      </c>
      <c r="M3091" s="10" t="s">
        <v>26</v>
      </c>
      <c r="N3091" t="s">
        <v>26</v>
      </c>
      <c r="O3091" s="10" t="s">
        <v>26</v>
      </c>
      <c r="P3091" s="8" t="s">
        <v>26</v>
      </c>
      <c r="Q3091" s="8">
        <f>(2412691*100)/2623642</f>
        <v>91.959611867777696</v>
      </c>
    </row>
    <row r="3092" spans="1:17" x14ac:dyDescent="0.2">
      <c r="A3092">
        <f>YEAR(D3092)</f>
        <v>2019</v>
      </c>
      <c r="B3092" t="s">
        <v>26</v>
      </c>
      <c r="C3092" s="2" t="s">
        <v>3024</v>
      </c>
      <c r="D3092" s="1">
        <v>43633</v>
      </c>
      <c r="E3092">
        <f>MONTH(D3092)</f>
        <v>6</v>
      </c>
      <c r="F3092" s="2" t="s">
        <v>2098</v>
      </c>
      <c r="G3092" t="s">
        <v>219</v>
      </c>
      <c r="H3092" t="s">
        <v>220</v>
      </c>
      <c r="I3092" t="s">
        <v>22</v>
      </c>
      <c r="J3092" s="2" t="s">
        <v>42</v>
      </c>
      <c r="K3092" s="2" t="s">
        <v>3019</v>
      </c>
      <c r="L3092" t="s">
        <v>25</v>
      </c>
      <c r="M3092" s="10" t="s">
        <v>26</v>
      </c>
      <c r="N3092" t="s">
        <v>26</v>
      </c>
      <c r="O3092" s="10" t="s">
        <v>26</v>
      </c>
      <c r="P3092" s="8" t="s">
        <v>26</v>
      </c>
      <c r="Q3092" s="8">
        <f>(2412691*100)/2623642</f>
        <v>91.959611867777696</v>
      </c>
    </row>
    <row r="3093" spans="1:17" x14ac:dyDescent="0.2">
      <c r="A3093">
        <f>YEAR(D3093)</f>
        <v>2019</v>
      </c>
      <c r="B3093" t="s">
        <v>26</v>
      </c>
      <c r="C3093" s="2" t="s">
        <v>3024</v>
      </c>
      <c r="D3093" s="1">
        <v>43633</v>
      </c>
      <c r="E3093">
        <f>MONTH(D3093)</f>
        <v>6</v>
      </c>
      <c r="F3093" s="2" t="s">
        <v>2098</v>
      </c>
      <c r="G3093" t="s">
        <v>219</v>
      </c>
      <c r="H3093" t="s">
        <v>220</v>
      </c>
      <c r="I3093" t="s">
        <v>22</v>
      </c>
      <c r="J3093" s="2" t="s">
        <v>42</v>
      </c>
      <c r="K3093" s="2" t="s">
        <v>3019</v>
      </c>
      <c r="L3093" t="s">
        <v>25</v>
      </c>
      <c r="M3093" s="10" t="s">
        <v>26</v>
      </c>
      <c r="N3093" t="s">
        <v>26</v>
      </c>
      <c r="O3093" s="10" t="s">
        <v>26</v>
      </c>
      <c r="P3093" s="8" t="s">
        <v>26</v>
      </c>
      <c r="Q3093" s="8">
        <f>(2412691*100)/2623642</f>
        <v>91.959611867777696</v>
      </c>
    </row>
    <row r="3094" spans="1:17" x14ac:dyDescent="0.2">
      <c r="A3094">
        <f>YEAR(D3094)</f>
        <v>2019</v>
      </c>
      <c r="B3094" t="s">
        <v>26</v>
      </c>
      <c r="C3094" s="2" t="s">
        <v>3024</v>
      </c>
      <c r="D3094" s="1">
        <v>43633</v>
      </c>
      <c r="E3094">
        <f>MONTH(D3094)</f>
        <v>6</v>
      </c>
      <c r="F3094" s="2" t="s">
        <v>2098</v>
      </c>
      <c r="G3094" t="s">
        <v>219</v>
      </c>
      <c r="H3094" t="s">
        <v>220</v>
      </c>
      <c r="I3094" t="s">
        <v>22</v>
      </c>
      <c r="J3094" s="2" t="s">
        <v>42</v>
      </c>
      <c r="K3094" s="2" t="s">
        <v>3019</v>
      </c>
      <c r="L3094" t="s">
        <v>25</v>
      </c>
      <c r="M3094" s="10" t="s">
        <v>26</v>
      </c>
      <c r="N3094" t="s">
        <v>26</v>
      </c>
      <c r="O3094" s="10" t="s">
        <v>26</v>
      </c>
      <c r="P3094" s="8" t="s">
        <v>26</v>
      </c>
      <c r="Q3094" s="8">
        <f>(2412691*100)/2623642</f>
        <v>91.959611867777696</v>
      </c>
    </row>
    <row r="3095" spans="1:17" x14ac:dyDescent="0.2">
      <c r="A3095">
        <f>YEAR(D3095)</f>
        <v>2019</v>
      </c>
      <c r="B3095" t="s">
        <v>26</v>
      </c>
      <c r="C3095" s="2" t="s">
        <v>3024</v>
      </c>
      <c r="D3095" s="1">
        <v>43633</v>
      </c>
      <c r="E3095">
        <f>MONTH(D3095)</f>
        <v>6</v>
      </c>
      <c r="F3095" s="2" t="s">
        <v>2098</v>
      </c>
      <c r="G3095" t="s">
        <v>219</v>
      </c>
      <c r="H3095" t="s">
        <v>220</v>
      </c>
      <c r="I3095" t="s">
        <v>22</v>
      </c>
      <c r="J3095" s="2" t="s">
        <v>42</v>
      </c>
      <c r="K3095" s="2" t="s">
        <v>3019</v>
      </c>
      <c r="L3095" t="s">
        <v>25</v>
      </c>
      <c r="M3095" s="10" t="s">
        <v>26</v>
      </c>
      <c r="N3095" t="s">
        <v>26</v>
      </c>
      <c r="O3095" s="10" t="s">
        <v>26</v>
      </c>
      <c r="P3095" s="8" t="s">
        <v>26</v>
      </c>
      <c r="Q3095" s="8">
        <f>(2412691*100)/2623642</f>
        <v>91.959611867777696</v>
      </c>
    </row>
    <row r="3096" spans="1:17" x14ac:dyDescent="0.2">
      <c r="A3096">
        <f>YEAR(D3096)</f>
        <v>2019</v>
      </c>
      <c r="B3096" t="s">
        <v>26</v>
      </c>
      <c r="C3096" s="2" t="s">
        <v>3024</v>
      </c>
      <c r="D3096" s="1">
        <v>43633</v>
      </c>
      <c r="E3096">
        <f>MONTH(D3096)</f>
        <v>6</v>
      </c>
      <c r="F3096" s="2" t="s">
        <v>2098</v>
      </c>
      <c r="G3096" t="s">
        <v>219</v>
      </c>
      <c r="H3096" t="s">
        <v>220</v>
      </c>
      <c r="I3096" t="s">
        <v>22</v>
      </c>
      <c r="J3096" s="2" t="s">
        <v>42</v>
      </c>
      <c r="K3096" s="2" t="s">
        <v>3019</v>
      </c>
      <c r="L3096" t="s">
        <v>25</v>
      </c>
      <c r="M3096" s="10" t="s">
        <v>26</v>
      </c>
      <c r="N3096" t="s">
        <v>26</v>
      </c>
      <c r="O3096" s="10" t="s">
        <v>26</v>
      </c>
      <c r="P3096" s="8" t="s">
        <v>26</v>
      </c>
      <c r="Q3096" s="8">
        <f>(2412691*100)/2623642</f>
        <v>91.959611867777696</v>
      </c>
    </row>
    <row r="3097" spans="1:17" x14ac:dyDescent="0.2">
      <c r="A3097">
        <f>YEAR(D3097)</f>
        <v>2019</v>
      </c>
      <c r="B3097" t="s">
        <v>26</v>
      </c>
      <c r="C3097" s="2" t="s">
        <v>3024</v>
      </c>
      <c r="D3097" s="1">
        <v>43633</v>
      </c>
      <c r="E3097">
        <f>MONTH(D3097)</f>
        <v>6</v>
      </c>
      <c r="F3097" s="2" t="s">
        <v>2098</v>
      </c>
      <c r="G3097" t="s">
        <v>219</v>
      </c>
      <c r="H3097" t="s">
        <v>220</v>
      </c>
      <c r="I3097" t="s">
        <v>22</v>
      </c>
      <c r="J3097" s="2" t="s">
        <v>42</v>
      </c>
      <c r="K3097" s="2" t="s">
        <v>3019</v>
      </c>
      <c r="L3097" t="s">
        <v>25</v>
      </c>
      <c r="M3097" s="10" t="s">
        <v>26</v>
      </c>
      <c r="N3097" t="s">
        <v>26</v>
      </c>
      <c r="O3097" s="10" t="s">
        <v>26</v>
      </c>
      <c r="P3097" s="8" t="s">
        <v>26</v>
      </c>
      <c r="Q3097" s="8">
        <f>(2412691*100)/2623642</f>
        <v>91.959611867777696</v>
      </c>
    </row>
    <row r="3098" spans="1:17" x14ac:dyDescent="0.2">
      <c r="A3098">
        <f>YEAR(D3098)</f>
        <v>2019</v>
      </c>
      <c r="B3098" t="s">
        <v>26</v>
      </c>
      <c r="C3098" s="2" t="s">
        <v>3024</v>
      </c>
      <c r="D3098" s="1">
        <v>43633</v>
      </c>
      <c r="E3098">
        <f>MONTH(D3098)</f>
        <v>6</v>
      </c>
      <c r="F3098" s="2" t="s">
        <v>2098</v>
      </c>
      <c r="G3098" t="s">
        <v>219</v>
      </c>
      <c r="H3098" t="s">
        <v>220</v>
      </c>
      <c r="I3098" t="s">
        <v>22</v>
      </c>
      <c r="J3098" s="2" t="s">
        <v>42</v>
      </c>
      <c r="K3098" s="2" t="s">
        <v>3019</v>
      </c>
      <c r="L3098" t="s">
        <v>25</v>
      </c>
      <c r="M3098" s="10" t="s">
        <v>26</v>
      </c>
      <c r="N3098" t="s">
        <v>26</v>
      </c>
      <c r="O3098" s="10" t="s">
        <v>26</v>
      </c>
      <c r="P3098" s="8" t="s">
        <v>26</v>
      </c>
      <c r="Q3098" s="8">
        <f>(2412691*100)/2623642</f>
        <v>91.959611867777696</v>
      </c>
    </row>
    <row r="3099" spans="1:17" x14ac:dyDescent="0.2">
      <c r="A3099">
        <f>YEAR(D3099)</f>
        <v>2019</v>
      </c>
      <c r="B3099" t="s">
        <v>26</v>
      </c>
      <c r="C3099" s="2" t="s">
        <v>3024</v>
      </c>
      <c r="D3099" s="1">
        <v>43633</v>
      </c>
      <c r="E3099">
        <f>MONTH(D3099)</f>
        <v>6</v>
      </c>
      <c r="F3099" s="2" t="s">
        <v>2098</v>
      </c>
      <c r="G3099" t="s">
        <v>20</v>
      </c>
      <c r="H3099" t="s">
        <v>149</v>
      </c>
      <c r="I3099" t="s">
        <v>36</v>
      </c>
      <c r="J3099" s="2" t="s">
        <v>42</v>
      </c>
      <c r="K3099" s="2" t="s">
        <v>3019</v>
      </c>
      <c r="L3099" t="s">
        <v>25</v>
      </c>
      <c r="M3099" s="8">
        <v>1.032666667</v>
      </c>
      <c r="N3099" t="s">
        <v>26</v>
      </c>
      <c r="O3099" s="8">
        <v>1.032666667</v>
      </c>
      <c r="P3099" s="8">
        <f>EXP(-1.363+3.366*LOG(O3099,10))</f>
        <v>0.26820327281159584</v>
      </c>
      <c r="Q3099" s="8">
        <f>(2412691*100)/2623642</f>
        <v>91.959611867777696</v>
      </c>
    </row>
    <row r="3100" spans="1:17" x14ac:dyDescent="0.2">
      <c r="A3100">
        <f>YEAR(D3100)</f>
        <v>2019</v>
      </c>
      <c r="B3100" t="s">
        <v>26</v>
      </c>
      <c r="C3100" s="2" t="s">
        <v>3024</v>
      </c>
      <c r="D3100" s="1">
        <v>43633</v>
      </c>
      <c r="E3100">
        <f>MONTH(D3100)</f>
        <v>6</v>
      </c>
      <c r="F3100" s="2" t="s">
        <v>2098</v>
      </c>
      <c r="G3100" t="s">
        <v>1520</v>
      </c>
      <c r="H3100" t="s">
        <v>1925</v>
      </c>
      <c r="I3100" t="s">
        <v>22</v>
      </c>
      <c r="J3100" s="2" t="s">
        <v>42</v>
      </c>
      <c r="K3100" s="2" t="s">
        <v>3019</v>
      </c>
      <c r="L3100" t="s">
        <v>25</v>
      </c>
      <c r="M3100" s="8">
        <v>2.3010000000000002</v>
      </c>
      <c r="N3100" t="s">
        <v>26</v>
      </c>
      <c r="O3100" s="8">
        <v>2.3010000000000002</v>
      </c>
      <c r="P3100" s="8">
        <f>EXP(-1.363+3.366*LOG(O3100,10))</f>
        <v>0.86520512489057888</v>
      </c>
      <c r="Q3100" s="8">
        <f>(2412691*100)/2623642</f>
        <v>91.959611867777696</v>
      </c>
    </row>
    <row r="3101" spans="1:17" x14ac:dyDescent="0.2">
      <c r="A3101">
        <f>YEAR(D3101)</f>
        <v>2019</v>
      </c>
      <c r="B3101" t="s">
        <v>26</v>
      </c>
      <c r="C3101" s="2" t="s">
        <v>3024</v>
      </c>
      <c r="D3101" s="1">
        <v>43633</v>
      </c>
      <c r="E3101">
        <f>MONTH(D3101)</f>
        <v>6</v>
      </c>
      <c r="F3101" s="2" t="s">
        <v>2098</v>
      </c>
      <c r="G3101" t="s">
        <v>352</v>
      </c>
      <c r="H3101" t="s">
        <v>975</v>
      </c>
      <c r="I3101" t="s">
        <v>22</v>
      </c>
      <c r="J3101" s="2" t="s">
        <v>42</v>
      </c>
      <c r="K3101" s="2" t="s">
        <v>3019</v>
      </c>
      <c r="L3101" t="s">
        <v>25</v>
      </c>
      <c r="M3101" s="8">
        <v>1.0693333330000001</v>
      </c>
      <c r="N3101" t="s">
        <v>26</v>
      </c>
      <c r="O3101" s="8">
        <v>1.0693333330000001</v>
      </c>
      <c r="P3101" s="8">
        <f>EXP(-1.363+3.366*LOG(O3101,10))</f>
        <v>0.28223780327142356</v>
      </c>
      <c r="Q3101" s="8">
        <f>(2412691*100)/2623642</f>
        <v>91.959611867777696</v>
      </c>
    </row>
    <row r="3102" spans="1:17" x14ac:dyDescent="0.2">
      <c r="A3102">
        <f>YEAR(D3102)</f>
        <v>2019</v>
      </c>
      <c r="B3102" t="s">
        <v>26</v>
      </c>
      <c r="C3102" s="2" t="s">
        <v>3020</v>
      </c>
      <c r="D3102" s="1">
        <v>43630</v>
      </c>
      <c r="E3102">
        <f>MONTH(D3102)</f>
        <v>6</v>
      </c>
      <c r="F3102" s="2" t="s">
        <v>2098</v>
      </c>
      <c r="G3102" t="s">
        <v>219</v>
      </c>
      <c r="H3102" t="s">
        <v>220</v>
      </c>
      <c r="I3102" t="s">
        <v>22</v>
      </c>
      <c r="J3102" s="2" t="s">
        <v>42</v>
      </c>
      <c r="K3102" s="2" t="s">
        <v>3019</v>
      </c>
      <c r="L3102" t="s">
        <v>25</v>
      </c>
      <c r="M3102" s="10" t="s">
        <v>26</v>
      </c>
      <c r="N3102" t="s">
        <v>26</v>
      </c>
      <c r="O3102" s="10" t="s">
        <v>26</v>
      </c>
      <c r="P3102" s="8" t="s">
        <v>26</v>
      </c>
      <c r="Q3102" s="8">
        <f>(3359412*100)/3462762</f>
        <v>97.015388294084318</v>
      </c>
    </row>
    <row r="3103" spans="1:17" x14ac:dyDescent="0.2">
      <c r="A3103">
        <f>YEAR(D3103)</f>
        <v>2019</v>
      </c>
      <c r="B3103" t="s">
        <v>26</v>
      </c>
      <c r="C3103" s="2" t="s">
        <v>3020</v>
      </c>
      <c r="D3103" s="1">
        <v>43630</v>
      </c>
      <c r="E3103">
        <f>MONTH(D3103)</f>
        <v>6</v>
      </c>
      <c r="F3103" s="2" t="s">
        <v>2098</v>
      </c>
      <c r="G3103" t="s">
        <v>219</v>
      </c>
      <c r="H3103" t="s">
        <v>220</v>
      </c>
      <c r="I3103" t="s">
        <v>22</v>
      </c>
      <c r="J3103" s="2" t="s">
        <v>42</v>
      </c>
      <c r="K3103" s="2" t="s">
        <v>3019</v>
      </c>
      <c r="L3103" t="s">
        <v>25</v>
      </c>
      <c r="M3103" s="10" t="s">
        <v>26</v>
      </c>
      <c r="N3103" t="s">
        <v>26</v>
      </c>
      <c r="O3103" s="10" t="s">
        <v>26</v>
      </c>
      <c r="P3103" s="8" t="s">
        <v>26</v>
      </c>
      <c r="Q3103" s="8">
        <f>(3359412*100)/3462762</f>
        <v>97.015388294084318</v>
      </c>
    </row>
    <row r="3104" spans="1:17" x14ac:dyDescent="0.2">
      <c r="A3104">
        <f>YEAR(D3104)</f>
        <v>2019</v>
      </c>
      <c r="B3104" t="s">
        <v>26</v>
      </c>
      <c r="C3104" s="2" t="s">
        <v>3024</v>
      </c>
      <c r="D3104" s="1">
        <v>43633</v>
      </c>
      <c r="E3104">
        <f>MONTH(D3104)</f>
        <v>6</v>
      </c>
      <c r="F3104" s="2" t="s">
        <v>2098</v>
      </c>
      <c r="G3104" t="s">
        <v>230</v>
      </c>
      <c r="H3104" t="s">
        <v>268</v>
      </c>
      <c r="I3104" t="s">
        <v>22</v>
      </c>
      <c r="J3104" s="2" t="s">
        <v>42</v>
      </c>
      <c r="K3104" s="2" t="s">
        <v>3019</v>
      </c>
      <c r="L3104" t="s">
        <v>25</v>
      </c>
      <c r="M3104" s="8">
        <v>3.5356666670000001</v>
      </c>
      <c r="N3104" t="s">
        <v>26</v>
      </c>
      <c r="O3104" s="8">
        <v>3.5356666670000001</v>
      </c>
      <c r="P3104" s="8">
        <f>EXP(-1.363+3.366*LOG(O3104,10))</f>
        <v>1.6211802664427075</v>
      </c>
      <c r="Q3104" s="8">
        <f>(2412691*100)/2623642</f>
        <v>91.959611867777696</v>
      </c>
    </row>
    <row r="3105" spans="1:17" x14ac:dyDescent="0.2">
      <c r="A3105">
        <f>YEAR(D3105)</f>
        <v>2019</v>
      </c>
      <c r="B3105" t="s">
        <v>26</v>
      </c>
      <c r="C3105" s="2" t="s">
        <v>3024</v>
      </c>
      <c r="D3105" s="1">
        <v>43633</v>
      </c>
      <c r="E3105">
        <f>MONTH(D3105)</f>
        <v>6</v>
      </c>
      <c r="F3105" s="2" t="s">
        <v>2098</v>
      </c>
      <c r="G3105" t="s">
        <v>230</v>
      </c>
      <c r="H3105" t="s">
        <v>268</v>
      </c>
      <c r="I3105" t="s">
        <v>22</v>
      </c>
      <c r="J3105" s="2" t="s">
        <v>42</v>
      </c>
      <c r="K3105" s="2" t="s">
        <v>3019</v>
      </c>
      <c r="L3105" t="s">
        <v>25</v>
      </c>
      <c r="M3105" s="8">
        <v>3.5356666670000001</v>
      </c>
      <c r="N3105" t="s">
        <v>26</v>
      </c>
      <c r="O3105" s="8">
        <v>3.5356666670000001</v>
      </c>
      <c r="P3105" s="8">
        <f>EXP(-1.363+3.366*LOG(O3105,10))</f>
        <v>1.6211802664427075</v>
      </c>
      <c r="Q3105" s="8">
        <f>(2412691*100)/2623642</f>
        <v>91.959611867777696</v>
      </c>
    </row>
    <row r="3106" spans="1:17" x14ac:dyDescent="0.2">
      <c r="A3106">
        <f>YEAR(D3106)</f>
        <v>2019</v>
      </c>
      <c r="B3106" t="s">
        <v>26</v>
      </c>
      <c r="C3106" s="2" t="s">
        <v>3024</v>
      </c>
      <c r="D3106" s="1">
        <v>43633</v>
      </c>
      <c r="E3106">
        <f>MONTH(D3106)</f>
        <v>6</v>
      </c>
      <c r="F3106" s="2" t="s">
        <v>2098</v>
      </c>
      <c r="G3106" t="s">
        <v>1520</v>
      </c>
      <c r="H3106" t="s">
        <v>1528</v>
      </c>
      <c r="I3106" t="s">
        <v>22</v>
      </c>
      <c r="J3106" s="2" t="s">
        <v>42</v>
      </c>
      <c r="K3106" s="2" t="s">
        <v>3019</v>
      </c>
      <c r="L3106" t="s">
        <v>25</v>
      </c>
      <c r="M3106" s="8">
        <v>3.624333333</v>
      </c>
      <c r="N3106" t="s">
        <v>26</v>
      </c>
      <c r="O3106" s="8">
        <v>3.624333333</v>
      </c>
      <c r="P3106" s="8">
        <f>EXP(-1.363+3.366*LOG(O3106,10))</f>
        <v>1.6809546844949765</v>
      </c>
      <c r="Q3106" s="8">
        <f>(2412691*100)/2623642</f>
        <v>91.959611867777696</v>
      </c>
    </row>
    <row r="3107" spans="1:17" x14ac:dyDescent="0.2">
      <c r="A3107">
        <f>YEAR(D3107)</f>
        <v>2019</v>
      </c>
      <c r="B3107" t="s">
        <v>26</v>
      </c>
      <c r="C3107" s="2" t="s">
        <v>3024</v>
      </c>
      <c r="D3107" s="1">
        <v>43633</v>
      </c>
      <c r="E3107">
        <f>MONTH(D3107)</f>
        <v>6</v>
      </c>
      <c r="F3107" s="2" t="s">
        <v>2098</v>
      </c>
      <c r="G3107" t="s">
        <v>1532</v>
      </c>
      <c r="H3107" t="s">
        <v>1533</v>
      </c>
      <c r="I3107" t="s">
        <v>22</v>
      </c>
      <c r="J3107" s="2" t="s">
        <v>42</v>
      </c>
      <c r="K3107" s="2" t="s">
        <v>3019</v>
      </c>
      <c r="L3107" t="s">
        <v>25</v>
      </c>
      <c r="M3107" s="8">
        <v>3.08</v>
      </c>
      <c r="N3107" t="s">
        <v>26</v>
      </c>
      <c r="O3107" s="8">
        <v>3.08</v>
      </c>
      <c r="P3107" s="8">
        <f>EXP(-1.363+3.366*LOG(O3107,10))</f>
        <v>1.3250652609076723</v>
      </c>
      <c r="Q3107" s="8">
        <f>(2412691*100)/2623642</f>
        <v>91.959611867777696</v>
      </c>
    </row>
    <row r="3108" spans="1:17" x14ac:dyDescent="0.2">
      <c r="A3108">
        <f>YEAR(D3108)</f>
        <v>2019</v>
      </c>
      <c r="B3108" t="s">
        <v>26</v>
      </c>
      <c r="C3108" s="2" t="s">
        <v>3024</v>
      </c>
      <c r="D3108" s="1">
        <v>43633</v>
      </c>
      <c r="E3108">
        <f>MONTH(D3108)</f>
        <v>6</v>
      </c>
      <c r="F3108" s="2" t="s">
        <v>2098</v>
      </c>
      <c r="G3108" t="s">
        <v>352</v>
      </c>
      <c r="H3108" t="s">
        <v>1142</v>
      </c>
      <c r="I3108" t="s">
        <v>22</v>
      </c>
      <c r="J3108" s="2" t="s">
        <v>42</v>
      </c>
      <c r="K3108" s="2" t="s">
        <v>3019</v>
      </c>
      <c r="L3108" t="s">
        <v>25</v>
      </c>
      <c r="M3108" s="8">
        <v>1.1423333330000001</v>
      </c>
      <c r="N3108" t="s">
        <v>26</v>
      </c>
      <c r="O3108" s="8">
        <v>1.1423333330000001</v>
      </c>
      <c r="P3108" s="8">
        <f>EXP(-1.363+3.366*LOG(O3108,10))</f>
        <v>0.31084239358261528</v>
      </c>
      <c r="Q3108" s="8">
        <f>(2412691*100)/2623642</f>
        <v>91.959611867777696</v>
      </c>
    </row>
    <row r="3109" spans="1:17" x14ac:dyDescent="0.2">
      <c r="A3109">
        <f>YEAR(D3109)</f>
        <v>2019</v>
      </c>
      <c r="B3109" t="s">
        <v>26</v>
      </c>
      <c r="C3109" s="2" t="s">
        <v>3024</v>
      </c>
      <c r="D3109" s="1">
        <v>43633</v>
      </c>
      <c r="E3109">
        <f>MONTH(D3109)</f>
        <v>6</v>
      </c>
      <c r="F3109" s="2" t="s">
        <v>2098</v>
      </c>
      <c r="G3109" t="s">
        <v>352</v>
      </c>
      <c r="H3109" t="s">
        <v>1142</v>
      </c>
      <c r="I3109" t="s">
        <v>22</v>
      </c>
      <c r="J3109" s="2" t="s">
        <v>42</v>
      </c>
      <c r="K3109" s="2" t="s">
        <v>3019</v>
      </c>
      <c r="L3109" t="s">
        <v>25</v>
      </c>
      <c r="M3109" s="8">
        <v>1.1423333330000001</v>
      </c>
      <c r="N3109" t="s">
        <v>26</v>
      </c>
      <c r="O3109" s="8">
        <v>1.1423333330000001</v>
      </c>
      <c r="P3109" s="8">
        <f>EXP(-1.363+3.366*LOG(O3109,10))</f>
        <v>0.31084239358261528</v>
      </c>
      <c r="Q3109" s="8">
        <f>(2412691*100)/2623642</f>
        <v>91.959611867777696</v>
      </c>
    </row>
    <row r="3110" spans="1:17" x14ac:dyDescent="0.2">
      <c r="A3110">
        <f>YEAR(D3110)</f>
        <v>2019</v>
      </c>
      <c r="B3110" t="s">
        <v>26</v>
      </c>
      <c r="C3110" s="2" t="s">
        <v>3024</v>
      </c>
      <c r="D3110" s="1">
        <v>43633</v>
      </c>
      <c r="E3110">
        <f>MONTH(D3110)</f>
        <v>6</v>
      </c>
      <c r="F3110" s="2" t="s">
        <v>2098</v>
      </c>
      <c r="G3110" t="s">
        <v>352</v>
      </c>
      <c r="H3110" t="s">
        <v>623</v>
      </c>
      <c r="I3110" t="s">
        <v>22</v>
      </c>
      <c r="J3110" s="2" t="s">
        <v>42</v>
      </c>
      <c r="K3110" s="2" t="s">
        <v>3019</v>
      </c>
      <c r="L3110" t="s">
        <v>25</v>
      </c>
      <c r="M3110" s="8">
        <v>1.387</v>
      </c>
      <c r="N3110" t="s">
        <v>26</v>
      </c>
      <c r="O3110" s="8">
        <v>1.387</v>
      </c>
      <c r="P3110" s="8">
        <f>EXP(-1.363+3.366*LOG(O3110,10))</f>
        <v>0.41280884754947733</v>
      </c>
      <c r="Q3110" s="8">
        <f>(2412691*100)/2623642</f>
        <v>91.959611867777696</v>
      </c>
    </row>
    <row r="3111" spans="1:17" x14ac:dyDescent="0.2">
      <c r="A3111">
        <f>YEAR(D3111)</f>
        <v>2019</v>
      </c>
      <c r="B3111" t="s">
        <v>26</v>
      </c>
      <c r="C3111" s="2" t="s">
        <v>3024</v>
      </c>
      <c r="D3111" s="1">
        <v>43633</v>
      </c>
      <c r="E3111">
        <f>MONTH(D3111)</f>
        <v>6</v>
      </c>
      <c r="F3111" s="2" t="s">
        <v>2098</v>
      </c>
      <c r="G3111" t="s">
        <v>352</v>
      </c>
      <c r="H3111" t="s">
        <v>1142</v>
      </c>
      <c r="I3111" t="s">
        <v>22</v>
      </c>
      <c r="J3111" s="2" t="s">
        <v>42</v>
      </c>
      <c r="K3111" s="2" t="s">
        <v>3019</v>
      </c>
      <c r="L3111" t="s">
        <v>25</v>
      </c>
      <c r="M3111" s="8">
        <v>1.1423333330000001</v>
      </c>
      <c r="N3111" t="s">
        <v>26</v>
      </c>
      <c r="O3111" s="8">
        <v>1.1423333330000001</v>
      </c>
      <c r="P3111" s="8">
        <f>EXP(-1.363+3.366*LOG(O3111,10))</f>
        <v>0.31084239358261528</v>
      </c>
      <c r="Q3111" s="8">
        <f>(2412691*100)/2623642</f>
        <v>91.959611867777696</v>
      </c>
    </row>
    <row r="3112" spans="1:17" x14ac:dyDescent="0.2">
      <c r="A3112">
        <f>YEAR(D3112)</f>
        <v>2019</v>
      </c>
      <c r="B3112" t="s">
        <v>26</v>
      </c>
      <c r="C3112" s="2" t="s">
        <v>3024</v>
      </c>
      <c r="D3112" s="1">
        <v>43633</v>
      </c>
      <c r="E3112">
        <f>MONTH(D3112)</f>
        <v>6</v>
      </c>
      <c r="F3112" s="2" t="s">
        <v>2098</v>
      </c>
      <c r="G3112" t="s">
        <v>219</v>
      </c>
      <c r="H3112" t="s">
        <v>220</v>
      </c>
      <c r="I3112" t="s">
        <v>22</v>
      </c>
      <c r="J3112" s="2" t="s">
        <v>42</v>
      </c>
      <c r="K3112" s="2" t="s">
        <v>3019</v>
      </c>
      <c r="L3112" t="s">
        <v>25</v>
      </c>
      <c r="M3112" s="10" t="s">
        <v>26</v>
      </c>
      <c r="N3112" t="s">
        <v>26</v>
      </c>
      <c r="O3112" s="10" t="s">
        <v>26</v>
      </c>
      <c r="P3112" s="8" t="s">
        <v>26</v>
      </c>
      <c r="Q3112" s="8">
        <f>(2412691*100)/2623642</f>
        <v>91.959611867777696</v>
      </c>
    </row>
    <row r="3113" spans="1:17" x14ac:dyDescent="0.2">
      <c r="A3113">
        <f>YEAR(D3113)</f>
        <v>2019</v>
      </c>
      <c r="B3113" t="s">
        <v>26</v>
      </c>
      <c r="C3113" s="2" t="s">
        <v>3024</v>
      </c>
      <c r="D3113" s="1">
        <v>43633</v>
      </c>
      <c r="E3113">
        <f>MONTH(D3113)</f>
        <v>6</v>
      </c>
      <c r="F3113" s="2" t="s">
        <v>2098</v>
      </c>
      <c r="G3113" t="s">
        <v>219</v>
      </c>
      <c r="H3113" t="s">
        <v>220</v>
      </c>
      <c r="I3113" t="s">
        <v>22</v>
      </c>
      <c r="J3113" s="2" t="s">
        <v>42</v>
      </c>
      <c r="K3113" s="2" t="s">
        <v>3019</v>
      </c>
      <c r="L3113" t="s">
        <v>25</v>
      </c>
      <c r="M3113" s="10" t="s">
        <v>26</v>
      </c>
      <c r="N3113" t="s">
        <v>26</v>
      </c>
      <c r="O3113" s="10" t="s">
        <v>26</v>
      </c>
      <c r="P3113" s="8" t="s">
        <v>26</v>
      </c>
      <c r="Q3113" s="8">
        <f>(2412691*100)/2623642</f>
        <v>91.959611867777696</v>
      </c>
    </row>
    <row r="3114" spans="1:17" x14ac:dyDescent="0.2">
      <c r="A3114">
        <f>YEAR(D3114)</f>
        <v>2019</v>
      </c>
      <c r="B3114" t="s">
        <v>26</v>
      </c>
      <c r="C3114" s="2" t="s">
        <v>3024</v>
      </c>
      <c r="D3114" s="1">
        <v>43633</v>
      </c>
      <c r="E3114">
        <f>MONTH(D3114)</f>
        <v>6</v>
      </c>
      <c r="F3114" s="2" t="s">
        <v>2098</v>
      </c>
      <c r="G3114" t="s">
        <v>219</v>
      </c>
      <c r="H3114" t="s">
        <v>220</v>
      </c>
      <c r="I3114" t="s">
        <v>22</v>
      </c>
      <c r="J3114" s="2" t="s">
        <v>42</v>
      </c>
      <c r="K3114" s="2" t="s">
        <v>3019</v>
      </c>
      <c r="L3114" t="s">
        <v>25</v>
      </c>
      <c r="M3114" s="10" t="s">
        <v>26</v>
      </c>
      <c r="N3114" t="s">
        <v>26</v>
      </c>
      <c r="O3114" s="10" t="s">
        <v>26</v>
      </c>
      <c r="P3114" s="8" t="s">
        <v>26</v>
      </c>
      <c r="Q3114" s="8">
        <f>(2412691*100)/2623642</f>
        <v>91.959611867777696</v>
      </c>
    </row>
    <row r="3115" spans="1:17" x14ac:dyDescent="0.2">
      <c r="A3115">
        <f>YEAR(D3115)</f>
        <v>2019</v>
      </c>
      <c r="B3115" t="s">
        <v>26</v>
      </c>
      <c r="C3115" s="2" t="s">
        <v>3024</v>
      </c>
      <c r="D3115" s="1">
        <v>43633</v>
      </c>
      <c r="E3115">
        <f>MONTH(D3115)</f>
        <v>6</v>
      </c>
      <c r="F3115" s="2" t="s">
        <v>2098</v>
      </c>
      <c r="G3115" t="s">
        <v>219</v>
      </c>
      <c r="H3115" t="s">
        <v>220</v>
      </c>
      <c r="I3115" t="s">
        <v>22</v>
      </c>
      <c r="J3115" s="2" t="s">
        <v>42</v>
      </c>
      <c r="K3115" s="2" t="s">
        <v>3019</v>
      </c>
      <c r="L3115" t="s">
        <v>25</v>
      </c>
      <c r="M3115" s="10" t="s">
        <v>26</v>
      </c>
      <c r="N3115" t="s">
        <v>26</v>
      </c>
      <c r="O3115" s="10" t="s">
        <v>26</v>
      </c>
      <c r="P3115" s="8" t="s">
        <v>26</v>
      </c>
      <c r="Q3115" s="8">
        <f>(2412691*100)/2623642</f>
        <v>91.959611867777696</v>
      </c>
    </row>
    <row r="3116" spans="1:17" x14ac:dyDescent="0.2">
      <c r="A3116">
        <f>YEAR(D3116)</f>
        <v>2019</v>
      </c>
      <c r="B3116" t="s">
        <v>26</v>
      </c>
      <c r="C3116" s="2" t="s">
        <v>3024</v>
      </c>
      <c r="D3116" s="1">
        <v>43633</v>
      </c>
      <c r="E3116">
        <f>MONTH(D3116)</f>
        <v>6</v>
      </c>
      <c r="F3116" s="2" t="s">
        <v>2098</v>
      </c>
      <c r="G3116" t="s">
        <v>219</v>
      </c>
      <c r="H3116" t="s">
        <v>220</v>
      </c>
      <c r="I3116" t="s">
        <v>22</v>
      </c>
      <c r="J3116" s="2" t="s">
        <v>42</v>
      </c>
      <c r="K3116" s="2" t="s">
        <v>3019</v>
      </c>
      <c r="L3116" t="s">
        <v>25</v>
      </c>
      <c r="M3116" s="10" t="s">
        <v>26</v>
      </c>
      <c r="N3116" t="s">
        <v>26</v>
      </c>
      <c r="O3116" s="10" t="s">
        <v>26</v>
      </c>
      <c r="P3116" s="8" t="s">
        <v>26</v>
      </c>
      <c r="Q3116" s="8">
        <f>(2412691*100)/2623642</f>
        <v>91.959611867777696</v>
      </c>
    </row>
    <row r="3117" spans="1:17" x14ac:dyDescent="0.2">
      <c r="A3117">
        <f>YEAR(D3117)</f>
        <v>2019</v>
      </c>
      <c r="B3117" t="s">
        <v>26</v>
      </c>
      <c r="C3117" s="2" t="s">
        <v>3024</v>
      </c>
      <c r="D3117" s="1">
        <v>43633</v>
      </c>
      <c r="E3117">
        <f>MONTH(D3117)</f>
        <v>6</v>
      </c>
      <c r="F3117" s="2" t="s">
        <v>2098</v>
      </c>
      <c r="G3117" t="s">
        <v>219</v>
      </c>
      <c r="H3117" t="s">
        <v>220</v>
      </c>
      <c r="I3117" t="s">
        <v>22</v>
      </c>
      <c r="J3117" s="2" t="s">
        <v>42</v>
      </c>
      <c r="K3117" s="2" t="s">
        <v>3019</v>
      </c>
      <c r="L3117" t="s">
        <v>25</v>
      </c>
      <c r="M3117" s="10" t="s">
        <v>26</v>
      </c>
      <c r="N3117" t="s">
        <v>26</v>
      </c>
      <c r="O3117" s="10" t="s">
        <v>26</v>
      </c>
      <c r="P3117" s="8" t="s">
        <v>26</v>
      </c>
      <c r="Q3117" s="8">
        <f>(2412691*100)/2623642</f>
        <v>91.959611867777696</v>
      </c>
    </row>
    <row r="3118" spans="1:17" x14ac:dyDescent="0.2">
      <c r="A3118">
        <f>YEAR(D3118)</f>
        <v>2019</v>
      </c>
      <c r="B3118" t="s">
        <v>26</v>
      </c>
      <c r="C3118" s="2" t="s">
        <v>3024</v>
      </c>
      <c r="D3118" s="1">
        <v>43633</v>
      </c>
      <c r="E3118">
        <f>MONTH(D3118)</f>
        <v>6</v>
      </c>
      <c r="F3118" s="2" t="s">
        <v>2098</v>
      </c>
      <c r="G3118" t="s">
        <v>219</v>
      </c>
      <c r="H3118" t="s">
        <v>220</v>
      </c>
      <c r="I3118" t="s">
        <v>22</v>
      </c>
      <c r="J3118" s="2" t="s">
        <v>42</v>
      </c>
      <c r="K3118" s="2" t="s">
        <v>3019</v>
      </c>
      <c r="L3118" t="s">
        <v>25</v>
      </c>
      <c r="M3118" s="10" t="s">
        <v>26</v>
      </c>
      <c r="N3118" t="s">
        <v>26</v>
      </c>
      <c r="O3118" s="10" t="s">
        <v>26</v>
      </c>
      <c r="P3118" s="8" t="s">
        <v>26</v>
      </c>
      <c r="Q3118" s="8">
        <f>(2412691*100)/2623642</f>
        <v>91.959611867777696</v>
      </c>
    </row>
    <row r="3119" spans="1:17" x14ac:dyDescent="0.2">
      <c r="A3119">
        <f>YEAR(D3119)</f>
        <v>2019</v>
      </c>
      <c r="B3119" t="s">
        <v>26</v>
      </c>
      <c r="C3119" s="2" t="s">
        <v>3024</v>
      </c>
      <c r="D3119" s="1">
        <v>43633</v>
      </c>
      <c r="E3119">
        <f>MONTH(D3119)</f>
        <v>6</v>
      </c>
      <c r="F3119" s="2" t="s">
        <v>2098</v>
      </c>
      <c r="G3119" t="s">
        <v>219</v>
      </c>
      <c r="H3119" t="s">
        <v>220</v>
      </c>
      <c r="I3119" t="s">
        <v>22</v>
      </c>
      <c r="J3119" s="2" t="s">
        <v>42</v>
      </c>
      <c r="K3119" s="2" t="s">
        <v>3019</v>
      </c>
      <c r="L3119" t="s">
        <v>25</v>
      </c>
      <c r="M3119" s="10" t="s">
        <v>26</v>
      </c>
      <c r="N3119" t="s">
        <v>26</v>
      </c>
      <c r="O3119" s="10" t="s">
        <v>26</v>
      </c>
      <c r="P3119" s="8" t="s">
        <v>26</v>
      </c>
      <c r="Q3119" s="8">
        <f>(2412691*100)/2623642</f>
        <v>91.959611867777696</v>
      </c>
    </row>
    <row r="3120" spans="1:17" x14ac:dyDescent="0.2">
      <c r="A3120">
        <f>YEAR(D3120)</f>
        <v>2019</v>
      </c>
      <c r="B3120" t="s">
        <v>26</v>
      </c>
      <c r="C3120" s="2" t="s">
        <v>3024</v>
      </c>
      <c r="D3120" s="1">
        <v>43633</v>
      </c>
      <c r="E3120">
        <f>MONTH(D3120)</f>
        <v>6</v>
      </c>
      <c r="F3120" s="2" t="s">
        <v>2098</v>
      </c>
      <c r="G3120" t="s">
        <v>219</v>
      </c>
      <c r="H3120" t="s">
        <v>220</v>
      </c>
      <c r="I3120" t="s">
        <v>22</v>
      </c>
      <c r="J3120" s="2" t="s">
        <v>42</v>
      </c>
      <c r="K3120" s="2" t="s">
        <v>3019</v>
      </c>
      <c r="L3120" t="s">
        <v>25</v>
      </c>
      <c r="M3120" s="10" t="s">
        <v>26</v>
      </c>
      <c r="N3120" t="s">
        <v>26</v>
      </c>
      <c r="O3120" s="10" t="s">
        <v>26</v>
      </c>
      <c r="P3120" s="8" t="s">
        <v>26</v>
      </c>
      <c r="Q3120" s="8">
        <f>(2412691*100)/2623642</f>
        <v>91.959611867777696</v>
      </c>
    </row>
    <row r="3121" spans="1:17" x14ac:dyDescent="0.2">
      <c r="A3121">
        <f>YEAR(D3121)</f>
        <v>2019</v>
      </c>
      <c r="B3121" t="s">
        <v>26</v>
      </c>
      <c r="C3121" s="2" t="s">
        <v>3024</v>
      </c>
      <c r="D3121" s="1">
        <v>43633</v>
      </c>
      <c r="E3121">
        <f>MONTH(D3121)</f>
        <v>6</v>
      </c>
      <c r="F3121" s="2" t="s">
        <v>2098</v>
      </c>
      <c r="G3121" t="s">
        <v>219</v>
      </c>
      <c r="H3121" t="s">
        <v>220</v>
      </c>
      <c r="I3121" t="s">
        <v>22</v>
      </c>
      <c r="J3121" s="2" t="s">
        <v>42</v>
      </c>
      <c r="K3121" s="2" t="s">
        <v>3019</v>
      </c>
      <c r="L3121" t="s">
        <v>25</v>
      </c>
      <c r="M3121" s="10" t="s">
        <v>26</v>
      </c>
      <c r="N3121" t="s">
        <v>26</v>
      </c>
      <c r="O3121" s="10" t="s">
        <v>26</v>
      </c>
      <c r="P3121" s="8" t="s">
        <v>26</v>
      </c>
      <c r="Q3121" s="8">
        <f>(2412691*100)/2623642</f>
        <v>91.959611867777696</v>
      </c>
    </row>
    <row r="3122" spans="1:17" x14ac:dyDescent="0.2">
      <c r="A3122">
        <f>YEAR(D3122)</f>
        <v>2019</v>
      </c>
      <c r="B3122" t="s">
        <v>26</v>
      </c>
      <c r="C3122" s="2" t="s">
        <v>3024</v>
      </c>
      <c r="D3122" s="1">
        <v>43633</v>
      </c>
      <c r="E3122">
        <f>MONTH(D3122)</f>
        <v>6</v>
      </c>
      <c r="F3122" s="2" t="s">
        <v>2098</v>
      </c>
      <c r="G3122" t="s">
        <v>219</v>
      </c>
      <c r="H3122" t="s">
        <v>220</v>
      </c>
      <c r="I3122" t="s">
        <v>22</v>
      </c>
      <c r="J3122" s="2" t="s">
        <v>42</v>
      </c>
      <c r="K3122" s="2" t="s">
        <v>3019</v>
      </c>
      <c r="L3122" t="s">
        <v>25</v>
      </c>
      <c r="M3122" s="10" t="s">
        <v>26</v>
      </c>
      <c r="N3122" t="s">
        <v>26</v>
      </c>
      <c r="O3122" s="10" t="s">
        <v>26</v>
      </c>
      <c r="P3122" s="8" t="s">
        <v>26</v>
      </c>
      <c r="Q3122" s="8">
        <f>(2412691*100)/2623642</f>
        <v>91.959611867777696</v>
      </c>
    </row>
    <row r="3123" spans="1:17" x14ac:dyDescent="0.2">
      <c r="A3123">
        <f>YEAR(D3123)</f>
        <v>2019</v>
      </c>
      <c r="B3123" t="s">
        <v>26</v>
      </c>
      <c r="C3123" s="2" t="s">
        <v>3024</v>
      </c>
      <c r="D3123" s="1">
        <v>43633</v>
      </c>
      <c r="E3123">
        <f>MONTH(D3123)</f>
        <v>6</v>
      </c>
      <c r="F3123" s="2" t="s">
        <v>2098</v>
      </c>
      <c r="G3123" t="s">
        <v>219</v>
      </c>
      <c r="H3123" t="s">
        <v>220</v>
      </c>
      <c r="I3123" t="s">
        <v>22</v>
      </c>
      <c r="J3123" s="2" t="s">
        <v>42</v>
      </c>
      <c r="K3123" s="2" t="s">
        <v>3019</v>
      </c>
      <c r="L3123" t="s">
        <v>25</v>
      </c>
      <c r="M3123" s="10" t="s">
        <v>26</v>
      </c>
      <c r="N3123" t="s">
        <v>26</v>
      </c>
      <c r="O3123" s="10" t="s">
        <v>26</v>
      </c>
      <c r="P3123" s="8" t="s">
        <v>26</v>
      </c>
      <c r="Q3123" s="8">
        <f>(2412691*100)/2623642</f>
        <v>91.959611867777696</v>
      </c>
    </row>
    <row r="3124" spans="1:17" x14ac:dyDescent="0.2">
      <c r="A3124">
        <f>YEAR(D3124)</f>
        <v>2019</v>
      </c>
      <c r="B3124" t="s">
        <v>26</v>
      </c>
      <c r="C3124" s="2" t="s">
        <v>3024</v>
      </c>
      <c r="D3124" s="1">
        <v>43633</v>
      </c>
      <c r="E3124">
        <f>MONTH(D3124)</f>
        <v>6</v>
      </c>
      <c r="F3124" s="2" t="s">
        <v>2098</v>
      </c>
      <c r="G3124" t="s">
        <v>219</v>
      </c>
      <c r="H3124" t="s">
        <v>220</v>
      </c>
      <c r="I3124" t="s">
        <v>22</v>
      </c>
      <c r="J3124" s="2" t="s">
        <v>42</v>
      </c>
      <c r="K3124" s="2" t="s">
        <v>3019</v>
      </c>
      <c r="L3124" t="s">
        <v>25</v>
      </c>
      <c r="M3124" s="10" t="s">
        <v>26</v>
      </c>
      <c r="N3124" t="s">
        <v>26</v>
      </c>
      <c r="O3124" s="10" t="s">
        <v>26</v>
      </c>
      <c r="P3124" s="8" t="s">
        <v>26</v>
      </c>
      <c r="Q3124" s="8">
        <f>(2412691*100)/2623642</f>
        <v>91.959611867777696</v>
      </c>
    </row>
    <row r="3125" spans="1:17" x14ac:dyDescent="0.2">
      <c r="A3125">
        <f>YEAR(D3125)</f>
        <v>2019</v>
      </c>
      <c r="B3125" t="s">
        <v>26</v>
      </c>
      <c r="C3125" s="2" t="s">
        <v>3024</v>
      </c>
      <c r="D3125" s="1">
        <v>43633</v>
      </c>
      <c r="E3125">
        <f>MONTH(D3125)</f>
        <v>6</v>
      </c>
      <c r="F3125" s="2" t="s">
        <v>2098</v>
      </c>
      <c r="G3125" t="s">
        <v>219</v>
      </c>
      <c r="H3125" t="s">
        <v>220</v>
      </c>
      <c r="I3125" t="s">
        <v>22</v>
      </c>
      <c r="J3125" s="2" t="s">
        <v>42</v>
      </c>
      <c r="K3125" s="2" t="s">
        <v>3019</v>
      </c>
      <c r="L3125" t="s">
        <v>25</v>
      </c>
      <c r="M3125" s="10" t="s">
        <v>26</v>
      </c>
      <c r="N3125" t="s">
        <v>26</v>
      </c>
      <c r="O3125" s="10" t="s">
        <v>26</v>
      </c>
      <c r="P3125" s="8" t="s">
        <v>26</v>
      </c>
      <c r="Q3125" s="8">
        <f>(2412691*100)/2623642</f>
        <v>91.959611867777696</v>
      </c>
    </row>
    <row r="3126" spans="1:17" x14ac:dyDescent="0.2">
      <c r="A3126">
        <f>YEAR(D3126)</f>
        <v>2019</v>
      </c>
      <c r="B3126" t="s">
        <v>26</v>
      </c>
      <c r="C3126" s="2" t="s">
        <v>3024</v>
      </c>
      <c r="D3126" s="1">
        <v>43633</v>
      </c>
      <c r="E3126">
        <f>MONTH(D3126)</f>
        <v>6</v>
      </c>
      <c r="F3126" s="2" t="s">
        <v>2098</v>
      </c>
      <c r="G3126" t="s">
        <v>219</v>
      </c>
      <c r="H3126" t="s">
        <v>220</v>
      </c>
      <c r="I3126" t="s">
        <v>22</v>
      </c>
      <c r="J3126" s="2" t="s">
        <v>42</v>
      </c>
      <c r="K3126" s="2" t="s">
        <v>3019</v>
      </c>
      <c r="L3126" t="s">
        <v>25</v>
      </c>
      <c r="M3126" s="10" t="s">
        <v>26</v>
      </c>
      <c r="N3126" t="s">
        <v>26</v>
      </c>
      <c r="O3126" s="10" t="s">
        <v>26</v>
      </c>
      <c r="P3126" s="8" t="s">
        <v>26</v>
      </c>
      <c r="Q3126" s="8">
        <f>(2412691*100)/2623642</f>
        <v>91.959611867777696</v>
      </c>
    </row>
    <row r="3127" spans="1:17" x14ac:dyDescent="0.2">
      <c r="A3127">
        <f>YEAR(D3127)</f>
        <v>2019</v>
      </c>
      <c r="B3127" t="s">
        <v>26</v>
      </c>
      <c r="C3127" s="2" t="s">
        <v>3024</v>
      </c>
      <c r="D3127" s="1">
        <v>43633</v>
      </c>
      <c r="E3127">
        <f>MONTH(D3127)</f>
        <v>6</v>
      </c>
      <c r="F3127" s="2" t="s">
        <v>2098</v>
      </c>
      <c r="G3127" t="s">
        <v>219</v>
      </c>
      <c r="H3127" t="s">
        <v>220</v>
      </c>
      <c r="I3127" t="s">
        <v>22</v>
      </c>
      <c r="J3127" s="2" t="s">
        <v>42</v>
      </c>
      <c r="K3127" s="2" t="s">
        <v>3019</v>
      </c>
      <c r="L3127" t="s">
        <v>25</v>
      </c>
      <c r="M3127" s="10" t="s">
        <v>26</v>
      </c>
      <c r="N3127" t="s">
        <v>26</v>
      </c>
      <c r="O3127" s="10" t="s">
        <v>26</v>
      </c>
      <c r="P3127" s="8" t="s">
        <v>26</v>
      </c>
      <c r="Q3127" s="8">
        <f>(2412691*100)/2623642</f>
        <v>91.959611867777696</v>
      </c>
    </row>
    <row r="3128" spans="1:17" x14ac:dyDescent="0.2">
      <c r="A3128">
        <f>YEAR(D3128)</f>
        <v>2019</v>
      </c>
      <c r="B3128" t="s">
        <v>26</v>
      </c>
      <c r="C3128" s="2" t="s">
        <v>3024</v>
      </c>
      <c r="D3128" s="1">
        <v>43633</v>
      </c>
      <c r="E3128">
        <f>MONTH(D3128)</f>
        <v>6</v>
      </c>
      <c r="F3128" s="2" t="s">
        <v>2098</v>
      </c>
      <c r="G3128" t="s">
        <v>1735</v>
      </c>
      <c r="H3128" t="s">
        <v>2149</v>
      </c>
      <c r="I3128" t="s">
        <v>22</v>
      </c>
      <c r="J3128" s="2" t="s">
        <v>42</v>
      </c>
      <c r="K3128" s="2" t="s">
        <v>3019</v>
      </c>
      <c r="L3128" t="s">
        <v>25</v>
      </c>
      <c r="M3128" s="8">
        <v>2.9416666669999998</v>
      </c>
      <c r="N3128" t="s">
        <v>26</v>
      </c>
      <c r="O3128" s="8">
        <v>2.9416666669999998</v>
      </c>
      <c r="P3128" s="8">
        <f>EXP(-1.363+3.366*LOG(O3128,10))</f>
        <v>1.2389764364980187</v>
      </c>
      <c r="Q3128" s="8">
        <f>(2412691*100)/2623642</f>
        <v>91.959611867777696</v>
      </c>
    </row>
    <row r="3129" spans="1:17" x14ac:dyDescent="0.2">
      <c r="A3129">
        <f>YEAR(D3129)</f>
        <v>2019</v>
      </c>
      <c r="B3129" t="s">
        <v>26</v>
      </c>
      <c r="C3129" s="2" t="s">
        <v>3024</v>
      </c>
      <c r="D3129" s="1">
        <v>43633</v>
      </c>
      <c r="E3129">
        <f>MONTH(D3129)</f>
        <v>6</v>
      </c>
      <c r="F3129" s="2" t="s">
        <v>2098</v>
      </c>
      <c r="G3129" t="s">
        <v>219</v>
      </c>
      <c r="H3129" t="s">
        <v>220</v>
      </c>
      <c r="I3129" t="s">
        <v>22</v>
      </c>
      <c r="J3129" s="2" t="s">
        <v>42</v>
      </c>
      <c r="K3129" s="2" t="s">
        <v>3019</v>
      </c>
      <c r="L3129" t="s">
        <v>25</v>
      </c>
      <c r="M3129" s="10" t="s">
        <v>26</v>
      </c>
      <c r="N3129" t="s">
        <v>26</v>
      </c>
      <c r="O3129" s="10" t="s">
        <v>26</v>
      </c>
      <c r="P3129" s="8" t="s">
        <v>26</v>
      </c>
      <c r="Q3129" s="8">
        <f>(2412691*100)/2623642</f>
        <v>91.959611867777696</v>
      </c>
    </row>
    <row r="3130" spans="1:17" x14ac:dyDescent="0.2">
      <c r="A3130">
        <f>YEAR(D3130)</f>
        <v>2019</v>
      </c>
      <c r="B3130" t="s">
        <v>26</v>
      </c>
      <c r="C3130" s="2" t="s">
        <v>3024</v>
      </c>
      <c r="D3130" s="1">
        <v>43633</v>
      </c>
      <c r="E3130">
        <f>MONTH(D3130)</f>
        <v>6</v>
      </c>
      <c r="F3130" s="2" t="s">
        <v>2098</v>
      </c>
      <c r="G3130" t="s">
        <v>219</v>
      </c>
      <c r="H3130" t="s">
        <v>220</v>
      </c>
      <c r="I3130" t="s">
        <v>22</v>
      </c>
      <c r="J3130" s="2" t="s">
        <v>42</v>
      </c>
      <c r="K3130" s="2" t="s">
        <v>3019</v>
      </c>
      <c r="L3130" t="s">
        <v>25</v>
      </c>
      <c r="M3130" s="10" t="s">
        <v>26</v>
      </c>
      <c r="N3130" t="s">
        <v>26</v>
      </c>
      <c r="O3130" s="10" t="s">
        <v>26</v>
      </c>
      <c r="P3130" s="8" t="s">
        <v>26</v>
      </c>
      <c r="Q3130" s="8">
        <f>(2412691*100)/2623642</f>
        <v>91.959611867777696</v>
      </c>
    </row>
    <row r="3131" spans="1:17" x14ac:dyDescent="0.2">
      <c r="A3131">
        <f>YEAR(D3131)</f>
        <v>2019</v>
      </c>
      <c r="B3131" t="s">
        <v>26</v>
      </c>
      <c r="C3131" s="2" t="s">
        <v>3024</v>
      </c>
      <c r="D3131" s="1">
        <v>43633</v>
      </c>
      <c r="E3131">
        <f>MONTH(D3131)</f>
        <v>6</v>
      </c>
      <c r="F3131" s="2" t="s">
        <v>2098</v>
      </c>
      <c r="G3131" t="s">
        <v>219</v>
      </c>
      <c r="H3131" t="s">
        <v>220</v>
      </c>
      <c r="I3131" t="s">
        <v>22</v>
      </c>
      <c r="J3131" s="2" t="s">
        <v>42</v>
      </c>
      <c r="K3131" s="2" t="s">
        <v>3019</v>
      </c>
      <c r="L3131" t="s">
        <v>25</v>
      </c>
      <c r="M3131" s="10" t="s">
        <v>26</v>
      </c>
      <c r="N3131" t="s">
        <v>26</v>
      </c>
      <c r="O3131" s="10" t="s">
        <v>26</v>
      </c>
      <c r="P3131" s="8" t="s">
        <v>26</v>
      </c>
      <c r="Q3131" s="8">
        <f>(2412691*100)/2623642</f>
        <v>91.959611867777696</v>
      </c>
    </row>
    <row r="3132" spans="1:17" x14ac:dyDescent="0.2">
      <c r="A3132">
        <f>YEAR(D3132)</f>
        <v>2019</v>
      </c>
      <c r="B3132" t="s">
        <v>26</v>
      </c>
      <c r="C3132" s="2" t="s">
        <v>3024</v>
      </c>
      <c r="D3132" s="1">
        <v>43633</v>
      </c>
      <c r="E3132">
        <f>MONTH(D3132)</f>
        <v>6</v>
      </c>
      <c r="F3132" s="2" t="s">
        <v>2098</v>
      </c>
      <c r="G3132" t="s">
        <v>1520</v>
      </c>
      <c r="H3132" t="s">
        <v>1528</v>
      </c>
      <c r="I3132" t="s">
        <v>22</v>
      </c>
      <c r="J3132" s="2" t="s">
        <v>42</v>
      </c>
      <c r="K3132" s="2" t="s">
        <v>3019</v>
      </c>
      <c r="L3132" t="s">
        <v>25</v>
      </c>
      <c r="M3132" s="8">
        <v>3.624333333</v>
      </c>
      <c r="N3132" t="s">
        <v>26</v>
      </c>
      <c r="O3132" s="8">
        <v>3.624333333</v>
      </c>
      <c r="P3132" s="8">
        <f>EXP(-1.363+3.366*LOG(O3132,10))</f>
        <v>1.6809546844949765</v>
      </c>
      <c r="Q3132" s="8">
        <f>(2412691*100)/2623642</f>
        <v>91.959611867777696</v>
      </c>
    </row>
    <row r="3133" spans="1:17" x14ac:dyDescent="0.2">
      <c r="A3133">
        <f>YEAR(D3133)</f>
        <v>2019</v>
      </c>
      <c r="B3133" t="s">
        <v>26</v>
      </c>
      <c r="C3133" s="2" t="s">
        <v>3024</v>
      </c>
      <c r="D3133" s="1">
        <v>43633</v>
      </c>
      <c r="E3133">
        <f>MONTH(D3133)</f>
        <v>6</v>
      </c>
      <c r="F3133" s="2" t="s">
        <v>2098</v>
      </c>
      <c r="G3133" t="s">
        <v>1520</v>
      </c>
      <c r="H3133" t="s">
        <v>1528</v>
      </c>
      <c r="I3133" t="s">
        <v>22</v>
      </c>
      <c r="J3133" s="2" t="s">
        <v>42</v>
      </c>
      <c r="K3133" s="2" t="s">
        <v>3019</v>
      </c>
      <c r="L3133" t="s">
        <v>25</v>
      </c>
      <c r="M3133" s="8">
        <v>3.624333333</v>
      </c>
      <c r="N3133" t="s">
        <v>26</v>
      </c>
      <c r="O3133" s="8">
        <v>3.624333333</v>
      </c>
      <c r="P3133" s="8">
        <f>EXP(-1.363+3.366*LOG(O3133,10))</f>
        <v>1.6809546844949765</v>
      </c>
      <c r="Q3133" s="8">
        <f>(2412691*100)/2623642</f>
        <v>91.959611867777696</v>
      </c>
    </row>
    <row r="3134" spans="1:17" x14ac:dyDescent="0.2">
      <c r="A3134">
        <f>YEAR(D3134)</f>
        <v>2019</v>
      </c>
      <c r="B3134" t="s">
        <v>26</v>
      </c>
      <c r="C3134" s="2" t="s">
        <v>3024</v>
      </c>
      <c r="D3134" s="1">
        <v>43633</v>
      </c>
      <c r="E3134">
        <f>MONTH(D3134)</f>
        <v>6</v>
      </c>
      <c r="F3134" s="2" t="s">
        <v>2098</v>
      </c>
      <c r="G3134" t="s">
        <v>219</v>
      </c>
      <c r="H3134" t="s">
        <v>220</v>
      </c>
      <c r="I3134" t="s">
        <v>22</v>
      </c>
      <c r="J3134" s="2" t="s">
        <v>42</v>
      </c>
      <c r="K3134" s="2" t="s">
        <v>3019</v>
      </c>
      <c r="L3134" t="s">
        <v>25</v>
      </c>
      <c r="M3134" s="10" t="s">
        <v>26</v>
      </c>
      <c r="N3134" t="s">
        <v>26</v>
      </c>
      <c r="O3134" s="10" t="s">
        <v>26</v>
      </c>
      <c r="P3134" s="8" t="s">
        <v>26</v>
      </c>
      <c r="Q3134" s="8">
        <f>(2412691*100)/2623642</f>
        <v>91.959611867777696</v>
      </c>
    </row>
    <row r="3135" spans="1:17" x14ac:dyDescent="0.2">
      <c r="A3135">
        <f>YEAR(D3135)</f>
        <v>2019</v>
      </c>
      <c r="B3135" t="s">
        <v>26</v>
      </c>
      <c r="C3135" s="2" t="s">
        <v>3024</v>
      </c>
      <c r="D3135" s="1">
        <v>43633</v>
      </c>
      <c r="E3135">
        <f>MONTH(D3135)</f>
        <v>6</v>
      </c>
      <c r="F3135" s="2" t="s">
        <v>2098</v>
      </c>
      <c r="G3135" t="s">
        <v>219</v>
      </c>
      <c r="H3135" t="s">
        <v>220</v>
      </c>
      <c r="I3135" t="s">
        <v>22</v>
      </c>
      <c r="J3135" s="2" t="s">
        <v>42</v>
      </c>
      <c r="K3135" s="2" t="s">
        <v>3019</v>
      </c>
      <c r="L3135" t="s">
        <v>25</v>
      </c>
      <c r="M3135" s="10" t="s">
        <v>26</v>
      </c>
      <c r="N3135" t="s">
        <v>26</v>
      </c>
      <c r="O3135" s="10" t="s">
        <v>26</v>
      </c>
      <c r="P3135" s="8" t="s">
        <v>26</v>
      </c>
      <c r="Q3135" s="8">
        <f>(2412691*100)/2623642</f>
        <v>91.959611867777696</v>
      </c>
    </row>
    <row r="3136" spans="1:17" x14ac:dyDescent="0.2">
      <c r="A3136">
        <f>YEAR(D3136)</f>
        <v>2019</v>
      </c>
      <c r="B3136" t="s">
        <v>26</v>
      </c>
      <c r="C3136" s="2" t="s">
        <v>3024</v>
      </c>
      <c r="D3136" s="1">
        <v>43633</v>
      </c>
      <c r="E3136">
        <f>MONTH(D3136)</f>
        <v>6</v>
      </c>
      <c r="F3136" s="2" t="s">
        <v>2098</v>
      </c>
      <c r="G3136" t="s">
        <v>219</v>
      </c>
      <c r="H3136" t="s">
        <v>220</v>
      </c>
      <c r="I3136" t="s">
        <v>22</v>
      </c>
      <c r="J3136" s="2" t="s">
        <v>42</v>
      </c>
      <c r="K3136" s="2" t="s">
        <v>3019</v>
      </c>
      <c r="L3136" t="s">
        <v>25</v>
      </c>
      <c r="M3136" s="10" t="s">
        <v>26</v>
      </c>
      <c r="N3136" t="s">
        <v>26</v>
      </c>
      <c r="O3136" s="10" t="s">
        <v>26</v>
      </c>
      <c r="P3136" s="8" t="s">
        <v>26</v>
      </c>
      <c r="Q3136" s="8">
        <f>(2412691*100)/2623642</f>
        <v>91.959611867777696</v>
      </c>
    </row>
    <row r="3137" spans="1:17" x14ac:dyDescent="0.2">
      <c r="A3137">
        <f>YEAR(D3137)</f>
        <v>2019</v>
      </c>
      <c r="B3137" t="s">
        <v>26</v>
      </c>
      <c r="C3137" s="2" t="s">
        <v>3024</v>
      </c>
      <c r="D3137" s="1">
        <v>43633</v>
      </c>
      <c r="E3137">
        <f>MONTH(D3137)</f>
        <v>6</v>
      </c>
      <c r="F3137" s="2" t="s">
        <v>2098</v>
      </c>
      <c r="G3137" t="s">
        <v>1520</v>
      </c>
      <c r="H3137" t="s">
        <v>1528</v>
      </c>
      <c r="I3137" t="s">
        <v>22</v>
      </c>
      <c r="J3137" s="2" t="s">
        <v>42</v>
      </c>
      <c r="K3137" s="2" t="s">
        <v>3019</v>
      </c>
      <c r="L3137" t="s">
        <v>25</v>
      </c>
      <c r="M3137" s="8">
        <v>3.624333333</v>
      </c>
      <c r="N3137" t="s">
        <v>26</v>
      </c>
      <c r="O3137" s="8">
        <v>3.624333333</v>
      </c>
      <c r="P3137" s="8">
        <f>EXP(-1.363+3.366*LOG(O3137,10))</f>
        <v>1.6809546844949765</v>
      </c>
      <c r="Q3137" s="8">
        <f>(2412691*100)/2623642</f>
        <v>91.959611867777696</v>
      </c>
    </row>
    <row r="3138" spans="1:17" x14ac:dyDescent="0.2">
      <c r="A3138">
        <f>YEAR(D3138)</f>
        <v>2019</v>
      </c>
      <c r="B3138" t="s">
        <v>26</v>
      </c>
      <c r="C3138" s="2" t="s">
        <v>3024</v>
      </c>
      <c r="D3138" s="1">
        <v>43633</v>
      </c>
      <c r="E3138">
        <f>MONTH(D3138)</f>
        <v>6</v>
      </c>
      <c r="F3138" s="2" t="s">
        <v>2098</v>
      </c>
      <c r="G3138" t="s">
        <v>1520</v>
      </c>
      <c r="H3138" t="s">
        <v>1528</v>
      </c>
      <c r="I3138" t="s">
        <v>22</v>
      </c>
      <c r="J3138" s="2" t="s">
        <v>42</v>
      </c>
      <c r="K3138" s="2" t="s">
        <v>3019</v>
      </c>
      <c r="L3138" t="s">
        <v>25</v>
      </c>
      <c r="M3138" s="8">
        <v>3.624333333</v>
      </c>
      <c r="N3138" t="s">
        <v>26</v>
      </c>
      <c r="O3138" s="8">
        <v>3.624333333</v>
      </c>
      <c r="P3138" s="8">
        <f>EXP(-1.363+3.366*LOG(O3138,10))</f>
        <v>1.6809546844949765</v>
      </c>
      <c r="Q3138" s="8">
        <f>(2412691*100)/2623642</f>
        <v>91.959611867777696</v>
      </c>
    </row>
    <row r="3139" spans="1:17" x14ac:dyDescent="0.2">
      <c r="A3139">
        <f>YEAR(D3139)</f>
        <v>2019</v>
      </c>
      <c r="B3139" t="s">
        <v>26</v>
      </c>
      <c r="C3139" s="2" t="s">
        <v>3024</v>
      </c>
      <c r="D3139" s="1">
        <v>43633</v>
      </c>
      <c r="E3139">
        <f>MONTH(D3139)</f>
        <v>6</v>
      </c>
      <c r="F3139" s="2" t="s">
        <v>2098</v>
      </c>
      <c r="G3139" t="s">
        <v>1520</v>
      </c>
      <c r="H3139" t="s">
        <v>1528</v>
      </c>
      <c r="I3139" t="s">
        <v>22</v>
      </c>
      <c r="J3139" s="2" t="s">
        <v>42</v>
      </c>
      <c r="K3139" s="2" t="s">
        <v>3019</v>
      </c>
      <c r="L3139" t="s">
        <v>25</v>
      </c>
      <c r="M3139" s="8">
        <v>3.624333333</v>
      </c>
      <c r="N3139" t="s">
        <v>26</v>
      </c>
      <c r="O3139" s="8">
        <v>3.624333333</v>
      </c>
      <c r="P3139" s="8">
        <f>EXP(-1.363+3.366*LOG(O3139,10))</f>
        <v>1.6809546844949765</v>
      </c>
      <c r="Q3139" s="8">
        <f>(2412691*100)/2623642</f>
        <v>91.959611867777696</v>
      </c>
    </row>
    <row r="3140" spans="1:17" x14ac:dyDescent="0.2">
      <c r="A3140">
        <f>YEAR(D3140)</f>
        <v>2019</v>
      </c>
      <c r="B3140" t="s">
        <v>26</v>
      </c>
      <c r="C3140" s="2" t="s">
        <v>3024</v>
      </c>
      <c r="D3140" s="1">
        <v>43633</v>
      </c>
      <c r="E3140">
        <f>MONTH(D3140)</f>
        <v>6</v>
      </c>
      <c r="F3140" s="2" t="s">
        <v>2098</v>
      </c>
      <c r="G3140" t="s">
        <v>1520</v>
      </c>
      <c r="H3140" t="s">
        <v>1528</v>
      </c>
      <c r="I3140" t="s">
        <v>22</v>
      </c>
      <c r="J3140" s="2" t="s">
        <v>42</v>
      </c>
      <c r="K3140" s="2" t="s">
        <v>3019</v>
      </c>
      <c r="L3140" t="s">
        <v>25</v>
      </c>
      <c r="M3140" s="8">
        <v>3.624333333</v>
      </c>
      <c r="N3140" t="s">
        <v>26</v>
      </c>
      <c r="O3140" s="8">
        <v>3.624333333</v>
      </c>
      <c r="P3140" s="8">
        <f>EXP(-1.363+3.366*LOG(O3140,10))</f>
        <v>1.6809546844949765</v>
      </c>
      <c r="Q3140" s="8">
        <f>(2412691*100)/2623642</f>
        <v>91.959611867777696</v>
      </c>
    </row>
    <row r="3141" spans="1:17" x14ac:dyDescent="0.2">
      <c r="A3141">
        <f>YEAR(D3141)</f>
        <v>2019</v>
      </c>
      <c r="B3141" t="s">
        <v>26</v>
      </c>
      <c r="C3141" s="2" t="s">
        <v>3018</v>
      </c>
      <c r="D3141" s="1">
        <v>43634</v>
      </c>
      <c r="E3141">
        <f>MONTH(D3141)</f>
        <v>6</v>
      </c>
      <c r="F3141" s="2" t="s">
        <v>2098</v>
      </c>
      <c r="G3141" t="s">
        <v>352</v>
      </c>
      <c r="H3141" t="s">
        <v>728</v>
      </c>
      <c r="I3141" t="s">
        <v>22</v>
      </c>
      <c r="J3141" s="2" t="s">
        <v>42</v>
      </c>
      <c r="K3141" s="2" t="s">
        <v>3019</v>
      </c>
      <c r="L3141" t="s">
        <v>187</v>
      </c>
      <c r="M3141" s="8">
        <v>1.8093333330000001</v>
      </c>
      <c r="N3141" t="s">
        <v>26</v>
      </c>
      <c r="O3141" s="8">
        <v>1.8093333330000001</v>
      </c>
      <c r="P3141" s="8">
        <f>EXP(-1.363+3.366*LOG(O3141,10))</f>
        <v>0.6088444603462565</v>
      </c>
      <c r="Q3141" s="8">
        <f>(5996898*100)/6073515</f>
        <v>98.738506449724753</v>
      </c>
    </row>
    <row r="3142" spans="1:17" x14ac:dyDescent="0.2">
      <c r="A3142">
        <f>YEAR(D3142)</f>
        <v>2019</v>
      </c>
      <c r="B3142" t="s">
        <v>26</v>
      </c>
      <c r="C3142" s="2" t="s">
        <v>3018</v>
      </c>
      <c r="D3142" s="1">
        <v>43634</v>
      </c>
      <c r="E3142">
        <f>MONTH(D3142)</f>
        <v>6</v>
      </c>
      <c r="F3142" s="2" t="s">
        <v>2098</v>
      </c>
      <c r="G3142" t="s">
        <v>219</v>
      </c>
      <c r="H3142" t="s">
        <v>220</v>
      </c>
      <c r="I3142" t="s">
        <v>22</v>
      </c>
      <c r="J3142" s="2" t="s">
        <v>42</v>
      </c>
      <c r="K3142" s="2" t="s">
        <v>3019</v>
      </c>
      <c r="L3142" t="s">
        <v>25</v>
      </c>
      <c r="M3142" s="10" t="s">
        <v>26</v>
      </c>
      <c r="N3142" t="s">
        <v>26</v>
      </c>
      <c r="O3142" s="10" t="s">
        <v>26</v>
      </c>
      <c r="P3142" s="8" t="s">
        <v>26</v>
      </c>
      <c r="Q3142" s="8">
        <f>(5996898*100)/6073515</f>
        <v>98.738506449724753</v>
      </c>
    </row>
    <row r="3143" spans="1:17" x14ac:dyDescent="0.2">
      <c r="A3143">
        <f>YEAR(D3143)</f>
        <v>2019</v>
      </c>
      <c r="B3143" t="s">
        <v>26</v>
      </c>
      <c r="C3143" s="2" t="s">
        <v>3018</v>
      </c>
      <c r="D3143" s="1">
        <v>43634</v>
      </c>
      <c r="E3143">
        <f>MONTH(D3143)</f>
        <v>6</v>
      </c>
      <c r="F3143" s="2" t="s">
        <v>2098</v>
      </c>
      <c r="G3143" t="s">
        <v>219</v>
      </c>
      <c r="H3143" t="s">
        <v>220</v>
      </c>
      <c r="I3143" t="s">
        <v>22</v>
      </c>
      <c r="J3143" s="2" t="s">
        <v>42</v>
      </c>
      <c r="K3143" s="2" t="s">
        <v>3019</v>
      </c>
      <c r="L3143" t="s">
        <v>25</v>
      </c>
      <c r="M3143" s="10" t="s">
        <v>26</v>
      </c>
      <c r="N3143" t="s">
        <v>26</v>
      </c>
      <c r="O3143" s="10" t="s">
        <v>26</v>
      </c>
      <c r="P3143" s="8" t="s">
        <v>26</v>
      </c>
      <c r="Q3143" s="8">
        <f>(5996898*100)/6073515</f>
        <v>98.738506449724753</v>
      </c>
    </row>
    <row r="3144" spans="1:17" x14ac:dyDescent="0.2">
      <c r="A3144">
        <f>YEAR(D3144)</f>
        <v>2019</v>
      </c>
      <c r="B3144" t="s">
        <v>26</v>
      </c>
      <c r="C3144" s="2" t="s">
        <v>3018</v>
      </c>
      <c r="D3144" s="1">
        <v>43634</v>
      </c>
      <c r="E3144">
        <f>MONTH(D3144)</f>
        <v>6</v>
      </c>
      <c r="F3144" s="2" t="s">
        <v>2098</v>
      </c>
      <c r="G3144" t="s">
        <v>219</v>
      </c>
      <c r="H3144" t="s">
        <v>220</v>
      </c>
      <c r="I3144" t="s">
        <v>22</v>
      </c>
      <c r="J3144" s="2" t="s">
        <v>42</v>
      </c>
      <c r="K3144" s="2" t="s">
        <v>3019</v>
      </c>
      <c r="L3144" t="s">
        <v>25</v>
      </c>
      <c r="M3144" s="10" t="s">
        <v>26</v>
      </c>
      <c r="N3144" t="s">
        <v>26</v>
      </c>
      <c r="O3144" s="10" t="s">
        <v>26</v>
      </c>
      <c r="P3144" s="8" t="s">
        <v>26</v>
      </c>
      <c r="Q3144" s="8">
        <f>(5996898*100)/6073515</f>
        <v>98.738506449724753</v>
      </c>
    </row>
    <row r="3145" spans="1:17" x14ac:dyDescent="0.2">
      <c r="A3145">
        <f>YEAR(D3145)</f>
        <v>2019</v>
      </c>
      <c r="B3145" t="s">
        <v>26</v>
      </c>
      <c r="C3145" s="2" t="s">
        <v>3018</v>
      </c>
      <c r="D3145" s="1">
        <v>43634</v>
      </c>
      <c r="E3145">
        <f>MONTH(D3145)</f>
        <v>6</v>
      </c>
      <c r="F3145" s="2" t="s">
        <v>2098</v>
      </c>
      <c r="G3145" t="s">
        <v>230</v>
      </c>
      <c r="H3145" t="s">
        <v>268</v>
      </c>
      <c r="I3145" t="s">
        <v>22</v>
      </c>
      <c r="J3145" s="2" t="s">
        <v>42</v>
      </c>
      <c r="K3145" s="2" t="s">
        <v>3019</v>
      </c>
      <c r="L3145" t="s">
        <v>25</v>
      </c>
      <c r="M3145" s="8">
        <v>3.5356666670000001</v>
      </c>
      <c r="N3145" t="s">
        <v>26</v>
      </c>
      <c r="O3145" s="8">
        <v>3.5356666670000001</v>
      </c>
      <c r="P3145" s="8">
        <f>EXP(-1.363+3.366*LOG(O3145,10))</f>
        <v>1.6211802664427075</v>
      </c>
      <c r="Q3145" s="8">
        <f>(5996898*100)/6073515</f>
        <v>98.738506449724753</v>
      </c>
    </row>
    <row r="3146" spans="1:17" x14ac:dyDescent="0.2">
      <c r="A3146">
        <f>YEAR(D3146)</f>
        <v>2019</v>
      </c>
      <c r="B3146" t="s">
        <v>26</v>
      </c>
      <c r="C3146" s="2" t="s">
        <v>3018</v>
      </c>
      <c r="D3146" s="1">
        <v>43634</v>
      </c>
      <c r="E3146">
        <f>MONTH(D3146)</f>
        <v>6</v>
      </c>
      <c r="F3146" s="2" t="s">
        <v>2098</v>
      </c>
      <c r="G3146" t="s">
        <v>230</v>
      </c>
      <c r="H3146" t="s">
        <v>268</v>
      </c>
      <c r="I3146" t="s">
        <v>22</v>
      </c>
      <c r="J3146" s="2" t="s">
        <v>42</v>
      </c>
      <c r="K3146" s="2" t="s">
        <v>3019</v>
      </c>
      <c r="L3146" t="s">
        <v>25</v>
      </c>
      <c r="M3146" s="8">
        <v>3.5356666670000001</v>
      </c>
      <c r="N3146" t="s">
        <v>26</v>
      </c>
      <c r="O3146" s="8">
        <v>3.5356666670000001</v>
      </c>
      <c r="P3146" s="8">
        <f>EXP(-1.363+3.366*LOG(O3146,10))</f>
        <v>1.6211802664427075</v>
      </c>
      <c r="Q3146" s="8">
        <f>(5996898*100)/6073515</f>
        <v>98.738506449724753</v>
      </c>
    </row>
    <row r="3147" spans="1:17" x14ac:dyDescent="0.2">
      <c r="A3147">
        <f>YEAR(D3147)</f>
        <v>2019</v>
      </c>
      <c r="B3147" t="s">
        <v>26</v>
      </c>
      <c r="C3147" s="2" t="s">
        <v>3018</v>
      </c>
      <c r="D3147" s="1">
        <v>43634</v>
      </c>
      <c r="E3147">
        <f>MONTH(D3147)</f>
        <v>6</v>
      </c>
      <c r="F3147" s="2" t="s">
        <v>2098</v>
      </c>
      <c r="G3147" t="s">
        <v>230</v>
      </c>
      <c r="H3147" t="s">
        <v>268</v>
      </c>
      <c r="I3147" t="s">
        <v>22</v>
      </c>
      <c r="J3147" s="2" t="s">
        <v>42</v>
      </c>
      <c r="K3147" s="2" t="s">
        <v>3019</v>
      </c>
      <c r="L3147" t="s">
        <v>25</v>
      </c>
      <c r="M3147" s="8">
        <v>3.5356666670000001</v>
      </c>
      <c r="N3147" t="s">
        <v>26</v>
      </c>
      <c r="O3147" s="8">
        <v>3.5356666670000001</v>
      </c>
      <c r="P3147" s="8">
        <f>EXP(-1.363+3.366*LOG(O3147,10))</f>
        <v>1.6211802664427075</v>
      </c>
      <c r="Q3147" s="8">
        <f>(5996898*100)/6073515</f>
        <v>98.738506449724753</v>
      </c>
    </row>
    <row r="3148" spans="1:17" x14ac:dyDescent="0.2">
      <c r="A3148">
        <f>YEAR(D3148)</f>
        <v>2019</v>
      </c>
      <c r="B3148" t="s">
        <v>26</v>
      </c>
      <c r="C3148" s="2" t="s">
        <v>3018</v>
      </c>
      <c r="D3148" s="1">
        <v>43634</v>
      </c>
      <c r="E3148">
        <f>MONTH(D3148)</f>
        <v>6</v>
      </c>
      <c r="F3148" s="2" t="s">
        <v>2098</v>
      </c>
      <c r="G3148" t="s">
        <v>230</v>
      </c>
      <c r="H3148" t="s">
        <v>268</v>
      </c>
      <c r="I3148" t="s">
        <v>22</v>
      </c>
      <c r="J3148" s="2" t="s">
        <v>42</v>
      </c>
      <c r="K3148" s="2" t="s">
        <v>3019</v>
      </c>
      <c r="L3148" t="s">
        <v>25</v>
      </c>
      <c r="M3148" s="8">
        <v>3.5356666670000001</v>
      </c>
      <c r="N3148" t="s">
        <v>26</v>
      </c>
      <c r="O3148" s="8">
        <v>3.5356666670000001</v>
      </c>
      <c r="P3148" s="8">
        <f>EXP(-1.363+3.366*LOG(O3148,10))</f>
        <v>1.6211802664427075</v>
      </c>
      <c r="Q3148" s="8">
        <f>(5996898*100)/6073515</f>
        <v>98.738506449724753</v>
      </c>
    </row>
    <row r="3149" spans="1:17" x14ac:dyDescent="0.2">
      <c r="A3149">
        <f>YEAR(D3149)</f>
        <v>2019</v>
      </c>
      <c r="B3149" t="s">
        <v>26</v>
      </c>
      <c r="C3149" s="2" t="s">
        <v>3018</v>
      </c>
      <c r="D3149" s="1">
        <v>43634</v>
      </c>
      <c r="E3149">
        <f>MONTH(D3149)</f>
        <v>6</v>
      </c>
      <c r="F3149" s="2" t="s">
        <v>2098</v>
      </c>
      <c r="G3149" t="s">
        <v>230</v>
      </c>
      <c r="H3149" t="s">
        <v>268</v>
      </c>
      <c r="I3149" t="s">
        <v>22</v>
      </c>
      <c r="J3149" s="2" t="s">
        <v>42</v>
      </c>
      <c r="K3149" s="2" t="s">
        <v>3019</v>
      </c>
      <c r="L3149" t="s">
        <v>25</v>
      </c>
      <c r="M3149" s="8">
        <v>3.5356666670000001</v>
      </c>
      <c r="N3149" t="s">
        <v>26</v>
      </c>
      <c r="O3149" s="8">
        <v>3.5356666670000001</v>
      </c>
      <c r="P3149" s="8">
        <f>EXP(-1.363+3.366*LOG(O3149,10))</f>
        <v>1.6211802664427075</v>
      </c>
      <c r="Q3149" s="8">
        <f>(5996898*100)/6073515</f>
        <v>98.738506449724753</v>
      </c>
    </row>
    <row r="3150" spans="1:17" x14ac:dyDescent="0.2">
      <c r="A3150">
        <f>YEAR(D3150)</f>
        <v>2019</v>
      </c>
      <c r="B3150" t="s">
        <v>26</v>
      </c>
      <c r="C3150" s="2" t="s">
        <v>3018</v>
      </c>
      <c r="D3150" s="1">
        <v>43634</v>
      </c>
      <c r="E3150">
        <f>MONTH(D3150)</f>
        <v>6</v>
      </c>
      <c r="F3150" s="2" t="s">
        <v>2098</v>
      </c>
      <c r="G3150" t="s">
        <v>352</v>
      </c>
      <c r="H3150" t="s">
        <v>975</v>
      </c>
      <c r="I3150" t="s">
        <v>22</v>
      </c>
      <c r="J3150" s="2" t="s">
        <v>42</v>
      </c>
      <c r="K3150" s="2" t="s">
        <v>3019</v>
      </c>
      <c r="L3150" t="s">
        <v>25</v>
      </c>
      <c r="M3150" s="8">
        <v>1.0693333330000001</v>
      </c>
      <c r="N3150" t="s">
        <v>26</v>
      </c>
      <c r="O3150" s="8">
        <v>1.0693333330000001</v>
      </c>
      <c r="P3150" s="8">
        <f>EXP(-1.363+3.366*LOG(O3150,10))</f>
        <v>0.28223780327142356</v>
      </c>
      <c r="Q3150" s="8">
        <f>(5996898*100)/6073515</f>
        <v>98.738506449724753</v>
      </c>
    </row>
    <row r="3151" spans="1:17" x14ac:dyDescent="0.2">
      <c r="A3151">
        <f>YEAR(D3151)</f>
        <v>2019</v>
      </c>
      <c r="B3151" t="s">
        <v>26</v>
      </c>
      <c r="C3151" s="2" t="s">
        <v>3018</v>
      </c>
      <c r="D3151" s="1">
        <v>43634</v>
      </c>
      <c r="E3151">
        <f>MONTH(D3151)</f>
        <v>6</v>
      </c>
      <c r="F3151" s="2" t="s">
        <v>2098</v>
      </c>
      <c r="G3151" t="s">
        <v>219</v>
      </c>
      <c r="H3151" t="s">
        <v>220</v>
      </c>
      <c r="I3151" t="s">
        <v>22</v>
      </c>
      <c r="J3151" s="2" t="s">
        <v>42</v>
      </c>
      <c r="K3151" s="2" t="s">
        <v>3019</v>
      </c>
      <c r="L3151" t="s">
        <v>25</v>
      </c>
      <c r="M3151" s="10" t="s">
        <v>26</v>
      </c>
      <c r="N3151" t="s">
        <v>26</v>
      </c>
      <c r="O3151" s="10" t="s">
        <v>26</v>
      </c>
      <c r="P3151" s="8" t="s">
        <v>26</v>
      </c>
      <c r="Q3151" s="8">
        <f>(5996898*100)/6073515</f>
        <v>98.738506449724753</v>
      </c>
    </row>
    <row r="3152" spans="1:17" x14ac:dyDescent="0.2">
      <c r="A3152">
        <f>YEAR(D3152)</f>
        <v>2019</v>
      </c>
      <c r="B3152" t="s">
        <v>26</v>
      </c>
      <c r="C3152" s="2" t="s">
        <v>3018</v>
      </c>
      <c r="D3152" s="1">
        <v>43634</v>
      </c>
      <c r="E3152">
        <f>MONTH(D3152)</f>
        <v>6</v>
      </c>
      <c r="F3152" s="2" t="s">
        <v>2098</v>
      </c>
      <c r="G3152" t="s">
        <v>219</v>
      </c>
      <c r="H3152" t="s">
        <v>220</v>
      </c>
      <c r="I3152" t="s">
        <v>22</v>
      </c>
      <c r="J3152" s="2" t="s">
        <v>42</v>
      </c>
      <c r="K3152" s="2" t="s">
        <v>3019</v>
      </c>
      <c r="L3152" t="s">
        <v>25</v>
      </c>
      <c r="M3152" s="10" t="s">
        <v>26</v>
      </c>
      <c r="N3152" t="s">
        <v>26</v>
      </c>
      <c r="O3152" s="10" t="s">
        <v>26</v>
      </c>
      <c r="P3152" s="8" t="s">
        <v>26</v>
      </c>
      <c r="Q3152" s="8">
        <f>(5996898*100)/6073515</f>
        <v>98.738506449724753</v>
      </c>
    </row>
    <row r="3153" spans="1:17" x14ac:dyDescent="0.2">
      <c r="A3153">
        <f>YEAR(D3153)</f>
        <v>2019</v>
      </c>
      <c r="B3153" t="s">
        <v>26</v>
      </c>
      <c r="C3153" s="2" t="s">
        <v>3018</v>
      </c>
      <c r="D3153" s="1">
        <v>43634</v>
      </c>
      <c r="E3153">
        <f>MONTH(D3153)</f>
        <v>6</v>
      </c>
      <c r="F3153" s="2" t="s">
        <v>2098</v>
      </c>
      <c r="G3153" t="s">
        <v>219</v>
      </c>
      <c r="H3153" t="s">
        <v>220</v>
      </c>
      <c r="I3153" t="s">
        <v>22</v>
      </c>
      <c r="J3153" s="2" t="s">
        <v>42</v>
      </c>
      <c r="K3153" s="2" t="s">
        <v>3019</v>
      </c>
      <c r="L3153" t="s">
        <v>25</v>
      </c>
      <c r="M3153" s="10" t="s">
        <v>26</v>
      </c>
      <c r="N3153" t="s">
        <v>26</v>
      </c>
      <c r="O3153" s="10" t="s">
        <v>26</v>
      </c>
      <c r="P3153" s="8" t="s">
        <v>26</v>
      </c>
      <c r="Q3153" s="8">
        <f>(5996898*100)/6073515</f>
        <v>98.738506449724753</v>
      </c>
    </row>
    <row r="3154" spans="1:17" x14ac:dyDescent="0.2">
      <c r="A3154">
        <f>YEAR(D3154)</f>
        <v>2019</v>
      </c>
      <c r="B3154" t="s">
        <v>26</v>
      </c>
      <c r="C3154" s="2" t="s">
        <v>3018</v>
      </c>
      <c r="D3154" s="1">
        <v>43634</v>
      </c>
      <c r="E3154">
        <f>MONTH(D3154)</f>
        <v>6</v>
      </c>
      <c r="F3154" s="2" t="s">
        <v>2098</v>
      </c>
      <c r="G3154" t="s">
        <v>219</v>
      </c>
      <c r="H3154" t="s">
        <v>220</v>
      </c>
      <c r="I3154" t="s">
        <v>22</v>
      </c>
      <c r="J3154" s="2" t="s">
        <v>42</v>
      </c>
      <c r="K3154" s="2" t="s">
        <v>3019</v>
      </c>
      <c r="L3154" t="s">
        <v>25</v>
      </c>
      <c r="M3154" s="10" t="s">
        <v>26</v>
      </c>
      <c r="N3154" t="s">
        <v>26</v>
      </c>
      <c r="O3154" s="10" t="s">
        <v>26</v>
      </c>
      <c r="P3154" s="8" t="s">
        <v>26</v>
      </c>
      <c r="Q3154" s="8">
        <f>(5996898*100)/6073515</f>
        <v>98.738506449724753</v>
      </c>
    </row>
    <row r="3155" spans="1:17" x14ac:dyDescent="0.2">
      <c r="A3155">
        <f>YEAR(D3155)</f>
        <v>2019</v>
      </c>
      <c r="B3155" t="s">
        <v>26</v>
      </c>
      <c r="C3155" s="2" t="s">
        <v>3018</v>
      </c>
      <c r="D3155" s="1">
        <v>43634</v>
      </c>
      <c r="E3155">
        <f>MONTH(D3155)</f>
        <v>6</v>
      </c>
      <c r="F3155" s="2" t="s">
        <v>2098</v>
      </c>
      <c r="G3155" t="s">
        <v>1520</v>
      </c>
      <c r="H3155" t="s">
        <v>1521</v>
      </c>
      <c r="I3155" t="s">
        <v>22</v>
      </c>
      <c r="J3155" s="2" t="s">
        <v>42</v>
      </c>
      <c r="K3155" s="2" t="s">
        <v>3019</v>
      </c>
      <c r="L3155" t="s">
        <v>25</v>
      </c>
      <c r="M3155" s="8">
        <v>2.952</v>
      </c>
      <c r="N3155" t="s">
        <v>26</v>
      </c>
      <c r="O3155" s="8">
        <v>2.952</v>
      </c>
      <c r="P3155" s="8">
        <f>EXP(-1.363+3.366*LOG(O3155,10))</f>
        <v>1.2453438103764427</v>
      </c>
      <c r="Q3155" s="8">
        <f>(5996898*100)/6073515</f>
        <v>98.738506449724753</v>
      </c>
    </row>
    <row r="3156" spans="1:17" x14ac:dyDescent="0.2">
      <c r="A3156">
        <f>YEAR(D3156)</f>
        <v>2019</v>
      </c>
      <c r="B3156" t="s">
        <v>26</v>
      </c>
      <c r="C3156" s="2" t="s">
        <v>3018</v>
      </c>
      <c r="D3156" s="1">
        <v>43634</v>
      </c>
      <c r="E3156">
        <f>MONTH(D3156)</f>
        <v>6</v>
      </c>
      <c r="F3156" s="2" t="s">
        <v>2098</v>
      </c>
      <c r="G3156" t="s">
        <v>362</v>
      </c>
      <c r="H3156" t="s">
        <v>2030</v>
      </c>
      <c r="I3156" t="s">
        <v>22</v>
      </c>
      <c r="J3156" s="2" t="s">
        <v>42</v>
      </c>
      <c r="K3156" s="2" t="s">
        <v>3019</v>
      </c>
      <c r="L3156" t="s">
        <v>25</v>
      </c>
      <c r="M3156" s="8">
        <v>1.4923333329999999</v>
      </c>
      <c r="N3156" t="s">
        <v>26</v>
      </c>
      <c r="O3156" s="8">
        <v>1.4923333329999999</v>
      </c>
      <c r="P3156" s="8">
        <f>EXP(-1.363+3.366*LOG(O3156,10))</f>
        <v>0.45943050733617752</v>
      </c>
      <c r="Q3156" s="8">
        <f>(5996898*100)/6073515</f>
        <v>98.738506449724753</v>
      </c>
    </row>
    <row r="3157" spans="1:17" x14ac:dyDescent="0.2">
      <c r="A3157">
        <f>YEAR(D3157)</f>
        <v>2019</v>
      </c>
      <c r="B3157" t="s">
        <v>26</v>
      </c>
      <c r="C3157" s="2" t="s">
        <v>3018</v>
      </c>
      <c r="D3157" s="1">
        <v>43634</v>
      </c>
      <c r="E3157">
        <f>MONTH(D3157)</f>
        <v>6</v>
      </c>
      <c r="F3157" s="2" t="s">
        <v>2098</v>
      </c>
      <c r="G3157" t="s">
        <v>352</v>
      </c>
      <c r="H3157" t="s">
        <v>728</v>
      </c>
      <c r="I3157" t="s">
        <v>22</v>
      </c>
      <c r="J3157" s="2" t="s">
        <v>42</v>
      </c>
      <c r="K3157" s="2" t="s">
        <v>3019</v>
      </c>
      <c r="L3157" t="s">
        <v>187</v>
      </c>
      <c r="M3157" s="8">
        <v>1.8093333330000001</v>
      </c>
      <c r="N3157" t="s">
        <v>26</v>
      </c>
      <c r="O3157" s="8">
        <v>1.8093333330000001</v>
      </c>
      <c r="P3157" s="8">
        <f>EXP(-1.363+3.366*LOG(O3157,10))</f>
        <v>0.6088444603462565</v>
      </c>
      <c r="Q3157" s="8">
        <f>(5996898*100)/6073515</f>
        <v>98.738506449724753</v>
      </c>
    </row>
    <row r="3158" spans="1:17" x14ac:dyDescent="0.2">
      <c r="A3158">
        <f>YEAR(D3158)</f>
        <v>2019</v>
      </c>
      <c r="B3158" t="s">
        <v>26</v>
      </c>
      <c r="C3158" s="2" t="s">
        <v>3018</v>
      </c>
      <c r="D3158" s="1">
        <v>43634</v>
      </c>
      <c r="E3158">
        <f>MONTH(D3158)</f>
        <v>6</v>
      </c>
      <c r="F3158" s="2" t="s">
        <v>2098</v>
      </c>
      <c r="G3158" t="s">
        <v>1520</v>
      </c>
      <c r="H3158" t="s">
        <v>1521</v>
      </c>
      <c r="I3158" t="s">
        <v>22</v>
      </c>
      <c r="J3158" s="2" t="s">
        <v>42</v>
      </c>
      <c r="K3158" s="2" t="s">
        <v>3019</v>
      </c>
      <c r="L3158" t="s">
        <v>25</v>
      </c>
      <c r="M3158" s="8">
        <v>2.952</v>
      </c>
      <c r="N3158" t="s">
        <v>26</v>
      </c>
      <c r="O3158" s="8">
        <v>2.952</v>
      </c>
      <c r="P3158" s="8">
        <f>EXP(-1.363+3.366*LOG(O3158,10))</f>
        <v>1.2453438103764427</v>
      </c>
      <c r="Q3158" s="8">
        <f>(5996898*100)/6073515</f>
        <v>98.738506449724753</v>
      </c>
    </row>
    <row r="3159" spans="1:17" x14ac:dyDescent="0.2">
      <c r="A3159">
        <f>YEAR(D3159)</f>
        <v>2019</v>
      </c>
      <c r="B3159" t="s">
        <v>26</v>
      </c>
      <c r="C3159" s="2" t="s">
        <v>3018</v>
      </c>
      <c r="D3159" s="1">
        <v>43634</v>
      </c>
      <c r="E3159">
        <f>MONTH(D3159)</f>
        <v>6</v>
      </c>
      <c r="F3159" s="2" t="s">
        <v>2098</v>
      </c>
      <c r="G3159" t="s">
        <v>1520</v>
      </c>
      <c r="H3159" t="s">
        <v>1528</v>
      </c>
      <c r="I3159" t="s">
        <v>22</v>
      </c>
      <c r="J3159" s="2" t="s">
        <v>42</v>
      </c>
      <c r="K3159" s="2" t="s">
        <v>3019</v>
      </c>
      <c r="L3159" t="s">
        <v>25</v>
      </c>
      <c r="M3159" s="8">
        <v>3.624333333</v>
      </c>
      <c r="N3159" t="s">
        <v>26</v>
      </c>
      <c r="O3159" s="8">
        <v>3.624333333</v>
      </c>
      <c r="P3159" s="8">
        <f>EXP(-1.363+3.366*LOG(O3159,10))</f>
        <v>1.6809546844949765</v>
      </c>
      <c r="Q3159" s="8">
        <f>(5996898*100)/6073515</f>
        <v>98.738506449724753</v>
      </c>
    </row>
    <row r="3160" spans="1:17" x14ac:dyDescent="0.2">
      <c r="A3160">
        <f>YEAR(D3160)</f>
        <v>2019</v>
      </c>
      <c r="B3160" t="s">
        <v>26</v>
      </c>
      <c r="C3160" s="2" t="s">
        <v>3018</v>
      </c>
      <c r="D3160" s="1">
        <v>43634</v>
      </c>
      <c r="E3160">
        <f>MONTH(D3160)</f>
        <v>6</v>
      </c>
      <c r="F3160" s="2" t="s">
        <v>2098</v>
      </c>
      <c r="G3160" t="s">
        <v>230</v>
      </c>
      <c r="H3160" t="s">
        <v>268</v>
      </c>
      <c r="I3160" t="s">
        <v>22</v>
      </c>
      <c r="J3160" s="2" t="s">
        <v>42</v>
      </c>
      <c r="K3160" s="2" t="s">
        <v>3019</v>
      </c>
      <c r="L3160" t="s">
        <v>25</v>
      </c>
      <c r="M3160" s="8">
        <v>3.5356666670000001</v>
      </c>
      <c r="N3160" t="s">
        <v>26</v>
      </c>
      <c r="O3160" s="8">
        <v>3.5356666670000001</v>
      </c>
      <c r="P3160" s="8">
        <f>EXP(-1.363+3.366*LOG(O3160,10))</f>
        <v>1.6211802664427075</v>
      </c>
      <c r="Q3160" s="8">
        <f>(5996898*100)/6073515</f>
        <v>98.738506449724753</v>
      </c>
    </row>
    <row r="3161" spans="1:17" x14ac:dyDescent="0.2">
      <c r="A3161">
        <f>YEAR(D3161)</f>
        <v>2019</v>
      </c>
      <c r="B3161" t="s">
        <v>26</v>
      </c>
      <c r="C3161" s="2" t="s">
        <v>3018</v>
      </c>
      <c r="D3161" s="1">
        <v>43634</v>
      </c>
      <c r="E3161">
        <f>MONTH(D3161)</f>
        <v>6</v>
      </c>
      <c r="F3161" s="2" t="s">
        <v>2098</v>
      </c>
      <c r="G3161" t="s">
        <v>352</v>
      </c>
      <c r="H3161" t="s">
        <v>623</v>
      </c>
      <c r="I3161" t="s">
        <v>22</v>
      </c>
      <c r="J3161" s="2" t="s">
        <v>42</v>
      </c>
      <c r="K3161" s="2" t="s">
        <v>3019</v>
      </c>
      <c r="L3161" t="s">
        <v>25</v>
      </c>
      <c r="M3161" s="8">
        <v>1.387</v>
      </c>
      <c r="N3161" t="s">
        <v>26</v>
      </c>
      <c r="O3161" s="8">
        <v>1.387</v>
      </c>
      <c r="P3161" s="8">
        <f>EXP(-1.363+3.366*LOG(O3161,10))</f>
        <v>0.41280884754947733</v>
      </c>
      <c r="Q3161" s="8">
        <f>(5996898*100)/6073515</f>
        <v>98.738506449724753</v>
      </c>
    </row>
    <row r="3162" spans="1:17" x14ac:dyDescent="0.2">
      <c r="A3162">
        <f>YEAR(D3162)</f>
        <v>2019</v>
      </c>
      <c r="B3162" t="s">
        <v>26</v>
      </c>
      <c r="C3162" s="2" t="s">
        <v>3018</v>
      </c>
      <c r="D3162" s="1">
        <v>43634</v>
      </c>
      <c r="E3162">
        <f>MONTH(D3162)</f>
        <v>6</v>
      </c>
      <c r="F3162" s="2" t="s">
        <v>2098</v>
      </c>
      <c r="G3162" t="s">
        <v>352</v>
      </c>
      <c r="H3162" t="s">
        <v>975</v>
      </c>
      <c r="I3162" t="s">
        <v>22</v>
      </c>
      <c r="J3162" s="2" t="s">
        <v>42</v>
      </c>
      <c r="K3162" s="2" t="s">
        <v>3019</v>
      </c>
      <c r="L3162" t="s">
        <v>25</v>
      </c>
      <c r="M3162" s="8">
        <v>1.0693333330000001</v>
      </c>
      <c r="N3162" t="s">
        <v>26</v>
      </c>
      <c r="O3162" s="8">
        <v>1.0693333330000001</v>
      </c>
      <c r="P3162" s="8">
        <f>EXP(-1.363+3.366*LOG(O3162,10))</f>
        <v>0.28223780327142356</v>
      </c>
      <c r="Q3162" s="8">
        <f>(5996898*100)/6073515</f>
        <v>98.738506449724753</v>
      </c>
    </row>
    <row r="3163" spans="1:17" x14ac:dyDescent="0.2">
      <c r="A3163">
        <f>YEAR(D3163)</f>
        <v>2019</v>
      </c>
      <c r="B3163" t="s">
        <v>26</v>
      </c>
      <c r="C3163" s="2" t="s">
        <v>3018</v>
      </c>
      <c r="D3163" s="1">
        <v>43634</v>
      </c>
      <c r="E3163">
        <f>MONTH(D3163)</f>
        <v>6</v>
      </c>
      <c r="F3163" s="2" t="s">
        <v>2098</v>
      </c>
      <c r="G3163" t="s">
        <v>352</v>
      </c>
      <c r="H3163" t="s">
        <v>1459</v>
      </c>
      <c r="I3163" t="s">
        <v>22</v>
      </c>
      <c r="J3163" s="2" t="s">
        <v>42</v>
      </c>
      <c r="K3163" s="2" t="s">
        <v>3019</v>
      </c>
      <c r="L3163" t="s">
        <v>25</v>
      </c>
      <c r="M3163" s="8">
        <v>1.1910000000000001</v>
      </c>
      <c r="N3163" t="s">
        <v>26</v>
      </c>
      <c r="O3163" s="8">
        <v>1.1910000000000001</v>
      </c>
      <c r="P3163" s="8">
        <f>EXP(-1.363+3.366*LOG(O3163,10))</f>
        <v>0.33039016297752993</v>
      </c>
      <c r="Q3163" s="8">
        <f>(5996898*100)/6073515</f>
        <v>98.738506449724753</v>
      </c>
    </row>
    <row r="3164" spans="1:17" x14ac:dyDescent="0.2">
      <c r="A3164">
        <f>YEAR(D3164)</f>
        <v>2019</v>
      </c>
      <c r="B3164" t="s">
        <v>26</v>
      </c>
      <c r="C3164" s="2" t="s">
        <v>3018</v>
      </c>
      <c r="D3164" s="1">
        <v>43634</v>
      </c>
      <c r="E3164">
        <f>MONTH(D3164)</f>
        <v>6</v>
      </c>
      <c r="F3164" s="2" t="s">
        <v>2098</v>
      </c>
      <c r="G3164" t="s">
        <v>352</v>
      </c>
      <c r="H3164" t="s">
        <v>1459</v>
      </c>
      <c r="I3164" t="s">
        <v>22</v>
      </c>
      <c r="J3164" s="2" t="s">
        <v>42</v>
      </c>
      <c r="K3164" s="2" t="s">
        <v>3019</v>
      </c>
      <c r="L3164" t="s">
        <v>25</v>
      </c>
      <c r="M3164" s="8">
        <v>1.1910000000000001</v>
      </c>
      <c r="N3164" t="s">
        <v>26</v>
      </c>
      <c r="O3164" s="8">
        <v>1.1910000000000001</v>
      </c>
      <c r="P3164" s="8">
        <f>EXP(-1.363+3.366*LOG(O3164,10))</f>
        <v>0.33039016297752993</v>
      </c>
      <c r="Q3164" s="8">
        <f>(5996898*100)/6073515</f>
        <v>98.738506449724753</v>
      </c>
    </row>
    <row r="3165" spans="1:17" x14ac:dyDescent="0.2">
      <c r="A3165">
        <f>YEAR(D3165)</f>
        <v>2019</v>
      </c>
      <c r="B3165" t="s">
        <v>26</v>
      </c>
      <c r="C3165" s="2" t="s">
        <v>3018</v>
      </c>
      <c r="D3165" s="1">
        <v>43634</v>
      </c>
      <c r="E3165">
        <f>MONTH(D3165)</f>
        <v>6</v>
      </c>
      <c r="F3165" s="2" t="s">
        <v>2098</v>
      </c>
      <c r="G3165" t="s">
        <v>230</v>
      </c>
      <c r="H3165" t="s">
        <v>268</v>
      </c>
      <c r="I3165" t="s">
        <v>22</v>
      </c>
      <c r="J3165" s="2" t="s">
        <v>42</v>
      </c>
      <c r="K3165" s="2" t="s">
        <v>3019</v>
      </c>
      <c r="L3165" t="s">
        <v>25</v>
      </c>
      <c r="M3165" s="8">
        <v>3.5356666670000001</v>
      </c>
      <c r="N3165" t="s">
        <v>26</v>
      </c>
      <c r="O3165" s="8">
        <v>3.5356666670000001</v>
      </c>
      <c r="P3165" s="8">
        <f>EXP(-1.363+3.366*LOG(O3165,10))</f>
        <v>1.6211802664427075</v>
      </c>
      <c r="Q3165" s="8">
        <f>(5996898*100)/6073515</f>
        <v>98.738506449724753</v>
      </c>
    </row>
    <row r="3166" spans="1:17" x14ac:dyDescent="0.2">
      <c r="A3166">
        <f>YEAR(D3166)</f>
        <v>2019</v>
      </c>
      <c r="B3166" t="s">
        <v>26</v>
      </c>
      <c r="C3166" s="2" t="s">
        <v>3018</v>
      </c>
      <c r="D3166" s="1">
        <v>43634</v>
      </c>
      <c r="E3166">
        <f>MONTH(D3166)</f>
        <v>6</v>
      </c>
      <c r="F3166" s="2" t="s">
        <v>2098</v>
      </c>
      <c r="G3166" t="s">
        <v>230</v>
      </c>
      <c r="H3166" t="s">
        <v>268</v>
      </c>
      <c r="I3166" t="s">
        <v>22</v>
      </c>
      <c r="J3166" s="2" t="s">
        <v>42</v>
      </c>
      <c r="K3166" s="2" t="s">
        <v>3019</v>
      </c>
      <c r="L3166" t="s">
        <v>25</v>
      </c>
      <c r="M3166" s="8">
        <v>3.5356666670000001</v>
      </c>
      <c r="N3166" t="s">
        <v>26</v>
      </c>
      <c r="O3166" s="8">
        <v>3.5356666670000001</v>
      </c>
      <c r="P3166" s="8">
        <f>EXP(-1.363+3.366*LOG(O3166,10))</f>
        <v>1.6211802664427075</v>
      </c>
      <c r="Q3166" s="8">
        <f>(5996898*100)/6073515</f>
        <v>98.738506449724753</v>
      </c>
    </row>
    <row r="3167" spans="1:17" x14ac:dyDescent="0.2">
      <c r="A3167">
        <f>YEAR(D3167)</f>
        <v>2019</v>
      </c>
      <c r="B3167" t="s">
        <v>26</v>
      </c>
      <c r="C3167" s="2" t="s">
        <v>3018</v>
      </c>
      <c r="D3167" s="1">
        <v>43634</v>
      </c>
      <c r="E3167">
        <f>MONTH(D3167)</f>
        <v>6</v>
      </c>
      <c r="F3167" s="2" t="s">
        <v>2098</v>
      </c>
      <c r="G3167" t="s">
        <v>219</v>
      </c>
      <c r="H3167" t="s">
        <v>220</v>
      </c>
      <c r="I3167" t="s">
        <v>22</v>
      </c>
      <c r="J3167" s="2" t="s">
        <v>42</v>
      </c>
      <c r="K3167" s="2" t="s">
        <v>3019</v>
      </c>
      <c r="L3167" t="s">
        <v>25</v>
      </c>
      <c r="M3167" s="10" t="s">
        <v>26</v>
      </c>
      <c r="N3167" t="s">
        <v>26</v>
      </c>
      <c r="O3167" s="10" t="s">
        <v>26</v>
      </c>
      <c r="P3167" s="8" t="s">
        <v>26</v>
      </c>
      <c r="Q3167" s="8">
        <f>(5996898*100)/6073515</f>
        <v>98.738506449724753</v>
      </c>
    </row>
    <row r="3168" spans="1:17" x14ac:dyDescent="0.2">
      <c r="A3168">
        <f>YEAR(D3168)</f>
        <v>2019</v>
      </c>
      <c r="B3168" t="s">
        <v>26</v>
      </c>
      <c r="C3168" s="2" t="s">
        <v>3018</v>
      </c>
      <c r="D3168" s="1">
        <v>43634</v>
      </c>
      <c r="E3168">
        <f>MONTH(D3168)</f>
        <v>6</v>
      </c>
      <c r="F3168" s="2" t="s">
        <v>2098</v>
      </c>
      <c r="G3168" t="s">
        <v>1520</v>
      </c>
      <c r="H3168" t="s">
        <v>1521</v>
      </c>
      <c r="I3168" t="s">
        <v>22</v>
      </c>
      <c r="J3168" s="2" t="s">
        <v>42</v>
      </c>
      <c r="K3168" s="2" t="s">
        <v>3019</v>
      </c>
      <c r="L3168" t="s">
        <v>25</v>
      </c>
      <c r="M3168" s="8">
        <v>2.952</v>
      </c>
      <c r="N3168" t="s">
        <v>26</v>
      </c>
      <c r="O3168" s="8">
        <v>2.952</v>
      </c>
      <c r="P3168" s="8">
        <f>EXP(-1.363+3.366*LOG(O3168,10))</f>
        <v>1.2453438103764427</v>
      </c>
      <c r="Q3168" s="8">
        <f>(5996898*100)/6073515</f>
        <v>98.738506449724753</v>
      </c>
    </row>
    <row r="3169" spans="1:17" x14ac:dyDescent="0.2">
      <c r="A3169">
        <f>YEAR(D3169)</f>
        <v>2019</v>
      </c>
      <c r="B3169" t="s">
        <v>26</v>
      </c>
      <c r="C3169" s="2" t="s">
        <v>3018</v>
      </c>
      <c r="D3169" s="1">
        <v>43634</v>
      </c>
      <c r="E3169">
        <f>MONTH(D3169)</f>
        <v>6</v>
      </c>
      <c r="F3169" s="2" t="s">
        <v>2098</v>
      </c>
      <c r="G3169" t="s">
        <v>332</v>
      </c>
      <c r="H3169" t="s">
        <v>330</v>
      </c>
      <c r="I3169" t="s">
        <v>22</v>
      </c>
      <c r="J3169" s="2" t="s">
        <v>42</v>
      </c>
      <c r="K3169" s="2" t="s">
        <v>3019</v>
      </c>
      <c r="L3169" t="s">
        <v>25</v>
      </c>
      <c r="M3169" s="8">
        <v>1.2170000000000001</v>
      </c>
      <c r="N3169" t="s">
        <v>26</v>
      </c>
      <c r="O3169" s="8">
        <v>1.2170000000000001</v>
      </c>
      <c r="P3169" s="8">
        <f>EXP(-1.363+3.366*LOG(O3169,10))</f>
        <v>0.34098666307598596</v>
      </c>
      <c r="Q3169" s="8">
        <f>(5996898*100)/6073515</f>
        <v>98.738506449724753</v>
      </c>
    </row>
    <row r="3170" spans="1:17" x14ac:dyDescent="0.2">
      <c r="A3170">
        <f>YEAR(D3170)</f>
        <v>2019</v>
      </c>
      <c r="B3170" t="s">
        <v>26</v>
      </c>
      <c r="C3170" s="2" t="s">
        <v>3018</v>
      </c>
      <c r="D3170" s="1">
        <v>43634</v>
      </c>
      <c r="E3170">
        <f>MONTH(D3170)</f>
        <v>6</v>
      </c>
      <c r="F3170" s="2" t="s">
        <v>2098</v>
      </c>
      <c r="G3170" t="s">
        <v>362</v>
      </c>
      <c r="H3170" t="s">
        <v>447</v>
      </c>
      <c r="I3170" t="s">
        <v>22</v>
      </c>
      <c r="J3170" s="2" t="s">
        <v>42</v>
      </c>
      <c r="K3170" s="2" t="s">
        <v>3019</v>
      </c>
      <c r="L3170" t="s">
        <v>25</v>
      </c>
      <c r="M3170" s="8">
        <v>1.421</v>
      </c>
      <c r="N3170" t="s">
        <v>26</v>
      </c>
      <c r="O3170" s="8">
        <v>1.421</v>
      </c>
      <c r="P3170" s="8">
        <f>EXP(-1.363+3.366*LOG(O3170,10))</f>
        <v>0.42768500084673816</v>
      </c>
      <c r="Q3170" s="8">
        <f>(5996898*100)/6073515</f>
        <v>98.738506449724753</v>
      </c>
    </row>
    <row r="3171" spans="1:17" x14ac:dyDescent="0.2">
      <c r="A3171">
        <f>YEAR(D3171)</f>
        <v>2019</v>
      </c>
      <c r="B3171" t="s">
        <v>26</v>
      </c>
      <c r="C3171" s="2" t="s">
        <v>3027</v>
      </c>
      <c r="D3171" s="1">
        <v>43634</v>
      </c>
      <c r="E3171">
        <f>MONTH(D3171)</f>
        <v>6</v>
      </c>
      <c r="F3171" s="2" t="s">
        <v>2098</v>
      </c>
      <c r="G3171" t="s">
        <v>219</v>
      </c>
      <c r="H3171" t="s">
        <v>220</v>
      </c>
      <c r="I3171" t="s">
        <v>22</v>
      </c>
      <c r="J3171" s="2" t="s">
        <v>42</v>
      </c>
      <c r="K3171" s="2" t="s">
        <v>3019</v>
      </c>
      <c r="L3171" t="s">
        <v>25</v>
      </c>
      <c r="M3171" s="10" t="s">
        <v>26</v>
      </c>
      <c r="N3171" t="s">
        <v>26</v>
      </c>
      <c r="O3171" s="10" t="s">
        <v>26</v>
      </c>
      <c r="P3171" s="8" t="s">
        <v>26</v>
      </c>
      <c r="Q3171" s="8">
        <f>(3939723*100)/4442581</f>
        <v>88.680949204977921</v>
      </c>
    </row>
    <row r="3172" spans="1:17" x14ac:dyDescent="0.2">
      <c r="A3172">
        <f>YEAR(D3172)</f>
        <v>2019</v>
      </c>
      <c r="B3172" t="s">
        <v>26</v>
      </c>
      <c r="C3172" s="2" t="s">
        <v>3027</v>
      </c>
      <c r="D3172" s="1">
        <v>43634</v>
      </c>
      <c r="E3172">
        <f>MONTH(D3172)</f>
        <v>6</v>
      </c>
      <c r="F3172" s="2" t="s">
        <v>2098</v>
      </c>
      <c r="G3172" t="s">
        <v>219</v>
      </c>
      <c r="H3172" t="s">
        <v>220</v>
      </c>
      <c r="I3172" t="s">
        <v>22</v>
      </c>
      <c r="J3172" s="2" t="s">
        <v>42</v>
      </c>
      <c r="K3172" s="2" t="s">
        <v>3019</v>
      </c>
      <c r="L3172" t="s">
        <v>25</v>
      </c>
      <c r="M3172" s="10" t="s">
        <v>26</v>
      </c>
      <c r="N3172" t="s">
        <v>26</v>
      </c>
      <c r="O3172" s="10" t="s">
        <v>26</v>
      </c>
      <c r="P3172" s="8" t="s">
        <v>26</v>
      </c>
      <c r="Q3172" s="8">
        <f>(3939723*100)/4442581</f>
        <v>88.680949204977921</v>
      </c>
    </row>
    <row r="3173" spans="1:17" x14ac:dyDescent="0.2">
      <c r="A3173">
        <f>YEAR(D3173)</f>
        <v>2019</v>
      </c>
      <c r="B3173" t="s">
        <v>26</v>
      </c>
      <c r="C3173" s="2" t="s">
        <v>3027</v>
      </c>
      <c r="D3173" s="1">
        <v>43634</v>
      </c>
      <c r="E3173">
        <f>MONTH(D3173)</f>
        <v>6</v>
      </c>
      <c r="F3173" s="2" t="s">
        <v>2098</v>
      </c>
      <c r="G3173" t="s">
        <v>219</v>
      </c>
      <c r="H3173" t="s">
        <v>220</v>
      </c>
      <c r="I3173" t="s">
        <v>22</v>
      </c>
      <c r="J3173" s="2" t="s">
        <v>42</v>
      </c>
      <c r="K3173" s="2" t="s">
        <v>3019</v>
      </c>
      <c r="L3173" t="s">
        <v>25</v>
      </c>
      <c r="M3173" s="10" t="s">
        <v>26</v>
      </c>
      <c r="N3173" t="s">
        <v>26</v>
      </c>
      <c r="O3173" s="10" t="s">
        <v>26</v>
      </c>
      <c r="P3173" s="8" t="s">
        <v>26</v>
      </c>
      <c r="Q3173" s="8">
        <f>(3939723*100)/4442581</f>
        <v>88.680949204977921</v>
      </c>
    </row>
    <row r="3174" spans="1:17" x14ac:dyDescent="0.2">
      <c r="A3174">
        <f>YEAR(D3174)</f>
        <v>2019</v>
      </c>
      <c r="B3174" t="s">
        <v>26</v>
      </c>
      <c r="C3174" s="2" t="s">
        <v>3027</v>
      </c>
      <c r="D3174" s="1">
        <v>43634</v>
      </c>
      <c r="E3174">
        <f>MONTH(D3174)</f>
        <v>6</v>
      </c>
      <c r="F3174" s="2" t="s">
        <v>2098</v>
      </c>
      <c r="G3174" t="s">
        <v>219</v>
      </c>
      <c r="H3174" t="s">
        <v>220</v>
      </c>
      <c r="I3174" t="s">
        <v>22</v>
      </c>
      <c r="J3174" s="2" t="s">
        <v>42</v>
      </c>
      <c r="K3174" s="2" t="s">
        <v>3019</v>
      </c>
      <c r="L3174" t="s">
        <v>25</v>
      </c>
      <c r="M3174" s="10" t="s">
        <v>26</v>
      </c>
      <c r="N3174" t="s">
        <v>26</v>
      </c>
      <c r="O3174" s="10" t="s">
        <v>26</v>
      </c>
      <c r="P3174" s="8" t="s">
        <v>26</v>
      </c>
      <c r="Q3174" s="8">
        <f>(3939723*100)/4442581</f>
        <v>88.680949204977921</v>
      </c>
    </row>
    <row r="3175" spans="1:17" x14ac:dyDescent="0.2">
      <c r="A3175">
        <f>YEAR(D3175)</f>
        <v>2019</v>
      </c>
      <c r="B3175" t="s">
        <v>26</v>
      </c>
      <c r="C3175" s="2" t="s">
        <v>3027</v>
      </c>
      <c r="D3175" s="1">
        <v>43634</v>
      </c>
      <c r="E3175">
        <f>MONTH(D3175)</f>
        <v>6</v>
      </c>
      <c r="F3175" s="2" t="s">
        <v>2098</v>
      </c>
      <c r="G3175" t="s">
        <v>219</v>
      </c>
      <c r="H3175" t="s">
        <v>220</v>
      </c>
      <c r="I3175" t="s">
        <v>22</v>
      </c>
      <c r="J3175" s="2" t="s">
        <v>42</v>
      </c>
      <c r="K3175" s="2" t="s">
        <v>3019</v>
      </c>
      <c r="L3175" t="s">
        <v>25</v>
      </c>
      <c r="M3175" s="10" t="s">
        <v>26</v>
      </c>
      <c r="N3175" t="s">
        <v>26</v>
      </c>
      <c r="O3175" s="10" t="s">
        <v>26</v>
      </c>
      <c r="P3175" s="8" t="s">
        <v>26</v>
      </c>
      <c r="Q3175" s="8">
        <f>(3939723*100)/4442581</f>
        <v>88.680949204977921</v>
      </c>
    </row>
    <row r="3176" spans="1:17" x14ac:dyDescent="0.2">
      <c r="A3176">
        <f>YEAR(D3176)</f>
        <v>2019</v>
      </c>
      <c r="B3176" t="s">
        <v>26</v>
      </c>
      <c r="C3176" s="2" t="s">
        <v>3027</v>
      </c>
      <c r="D3176" s="1">
        <v>43634</v>
      </c>
      <c r="E3176">
        <f>MONTH(D3176)</f>
        <v>6</v>
      </c>
      <c r="F3176" s="2" t="s">
        <v>2098</v>
      </c>
      <c r="G3176" t="s">
        <v>219</v>
      </c>
      <c r="H3176" t="s">
        <v>220</v>
      </c>
      <c r="I3176" t="s">
        <v>22</v>
      </c>
      <c r="J3176" s="2" t="s">
        <v>42</v>
      </c>
      <c r="K3176" s="2" t="s">
        <v>3019</v>
      </c>
      <c r="L3176" t="s">
        <v>25</v>
      </c>
      <c r="M3176" s="10" t="s">
        <v>26</v>
      </c>
      <c r="N3176" t="s">
        <v>26</v>
      </c>
      <c r="O3176" s="10" t="s">
        <v>26</v>
      </c>
      <c r="P3176" s="8" t="s">
        <v>26</v>
      </c>
      <c r="Q3176" s="8">
        <f>(3939723*100)/4442581</f>
        <v>88.680949204977921</v>
      </c>
    </row>
    <row r="3177" spans="1:17" x14ac:dyDescent="0.2">
      <c r="A3177">
        <f>YEAR(D3177)</f>
        <v>2019</v>
      </c>
      <c r="B3177" t="s">
        <v>26</v>
      </c>
      <c r="C3177" s="2" t="s">
        <v>3027</v>
      </c>
      <c r="D3177" s="1">
        <v>43634</v>
      </c>
      <c r="E3177">
        <f>MONTH(D3177)</f>
        <v>6</v>
      </c>
      <c r="F3177" s="2" t="s">
        <v>2098</v>
      </c>
      <c r="G3177" t="s">
        <v>219</v>
      </c>
      <c r="H3177" t="s">
        <v>220</v>
      </c>
      <c r="I3177" t="s">
        <v>22</v>
      </c>
      <c r="J3177" s="2" t="s">
        <v>42</v>
      </c>
      <c r="K3177" s="2" t="s">
        <v>3019</v>
      </c>
      <c r="L3177" t="s">
        <v>25</v>
      </c>
      <c r="M3177" s="10" t="s">
        <v>26</v>
      </c>
      <c r="N3177" t="s">
        <v>26</v>
      </c>
      <c r="O3177" s="10" t="s">
        <v>26</v>
      </c>
      <c r="P3177" s="8" t="s">
        <v>26</v>
      </c>
      <c r="Q3177" s="8">
        <f>(3939723*100)/4442581</f>
        <v>88.680949204977921</v>
      </c>
    </row>
    <row r="3178" spans="1:17" x14ac:dyDescent="0.2">
      <c r="A3178">
        <f>YEAR(D3178)</f>
        <v>2019</v>
      </c>
      <c r="B3178" t="s">
        <v>26</v>
      </c>
      <c r="C3178" s="2" t="s">
        <v>3027</v>
      </c>
      <c r="D3178" s="1">
        <v>43634</v>
      </c>
      <c r="E3178">
        <f>MONTH(D3178)</f>
        <v>6</v>
      </c>
      <c r="F3178" s="2" t="s">
        <v>2098</v>
      </c>
      <c r="G3178" t="s">
        <v>219</v>
      </c>
      <c r="H3178" t="s">
        <v>220</v>
      </c>
      <c r="I3178" t="s">
        <v>22</v>
      </c>
      <c r="J3178" s="2" t="s">
        <v>42</v>
      </c>
      <c r="K3178" s="2" t="s">
        <v>3019</v>
      </c>
      <c r="L3178" t="s">
        <v>25</v>
      </c>
      <c r="M3178" s="10" t="s">
        <v>26</v>
      </c>
      <c r="N3178" t="s">
        <v>26</v>
      </c>
      <c r="O3178" s="10" t="s">
        <v>26</v>
      </c>
      <c r="P3178" s="8" t="s">
        <v>26</v>
      </c>
      <c r="Q3178" s="8">
        <f>(3939723*100)/4442581</f>
        <v>88.680949204977921</v>
      </c>
    </row>
    <row r="3179" spans="1:17" x14ac:dyDescent="0.2">
      <c r="A3179">
        <f>YEAR(D3179)</f>
        <v>2019</v>
      </c>
      <c r="B3179" t="s">
        <v>26</v>
      </c>
      <c r="C3179" s="2" t="s">
        <v>3027</v>
      </c>
      <c r="D3179" s="1">
        <v>43634</v>
      </c>
      <c r="E3179">
        <f>MONTH(D3179)</f>
        <v>6</v>
      </c>
      <c r="F3179" s="2" t="s">
        <v>2098</v>
      </c>
      <c r="G3179" t="s">
        <v>219</v>
      </c>
      <c r="H3179" t="s">
        <v>220</v>
      </c>
      <c r="I3179" t="s">
        <v>22</v>
      </c>
      <c r="J3179" s="2" t="s">
        <v>42</v>
      </c>
      <c r="K3179" s="2" t="s">
        <v>3019</v>
      </c>
      <c r="L3179" t="s">
        <v>25</v>
      </c>
      <c r="M3179" s="10" t="s">
        <v>26</v>
      </c>
      <c r="N3179" t="s">
        <v>26</v>
      </c>
      <c r="O3179" s="10" t="s">
        <v>26</v>
      </c>
      <c r="P3179" s="8" t="s">
        <v>26</v>
      </c>
      <c r="Q3179" s="8">
        <f>(3939723*100)/4442581</f>
        <v>88.680949204977921</v>
      </c>
    </row>
    <row r="3180" spans="1:17" x14ac:dyDescent="0.2">
      <c r="A3180">
        <f>YEAR(D3180)</f>
        <v>2019</v>
      </c>
      <c r="B3180" t="s">
        <v>26</v>
      </c>
      <c r="C3180" s="2" t="s">
        <v>3027</v>
      </c>
      <c r="D3180" s="1">
        <v>43634</v>
      </c>
      <c r="E3180">
        <f>MONTH(D3180)</f>
        <v>6</v>
      </c>
      <c r="F3180" s="2" t="s">
        <v>2098</v>
      </c>
      <c r="G3180" t="s">
        <v>219</v>
      </c>
      <c r="H3180" t="s">
        <v>220</v>
      </c>
      <c r="I3180" t="s">
        <v>22</v>
      </c>
      <c r="J3180" s="2" t="s">
        <v>42</v>
      </c>
      <c r="K3180" s="2" t="s">
        <v>3019</v>
      </c>
      <c r="L3180" t="s">
        <v>25</v>
      </c>
      <c r="M3180" s="10" t="s">
        <v>26</v>
      </c>
      <c r="N3180" t="s">
        <v>26</v>
      </c>
      <c r="O3180" s="10" t="s">
        <v>26</v>
      </c>
      <c r="P3180" s="8" t="s">
        <v>26</v>
      </c>
      <c r="Q3180" s="8">
        <f>(3939723*100)/4442581</f>
        <v>88.680949204977921</v>
      </c>
    </row>
    <row r="3181" spans="1:17" x14ac:dyDescent="0.2">
      <c r="A3181">
        <f>YEAR(D3181)</f>
        <v>2019</v>
      </c>
      <c r="B3181" t="s">
        <v>26</v>
      </c>
      <c r="C3181" s="2" t="s">
        <v>3027</v>
      </c>
      <c r="D3181" s="1">
        <v>43634</v>
      </c>
      <c r="E3181">
        <f>MONTH(D3181)</f>
        <v>6</v>
      </c>
      <c r="F3181" s="2" t="s">
        <v>2098</v>
      </c>
      <c r="G3181" t="s">
        <v>219</v>
      </c>
      <c r="H3181" t="s">
        <v>220</v>
      </c>
      <c r="I3181" t="s">
        <v>22</v>
      </c>
      <c r="J3181" s="2" t="s">
        <v>42</v>
      </c>
      <c r="K3181" s="2" t="s">
        <v>3019</v>
      </c>
      <c r="L3181" t="s">
        <v>25</v>
      </c>
      <c r="M3181" s="10" t="s">
        <v>26</v>
      </c>
      <c r="N3181" t="s">
        <v>26</v>
      </c>
      <c r="O3181" s="10" t="s">
        <v>26</v>
      </c>
      <c r="P3181" s="8" t="s">
        <v>26</v>
      </c>
      <c r="Q3181" s="8">
        <f>(3939723*100)/4442581</f>
        <v>88.680949204977921</v>
      </c>
    </row>
    <row r="3182" spans="1:17" x14ac:dyDescent="0.2">
      <c r="A3182">
        <f>YEAR(D3182)</f>
        <v>2019</v>
      </c>
      <c r="B3182" t="s">
        <v>26</v>
      </c>
      <c r="C3182" s="2" t="s">
        <v>3027</v>
      </c>
      <c r="D3182" s="1">
        <v>43634</v>
      </c>
      <c r="E3182">
        <f>MONTH(D3182)</f>
        <v>6</v>
      </c>
      <c r="F3182" s="2" t="s">
        <v>2098</v>
      </c>
      <c r="G3182" t="s">
        <v>219</v>
      </c>
      <c r="H3182" t="s">
        <v>220</v>
      </c>
      <c r="I3182" t="s">
        <v>22</v>
      </c>
      <c r="J3182" s="2" t="s">
        <v>42</v>
      </c>
      <c r="K3182" s="2" t="s">
        <v>3019</v>
      </c>
      <c r="L3182" t="s">
        <v>25</v>
      </c>
      <c r="M3182" s="10" t="s">
        <v>26</v>
      </c>
      <c r="N3182" t="s">
        <v>26</v>
      </c>
      <c r="O3182" s="10" t="s">
        <v>26</v>
      </c>
      <c r="P3182" s="8" t="s">
        <v>26</v>
      </c>
      <c r="Q3182" s="8">
        <f>(3939723*100)/4442581</f>
        <v>88.680949204977921</v>
      </c>
    </row>
    <row r="3183" spans="1:17" x14ac:dyDescent="0.2">
      <c r="A3183">
        <f>YEAR(D3183)</f>
        <v>2019</v>
      </c>
      <c r="B3183" t="s">
        <v>26</v>
      </c>
      <c r="C3183" s="2" t="s">
        <v>3027</v>
      </c>
      <c r="D3183" s="1">
        <v>43634</v>
      </c>
      <c r="E3183">
        <f>MONTH(D3183)</f>
        <v>6</v>
      </c>
      <c r="F3183" s="2" t="s">
        <v>2098</v>
      </c>
      <c r="G3183" t="s">
        <v>219</v>
      </c>
      <c r="H3183" t="s">
        <v>220</v>
      </c>
      <c r="I3183" t="s">
        <v>22</v>
      </c>
      <c r="J3183" s="2" t="s">
        <v>42</v>
      </c>
      <c r="K3183" s="2" t="s">
        <v>3019</v>
      </c>
      <c r="L3183" t="s">
        <v>25</v>
      </c>
      <c r="M3183" s="10" t="s">
        <v>26</v>
      </c>
      <c r="N3183" t="s">
        <v>26</v>
      </c>
      <c r="O3183" s="10" t="s">
        <v>26</v>
      </c>
      <c r="P3183" s="8" t="s">
        <v>26</v>
      </c>
      <c r="Q3183" s="8">
        <f>(3939723*100)/4442581</f>
        <v>88.680949204977921</v>
      </c>
    </row>
    <row r="3184" spans="1:17" x14ac:dyDescent="0.2">
      <c r="A3184">
        <f>YEAR(D3184)</f>
        <v>2019</v>
      </c>
      <c r="B3184" t="s">
        <v>26</v>
      </c>
      <c r="C3184" s="2" t="s">
        <v>3027</v>
      </c>
      <c r="D3184" s="1">
        <v>43634</v>
      </c>
      <c r="E3184">
        <f>MONTH(D3184)</f>
        <v>6</v>
      </c>
      <c r="F3184" s="2" t="s">
        <v>2098</v>
      </c>
      <c r="G3184" t="s">
        <v>1520</v>
      </c>
      <c r="H3184" t="s">
        <v>2268</v>
      </c>
      <c r="I3184" t="s">
        <v>36</v>
      </c>
      <c r="J3184" s="2" t="s">
        <v>42</v>
      </c>
      <c r="K3184" s="2" t="s">
        <v>3019</v>
      </c>
      <c r="L3184" t="s">
        <v>25</v>
      </c>
      <c r="M3184" s="8">
        <v>3.8523333329999998</v>
      </c>
      <c r="N3184" t="s">
        <v>26</v>
      </c>
      <c r="O3184" s="8">
        <v>3.8523333329999998</v>
      </c>
      <c r="P3184" s="8">
        <f>EXP(-1.363+3.366*LOG(O3184,10))</f>
        <v>1.837758289200395</v>
      </c>
      <c r="Q3184" s="8">
        <f>(3939723*100)/4442581</f>
        <v>88.680949204977921</v>
      </c>
    </row>
    <row r="3185" spans="1:17" x14ac:dyDescent="0.2">
      <c r="A3185">
        <f>YEAR(D3185)</f>
        <v>2019</v>
      </c>
      <c r="B3185" t="s">
        <v>26</v>
      </c>
      <c r="C3185" s="2" t="s">
        <v>3027</v>
      </c>
      <c r="D3185" s="1">
        <v>43634</v>
      </c>
      <c r="E3185">
        <f>MONTH(D3185)</f>
        <v>6</v>
      </c>
      <c r="F3185" s="2" t="s">
        <v>2098</v>
      </c>
      <c r="G3185" t="s">
        <v>332</v>
      </c>
      <c r="H3185" t="s">
        <v>327</v>
      </c>
      <c r="I3185" t="s">
        <v>22</v>
      </c>
      <c r="J3185" s="2" t="s">
        <v>42</v>
      </c>
      <c r="K3185" s="2" t="s">
        <v>3019</v>
      </c>
      <c r="L3185" t="s">
        <v>25</v>
      </c>
      <c r="M3185" s="8">
        <v>1.239333333</v>
      </c>
      <c r="N3185" t="s">
        <v>26</v>
      </c>
      <c r="O3185" s="8">
        <v>1.239333333</v>
      </c>
      <c r="P3185" s="8">
        <f>EXP(-1.363+3.366*LOG(O3185,10))</f>
        <v>0.35017272283851147</v>
      </c>
      <c r="Q3185" s="8">
        <f>(3939723*100)/4442581</f>
        <v>88.680949204977921</v>
      </c>
    </row>
    <row r="3186" spans="1:17" x14ac:dyDescent="0.2">
      <c r="A3186">
        <f>YEAR(D3186)</f>
        <v>2019</v>
      </c>
      <c r="B3186" t="s">
        <v>26</v>
      </c>
      <c r="C3186" s="2" t="s">
        <v>3027</v>
      </c>
      <c r="D3186" s="1">
        <v>43634</v>
      </c>
      <c r="E3186">
        <f>MONTH(D3186)</f>
        <v>6</v>
      </c>
      <c r="F3186" s="2" t="s">
        <v>2098</v>
      </c>
      <c r="G3186" t="s">
        <v>230</v>
      </c>
      <c r="H3186" t="s">
        <v>268</v>
      </c>
      <c r="I3186" t="s">
        <v>22</v>
      </c>
      <c r="J3186" s="2" t="s">
        <v>42</v>
      </c>
      <c r="K3186" s="2" t="s">
        <v>3019</v>
      </c>
      <c r="L3186" t="s">
        <v>25</v>
      </c>
      <c r="M3186" s="8">
        <v>3.5356666670000001</v>
      </c>
      <c r="N3186" t="s">
        <v>26</v>
      </c>
      <c r="O3186" s="8">
        <v>3.5356666670000001</v>
      </c>
      <c r="P3186" s="8">
        <f>EXP(-1.363+3.366*LOG(O3186,10))</f>
        <v>1.6211802664427075</v>
      </c>
      <c r="Q3186" s="8">
        <f>(3939723*100)/4442581</f>
        <v>88.680949204977921</v>
      </c>
    </row>
    <row r="3187" spans="1:17" x14ac:dyDescent="0.2">
      <c r="A3187">
        <f>YEAR(D3187)</f>
        <v>2019</v>
      </c>
      <c r="B3187" t="s">
        <v>26</v>
      </c>
      <c r="C3187" s="2" t="s">
        <v>3027</v>
      </c>
      <c r="D3187" s="1">
        <v>43634</v>
      </c>
      <c r="E3187">
        <f>MONTH(D3187)</f>
        <v>6</v>
      </c>
      <c r="F3187" s="2" t="s">
        <v>2098</v>
      </c>
      <c r="G3187" t="s">
        <v>352</v>
      </c>
      <c r="H3187" t="s">
        <v>623</v>
      </c>
      <c r="I3187" t="s">
        <v>22</v>
      </c>
      <c r="J3187" s="2" t="s">
        <v>42</v>
      </c>
      <c r="K3187" s="2" t="s">
        <v>3019</v>
      </c>
      <c r="L3187" t="s">
        <v>25</v>
      </c>
      <c r="M3187" s="8">
        <v>1.387</v>
      </c>
      <c r="N3187" t="s">
        <v>26</v>
      </c>
      <c r="O3187" s="8">
        <v>1.387</v>
      </c>
      <c r="P3187" s="8">
        <f>EXP(-1.363+3.366*LOG(O3187,10))</f>
        <v>0.41280884754947733</v>
      </c>
      <c r="Q3187" s="8">
        <f>(3939723*100)/4442581</f>
        <v>88.680949204977921</v>
      </c>
    </row>
    <row r="3188" spans="1:17" x14ac:dyDescent="0.2">
      <c r="A3188">
        <f>YEAR(D3188)</f>
        <v>2019</v>
      </c>
      <c r="B3188" t="s">
        <v>26</v>
      </c>
      <c r="C3188" s="2" t="s">
        <v>3027</v>
      </c>
      <c r="D3188" s="1">
        <v>43634</v>
      </c>
      <c r="E3188">
        <f>MONTH(D3188)</f>
        <v>6</v>
      </c>
      <c r="F3188" s="2" t="s">
        <v>2098</v>
      </c>
      <c r="G3188" t="s">
        <v>362</v>
      </c>
      <c r="H3188" t="s">
        <v>2030</v>
      </c>
      <c r="I3188" t="s">
        <v>22</v>
      </c>
      <c r="J3188" s="2" t="s">
        <v>42</v>
      </c>
      <c r="K3188" s="2" t="s">
        <v>3019</v>
      </c>
      <c r="L3188" t="s">
        <v>25</v>
      </c>
      <c r="M3188" s="8">
        <v>1.4923333329999999</v>
      </c>
      <c r="N3188" t="s">
        <v>26</v>
      </c>
      <c r="O3188" s="8">
        <v>1.4923333329999999</v>
      </c>
      <c r="P3188" s="8">
        <f>EXP(-1.363+3.366*LOG(O3188,10))</f>
        <v>0.45943050733617752</v>
      </c>
      <c r="Q3188" s="8">
        <f>(3939723*100)/4442581</f>
        <v>88.680949204977921</v>
      </c>
    </row>
    <row r="3189" spans="1:17" x14ac:dyDescent="0.2">
      <c r="A3189">
        <f>YEAR(D3189)</f>
        <v>2019</v>
      </c>
      <c r="B3189" t="s">
        <v>26</v>
      </c>
      <c r="C3189" s="2" t="s">
        <v>3027</v>
      </c>
      <c r="D3189" s="1">
        <v>43634</v>
      </c>
      <c r="E3189">
        <f>MONTH(D3189)</f>
        <v>6</v>
      </c>
      <c r="F3189" s="2" t="s">
        <v>2098</v>
      </c>
      <c r="G3189" t="s">
        <v>352</v>
      </c>
      <c r="H3189" t="s">
        <v>747</v>
      </c>
      <c r="I3189" t="s">
        <v>22</v>
      </c>
      <c r="J3189" s="2" t="s">
        <v>42</v>
      </c>
      <c r="K3189" s="2" t="s">
        <v>3019</v>
      </c>
      <c r="L3189" t="s">
        <v>25</v>
      </c>
      <c r="M3189" s="8">
        <v>1.3726666670000001</v>
      </c>
      <c r="N3189" t="s">
        <v>26</v>
      </c>
      <c r="O3189" s="8">
        <v>1.3726666670000001</v>
      </c>
      <c r="P3189" s="8">
        <f>EXP(-1.363+3.366*LOG(O3189,10))</f>
        <v>0.40658758379567089</v>
      </c>
      <c r="Q3189" s="8">
        <f>(3939723*100)/4442581</f>
        <v>88.680949204977921</v>
      </c>
    </row>
    <row r="3190" spans="1:17" x14ac:dyDescent="0.2">
      <c r="A3190">
        <f>YEAR(D3190)</f>
        <v>2019</v>
      </c>
      <c r="B3190" t="s">
        <v>26</v>
      </c>
      <c r="C3190" s="2" t="s">
        <v>3027</v>
      </c>
      <c r="D3190" s="1">
        <v>43634</v>
      </c>
      <c r="E3190">
        <f>MONTH(D3190)</f>
        <v>6</v>
      </c>
      <c r="F3190" s="2" t="s">
        <v>2098</v>
      </c>
      <c r="G3190" t="s">
        <v>219</v>
      </c>
      <c r="H3190" t="s">
        <v>220</v>
      </c>
      <c r="I3190" t="s">
        <v>22</v>
      </c>
      <c r="J3190" s="2" t="s">
        <v>42</v>
      </c>
      <c r="K3190" s="2" t="s">
        <v>3019</v>
      </c>
      <c r="L3190" t="s">
        <v>25</v>
      </c>
      <c r="M3190" s="10" t="s">
        <v>26</v>
      </c>
      <c r="N3190" t="s">
        <v>26</v>
      </c>
      <c r="O3190" s="10" t="s">
        <v>26</v>
      </c>
      <c r="P3190" s="8" t="s">
        <v>26</v>
      </c>
      <c r="Q3190" s="8">
        <f>(3939723*100)/4442581</f>
        <v>88.680949204977921</v>
      </c>
    </row>
    <row r="3191" spans="1:17" x14ac:dyDescent="0.2">
      <c r="A3191">
        <f>YEAR(D3191)</f>
        <v>2019</v>
      </c>
      <c r="B3191" t="s">
        <v>26</v>
      </c>
      <c r="C3191" s="2" t="s">
        <v>3027</v>
      </c>
      <c r="D3191" s="1">
        <v>43634</v>
      </c>
      <c r="E3191">
        <f>MONTH(D3191)</f>
        <v>6</v>
      </c>
      <c r="F3191" s="2" t="s">
        <v>2098</v>
      </c>
      <c r="G3191" t="s">
        <v>219</v>
      </c>
      <c r="H3191" t="s">
        <v>220</v>
      </c>
      <c r="I3191" t="s">
        <v>22</v>
      </c>
      <c r="J3191" s="2" t="s">
        <v>42</v>
      </c>
      <c r="K3191" s="2" t="s">
        <v>3019</v>
      </c>
      <c r="L3191" t="s">
        <v>25</v>
      </c>
      <c r="M3191" s="10" t="s">
        <v>26</v>
      </c>
      <c r="N3191" t="s">
        <v>26</v>
      </c>
      <c r="O3191" s="10" t="s">
        <v>26</v>
      </c>
      <c r="P3191" s="8" t="s">
        <v>26</v>
      </c>
      <c r="Q3191" s="8">
        <f>(3939723*100)/4442581</f>
        <v>88.680949204977921</v>
      </c>
    </row>
    <row r="3192" spans="1:17" x14ac:dyDescent="0.2">
      <c r="A3192">
        <f>YEAR(D3192)</f>
        <v>2019</v>
      </c>
      <c r="B3192" t="s">
        <v>26</v>
      </c>
      <c r="C3192" s="2" t="s">
        <v>3027</v>
      </c>
      <c r="D3192" s="1">
        <v>43634</v>
      </c>
      <c r="E3192">
        <f>MONTH(D3192)</f>
        <v>6</v>
      </c>
      <c r="F3192" s="2" t="s">
        <v>2098</v>
      </c>
      <c r="G3192" t="s">
        <v>219</v>
      </c>
      <c r="H3192" t="s">
        <v>220</v>
      </c>
      <c r="I3192" t="s">
        <v>22</v>
      </c>
      <c r="J3192" s="2" t="s">
        <v>42</v>
      </c>
      <c r="K3192" s="2" t="s">
        <v>3019</v>
      </c>
      <c r="L3192" t="s">
        <v>25</v>
      </c>
      <c r="M3192" s="10" t="s">
        <v>26</v>
      </c>
      <c r="N3192" t="s">
        <v>26</v>
      </c>
      <c r="O3192" s="10" t="s">
        <v>26</v>
      </c>
      <c r="P3192" s="8" t="s">
        <v>26</v>
      </c>
      <c r="Q3192" s="8">
        <f>(3939723*100)/4442581</f>
        <v>88.680949204977921</v>
      </c>
    </row>
    <row r="3193" spans="1:17" x14ac:dyDescent="0.2">
      <c r="A3193">
        <f>YEAR(D3193)</f>
        <v>2019</v>
      </c>
      <c r="B3193" t="s">
        <v>26</v>
      </c>
      <c r="C3193" s="2" t="s">
        <v>3027</v>
      </c>
      <c r="D3193" s="1">
        <v>43634</v>
      </c>
      <c r="E3193">
        <f>MONTH(D3193)</f>
        <v>6</v>
      </c>
      <c r="F3193" s="2" t="s">
        <v>2098</v>
      </c>
      <c r="G3193" t="s">
        <v>219</v>
      </c>
      <c r="H3193" t="s">
        <v>220</v>
      </c>
      <c r="I3193" t="s">
        <v>22</v>
      </c>
      <c r="J3193" s="2" t="s">
        <v>42</v>
      </c>
      <c r="K3193" s="2" t="s">
        <v>3019</v>
      </c>
      <c r="L3193" t="s">
        <v>25</v>
      </c>
      <c r="M3193" s="10" t="s">
        <v>26</v>
      </c>
      <c r="N3193" t="s">
        <v>26</v>
      </c>
      <c r="O3193" s="10" t="s">
        <v>26</v>
      </c>
      <c r="P3193" s="8" t="s">
        <v>26</v>
      </c>
      <c r="Q3193" s="8">
        <f>(3939723*100)/4442581</f>
        <v>88.680949204977921</v>
      </c>
    </row>
    <row r="3194" spans="1:17" x14ac:dyDescent="0.2">
      <c r="A3194">
        <f>YEAR(D3194)</f>
        <v>2019</v>
      </c>
      <c r="B3194" t="s">
        <v>26</v>
      </c>
      <c r="C3194" s="2" t="s">
        <v>3027</v>
      </c>
      <c r="D3194" s="1">
        <v>43634</v>
      </c>
      <c r="E3194">
        <f>MONTH(D3194)</f>
        <v>6</v>
      </c>
      <c r="F3194" s="2" t="s">
        <v>2098</v>
      </c>
      <c r="G3194" t="s">
        <v>219</v>
      </c>
      <c r="H3194" t="s">
        <v>220</v>
      </c>
      <c r="I3194" t="s">
        <v>22</v>
      </c>
      <c r="J3194" s="2" t="s">
        <v>42</v>
      </c>
      <c r="K3194" s="2" t="s">
        <v>3019</v>
      </c>
      <c r="L3194" t="s">
        <v>25</v>
      </c>
      <c r="M3194" s="10" t="s">
        <v>26</v>
      </c>
      <c r="N3194" t="s">
        <v>26</v>
      </c>
      <c r="O3194" s="10" t="s">
        <v>26</v>
      </c>
      <c r="P3194" s="8" t="s">
        <v>26</v>
      </c>
      <c r="Q3194" s="8">
        <f>(3939723*100)/4442581</f>
        <v>88.680949204977921</v>
      </c>
    </row>
    <row r="3195" spans="1:17" x14ac:dyDescent="0.2">
      <c r="A3195">
        <f>YEAR(D3195)</f>
        <v>2019</v>
      </c>
      <c r="B3195" t="s">
        <v>26</v>
      </c>
      <c r="C3195" s="2" t="s">
        <v>3027</v>
      </c>
      <c r="D3195" s="1">
        <v>43634</v>
      </c>
      <c r="E3195">
        <f>MONTH(D3195)</f>
        <v>6</v>
      </c>
      <c r="F3195" s="2" t="s">
        <v>2098</v>
      </c>
      <c r="G3195" t="s">
        <v>219</v>
      </c>
      <c r="H3195" t="s">
        <v>220</v>
      </c>
      <c r="I3195" t="s">
        <v>22</v>
      </c>
      <c r="J3195" s="2" t="s">
        <v>42</v>
      </c>
      <c r="K3195" s="2" t="s">
        <v>3019</v>
      </c>
      <c r="L3195" t="s">
        <v>25</v>
      </c>
      <c r="M3195" s="10" t="s">
        <v>26</v>
      </c>
      <c r="N3195" t="s">
        <v>26</v>
      </c>
      <c r="O3195" s="10" t="s">
        <v>26</v>
      </c>
      <c r="P3195" s="8" t="s">
        <v>26</v>
      </c>
      <c r="Q3195" s="8">
        <f>(3939723*100)/4442581</f>
        <v>88.680949204977921</v>
      </c>
    </row>
    <row r="3196" spans="1:17" x14ac:dyDescent="0.2">
      <c r="A3196">
        <f>YEAR(D3196)</f>
        <v>2019</v>
      </c>
      <c r="B3196" t="s">
        <v>26</v>
      </c>
      <c r="C3196" s="2" t="s">
        <v>3027</v>
      </c>
      <c r="D3196" s="1">
        <v>43634</v>
      </c>
      <c r="E3196">
        <f>MONTH(D3196)</f>
        <v>6</v>
      </c>
      <c r="F3196" s="2" t="s">
        <v>2098</v>
      </c>
      <c r="G3196" t="s">
        <v>219</v>
      </c>
      <c r="H3196" t="s">
        <v>220</v>
      </c>
      <c r="I3196" t="s">
        <v>22</v>
      </c>
      <c r="J3196" s="2" t="s">
        <v>42</v>
      </c>
      <c r="K3196" s="2" t="s">
        <v>3019</v>
      </c>
      <c r="L3196" t="s">
        <v>25</v>
      </c>
      <c r="M3196" s="10" t="s">
        <v>26</v>
      </c>
      <c r="N3196" t="s">
        <v>26</v>
      </c>
      <c r="O3196" s="10" t="s">
        <v>26</v>
      </c>
      <c r="P3196" s="8" t="s">
        <v>26</v>
      </c>
      <c r="Q3196" s="8">
        <f>(3939723*100)/4442581</f>
        <v>88.680949204977921</v>
      </c>
    </row>
    <row r="3197" spans="1:17" x14ac:dyDescent="0.2">
      <c r="A3197">
        <f>YEAR(D3197)</f>
        <v>2019</v>
      </c>
      <c r="B3197" t="s">
        <v>26</v>
      </c>
      <c r="C3197" s="2" t="s">
        <v>3027</v>
      </c>
      <c r="D3197" s="1">
        <v>43634</v>
      </c>
      <c r="E3197">
        <f>MONTH(D3197)</f>
        <v>6</v>
      </c>
      <c r="F3197" s="2" t="s">
        <v>2098</v>
      </c>
      <c r="G3197" s="2" t="s">
        <v>332</v>
      </c>
      <c r="H3197" t="s">
        <v>3056</v>
      </c>
      <c r="I3197" t="s">
        <v>22</v>
      </c>
      <c r="J3197" s="2" t="s">
        <v>42</v>
      </c>
      <c r="K3197" s="2" t="s">
        <v>3019</v>
      </c>
      <c r="L3197" t="s">
        <v>26</v>
      </c>
      <c r="M3197" s="8">
        <v>0.90349999999999997</v>
      </c>
      <c r="N3197" t="s">
        <v>26</v>
      </c>
      <c r="O3197" s="8">
        <v>0.90349999999999997</v>
      </c>
      <c r="P3197" s="8">
        <f>EXP(-1.363+3.366*LOG(O3197,10))</f>
        <v>0.22061287200562435</v>
      </c>
      <c r="Q3197" s="8">
        <f>(3939723*100)/4442581</f>
        <v>88.680949204977921</v>
      </c>
    </row>
    <row r="3198" spans="1:17" x14ac:dyDescent="0.2">
      <c r="A3198">
        <f>YEAR(D3198)</f>
        <v>2019</v>
      </c>
      <c r="B3198" t="s">
        <v>26</v>
      </c>
      <c r="C3198" s="2" t="s">
        <v>3027</v>
      </c>
      <c r="D3198" s="1">
        <v>43634</v>
      </c>
      <c r="E3198">
        <f>MONTH(D3198)</f>
        <v>6</v>
      </c>
      <c r="F3198" s="2" t="s">
        <v>2098</v>
      </c>
      <c r="G3198" t="s">
        <v>219</v>
      </c>
      <c r="H3198" t="s">
        <v>220</v>
      </c>
      <c r="I3198" t="s">
        <v>22</v>
      </c>
      <c r="J3198" s="2" t="s">
        <v>42</v>
      </c>
      <c r="K3198" s="2" t="s">
        <v>3019</v>
      </c>
      <c r="L3198" t="s">
        <v>25</v>
      </c>
      <c r="M3198" s="10" t="s">
        <v>26</v>
      </c>
      <c r="N3198" t="s">
        <v>26</v>
      </c>
      <c r="O3198" s="10" t="s">
        <v>26</v>
      </c>
      <c r="P3198" s="8" t="s">
        <v>26</v>
      </c>
      <c r="Q3198" s="8">
        <f>(3939723*100)/4442581</f>
        <v>88.680949204977921</v>
      </c>
    </row>
    <row r="3199" spans="1:17" x14ac:dyDescent="0.2">
      <c r="A3199">
        <f>YEAR(D3199)</f>
        <v>2019</v>
      </c>
      <c r="B3199" t="s">
        <v>26</v>
      </c>
      <c r="C3199" s="2" t="s">
        <v>3027</v>
      </c>
      <c r="D3199" s="1">
        <v>43634</v>
      </c>
      <c r="E3199">
        <f>MONTH(D3199)</f>
        <v>6</v>
      </c>
      <c r="F3199" s="2" t="s">
        <v>2098</v>
      </c>
      <c r="G3199" t="s">
        <v>230</v>
      </c>
      <c r="H3199" t="s">
        <v>259</v>
      </c>
      <c r="I3199" t="s">
        <v>22</v>
      </c>
      <c r="J3199" s="2" t="s">
        <v>42</v>
      </c>
      <c r="K3199" s="2" t="s">
        <v>3019</v>
      </c>
      <c r="L3199" t="s">
        <v>25</v>
      </c>
      <c r="M3199" s="8">
        <v>4.2283333330000001</v>
      </c>
      <c r="N3199" t="s">
        <v>26</v>
      </c>
      <c r="O3199" s="8">
        <v>4.2283333330000001</v>
      </c>
      <c r="P3199" s="8">
        <f>EXP(-1.363+3.366*LOG(O3199,10))</f>
        <v>2.1057792396965977</v>
      </c>
      <c r="Q3199" s="8">
        <f>(3939723*100)/4442581</f>
        <v>88.680949204977921</v>
      </c>
    </row>
    <row r="3200" spans="1:17" x14ac:dyDescent="0.2">
      <c r="A3200">
        <f>YEAR(D3200)</f>
        <v>2019</v>
      </c>
      <c r="B3200" t="s">
        <v>26</v>
      </c>
      <c r="C3200" s="2" t="s">
        <v>3027</v>
      </c>
      <c r="D3200" s="1">
        <v>43634</v>
      </c>
      <c r="E3200">
        <f>MONTH(D3200)</f>
        <v>6</v>
      </c>
      <c r="F3200" s="2" t="s">
        <v>2098</v>
      </c>
      <c r="G3200" t="s">
        <v>1520</v>
      </c>
      <c r="H3200" t="s">
        <v>1528</v>
      </c>
      <c r="I3200" t="s">
        <v>22</v>
      </c>
      <c r="J3200" s="2" t="s">
        <v>42</v>
      </c>
      <c r="K3200" s="2" t="s">
        <v>3019</v>
      </c>
      <c r="L3200" t="s">
        <v>25</v>
      </c>
      <c r="M3200" s="8">
        <v>3.624333333</v>
      </c>
      <c r="N3200" t="s">
        <v>26</v>
      </c>
      <c r="O3200" s="8">
        <v>3.624333333</v>
      </c>
      <c r="P3200" s="8">
        <f>EXP(-1.363+3.366*LOG(O3200,10))</f>
        <v>1.6809546844949765</v>
      </c>
      <c r="Q3200" s="8">
        <f>(3939723*100)/4442581</f>
        <v>88.680949204977921</v>
      </c>
    </row>
    <row r="3201" spans="1:17" x14ac:dyDescent="0.2">
      <c r="A3201">
        <f>YEAR(D3201)</f>
        <v>2019</v>
      </c>
      <c r="B3201" t="s">
        <v>26</v>
      </c>
      <c r="C3201" s="2" t="s">
        <v>3027</v>
      </c>
      <c r="D3201" s="1">
        <v>43634</v>
      </c>
      <c r="E3201">
        <f>MONTH(D3201)</f>
        <v>6</v>
      </c>
      <c r="F3201" s="2" t="s">
        <v>2098</v>
      </c>
      <c r="G3201" t="s">
        <v>219</v>
      </c>
      <c r="H3201" t="s">
        <v>220</v>
      </c>
      <c r="I3201" t="s">
        <v>22</v>
      </c>
      <c r="J3201" s="2" t="s">
        <v>42</v>
      </c>
      <c r="K3201" s="2" t="s">
        <v>3019</v>
      </c>
      <c r="L3201" t="s">
        <v>25</v>
      </c>
      <c r="M3201" s="10" t="s">
        <v>26</v>
      </c>
      <c r="N3201" t="s">
        <v>26</v>
      </c>
      <c r="O3201" s="10" t="s">
        <v>26</v>
      </c>
      <c r="P3201" s="8" t="s">
        <v>26</v>
      </c>
      <c r="Q3201" s="8">
        <f>(3939723*100)/4442581</f>
        <v>88.680949204977921</v>
      </c>
    </row>
    <row r="3202" spans="1:17" x14ac:dyDescent="0.2">
      <c r="A3202">
        <f>YEAR(D3202)</f>
        <v>2019</v>
      </c>
      <c r="B3202" t="s">
        <v>26</v>
      </c>
      <c r="C3202" s="2" t="s">
        <v>3027</v>
      </c>
      <c r="D3202" s="1">
        <v>43634</v>
      </c>
      <c r="E3202">
        <f>MONTH(D3202)</f>
        <v>6</v>
      </c>
      <c r="F3202" s="2" t="s">
        <v>2098</v>
      </c>
      <c r="G3202" t="s">
        <v>230</v>
      </c>
      <c r="H3202" t="s">
        <v>268</v>
      </c>
      <c r="I3202" t="s">
        <v>22</v>
      </c>
      <c r="J3202" s="2" t="s">
        <v>42</v>
      </c>
      <c r="K3202" s="2" t="s">
        <v>3019</v>
      </c>
      <c r="L3202" t="s">
        <v>25</v>
      </c>
      <c r="M3202" s="8">
        <v>3.5356666670000001</v>
      </c>
      <c r="N3202" t="s">
        <v>26</v>
      </c>
      <c r="O3202" s="8">
        <v>3.5356666670000001</v>
      </c>
      <c r="P3202" s="8">
        <f>EXP(-1.363+3.366*LOG(O3202,10))</f>
        <v>1.6211802664427075</v>
      </c>
      <c r="Q3202" s="8">
        <f>(3939723*100)/4442581</f>
        <v>88.680949204977921</v>
      </c>
    </row>
    <row r="3203" spans="1:17" x14ac:dyDescent="0.2">
      <c r="A3203">
        <f>YEAR(D3203)</f>
        <v>2019</v>
      </c>
      <c r="B3203" t="s">
        <v>26</v>
      </c>
      <c r="C3203" s="2" t="s">
        <v>3027</v>
      </c>
      <c r="D3203" s="1">
        <v>43634</v>
      </c>
      <c r="E3203">
        <f>MONTH(D3203)</f>
        <v>6</v>
      </c>
      <c r="F3203" s="2" t="s">
        <v>2098</v>
      </c>
      <c r="G3203" t="s">
        <v>230</v>
      </c>
      <c r="H3203" t="s">
        <v>259</v>
      </c>
      <c r="I3203" t="s">
        <v>22</v>
      </c>
      <c r="J3203" s="2" t="s">
        <v>42</v>
      </c>
      <c r="K3203" s="2" t="s">
        <v>3019</v>
      </c>
      <c r="L3203" t="s">
        <v>25</v>
      </c>
      <c r="M3203" s="8">
        <v>4.2283333330000001</v>
      </c>
      <c r="N3203" t="s">
        <v>26</v>
      </c>
      <c r="O3203" s="8">
        <v>4.2283333330000001</v>
      </c>
      <c r="P3203" s="8">
        <f>EXP(-1.363+3.366*LOG(O3203,10))</f>
        <v>2.1057792396965977</v>
      </c>
      <c r="Q3203" s="8">
        <f>(3939723*100)/4442581</f>
        <v>88.680949204977921</v>
      </c>
    </row>
    <row r="3204" spans="1:17" x14ac:dyDescent="0.2">
      <c r="A3204">
        <f>YEAR(D3204)</f>
        <v>2019</v>
      </c>
      <c r="B3204" t="s">
        <v>26</v>
      </c>
      <c r="C3204" s="2" t="s">
        <v>3027</v>
      </c>
      <c r="D3204" s="1">
        <v>43634</v>
      </c>
      <c r="E3204">
        <f>MONTH(D3204)</f>
        <v>6</v>
      </c>
      <c r="F3204" s="2" t="s">
        <v>2098</v>
      </c>
      <c r="G3204" t="s">
        <v>1520</v>
      </c>
      <c r="H3204" t="s">
        <v>1528</v>
      </c>
      <c r="I3204" t="s">
        <v>22</v>
      </c>
      <c r="J3204" s="2" t="s">
        <v>42</v>
      </c>
      <c r="K3204" s="2" t="s">
        <v>3019</v>
      </c>
      <c r="L3204" t="s">
        <v>25</v>
      </c>
      <c r="M3204" s="8">
        <v>3.624333333</v>
      </c>
      <c r="N3204" t="s">
        <v>26</v>
      </c>
      <c r="O3204" s="8">
        <v>3.624333333</v>
      </c>
      <c r="P3204" s="8">
        <f>EXP(-1.363+3.366*LOG(O3204,10))</f>
        <v>1.6809546844949765</v>
      </c>
      <c r="Q3204" s="8">
        <f>(3939723*100)/4442581</f>
        <v>88.680949204977921</v>
      </c>
    </row>
    <row r="3205" spans="1:17" x14ac:dyDescent="0.2">
      <c r="A3205">
        <f>YEAR(D3205)</f>
        <v>2019</v>
      </c>
      <c r="B3205" t="s">
        <v>26</v>
      </c>
      <c r="C3205" s="2" t="s">
        <v>3027</v>
      </c>
      <c r="D3205" s="1">
        <v>43634</v>
      </c>
      <c r="E3205">
        <f>MONTH(D3205)</f>
        <v>6</v>
      </c>
      <c r="F3205" s="2" t="s">
        <v>2098</v>
      </c>
      <c r="G3205" t="s">
        <v>1520</v>
      </c>
      <c r="H3205" t="s">
        <v>1528</v>
      </c>
      <c r="I3205" t="s">
        <v>22</v>
      </c>
      <c r="J3205" s="2" t="s">
        <v>42</v>
      </c>
      <c r="K3205" s="2" t="s">
        <v>3019</v>
      </c>
      <c r="L3205" t="s">
        <v>25</v>
      </c>
      <c r="M3205" s="8">
        <v>3.624333333</v>
      </c>
      <c r="N3205" t="s">
        <v>26</v>
      </c>
      <c r="O3205" s="8">
        <v>3.624333333</v>
      </c>
      <c r="P3205" s="8">
        <f>EXP(-1.363+3.366*LOG(O3205,10))</f>
        <v>1.6809546844949765</v>
      </c>
      <c r="Q3205" s="8">
        <f>(3939723*100)/4442581</f>
        <v>88.680949204977921</v>
      </c>
    </row>
    <row r="3206" spans="1:17" x14ac:dyDescent="0.2">
      <c r="A3206">
        <f>YEAR(D3206)</f>
        <v>2019</v>
      </c>
      <c r="B3206" t="s">
        <v>26</v>
      </c>
      <c r="C3206" s="2" t="s">
        <v>3027</v>
      </c>
      <c r="D3206" s="1">
        <v>43634</v>
      </c>
      <c r="E3206">
        <f>MONTH(D3206)</f>
        <v>6</v>
      </c>
      <c r="F3206" s="2" t="s">
        <v>2098</v>
      </c>
      <c r="G3206" t="s">
        <v>1520</v>
      </c>
      <c r="H3206" t="s">
        <v>1528</v>
      </c>
      <c r="I3206" t="s">
        <v>22</v>
      </c>
      <c r="J3206" s="2" t="s">
        <v>42</v>
      </c>
      <c r="K3206" s="2" t="s">
        <v>3019</v>
      </c>
      <c r="L3206" t="s">
        <v>25</v>
      </c>
      <c r="M3206" s="8">
        <v>3.624333333</v>
      </c>
      <c r="N3206" t="s">
        <v>26</v>
      </c>
      <c r="O3206" s="8">
        <v>3.624333333</v>
      </c>
      <c r="P3206" s="8">
        <f>EXP(-1.363+3.366*LOG(O3206,10))</f>
        <v>1.6809546844949765</v>
      </c>
      <c r="Q3206" s="8">
        <f>(3939723*100)/4442581</f>
        <v>88.680949204977921</v>
      </c>
    </row>
    <row r="3207" spans="1:17" x14ac:dyDescent="0.2">
      <c r="A3207">
        <f>YEAR(D3207)</f>
        <v>2019</v>
      </c>
      <c r="B3207" t="s">
        <v>26</v>
      </c>
      <c r="C3207" s="2" t="s">
        <v>3027</v>
      </c>
      <c r="D3207" s="1">
        <v>43634</v>
      </c>
      <c r="E3207">
        <f>MONTH(D3207)</f>
        <v>6</v>
      </c>
      <c r="F3207" s="2" t="s">
        <v>2098</v>
      </c>
      <c r="G3207" t="s">
        <v>1520</v>
      </c>
      <c r="H3207" t="s">
        <v>1528</v>
      </c>
      <c r="I3207" t="s">
        <v>22</v>
      </c>
      <c r="J3207" s="2" t="s">
        <v>42</v>
      </c>
      <c r="K3207" s="2" t="s">
        <v>3019</v>
      </c>
      <c r="L3207" t="s">
        <v>25</v>
      </c>
      <c r="M3207" s="8">
        <v>3.624333333</v>
      </c>
      <c r="N3207" t="s">
        <v>26</v>
      </c>
      <c r="O3207" s="8">
        <v>3.624333333</v>
      </c>
      <c r="P3207" s="8">
        <f>EXP(-1.363+3.366*LOG(O3207,10))</f>
        <v>1.6809546844949765</v>
      </c>
      <c r="Q3207" s="8">
        <f>(3939723*100)/4442581</f>
        <v>88.680949204977921</v>
      </c>
    </row>
    <row r="3208" spans="1:17" x14ac:dyDescent="0.2">
      <c r="A3208">
        <f>YEAR(D3208)</f>
        <v>2019</v>
      </c>
      <c r="B3208" t="s">
        <v>26</v>
      </c>
      <c r="C3208" s="2" t="s">
        <v>3027</v>
      </c>
      <c r="D3208" s="1">
        <v>43634</v>
      </c>
      <c r="E3208">
        <f>MONTH(D3208)</f>
        <v>6</v>
      </c>
      <c r="F3208" s="2" t="s">
        <v>2098</v>
      </c>
      <c r="G3208" t="s">
        <v>1520</v>
      </c>
      <c r="H3208" t="s">
        <v>1528</v>
      </c>
      <c r="I3208" t="s">
        <v>22</v>
      </c>
      <c r="J3208" s="2" t="s">
        <v>42</v>
      </c>
      <c r="K3208" s="2" t="s">
        <v>3019</v>
      </c>
      <c r="L3208" t="s">
        <v>25</v>
      </c>
      <c r="M3208" s="8">
        <v>3.624333333</v>
      </c>
      <c r="N3208" t="s">
        <v>26</v>
      </c>
      <c r="O3208" s="8">
        <v>3.624333333</v>
      </c>
      <c r="P3208" s="8">
        <f>EXP(-1.363+3.366*LOG(O3208,10))</f>
        <v>1.6809546844949765</v>
      </c>
      <c r="Q3208" s="8">
        <f>(3939723*100)/4442581</f>
        <v>88.680949204977921</v>
      </c>
    </row>
    <row r="3209" spans="1:17" x14ac:dyDescent="0.2">
      <c r="A3209">
        <f>YEAR(D3209)</f>
        <v>2019</v>
      </c>
      <c r="B3209" t="s">
        <v>26</v>
      </c>
      <c r="C3209" s="2" t="s">
        <v>3027</v>
      </c>
      <c r="D3209" s="1">
        <v>43634</v>
      </c>
      <c r="E3209">
        <f>MONTH(D3209)</f>
        <v>6</v>
      </c>
      <c r="F3209" s="2" t="s">
        <v>2098</v>
      </c>
      <c r="G3209" t="s">
        <v>1520</v>
      </c>
      <c r="H3209" t="s">
        <v>1528</v>
      </c>
      <c r="I3209" t="s">
        <v>22</v>
      </c>
      <c r="J3209" s="2" t="s">
        <v>42</v>
      </c>
      <c r="K3209" s="2" t="s">
        <v>3019</v>
      </c>
      <c r="L3209" t="s">
        <v>25</v>
      </c>
      <c r="M3209" s="8">
        <v>3.624333333</v>
      </c>
      <c r="N3209" t="s">
        <v>26</v>
      </c>
      <c r="O3209" s="8">
        <v>3.624333333</v>
      </c>
      <c r="P3209" s="8">
        <f>EXP(-1.363+3.366*LOG(O3209,10))</f>
        <v>1.6809546844949765</v>
      </c>
      <c r="Q3209" s="8">
        <f>(3939723*100)/4442581</f>
        <v>88.680949204977921</v>
      </c>
    </row>
    <row r="3210" spans="1:17" x14ac:dyDescent="0.2">
      <c r="A3210">
        <f>YEAR(D3210)</f>
        <v>2019</v>
      </c>
      <c r="B3210" t="s">
        <v>26</v>
      </c>
      <c r="C3210" s="2" t="s">
        <v>3027</v>
      </c>
      <c r="D3210" s="1">
        <v>43634</v>
      </c>
      <c r="E3210">
        <f>MONTH(D3210)</f>
        <v>6</v>
      </c>
      <c r="F3210" s="2" t="s">
        <v>2098</v>
      </c>
      <c r="G3210" t="s">
        <v>1520</v>
      </c>
      <c r="H3210" t="s">
        <v>1528</v>
      </c>
      <c r="I3210" t="s">
        <v>22</v>
      </c>
      <c r="J3210" s="2" t="s">
        <v>42</v>
      </c>
      <c r="K3210" s="2" t="s">
        <v>3019</v>
      </c>
      <c r="L3210" t="s">
        <v>25</v>
      </c>
      <c r="M3210" s="8">
        <v>3.624333333</v>
      </c>
      <c r="N3210" t="s">
        <v>26</v>
      </c>
      <c r="O3210" s="8">
        <v>3.624333333</v>
      </c>
      <c r="P3210" s="8">
        <f>EXP(-1.363+3.366*LOG(O3210,10))</f>
        <v>1.6809546844949765</v>
      </c>
      <c r="Q3210" s="8">
        <f>(3939723*100)/4442581</f>
        <v>88.680949204977921</v>
      </c>
    </row>
    <row r="3211" spans="1:17" x14ac:dyDescent="0.2">
      <c r="A3211">
        <f>YEAR(D3211)</f>
        <v>2019</v>
      </c>
      <c r="B3211" t="s">
        <v>26</v>
      </c>
      <c r="C3211" s="2" t="s">
        <v>3027</v>
      </c>
      <c r="D3211" s="1">
        <v>43634</v>
      </c>
      <c r="E3211">
        <f>MONTH(D3211)</f>
        <v>6</v>
      </c>
      <c r="F3211" s="2" t="s">
        <v>2098</v>
      </c>
      <c r="G3211" t="s">
        <v>1520</v>
      </c>
      <c r="H3211" t="s">
        <v>1528</v>
      </c>
      <c r="I3211" t="s">
        <v>22</v>
      </c>
      <c r="J3211" s="2" t="s">
        <v>42</v>
      </c>
      <c r="K3211" s="2" t="s">
        <v>3019</v>
      </c>
      <c r="L3211" t="s">
        <v>25</v>
      </c>
      <c r="M3211" s="8">
        <v>3.624333333</v>
      </c>
      <c r="N3211" t="s">
        <v>26</v>
      </c>
      <c r="O3211" s="8">
        <v>3.624333333</v>
      </c>
      <c r="P3211" s="8">
        <f>EXP(-1.363+3.366*LOG(O3211,10))</f>
        <v>1.6809546844949765</v>
      </c>
      <c r="Q3211" s="8">
        <f>(3939723*100)/4442581</f>
        <v>88.680949204977921</v>
      </c>
    </row>
    <row r="3212" spans="1:17" x14ac:dyDescent="0.2">
      <c r="A3212">
        <f>YEAR(D3212)</f>
        <v>2019</v>
      </c>
      <c r="B3212" t="s">
        <v>26</v>
      </c>
      <c r="C3212" s="2" t="s">
        <v>3027</v>
      </c>
      <c r="D3212" s="1">
        <v>43634</v>
      </c>
      <c r="E3212">
        <f>MONTH(D3212)</f>
        <v>6</v>
      </c>
      <c r="F3212" s="2" t="s">
        <v>2098</v>
      </c>
      <c r="G3212" t="s">
        <v>1520</v>
      </c>
      <c r="H3212" t="s">
        <v>1528</v>
      </c>
      <c r="I3212" t="s">
        <v>22</v>
      </c>
      <c r="J3212" s="2" t="s">
        <v>42</v>
      </c>
      <c r="K3212" s="2" t="s">
        <v>3019</v>
      </c>
      <c r="L3212" t="s">
        <v>25</v>
      </c>
      <c r="M3212" s="8">
        <v>3.624333333</v>
      </c>
      <c r="N3212" t="s">
        <v>26</v>
      </c>
      <c r="O3212" s="8">
        <v>3.624333333</v>
      </c>
      <c r="P3212" s="8">
        <f>EXP(-1.363+3.366*LOG(O3212,10))</f>
        <v>1.6809546844949765</v>
      </c>
      <c r="Q3212" s="8">
        <f>(3939723*100)/4442581</f>
        <v>88.680949204977921</v>
      </c>
    </row>
    <row r="3213" spans="1:17" x14ac:dyDescent="0.2">
      <c r="A3213">
        <f>YEAR(D3213)</f>
        <v>2019</v>
      </c>
      <c r="B3213" t="s">
        <v>26</v>
      </c>
      <c r="C3213" s="2" t="s">
        <v>3027</v>
      </c>
      <c r="D3213" s="1">
        <v>43634</v>
      </c>
      <c r="E3213">
        <f>MONTH(D3213)</f>
        <v>6</v>
      </c>
      <c r="F3213" s="2" t="s">
        <v>2098</v>
      </c>
      <c r="G3213" t="s">
        <v>1520</v>
      </c>
      <c r="H3213" t="s">
        <v>1528</v>
      </c>
      <c r="I3213" t="s">
        <v>22</v>
      </c>
      <c r="J3213" s="2" t="s">
        <v>42</v>
      </c>
      <c r="K3213" s="2" t="s">
        <v>3019</v>
      </c>
      <c r="L3213" t="s">
        <v>25</v>
      </c>
      <c r="M3213" s="8">
        <v>3.624333333</v>
      </c>
      <c r="N3213" t="s">
        <v>26</v>
      </c>
      <c r="O3213" s="8">
        <v>3.624333333</v>
      </c>
      <c r="P3213" s="8">
        <f>EXP(-1.363+3.366*LOG(O3213,10))</f>
        <v>1.6809546844949765</v>
      </c>
      <c r="Q3213" s="8">
        <f>(3939723*100)/4442581</f>
        <v>88.680949204977921</v>
      </c>
    </row>
    <row r="3214" spans="1:17" x14ac:dyDescent="0.2">
      <c r="A3214">
        <f>YEAR(D3214)</f>
        <v>2019</v>
      </c>
      <c r="B3214" t="s">
        <v>26</v>
      </c>
      <c r="C3214" s="2" t="s">
        <v>3027</v>
      </c>
      <c r="D3214" s="1">
        <v>43634</v>
      </c>
      <c r="E3214">
        <f>MONTH(D3214)</f>
        <v>6</v>
      </c>
      <c r="F3214" s="2" t="s">
        <v>2098</v>
      </c>
      <c r="G3214" t="s">
        <v>1520</v>
      </c>
      <c r="H3214" t="s">
        <v>1528</v>
      </c>
      <c r="I3214" t="s">
        <v>22</v>
      </c>
      <c r="J3214" s="2" t="s">
        <v>42</v>
      </c>
      <c r="K3214" s="2" t="s">
        <v>3019</v>
      </c>
      <c r="L3214" t="s">
        <v>25</v>
      </c>
      <c r="M3214" s="8">
        <v>3.624333333</v>
      </c>
      <c r="N3214" t="s">
        <v>26</v>
      </c>
      <c r="O3214" s="8">
        <v>3.624333333</v>
      </c>
      <c r="P3214" s="8">
        <f>EXP(-1.363+3.366*LOG(O3214,10))</f>
        <v>1.6809546844949765</v>
      </c>
      <c r="Q3214" s="8">
        <f>(3939723*100)/4442581</f>
        <v>88.680949204977921</v>
      </c>
    </row>
    <row r="3215" spans="1:17" x14ac:dyDescent="0.2">
      <c r="A3215">
        <f>YEAR(D3215)</f>
        <v>2019</v>
      </c>
      <c r="B3215" t="s">
        <v>26</v>
      </c>
      <c r="C3215" s="2" t="s">
        <v>3027</v>
      </c>
      <c r="D3215" s="1">
        <v>43634</v>
      </c>
      <c r="E3215">
        <f>MONTH(D3215)</f>
        <v>6</v>
      </c>
      <c r="F3215" s="2" t="s">
        <v>2098</v>
      </c>
      <c r="G3215" t="s">
        <v>1520</v>
      </c>
      <c r="H3215" t="s">
        <v>1528</v>
      </c>
      <c r="I3215" t="s">
        <v>22</v>
      </c>
      <c r="J3215" s="2" t="s">
        <v>42</v>
      </c>
      <c r="K3215" s="2" t="s">
        <v>3019</v>
      </c>
      <c r="L3215" t="s">
        <v>25</v>
      </c>
      <c r="M3215" s="8">
        <v>3.624333333</v>
      </c>
      <c r="N3215" t="s">
        <v>26</v>
      </c>
      <c r="O3215" s="8">
        <v>3.624333333</v>
      </c>
      <c r="P3215" s="8">
        <f>EXP(-1.363+3.366*LOG(O3215,10))</f>
        <v>1.6809546844949765</v>
      </c>
      <c r="Q3215" s="8">
        <f>(3939723*100)/4442581</f>
        <v>88.680949204977921</v>
      </c>
    </row>
    <row r="3216" spans="1:17" x14ac:dyDescent="0.2">
      <c r="A3216">
        <f>YEAR(D3216)</f>
        <v>2019</v>
      </c>
      <c r="B3216" t="s">
        <v>26</v>
      </c>
      <c r="C3216" s="2" t="s">
        <v>3027</v>
      </c>
      <c r="D3216" s="1">
        <v>43634</v>
      </c>
      <c r="E3216">
        <f>MONTH(D3216)</f>
        <v>6</v>
      </c>
      <c r="F3216" s="2" t="s">
        <v>2098</v>
      </c>
      <c r="G3216" t="s">
        <v>1520</v>
      </c>
      <c r="H3216" t="s">
        <v>1528</v>
      </c>
      <c r="I3216" t="s">
        <v>22</v>
      </c>
      <c r="J3216" s="2" t="s">
        <v>42</v>
      </c>
      <c r="K3216" s="2" t="s">
        <v>3019</v>
      </c>
      <c r="L3216" t="s">
        <v>25</v>
      </c>
      <c r="M3216" s="8">
        <v>3.624333333</v>
      </c>
      <c r="N3216" t="s">
        <v>26</v>
      </c>
      <c r="O3216" s="8">
        <v>3.624333333</v>
      </c>
      <c r="P3216" s="8">
        <f>EXP(-1.363+3.366*LOG(O3216,10))</f>
        <v>1.6809546844949765</v>
      </c>
      <c r="Q3216" s="8">
        <f>(3939723*100)/4442581</f>
        <v>88.680949204977921</v>
      </c>
    </row>
    <row r="3217" spans="1:17" x14ac:dyDescent="0.2">
      <c r="A3217">
        <f>YEAR(D3217)</f>
        <v>2019</v>
      </c>
      <c r="B3217" t="s">
        <v>26</v>
      </c>
      <c r="C3217" s="2" t="s">
        <v>3027</v>
      </c>
      <c r="D3217" s="1">
        <v>43634</v>
      </c>
      <c r="E3217">
        <f>MONTH(D3217)</f>
        <v>6</v>
      </c>
      <c r="F3217" s="2" t="s">
        <v>2098</v>
      </c>
      <c r="G3217" t="s">
        <v>1520</v>
      </c>
      <c r="H3217" t="s">
        <v>1528</v>
      </c>
      <c r="I3217" t="s">
        <v>22</v>
      </c>
      <c r="J3217" s="2" t="s">
        <v>42</v>
      </c>
      <c r="K3217" s="2" t="s">
        <v>3019</v>
      </c>
      <c r="L3217" t="s">
        <v>25</v>
      </c>
      <c r="M3217" s="8">
        <v>3.624333333</v>
      </c>
      <c r="N3217" t="s">
        <v>26</v>
      </c>
      <c r="O3217" s="8">
        <v>3.624333333</v>
      </c>
      <c r="P3217" s="8">
        <f>EXP(-1.363+3.366*LOG(O3217,10))</f>
        <v>1.6809546844949765</v>
      </c>
      <c r="Q3217" s="8">
        <f>(3939723*100)/4442581</f>
        <v>88.680949204977921</v>
      </c>
    </row>
    <row r="3218" spans="1:17" x14ac:dyDescent="0.2">
      <c r="A3218">
        <f>YEAR(D3218)</f>
        <v>2019</v>
      </c>
      <c r="B3218" t="s">
        <v>26</v>
      </c>
      <c r="C3218" s="2" t="s">
        <v>3027</v>
      </c>
      <c r="D3218" s="1">
        <v>43634</v>
      </c>
      <c r="E3218">
        <f>MONTH(D3218)</f>
        <v>6</v>
      </c>
      <c r="F3218" s="2" t="s">
        <v>2098</v>
      </c>
      <c r="G3218" t="s">
        <v>1520</v>
      </c>
      <c r="H3218" t="s">
        <v>1528</v>
      </c>
      <c r="I3218" t="s">
        <v>22</v>
      </c>
      <c r="J3218" s="2" t="s">
        <v>42</v>
      </c>
      <c r="K3218" s="2" t="s">
        <v>3019</v>
      </c>
      <c r="L3218" t="s">
        <v>25</v>
      </c>
      <c r="M3218" s="8">
        <v>3.624333333</v>
      </c>
      <c r="N3218" t="s">
        <v>26</v>
      </c>
      <c r="O3218" s="8">
        <v>3.624333333</v>
      </c>
      <c r="P3218" s="8">
        <f>EXP(-1.363+3.366*LOG(O3218,10))</f>
        <v>1.6809546844949765</v>
      </c>
      <c r="Q3218" s="8">
        <f>(3939723*100)/4442581</f>
        <v>88.680949204977921</v>
      </c>
    </row>
    <row r="3219" spans="1:17" x14ac:dyDescent="0.2">
      <c r="A3219">
        <f>YEAR(D3219)</f>
        <v>2019</v>
      </c>
      <c r="B3219" t="s">
        <v>26</v>
      </c>
      <c r="C3219" s="2" t="s">
        <v>3020</v>
      </c>
      <c r="D3219" s="1">
        <v>43630</v>
      </c>
      <c r="E3219">
        <f>MONTH(D3219)</f>
        <v>6</v>
      </c>
      <c r="F3219" s="2" t="s">
        <v>19</v>
      </c>
      <c r="G3219" t="s">
        <v>303</v>
      </c>
      <c r="H3219" t="s">
        <v>307</v>
      </c>
      <c r="I3219" t="s">
        <v>22</v>
      </c>
      <c r="J3219" s="2" t="s">
        <v>42</v>
      </c>
      <c r="K3219" s="2" t="s">
        <v>3019</v>
      </c>
      <c r="L3219" t="s">
        <v>305</v>
      </c>
      <c r="M3219" s="8">
        <v>1.1000000000000001</v>
      </c>
      <c r="N3219" t="s">
        <v>26</v>
      </c>
      <c r="O3219" s="8">
        <v>1.1000000000000001</v>
      </c>
      <c r="P3219" s="8">
        <f>EXP(-1.363+3.366*LOG(O3219,10))</f>
        <v>0.29414800446794787</v>
      </c>
      <c r="Q3219" s="8">
        <f>(3359412*100)/3462762</f>
        <v>97.015388294084318</v>
      </c>
    </row>
    <row r="3220" spans="1:17" x14ac:dyDescent="0.2">
      <c r="A3220">
        <f>YEAR(D3220)</f>
        <v>2019</v>
      </c>
      <c r="B3220" t="s">
        <v>26</v>
      </c>
      <c r="C3220" s="2" t="s">
        <v>3020</v>
      </c>
      <c r="D3220" s="1">
        <v>43630</v>
      </c>
      <c r="E3220">
        <f>MONTH(D3220)</f>
        <v>6</v>
      </c>
      <c r="F3220" s="2" t="s">
        <v>19</v>
      </c>
      <c r="G3220" t="s">
        <v>362</v>
      </c>
      <c r="H3220" t="s">
        <v>447</v>
      </c>
      <c r="I3220" t="s">
        <v>22</v>
      </c>
      <c r="J3220" s="2" t="s">
        <v>42</v>
      </c>
      <c r="K3220" s="2" t="s">
        <v>3019</v>
      </c>
      <c r="L3220" t="s">
        <v>25</v>
      </c>
      <c r="M3220" s="8">
        <v>1.421</v>
      </c>
      <c r="N3220" t="s">
        <v>26</v>
      </c>
      <c r="O3220" s="8">
        <v>1.421</v>
      </c>
      <c r="P3220" s="8">
        <f>EXP(-1.363+3.366*LOG(O3220,10))</f>
        <v>0.42768500084673816</v>
      </c>
      <c r="Q3220" s="8">
        <f>(3359412*100)/3462762</f>
        <v>97.015388294084318</v>
      </c>
    </row>
    <row r="3221" spans="1:17" x14ac:dyDescent="0.2">
      <c r="A3221">
        <f>YEAR(D3221)</f>
        <v>2019</v>
      </c>
      <c r="B3221" t="s">
        <v>26</v>
      </c>
      <c r="C3221" s="2" t="s">
        <v>3020</v>
      </c>
      <c r="D3221" s="1">
        <v>43630</v>
      </c>
      <c r="E3221">
        <f>MONTH(D3221)</f>
        <v>6</v>
      </c>
      <c r="F3221" s="2" t="s">
        <v>19</v>
      </c>
      <c r="G3221" t="s">
        <v>362</v>
      </c>
      <c r="H3221" t="s">
        <v>447</v>
      </c>
      <c r="I3221" t="s">
        <v>22</v>
      </c>
      <c r="J3221" s="2" t="s">
        <v>42</v>
      </c>
      <c r="K3221" s="2" t="s">
        <v>3019</v>
      </c>
      <c r="L3221" t="s">
        <v>25</v>
      </c>
      <c r="M3221" s="8">
        <v>1.421</v>
      </c>
      <c r="N3221" t="s">
        <v>26</v>
      </c>
      <c r="O3221" s="8">
        <v>1.421</v>
      </c>
      <c r="P3221" s="8">
        <f>EXP(-1.363+3.366*LOG(O3221,10))</f>
        <v>0.42768500084673816</v>
      </c>
      <c r="Q3221" s="8">
        <f>(3359412*100)/3462762</f>
        <v>97.015388294084318</v>
      </c>
    </row>
    <row r="3222" spans="1:17" x14ac:dyDescent="0.2">
      <c r="A3222">
        <f>YEAR(D3222)</f>
        <v>2019</v>
      </c>
      <c r="B3222" t="s">
        <v>26</v>
      </c>
      <c r="C3222" s="2" t="s">
        <v>3020</v>
      </c>
      <c r="D3222" s="1">
        <v>43630</v>
      </c>
      <c r="E3222">
        <f>MONTH(D3222)</f>
        <v>6</v>
      </c>
      <c r="F3222" s="2" t="s">
        <v>19</v>
      </c>
      <c r="G3222" t="s">
        <v>362</v>
      </c>
      <c r="H3222" t="s">
        <v>447</v>
      </c>
      <c r="I3222" t="s">
        <v>22</v>
      </c>
      <c r="J3222" s="2" t="s">
        <v>42</v>
      </c>
      <c r="K3222" s="2" t="s">
        <v>3019</v>
      </c>
      <c r="L3222" t="s">
        <v>25</v>
      </c>
      <c r="M3222" s="8">
        <v>1.421</v>
      </c>
      <c r="N3222" t="s">
        <v>26</v>
      </c>
      <c r="O3222" s="8">
        <v>1.421</v>
      </c>
      <c r="P3222" s="8">
        <f>EXP(-1.363+3.366*LOG(O3222,10))</f>
        <v>0.42768500084673816</v>
      </c>
      <c r="Q3222" s="8">
        <f>(3359412*100)/3462762</f>
        <v>97.015388294084318</v>
      </c>
    </row>
    <row r="3223" spans="1:17" x14ac:dyDescent="0.2">
      <c r="A3223">
        <f>YEAR(D3223)</f>
        <v>2019</v>
      </c>
      <c r="B3223" t="s">
        <v>26</v>
      </c>
      <c r="C3223" s="2" t="s">
        <v>3020</v>
      </c>
      <c r="D3223" s="1">
        <v>43630</v>
      </c>
      <c r="E3223">
        <f>MONTH(D3223)</f>
        <v>6</v>
      </c>
      <c r="F3223" s="2" t="s">
        <v>19</v>
      </c>
      <c r="G3223" t="s">
        <v>352</v>
      </c>
      <c r="H3223" t="s">
        <v>975</v>
      </c>
      <c r="I3223" t="s">
        <v>22</v>
      </c>
      <c r="J3223" s="2" t="s">
        <v>42</v>
      </c>
      <c r="K3223" s="2" t="s">
        <v>3019</v>
      </c>
      <c r="L3223" t="s">
        <v>25</v>
      </c>
      <c r="M3223" s="8">
        <v>1.0693333330000001</v>
      </c>
      <c r="N3223" t="s">
        <v>26</v>
      </c>
      <c r="O3223" s="8">
        <v>1.0693333330000001</v>
      </c>
      <c r="P3223" s="8">
        <f>EXP(-1.363+3.366*LOG(O3223,10))</f>
        <v>0.28223780327142356</v>
      </c>
      <c r="Q3223" s="8">
        <f>(3359412*100)/3462762</f>
        <v>97.015388294084318</v>
      </c>
    </row>
    <row r="3224" spans="1:17" x14ac:dyDescent="0.2">
      <c r="A3224">
        <f>YEAR(D3224)</f>
        <v>2019</v>
      </c>
      <c r="B3224" t="s">
        <v>26</v>
      </c>
      <c r="C3224" s="2" t="s">
        <v>3020</v>
      </c>
      <c r="D3224" s="1">
        <v>43630</v>
      </c>
      <c r="E3224">
        <f>MONTH(D3224)</f>
        <v>6</v>
      </c>
      <c r="F3224" s="2" t="s">
        <v>19</v>
      </c>
      <c r="G3224" t="s">
        <v>352</v>
      </c>
      <c r="H3224" t="s">
        <v>975</v>
      </c>
      <c r="I3224" t="s">
        <v>22</v>
      </c>
      <c r="J3224" s="2" t="s">
        <v>42</v>
      </c>
      <c r="K3224" s="2" t="s">
        <v>3019</v>
      </c>
      <c r="L3224" t="s">
        <v>25</v>
      </c>
      <c r="M3224" s="8">
        <v>1.0693333330000001</v>
      </c>
      <c r="N3224" t="s">
        <v>26</v>
      </c>
      <c r="O3224" s="8">
        <v>1.0693333330000001</v>
      </c>
      <c r="P3224" s="8">
        <f>EXP(-1.363+3.366*LOG(O3224,10))</f>
        <v>0.28223780327142356</v>
      </c>
      <c r="Q3224" s="8">
        <f>(3359412*100)/3462762</f>
        <v>97.015388294084318</v>
      </c>
    </row>
    <row r="3225" spans="1:17" x14ac:dyDescent="0.2">
      <c r="A3225">
        <f>YEAR(D3225)</f>
        <v>2019</v>
      </c>
      <c r="B3225" t="s">
        <v>26</v>
      </c>
      <c r="C3225" s="2" t="s">
        <v>3020</v>
      </c>
      <c r="D3225" s="1">
        <v>43630</v>
      </c>
      <c r="E3225">
        <f>MONTH(D3225)</f>
        <v>6</v>
      </c>
      <c r="F3225" s="2" t="s">
        <v>19</v>
      </c>
      <c r="G3225" t="s">
        <v>352</v>
      </c>
      <c r="H3225" t="s">
        <v>975</v>
      </c>
      <c r="I3225" t="s">
        <v>22</v>
      </c>
      <c r="J3225" s="2" t="s">
        <v>42</v>
      </c>
      <c r="K3225" s="2" t="s">
        <v>3019</v>
      </c>
      <c r="L3225" t="s">
        <v>25</v>
      </c>
      <c r="M3225" s="8">
        <v>1.0693333330000001</v>
      </c>
      <c r="N3225" t="s">
        <v>26</v>
      </c>
      <c r="O3225" s="8">
        <v>1.0693333330000001</v>
      </c>
      <c r="P3225" s="8">
        <f>EXP(-1.363+3.366*LOG(O3225,10))</f>
        <v>0.28223780327142356</v>
      </c>
      <c r="Q3225" s="8">
        <f>(3359412*100)/3462762</f>
        <v>97.015388294084318</v>
      </c>
    </row>
    <row r="3226" spans="1:17" x14ac:dyDescent="0.2">
      <c r="A3226">
        <f>YEAR(D3226)</f>
        <v>2019</v>
      </c>
      <c r="B3226" t="s">
        <v>26</v>
      </c>
      <c r="C3226" s="2" t="s">
        <v>3020</v>
      </c>
      <c r="D3226" s="1">
        <v>43630</v>
      </c>
      <c r="E3226">
        <f>MONTH(D3226)</f>
        <v>6</v>
      </c>
      <c r="F3226" s="2" t="s">
        <v>19</v>
      </c>
      <c r="G3226" t="s">
        <v>352</v>
      </c>
      <c r="H3226" t="s">
        <v>1344</v>
      </c>
      <c r="I3226" t="s">
        <v>22</v>
      </c>
      <c r="J3226" s="2" t="s">
        <v>42</v>
      </c>
      <c r="K3226" s="2" t="s">
        <v>3019</v>
      </c>
      <c r="L3226" t="s">
        <v>25</v>
      </c>
      <c r="M3226" s="8">
        <v>0.91800000000000004</v>
      </c>
      <c r="N3226" t="s">
        <v>26</v>
      </c>
      <c r="O3226" s="8">
        <v>0.91800000000000004</v>
      </c>
      <c r="P3226" s="8">
        <f>EXP(-1.363+3.366*LOG(O3226,10))</f>
        <v>0.22580769814771504</v>
      </c>
      <c r="Q3226" s="8">
        <f>(3359412*100)/3462762</f>
        <v>97.015388294084318</v>
      </c>
    </row>
    <row r="3227" spans="1:17" x14ac:dyDescent="0.2">
      <c r="A3227">
        <f>YEAR(D3227)</f>
        <v>2019</v>
      </c>
      <c r="B3227" t="s">
        <v>26</v>
      </c>
      <c r="C3227" s="2" t="s">
        <v>3021</v>
      </c>
      <c r="D3227" s="1">
        <v>43630</v>
      </c>
      <c r="E3227">
        <f>MONTH(D3227)</f>
        <v>6</v>
      </c>
      <c r="F3227" s="2" t="s">
        <v>19</v>
      </c>
      <c r="G3227" t="s">
        <v>352</v>
      </c>
      <c r="H3227" t="s">
        <v>975</v>
      </c>
      <c r="I3227" t="s">
        <v>22</v>
      </c>
      <c r="J3227" s="2" t="s">
        <v>42</v>
      </c>
      <c r="K3227" s="2" t="s">
        <v>3019</v>
      </c>
      <c r="L3227" t="s">
        <v>25</v>
      </c>
      <c r="M3227" s="8">
        <v>1.0693333330000001</v>
      </c>
      <c r="N3227" t="s">
        <v>26</v>
      </c>
      <c r="O3227" s="8">
        <v>1.0693333330000001</v>
      </c>
      <c r="P3227" s="8">
        <f>EXP(-1.363+3.366*LOG(O3227,10))</f>
        <v>0.28223780327142356</v>
      </c>
      <c r="Q3227" s="8">
        <f>(1845879*100)/1946364</f>
        <v>94.837296620775973</v>
      </c>
    </row>
    <row r="3228" spans="1:17" x14ac:dyDescent="0.2">
      <c r="A3228">
        <f>YEAR(D3228)</f>
        <v>2019</v>
      </c>
      <c r="B3228" t="s">
        <v>26</v>
      </c>
      <c r="C3228" s="2" t="s">
        <v>3021</v>
      </c>
      <c r="D3228" s="1">
        <v>43630</v>
      </c>
      <c r="E3228">
        <f>MONTH(D3228)</f>
        <v>6</v>
      </c>
      <c r="F3228" s="2" t="s">
        <v>19</v>
      </c>
      <c r="G3228" s="2" t="s">
        <v>20</v>
      </c>
      <c r="H3228" t="s">
        <v>45</v>
      </c>
      <c r="I3228" t="s">
        <v>22</v>
      </c>
      <c r="J3228" s="2" t="s">
        <v>42</v>
      </c>
      <c r="K3228" s="2" t="s">
        <v>3019</v>
      </c>
      <c r="L3228" t="s">
        <v>25</v>
      </c>
      <c r="M3228" s="8">
        <v>1.903333333</v>
      </c>
      <c r="N3228" t="s">
        <v>26</v>
      </c>
      <c r="O3228" s="8">
        <v>1.903333333</v>
      </c>
      <c r="P3228" s="8">
        <f>EXP(-1.363+3.366*LOG(O3228,10))</f>
        <v>0.65563371760507783</v>
      </c>
      <c r="Q3228" s="8">
        <f>(1845879*100)/1946364</f>
        <v>94.837296620775973</v>
      </c>
    </row>
    <row r="3229" spans="1:17" x14ac:dyDescent="0.2">
      <c r="A3229">
        <f>YEAR(D3229)</f>
        <v>2019</v>
      </c>
      <c r="B3229" t="s">
        <v>26</v>
      </c>
      <c r="C3229" s="2" t="s">
        <v>3021</v>
      </c>
      <c r="D3229" s="1">
        <v>43630</v>
      </c>
      <c r="E3229">
        <f>MONTH(D3229)</f>
        <v>6</v>
      </c>
      <c r="F3229" s="2" t="s">
        <v>19</v>
      </c>
      <c r="G3229" t="s">
        <v>352</v>
      </c>
      <c r="H3229" t="s">
        <v>1459</v>
      </c>
      <c r="I3229" t="s">
        <v>22</v>
      </c>
      <c r="J3229" s="2" t="s">
        <v>42</v>
      </c>
      <c r="K3229" s="2" t="s">
        <v>3019</v>
      </c>
      <c r="L3229" t="s">
        <v>25</v>
      </c>
      <c r="M3229" s="8">
        <v>1.1910000000000001</v>
      </c>
      <c r="N3229" t="s">
        <v>26</v>
      </c>
      <c r="O3229" s="8">
        <v>1.1910000000000001</v>
      </c>
      <c r="P3229" s="8">
        <f>EXP(-1.363+3.366*LOG(O3229,10))</f>
        <v>0.33039016297752993</v>
      </c>
      <c r="Q3229" s="8">
        <f>(1845879*100)/1946364</f>
        <v>94.837296620775973</v>
      </c>
    </row>
    <row r="3230" spans="1:17" x14ac:dyDescent="0.2">
      <c r="A3230">
        <f>YEAR(D3230)</f>
        <v>2019</v>
      </c>
      <c r="B3230" t="s">
        <v>26</v>
      </c>
      <c r="C3230" s="2" t="s">
        <v>3021</v>
      </c>
      <c r="D3230" s="1">
        <v>43630</v>
      </c>
      <c r="E3230">
        <f>MONTH(D3230)</f>
        <v>6</v>
      </c>
      <c r="F3230" s="2" t="s">
        <v>19</v>
      </c>
      <c r="G3230" t="s">
        <v>303</v>
      </c>
      <c r="H3230" t="s">
        <v>1931</v>
      </c>
      <c r="I3230" t="s">
        <v>22</v>
      </c>
      <c r="J3230" s="2" t="s">
        <v>42</v>
      </c>
      <c r="K3230" s="2" t="s">
        <v>3019</v>
      </c>
      <c r="L3230" t="s">
        <v>305</v>
      </c>
      <c r="M3230" s="8">
        <v>1.4026666670000001</v>
      </c>
      <c r="N3230" t="s">
        <v>26</v>
      </c>
      <c r="O3230" s="8">
        <v>1.4026666670000001</v>
      </c>
      <c r="P3230" s="8">
        <f>EXP(-1.363+3.366*LOG(O3230,10))</f>
        <v>0.41964287291404917</v>
      </c>
      <c r="Q3230" s="8">
        <f>(1845879*100)/1946364</f>
        <v>94.837296620775973</v>
      </c>
    </row>
    <row r="3231" spans="1:17" x14ac:dyDescent="0.2">
      <c r="A3231">
        <f>YEAR(D3231)</f>
        <v>2019</v>
      </c>
      <c r="B3231" t="s">
        <v>26</v>
      </c>
      <c r="C3231" s="2" t="s">
        <v>3021</v>
      </c>
      <c r="D3231" s="1">
        <v>43630</v>
      </c>
      <c r="E3231">
        <f>MONTH(D3231)</f>
        <v>6</v>
      </c>
      <c r="F3231" s="2" t="s">
        <v>19</v>
      </c>
      <c r="G3231" t="s">
        <v>352</v>
      </c>
      <c r="H3231" t="s">
        <v>1142</v>
      </c>
      <c r="I3231" t="s">
        <v>22</v>
      </c>
      <c r="J3231" s="2" t="s">
        <v>42</v>
      </c>
      <c r="K3231" s="2" t="s">
        <v>3019</v>
      </c>
      <c r="L3231" t="s">
        <v>25</v>
      </c>
      <c r="M3231" s="8">
        <v>1.1423333330000001</v>
      </c>
      <c r="N3231" t="s">
        <v>26</v>
      </c>
      <c r="O3231" s="8">
        <v>1.1423333330000001</v>
      </c>
      <c r="P3231" s="8">
        <f>EXP(-1.363+3.366*LOG(O3231,10))</f>
        <v>0.31084239358261528</v>
      </c>
      <c r="Q3231" s="8">
        <f>(1845879*100)/1946364</f>
        <v>94.837296620775973</v>
      </c>
    </row>
    <row r="3232" spans="1:17" x14ac:dyDescent="0.2">
      <c r="A3232">
        <f>YEAR(D3232)</f>
        <v>2019</v>
      </c>
      <c r="B3232" t="s">
        <v>26</v>
      </c>
      <c r="C3232" s="2" t="s">
        <v>3024</v>
      </c>
      <c r="D3232" s="1">
        <v>43633</v>
      </c>
      <c r="E3232">
        <f>MONTH(D3232)</f>
        <v>6</v>
      </c>
      <c r="F3232" s="2" t="s">
        <v>19</v>
      </c>
      <c r="G3232" s="2" t="s">
        <v>303</v>
      </c>
      <c r="H3232" t="s">
        <v>3057</v>
      </c>
      <c r="I3232" t="s">
        <v>36</v>
      </c>
      <c r="J3232" s="2" t="s">
        <v>42</v>
      </c>
      <c r="K3232" s="2" t="s">
        <v>3019</v>
      </c>
      <c r="L3232" t="s">
        <v>305</v>
      </c>
      <c r="M3232" s="8">
        <v>0.82899999999999996</v>
      </c>
      <c r="N3232" t="s">
        <v>26</v>
      </c>
      <c r="O3232" s="8">
        <v>0.82899999999999996</v>
      </c>
      <c r="P3232" s="8">
        <f>EXP(-1.363+3.366*LOG(O3232,10))</f>
        <v>0.19453455905940392</v>
      </c>
      <c r="Q3232" s="8">
        <f>(2412691*100)/2623642</f>
        <v>91.959611867777696</v>
      </c>
    </row>
    <row r="3233" spans="1:17" x14ac:dyDescent="0.2">
      <c r="A3233">
        <f>YEAR(D3233)</f>
        <v>2019</v>
      </c>
      <c r="B3233" t="s">
        <v>26</v>
      </c>
      <c r="C3233" s="2" t="s">
        <v>3024</v>
      </c>
      <c r="D3233" s="1">
        <v>43633</v>
      </c>
      <c r="E3233">
        <f>MONTH(D3233)</f>
        <v>6</v>
      </c>
      <c r="F3233" s="2" t="s">
        <v>19</v>
      </c>
      <c r="G3233" t="s">
        <v>219</v>
      </c>
      <c r="H3233" t="s">
        <v>220</v>
      </c>
      <c r="I3233" t="s">
        <v>22</v>
      </c>
      <c r="J3233" s="2" t="s">
        <v>42</v>
      </c>
      <c r="K3233" s="2" t="s">
        <v>3019</v>
      </c>
      <c r="L3233" t="s">
        <v>25</v>
      </c>
      <c r="M3233" s="10" t="s">
        <v>26</v>
      </c>
      <c r="N3233" t="s">
        <v>26</v>
      </c>
      <c r="O3233" s="10" t="s">
        <v>26</v>
      </c>
      <c r="P3233" s="8" t="s">
        <v>26</v>
      </c>
      <c r="Q3233" s="8">
        <f>(2412691*100)/2623642</f>
        <v>91.959611867777696</v>
      </c>
    </row>
    <row r="3234" spans="1:17" x14ac:dyDescent="0.2">
      <c r="A3234">
        <f>YEAR(D3234)</f>
        <v>2019</v>
      </c>
      <c r="B3234" t="s">
        <v>26</v>
      </c>
      <c r="C3234" s="2" t="s">
        <v>3024</v>
      </c>
      <c r="D3234" s="1">
        <v>43633</v>
      </c>
      <c r="E3234">
        <f>MONTH(D3234)</f>
        <v>6</v>
      </c>
      <c r="F3234" s="2" t="s">
        <v>19</v>
      </c>
      <c r="G3234" t="s">
        <v>352</v>
      </c>
      <c r="H3234" t="s">
        <v>1142</v>
      </c>
      <c r="I3234" t="s">
        <v>22</v>
      </c>
      <c r="J3234" s="2" t="s">
        <v>42</v>
      </c>
      <c r="K3234" s="2" t="s">
        <v>3019</v>
      </c>
      <c r="L3234" t="s">
        <v>25</v>
      </c>
      <c r="M3234" s="8">
        <v>1.1423333330000001</v>
      </c>
      <c r="N3234" t="s">
        <v>26</v>
      </c>
      <c r="O3234" s="8">
        <v>1.1423333330000001</v>
      </c>
      <c r="P3234" s="8">
        <f>EXP(-1.363+3.366*LOG(O3234,10))</f>
        <v>0.31084239358261528</v>
      </c>
      <c r="Q3234" s="8">
        <f>(2412691*100)/2623642</f>
        <v>91.959611867777696</v>
      </c>
    </row>
    <row r="3235" spans="1:17" x14ac:dyDescent="0.2">
      <c r="A3235">
        <f>YEAR(D3235)</f>
        <v>2019</v>
      </c>
      <c r="B3235" t="s">
        <v>26</v>
      </c>
      <c r="C3235" s="2" t="s">
        <v>3027</v>
      </c>
      <c r="D3235" s="1">
        <v>43634</v>
      </c>
      <c r="E3235">
        <f>MONTH(D3235)</f>
        <v>6</v>
      </c>
      <c r="F3235" s="2" t="s">
        <v>19</v>
      </c>
      <c r="G3235" t="s">
        <v>1520</v>
      </c>
      <c r="H3235" t="s">
        <v>1925</v>
      </c>
      <c r="I3235" t="s">
        <v>36</v>
      </c>
      <c r="J3235" s="2" t="s">
        <v>42</v>
      </c>
      <c r="K3235" s="2" t="s">
        <v>3019</v>
      </c>
      <c r="L3235" t="s">
        <v>25</v>
      </c>
      <c r="M3235" s="8">
        <v>2.1076666670000002</v>
      </c>
      <c r="N3235" t="s">
        <v>26</v>
      </c>
      <c r="O3235" s="8">
        <v>2.1076666670000002</v>
      </c>
      <c r="P3235" s="8">
        <f>EXP(-1.363+3.366*LOG(O3235,10))</f>
        <v>0.76102983783378542</v>
      </c>
      <c r="Q3235" s="8">
        <f>(3939723*100)/4442581</f>
        <v>88.680949204977921</v>
      </c>
    </row>
    <row r="3236" spans="1:17" x14ac:dyDescent="0.2">
      <c r="A3236">
        <f>YEAR(D3236)</f>
        <v>2019</v>
      </c>
      <c r="B3236" t="s">
        <v>26</v>
      </c>
      <c r="C3236" s="2" t="s">
        <v>3018</v>
      </c>
      <c r="D3236" s="1">
        <v>43634</v>
      </c>
      <c r="E3236">
        <f>MONTH(D3236)</f>
        <v>6</v>
      </c>
      <c r="F3236" s="2" t="s">
        <v>19</v>
      </c>
      <c r="G3236" t="s">
        <v>352</v>
      </c>
      <c r="H3236" t="s">
        <v>1344</v>
      </c>
      <c r="I3236" t="s">
        <v>22</v>
      </c>
      <c r="J3236" s="2" t="s">
        <v>42</v>
      </c>
      <c r="K3236" s="2" t="s">
        <v>3019</v>
      </c>
      <c r="L3236" t="s">
        <v>25</v>
      </c>
      <c r="M3236" s="8">
        <v>0.91800000000000004</v>
      </c>
      <c r="N3236" t="s">
        <v>26</v>
      </c>
      <c r="O3236" s="8">
        <v>0.91800000000000004</v>
      </c>
      <c r="P3236" s="8">
        <f>EXP(-1.363+3.366*LOG(O3236,10))</f>
        <v>0.22580769814771504</v>
      </c>
      <c r="Q3236" s="8">
        <f>(5996898*100)/6073515</f>
        <v>98.738506449724753</v>
      </c>
    </row>
    <row r="3237" spans="1:17" x14ac:dyDescent="0.2">
      <c r="A3237">
        <f>YEAR(D3237)</f>
        <v>2019</v>
      </c>
      <c r="B3237" t="s">
        <v>26</v>
      </c>
      <c r="C3237" s="2" t="s">
        <v>3018</v>
      </c>
      <c r="D3237" s="1">
        <v>43634</v>
      </c>
      <c r="E3237">
        <f>MONTH(D3237)</f>
        <v>6</v>
      </c>
      <c r="F3237" s="2" t="s">
        <v>19</v>
      </c>
      <c r="G3237" t="s">
        <v>352</v>
      </c>
      <c r="H3237" t="s">
        <v>1344</v>
      </c>
      <c r="I3237" t="s">
        <v>22</v>
      </c>
      <c r="J3237" s="2" t="s">
        <v>42</v>
      </c>
      <c r="K3237" s="2" t="s">
        <v>3019</v>
      </c>
      <c r="L3237" t="s">
        <v>25</v>
      </c>
      <c r="M3237" s="8">
        <v>0.91800000000000004</v>
      </c>
      <c r="N3237" t="s">
        <v>26</v>
      </c>
      <c r="O3237" s="8">
        <v>0.91800000000000004</v>
      </c>
      <c r="P3237" s="8">
        <f>EXP(-1.363+3.366*LOG(O3237,10))</f>
        <v>0.22580769814771504</v>
      </c>
      <c r="Q3237" s="8">
        <f>(5996898*100)/6073515</f>
        <v>98.738506449724753</v>
      </c>
    </row>
    <row r="3238" spans="1:17" x14ac:dyDescent="0.2">
      <c r="A3238">
        <f>YEAR(D3238)</f>
        <v>2019</v>
      </c>
      <c r="B3238" t="s">
        <v>26</v>
      </c>
      <c r="C3238" s="2" t="s">
        <v>3018</v>
      </c>
      <c r="D3238" s="1">
        <v>43634</v>
      </c>
      <c r="E3238">
        <f>MONTH(D3238)</f>
        <v>6</v>
      </c>
      <c r="F3238" s="2" t="s">
        <v>19</v>
      </c>
      <c r="G3238" t="s">
        <v>352</v>
      </c>
      <c r="H3238" t="s">
        <v>975</v>
      </c>
      <c r="I3238" t="s">
        <v>22</v>
      </c>
      <c r="J3238" s="2" t="s">
        <v>42</v>
      </c>
      <c r="K3238" s="2" t="s">
        <v>3019</v>
      </c>
      <c r="L3238" t="s">
        <v>25</v>
      </c>
      <c r="M3238" s="8">
        <v>1.0693333330000001</v>
      </c>
      <c r="N3238" t="s">
        <v>26</v>
      </c>
      <c r="O3238" s="8">
        <v>1.0693333330000001</v>
      </c>
      <c r="P3238" s="8">
        <f>EXP(-1.363+3.366*LOG(O3238,10))</f>
        <v>0.28223780327142356</v>
      </c>
      <c r="Q3238" s="8">
        <f>(5996898*100)/6073515</f>
        <v>98.738506449724753</v>
      </c>
    </row>
    <row r="3239" spans="1:17" x14ac:dyDescent="0.2">
      <c r="A3239">
        <f>YEAR(D3239)</f>
        <v>2019</v>
      </c>
      <c r="B3239" t="s">
        <v>26</v>
      </c>
      <c r="C3239" s="2" t="s">
        <v>3018</v>
      </c>
      <c r="D3239" s="1">
        <v>43634</v>
      </c>
      <c r="E3239">
        <f>MONTH(D3239)</f>
        <v>6</v>
      </c>
      <c r="F3239" s="2" t="s">
        <v>19</v>
      </c>
      <c r="G3239" t="s">
        <v>352</v>
      </c>
      <c r="H3239" t="s">
        <v>975</v>
      </c>
      <c r="I3239" t="s">
        <v>22</v>
      </c>
      <c r="J3239" s="2" t="s">
        <v>42</v>
      </c>
      <c r="K3239" s="2" t="s">
        <v>3019</v>
      </c>
      <c r="L3239" t="s">
        <v>25</v>
      </c>
      <c r="M3239" s="8">
        <v>1.0693333330000001</v>
      </c>
      <c r="N3239" t="s">
        <v>26</v>
      </c>
      <c r="O3239" s="8">
        <v>1.0693333330000001</v>
      </c>
      <c r="P3239" s="8">
        <f>EXP(-1.363+3.366*LOG(O3239,10))</f>
        <v>0.28223780327142356</v>
      </c>
      <c r="Q3239" s="8">
        <f>(5996898*100)/6073515</f>
        <v>98.738506449724753</v>
      </c>
    </row>
    <row r="3240" spans="1:17" x14ac:dyDescent="0.2">
      <c r="A3240">
        <f>YEAR(D3240)</f>
        <v>2019</v>
      </c>
      <c r="B3240" t="s">
        <v>26</v>
      </c>
      <c r="C3240" s="2" t="s">
        <v>3018</v>
      </c>
      <c r="D3240" s="1">
        <v>43634</v>
      </c>
      <c r="E3240">
        <f>MONTH(D3240)</f>
        <v>6</v>
      </c>
      <c r="F3240" s="2" t="s">
        <v>19</v>
      </c>
      <c r="G3240" t="s">
        <v>352</v>
      </c>
      <c r="H3240" t="s">
        <v>747</v>
      </c>
      <c r="I3240" t="s">
        <v>22</v>
      </c>
      <c r="J3240" s="2" t="s">
        <v>42</v>
      </c>
      <c r="K3240" s="2" t="s">
        <v>3019</v>
      </c>
      <c r="L3240" t="s">
        <v>25</v>
      </c>
      <c r="M3240" s="8">
        <v>1.3726666670000001</v>
      </c>
      <c r="N3240" t="s">
        <v>26</v>
      </c>
      <c r="O3240" s="8">
        <v>1.3726666670000001</v>
      </c>
      <c r="P3240" s="8">
        <f>EXP(-1.363+3.366*LOG(O3240,10))</f>
        <v>0.40658758379567089</v>
      </c>
      <c r="Q3240" s="8">
        <f>(5996898*100)/6073515</f>
        <v>98.738506449724753</v>
      </c>
    </row>
    <row r="3241" spans="1:17" x14ac:dyDescent="0.2">
      <c r="A3241">
        <f>YEAR(D3241)</f>
        <v>2019</v>
      </c>
      <c r="B3241" t="s">
        <v>26</v>
      </c>
      <c r="C3241" s="2" t="s">
        <v>3018</v>
      </c>
      <c r="D3241" s="1">
        <v>43634</v>
      </c>
      <c r="E3241">
        <f>MONTH(D3241)</f>
        <v>6</v>
      </c>
      <c r="F3241" s="2" t="s">
        <v>19</v>
      </c>
      <c r="G3241" t="s">
        <v>352</v>
      </c>
      <c r="H3241" t="s">
        <v>975</v>
      </c>
      <c r="I3241" t="s">
        <v>22</v>
      </c>
      <c r="J3241" s="2" t="s">
        <v>42</v>
      </c>
      <c r="K3241" s="2" t="s">
        <v>3019</v>
      </c>
      <c r="L3241" t="s">
        <v>25</v>
      </c>
      <c r="M3241" s="8">
        <v>1.0693333330000001</v>
      </c>
      <c r="N3241" t="s">
        <v>26</v>
      </c>
      <c r="O3241" s="8">
        <v>1.0693333330000001</v>
      </c>
      <c r="P3241" s="8">
        <f>EXP(-1.363+3.366*LOG(O3241,10))</f>
        <v>0.28223780327142356</v>
      </c>
      <c r="Q3241" s="8">
        <f>(5996898*100)/6073515</f>
        <v>98.738506449724753</v>
      </c>
    </row>
    <row r="3242" spans="1:17" x14ac:dyDescent="0.2">
      <c r="A3242">
        <f>YEAR(D3242)</f>
        <v>2019</v>
      </c>
      <c r="B3242" t="s">
        <v>26</v>
      </c>
      <c r="C3242" s="2" t="s">
        <v>3018</v>
      </c>
      <c r="D3242" s="1">
        <v>43634</v>
      </c>
      <c r="E3242">
        <f>MONTH(D3242)</f>
        <v>6</v>
      </c>
      <c r="F3242" s="2" t="s">
        <v>19</v>
      </c>
      <c r="G3242" t="s">
        <v>20</v>
      </c>
      <c r="H3242" t="s">
        <v>2295</v>
      </c>
      <c r="I3242" t="s">
        <v>22</v>
      </c>
      <c r="J3242" s="2" t="s">
        <v>42</v>
      </c>
      <c r="K3242" s="2" t="s">
        <v>3019</v>
      </c>
      <c r="L3242" t="s">
        <v>25</v>
      </c>
      <c r="M3242" s="8">
        <v>1.1566666670000001</v>
      </c>
      <c r="N3242" t="s">
        <v>26</v>
      </c>
      <c r="O3242" s="8">
        <v>1.1566666670000001</v>
      </c>
      <c r="P3242" s="8">
        <f>EXP(-1.363+3.366*LOG(O3242,10))</f>
        <v>0.31656042770005527</v>
      </c>
      <c r="Q3242" s="8">
        <f>(5996898*100)/6073515</f>
        <v>98.738506449724753</v>
      </c>
    </row>
    <row r="3243" spans="1:17" x14ac:dyDescent="0.2">
      <c r="A3243">
        <f>YEAR(D3243)</f>
        <v>2019</v>
      </c>
      <c r="B3243" t="s">
        <v>26</v>
      </c>
      <c r="C3243" s="2" t="s">
        <v>3018</v>
      </c>
      <c r="D3243" s="1">
        <v>43634</v>
      </c>
      <c r="E3243">
        <f>MONTH(D3243)</f>
        <v>6</v>
      </c>
      <c r="F3243" s="2" t="s">
        <v>19</v>
      </c>
      <c r="G3243" t="s">
        <v>352</v>
      </c>
      <c r="H3243" t="s">
        <v>1344</v>
      </c>
      <c r="I3243" t="s">
        <v>22</v>
      </c>
      <c r="J3243" s="2" t="s">
        <v>42</v>
      </c>
      <c r="K3243" s="2" t="s">
        <v>3019</v>
      </c>
      <c r="L3243" t="s">
        <v>25</v>
      </c>
      <c r="M3243" s="8">
        <v>0.91800000000000004</v>
      </c>
      <c r="N3243" t="s">
        <v>26</v>
      </c>
      <c r="O3243" s="8">
        <v>0.91800000000000004</v>
      </c>
      <c r="P3243" s="8">
        <f>EXP(-1.363+3.366*LOG(O3243,10))</f>
        <v>0.22580769814771504</v>
      </c>
      <c r="Q3243" s="8">
        <f>(5996898*100)/6073515</f>
        <v>98.738506449724753</v>
      </c>
    </row>
    <row r="3244" spans="1:17" x14ac:dyDescent="0.2">
      <c r="A3244">
        <f>YEAR(D3244)</f>
        <v>2019</v>
      </c>
      <c r="B3244" t="s">
        <v>26</v>
      </c>
      <c r="C3244" s="2" t="s">
        <v>3018</v>
      </c>
      <c r="D3244" s="1">
        <v>43634</v>
      </c>
      <c r="E3244">
        <f>MONTH(D3244)</f>
        <v>6</v>
      </c>
      <c r="F3244" s="2" t="s">
        <v>19</v>
      </c>
      <c r="G3244" t="s">
        <v>352</v>
      </c>
      <c r="H3244" t="s">
        <v>353</v>
      </c>
      <c r="I3244" t="s">
        <v>22</v>
      </c>
      <c r="J3244" s="2" t="s">
        <v>42</v>
      </c>
      <c r="K3244" s="2" t="s">
        <v>3019</v>
      </c>
      <c r="L3244" t="s">
        <v>25</v>
      </c>
      <c r="M3244" s="8">
        <v>1.1623333330000001</v>
      </c>
      <c r="N3244" t="s">
        <v>26</v>
      </c>
      <c r="O3244" s="8">
        <v>1.1623333330000001</v>
      </c>
      <c r="P3244" s="8">
        <f>EXP(-1.363+3.366*LOG(O3244,10))</f>
        <v>0.31883010989102206</v>
      </c>
      <c r="Q3244" s="8">
        <f>(5996898*100)/6073515</f>
        <v>98.738506449724753</v>
      </c>
    </row>
    <row r="3245" spans="1:17" x14ac:dyDescent="0.2">
      <c r="A3245">
        <f>YEAR(D3245)</f>
        <v>2019</v>
      </c>
      <c r="B3245" t="s">
        <v>26</v>
      </c>
      <c r="C3245" s="2" t="s">
        <v>3025</v>
      </c>
      <c r="D3245" s="1">
        <v>43647</v>
      </c>
      <c r="E3245">
        <f>MONTH(D3245)</f>
        <v>7</v>
      </c>
      <c r="F3245" s="2" t="s">
        <v>2098</v>
      </c>
      <c r="G3245" t="s">
        <v>352</v>
      </c>
      <c r="H3245" t="s">
        <v>1459</v>
      </c>
      <c r="I3245" t="s">
        <v>22</v>
      </c>
      <c r="J3245" s="2" t="s">
        <v>42</v>
      </c>
      <c r="K3245" s="2" t="s">
        <v>3019</v>
      </c>
      <c r="L3245" t="s">
        <v>25</v>
      </c>
      <c r="M3245" s="8">
        <v>1.1910000000000001</v>
      </c>
      <c r="N3245" t="s">
        <v>26</v>
      </c>
      <c r="O3245" s="8">
        <v>1.1910000000000001</v>
      </c>
      <c r="P3245" s="8">
        <f>EXP(-1.363+3.366*LOG(O3245,10))</f>
        <v>0.33039016297752993</v>
      </c>
      <c r="Q3245" s="8">
        <f>(1955155*100)/2180255</f>
        <v>89.67551960665152</v>
      </c>
    </row>
    <row r="3246" spans="1:17" x14ac:dyDescent="0.2">
      <c r="A3246">
        <f>YEAR(D3246)</f>
        <v>2019</v>
      </c>
      <c r="B3246" t="s">
        <v>26</v>
      </c>
      <c r="C3246" s="2" t="s">
        <v>3025</v>
      </c>
      <c r="D3246" s="1">
        <v>43647</v>
      </c>
      <c r="E3246">
        <f>MONTH(D3246)</f>
        <v>7</v>
      </c>
      <c r="F3246" s="2" t="s">
        <v>2098</v>
      </c>
      <c r="G3246" t="s">
        <v>352</v>
      </c>
      <c r="H3246" t="s">
        <v>1459</v>
      </c>
      <c r="I3246" t="s">
        <v>36</v>
      </c>
      <c r="J3246" s="2" t="s">
        <v>42</v>
      </c>
      <c r="K3246" s="2" t="s">
        <v>3019</v>
      </c>
      <c r="L3246" t="s">
        <v>25</v>
      </c>
      <c r="M3246" s="8">
        <v>1.0913333329999999</v>
      </c>
      <c r="N3246" t="s">
        <v>26</v>
      </c>
      <c r="O3246" s="8">
        <v>1.0913333329999999</v>
      </c>
      <c r="P3246" s="8">
        <f>EXP(-1.363+3.366*LOG(O3246,10))</f>
        <v>0.29076633015787234</v>
      </c>
      <c r="Q3246" s="8">
        <f>(1955155*100)/2180255</f>
        <v>89.67551960665152</v>
      </c>
    </row>
    <row r="3247" spans="1:17" x14ac:dyDescent="0.2">
      <c r="A3247">
        <f>YEAR(D3247)</f>
        <v>2019</v>
      </c>
      <c r="B3247" t="s">
        <v>26</v>
      </c>
      <c r="C3247" s="2" t="s">
        <v>3025</v>
      </c>
      <c r="D3247" s="1">
        <v>43647</v>
      </c>
      <c r="E3247">
        <f>MONTH(D3247)</f>
        <v>7</v>
      </c>
      <c r="F3247" s="2" t="s">
        <v>2098</v>
      </c>
      <c r="G3247" t="s">
        <v>352</v>
      </c>
      <c r="H3247" t="s">
        <v>610</v>
      </c>
      <c r="I3247" t="s">
        <v>22</v>
      </c>
      <c r="J3247" s="2" t="s">
        <v>42</v>
      </c>
      <c r="K3247" s="2" t="s">
        <v>3019</v>
      </c>
      <c r="L3247" t="s">
        <v>25</v>
      </c>
      <c r="M3247" s="8">
        <v>0.86499999999999999</v>
      </c>
      <c r="N3247" t="s">
        <v>26</v>
      </c>
      <c r="O3247" s="8">
        <v>0.86499999999999999</v>
      </c>
      <c r="P3247" s="8">
        <f>EXP(-1.363+3.366*LOG(O3247,10))</f>
        <v>0.20700676972346591</v>
      </c>
      <c r="Q3247" s="8">
        <f>(1955155*100)/2180255</f>
        <v>89.67551960665152</v>
      </c>
    </row>
    <row r="3248" spans="1:17" x14ac:dyDescent="0.2">
      <c r="A3248">
        <f>YEAR(D3248)</f>
        <v>2019</v>
      </c>
      <c r="B3248" t="s">
        <v>26</v>
      </c>
      <c r="C3248" s="2" t="s">
        <v>3025</v>
      </c>
      <c r="D3248" s="1">
        <v>43647</v>
      </c>
      <c r="E3248">
        <f>MONTH(D3248)</f>
        <v>7</v>
      </c>
      <c r="F3248" s="2" t="s">
        <v>2098</v>
      </c>
      <c r="G3248" t="s">
        <v>352</v>
      </c>
      <c r="H3248" t="s">
        <v>610</v>
      </c>
      <c r="I3248" t="s">
        <v>22</v>
      </c>
      <c r="J3248" s="2" t="s">
        <v>42</v>
      </c>
      <c r="K3248" s="2" t="s">
        <v>3019</v>
      </c>
      <c r="L3248" t="s">
        <v>25</v>
      </c>
      <c r="M3248" s="8">
        <v>0.86499999999999999</v>
      </c>
      <c r="N3248" t="s">
        <v>26</v>
      </c>
      <c r="O3248" s="8">
        <v>0.86499999999999999</v>
      </c>
      <c r="P3248" s="8">
        <f>EXP(-1.363+3.366*LOG(O3248,10))</f>
        <v>0.20700676972346591</v>
      </c>
      <c r="Q3248" s="8">
        <f>(1955155*100)/2180255</f>
        <v>89.67551960665152</v>
      </c>
    </row>
    <row r="3249" spans="1:17" x14ac:dyDescent="0.2">
      <c r="A3249">
        <f>YEAR(D3249)</f>
        <v>2019</v>
      </c>
      <c r="B3249" t="s">
        <v>26</v>
      </c>
      <c r="C3249" s="2" t="s">
        <v>3025</v>
      </c>
      <c r="D3249" s="1">
        <v>43647</v>
      </c>
      <c r="E3249">
        <f>MONTH(D3249)</f>
        <v>7</v>
      </c>
      <c r="F3249" s="2" t="s">
        <v>2098</v>
      </c>
      <c r="G3249" t="s">
        <v>352</v>
      </c>
      <c r="H3249" t="s">
        <v>1459</v>
      </c>
      <c r="I3249" t="s">
        <v>36</v>
      </c>
      <c r="J3249" s="2" t="s">
        <v>42</v>
      </c>
      <c r="K3249" s="2" t="s">
        <v>3019</v>
      </c>
      <c r="L3249" t="s">
        <v>25</v>
      </c>
      <c r="M3249" s="8">
        <v>1.0913333329999999</v>
      </c>
      <c r="N3249" t="s">
        <v>26</v>
      </c>
      <c r="O3249" s="8">
        <v>1.0913333329999999</v>
      </c>
      <c r="P3249" s="8">
        <f>EXP(-1.363+3.366*LOG(O3249,10))</f>
        <v>0.29076633015787234</v>
      </c>
      <c r="Q3249" s="8">
        <f>(1955155*100)/2180255</f>
        <v>89.67551960665152</v>
      </c>
    </row>
    <row r="3250" spans="1:17" x14ac:dyDescent="0.2">
      <c r="A3250">
        <f>YEAR(D3250)</f>
        <v>2019</v>
      </c>
      <c r="B3250" t="s">
        <v>26</v>
      </c>
      <c r="C3250" s="2" t="s">
        <v>3025</v>
      </c>
      <c r="D3250" s="1">
        <v>43647</v>
      </c>
      <c r="E3250">
        <f>MONTH(D3250)</f>
        <v>7</v>
      </c>
      <c r="F3250" s="2" t="s">
        <v>2098</v>
      </c>
      <c r="G3250" t="s">
        <v>219</v>
      </c>
      <c r="H3250" t="s">
        <v>220</v>
      </c>
      <c r="I3250" t="s">
        <v>22</v>
      </c>
      <c r="J3250" s="2" t="s">
        <v>42</v>
      </c>
      <c r="K3250" s="2" t="s">
        <v>3019</v>
      </c>
      <c r="L3250" t="s">
        <v>25</v>
      </c>
      <c r="M3250" s="10" t="s">
        <v>26</v>
      </c>
      <c r="N3250" t="s">
        <v>26</v>
      </c>
      <c r="O3250" s="10" t="s">
        <v>26</v>
      </c>
      <c r="P3250" s="8" t="s">
        <v>26</v>
      </c>
      <c r="Q3250" s="8">
        <f>(1955155*100)/2180255</f>
        <v>89.67551960665152</v>
      </c>
    </row>
    <row r="3251" spans="1:17" x14ac:dyDescent="0.2">
      <c r="A3251">
        <f>YEAR(D3251)</f>
        <v>2019</v>
      </c>
      <c r="B3251" t="s">
        <v>26</v>
      </c>
      <c r="C3251" s="2" t="s">
        <v>3025</v>
      </c>
      <c r="D3251" s="1">
        <v>43647</v>
      </c>
      <c r="E3251">
        <f>MONTH(D3251)</f>
        <v>7</v>
      </c>
      <c r="F3251" s="2" t="s">
        <v>2098</v>
      </c>
      <c r="G3251" s="2" t="s">
        <v>332</v>
      </c>
      <c r="H3251" t="s">
        <v>3058</v>
      </c>
      <c r="I3251" t="s">
        <v>22</v>
      </c>
      <c r="J3251" s="2" t="s">
        <v>42</v>
      </c>
      <c r="K3251" s="2" t="s">
        <v>3019</v>
      </c>
      <c r="L3251" t="s">
        <v>25</v>
      </c>
      <c r="M3251" s="8">
        <v>1.3280000000000001</v>
      </c>
      <c r="N3251" t="s">
        <v>26</v>
      </c>
      <c r="O3251" s="8">
        <v>1.3280000000000001</v>
      </c>
      <c r="P3251" s="8">
        <f>EXP(-1.363+3.366*LOG(O3251,10))</f>
        <v>0.38739312315587321</v>
      </c>
      <c r="Q3251" s="8">
        <f>(1955155*100)/2180255</f>
        <v>89.67551960665152</v>
      </c>
    </row>
    <row r="3252" spans="1:17" x14ac:dyDescent="0.2">
      <c r="A3252">
        <f>YEAR(D3252)</f>
        <v>2019</v>
      </c>
      <c r="B3252" t="s">
        <v>26</v>
      </c>
      <c r="C3252" s="2" t="s">
        <v>3025</v>
      </c>
      <c r="D3252" s="1">
        <v>43647</v>
      </c>
      <c r="E3252">
        <f>MONTH(D3252)</f>
        <v>7</v>
      </c>
      <c r="F3252" s="2" t="s">
        <v>2098</v>
      </c>
      <c r="G3252" t="s">
        <v>352</v>
      </c>
      <c r="H3252" t="s">
        <v>610</v>
      </c>
      <c r="I3252" t="s">
        <v>22</v>
      </c>
      <c r="J3252" s="2" t="s">
        <v>42</v>
      </c>
      <c r="K3252" s="2" t="s">
        <v>3019</v>
      </c>
      <c r="L3252" t="s">
        <v>25</v>
      </c>
      <c r="M3252" s="8">
        <v>0.86499999999999999</v>
      </c>
      <c r="N3252" t="s">
        <v>26</v>
      </c>
      <c r="O3252" s="8">
        <v>0.86499999999999999</v>
      </c>
      <c r="P3252" s="8">
        <f>EXP(-1.363+3.366*LOG(O3252,10))</f>
        <v>0.20700676972346591</v>
      </c>
      <c r="Q3252" s="8">
        <f>(1955155*100)/2180255</f>
        <v>89.67551960665152</v>
      </c>
    </row>
    <row r="3253" spans="1:17" x14ac:dyDescent="0.2">
      <c r="A3253">
        <f>YEAR(D3253)</f>
        <v>2019</v>
      </c>
      <c r="B3253" t="s">
        <v>26</v>
      </c>
      <c r="C3253" s="2" t="s">
        <v>3025</v>
      </c>
      <c r="D3253" s="1">
        <v>43647</v>
      </c>
      <c r="E3253">
        <f>MONTH(D3253)</f>
        <v>7</v>
      </c>
      <c r="F3253" s="2" t="s">
        <v>2098</v>
      </c>
      <c r="G3253" t="s">
        <v>1959</v>
      </c>
      <c r="H3253" t="s">
        <v>1960</v>
      </c>
      <c r="I3253" t="s">
        <v>22</v>
      </c>
      <c r="J3253" s="2" t="s">
        <v>42</v>
      </c>
      <c r="K3253" s="2" t="s">
        <v>3019</v>
      </c>
      <c r="L3253" t="s">
        <v>305</v>
      </c>
      <c r="M3253" s="8">
        <v>1.4339999999999999</v>
      </c>
      <c r="N3253" t="s">
        <v>26</v>
      </c>
      <c r="O3253" s="8">
        <v>1.4339999999999999</v>
      </c>
      <c r="P3253" s="8">
        <f>EXP(-1.363+3.366*LOG(O3253,10))</f>
        <v>0.4334167439794695</v>
      </c>
      <c r="Q3253" s="8">
        <f>(1955155*100)/2180255</f>
        <v>89.67551960665152</v>
      </c>
    </row>
    <row r="3254" spans="1:17" x14ac:dyDescent="0.2">
      <c r="A3254">
        <f>YEAR(D3254)</f>
        <v>2019</v>
      </c>
      <c r="B3254" t="s">
        <v>26</v>
      </c>
      <c r="C3254" s="2" t="s">
        <v>3025</v>
      </c>
      <c r="D3254" s="1">
        <v>43647</v>
      </c>
      <c r="E3254">
        <f>MONTH(D3254)</f>
        <v>7</v>
      </c>
      <c r="F3254" s="2" t="s">
        <v>2098</v>
      </c>
      <c r="G3254" t="s">
        <v>352</v>
      </c>
      <c r="H3254" t="s">
        <v>610</v>
      </c>
      <c r="I3254" t="s">
        <v>22</v>
      </c>
      <c r="J3254" s="2" t="s">
        <v>42</v>
      </c>
      <c r="K3254" s="2" t="s">
        <v>3019</v>
      </c>
      <c r="L3254" t="s">
        <v>25</v>
      </c>
      <c r="M3254" s="8">
        <v>0.86499999999999999</v>
      </c>
      <c r="N3254" t="s">
        <v>26</v>
      </c>
      <c r="O3254" s="8">
        <v>0.86499999999999999</v>
      </c>
      <c r="P3254" s="8">
        <f>EXP(-1.363+3.366*LOG(O3254,10))</f>
        <v>0.20700676972346591</v>
      </c>
      <c r="Q3254" s="8">
        <f>(1955155*100)/2180255</f>
        <v>89.67551960665152</v>
      </c>
    </row>
    <row r="3255" spans="1:17" x14ac:dyDescent="0.2">
      <c r="A3255">
        <f>YEAR(D3255)</f>
        <v>2019</v>
      </c>
      <c r="B3255" t="s">
        <v>26</v>
      </c>
      <c r="C3255" s="2" t="s">
        <v>3025</v>
      </c>
      <c r="D3255" s="1">
        <v>43647</v>
      </c>
      <c r="E3255">
        <f>MONTH(D3255)</f>
        <v>7</v>
      </c>
      <c r="F3255" s="2" t="s">
        <v>2098</v>
      </c>
      <c r="G3255" t="s">
        <v>352</v>
      </c>
      <c r="H3255" t="s">
        <v>610</v>
      </c>
      <c r="I3255" t="s">
        <v>22</v>
      </c>
      <c r="J3255" s="2" t="s">
        <v>42</v>
      </c>
      <c r="K3255" s="2" t="s">
        <v>3019</v>
      </c>
      <c r="L3255" t="s">
        <v>25</v>
      </c>
      <c r="M3255" s="8">
        <v>0.86499999999999999</v>
      </c>
      <c r="N3255" t="s">
        <v>26</v>
      </c>
      <c r="O3255" s="8">
        <v>0.86499999999999999</v>
      </c>
      <c r="P3255" s="8">
        <f>EXP(-1.363+3.366*LOG(O3255,10))</f>
        <v>0.20700676972346591</v>
      </c>
      <c r="Q3255" s="8">
        <f>(1955155*100)/2180255</f>
        <v>89.67551960665152</v>
      </c>
    </row>
    <row r="3256" spans="1:17" x14ac:dyDescent="0.2">
      <c r="A3256">
        <f>YEAR(D3256)</f>
        <v>2019</v>
      </c>
      <c r="B3256" t="s">
        <v>26</v>
      </c>
      <c r="C3256" s="2" t="s">
        <v>3025</v>
      </c>
      <c r="D3256" s="1">
        <v>43647</v>
      </c>
      <c r="E3256">
        <f>MONTH(D3256)</f>
        <v>7</v>
      </c>
      <c r="F3256" s="2" t="s">
        <v>2098</v>
      </c>
      <c r="G3256" t="s">
        <v>332</v>
      </c>
      <c r="H3256" t="s">
        <v>330</v>
      </c>
      <c r="I3256" t="s">
        <v>22</v>
      </c>
      <c r="J3256" s="2" t="s">
        <v>42</v>
      </c>
      <c r="K3256" s="2" t="s">
        <v>3019</v>
      </c>
      <c r="L3256" t="s">
        <v>25</v>
      </c>
      <c r="M3256" s="8">
        <v>1.2170000000000001</v>
      </c>
      <c r="N3256" t="s">
        <v>26</v>
      </c>
      <c r="O3256" s="8">
        <v>1.2170000000000001</v>
      </c>
      <c r="P3256" s="8">
        <f>EXP(-1.363+3.366*LOG(O3256,10))</f>
        <v>0.34098666307598596</v>
      </c>
      <c r="Q3256" s="8">
        <f>(1955155*100)/2180255</f>
        <v>89.67551960665152</v>
      </c>
    </row>
    <row r="3257" spans="1:17" x14ac:dyDescent="0.2">
      <c r="A3257">
        <f>YEAR(D3257)</f>
        <v>2019</v>
      </c>
      <c r="B3257" t="s">
        <v>26</v>
      </c>
      <c r="C3257" s="2" t="s">
        <v>3025</v>
      </c>
      <c r="D3257" s="1">
        <v>43647</v>
      </c>
      <c r="E3257">
        <f>MONTH(D3257)</f>
        <v>7</v>
      </c>
      <c r="F3257" s="2" t="s">
        <v>2098</v>
      </c>
      <c r="G3257" t="s">
        <v>352</v>
      </c>
      <c r="H3257" t="s">
        <v>610</v>
      </c>
      <c r="I3257" t="s">
        <v>22</v>
      </c>
      <c r="J3257" s="2" t="s">
        <v>42</v>
      </c>
      <c r="K3257" s="2" t="s">
        <v>3019</v>
      </c>
      <c r="L3257" t="s">
        <v>25</v>
      </c>
      <c r="M3257" s="8">
        <v>0.86499999999999999</v>
      </c>
      <c r="N3257" t="s">
        <v>26</v>
      </c>
      <c r="O3257" s="8">
        <v>0.86499999999999999</v>
      </c>
      <c r="P3257" s="8">
        <f>EXP(-1.363+3.366*LOG(O3257,10))</f>
        <v>0.20700676972346591</v>
      </c>
      <c r="Q3257" s="8">
        <f>(1955155*100)/2180255</f>
        <v>89.67551960665152</v>
      </c>
    </row>
    <row r="3258" spans="1:17" x14ac:dyDescent="0.2">
      <c r="A3258">
        <f>YEAR(D3258)</f>
        <v>2019</v>
      </c>
      <c r="B3258" t="s">
        <v>26</v>
      </c>
      <c r="C3258" s="2" t="s">
        <v>3025</v>
      </c>
      <c r="D3258" s="1">
        <v>43647</v>
      </c>
      <c r="E3258">
        <f>MONTH(D3258)</f>
        <v>7</v>
      </c>
      <c r="F3258" s="2" t="s">
        <v>2098</v>
      </c>
      <c r="G3258" t="s">
        <v>332</v>
      </c>
      <c r="H3258" t="s">
        <v>330</v>
      </c>
      <c r="I3258" t="s">
        <v>22</v>
      </c>
      <c r="J3258" s="2" t="s">
        <v>42</v>
      </c>
      <c r="K3258" s="2" t="s">
        <v>3019</v>
      </c>
      <c r="L3258" t="s">
        <v>25</v>
      </c>
      <c r="M3258" s="8">
        <v>1.2170000000000001</v>
      </c>
      <c r="N3258" t="s">
        <v>26</v>
      </c>
      <c r="O3258" s="8">
        <v>1.2170000000000001</v>
      </c>
      <c r="P3258" s="8">
        <f>EXP(-1.363+3.366*LOG(O3258,10))</f>
        <v>0.34098666307598596</v>
      </c>
      <c r="Q3258" s="8">
        <f>(1955155*100)/2180255</f>
        <v>89.67551960665152</v>
      </c>
    </row>
    <row r="3259" spans="1:17" x14ac:dyDescent="0.2">
      <c r="A3259">
        <f>YEAR(D3259)</f>
        <v>2019</v>
      </c>
      <c r="B3259" t="s">
        <v>26</v>
      </c>
      <c r="C3259" s="2" t="s">
        <v>3025</v>
      </c>
      <c r="D3259" s="1">
        <v>43647</v>
      </c>
      <c r="E3259">
        <f>MONTH(D3259)</f>
        <v>7</v>
      </c>
      <c r="F3259" s="2" t="s">
        <v>2098</v>
      </c>
      <c r="G3259" t="s">
        <v>352</v>
      </c>
      <c r="H3259" t="s">
        <v>1344</v>
      </c>
      <c r="I3259" t="s">
        <v>22</v>
      </c>
      <c r="J3259" s="2" t="s">
        <v>42</v>
      </c>
      <c r="K3259" s="2" t="s">
        <v>3019</v>
      </c>
      <c r="L3259" t="s">
        <v>25</v>
      </c>
      <c r="M3259" s="8">
        <v>0.91800000000000004</v>
      </c>
      <c r="N3259" t="s">
        <v>26</v>
      </c>
      <c r="O3259" s="8">
        <v>0.91800000000000004</v>
      </c>
      <c r="P3259" s="8">
        <f>EXP(-1.363+3.366*LOG(O3259,10))</f>
        <v>0.22580769814771504</v>
      </c>
      <c r="Q3259" s="8">
        <f>(1955155*100)/2180255</f>
        <v>89.67551960665152</v>
      </c>
    </row>
    <row r="3260" spans="1:17" x14ac:dyDescent="0.2">
      <c r="A3260">
        <f>YEAR(D3260)</f>
        <v>2019</v>
      </c>
      <c r="B3260" t="s">
        <v>26</v>
      </c>
      <c r="C3260" s="2" t="s">
        <v>3025</v>
      </c>
      <c r="D3260" s="1">
        <v>43647</v>
      </c>
      <c r="E3260">
        <f>MONTH(D3260)</f>
        <v>7</v>
      </c>
      <c r="F3260" s="2" t="s">
        <v>2098</v>
      </c>
      <c r="G3260" t="s">
        <v>332</v>
      </c>
      <c r="H3260" t="s">
        <v>330</v>
      </c>
      <c r="I3260" t="s">
        <v>22</v>
      </c>
      <c r="J3260" s="2" t="s">
        <v>42</v>
      </c>
      <c r="K3260" s="2" t="s">
        <v>3019</v>
      </c>
      <c r="L3260" t="s">
        <v>25</v>
      </c>
      <c r="M3260" s="8">
        <v>1.2170000000000001</v>
      </c>
      <c r="N3260" t="s">
        <v>26</v>
      </c>
      <c r="O3260" s="8">
        <v>1.2170000000000001</v>
      </c>
      <c r="P3260" s="8">
        <f>EXP(-1.363+3.366*LOG(O3260,10))</f>
        <v>0.34098666307598596</v>
      </c>
      <c r="Q3260" s="8">
        <f>(1955155*100)/2180255</f>
        <v>89.67551960665152</v>
      </c>
    </row>
    <row r="3261" spans="1:17" x14ac:dyDescent="0.2">
      <c r="A3261">
        <f>YEAR(D3261)</f>
        <v>2019</v>
      </c>
      <c r="B3261" t="s">
        <v>26</v>
      </c>
      <c r="C3261" s="2" t="s">
        <v>3025</v>
      </c>
      <c r="D3261" s="1">
        <v>43647</v>
      </c>
      <c r="E3261">
        <f>MONTH(D3261)</f>
        <v>7</v>
      </c>
      <c r="F3261" s="2" t="s">
        <v>2098</v>
      </c>
      <c r="G3261" t="s">
        <v>352</v>
      </c>
      <c r="H3261" t="s">
        <v>610</v>
      </c>
      <c r="I3261" t="s">
        <v>22</v>
      </c>
      <c r="J3261" s="2" t="s">
        <v>42</v>
      </c>
      <c r="K3261" s="2" t="s">
        <v>3019</v>
      </c>
      <c r="L3261" t="s">
        <v>25</v>
      </c>
      <c r="M3261" s="8">
        <v>0.86499999999999999</v>
      </c>
      <c r="N3261" t="s">
        <v>26</v>
      </c>
      <c r="O3261" s="8">
        <v>0.86499999999999999</v>
      </c>
      <c r="P3261" s="8">
        <f>EXP(-1.363+3.366*LOG(O3261,10))</f>
        <v>0.20700676972346591</v>
      </c>
      <c r="Q3261" s="8">
        <f>(1955155*100)/2180255</f>
        <v>89.67551960665152</v>
      </c>
    </row>
    <row r="3262" spans="1:17" x14ac:dyDescent="0.2">
      <c r="A3262">
        <f>YEAR(D3262)</f>
        <v>2019</v>
      </c>
      <c r="B3262" t="s">
        <v>26</v>
      </c>
      <c r="C3262" s="2" t="s">
        <v>3025</v>
      </c>
      <c r="D3262" s="1">
        <v>43647</v>
      </c>
      <c r="E3262">
        <f>MONTH(D3262)</f>
        <v>7</v>
      </c>
      <c r="F3262" s="2" t="s">
        <v>2098</v>
      </c>
      <c r="G3262" t="s">
        <v>352</v>
      </c>
      <c r="H3262" t="s">
        <v>610</v>
      </c>
      <c r="I3262" t="s">
        <v>22</v>
      </c>
      <c r="J3262" s="2" t="s">
        <v>42</v>
      </c>
      <c r="K3262" s="2" t="s">
        <v>3019</v>
      </c>
      <c r="L3262" t="s">
        <v>25</v>
      </c>
      <c r="M3262" s="8">
        <v>0.86499999999999999</v>
      </c>
      <c r="N3262" t="s">
        <v>26</v>
      </c>
      <c r="O3262" s="8">
        <v>0.86499999999999999</v>
      </c>
      <c r="P3262" s="8">
        <f>EXP(-1.363+3.366*LOG(O3262,10))</f>
        <v>0.20700676972346591</v>
      </c>
      <c r="Q3262" s="8">
        <f>(1955155*100)/2180255</f>
        <v>89.67551960665152</v>
      </c>
    </row>
    <row r="3263" spans="1:17" x14ac:dyDescent="0.2">
      <c r="A3263">
        <f>YEAR(D3263)</f>
        <v>2019</v>
      </c>
      <c r="B3263" t="s">
        <v>26</v>
      </c>
      <c r="C3263" s="2" t="s">
        <v>3025</v>
      </c>
      <c r="D3263" s="1">
        <v>43647</v>
      </c>
      <c r="E3263">
        <f>MONTH(D3263)</f>
        <v>7</v>
      </c>
      <c r="F3263" s="2" t="s">
        <v>2098</v>
      </c>
      <c r="G3263" t="s">
        <v>352</v>
      </c>
      <c r="H3263" t="s">
        <v>610</v>
      </c>
      <c r="I3263" t="s">
        <v>22</v>
      </c>
      <c r="J3263" s="2" t="s">
        <v>42</v>
      </c>
      <c r="K3263" s="2" t="s">
        <v>3019</v>
      </c>
      <c r="L3263" t="s">
        <v>25</v>
      </c>
      <c r="M3263" s="8">
        <v>0.86499999999999999</v>
      </c>
      <c r="N3263" t="s">
        <v>26</v>
      </c>
      <c r="O3263" s="8">
        <v>0.86499999999999999</v>
      </c>
      <c r="P3263" s="8">
        <f>EXP(-1.363+3.366*LOG(O3263,10))</f>
        <v>0.20700676972346591</v>
      </c>
      <c r="Q3263" s="8">
        <f>(1955155*100)/2180255</f>
        <v>89.67551960665152</v>
      </c>
    </row>
    <row r="3264" spans="1:17" x14ac:dyDescent="0.2">
      <c r="A3264">
        <f>YEAR(D3264)</f>
        <v>2019</v>
      </c>
      <c r="B3264" t="s">
        <v>26</v>
      </c>
      <c r="C3264" s="2" t="s">
        <v>3025</v>
      </c>
      <c r="D3264" s="1">
        <v>43647</v>
      </c>
      <c r="E3264">
        <f>MONTH(D3264)</f>
        <v>7</v>
      </c>
      <c r="F3264" s="2" t="s">
        <v>2098</v>
      </c>
      <c r="G3264" t="s">
        <v>352</v>
      </c>
      <c r="H3264" t="s">
        <v>610</v>
      </c>
      <c r="I3264" t="s">
        <v>22</v>
      </c>
      <c r="J3264" s="2" t="s">
        <v>42</v>
      </c>
      <c r="K3264" s="2" t="s">
        <v>3019</v>
      </c>
      <c r="L3264" t="s">
        <v>25</v>
      </c>
      <c r="M3264" s="8">
        <v>0.86499999999999999</v>
      </c>
      <c r="N3264" t="s">
        <v>26</v>
      </c>
      <c r="O3264" s="8">
        <v>0.86499999999999999</v>
      </c>
      <c r="P3264" s="8">
        <f>EXP(-1.363+3.366*LOG(O3264,10))</f>
        <v>0.20700676972346591</v>
      </c>
      <c r="Q3264" s="8">
        <f>(1955155*100)/2180255</f>
        <v>89.67551960665152</v>
      </c>
    </row>
    <row r="3265" spans="1:17" x14ac:dyDescent="0.2">
      <c r="A3265">
        <f>YEAR(D3265)</f>
        <v>2019</v>
      </c>
      <c r="B3265" t="s">
        <v>26</v>
      </c>
      <c r="C3265" s="2" t="s">
        <v>3025</v>
      </c>
      <c r="D3265" s="1">
        <v>43647</v>
      </c>
      <c r="E3265">
        <f>MONTH(D3265)</f>
        <v>7</v>
      </c>
      <c r="F3265" s="2" t="s">
        <v>2098</v>
      </c>
      <c r="G3265" t="s">
        <v>352</v>
      </c>
      <c r="H3265" t="s">
        <v>610</v>
      </c>
      <c r="I3265" t="s">
        <v>22</v>
      </c>
      <c r="J3265" s="2" t="s">
        <v>42</v>
      </c>
      <c r="K3265" s="2" t="s">
        <v>3019</v>
      </c>
      <c r="L3265" t="s">
        <v>25</v>
      </c>
      <c r="M3265" s="8">
        <v>0.86499999999999999</v>
      </c>
      <c r="N3265" t="s">
        <v>26</v>
      </c>
      <c r="O3265" s="8">
        <v>0.86499999999999999</v>
      </c>
      <c r="P3265" s="8">
        <f>EXP(-1.363+3.366*LOG(O3265,10))</f>
        <v>0.20700676972346591</v>
      </c>
      <c r="Q3265" s="8">
        <f>(1955155*100)/2180255</f>
        <v>89.67551960665152</v>
      </c>
    </row>
    <row r="3266" spans="1:17" x14ac:dyDescent="0.2">
      <c r="A3266">
        <f>YEAR(D3266)</f>
        <v>2019</v>
      </c>
      <c r="B3266" t="s">
        <v>26</v>
      </c>
      <c r="C3266" s="2" t="s">
        <v>3025</v>
      </c>
      <c r="D3266" s="1">
        <v>43647</v>
      </c>
      <c r="E3266">
        <f>MONTH(D3266)</f>
        <v>7</v>
      </c>
      <c r="F3266" s="2" t="s">
        <v>2098</v>
      </c>
      <c r="G3266" t="s">
        <v>352</v>
      </c>
      <c r="H3266" t="s">
        <v>610</v>
      </c>
      <c r="I3266" t="s">
        <v>22</v>
      </c>
      <c r="J3266" s="2" t="s">
        <v>42</v>
      </c>
      <c r="K3266" s="2" t="s">
        <v>3019</v>
      </c>
      <c r="L3266" t="s">
        <v>25</v>
      </c>
      <c r="M3266" s="8">
        <v>0.86499999999999999</v>
      </c>
      <c r="N3266" t="s">
        <v>26</v>
      </c>
      <c r="O3266" s="8">
        <v>0.86499999999999999</v>
      </c>
      <c r="P3266" s="8">
        <f>EXP(-1.363+3.366*LOG(O3266,10))</f>
        <v>0.20700676972346591</v>
      </c>
      <c r="Q3266" s="8">
        <f>(1955155*100)/2180255</f>
        <v>89.67551960665152</v>
      </c>
    </row>
    <row r="3267" spans="1:17" x14ac:dyDescent="0.2">
      <c r="A3267">
        <f>YEAR(D3267)</f>
        <v>2019</v>
      </c>
      <c r="B3267" t="s">
        <v>26</v>
      </c>
      <c r="C3267" s="2" t="s">
        <v>3025</v>
      </c>
      <c r="D3267" s="1">
        <v>43647</v>
      </c>
      <c r="E3267">
        <f>MONTH(D3267)</f>
        <v>7</v>
      </c>
      <c r="F3267" s="2" t="s">
        <v>2098</v>
      </c>
      <c r="G3267" t="s">
        <v>352</v>
      </c>
      <c r="H3267" t="s">
        <v>610</v>
      </c>
      <c r="I3267" t="s">
        <v>22</v>
      </c>
      <c r="J3267" s="2" t="s">
        <v>42</v>
      </c>
      <c r="K3267" s="2" t="s">
        <v>3019</v>
      </c>
      <c r="L3267" t="s">
        <v>25</v>
      </c>
      <c r="M3267" s="8">
        <v>0.86499999999999999</v>
      </c>
      <c r="N3267" t="s">
        <v>26</v>
      </c>
      <c r="O3267" s="8">
        <v>0.86499999999999999</v>
      </c>
      <c r="P3267" s="8">
        <f>EXP(-1.363+3.366*LOG(O3267,10))</f>
        <v>0.20700676972346591</v>
      </c>
      <c r="Q3267" s="8">
        <f>(1955155*100)/2180255</f>
        <v>89.67551960665152</v>
      </c>
    </row>
    <row r="3268" spans="1:17" x14ac:dyDescent="0.2">
      <c r="A3268">
        <f>YEAR(D3268)</f>
        <v>2019</v>
      </c>
      <c r="B3268" t="s">
        <v>26</v>
      </c>
      <c r="C3268" s="2" t="s">
        <v>3026</v>
      </c>
      <c r="D3268" s="1">
        <v>43647</v>
      </c>
      <c r="E3268">
        <f>MONTH(D3268)</f>
        <v>7</v>
      </c>
      <c r="F3268" s="2" t="s">
        <v>2098</v>
      </c>
      <c r="G3268" t="s">
        <v>219</v>
      </c>
      <c r="H3268" t="s">
        <v>220</v>
      </c>
      <c r="I3268" t="s">
        <v>22</v>
      </c>
      <c r="J3268" s="2" t="s">
        <v>42</v>
      </c>
      <c r="K3268" s="2" t="s">
        <v>3019</v>
      </c>
      <c r="L3268" t="s">
        <v>25</v>
      </c>
      <c r="M3268" s="10" t="s">
        <v>26</v>
      </c>
      <c r="N3268" t="s">
        <v>26</v>
      </c>
      <c r="O3268" s="10" t="s">
        <v>26</v>
      </c>
      <c r="P3268" s="8" t="s">
        <v>26</v>
      </c>
      <c r="Q3268" s="8">
        <f>(2317420*100)/2442061</f>
        <v>94.896073439606951</v>
      </c>
    </row>
    <row r="3269" spans="1:17" x14ac:dyDescent="0.2">
      <c r="A3269">
        <f>YEAR(D3269)</f>
        <v>2019</v>
      </c>
      <c r="B3269" t="s">
        <v>26</v>
      </c>
      <c r="C3269" s="2" t="s">
        <v>3026</v>
      </c>
      <c r="D3269" s="1">
        <v>43647</v>
      </c>
      <c r="E3269">
        <f>MONTH(D3269)</f>
        <v>7</v>
      </c>
      <c r="F3269" s="2" t="s">
        <v>2098</v>
      </c>
      <c r="G3269" t="s">
        <v>219</v>
      </c>
      <c r="H3269" t="s">
        <v>220</v>
      </c>
      <c r="I3269" t="s">
        <v>22</v>
      </c>
      <c r="J3269" s="2" t="s">
        <v>42</v>
      </c>
      <c r="K3269" s="2" t="s">
        <v>3019</v>
      </c>
      <c r="L3269" t="s">
        <v>25</v>
      </c>
      <c r="M3269" s="10" t="s">
        <v>26</v>
      </c>
      <c r="N3269" t="s">
        <v>26</v>
      </c>
      <c r="O3269" s="10" t="s">
        <v>26</v>
      </c>
      <c r="P3269" s="8" t="s">
        <v>26</v>
      </c>
      <c r="Q3269" s="8">
        <f>(2317420*100)/2442061</f>
        <v>94.896073439606951</v>
      </c>
    </row>
    <row r="3270" spans="1:17" x14ac:dyDescent="0.2">
      <c r="A3270">
        <f>YEAR(D3270)</f>
        <v>2019</v>
      </c>
      <c r="B3270" t="s">
        <v>26</v>
      </c>
      <c r="C3270" s="2" t="s">
        <v>3026</v>
      </c>
      <c r="D3270" s="1">
        <v>43647</v>
      </c>
      <c r="E3270">
        <f>MONTH(D3270)</f>
        <v>7</v>
      </c>
      <c r="F3270" s="2" t="s">
        <v>2098</v>
      </c>
      <c r="G3270" t="s">
        <v>230</v>
      </c>
      <c r="H3270" t="s">
        <v>268</v>
      </c>
      <c r="I3270" t="s">
        <v>22</v>
      </c>
      <c r="J3270" s="2" t="s">
        <v>42</v>
      </c>
      <c r="K3270" s="2" t="s">
        <v>3019</v>
      </c>
      <c r="L3270" t="s">
        <v>25</v>
      </c>
      <c r="M3270" s="8">
        <v>3.5356666670000001</v>
      </c>
      <c r="N3270" t="s">
        <v>26</v>
      </c>
      <c r="O3270" s="8">
        <v>3.5356666670000001</v>
      </c>
      <c r="P3270" s="8">
        <f>EXP(-1.363+3.366*LOG(O3270,10))</f>
        <v>1.6211802664427075</v>
      </c>
      <c r="Q3270" s="8">
        <f>(2317420*100)/2442061</f>
        <v>94.896073439606951</v>
      </c>
    </row>
    <row r="3271" spans="1:17" x14ac:dyDescent="0.2">
      <c r="A3271">
        <f>YEAR(D3271)</f>
        <v>2019</v>
      </c>
      <c r="B3271" t="s">
        <v>26</v>
      </c>
      <c r="C3271" s="2" t="s">
        <v>3026</v>
      </c>
      <c r="D3271" s="1">
        <v>43647</v>
      </c>
      <c r="E3271">
        <f>MONTH(D3271)</f>
        <v>7</v>
      </c>
      <c r="F3271" s="2" t="s">
        <v>2098</v>
      </c>
      <c r="G3271" t="s">
        <v>230</v>
      </c>
      <c r="H3271" t="s">
        <v>268</v>
      </c>
      <c r="I3271" t="s">
        <v>22</v>
      </c>
      <c r="J3271" s="2" t="s">
        <v>42</v>
      </c>
      <c r="K3271" s="2" t="s">
        <v>3019</v>
      </c>
      <c r="L3271" t="s">
        <v>25</v>
      </c>
      <c r="M3271" s="8">
        <v>3.5356666670000001</v>
      </c>
      <c r="N3271" t="s">
        <v>26</v>
      </c>
      <c r="O3271" s="8">
        <v>3.5356666670000001</v>
      </c>
      <c r="P3271" s="8">
        <f>EXP(-1.363+3.366*LOG(O3271,10))</f>
        <v>1.6211802664427075</v>
      </c>
      <c r="Q3271" s="8">
        <f>(2317420*100)/2442061</f>
        <v>94.896073439606951</v>
      </c>
    </row>
    <row r="3272" spans="1:17" x14ac:dyDescent="0.2">
      <c r="A3272">
        <f>YEAR(D3272)</f>
        <v>2019</v>
      </c>
      <c r="B3272" t="s">
        <v>26</v>
      </c>
      <c r="C3272" s="2" t="s">
        <v>3026</v>
      </c>
      <c r="D3272" s="1">
        <v>43647</v>
      </c>
      <c r="E3272">
        <f>MONTH(D3272)</f>
        <v>7</v>
      </c>
      <c r="F3272" s="2" t="s">
        <v>2098</v>
      </c>
      <c r="G3272" t="s">
        <v>219</v>
      </c>
      <c r="H3272" t="s">
        <v>220</v>
      </c>
      <c r="I3272" t="s">
        <v>22</v>
      </c>
      <c r="J3272" s="2" t="s">
        <v>42</v>
      </c>
      <c r="K3272" s="2" t="s">
        <v>3019</v>
      </c>
      <c r="L3272" t="s">
        <v>25</v>
      </c>
      <c r="M3272" s="10" t="s">
        <v>26</v>
      </c>
      <c r="N3272" t="s">
        <v>26</v>
      </c>
      <c r="O3272" s="10" t="s">
        <v>26</v>
      </c>
      <c r="P3272" s="8" t="s">
        <v>26</v>
      </c>
      <c r="Q3272" s="8">
        <f>(2317420*100)/2442061</f>
        <v>94.896073439606951</v>
      </c>
    </row>
    <row r="3273" spans="1:17" x14ac:dyDescent="0.2">
      <c r="A3273">
        <f>YEAR(D3273)</f>
        <v>2019</v>
      </c>
      <c r="B3273" t="s">
        <v>26</v>
      </c>
      <c r="C3273" s="2" t="s">
        <v>3026</v>
      </c>
      <c r="D3273" s="1">
        <v>43647</v>
      </c>
      <c r="E3273">
        <f>MONTH(D3273)</f>
        <v>7</v>
      </c>
      <c r="F3273" s="2" t="s">
        <v>2098</v>
      </c>
      <c r="G3273" t="s">
        <v>219</v>
      </c>
      <c r="H3273" t="s">
        <v>220</v>
      </c>
      <c r="I3273" t="s">
        <v>22</v>
      </c>
      <c r="J3273" s="2" t="s">
        <v>42</v>
      </c>
      <c r="K3273" s="2" t="s">
        <v>3019</v>
      </c>
      <c r="L3273" t="s">
        <v>25</v>
      </c>
      <c r="M3273" s="10" t="s">
        <v>26</v>
      </c>
      <c r="N3273" t="s">
        <v>26</v>
      </c>
      <c r="O3273" s="10" t="s">
        <v>26</v>
      </c>
      <c r="P3273" s="8" t="s">
        <v>26</v>
      </c>
      <c r="Q3273" s="8">
        <f>(2317420*100)/2442061</f>
        <v>94.896073439606951</v>
      </c>
    </row>
    <row r="3274" spans="1:17" x14ac:dyDescent="0.2">
      <c r="A3274">
        <f>YEAR(D3274)</f>
        <v>2019</v>
      </c>
      <c r="B3274" t="s">
        <v>26</v>
      </c>
      <c r="C3274" s="2" t="s">
        <v>3026</v>
      </c>
      <c r="D3274" s="1">
        <v>43647</v>
      </c>
      <c r="E3274">
        <f>MONTH(D3274)</f>
        <v>7</v>
      </c>
      <c r="F3274" s="2" t="s">
        <v>2098</v>
      </c>
      <c r="G3274" t="s">
        <v>219</v>
      </c>
      <c r="H3274" t="s">
        <v>220</v>
      </c>
      <c r="I3274" t="s">
        <v>22</v>
      </c>
      <c r="J3274" s="2" t="s">
        <v>42</v>
      </c>
      <c r="K3274" s="2" t="s">
        <v>3019</v>
      </c>
      <c r="L3274" t="s">
        <v>25</v>
      </c>
      <c r="M3274" s="10" t="s">
        <v>26</v>
      </c>
      <c r="N3274" t="s">
        <v>26</v>
      </c>
      <c r="O3274" s="10" t="s">
        <v>26</v>
      </c>
      <c r="P3274" s="8" t="s">
        <v>26</v>
      </c>
      <c r="Q3274" s="8">
        <f>(2317420*100)/2442061</f>
        <v>94.896073439606951</v>
      </c>
    </row>
    <row r="3275" spans="1:17" x14ac:dyDescent="0.2">
      <c r="A3275">
        <f>YEAR(D3275)</f>
        <v>2019</v>
      </c>
      <c r="B3275" t="s">
        <v>26</v>
      </c>
      <c r="C3275" s="2" t="s">
        <v>3026</v>
      </c>
      <c r="D3275" s="1">
        <v>43647</v>
      </c>
      <c r="E3275">
        <f>MONTH(D3275)</f>
        <v>7</v>
      </c>
      <c r="F3275" s="2" t="s">
        <v>2098</v>
      </c>
      <c r="G3275" t="s">
        <v>219</v>
      </c>
      <c r="H3275" t="s">
        <v>220</v>
      </c>
      <c r="I3275" t="s">
        <v>22</v>
      </c>
      <c r="J3275" s="2" t="s">
        <v>42</v>
      </c>
      <c r="K3275" s="2" t="s">
        <v>3019</v>
      </c>
      <c r="L3275" t="s">
        <v>25</v>
      </c>
      <c r="M3275" s="10" t="s">
        <v>26</v>
      </c>
      <c r="N3275" t="s">
        <v>26</v>
      </c>
      <c r="O3275" s="10" t="s">
        <v>26</v>
      </c>
      <c r="P3275" s="8" t="s">
        <v>26</v>
      </c>
      <c r="Q3275" s="8">
        <f>(2317420*100)/2442061</f>
        <v>94.896073439606951</v>
      </c>
    </row>
    <row r="3276" spans="1:17" x14ac:dyDescent="0.2">
      <c r="A3276">
        <f>YEAR(D3276)</f>
        <v>2019</v>
      </c>
      <c r="B3276" t="s">
        <v>26</v>
      </c>
      <c r="C3276" s="2" t="s">
        <v>3026</v>
      </c>
      <c r="D3276" s="1">
        <v>43647</v>
      </c>
      <c r="E3276">
        <f>MONTH(D3276)</f>
        <v>7</v>
      </c>
      <c r="F3276" s="2" t="s">
        <v>2098</v>
      </c>
      <c r="G3276" t="s">
        <v>219</v>
      </c>
      <c r="H3276" t="s">
        <v>220</v>
      </c>
      <c r="I3276" t="s">
        <v>22</v>
      </c>
      <c r="J3276" s="2" t="s">
        <v>42</v>
      </c>
      <c r="K3276" s="2" t="s">
        <v>3019</v>
      </c>
      <c r="L3276" t="s">
        <v>25</v>
      </c>
      <c r="M3276" s="10" t="s">
        <v>26</v>
      </c>
      <c r="N3276" t="s">
        <v>26</v>
      </c>
      <c r="O3276" s="10" t="s">
        <v>26</v>
      </c>
      <c r="P3276" s="8" t="s">
        <v>26</v>
      </c>
      <c r="Q3276" s="8">
        <f>(2317420*100)/2442061</f>
        <v>94.896073439606951</v>
      </c>
    </row>
    <row r="3277" spans="1:17" x14ac:dyDescent="0.2">
      <c r="A3277">
        <f>YEAR(D3277)</f>
        <v>2019</v>
      </c>
      <c r="B3277" t="s">
        <v>26</v>
      </c>
      <c r="C3277" s="2" t="s">
        <v>3026</v>
      </c>
      <c r="D3277" s="1">
        <v>43647</v>
      </c>
      <c r="E3277">
        <f>MONTH(D3277)</f>
        <v>7</v>
      </c>
      <c r="F3277" s="2" t="s">
        <v>2098</v>
      </c>
      <c r="G3277" t="s">
        <v>219</v>
      </c>
      <c r="H3277" t="s">
        <v>220</v>
      </c>
      <c r="I3277" t="s">
        <v>22</v>
      </c>
      <c r="J3277" s="2" t="s">
        <v>42</v>
      </c>
      <c r="K3277" s="2" t="s">
        <v>3019</v>
      </c>
      <c r="L3277" t="s">
        <v>25</v>
      </c>
      <c r="M3277" s="10" t="s">
        <v>26</v>
      </c>
      <c r="N3277" t="s">
        <v>26</v>
      </c>
      <c r="O3277" s="10" t="s">
        <v>26</v>
      </c>
      <c r="P3277" s="8" t="s">
        <v>26</v>
      </c>
      <c r="Q3277" s="8">
        <f>(2317420*100)/2442061</f>
        <v>94.896073439606951</v>
      </c>
    </row>
    <row r="3278" spans="1:17" x14ac:dyDescent="0.2">
      <c r="A3278">
        <f>YEAR(D3278)</f>
        <v>2019</v>
      </c>
      <c r="B3278" t="s">
        <v>26</v>
      </c>
      <c r="C3278" s="2" t="s">
        <v>3026</v>
      </c>
      <c r="D3278" s="1">
        <v>43647</v>
      </c>
      <c r="E3278">
        <f>MONTH(D3278)</f>
        <v>7</v>
      </c>
      <c r="F3278" s="2" t="s">
        <v>2098</v>
      </c>
      <c r="G3278" t="s">
        <v>219</v>
      </c>
      <c r="H3278" t="s">
        <v>220</v>
      </c>
      <c r="I3278" t="s">
        <v>22</v>
      </c>
      <c r="J3278" s="2" t="s">
        <v>42</v>
      </c>
      <c r="K3278" s="2" t="s">
        <v>3019</v>
      </c>
      <c r="L3278" t="s">
        <v>25</v>
      </c>
      <c r="M3278" s="10" t="s">
        <v>26</v>
      </c>
      <c r="N3278" t="s">
        <v>26</v>
      </c>
      <c r="O3278" s="10" t="s">
        <v>26</v>
      </c>
      <c r="P3278" s="8" t="s">
        <v>26</v>
      </c>
      <c r="Q3278" s="8">
        <f>(2317420*100)/2442061</f>
        <v>94.896073439606951</v>
      </c>
    </row>
    <row r="3279" spans="1:17" x14ac:dyDescent="0.2">
      <c r="A3279">
        <f>YEAR(D3279)</f>
        <v>2019</v>
      </c>
      <c r="B3279" t="s">
        <v>26</v>
      </c>
      <c r="C3279" s="2" t="s">
        <v>3026</v>
      </c>
      <c r="D3279" s="1">
        <v>43647</v>
      </c>
      <c r="E3279">
        <f>MONTH(D3279)</f>
        <v>7</v>
      </c>
      <c r="F3279" s="2" t="s">
        <v>2098</v>
      </c>
      <c r="G3279" t="s">
        <v>219</v>
      </c>
      <c r="H3279" t="s">
        <v>220</v>
      </c>
      <c r="I3279" t="s">
        <v>22</v>
      </c>
      <c r="J3279" s="2" t="s">
        <v>42</v>
      </c>
      <c r="K3279" s="2" t="s">
        <v>3019</v>
      </c>
      <c r="L3279" t="s">
        <v>25</v>
      </c>
      <c r="M3279" s="10" t="s">
        <v>26</v>
      </c>
      <c r="N3279" t="s">
        <v>26</v>
      </c>
      <c r="O3279" s="10" t="s">
        <v>26</v>
      </c>
      <c r="P3279" s="8" t="s">
        <v>26</v>
      </c>
      <c r="Q3279" s="8">
        <f>(2317420*100)/2442061</f>
        <v>94.896073439606951</v>
      </c>
    </row>
    <row r="3280" spans="1:17" x14ac:dyDescent="0.2">
      <c r="A3280">
        <f>YEAR(D3280)</f>
        <v>2019</v>
      </c>
      <c r="B3280" t="s">
        <v>26</v>
      </c>
      <c r="C3280" s="2" t="s">
        <v>3026</v>
      </c>
      <c r="D3280" s="1">
        <v>43647</v>
      </c>
      <c r="E3280">
        <f>MONTH(D3280)</f>
        <v>7</v>
      </c>
      <c r="F3280" s="2" t="s">
        <v>2098</v>
      </c>
      <c r="G3280" t="s">
        <v>219</v>
      </c>
      <c r="H3280" t="s">
        <v>220</v>
      </c>
      <c r="I3280" t="s">
        <v>22</v>
      </c>
      <c r="J3280" s="2" t="s">
        <v>42</v>
      </c>
      <c r="K3280" s="2" t="s">
        <v>3019</v>
      </c>
      <c r="L3280" t="s">
        <v>25</v>
      </c>
      <c r="M3280" s="10" t="s">
        <v>26</v>
      </c>
      <c r="N3280" t="s">
        <v>26</v>
      </c>
      <c r="O3280" s="10" t="s">
        <v>26</v>
      </c>
      <c r="P3280" s="8" t="s">
        <v>26</v>
      </c>
      <c r="Q3280" s="8">
        <f>(2317420*100)/2442061</f>
        <v>94.896073439606951</v>
      </c>
    </row>
    <row r="3281" spans="1:17" x14ac:dyDescent="0.2">
      <c r="A3281">
        <f>YEAR(D3281)</f>
        <v>2019</v>
      </c>
      <c r="B3281" t="s">
        <v>26</v>
      </c>
      <c r="C3281" s="2" t="s">
        <v>3026</v>
      </c>
      <c r="D3281" s="1">
        <v>43647</v>
      </c>
      <c r="E3281">
        <f>MONTH(D3281)</f>
        <v>7</v>
      </c>
      <c r="F3281" s="2" t="s">
        <v>2098</v>
      </c>
      <c r="G3281" t="s">
        <v>219</v>
      </c>
      <c r="H3281" t="s">
        <v>220</v>
      </c>
      <c r="I3281" t="s">
        <v>22</v>
      </c>
      <c r="J3281" s="2" t="s">
        <v>42</v>
      </c>
      <c r="K3281" s="2" t="s">
        <v>3019</v>
      </c>
      <c r="L3281" t="s">
        <v>25</v>
      </c>
      <c r="M3281" s="10" t="s">
        <v>26</v>
      </c>
      <c r="N3281" t="s">
        <v>26</v>
      </c>
      <c r="O3281" s="10" t="s">
        <v>26</v>
      </c>
      <c r="P3281" s="8" t="s">
        <v>26</v>
      </c>
      <c r="Q3281" s="8">
        <f>(2317420*100)/2442061</f>
        <v>94.896073439606951</v>
      </c>
    </row>
    <row r="3282" spans="1:17" x14ac:dyDescent="0.2">
      <c r="A3282">
        <f>YEAR(D3282)</f>
        <v>2019</v>
      </c>
      <c r="B3282" t="s">
        <v>26</v>
      </c>
      <c r="C3282" s="2" t="s">
        <v>3026</v>
      </c>
      <c r="D3282" s="1">
        <v>43647</v>
      </c>
      <c r="E3282">
        <f>MONTH(D3282)</f>
        <v>7</v>
      </c>
      <c r="F3282" s="2" t="s">
        <v>2098</v>
      </c>
      <c r="G3282" t="s">
        <v>219</v>
      </c>
      <c r="H3282" t="s">
        <v>220</v>
      </c>
      <c r="I3282" t="s">
        <v>22</v>
      </c>
      <c r="J3282" s="2" t="s">
        <v>42</v>
      </c>
      <c r="K3282" s="2" t="s">
        <v>3019</v>
      </c>
      <c r="L3282" t="s">
        <v>25</v>
      </c>
      <c r="M3282" s="10" t="s">
        <v>26</v>
      </c>
      <c r="N3282" t="s">
        <v>26</v>
      </c>
      <c r="O3282" s="10" t="s">
        <v>26</v>
      </c>
      <c r="P3282" s="8" t="s">
        <v>26</v>
      </c>
      <c r="Q3282" s="8">
        <f>(2317420*100)/2442061</f>
        <v>94.896073439606951</v>
      </c>
    </row>
    <row r="3283" spans="1:17" x14ac:dyDescent="0.2">
      <c r="A3283">
        <f>YEAR(D3283)</f>
        <v>2019</v>
      </c>
      <c r="B3283" t="s">
        <v>26</v>
      </c>
      <c r="C3283" s="2" t="s">
        <v>3026</v>
      </c>
      <c r="D3283" s="1">
        <v>43647</v>
      </c>
      <c r="E3283">
        <f>MONTH(D3283)</f>
        <v>7</v>
      </c>
      <c r="F3283" s="2" t="s">
        <v>2098</v>
      </c>
      <c r="G3283" t="s">
        <v>219</v>
      </c>
      <c r="H3283" t="s">
        <v>220</v>
      </c>
      <c r="I3283" t="s">
        <v>22</v>
      </c>
      <c r="J3283" s="2" t="s">
        <v>42</v>
      </c>
      <c r="K3283" s="2" t="s">
        <v>3019</v>
      </c>
      <c r="L3283" t="s">
        <v>25</v>
      </c>
      <c r="M3283" s="10" t="s">
        <v>26</v>
      </c>
      <c r="N3283" t="s">
        <v>26</v>
      </c>
      <c r="O3283" s="10" t="s">
        <v>26</v>
      </c>
      <c r="P3283" s="8" t="s">
        <v>26</v>
      </c>
      <c r="Q3283" s="8">
        <f>(2317420*100)/2442061</f>
        <v>94.896073439606951</v>
      </c>
    </row>
    <row r="3284" spans="1:17" x14ac:dyDescent="0.2">
      <c r="A3284">
        <f>YEAR(D3284)</f>
        <v>2019</v>
      </c>
      <c r="B3284" t="s">
        <v>26</v>
      </c>
      <c r="C3284" s="2" t="s">
        <v>3026</v>
      </c>
      <c r="D3284" s="1">
        <v>43647</v>
      </c>
      <c r="E3284">
        <f>MONTH(D3284)</f>
        <v>7</v>
      </c>
      <c r="F3284" s="2" t="s">
        <v>2098</v>
      </c>
      <c r="G3284" t="s">
        <v>219</v>
      </c>
      <c r="H3284" t="s">
        <v>220</v>
      </c>
      <c r="I3284" t="s">
        <v>22</v>
      </c>
      <c r="J3284" s="2" t="s">
        <v>42</v>
      </c>
      <c r="K3284" s="2" t="s">
        <v>3019</v>
      </c>
      <c r="L3284" t="s">
        <v>25</v>
      </c>
      <c r="M3284" s="10" t="s">
        <v>26</v>
      </c>
      <c r="N3284" t="s">
        <v>26</v>
      </c>
      <c r="O3284" s="10" t="s">
        <v>26</v>
      </c>
      <c r="P3284" s="8" t="s">
        <v>26</v>
      </c>
      <c r="Q3284" s="8">
        <f>(2317420*100)/2442061</f>
        <v>94.896073439606951</v>
      </c>
    </row>
    <row r="3285" spans="1:17" x14ac:dyDescent="0.2">
      <c r="A3285">
        <f>YEAR(D3285)</f>
        <v>2019</v>
      </c>
      <c r="B3285" t="s">
        <v>26</v>
      </c>
      <c r="C3285" s="2" t="s">
        <v>3026</v>
      </c>
      <c r="D3285" s="1">
        <v>43647</v>
      </c>
      <c r="E3285">
        <f>MONTH(D3285)</f>
        <v>7</v>
      </c>
      <c r="F3285" s="2" t="s">
        <v>2098</v>
      </c>
      <c r="G3285" t="s">
        <v>219</v>
      </c>
      <c r="H3285" t="s">
        <v>220</v>
      </c>
      <c r="I3285" t="s">
        <v>22</v>
      </c>
      <c r="J3285" s="2" t="s">
        <v>42</v>
      </c>
      <c r="K3285" s="2" t="s">
        <v>3019</v>
      </c>
      <c r="L3285" t="s">
        <v>25</v>
      </c>
      <c r="M3285" s="10" t="s">
        <v>26</v>
      </c>
      <c r="N3285" t="s">
        <v>26</v>
      </c>
      <c r="O3285" s="10" t="s">
        <v>26</v>
      </c>
      <c r="P3285" s="8" t="s">
        <v>26</v>
      </c>
      <c r="Q3285" s="8">
        <f>(2317420*100)/2442061</f>
        <v>94.896073439606951</v>
      </c>
    </row>
    <row r="3286" spans="1:17" x14ac:dyDescent="0.2">
      <c r="A3286">
        <f>YEAR(D3286)</f>
        <v>2019</v>
      </c>
      <c r="B3286" t="s">
        <v>26</v>
      </c>
      <c r="C3286" s="2" t="s">
        <v>3026</v>
      </c>
      <c r="D3286" s="1">
        <v>43647</v>
      </c>
      <c r="E3286">
        <f>MONTH(D3286)</f>
        <v>7</v>
      </c>
      <c r="F3286" s="2" t="s">
        <v>2098</v>
      </c>
      <c r="G3286" t="s">
        <v>20</v>
      </c>
      <c r="H3286" t="s">
        <v>149</v>
      </c>
      <c r="I3286" t="s">
        <v>36</v>
      </c>
      <c r="J3286" s="2" t="s">
        <v>42</v>
      </c>
      <c r="K3286" s="2" t="s">
        <v>3019</v>
      </c>
      <c r="L3286" t="s">
        <v>25</v>
      </c>
      <c r="M3286" s="8">
        <v>1.032666667</v>
      </c>
      <c r="N3286" t="s">
        <v>26</v>
      </c>
      <c r="O3286" s="8">
        <v>1.032666667</v>
      </c>
      <c r="P3286" s="8">
        <f>EXP(-1.363+3.366*LOG(O3286,10))</f>
        <v>0.26820327281159584</v>
      </c>
      <c r="Q3286" s="8">
        <f>(2317420*100)/2442061</f>
        <v>94.896073439606951</v>
      </c>
    </row>
    <row r="3287" spans="1:17" x14ac:dyDescent="0.2">
      <c r="A3287">
        <f>YEAR(D3287)</f>
        <v>2019</v>
      </c>
      <c r="B3287" t="s">
        <v>26</v>
      </c>
      <c r="C3287" s="2" t="s">
        <v>3026</v>
      </c>
      <c r="D3287" s="1">
        <v>43647</v>
      </c>
      <c r="E3287">
        <f>MONTH(D3287)</f>
        <v>7</v>
      </c>
      <c r="F3287" s="2" t="s">
        <v>2098</v>
      </c>
      <c r="G3287" t="s">
        <v>219</v>
      </c>
      <c r="H3287" t="s">
        <v>220</v>
      </c>
      <c r="I3287" t="s">
        <v>22</v>
      </c>
      <c r="J3287" s="2" t="s">
        <v>42</v>
      </c>
      <c r="K3287" s="2" t="s">
        <v>3019</v>
      </c>
      <c r="L3287" t="s">
        <v>25</v>
      </c>
      <c r="M3287" s="10" t="s">
        <v>26</v>
      </c>
      <c r="N3287" t="s">
        <v>26</v>
      </c>
      <c r="O3287" s="10" t="s">
        <v>26</v>
      </c>
      <c r="P3287" s="8" t="s">
        <v>26</v>
      </c>
      <c r="Q3287" s="8">
        <f>(2317420*100)/2442061</f>
        <v>94.896073439606951</v>
      </c>
    </row>
    <row r="3288" spans="1:17" x14ac:dyDescent="0.2">
      <c r="A3288">
        <f>YEAR(D3288)</f>
        <v>2019</v>
      </c>
      <c r="B3288" t="s">
        <v>26</v>
      </c>
      <c r="C3288" s="2" t="s">
        <v>3026</v>
      </c>
      <c r="D3288" s="1">
        <v>43647</v>
      </c>
      <c r="E3288">
        <f>MONTH(D3288)</f>
        <v>7</v>
      </c>
      <c r="F3288" s="2" t="s">
        <v>2098</v>
      </c>
      <c r="G3288" t="s">
        <v>230</v>
      </c>
      <c r="H3288" t="s">
        <v>268</v>
      </c>
      <c r="I3288" t="s">
        <v>22</v>
      </c>
      <c r="J3288" s="2" t="s">
        <v>42</v>
      </c>
      <c r="K3288" s="2" t="s">
        <v>3019</v>
      </c>
      <c r="L3288" t="s">
        <v>25</v>
      </c>
      <c r="M3288" s="8">
        <v>3.5356666670000001</v>
      </c>
      <c r="N3288" t="s">
        <v>26</v>
      </c>
      <c r="O3288" s="8">
        <v>3.5356666670000001</v>
      </c>
      <c r="P3288" s="8">
        <f>EXP(-1.363+3.366*LOG(O3288,10))</f>
        <v>1.6211802664427075</v>
      </c>
      <c r="Q3288" s="8">
        <f>(2317420*100)/2442061</f>
        <v>94.896073439606951</v>
      </c>
    </row>
    <row r="3289" spans="1:17" x14ac:dyDescent="0.2">
      <c r="A3289">
        <f>YEAR(D3289)</f>
        <v>2019</v>
      </c>
      <c r="B3289" t="s">
        <v>26</v>
      </c>
      <c r="C3289" s="2" t="s">
        <v>3026</v>
      </c>
      <c r="D3289" s="1">
        <v>43647</v>
      </c>
      <c r="E3289">
        <f>MONTH(D3289)</f>
        <v>7</v>
      </c>
      <c r="F3289" s="2" t="s">
        <v>2098</v>
      </c>
      <c r="G3289" t="s">
        <v>230</v>
      </c>
      <c r="H3289" t="s">
        <v>268</v>
      </c>
      <c r="I3289" t="s">
        <v>22</v>
      </c>
      <c r="J3289" s="2" t="s">
        <v>42</v>
      </c>
      <c r="K3289" s="2" t="s">
        <v>3019</v>
      </c>
      <c r="L3289" t="s">
        <v>25</v>
      </c>
      <c r="M3289" s="8">
        <v>3.5356666670000001</v>
      </c>
      <c r="N3289" t="s">
        <v>26</v>
      </c>
      <c r="O3289" s="8">
        <v>3.5356666670000001</v>
      </c>
      <c r="P3289" s="8">
        <f>EXP(-1.363+3.366*LOG(O3289,10))</f>
        <v>1.6211802664427075</v>
      </c>
      <c r="Q3289" s="8">
        <f>(2317420*100)/2442061</f>
        <v>94.896073439606951</v>
      </c>
    </row>
    <row r="3290" spans="1:17" x14ac:dyDescent="0.2">
      <c r="A3290">
        <f>YEAR(D3290)</f>
        <v>2019</v>
      </c>
      <c r="B3290" t="s">
        <v>26</v>
      </c>
      <c r="C3290" s="2" t="s">
        <v>3026</v>
      </c>
      <c r="D3290" s="1">
        <v>43647</v>
      </c>
      <c r="E3290">
        <f>MONTH(D3290)</f>
        <v>7</v>
      </c>
      <c r="F3290" s="2" t="s">
        <v>2098</v>
      </c>
      <c r="G3290" t="s">
        <v>230</v>
      </c>
      <c r="H3290" t="s">
        <v>268</v>
      </c>
      <c r="I3290" t="s">
        <v>22</v>
      </c>
      <c r="J3290" s="2" t="s">
        <v>42</v>
      </c>
      <c r="K3290" s="2" t="s">
        <v>3019</v>
      </c>
      <c r="L3290" t="s">
        <v>25</v>
      </c>
      <c r="M3290" s="8">
        <v>3.5356666670000001</v>
      </c>
      <c r="N3290" t="s">
        <v>26</v>
      </c>
      <c r="O3290" s="8">
        <v>3.5356666670000001</v>
      </c>
      <c r="P3290" s="8">
        <f>EXP(-1.363+3.366*LOG(O3290,10))</f>
        <v>1.6211802664427075</v>
      </c>
      <c r="Q3290" s="8">
        <f>(2317420*100)/2442061</f>
        <v>94.896073439606951</v>
      </c>
    </row>
    <row r="3291" spans="1:17" x14ac:dyDescent="0.2">
      <c r="A3291">
        <f>YEAR(D3291)</f>
        <v>2019</v>
      </c>
      <c r="B3291" t="s">
        <v>26</v>
      </c>
      <c r="C3291" s="2" t="s">
        <v>3026</v>
      </c>
      <c r="D3291" s="1">
        <v>43647</v>
      </c>
      <c r="E3291">
        <f>MONTH(D3291)</f>
        <v>7</v>
      </c>
      <c r="F3291" s="2" t="s">
        <v>2098</v>
      </c>
      <c r="G3291" t="s">
        <v>230</v>
      </c>
      <c r="H3291" t="s">
        <v>268</v>
      </c>
      <c r="I3291" t="s">
        <v>22</v>
      </c>
      <c r="J3291" s="2" t="s">
        <v>42</v>
      </c>
      <c r="K3291" s="2" t="s">
        <v>3019</v>
      </c>
      <c r="L3291" t="s">
        <v>25</v>
      </c>
      <c r="M3291" s="8">
        <v>3.5356666670000001</v>
      </c>
      <c r="N3291" t="s">
        <v>26</v>
      </c>
      <c r="O3291" s="8">
        <v>3.5356666670000001</v>
      </c>
      <c r="P3291" s="8">
        <f>EXP(-1.363+3.366*LOG(O3291,10))</f>
        <v>1.6211802664427075</v>
      </c>
      <c r="Q3291" s="8">
        <f>(2317420*100)/2442061</f>
        <v>94.896073439606951</v>
      </c>
    </row>
    <row r="3292" spans="1:17" x14ac:dyDescent="0.2">
      <c r="A3292">
        <f>YEAR(D3292)</f>
        <v>2019</v>
      </c>
      <c r="B3292" t="s">
        <v>26</v>
      </c>
      <c r="C3292" s="2" t="s">
        <v>3026</v>
      </c>
      <c r="D3292" s="1">
        <v>43647</v>
      </c>
      <c r="E3292">
        <f>MONTH(D3292)</f>
        <v>7</v>
      </c>
      <c r="F3292" s="2" t="s">
        <v>2098</v>
      </c>
      <c r="G3292" t="s">
        <v>1520</v>
      </c>
      <c r="H3292" t="s">
        <v>1528</v>
      </c>
      <c r="I3292" t="s">
        <v>22</v>
      </c>
      <c r="J3292" s="2" t="s">
        <v>42</v>
      </c>
      <c r="K3292" s="2" t="s">
        <v>3019</v>
      </c>
      <c r="L3292" t="s">
        <v>25</v>
      </c>
      <c r="M3292" s="8">
        <v>3.624333333</v>
      </c>
      <c r="N3292" t="s">
        <v>26</v>
      </c>
      <c r="O3292" s="8">
        <v>3.624333333</v>
      </c>
      <c r="P3292" s="8">
        <f>EXP(-1.363+3.366*LOG(O3292,10))</f>
        <v>1.6809546844949765</v>
      </c>
      <c r="Q3292" s="8">
        <f>(2317420*100)/2442061</f>
        <v>94.896073439606951</v>
      </c>
    </row>
    <row r="3293" spans="1:17" x14ac:dyDescent="0.2">
      <c r="A3293">
        <f>YEAR(D3293)</f>
        <v>2019</v>
      </c>
      <c r="B3293" t="s">
        <v>26</v>
      </c>
      <c r="C3293" s="2" t="s">
        <v>3026</v>
      </c>
      <c r="D3293" s="1">
        <v>43647</v>
      </c>
      <c r="E3293">
        <f>MONTH(D3293)</f>
        <v>7</v>
      </c>
      <c r="F3293" s="2" t="s">
        <v>2098</v>
      </c>
      <c r="G3293" t="s">
        <v>1520</v>
      </c>
      <c r="H3293" t="s">
        <v>1528</v>
      </c>
      <c r="I3293" t="s">
        <v>22</v>
      </c>
      <c r="J3293" s="2" t="s">
        <v>42</v>
      </c>
      <c r="K3293" s="2" t="s">
        <v>3019</v>
      </c>
      <c r="L3293" t="s">
        <v>25</v>
      </c>
      <c r="M3293" s="8">
        <v>3.624333333</v>
      </c>
      <c r="N3293" t="s">
        <v>26</v>
      </c>
      <c r="O3293" s="8">
        <v>3.624333333</v>
      </c>
      <c r="P3293" s="8">
        <f>EXP(-1.363+3.366*LOG(O3293,10))</f>
        <v>1.6809546844949765</v>
      </c>
      <c r="Q3293" s="8">
        <f>(2317420*100)/2442061</f>
        <v>94.896073439606951</v>
      </c>
    </row>
    <row r="3294" spans="1:17" x14ac:dyDescent="0.2">
      <c r="A3294">
        <f>YEAR(D3294)</f>
        <v>2019</v>
      </c>
      <c r="B3294" t="s">
        <v>26</v>
      </c>
      <c r="C3294" s="2" t="s">
        <v>3026</v>
      </c>
      <c r="D3294" s="1">
        <v>43647</v>
      </c>
      <c r="E3294">
        <f>MONTH(D3294)</f>
        <v>7</v>
      </c>
      <c r="F3294" s="2" t="s">
        <v>2098</v>
      </c>
      <c r="G3294" t="s">
        <v>1520</v>
      </c>
      <c r="H3294" t="s">
        <v>1528</v>
      </c>
      <c r="I3294" t="s">
        <v>22</v>
      </c>
      <c r="J3294" s="2" t="s">
        <v>42</v>
      </c>
      <c r="K3294" s="2" t="s">
        <v>3019</v>
      </c>
      <c r="L3294" t="s">
        <v>25</v>
      </c>
      <c r="M3294" s="8">
        <v>3.624333333</v>
      </c>
      <c r="N3294" t="s">
        <v>26</v>
      </c>
      <c r="O3294" s="8">
        <v>3.624333333</v>
      </c>
      <c r="P3294" s="8">
        <f>EXP(-1.363+3.366*LOG(O3294,10))</f>
        <v>1.6809546844949765</v>
      </c>
      <c r="Q3294" s="8">
        <f>(2317420*100)/2442061</f>
        <v>94.896073439606951</v>
      </c>
    </row>
    <row r="3295" spans="1:17" x14ac:dyDescent="0.2">
      <c r="A3295">
        <f>YEAR(D3295)</f>
        <v>2019</v>
      </c>
      <c r="B3295" t="s">
        <v>26</v>
      </c>
      <c r="C3295" s="2" t="s">
        <v>3026</v>
      </c>
      <c r="D3295" s="1">
        <v>43647</v>
      </c>
      <c r="E3295">
        <f>MONTH(D3295)</f>
        <v>7</v>
      </c>
      <c r="F3295" s="2" t="s">
        <v>2098</v>
      </c>
      <c r="G3295" t="s">
        <v>1520</v>
      </c>
      <c r="H3295" t="s">
        <v>1528</v>
      </c>
      <c r="I3295" t="s">
        <v>22</v>
      </c>
      <c r="J3295" s="2" t="s">
        <v>42</v>
      </c>
      <c r="K3295" s="2" t="s">
        <v>3019</v>
      </c>
      <c r="L3295" t="s">
        <v>25</v>
      </c>
      <c r="M3295" s="8">
        <v>3.624333333</v>
      </c>
      <c r="N3295" t="s">
        <v>26</v>
      </c>
      <c r="O3295" s="8">
        <v>3.624333333</v>
      </c>
      <c r="P3295" s="8">
        <f>EXP(-1.363+3.366*LOG(O3295,10))</f>
        <v>1.6809546844949765</v>
      </c>
      <c r="Q3295" s="8">
        <f>(2317420*100)/2442061</f>
        <v>94.896073439606951</v>
      </c>
    </row>
    <row r="3296" spans="1:17" x14ac:dyDescent="0.2">
      <c r="A3296">
        <f>YEAR(D3296)</f>
        <v>2019</v>
      </c>
      <c r="B3296" t="s">
        <v>26</v>
      </c>
      <c r="C3296" s="2" t="s">
        <v>3026</v>
      </c>
      <c r="D3296" s="1">
        <v>43647</v>
      </c>
      <c r="E3296">
        <f>MONTH(D3296)</f>
        <v>7</v>
      </c>
      <c r="F3296" s="2" t="s">
        <v>2098</v>
      </c>
      <c r="G3296" t="s">
        <v>332</v>
      </c>
      <c r="H3296" t="s">
        <v>327</v>
      </c>
      <c r="I3296" t="s">
        <v>36</v>
      </c>
      <c r="J3296" s="2" t="s">
        <v>42</v>
      </c>
      <c r="K3296" s="2" t="s">
        <v>3019</v>
      </c>
      <c r="L3296" t="s">
        <v>25</v>
      </c>
      <c r="M3296" s="8">
        <v>1.0693333330000001</v>
      </c>
      <c r="N3296" t="s">
        <v>26</v>
      </c>
      <c r="O3296" s="8">
        <v>1.0693333330000001</v>
      </c>
      <c r="P3296" s="8">
        <f>EXP(-1.363+3.366*LOG(O3296,10))</f>
        <v>0.28223780327142356</v>
      </c>
      <c r="Q3296" s="8">
        <f>(2317420*100)/2442061</f>
        <v>94.896073439606951</v>
      </c>
    </row>
    <row r="3297" spans="1:17" x14ac:dyDescent="0.2">
      <c r="A3297">
        <f>YEAR(D3297)</f>
        <v>2019</v>
      </c>
      <c r="B3297" t="s">
        <v>26</v>
      </c>
      <c r="C3297" s="2" t="s">
        <v>1552</v>
      </c>
      <c r="D3297" s="1">
        <v>43648</v>
      </c>
      <c r="E3297">
        <f>MONTH(D3297)</f>
        <v>7</v>
      </c>
      <c r="F3297" s="2" t="s">
        <v>2098</v>
      </c>
      <c r="G3297" t="s">
        <v>230</v>
      </c>
      <c r="H3297" t="s">
        <v>268</v>
      </c>
      <c r="I3297" t="s">
        <v>22</v>
      </c>
      <c r="J3297" s="2" t="s">
        <v>42</v>
      </c>
      <c r="K3297" s="2" t="s">
        <v>3019</v>
      </c>
      <c r="L3297" t="s">
        <v>25</v>
      </c>
      <c r="M3297" s="8">
        <v>3.5356666670000001</v>
      </c>
      <c r="N3297" t="s">
        <v>26</v>
      </c>
      <c r="O3297" s="8">
        <v>3.5356666670000001</v>
      </c>
      <c r="P3297" s="8">
        <f>EXP(-1.363+3.366*LOG(O3297,10))</f>
        <v>1.6211802664427075</v>
      </c>
      <c r="Q3297" s="8">
        <f>(3738946*100)/3915493</f>
        <v>95.491065875995687</v>
      </c>
    </row>
    <row r="3298" spans="1:17" x14ac:dyDescent="0.2">
      <c r="A3298">
        <f>YEAR(D3298)</f>
        <v>2019</v>
      </c>
      <c r="B3298" t="s">
        <v>26</v>
      </c>
      <c r="C3298" s="2" t="s">
        <v>1552</v>
      </c>
      <c r="D3298" s="1">
        <v>43648</v>
      </c>
      <c r="E3298">
        <f>MONTH(D3298)</f>
        <v>7</v>
      </c>
      <c r="F3298" s="2" t="s">
        <v>2098</v>
      </c>
      <c r="G3298" t="s">
        <v>1520</v>
      </c>
      <c r="H3298" t="s">
        <v>1528</v>
      </c>
      <c r="I3298" t="s">
        <v>22</v>
      </c>
      <c r="J3298" s="2" t="s">
        <v>42</v>
      </c>
      <c r="K3298" s="2" t="s">
        <v>3019</v>
      </c>
      <c r="L3298" t="s">
        <v>25</v>
      </c>
      <c r="M3298" s="8">
        <v>3.624333333</v>
      </c>
      <c r="N3298" t="s">
        <v>26</v>
      </c>
      <c r="O3298" s="8">
        <v>3.624333333</v>
      </c>
      <c r="P3298" s="8">
        <f>EXP(-1.363+3.366*LOG(O3298,10))</f>
        <v>1.6809546844949765</v>
      </c>
      <c r="Q3298" s="8">
        <f>(3738946*100)/3915493</f>
        <v>95.491065875995687</v>
      </c>
    </row>
    <row r="3299" spans="1:17" x14ac:dyDescent="0.2">
      <c r="A3299">
        <f>YEAR(D3299)</f>
        <v>2019</v>
      </c>
      <c r="B3299" t="s">
        <v>26</v>
      </c>
      <c r="C3299" s="2" t="s">
        <v>1552</v>
      </c>
      <c r="D3299" s="1">
        <v>43648</v>
      </c>
      <c r="E3299">
        <f>MONTH(D3299)</f>
        <v>7</v>
      </c>
      <c r="F3299" s="2" t="s">
        <v>2098</v>
      </c>
      <c r="G3299" t="s">
        <v>1520</v>
      </c>
      <c r="H3299" t="s">
        <v>1528</v>
      </c>
      <c r="I3299" t="s">
        <v>22</v>
      </c>
      <c r="J3299" s="2" t="s">
        <v>42</v>
      </c>
      <c r="K3299" s="2" t="s">
        <v>3019</v>
      </c>
      <c r="L3299" t="s">
        <v>25</v>
      </c>
      <c r="M3299" s="8">
        <v>3.624333333</v>
      </c>
      <c r="N3299" t="s">
        <v>26</v>
      </c>
      <c r="O3299" s="8">
        <v>3.624333333</v>
      </c>
      <c r="P3299" s="8">
        <f>EXP(-1.363+3.366*LOG(O3299,10))</f>
        <v>1.6809546844949765</v>
      </c>
      <c r="Q3299" s="8">
        <f>(3738946*100)/3915493</f>
        <v>95.491065875995687</v>
      </c>
    </row>
    <row r="3300" spans="1:17" x14ac:dyDescent="0.2">
      <c r="A3300">
        <f>YEAR(D3300)</f>
        <v>2019</v>
      </c>
      <c r="B3300" t="s">
        <v>26</v>
      </c>
      <c r="C3300" s="2" t="s">
        <v>1552</v>
      </c>
      <c r="D3300" s="1">
        <v>43648</v>
      </c>
      <c r="E3300">
        <f>MONTH(D3300)</f>
        <v>7</v>
      </c>
      <c r="F3300" s="2" t="s">
        <v>2098</v>
      </c>
      <c r="G3300" t="s">
        <v>1520</v>
      </c>
      <c r="H3300" t="s">
        <v>1528</v>
      </c>
      <c r="I3300" t="s">
        <v>36</v>
      </c>
      <c r="J3300" s="2" t="s">
        <v>42</v>
      </c>
      <c r="K3300" s="2" t="s">
        <v>3019</v>
      </c>
      <c r="L3300" t="s">
        <v>25</v>
      </c>
      <c r="M3300" s="8">
        <v>3.3860000000000001</v>
      </c>
      <c r="N3300" t="s">
        <v>26</v>
      </c>
      <c r="O3300" s="8">
        <v>3.3860000000000001</v>
      </c>
      <c r="P3300" s="8">
        <f>EXP(-1.363+3.366*LOG(O3300,10))</f>
        <v>1.5218493704875904</v>
      </c>
      <c r="Q3300" s="8">
        <f>(3738946*100)/3915493</f>
        <v>95.491065875995687</v>
      </c>
    </row>
    <row r="3301" spans="1:17" x14ac:dyDescent="0.2">
      <c r="A3301">
        <f>YEAR(D3301)</f>
        <v>2019</v>
      </c>
      <c r="B3301" t="s">
        <v>26</v>
      </c>
      <c r="C3301" s="2" t="s">
        <v>1552</v>
      </c>
      <c r="D3301" s="1">
        <v>43648</v>
      </c>
      <c r="E3301">
        <f>MONTH(D3301)</f>
        <v>7</v>
      </c>
      <c r="F3301" s="2" t="s">
        <v>2098</v>
      </c>
      <c r="G3301" t="s">
        <v>1520</v>
      </c>
      <c r="H3301" t="s">
        <v>1528</v>
      </c>
      <c r="I3301" t="s">
        <v>36</v>
      </c>
      <c r="J3301" s="2" t="s">
        <v>42</v>
      </c>
      <c r="K3301" s="2" t="s">
        <v>3019</v>
      </c>
      <c r="L3301" t="s">
        <v>25</v>
      </c>
      <c r="M3301" s="8">
        <v>3.3860000000000001</v>
      </c>
      <c r="N3301" t="s">
        <v>26</v>
      </c>
      <c r="O3301" s="8">
        <v>3.3860000000000001</v>
      </c>
      <c r="P3301" s="8">
        <f>EXP(-1.363+3.366*LOG(O3301,10))</f>
        <v>1.5218493704875904</v>
      </c>
      <c r="Q3301" s="8">
        <f>(3738946*100)/3915493</f>
        <v>95.491065875995687</v>
      </c>
    </row>
    <row r="3302" spans="1:17" x14ac:dyDescent="0.2">
      <c r="A3302">
        <f>YEAR(D3302)</f>
        <v>2019</v>
      </c>
      <c r="B3302" t="s">
        <v>26</v>
      </c>
      <c r="C3302" s="2" t="s">
        <v>1552</v>
      </c>
      <c r="D3302" s="1">
        <v>43648</v>
      </c>
      <c r="E3302">
        <f>MONTH(D3302)</f>
        <v>7</v>
      </c>
      <c r="F3302" s="2" t="s">
        <v>2098</v>
      </c>
      <c r="G3302" t="s">
        <v>219</v>
      </c>
      <c r="H3302" t="s">
        <v>220</v>
      </c>
      <c r="I3302" t="s">
        <v>22</v>
      </c>
      <c r="J3302" s="2" t="s">
        <v>42</v>
      </c>
      <c r="K3302" s="2" t="s">
        <v>3019</v>
      </c>
      <c r="L3302" t="s">
        <v>25</v>
      </c>
      <c r="M3302" s="10" t="s">
        <v>26</v>
      </c>
      <c r="N3302" t="s">
        <v>26</v>
      </c>
      <c r="O3302" s="10" t="s">
        <v>26</v>
      </c>
      <c r="P3302" s="8" t="s">
        <v>26</v>
      </c>
      <c r="Q3302" s="8">
        <f>(3738946*100)/3915493</f>
        <v>95.491065875995687</v>
      </c>
    </row>
    <row r="3303" spans="1:17" x14ac:dyDescent="0.2">
      <c r="A3303">
        <f>YEAR(D3303)</f>
        <v>2019</v>
      </c>
      <c r="B3303" t="s">
        <v>26</v>
      </c>
      <c r="C3303" s="2" t="s">
        <v>1552</v>
      </c>
      <c r="D3303" s="1">
        <v>43648</v>
      </c>
      <c r="E3303">
        <f>MONTH(D3303)</f>
        <v>7</v>
      </c>
      <c r="F3303" s="2" t="s">
        <v>2098</v>
      </c>
      <c r="G3303" t="s">
        <v>219</v>
      </c>
      <c r="H3303" t="s">
        <v>220</v>
      </c>
      <c r="I3303" t="s">
        <v>22</v>
      </c>
      <c r="J3303" s="2" t="s">
        <v>42</v>
      </c>
      <c r="K3303" s="2" t="s">
        <v>3019</v>
      </c>
      <c r="L3303" t="s">
        <v>25</v>
      </c>
      <c r="M3303" s="10" t="s">
        <v>26</v>
      </c>
      <c r="N3303" t="s">
        <v>26</v>
      </c>
      <c r="O3303" s="10" t="s">
        <v>26</v>
      </c>
      <c r="P3303" s="8" t="s">
        <v>26</v>
      </c>
      <c r="Q3303" s="8">
        <f>(3738946*100)/3915493</f>
        <v>95.491065875995687</v>
      </c>
    </row>
    <row r="3304" spans="1:17" x14ac:dyDescent="0.2">
      <c r="A3304">
        <f>YEAR(D3304)</f>
        <v>2019</v>
      </c>
      <c r="B3304" t="s">
        <v>26</v>
      </c>
      <c r="C3304" s="2" t="s">
        <v>1552</v>
      </c>
      <c r="D3304" s="1">
        <v>43648</v>
      </c>
      <c r="E3304">
        <f>MONTH(D3304)</f>
        <v>7</v>
      </c>
      <c r="F3304" s="2" t="s">
        <v>2098</v>
      </c>
      <c r="G3304" t="s">
        <v>352</v>
      </c>
      <c r="H3304" t="s">
        <v>975</v>
      </c>
      <c r="I3304" t="s">
        <v>22</v>
      </c>
      <c r="J3304" s="2" t="s">
        <v>42</v>
      </c>
      <c r="K3304" s="2" t="s">
        <v>3019</v>
      </c>
      <c r="L3304" t="s">
        <v>25</v>
      </c>
      <c r="M3304" s="8">
        <v>1.0693333330000001</v>
      </c>
      <c r="N3304" t="s">
        <v>26</v>
      </c>
      <c r="O3304" s="8">
        <v>1.0693333330000001</v>
      </c>
      <c r="P3304" s="8">
        <f>EXP(-1.363+3.366*LOG(O3304,10))</f>
        <v>0.28223780327142356</v>
      </c>
      <c r="Q3304" s="8">
        <f>(3738946*100)/3915493</f>
        <v>95.491065875995687</v>
      </c>
    </row>
    <row r="3305" spans="1:17" x14ac:dyDescent="0.2">
      <c r="A3305">
        <f>YEAR(D3305)</f>
        <v>2019</v>
      </c>
      <c r="B3305" t="s">
        <v>26</v>
      </c>
      <c r="C3305" s="2" t="s">
        <v>1552</v>
      </c>
      <c r="D3305" s="1">
        <v>43648</v>
      </c>
      <c r="E3305">
        <f>MONTH(D3305)</f>
        <v>7</v>
      </c>
      <c r="F3305" s="2" t="s">
        <v>2098</v>
      </c>
      <c r="G3305" t="s">
        <v>352</v>
      </c>
      <c r="H3305" t="s">
        <v>747</v>
      </c>
      <c r="I3305" t="s">
        <v>22</v>
      </c>
      <c r="J3305" s="2" t="s">
        <v>42</v>
      </c>
      <c r="K3305" s="2" t="s">
        <v>3019</v>
      </c>
      <c r="L3305" t="s">
        <v>25</v>
      </c>
      <c r="M3305" s="8">
        <v>1.3726666670000001</v>
      </c>
      <c r="N3305" t="s">
        <v>26</v>
      </c>
      <c r="O3305" s="8">
        <v>1.3726666670000001</v>
      </c>
      <c r="P3305" s="8">
        <f>EXP(-1.363+3.366*LOG(O3305,10))</f>
        <v>0.40658758379567089</v>
      </c>
      <c r="Q3305" s="8">
        <f>(3738946*100)/3915493</f>
        <v>95.491065875995687</v>
      </c>
    </row>
    <row r="3306" spans="1:17" x14ac:dyDescent="0.2">
      <c r="A3306">
        <f>YEAR(D3306)</f>
        <v>2019</v>
      </c>
      <c r="B3306" t="s">
        <v>26</v>
      </c>
      <c r="C3306" s="2" t="s">
        <v>1552</v>
      </c>
      <c r="D3306" s="1">
        <v>43648</v>
      </c>
      <c r="E3306">
        <f>MONTH(D3306)</f>
        <v>7</v>
      </c>
      <c r="F3306" s="2" t="s">
        <v>2098</v>
      </c>
      <c r="G3306" t="s">
        <v>352</v>
      </c>
      <c r="H3306" t="s">
        <v>1459</v>
      </c>
      <c r="I3306" t="s">
        <v>22</v>
      </c>
      <c r="J3306" s="2" t="s">
        <v>42</v>
      </c>
      <c r="K3306" s="2" t="s">
        <v>3019</v>
      </c>
      <c r="L3306" t="s">
        <v>25</v>
      </c>
      <c r="M3306" s="8">
        <v>1.1910000000000001</v>
      </c>
      <c r="N3306" t="s">
        <v>26</v>
      </c>
      <c r="O3306" s="8">
        <v>1.1910000000000001</v>
      </c>
      <c r="P3306" s="8">
        <f>EXP(-1.363+3.366*LOG(O3306,10))</f>
        <v>0.33039016297752993</v>
      </c>
      <c r="Q3306" s="8">
        <f>(3738946*100)/3915493</f>
        <v>95.491065875995687</v>
      </c>
    </row>
    <row r="3307" spans="1:17" x14ac:dyDescent="0.2">
      <c r="A3307">
        <f>YEAR(D3307)</f>
        <v>2019</v>
      </c>
      <c r="B3307" t="s">
        <v>26</v>
      </c>
      <c r="C3307" s="2" t="s">
        <v>1552</v>
      </c>
      <c r="D3307" s="1">
        <v>43648</v>
      </c>
      <c r="E3307">
        <f>MONTH(D3307)</f>
        <v>7</v>
      </c>
      <c r="F3307" s="2" t="s">
        <v>2098</v>
      </c>
      <c r="G3307" t="s">
        <v>352</v>
      </c>
      <c r="H3307" t="s">
        <v>494</v>
      </c>
      <c r="I3307" t="s">
        <v>22</v>
      </c>
      <c r="J3307" s="2" t="s">
        <v>42</v>
      </c>
      <c r="K3307" s="2" t="s">
        <v>3019</v>
      </c>
      <c r="L3307" t="s">
        <v>25</v>
      </c>
      <c r="M3307" s="8">
        <v>1.7226666669999999</v>
      </c>
      <c r="N3307" t="s">
        <v>26</v>
      </c>
      <c r="O3307" s="8">
        <v>1.7226666669999999</v>
      </c>
      <c r="P3307" s="8">
        <f>EXP(-1.363+3.366*LOG(O3307,10))</f>
        <v>0.56668788662759551</v>
      </c>
      <c r="Q3307" s="8">
        <f>(3738946*100)/3915493</f>
        <v>95.491065875995687</v>
      </c>
    </row>
    <row r="3308" spans="1:17" x14ac:dyDescent="0.2">
      <c r="A3308">
        <f>YEAR(D3308)</f>
        <v>2019</v>
      </c>
      <c r="B3308" t="s">
        <v>26</v>
      </c>
      <c r="C3308" s="2" t="s">
        <v>1552</v>
      </c>
      <c r="D3308" s="1">
        <v>43648</v>
      </c>
      <c r="E3308">
        <f>MONTH(D3308)</f>
        <v>7</v>
      </c>
      <c r="F3308" s="2" t="s">
        <v>2098</v>
      </c>
      <c r="G3308" t="s">
        <v>352</v>
      </c>
      <c r="H3308" t="s">
        <v>747</v>
      </c>
      <c r="I3308" t="s">
        <v>22</v>
      </c>
      <c r="J3308" s="2" t="s">
        <v>42</v>
      </c>
      <c r="K3308" s="2" t="s">
        <v>3019</v>
      </c>
      <c r="L3308" t="s">
        <v>25</v>
      </c>
      <c r="M3308" s="8">
        <v>1.3726666670000001</v>
      </c>
      <c r="N3308" t="s">
        <v>26</v>
      </c>
      <c r="O3308" s="8">
        <v>1.3726666670000001</v>
      </c>
      <c r="P3308" s="8">
        <f>EXP(-1.363+3.366*LOG(O3308,10))</f>
        <v>0.40658758379567089</v>
      </c>
      <c r="Q3308" s="8">
        <f>(3738946*100)/3915493</f>
        <v>95.491065875995687</v>
      </c>
    </row>
    <row r="3309" spans="1:17" x14ac:dyDescent="0.2">
      <c r="A3309">
        <f>YEAR(D3309)</f>
        <v>2019</v>
      </c>
      <c r="B3309" t="s">
        <v>26</v>
      </c>
      <c r="C3309" s="2" t="s">
        <v>1552</v>
      </c>
      <c r="D3309" s="1">
        <v>43648</v>
      </c>
      <c r="E3309">
        <f>MONTH(D3309)</f>
        <v>7</v>
      </c>
      <c r="F3309" s="2" t="s">
        <v>2098</v>
      </c>
      <c r="G3309" t="s">
        <v>362</v>
      </c>
      <c r="H3309" t="s">
        <v>447</v>
      </c>
      <c r="I3309" t="s">
        <v>22</v>
      </c>
      <c r="J3309" s="2" t="s">
        <v>42</v>
      </c>
      <c r="K3309" s="2" t="s">
        <v>3019</v>
      </c>
      <c r="L3309" t="s">
        <v>25</v>
      </c>
      <c r="M3309" s="8">
        <v>1.421</v>
      </c>
      <c r="N3309" t="s">
        <v>26</v>
      </c>
      <c r="O3309" s="8">
        <v>1.421</v>
      </c>
      <c r="P3309" s="8">
        <f>EXP(-1.363+3.366*LOG(O3309,10))</f>
        <v>0.42768500084673816</v>
      </c>
      <c r="Q3309" s="8">
        <f>(3738946*100)/3915493</f>
        <v>95.491065875995687</v>
      </c>
    </row>
    <row r="3310" spans="1:17" x14ac:dyDescent="0.2">
      <c r="A3310">
        <f>YEAR(D3310)</f>
        <v>2019</v>
      </c>
      <c r="B3310" t="s">
        <v>26</v>
      </c>
      <c r="C3310" s="2" t="s">
        <v>1552</v>
      </c>
      <c r="D3310" s="1">
        <v>43648</v>
      </c>
      <c r="E3310">
        <f>MONTH(D3310)</f>
        <v>7</v>
      </c>
      <c r="F3310" s="2" t="s">
        <v>2098</v>
      </c>
      <c r="G3310" t="s">
        <v>352</v>
      </c>
      <c r="H3310" t="s">
        <v>1459</v>
      </c>
      <c r="I3310" t="s">
        <v>36</v>
      </c>
      <c r="J3310" s="2" t="s">
        <v>42</v>
      </c>
      <c r="K3310" s="2" t="s">
        <v>3019</v>
      </c>
      <c r="L3310" t="s">
        <v>25</v>
      </c>
      <c r="M3310" s="8">
        <v>1.0913333329999999</v>
      </c>
      <c r="N3310" t="s">
        <v>26</v>
      </c>
      <c r="O3310" s="8">
        <v>1.0913333329999999</v>
      </c>
      <c r="P3310" s="8">
        <f>EXP(-1.363+3.366*LOG(O3310,10))</f>
        <v>0.29076633015787234</v>
      </c>
      <c r="Q3310" s="8">
        <f>(3738946*100)/3915493</f>
        <v>95.491065875995687</v>
      </c>
    </row>
    <row r="3311" spans="1:17" x14ac:dyDescent="0.2">
      <c r="A3311">
        <f>YEAR(D3311)</f>
        <v>2019</v>
      </c>
      <c r="B3311" t="s">
        <v>26</v>
      </c>
      <c r="C3311" s="2" t="s">
        <v>1552</v>
      </c>
      <c r="D3311" s="1">
        <v>43648</v>
      </c>
      <c r="E3311">
        <f>MONTH(D3311)</f>
        <v>7</v>
      </c>
      <c r="F3311" s="2" t="s">
        <v>2098</v>
      </c>
      <c r="G3311" t="s">
        <v>352</v>
      </c>
      <c r="H3311" t="s">
        <v>1459</v>
      </c>
      <c r="I3311" t="s">
        <v>36</v>
      </c>
      <c r="J3311" s="2" t="s">
        <v>42</v>
      </c>
      <c r="K3311" s="2" t="s">
        <v>3019</v>
      </c>
      <c r="L3311" t="s">
        <v>25</v>
      </c>
      <c r="M3311" s="8">
        <v>1.0913333329999999</v>
      </c>
      <c r="N3311" t="s">
        <v>26</v>
      </c>
      <c r="O3311" s="8">
        <v>1.0913333329999999</v>
      </c>
      <c r="P3311" s="8">
        <f>EXP(-1.363+3.366*LOG(O3311,10))</f>
        <v>0.29076633015787234</v>
      </c>
      <c r="Q3311" s="8">
        <f>(3738946*100)/3915493</f>
        <v>95.491065875995687</v>
      </c>
    </row>
    <row r="3312" spans="1:17" x14ac:dyDescent="0.2">
      <c r="A3312">
        <f>YEAR(D3312)</f>
        <v>2019</v>
      </c>
      <c r="B3312" t="s">
        <v>26</v>
      </c>
      <c r="C3312" s="2" t="s">
        <v>1552</v>
      </c>
      <c r="D3312" s="1">
        <v>43648</v>
      </c>
      <c r="E3312">
        <f>MONTH(D3312)</f>
        <v>7</v>
      </c>
      <c r="F3312" s="2" t="s">
        <v>2098</v>
      </c>
      <c r="G3312" t="s">
        <v>352</v>
      </c>
      <c r="H3312" t="s">
        <v>747</v>
      </c>
      <c r="I3312" t="s">
        <v>22</v>
      </c>
      <c r="J3312" s="2" t="s">
        <v>42</v>
      </c>
      <c r="K3312" s="2" t="s">
        <v>3019</v>
      </c>
      <c r="L3312" t="s">
        <v>25</v>
      </c>
      <c r="M3312" s="8">
        <v>1.3726666670000001</v>
      </c>
      <c r="N3312" t="s">
        <v>26</v>
      </c>
      <c r="O3312" s="8">
        <v>1.3726666670000001</v>
      </c>
      <c r="P3312" s="8">
        <f>EXP(-1.363+3.366*LOG(O3312,10))</f>
        <v>0.40658758379567089</v>
      </c>
      <c r="Q3312" s="8">
        <f>(3738946*100)/3915493</f>
        <v>95.491065875995687</v>
      </c>
    </row>
    <row r="3313" spans="1:17" x14ac:dyDescent="0.2">
      <c r="A3313">
        <f>YEAR(D3313)</f>
        <v>2019</v>
      </c>
      <c r="B3313" t="s">
        <v>26</v>
      </c>
      <c r="C3313" s="2" t="s">
        <v>1540</v>
      </c>
      <c r="D3313" s="1">
        <v>43648</v>
      </c>
      <c r="E3313">
        <f>MONTH(D3313)</f>
        <v>7</v>
      </c>
      <c r="F3313" s="2" t="s">
        <v>2098</v>
      </c>
      <c r="G3313" s="2" t="s">
        <v>3017</v>
      </c>
      <c r="H3313" t="s">
        <v>3059</v>
      </c>
      <c r="I3313" t="s">
        <v>22</v>
      </c>
      <c r="J3313" s="2" t="s">
        <v>42</v>
      </c>
      <c r="K3313" s="2" t="s">
        <v>3019</v>
      </c>
      <c r="L3313" t="s">
        <v>187</v>
      </c>
      <c r="M3313" s="8">
        <v>2.2530000000000001</v>
      </c>
      <c r="N3313" t="s">
        <v>26</v>
      </c>
      <c r="O3313" s="8">
        <v>2.2530000000000001</v>
      </c>
      <c r="P3313" s="8">
        <f>EXP(-1.363+3.366*LOG(O3313,10))</f>
        <v>0.83894860767037682</v>
      </c>
      <c r="Q3313" s="8">
        <f>(2618262*100)/2995732</f>
        <v>87.399740697766021</v>
      </c>
    </row>
    <row r="3314" spans="1:17" x14ac:dyDescent="0.2">
      <c r="A3314">
        <f>YEAR(D3314)</f>
        <v>2019</v>
      </c>
      <c r="B3314" t="e">
        <f>CONCATENATE(K3314,#REF!)</f>
        <v>#REF!</v>
      </c>
      <c r="C3314" s="2" t="s">
        <v>1540</v>
      </c>
      <c r="D3314" s="1">
        <v>43648</v>
      </c>
      <c r="E3314">
        <f>MONTH(D3314)</f>
        <v>7</v>
      </c>
      <c r="F3314" s="2" t="s">
        <v>2098</v>
      </c>
      <c r="G3314" s="2" t="s">
        <v>20</v>
      </c>
      <c r="H3314" t="s">
        <v>103</v>
      </c>
      <c r="I3314" t="s">
        <v>36</v>
      </c>
      <c r="J3314" s="2" t="s">
        <v>42</v>
      </c>
      <c r="K3314" s="2" t="s">
        <v>3019</v>
      </c>
      <c r="L3314" t="s">
        <v>25</v>
      </c>
      <c r="M3314" s="8">
        <v>1.856666667</v>
      </c>
      <c r="N3314" t="s">
        <v>26</v>
      </c>
      <c r="O3314" s="8">
        <v>1.856666667</v>
      </c>
      <c r="P3314" s="8">
        <f>EXP(-1.363+3.366*LOG(O3314,10))</f>
        <v>0.63226823262235543</v>
      </c>
      <c r="Q3314" s="8">
        <f>(2618262*100)/2995732</f>
        <v>87.399740697766021</v>
      </c>
    </row>
    <row r="3315" spans="1:17" x14ac:dyDescent="0.2">
      <c r="A3315">
        <f>YEAR(D3315)</f>
        <v>2019</v>
      </c>
      <c r="B3315" t="s">
        <v>26</v>
      </c>
      <c r="C3315" s="2" t="s">
        <v>1540</v>
      </c>
      <c r="D3315" s="1">
        <v>43648</v>
      </c>
      <c r="E3315">
        <f>MONTH(D3315)</f>
        <v>7</v>
      </c>
      <c r="F3315" s="2" t="s">
        <v>2098</v>
      </c>
      <c r="G3315" t="s">
        <v>362</v>
      </c>
      <c r="H3315" t="s">
        <v>447</v>
      </c>
      <c r="I3315" t="s">
        <v>36</v>
      </c>
      <c r="J3315" s="2" t="s">
        <v>42</v>
      </c>
      <c r="K3315" s="2" t="s">
        <v>3019</v>
      </c>
      <c r="L3315" t="s">
        <v>25</v>
      </c>
      <c r="M3315" s="8">
        <v>1.0956666669999999</v>
      </c>
      <c r="N3315" t="s">
        <v>26</v>
      </c>
      <c r="O3315" s="8">
        <v>1.0956666669999999</v>
      </c>
      <c r="P3315" s="8">
        <f>EXP(-1.363+3.366*LOG(O3315,10))</f>
        <v>0.29245562330904107</v>
      </c>
      <c r="Q3315" s="8">
        <f>(2618262*100)/2995732</f>
        <v>87.399740697766021</v>
      </c>
    </row>
    <row r="3316" spans="1:17" x14ac:dyDescent="0.2">
      <c r="A3316">
        <f>YEAR(D3316)</f>
        <v>2019</v>
      </c>
      <c r="B3316" t="s">
        <v>26</v>
      </c>
      <c r="C3316" s="2" t="s">
        <v>1540</v>
      </c>
      <c r="D3316" s="1">
        <v>43648</v>
      </c>
      <c r="E3316">
        <f>MONTH(D3316)</f>
        <v>7</v>
      </c>
      <c r="F3316" s="2" t="s">
        <v>2098</v>
      </c>
      <c r="G3316" t="s">
        <v>352</v>
      </c>
      <c r="H3316" t="s">
        <v>494</v>
      </c>
      <c r="I3316" t="s">
        <v>36</v>
      </c>
      <c r="J3316" s="2" t="s">
        <v>42</v>
      </c>
      <c r="K3316" s="2" t="s">
        <v>3019</v>
      </c>
      <c r="L3316" t="s">
        <v>25</v>
      </c>
      <c r="M3316" s="8">
        <v>1.5556666666666665</v>
      </c>
      <c r="N3316" t="s">
        <v>26</v>
      </c>
      <c r="O3316" s="8">
        <v>1.5556666666666665</v>
      </c>
      <c r="P3316" s="8">
        <f>EXP(-1.363+3.366*LOG(O3316,10))</f>
        <v>0.48821035747612018</v>
      </c>
      <c r="Q3316" s="8">
        <f>(2618262*100)/2995732</f>
        <v>87.399740697766021</v>
      </c>
    </row>
    <row r="3317" spans="1:17" x14ac:dyDescent="0.2">
      <c r="A3317">
        <f>YEAR(D3317)</f>
        <v>2019</v>
      </c>
      <c r="B3317" t="s">
        <v>26</v>
      </c>
      <c r="C3317" s="2" t="s">
        <v>1540</v>
      </c>
      <c r="D3317" s="1">
        <v>43648</v>
      </c>
      <c r="E3317">
        <f>MONTH(D3317)</f>
        <v>7</v>
      </c>
      <c r="F3317" s="2" t="s">
        <v>2098</v>
      </c>
      <c r="G3317" t="s">
        <v>219</v>
      </c>
      <c r="H3317" t="s">
        <v>220</v>
      </c>
      <c r="I3317" t="s">
        <v>22</v>
      </c>
      <c r="J3317" s="2" t="s">
        <v>42</v>
      </c>
      <c r="K3317" s="2" t="s">
        <v>3019</v>
      </c>
      <c r="L3317" t="s">
        <v>25</v>
      </c>
      <c r="M3317" s="10" t="s">
        <v>26</v>
      </c>
      <c r="N3317" t="s">
        <v>26</v>
      </c>
      <c r="O3317" s="10" t="s">
        <v>26</v>
      </c>
      <c r="P3317" s="8" t="s">
        <v>26</v>
      </c>
      <c r="Q3317" s="8">
        <f>(2618262*100)/2995732</f>
        <v>87.399740697766021</v>
      </c>
    </row>
    <row r="3318" spans="1:17" x14ac:dyDescent="0.2">
      <c r="A3318">
        <f>YEAR(D3318)</f>
        <v>2019</v>
      </c>
      <c r="B3318" t="s">
        <v>26</v>
      </c>
      <c r="C3318" s="2" t="s">
        <v>1540</v>
      </c>
      <c r="D3318" s="1">
        <v>43648</v>
      </c>
      <c r="E3318">
        <f>MONTH(D3318)</f>
        <v>7</v>
      </c>
      <c r="F3318" s="2" t="s">
        <v>2098</v>
      </c>
      <c r="G3318" t="s">
        <v>219</v>
      </c>
      <c r="H3318" t="s">
        <v>220</v>
      </c>
      <c r="I3318" t="s">
        <v>22</v>
      </c>
      <c r="J3318" s="2" t="s">
        <v>42</v>
      </c>
      <c r="K3318" s="2" t="s">
        <v>3019</v>
      </c>
      <c r="L3318" t="s">
        <v>25</v>
      </c>
      <c r="M3318" s="10" t="s">
        <v>26</v>
      </c>
      <c r="N3318" t="s">
        <v>26</v>
      </c>
      <c r="O3318" s="10" t="s">
        <v>26</v>
      </c>
      <c r="P3318" s="8" t="s">
        <v>26</v>
      </c>
      <c r="Q3318" s="8">
        <f>(2618262*100)/2995732</f>
        <v>87.399740697766021</v>
      </c>
    </row>
    <row r="3319" spans="1:17" x14ac:dyDescent="0.2">
      <c r="A3319">
        <f>YEAR(D3319)</f>
        <v>2019</v>
      </c>
      <c r="B3319" t="s">
        <v>26</v>
      </c>
      <c r="C3319" s="2" t="s">
        <v>1540</v>
      </c>
      <c r="D3319" s="1">
        <v>43648</v>
      </c>
      <c r="E3319">
        <f>MONTH(D3319)</f>
        <v>7</v>
      </c>
      <c r="F3319" s="2" t="s">
        <v>2098</v>
      </c>
      <c r="G3319" t="s">
        <v>219</v>
      </c>
      <c r="H3319" t="s">
        <v>220</v>
      </c>
      <c r="I3319" t="s">
        <v>22</v>
      </c>
      <c r="J3319" s="2" t="s">
        <v>42</v>
      </c>
      <c r="K3319" s="2" t="s">
        <v>3019</v>
      </c>
      <c r="L3319" t="s">
        <v>25</v>
      </c>
      <c r="M3319" s="10" t="s">
        <v>26</v>
      </c>
      <c r="N3319" t="s">
        <v>26</v>
      </c>
      <c r="O3319" s="10" t="s">
        <v>26</v>
      </c>
      <c r="P3319" s="8" t="s">
        <v>26</v>
      </c>
      <c r="Q3319" s="8">
        <f>(2618262*100)/2995732</f>
        <v>87.399740697766021</v>
      </c>
    </row>
    <row r="3320" spans="1:17" x14ac:dyDescent="0.2">
      <c r="A3320">
        <f>YEAR(D3320)</f>
        <v>2019</v>
      </c>
      <c r="B3320" t="s">
        <v>26</v>
      </c>
      <c r="C3320" s="2" t="s">
        <v>1540</v>
      </c>
      <c r="D3320" s="1">
        <v>43648</v>
      </c>
      <c r="E3320">
        <f>MONTH(D3320)</f>
        <v>7</v>
      </c>
      <c r="F3320" s="2" t="s">
        <v>2098</v>
      </c>
      <c r="G3320" t="s">
        <v>219</v>
      </c>
      <c r="H3320" t="s">
        <v>220</v>
      </c>
      <c r="I3320" t="s">
        <v>22</v>
      </c>
      <c r="J3320" s="2" t="s">
        <v>42</v>
      </c>
      <c r="K3320" s="2" t="s">
        <v>3019</v>
      </c>
      <c r="L3320" t="s">
        <v>25</v>
      </c>
      <c r="M3320" s="10" t="s">
        <v>26</v>
      </c>
      <c r="N3320" t="s">
        <v>26</v>
      </c>
      <c r="O3320" s="10" t="s">
        <v>26</v>
      </c>
      <c r="P3320" s="8" t="s">
        <v>26</v>
      </c>
      <c r="Q3320" s="8">
        <f>(2618262*100)/2995732</f>
        <v>87.399740697766021</v>
      </c>
    </row>
    <row r="3321" spans="1:17" x14ac:dyDescent="0.2">
      <c r="A3321">
        <f>YEAR(D3321)</f>
        <v>2019</v>
      </c>
      <c r="B3321" t="s">
        <v>26</v>
      </c>
      <c r="C3321" s="2" t="s">
        <v>1540</v>
      </c>
      <c r="D3321" s="1">
        <v>43648</v>
      </c>
      <c r="E3321">
        <f>MONTH(D3321)</f>
        <v>7</v>
      </c>
      <c r="F3321" s="2" t="s">
        <v>2098</v>
      </c>
      <c r="G3321" t="s">
        <v>219</v>
      </c>
      <c r="H3321" t="s">
        <v>220</v>
      </c>
      <c r="I3321" t="s">
        <v>22</v>
      </c>
      <c r="J3321" s="2" t="s">
        <v>42</v>
      </c>
      <c r="K3321" s="2" t="s">
        <v>3019</v>
      </c>
      <c r="L3321" t="s">
        <v>25</v>
      </c>
      <c r="M3321" s="10" t="s">
        <v>26</v>
      </c>
      <c r="N3321" t="s">
        <v>26</v>
      </c>
      <c r="O3321" s="10" t="s">
        <v>26</v>
      </c>
      <c r="P3321" s="8" t="s">
        <v>26</v>
      </c>
      <c r="Q3321" s="8">
        <f>(2618262*100)/2995732</f>
        <v>87.399740697766021</v>
      </c>
    </row>
    <row r="3322" spans="1:17" x14ac:dyDescent="0.2">
      <c r="A3322">
        <f>YEAR(D3322)</f>
        <v>2019</v>
      </c>
      <c r="B3322" t="s">
        <v>26</v>
      </c>
      <c r="C3322" s="2" t="s">
        <v>1540</v>
      </c>
      <c r="D3322" s="1">
        <v>43648</v>
      </c>
      <c r="E3322">
        <f>MONTH(D3322)</f>
        <v>7</v>
      </c>
      <c r="F3322" s="2" t="s">
        <v>2098</v>
      </c>
      <c r="G3322" t="s">
        <v>219</v>
      </c>
      <c r="H3322" t="s">
        <v>220</v>
      </c>
      <c r="I3322" t="s">
        <v>22</v>
      </c>
      <c r="J3322" s="2" t="s">
        <v>42</v>
      </c>
      <c r="K3322" s="2" t="s">
        <v>3019</v>
      </c>
      <c r="L3322" t="s">
        <v>25</v>
      </c>
      <c r="M3322" s="10" t="s">
        <v>26</v>
      </c>
      <c r="N3322" t="s">
        <v>26</v>
      </c>
      <c r="O3322" s="10" t="s">
        <v>26</v>
      </c>
      <c r="P3322" s="8" t="s">
        <v>26</v>
      </c>
      <c r="Q3322" s="8">
        <f>(2618262*100)/2995732</f>
        <v>87.399740697766021</v>
      </c>
    </row>
    <row r="3323" spans="1:17" x14ac:dyDescent="0.2">
      <c r="A3323">
        <f>YEAR(D3323)</f>
        <v>2019</v>
      </c>
      <c r="B3323" t="s">
        <v>26</v>
      </c>
      <c r="C3323" s="2" t="s">
        <v>1540</v>
      </c>
      <c r="D3323" s="1">
        <v>43648</v>
      </c>
      <c r="E3323">
        <f>MONTH(D3323)</f>
        <v>7</v>
      </c>
      <c r="F3323" s="2" t="s">
        <v>2098</v>
      </c>
      <c r="G3323" t="s">
        <v>219</v>
      </c>
      <c r="H3323" t="s">
        <v>220</v>
      </c>
      <c r="I3323" t="s">
        <v>22</v>
      </c>
      <c r="J3323" s="2" t="s">
        <v>42</v>
      </c>
      <c r="K3323" s="2" t="s">
        <v>3019</v>
      </c>
      <c r="L3323" t="s">
        <v>25</v>
      </c>
      <c r="M3323" s="10" t="s">
        <v>26</v>
      </c>
      <c r="N3323" t="s">
        <v>26</v>
      </c>
      <c r="O3323" s="10" t="s">
        <v>26</v>
      </c>
      <c r="P3323" s="8" t="s">
        <v>26</v>
      </c>
      <c r="Q3323" s="8">
        <f>(2618262*100)/2995732</f>
        <v>87.399740697766021</v>
      </c>
    </row>
    <row r="3324" spans="1:17" x14ac:dyDescent="0.2">
      <c r="A3324">
        <f>YEAR(D3324)</f>
        <v>2019</v>
      </c>
      <c r="B3324" t="s">
        <v>26</v>
      </c>
      <c r="C3324" s="2" t="s">
        <v>1540</v>
      </c>
      <c r="D3324" s="1">
        <v>43648</v>
      </c>
      <c r="E3324">
        <f>MONTH(D3324)</f>
        <v>7</v>
      </c>
      <c r="F3324" s="2" t="s">
        <v>2098</v>
      </c>
      <c r="G3324" t="s">
        <v>219</v>
      </c>
      <c r="H3324" t="s">
        <v>220</v>
      </c>
      <c r="I3324" t="s">
        <v>22</v>
      </c>
      <c r="J3324" s="2" t="s">
        <v>42</v>
      </c>
      <c r="K3324" s="2" t="s">
        <v>3019</v>
      </c>
      <c r="L3324" t="s">
        <v>25</v>
      </c>
      <c r="M3324" s="10" t="s">
        <v>26</v>
      </c>
      <c r="N3324" t="s">
        <v>26</v>
      </c>
      <c r="O3324" s="10" t="s">
        <v>26</v>
      </c>
      <c r="P3324" s="8" t="s">
        <v>26</v>
      </c>
      <c r="Q3324" s="8">
        <f>(2618262*100)/2995732</f>
        <v>87.399740697766021</v>
      </c>
    </row>
    <row r="3325" spans="1:17" x14ac:dyDescent="0.2">
      <c r="A3325">
        <f>YEAR(D3325)</f>
        <v>2019</v>
      </c>
      <c r="B3325" t="s">
        <v>26</v>
      </c>
      <c r="C3325" s="2" t="s">
        <v>1540</v>
      </c>
      <c r="D3325" s="1">
        <v>43648</v>
      </c>
      <c r="E3325">
        <f>MONTH(D3325)</f>
        <v>7</v>
      </c>
      <c r="F3325" s="2" t="s">
        <v>2098</v>
      </c>
      <c r="G3325" t="s">
        <v>219</v>
      </c>
      <c r="H3325" t="s">
        <v>220</v>
      </c>
      <c r="I3325" t="s">
        <v>22</v>
      </c>
      <c r="J3325" s="2" t="s">
        <v>42</v>
      </c>
      <c r="K3325" s="2" t="s">
        <v>3019</v>
      </c>
      <c r="L3325" t="s">
        <v>25</v>
      </c>
      <c r="M3325" s="10" t="s">
        <v>26</v>
      </c>
      <c r="N3325" t="s">
        <v>26</v>
      </c>
      <c r="O3325" s="10" t="s">
        <v>26</v>
      </c>
      <c r="P3325" s="8" t="s">
        <v>26</v>
      </c>
      <c r="Q3325" s="8">
        <f>(2618262*100)/2995732</f>
        <v>87.399740697766021</v>
      </c>
    </row>
    <row r="3326" spans="1:17" x14ac:dyDescent="0.2">
      <c r="A3326">
        <f>YEAR(D3326)</f>
        <v>2019</v>
      </c>
      <c r="B3326" t="s">
        <v>26</v>
      </c>
      <c r="C3326" s="2" t="s">
        <v>1540</v>
      </c>
      <c r="D3326" s="1">
        <v>43648</v>
      </c>
      <c r="E3326">
        <f>MONTH(D3326)</f>
        <v>7</v>
      </c>
      <c r="F3326" s="2" t="s">
        <v>2098</v>
      </c>
      <c r="G3326" t="s">
        <v>219</v>
      </c>
      <c r="H3326" t="s">
        <v>220</v>
      </c>
      <c r="I3326" t="s">
        <v>22</v>
      </c>
      <c r="J3326" s="2" t="s">
        <v>42</v>
      </c>
      <c r="K3326" s="2" t="s">
        <v>3019</v>
      </c>
      <c r="L3326" t="s">
        <v>25</v>
      </c>
      <c r="M3326" s="10" t="s">
        <v>26</v>
      </c>
      <c r="N3326" t="s">
        <v>26</v>
      </c>
      <c r="O3326" s="10" t="s">
        <v>26</v>
      </c>
      <c r="P3326" s="8" t="s">
        <v>26</v>
      </c>
      <c r="Q3326" s="8">
        <f>(2618262*100)/2995732</f>
        <v>87.399740697766021</v>
      </c>
    </row>
    <row r="3327" spans="1:17" x14ac:dyDescent="0.2">
      <c r="A3327">
        <f>YEAR(D3327)</f>
        <v>2019</v>
      </c>
      <c r="B3327" t="s">
        <v>26</v>
      </c>
      <c r="C3327" s="2" t="s">
        <v>1540</v>
      </c>
      <c r="D3327" s="1">
        <v>43648</v>
      </c>
      <c r="E3327">
        <f>MONTH(D3327)</f>
        <v>7</v>
      </c>
      <c r="F3327" s="2" t="s">
        <v>2098</v>
      </c>
      <c r="G3327" t="s">
        <v>219</v>
      </c>
      <c r="H3327" t="s">
        <v>220</v>
      </c>
      <c r="I3327" t="s">
        <v>22</v>
      </c>
      <c r="J3327" s="2" t="s">
        <v>42</v>
      </c>
      <c r="K3327" s="2" t="s">
        <v>3019</v>
      </c>
      <c r="L3327" t="s">
        <v>25</v>
      </c>
      <c r="M3327" s="10" t="s">
        <v>26</v>
      </c>
      <c r="N3327" t="s">
        <v>26</v>
      </c>
      <c r="O3327" s="10" t="s">
        <v>26</v>
      </c>
      <c r="P3327" s="8" t="s">
        <v>26</v>
      </c>
      <c r="Q3327" s="8">
        <f>(2618262*100)/2995732</f>
        <v>87.399740697766021</v>
      </c>
    </row>
    <row r="3328" spans="1:17" x14ac:dyDescent="0.2">
      <c r="A3328">
        <f>YEAR(D3328)</f>
        <v>2019</v>
      </c>
      <c r="B3328" t="s">
        <v>26</v>
      </c>
      <c r="C3328" s="2" t="s">
        <v>1540</v>
      </c>
      <c r="D3328" s="1">
        <v>43648</v>
      </c>
      <c r="E3328">
        <f>MONTH(D3328)</f>
        <v>7</v>
      </c>
      <c r="F3328" s="2" t="s">
        <v>2098</v>
      </c>
      <c r="G3328" t="s">
        <v>219</v>
      </c>
      <c r="H3328" t="s">
        <v>220</v>
      </c>
      <c r="I3328" t="s">
        <v>22</v>
      </c>
      <c r="J3328" s="2" t="s">
        <v>42</v>
      </c>
      <c r="K3328" s="2" t="s">
        <v>3019</v>
      </c>
      <c r="L3328" t="s">
        <v>25</v>
      </c>
      <c r="M3328" s="10" t="s">
        <v>26</v>
      </c>
      <c r="N3328" t="s">
        <v>26</v>
      </c>
      <c r="O3328" s="10" t="s">
        <v>26</v>
      </c>
      <c r="P3328" s="8" t="s">
        <v>26</v>
      </c>
      <c r="Q3328" s="8">
        <f>(2618262*100)/2995732</f>
        <v>87.399740697766021</v>
      </c>
    </row>
    <row r="3329" spans="1:17" x14ac:dyDescent="0.2">
      <c r="A3329">
        <f>YEAR(D3329)</f>
        <v>2019</v>
      </c>
      <c r="B3329" t="s">
        <v>26</v>
      </c>
      <c r="C3329" s="2" t="s">
        <v>1540</v>
      </c>
      <c r="D3329" s="1">
        <v>43648</v>
      </c>
      <c r="E3329">
        <f>MONTH(D3329)</f>
        <v>7</v>
      </c>
      <c r="F3329" s="2" t="s">
        <v>2098</v>
      </c>
      <c r="G3329" t="s">
        <v>219</v>
      </c>
      <c r="H3329" t="s">
        <v>220</v>
      </c>
      <c r="I3329" t="s">
        <v>22</v>
      </c>
      <c r="J3329" s="2" t="s">
        <v>42</v>
      </c>
      <c r="K3329" s="2" t="s">
        <v>3019</v>
      </c>
      <c r="L3329" t="s">
        <v>25</v>
      </c>
      <c r="M3329" s="10" t="s">
        <v>26</v>
      </c>
      <c r="N3329" t="s">
        <v>26</v>
      </c>
      <c r="O3329" s="10" t="s">
        <v>26</v>
      </c>
      <c r="P3329" s="8" t="s">
        <v>26</v>
      </c>
      <c r="Q3329" s="8">
        <f>(2618262*100)/2995732</f>
        <v>87.399740697766021</v>
      </c>
    </row>
    <row r="3330" spans="1:17" x14ac:dyDescent="0.2">
      <c r="A3330">
        <f>YEAR(D3330)</f>
        <v>2019</v>
      </c>
      <c r="B3330" t="s">
        <v>26</v>
      </c>
      <c r="C3330" s="2" t="s">
        <v>1540</v>
      </c>
      <c r="D3330" s="1">
        <v>43648</v>
      </c>
      <c r="E3330">
        <f>MONTH(D3330)</f>
        <v>7</v>
      </c>
      <c r="F3330" s="2" t="s">
        <v>2098</v>
      </c>
      <c r="G3330" t="s">
        <v>219</v>
      </c>
      <c r="H3330" t="s">
        <v>220</v>
      </c>
      <c r="I3330" t="s">
        <v>22</v>
      </c>
      <c r="J3330" s="2" t="s">
        <v>42</v>
      </c>
      <c r="K3330" s="2" t="s">
        <v>3019</v>
      </c>
      <c r="L3330" t="s">
        <v>25</v>
      </c>
      <c r="M3330" s="10" t="s">
        <v>26</v>
      </c>
      <c r="N3330" t="s">
        <v>26</v>
      </c>
      <c r="O3330" s="10" t="s">
        <v>26</v>
      </c>
      <c r="P3330" s="8" t="s">
        <v>26</v>
      </c>
      <c r="Q3330" s="8">
        <f>(2618262*100)/2995732</f>
        <v>87.399740697766021</v>
      </c>
    </row>
    <row r="3331" spans="1:17" x14ac:dyDescent="0.2">
      <c r="A3331">
        <f>YEAR(D3331)</f>
        <v>2019</v>
      </c>
      <c r="B3331" t="s">
        <v>26</v>
      </c>
      <c r="C3331" s="2" t="s">
        <v>1540</v>
      </c>
      <c r="D3331" s="1">
        <v>43648</v>
      </c>
      <c r="E3331">
        <f>MONTH(D3331)</f>
        <v>7</v>
      </c>
      <c r="F3331" s="2" t="s">
        <v>2098</v>
      </c>
      <c r="G3331" t="s">
        <v>219</v>
      </c>
      <c r="H3331" t="s">
        <v>220</v>
      </c>
      <c r="I3331" t="s">
        <v>22</v>
      </c>
      <c r="J3331" s="2" t="s">
        <v>42</v>
      </c>
      <c r="K3331" s="2" t="s">
        <v>3019</v>
      </c>
      <c r="L3331" t="s">
        <v>25</v>
      </c>
      <c r="M3331" s="10" t="s">
        <v>26</v>
      </c>
      <c r="N3331" t="s">
        <v>26</v>
      </c>
      <c r="O3331" s="10" t="s">
        <v>26</v>
      </c>
      <c r="P3331" s="8" t="s">
        <v>26</v>
      </c>
      <c r="Q3331" s="8">
        <f>(2618262*100)/2995732</f>
        <v>87.399740697766021</v>
      </c>
    </row>
    <row r="3332" spans="1:17" x14ac:dyDescent="0.2">
      <c r="A3332">
        <f>YEAR(D3332)</f>
        <v>2019</v>
      </c>
      <c r="B3332" t="s">
        <v>26</v>
      </c>
      <c r="C3332" s="2" t="s">
        <v>1540</v>
      </c>
      <c r="D3332" s="1">
        <v>43648</v>
      </c>
      <c r="E3332">
        <f>MONTH(D3332)</f>
        <v>7</v>
      </c>
      <c r="F3332" s="2" t="s">
        <v>2098</v>
      </c>
      <c r="G3332" t="s">
        <v>219</v>
      </c>
      <c r="H3332" t="s">
        <v>220</v>
      </c>
      <c r="I3332" t="s">
        <v>22</v>
      </c>
      <c r="J3332" s="2" t="s">
        <v>42</v>
      </c>
      <c r="K3332" s="2" t="s">
        <v>3019</v>
      </c>
      <c r="L3332" t="s">
        <v>25</v>
      </c>
      <c r="M3332" s="10" t="s">
        <v>26</v>
      </c>
      <c r="N3332" t="s">
        <v>26</v>
      </c>
      <c r="O3332" s="10" t="s">
        <v>26</v>
      </c>
      <c r="P3332" s="8" t="s">
        <v>26</v>
      </c>
      <c r="Q3332" s="8">
        <f>(2618262*100)/2995732</f>
        <v>87.399740697766021</v>
      </c>
    </row>
    <row r="3333" spans="1:17" x14ac:dyDescent="0.2">
      <c r="A3333">
        <f>YEAR(D3333)</f>
        <v>2019</v>
      </c>
      <c r="B3333" t="s">
        <v>26</v>
      </c>
      <c r="C3333" s="2" t="s">
        <v>1540</v>
      </c>
      <c r="D3333" s="1">
        <v>43648</v>
      </c>
      <c r="E3333">
        <f>MONTH(D3333)</f>
        <v>7</v>
      </c>
      <c r="F3333" s="2" t="s">
        <v>2098</v>
      </c>
      <c r="G3333" t="s">
        <v>219</v>
      </c>
      <c r="H3333" t="s">
        <v>220</v>
      </c>
      <c r="I3333" t="s">
        <v>22</v>
      </c>
      <c r="J3333" s="2" t="s">
        <v>42</v>
      </c>
      <c r="K3333" s="2" t="s">
        <v>3019</v>
      </c>
      <c r="L3333" t="s">
        <v>25</v>
      </c>
      <c r="M3333" s="10" t="s">
        <v>26</v>
      </c>
      <c r="N3333" t="s">
        <v>26</v>
      </c>
      <c r="O3333" s="10" t="s">
        <v>26</v>
      </c>
      <c r="P3333" s="8" t="s">
        <v>26</v>
      </c>
      <c r="Q3333" s="8">
        <f>(2618262*100)/2995732</f>
        <v>87.399740697766021</v>
      </c>
    </row>
    <row r="3334" spans="1:17" x14ac:dyDescent="0.2">
      <c r="A3334">
        <f>YEAR(D3334)</f>
        <v>2019</v>
      </c>
      <c r="B3334" t="s">
        <v>26</v>
      </c>
      <c r="C3334" s="2" t="s">
        <v>1540</v>
      </c>
      <c r="D3334" s="1">
        <v>43648</v>
      </c>
      <c r="E3334">
        <f>MONTH(D3334)</f>
        <v>7</v>
      </c>
      <c r="F3334" s="2" t="s">
        <v>2098</v>
      </c>
      <c r="G3334" t="s">
        <v>219</v>
      </c>
      <c r="H3334" t="s">
        <v>220</v>
      </c>
      <c r="I3334" t="s">
        <v>22</v>
      </c>
      <c r="J3334" s="2" t="s">
        <v>42</v>
      </c>
      <c r="K3334" s="2" t="s">
        <v>3019</v>
      </c>
      <c r="L3334" t="s">
        <v>25</v>
      </c>
      <c r="M3334" s="10" t="s">
        <v>26</v>
      </c>
      <c r="N3334" t="s">
        <v>26</v>
      </c>
      <c r="O3334" s="10" t="s">
        <v>26</v>
      </c>
      <c r="P3334" s="8" t="s">
        <v>26</v>
      </c>
      <c r="Q3334" s="8">
        <f>(2618262*100)/2995732</f>
        <v>87.399740697766021</v>
      </c>
    </row>
    <row r="3335" spans="1:17" x14ac:dyDescent="0.2">
      <c r="A3335">
        <f>YEAR(D3335)</f>
        <v>2019</v>
      </c>
      <c r="B3335" t="s">
        <v>26</v>
      </c>
      <c r="C3335" s="2" t="s">
        <v>1540</v>
      </c>
      <c r="D3335" s="1">
        <v>43648</v>
      </c>
      <c r="E3335">
        <f>MONTH(D3335)</f>
        <v>7</v>
      </c>
      <c r="F3335" s="2" t="s">
        <v>2098</v>
      </c>
      <c r="G3335" t="s">
        <v>219</v>
      </c>
      <c r="H3335" t="s">
        <v>220</v>
      </c>
      <c r="I3335" t="s">
        <v>22</v>
      </c>
      <c r="J3335" s="2" t="s">
        <v>42</v>
      </c>
      <c r="K3335" s="2" t="s">
        <v>3019</v>
      </c>
      <c r="L3335" t="s">
        <v>25</v>
      </c>
      <c r="M3335" s="10" t="s">
        <v>26</v>
      </c>
      <c r="N3335" t="s">
        <v>26</v>
      </c>
      <c r="O3335" s="10" t="s">
        <v>26</v>
      </c>
      <c r="P3335" s="8" t="s">
        <v>26</v>
      </c>
      <c r="Q3335" s="8">
        <f>(2618262*100)/2995732</f>
        <v>87.399740697766021</v>
      </c>
    </row>
    <row r="3336" spans="1:17" x14ac:dyDescent="0.2">
      <c r="A3336">
        <f>YEAR(D3336)</f>
        <v>2019</v>
      </c>
      <c r="B3336" t="s">
        <v>26</v>
      </c>
      <c r="C3336" s="2" t="s">
        <v>1540</v>
      </c>
      <c r="D3336" s="1">
        <v>43648</v>
      </c>
      <c r="E3336">
        <f>MONTH(D3336)</f>
        <v>7</v>
      </c>
      <c r="F3336" s="2" t="s">
        <v>2098</v>
      </c>
      <c r="G3336" t="s">
        <v>219</v>
      </c>
      <c r="H3336" t="s">
        <v>220</v>
      </c>
      <c r="I3336" t="s">
        <v>22</v>
      </c>
      <c r="J3336" s="2" t="s">
        <v>42</v>
      </c>
      <c r="K3336" s="2" t="s">
        <v>3019</v>
      </c>
      <c r="L3336" t="s">
        <v>25</v>
      </c>
      <c r="M3336" s="10" t="s">
        <v>26</v>
      </c>
      <c r="N3336" t="s">
        <v>26</v>
      </c>
      <c r="O3336" s="10" t="s">
        <v>26</v>
      </c>
      <c r="P3336" s="8" t="s">
        <v>26</v>
      </c>
      <c r="Q3336" s="8">
        <f>(2618262*100)/2995732</f>
        <v>87.399740697766021</v>
      </c>
    </row>
    <row r="3337" spans="1:17" x14ac:dyDescent="0.2">
      <c r="A3337">
        <f>YEAR(D3337)</f>
        <v>2019</v>
      </c>
      <c r="B3337" t="s">
        <v>26</v>
      </c>
      <c r="C3337" s="2" t="s">
        <v>1540</v>
      </c>
      <c r="D3337" s="1">
        <v>43648</v>
      </c>
      <c r="E3337">
        <f>MONTH(D3337)</f>
        <v>7</v>
      </c>
      <c r="F3337" s="2" t="s">
        <v>2098</v>
      </c>
      <c r="G3337" t="s">
        <v>219</v>
      </c>
      <c r="H3337" t="s">
        <v>220</v>
      </c>
      <c r="I3337" t="s">
        <v>22</v>
      </c>
      <c r="J3337" s="2" t="s">
        <v>42</v>
      </c>
      <c r="K3337" s="2" t="s">
        <v>3019</v>
      </c>
      <c r="L3337" t="s">
        <v>25</v>
      </c>
      <c r="M3337" s="10" t="s">
        <v>26</v>
      </c>
      <c r="N3337" t="s">
        <v>26</v>
      </c>
      <c r="O3337" s="10" t="s">
        <v>26</v>
      </c>
      <c r="P3337" s="8" t="s">
        <v>26</v>
      </c>
      <c r="Q3337" s="8">
        <f>(2618262*100)/2995732</f>
        <v>87.399740697766021</v>
      </c>
    </row>
    <row r="3338" spans="1:17" x14ac:dyDescent="0.2">
      <c r="A3338">
        <f>YEAR(D3338)</f>
        <v>2019</v>
      </c>
      <c r="B3338" t="s">
        <v>26</v>
      </c>
      <c r="C3338" s="2" t="s">
        <v>1540</v>
      </c>
      <c r="D3338" s="1">
        <v>43648</v>
      </c>
      <c r="E3338">
        <f>MONTH(D3338)</f>
        <v>7</v>
      </c>
      <c r="F3338" s="2" t="s">
        <v>2098</v>
      </c>
      <c r="G3338" t="s">
        <v>219</v>
      </c>
      <c r="H3338" t="s">
        <v>220</v>
      </c>
      <c r="I3338" t="s">
        <v>22</v>
      </c>
      <c r="J3338" s="2" t="s">
        <v>42</v>
      </c>
      <c r="K3338" s="2" t="s">
        <v>3019</v>
      </c>
      <c r="L3338" t="s">
        <v>25</v>
      </c>
      <c r="M3338" s="10" t="s">
        <v>26</v>
      </c>
      <c r="N3338" t="s">
        <v>26</v>
      </c>
      <c r="O3338" s="10" t="s">
        <v>26</v>
      </c>
      <c r="P3338" s="8" t="s">
        <v>26</v>
      </c>
      <c r="Q3338" s="8">
        <f>(2618262*100)/2995732</f>
        <v>87.399740697766021</v>
      </c>
    </row>
    <row r="3339" spans="1:17" x14ac:dyDescent="0.2">
      <c r="A3339">
        <f>YEAR(D3339)</f>
        <v>2019</v>
      </c>
      <c r="B3339" t="s">
        <v>26</v>
      </c>
      <c r="C3339" s="2" t="s">
        <v>1540</v>
      </c>
      <c r="D3339" s="1">
        <v>43648</v>
      </c>
      <c r="E3339">
        <f>MONTH(D3339)</f>
        <v>7</v>
      </c>
      <c r="F3339" s="2" t="s">
        <v>2098</v>
      </c>
      <c r="G3339" t="s">
        <v>219</v>
      </c>
      <c r="H3339" t="s">
        <v>220</v>
      </c>
      <c r="I3339" t="s">
        <v>22</v>
      </c>
      <c r="J3339" s="2" t="s">
        <v>42</v>
      </c>
      <c r="K3339" s="2" t="s">
        <v>3019</v>
      </c>
      <c r="L3339" t="s">
        <v>25</v>
      </c>
      <c r="M3339" s="10" t="s">
        <v>26</v>
      </c>
      <c r="N3339" t="s">
        <v>26</v>
      </c>
      <c r="O3339" s="10" t="s">
        <v>26</v>
      </c>
      <c r="P3339" s="8" t="s">
        <v>26</v>
      </c>
      <c r="Q3339" s="8">
        <f>(2618262*100)/2995732</f>
        <v>87.399740697766021</v>
      </c>
    </row>
    <row r="3340" spans="1:17" x14ac:dyDescent="0.2">
      <c r="A3340">
        <f>YEAR(D3340)</f>
        <v>2019</v>
      </c>
      <c r="B3340" t="s">
        <v>26</v>
      </c>
      <c r="C3340" s="2" t="s">
        <v>1540</v>
      </c>
      <c r="D3340" s="1">
        <v>43648</v>
      </c>
      <c r="E3340">
        <f>MONTH(D3340)</f>
        <v>7</v>
      </c>
      <c r="F3340" s="2" t="s">
        <v>2098</v>
      </c>
      <c r="G3340" t="s">
        <v>219</v>
      </c>
      <c r="H3340" t="s">
        <v>220</v>
      </c>
      <c r="I3340" t="s">
        <v>22</v>
      </c>
      <c r="J3340" s="2" t="s">
        <v>42</v>
      </c>
      <c r="K3340" s="2" t="s">
        <v>3019</v>
      </c>
      <c r="L3340" t="s">
        <v>25</v>
      </c>
      <c r="M3340" s="10" t="s">
        <v>26</v>
      </c>
      <c r="N3340" t="s">
        <v>26</v>
      </c>
      <c r="O3340" s="10" t="s">
        <v>26</v>
      </c>
      <c r="P3340" s="8" t="s">
        <v>26</v>
      </c>
      <c r="Q3340" s="8">
        <f>(2618262*100)/2995732</f>
        <v>87.399740697766021</v>
      </c>
    </row>
    <row r="3341" spans="1:17" x14ac:dyDescent="0.2">
      <c r="A3341">
        <f>YEAR(D3341)</f>
        <v>2019</v>
      </c>
      <c r="B3341" t="s">
        <v>26</v>
      </c>
      <c r="C3341" s="2" t="s">
        <v>1540</v>
      </c>
      <c r="D3341" s="1">
        <v>43648</v>
      </c>
      <c r="E3341">
        <f>MONTH(D3341)</f>
        <v>7</v>
      </c>
      <c r="F3341" s="2" t="s">
        <v>2098</v>
      </c>
      <c r="G3341" t="s">
        <v>219</v>
      </c>
      <c r="H3341" t="s">
        <v>220</v>
      </c>
      <c r="I3341" t="s">
        <v>22</v>
      </c>
      <c r="J3341" s="2" t="s">
        <v>42</v>
      </c>
      <c r="K3341" s="2" t="s">
        <v>3019</v>
      </c>
      <c r="L3341" t="s">
        <v>25</v>
      </c>
      <c r="M3341" s="10" t="s">
        <v>26</v>
      </c>
      <c r="N3341" t="s">
        <v>26</v>
      </c>
      <c r="O3341" s="10" t="s">
        <v>26</v>
      </c>
      <c r="P3341" s="8" t="s">
        <v>26</v>
      </c>
      <c r="Q3341" s="8">
        <f>(2618262*100)/2995732</f>
        <v>87.399740697766021</v>
      </c>
    </row>
    <row r="3342" spans="1:17" x14ac:dyDescent="0.2">
      <c r="A3342">
        <f>YEAR(D3342)</f>
        <v>2019</v>
      </c>
      <c r="B3342" t="s">
        <v>26</v>
      </c>
      <c r="C3342" s="2" t="s">
        <v>1540</v>
      </c>
      <c r="D3342" s="1">
        <v>43648</v>
      </c>
      <c r="E3342">
        <f>MONTH(D3342)</f>
        <v>7</v>
      </c>
      <c r="F3342" s="2" t="s">
        <v>2098</v>
      </c>
      <c r="G3342" t="s">
        <v>219</v>
      </c>
      <c r="H3342" t="s">
        <v>220</v>
      </c>
      <c r="I3342" t="s">
        <v>22</v>
      </c>
      <c r="J3342" s="2" t="s">
        <v>42</v>
      </c>
      <c r="K3342" s="2" t="s">
        <v>3019</v>
      </c>
      <c r="L3342" t="s">
        <v>25</v>
      </c>
      <c r="M3342" s="10" t="s">
        <v>26</v>
      </c>
      <c r="N3342" t="s">
        <v>26</v>
      </c>
      <c r="O3342" s="10" t="s">
        <v>26</v>
      </c>
      <c r="P3342" s="8" t="s">
        <v>26</v>
      </c>
      <c r="Q3342" s="8">
        <f>(2618262*100)/2995732</f>
        <v>87.399740697766021</v>
      </c>
    </row>
    <row r="3343" spans="1:17" x14ac:dyDescent="0.2">
      <c r="A3343">
        <f>YEAR(D3343)</f>
        <v>2019</v>
      </c>
      <c r="B3343" t="s">
        <v>26</v>
      </c>
      <c r="C3343" s="2" t="s">
        <v>1540</v>
      </c>
      <c r="D3343" s="1">
        <v>43648</v>
      </c>
      <c r="E3343">
        <f>MONTH(D3343)</f>
        <v>7</v>
      </c>
      <c r="F3343" s="2" t="s">
        <v>2098</v>
      </c>
      <c r="G3343" t="s">
        <v>219</v>
      </c>
      <c r="H3343" t="s">
        <v>220</v>
      </c>
      <c r="I3343" t="s">
        <v>22</v>
      </c>
      <c r="J3343" s="2" t="s">
        <v>42</v>
      </c>
      <c r="K3343" s="2" t="s">
        <v>3019</v>
      </c>
      <c r="L3343" t="s">
        <v>25</v>
      </c>
      <c r="M3343" s="10" t="s">
        <v>26</v>
      </c>
      <c r="N3343" t="s">
        <v>26</v>
      </c>
      <c r="O3343" s="10" t="s">
        <v>26</v>
      </c>
      <c r="P3343" s="8" t="s">
        <v>26</v>
      </c>
      <c r="Q3343" s="8">
        <f>(2618262*100)/2995732</f>
        <v>87.399740697766021</v>
      </c>
    </row>
    <row r="3344" spans="1:17" x14ac:dyDescent="0.2">
      <c r="A3344">
        <f>YEAR(D3344)</f>
        <v>2019</v>
      </c>
      <c r="B3344" t="s">
        <v>26</v>
      </c>
      <c r="C3344" s="2" t="s">
        <v>1540</v>
      </c>
      <c r="D3344" s="1">
        <v>43648</v>
      </c>
      <c r="E3344">
        <f>MONTH(D3344)</f>
        <v>7</v>
      </c>
      <c r="F3344" s="2" t="s">
        <v>2098</v>
      </c>
      <c r="G3344" t="s">
        <v>219</v>
      </c>
      <c r="H3344" t="s">
        <v>220</v>
      </c>
      <c r="I3344" t="s">
        <v>22</v>
      </c>
      <c r="J3344" s="2" t="s">
        <v>42</v>
      </c>
      <c r="K3344" s="2" t="s">
        <v>3019</v>
      </c>
      <c r="L3344" t="s">
        <v>25</v>
      </c>
      <c r="M3344" s="10" t="s">
        <v>26</v>
      </c>
      <c r="N3344" t="s">
        <v>26</v>
      </c>
      <c r="O3344" s="10" t="s">
        <v>26</v>
      </c>
      <c r="P3344" s="8" t="s">
        <v>26</v>
      </c>
      <c r="Q3344" s="8">
        <f>(2618262*100)/2995732</f>
        <v>87.399740697766021</v>
      </c>
    </row>
    <row r="3345" spans="1:17" x14ac:dyDescent="0.2">
      <c r="A3345">
        <f>YEAR(D3345)</f>
        <v>2019</v>
      </c>
      <c r="B3345" t="s">
        <v>26</v>
      </c>
      <c r="C3345" s="2" t="s">
        <v>1540</v>
      </c>
      <c r="D3345" s="1">
        <v>43648</v>
      </c>
      <c r="E3345">
        <f>MONTH(D3345)</f>
        <v>7</v>
      </c>
      <c r="F3345" s="2" t="s">
        <v>2098</v>
      </c>
      <c r="G3345" t="s">
        <v>219</v>
      </c>
      <c r="H3345" t="s">
        <v>220</v>
      </c>
      <c r="I3345" t="s">
        <v>22</v>
      </c>
      <c r="J3345" s="2" t="s">
        <v>42</v>
      </c>
      <c r="K3345" s="2" t="s">
        <v>3019</v>
      </c>
      <c r="L3345" t="s">
        <v>25</v>
      </c>
      <c r="M3345" s="10" t="s">
        <v>26</v>
      </c>
      <c r="N3345" t="s">
        <v>26</v>
      </c>
      <c r="O3345" s="10" t="s">
        <v>26</v>
      </c>
      <c r="P3345" s="8" t="s">
        <v>26</v>
      </c>
      <c r="Q3345" s="8">
        <f>(2618262*100)/2995732</f>
        <v>87.399740697766021</v>
      </c>
    </row>
    <row r="3346" spans="1:17" x14ac:dyDescent="0.2">
      <c r="A3346">
        <f>YEAR(D3346)</f>
        <v>2019</v>
      </c>
      <c r="B3346" t="s">
        <v>26</v>
      </c>
      <c r="C3346" s="2" t="s">
        <v>1540</v>
      </c>
      <c r="D3346" s="1">
        <v>43648</v>
      </c>
      <c r="E3346">
        <f>MONTH(D3346)</f>
        <v>7</v>
      </c>
      <c r="F3346" s="2" t="s">
        <v>2098</v>
      </c>
      <c r="G3346" t="s">
        <v>219</v>
      </c>
      <c r="H3346" t="s">
        <v>220</v>
      </c>
      <c r="I3346" t="s">
        <v>22</v>
      </c>
      <c r="J3346" s="2" t="s">
        <v>42</v>
      </c>
      <c r="K3346" s="2" t="s">
        <v>3019</v>
      </c>
      <c r="L3346" t="s">
        <v>25</v>
      </c>
      <c r="M3346" s="10" t="s">
        <v>26</v>
      </c>
      <c r="N3346" t="s">
        <v>26</v>
      </c>
      <c r="O3346" s="10" t="s">
        <v>26</v>
      </c>
      <c r="P3346" s="8" t="s">
        <v>26</v>
      </c>
      <c r="Q3346" s="8">
        <f>(2618262*100)/2995732</f>
        <v>87.399740697766021</v>
      </c>
    </row>
    <row r="3347" spans="1:17" x14ac:dyDescent="0.2">
      <c r="A3347">
        <f>YEAR(D3347)</f>
        <v>2019</v>
      </c>
      <c r="B3347" t="s">
        <v>26</v>
      </c>
      <c r="C3347" s="2" t="s">
        <v>1540</v>
      </c>
      <c r="D3347" s="1">
        <v>43648</v>
      </c>
      <c r="E3347">
        <f>MONTH(D3347)</f>
        <v>7</v>
      </c>
      <c r="F3347" s="2" t="s">
        <v>2098</v>
      </c>
      <c r="G3347" t="s">
        <v>219</v>
      </c>
      <c r="H3347" t="s">
        <v>220</v>
      </c>
      <c r="I3347" t="s">
        <v>22</v>
      </c>
      <c r="J3347" s="2" t="s">
        <v>42</v>
      </c>
      <c r="K3347" s="2" t="s">
        <v>3019</v>
      </c>
      <c r="L3347" t="s">
        <v>25</v>
      </c>
      <c r="M3347" s="10" t="s">
        <v>26</v>
      </c>
      <c r="N3347" t="s">
        <v>26</v>
      </c>
      <c r="O3347" s="10" t="s">
        <v>26</v>
      </c>
      <c r="P3347" s="8" t="s">
        <v>26</v>
      </c>
      <c r="Q3347" s="8">
        <f>(2618262*100)/2995732</f>
        <v>87.399740697766021</v>
      </c>
    </row>
    <row r="3348" spans="1:17" x14ac:dyDescent="0.2">
      <c r="A3348">
        <f>YEAR(D3348)</f>
        <v>2019</v>
      </c>
      <c r="B3348" t="s">
        <v>26</v>
      </c>
      <c r="C3348" s="2" t="s">
        <v>1540</v>
      </c>
      <c r="D3348" s="1">
        <v>43648</v>
      </c>
      <c r="E3348">
        <f>MONTH(D3348)</f>
        <v>7</v>
      </c>
      <c r="F3348" s="2" t="s">
        <v>2098</v>
      </c>
      <c r="G3348" t="s">
        <v>219</v>
      </c>
      <c r="H3348" t="s">
        <v>220</v>
      </c>
      <c r="I3348" t="s">
        <v>22</v>
      </c>
      <c r="J3348" s="2" t="s">
        <v>42</v>
      </c>
      <c r="K3348" s="2" t="s">
        <v>3019</v>
      </c>
      <c r="L3348" t="s">
        <v>25</v>
      </c>
      <c r="M3348" s="10" t="s">
        <v>26</v>
      </c>
      <c r="N3348" t="s">
        <v>26</v>
      </c>
      <c r="O3348" s="10" t="s">
        <v>26</v>
      </c>
      <c r="P3348" s="8" t="s">
        <v>26</v>
      </c>
      <c r="Q3348" s="8">
        <f>(2618262*100)/2995732</f>
        <v>87.399740697766021</v>
      </c>
    </row>
    <row r="3349" spans="1:17" x14ac:dyDescent="0.2">
      <c r="A3349">
        <f>YEAR(D3349)</f>
        <v>2019</v>
      </c>
      <c r="B3349" t="s">
        <v>26</v>
      </c>
      <c r="C3349" s="2" t="s">
        <v>1540</v>
      </c>
      <c r="D3349" s="1">
        <v>43648</v>
      </c>
      <c r="E3349">
        <f>MONTH(D3349)</f>
        <v>7</v>
      </c>
      <c r="F3349" s="2" t="s">
        <v>2098</v>
      </c>
      <c r="G3349" t="s">
        <v>219</v>
      </c>
      <c r="H3349" t="s">
        <v>220</v>
      </c>
      <c r="I3349" t="s">
        <v>22</v>
      </c>
      <c r="J3349" s="2" t="s">
        <v>42</v>
      </c>
      <c r="K3349" s="2" t="s">
        <v>3019</v>
      </c>
      <c r="L3349" t="s">
        <v>25</v>
      </c>
      <c r="M3349" s="10" t="s">
        <v>26</v>
      </c>
      <c r="N3349" t="s">
        <v>26</v>
      </c>
      <c r="O3349" s="10" t="s">
        <v>26</v>
      </c>
      <c r="P3349" s="8" t="s">
        <v>26</v>
      </c>
      <c r="Q3349" s="8">
        <f>(2618262*100)/2995732</f>
        <v>87.399740697766021</v>
      </c>
    </row>
    <row r="3350" spans="1:17" x14ac:dyDescent="0.2">
      <c r="A3350">
        <f>YEAR(D3350)</f>
        <v>2019</v>
      </c>
      <c r="B3350" t="s">
        <v>26</v>
      </c>
      <c r="C3350" s="2" t="s">
        <v>1540</v>
      </c>
      <c r="D3350" s="1">
        <v>43648</v>
      </c>
      <c r="E3350">
        <f>MONTH(D3350)</f>
        <v>7</v>
      </c>
      <c r="F3350" s="2" t="s">
        <v>2098</v>
      </c>
      <c r="G3350" t="s">
        <v>219</v>
      </c>
      <c r="H3350" t="s">
        <v>220</v>
      </c>
      <c r="I3350" t="s">
        <v>22</v>
      </c>
      <c r="J3350" s="2" t="s">
        <v>42</v>
      </c>
      <c r="K3350" s="2" t="s">
        <v>3019</v>
      </c>
      <c r="L3350" t="s">
        <v>25</v>
      </c>
      <c r="M3350" s="10" t="s">
        <v>26</v>
      </c>
      <c r="N3350" t="s">
        <v>26</v>
      </c>
      <c r="O3350" s="10" t="s">
        <v>26</v>
      </c>
      <c r="P3350" s="8" t="s">
        <v>26</v>
      </c>
      <c r="Q3350" s="8">
        <f>(2618262*100)/2995732</f>
        <v>87.399740697766021</v>
      </c>
    </row>
    <row r="3351" spans="1:17" x14ac:dyDescent="0.2">
      <c r="A3351">
        <f>YEAR(D3351)</f>
        <v>2019</v>
      </c>
      <c r="B3351" t="s">
        <v>26</v>
      </c>
      <c r="C3351" s="2" t="s">
        <v>1540</v>
      </c>
      <c r="D3351" s="1">
        <v>43648</v>
      </c>
      <c r="E3351">
        <f>MONTH(D3351)</f>
        <v>7</v>
      </c>
      <c r="F3351" s="2" t="s">
        <v>2098</v>
      </c>
      <c r="G3351" t="s">
        <v>219</v>
      </c>
      <c r="H3351" t="s">
        <v>220</v>
      </c>
      <c r="I3351" t="s">
        <v>22</v>
      </c>
      <c r="J3351" s="2" t="s">
        <v>42</v>
      </c>
      <c r="K3351" s="2" t="s">
        <v>3019</v>
      </c>
      <c r="L3351" t="s">
        <v>25</v>
      </c>
      <c r="M3351" s="10" t="s">
        <v>26</v>
      </c>
      <c r="N3351" t="s">
        <v>26</v>
      </c>
      <c r="O3351" s="10" t="s">
        <v>26</v>
      </c>
      <c r="P3351" s="8" t="s">
        <v>26</v>
      </c>
      <c r="Q3351" s="8">
        <f>(2618262*100)/2995732</f>
        <v>87.399740697766021</v>
      </c>
    </row>
    <row r="3352" spans="1:17" x14ac:dyDescent="0.2">
      <c r="A3352">
        <f>YEAR(D3352)</f>
        <v>2019</v>
      </c>
      <c r="B3352" t="s">
        <v>26</v>
      </c>
      <c r="C3352" s="2" t="s">
        <v>1540</v>
      </c>
      <c r="D3352" s="1">
        <v>43648</v>
      </c>
      <c r="E3352">
        <f>MONTH(D3352)</f>
        <v>7</v>
      </c>
      <c r="F3352" s="2" t="s">
        <v>2098</v>
      </c>
      <c r="G3352" t="s">
        <v>219</v>
      </c>
      <c r="H3352" t="s">
        <v>220</v>
      </c>
      <c r="I3352" t="s">
        <v>22</v>
      </c>
      <c r="J3352" s="2" t="s">
        <v>42</v>
      </c>
      <c r="K3352" s="2" t="s">
        <v>3019</v>
      </c>
      <c r="L3352" t="s">
        <v>25</v>
      </c>
      <c r="M3352" s="10" t="s">
        <v>26</v>
      </c>
      <c r="N3352" t="s">
        <v>26</v>
      </c>
      <c r="O3352" s="10" t="s">
        <v>26</v>
      </c>
      <c r="P3352" s="8" t="s">
        <v>26</v>
      </c>
      <c r="Q3352" s="8">
        <f>(2618262*100)/2995732</f>
        <v>87.399740697766021</v>
      </c>
    </row>
    <row r="3353" spans="1:17" x14ac:dyDescent="0.2">
      <c r="A3353">
        <f>YEAR(D3353)</f>
        <v>2019</v>
      </c>
      <c r="B3353" t="s">
        <v>26</v>
      </c>
      <c r="C3353" s="2" t="s">
        <v>1540</v>
      </c>
      <c r="D3353" s="1">
        <v>43648</v>
      </c>
      <c r="E3353">
        <f>MONTH(D3353)</f>
        <v>7</v>
      </c>
      <c r="F3353" s="2" t="s">
        <v>2098</v>
      </c>
      <c r="G3353" t="s">
        <v>219</v>
      </c>
      <c r="H3353" t="s">
        <v>220</v>
      </c>
      <c r="I3353" t="s">
        <v>22</v>
      </c>
      <c r="J3353" s="2" t="s">
        <v>42</v>
      </c>
      <c r="K3353" s="2" t="s">
        <v>3019</v>
      </c>
      <c r="L3353" t="s">
        <v>25</v>
      </c>
      <c r="M3353" s="10" t="s">
        <v>26</v>
      </c>
      <c r="N3353" t="s">
        <v>26</v>
      </c>
      <c r="O3353" s="10" t="s">
        <v>26</v>
      </c>
      <c r="P3353" s="8" t="s">
        <v>26</v>
      </c>
      <c r="Q3353" s="8">
        <f>(2618262*100)/2995732</f>
        <v>87.399740697766021</v>
      </c>
    </row>
    <row r="3354" spans="1:17" x14ac:dyDescent="0.2">
      <c r="A3354">
        <f>YEAR(D3354)</f>
        <v>2019</v>
      </c>
      <c r="B3354" t="s">
        <v>26</v>
      </c>
      <c r="C3354" s="2" t="s">
        <v>1540</v>
      </c>
      <c r="D3354" s="1">
        <v>43648</v>
      </c>
      <c r="E3354">
        <f>MONTH(D3354)</f>
        <v>7</v>
      </c>
      <c r="F3354" s="2" t="s">
        <v>2098</v>
      </c>
      <c r="G3354" t="s">
        <v>219</v>
      </c>
      <c r="H3354" t="s">
        <v>220</v>
      </c>
      <c r="I3354" t="s">
        <v>22</v>
      </c>
      <c r="J3354" s="2" t="s">
        <v>42</v>
      </c>
      <c r="K3354" s="2" t="s">
        <v>3019</v>
      </c>
      <c r="L3354" t="s">
        <v>25</v>
      </c>
      <c r="M3354" s="10" t="s">
        <v>26</v>
      </c>
      <c r="N3354" t="s">
        <v>26</v>
      </c>
      <c r="O3354" s="10" t="s">
        <v>26</v>
      </c>
      <c r="P3354" s="8" t="s">
        <v>26</v>
      </c>
      <c r="Q3354" s="8">
        <f>(2618262*100)/2995732</f>
        <v>87.399740697766021</v>
      </c>
    </row>
    <row r="3355" spans="1:17" x14ac:dyDescent="0.2">
      <c r="A3355">
        <f>YEAR(D3355)</f>
        <v>2019</v>
      </c>
      <c r="B3355" t="s">
        <v>26</v>
      </c>
      <c r="C3355" s="2" t="s">
        <v>1540</v>
      </c>
      <c r="D3355" s="1">
        <v>43648</v>
      </c>
      <c r="E3355">
        <f>MONTH(D3355)</f>
        <v>7</v>
      </c>
      <c r="F3355" s="2" t="s">
        <v>2098</v>
      </c>
      <c r="G3355" t="s">
        <v>219</v>
      </c>
      <c r="H3355" t="s">
        <v>220</v>
      </c>
      <c r="I3355" t="s">
        <v>22</v>
      </c>
      <c r="J3355" s="2" t="s">
        <v>42</v>
      </c>
      <c r="K3355" s="2" t="s">
        <v>3019</v>
      </c>
      <c r="L3355" t="s">
        <v>25</v>
      </c>
      <c r="M3355" s="10" t="s">
        <v>26</v>
      </c>
      <c r="N3355" t="s">
        <v>26</v>
      </c>
      <c r="O3355" s="10" t="s">
        <v>26</v>
      </c>
      <c r="P3355" s="8" t="s">
        <v>26</v>
      </c>
      <c r="Q3355" s="8">
        <f>(2618262*100)/2995732</f>
        <v>87.399740697766021</v>
      </c>
    </row>
    <row r="3356" spans="1:17" x14ac:dyDescent="0.2">
      <c r="A3356">
        <f>YEAR(D3356)</f>
        <v>2019</v>
      </c>
      <c r="B3356" t="s">
        <v>26</v>
      </c>
      <c r="C3356" s="2" t="s">
        <v>1540</v>
      </c>
      <c r="D3356" s="1">
        <v>43648</v>
      </c>
      <c r="E3356">
        <f>MONTH(D3356)</f>
        <v>7</v>
      </c>
      <c r="F3356" s="2" t="s">
        <v>2098</v>
      </c>
      <c r="G3356" t="s">
        <v>219</v>
      </c>
      <c r="H3356" t="s">
        <v>220</v>
      </c>
      <c r="I3356" t="s">
        <v>22</v>
      </c>
      <c r="J3356" s="2" t="s">
        <v>42</v>
      </c>
      <c r="K3356" s="2" t="s">
        <v>3019</v>
      </c>
      <c r="L3356" t="s">
        <v>25</v>
      </c>
      <c r="M3356" s="10" t="s">
        <v>26</v>
      </c>
      <c r="N3356" t="s">
        <v>26</v>
      </c>
      <c r="O3356" s="10" t="s">
        <v>26</v>
      </c>
      <c r="P3356" s="8" t="s">
        <v>26</v>
      </c>
      <c r="Q3356" s="8">
        <f>(2618262*100)/2995732</f>
        <v>87.399740697766021</v>
      </c>
    </row>
    <row r="3357" spans="1:17" x14ac:dyDescent="0.2">
      <c r="A3357">
        <f>YEAR(D3357)</f>
        <v>2019</v>
      </c>
      <c r="B3357" t="s">
        <v>26</v>
      </c>
      <c r="C3357" s="2" t="s">
        <v>1540</v>
      </c>
      <c r="D3357" s="1">
        <v>43648</v>
      </c>
      <c r="E3357">
        <f>MONTH(D3357)</f>
        <v>7</v>
      </c>
      <c r="F3357" s="2" t="s">
        <v>2098</v>
      </c>
      <c r="G3357" t="s">
        <v>219</v>
      </c>
      <c r="H3357" t="s">
        <v>220</v>
      </c>
      <c r="I3357" t="s">
        <v>22</v>
      </c>
      <c r="J3357" s="2" t="s">
        <v>42</v>
      </c>
      <c r="K3357" s="2" t="s">
        <v>3019</v>
      </c>
      <c r="L3357" t="s">
        <v>25</v>
      </c>
      <c r="M3357" s="10" t="s">
        <v>26</v>
      </c>
      <c r="N3357" t="s">
        <v>26</v>
      </c>
      <c r="O3357" s="10" t="s">
        <v>26</v>
      </c>
      <c r="P3357" s="8" t="s">
        <v>26</v>
      </c>
      <c r="Q3357" s="8">
        <f>(2618262*100)/2995732</f>
        <v>87.399740697766021</v>
      </c>
    </row>
    <row r="3358" spans="1:17" x14ac:dyDescent="0.2">
      <c r="A3358">
        <f>YEAR(D3358)</f>
        <v>2019</v>
      </c>
      <c r="B3358" t="s">
        <v>26</v>
      </c>
      <c r="C3358" s="2" t="s">
        <v>1540</v>
      </c>
      <c r="D3358" s="1">
        <v>43648</v>
      </c>
      <c r="E3358">
        <f>MONTH(D3358)</f>
        <v>7</v>
      </c>
      <c r="F3358" s="2" t="s">
        <v>2098</v>
      </c>
      <c r="G3358" t="s">
        <v>219</v>
      </c>
      <c r="H3358" t="s">
        <v>220</v>
      </c>
      <c r="I3358" t="s">
        <v>22</v>
      </c>
      <c r="J3358" s="2" t="s">
        <v>42</v>
      </c>
      <c r="K3358" s="2" t="s">
        <v>3019</v>
      </c>
      <c r="L3358" t="s">
        <v>25</v>
      </c>
      <c r="M3358" s="10" t="s">
        <v>26</v>
      </c>
      <c r="N3358" t="s">
        <v>26</v>
      </c>
      <c r="O3358" s="10" t="s">
        <v>26</v>
      </c>
      <c r="P3358" s="8" t="s">
        <v>26</v>
      </c>
      <c r="Q3358" s="8">
        <f>(2618262*100)/2995732</f>
        <v>87.399740697766021</v>
      </c>
    </row>
    <row r="3359" spans="1:17" x14ac:dyDescent="0.2">
      <c r="A3359">
        <f>YEAR(D3359)</f>
        <v>2019</v>
      </c>
      <c r="B3359" t="s">
        <v>26</v>
      </c>
      <c r="C3359" s="2" t="s">
        <v>1540</v>
      </c>
      <c r="D3359" s="1">
        <v>43648</v>
      </c>
      <c r="E3359">
        <f>MONTH(D3359)</f>
        <v>7</v>
      </c>
      <c r="F3359" s="2" t="s">
        <v>2098</v>
      </c>
      <c r="G3359" t="s">
        <v>219</v>
      </c>
      <c r="H3359" t="s">
        <v>220</v>
      </c>
      <c r="I3359" t="s">
        <v>22</v>
      </c>
      <c r="J3359" s="2" t="s">
        <v>42</v>
      </c>
      <c r="K3359" s="2" t="s">
        <v>3019</v>
      </c>
      <c r="L3359" t="s">
        <v>25</v>
      </c>
      <c r="M3359" s="10" t="s">
        <v>26</v>
      </c>
      <c r="N3359" t="s">
        <v>26</v>
      </c>
      <c r="O3359" s="10" t="s">
        <v>26</v>
      </c>
      <c r="P3359" s="8" t="s">
        <v>26</v>
      </c>
      <c r="Q3359" s="8">
        <f>(2618262*100)/2995732</f>
        <v>87.399740697766021</v>
      </c>
    </row>
    <row r="3360" spans="1:17" x14ac:dyDescent="0.2">
      <c r="A3360">
        <f>YEAR(D3360)</f>
        <v>2019</v>
      </c>
      <c r="B3360" t="s">
        <v>26</v>
      </c>
      <c r="C3360" s="2" t="s">
        <v>1540</v>
      </c>
      <c r="D3360" s="1">
        <v>43648</v>
      </c>
      <c r="E3360">
        <f>MONTH(D3360)</f>
        <v>7</v>
      </c>
      <c r="F3360" s="2" t="s">
        <v>2098</v>
      </c>
      <c r="G3360" t="s">
        <v>219</v>
      </c>
      <c r="H3360" t="s">
        <v>220</v>
      </c>
      <c r="I3360" t="s">
        <v>22</v>
      </c>
      <c r="J3360" s="2" t="s">
        <v>42</v>
      </c>
      <c r="K3360" s="2" t="s">
        <v>3019</v>
      </c>
      <c r="L3360" t="s">
        <v>25</v>
      </c>
      <c r="M3360" s="10" t="s">
        <v>26</v>
      </c>
      <c r="N3360" t="s">
        <v>26</v>
      </c>
      <c r="O3360" s="10" t="s">
        <v>26</v>
      </c>
      <c r="P3360" s="8" t="s">
        <v>26</v>
      </c>
      <c r="Q3360" s="8">
        <f>(2618262*100)/2995732</f>
        <v>87.399740697766021</v>
      </c>
    </row>
    <row r="3361" spans="1:17" x14ac:dyDescent="0.2">
      <c r="A3361">
        <f>YEAR(D3361)</f>
        <v>2019</v>
      </c>
      <c r="B3361" t="s">
        <v>26</v>
      </c>
      <c r="C3361" s="2" t="s">
        <v>1540</v>
      </c>
      <c r="D3361" s="1">
        <v>43648</v>
      </c>
      <c r="E3361">
        <f>MONTH(D3361)</f>
        <v>7</v>
      </c>
      <c r="F3361" s="2" t="s">
        <v>2098</v>
      </c>
      <c r="G3361" t="s">
        <v>219</v>
      </c>
      <c r="H3361" t="s">
        <v>220</v>
      </c>
      <c r="I3361" t="s">
        <v>22</v>
      </c>
      <c r="J3361" s="2" t="s">
        <v>42</v>
      </c>
      <c r="K3361" s="2" t="s">
        <v>3019</v>
      </c>
      <c r="L3361" t="s">
        <v>25</v>
      </c>
      <c r="M3361" s="10" t="s">
        <v>26</v>
      </c>
      <c r="N3361" t="s">
        <v>26</v>
      </c>
      <c r="O3361" s="10" t="s">
        <v>26</v>
      </c>
      <c r="P3361" s="8" t="s">
        <v>26</v>
      </c>
      <c r="Q3361" s="8">
        <f>(2618262*100)/2995732</f>
        <v>87.399740697766021</v>
      </c>
    </row>
    <row r="3362" spans="1:17" x14ac:dyDescent="0.2">
      <c r="A3362">
        <f>YEAR(D3362)</f>
        <v>2019</v>
      </c>
      <c r="B3362" t="s">
        <v>26</v>
      </c>
      <c r="C3362" s="2" t="s">
        <v>1540</v>
      </c>
      <c r="D3362" s="1">
        <v>43648</v>
      </c>
      <c r="E3362">
        <f>MONTH(D3362)</f>
        <v>7</v>
      </c>
      <c r="F3362" s="2" t="s">
        <v>2098</v>
      </c>
      <c r="G3362" t="s">
        <v>219</v>
      </c>
      <c r="H3362" t="s">
        <v>220</v>
      </c>
      <c r="I3362" t="s">
        <v>22</v>
      </c>
      <c r="J3362" s="2" t="s">
        <v>42</v>
      </c>
      <c r="K3362" s="2" t="s">
        <v>3019</v>
      </c>
      <c r="L3362" t="s">
        <v>25</v>
      </c>
      <c r="M3362" s="10" t="s">
        <v>26</v>
      </c>
      <c r="N3362" t="s">
        <v>26</v>
      </c>
      <c r="O3362" s="10" t="s">
        <v>26</v>
      </c>
      <c r="P3362" s="8" t="s">
        <v>26</v>
      </c>
      <c r="Q3362" s="8">
        <f>(2618262*100)/2995732</f>
        <v>87.399740697766021</v>
      </c>
    </row>
    <row r="3363" spans="1:17" x14ac:dyDescent="0.2">
      <c r="A3363">
        <f>YEAR(D3363)</f>
        <v>2019</v>
      </c>
      <c r="B3363" t="s">
        <v>26</v>
      </c>
      <c r="C3363" s="2" t="s">
        <v>1540</v>
      </c>
      <c r="D3363" s="1">
        <v>43648</v>
      </c>
      <c r="E3363">
        <f>MONTH(D3363)</f>
        <v>7</v>
      </c>
      <c r="F3363" s="2" t="s">
        <v>2098</v>
      </c>
      <c r="G3363" t="s">
        <v>219</v>
      </c>
      <c r="H3363" t="s">
        <v>220</v>
      </c>
      <c r="I3363" t="s">
        <v>22</v>
      </c>
      <c r="J3363" s="2" t="s">
        <v>42</v>
      </c>
      <c r="K3363" s="2" t="s">
        <v>3019</v>
      </c>
      <c r="L3363" t="s">
        <v>25</v>
      </c>
      <c r="M3363" s="10" t="s">
        <v>26</v>
      </c>
      <c r="N3363" t="s">
        <v>26</v>
      </c>
      <c r="O3363" s="10" t="s">
        <v>26</v>
      </c>
      <c r="P3363" s="8" t="s">
        <v>26</v>
      </c>
      <c r="Q3363" s="8">
        <f>(2618262*100)/2995732</f>
        <v>87.399740697766021</v>
      </c>
    </row>
    <row r="3364" spans="1:17" x14ac:dyDescent="0.2">
      <c r="A3364">
        <f>YEAR(D3364)</f>
        <v>2019</v>
      </c>
      <c r="B3364" t="s">
        <v>26</v>
      </c>
      <c r="C3364" s="2" t="s">
        <v>1540</v>
      </c>
      <c r="D3364" s="1">
        <v>43648</v>
      </c>
      <c r="E3364">
        <f>MONTH(D3364)</f>
        <v>7</v>
      </c>
      <c r="F3364" s="2" t="s">
        <v>2098</v>
      </c>
      <c r="G3364" t="s">
        <v>219</v>
      </c>
      <c r="H3364" t="s">
        <v>220</v>
      </c>
      <c r="I3364" t="s">
        <v>22</v>
      </c>
      <c r="J3364" s="2" t="s">
        <v>42</v>
      </c>
      <c r="K3364" s="2" t="s">
        <v>3019</v>
      </c>
      <c r="L3364" t="s">
        <v>25</v>
      </c>
      <c r="M3364" s="10" t="s">
        <v>26</v>
      </c>
      <c r="N3364" t="s">
        <v>26</v>
      </c>
      <c r="O3364" s="10" t="s">
        <v>26</v>
      </c>
      <c r="P3364" s="8" t="s">
        <v>26</v>
      </c>
      <c r="Q3364" s="8">
        <f>(2618262*100)/2995732</f>
        <v>87.399740697766021</v>
      </c>
    </row>
    <row r="3365" spans="1:17" x14ac:dyDescent="0.2">
      <c r="A3365">
        <f>YEAR(D3365)</f>
        <v>2019</v>
      </c>
      <c r="B3365" t="s">
        <v>26</v>
      </c>
      <c r="C3365" s="2" t="s">
        <v>1540</v>
      </c>
      <c r="D3365" s="1">
        <v>43648</v>
      </c>
      <c r="E3365">
        <f>MONTH(D3365)</f>
        <v>7</v>
      </c>
      <c r="F3365" s="2" t="s">
        <v>2098</v>
      </c>
      <c r="G3365" t="s">
        <v>219</v>
      </c>
      <c r="H3365" t="s">
        <v>220</v>
      </c>
      <c r="I3365" t="s">
        <v>22</v>
      </c>
      <c r="J3365" s="2" t="s">
        <v>42</v>
      </c>
      <c r="K3365" s="2" t="s">
        <v>3019</v>
      </c>
      <c r="L3365" t="s">
        <v>25</v>
      </c>
      <c r="M3365" s="10" t="s">
        <v>26</v>
      </c>
      <c r="N3365" t="s">
        <v>26</v>
      </c>
      <c r="O3365" s="10" t="s">
        <v>26</v>
      </c>
      <c r="P3365" s="8" t="s">
        <v>26</v>
      </c>
      <c r="Q3365" s="8">
        <f>(2618262*100)/2995732</f>
        <v>87.399740697766021</v>
      </c>
    </row>
    <row r="3366" spans="1:17" x14ac:dyDescent="0.2">
      <c r="A3366">
        <f>YEAR(D3366)</f>
        <v>2019</v>
      </c>
      <c r="B3366" t="s">
        <v>26</v>
      </c>
      <c r="C3366" s="2" t="s">
        <v>1540</v>
      </c>
      <c r="D3366" s="1">
        <v>43648</v>
      </c>
      <c r="E3366">
        <f>MONTH(D3366)</f>
        <v>7</v>
      </c>
      <c r="F3366" s="2" t="s">
        <v>2098</v>
      </c>
      <c r="G3366" t="s">
        <v>219</v>
      </c>
      <c r="H3366" t="s">
        <v>220</v>
      </c>
      <c r="I3366" t="s">
        <v>22</v>
      </c>
      <c r="J3366" s="2" t="s">
        <v>42</v>
      </c>
      <c r="K3366" s="2" t="s">
        <v>3019</v>
      </c>
      <c r="L3366" t="s">
        <v>25</v>
      </c>
      <c r="M3366" s="10" t="s">
        <v>26</v>
      </c>
      <c r="N3366" t="s">
        <v>26</v>
      </c>
      <c r="O3366" s="10" t="s">
        <v>26</v>
      </c>
      <c r="P3366" s="8" t="s">
        <v>26</v>
      </c>
      <c r="Q3366" s="8">
        <f>(2618262*100)/2995732</f>
        <v>87.399740697766021</v>
      </c>
    </row>
    <row r="3367" spans="1:17" x14ac:dyDescent="0.2">
      <c r="A3367">
        <f>YEAR(D3367)</f>
        <v>2019</v>
      </c>
      <c r="B3367" t="s">
        <v>26</v>
      </c>
      <c r="C3367" s="2" t="s">
        <v>1540</v>
      </c>
      <c r="D3367" s="1">
        <v>43648</v>
      </c>
      <c r="E3367">
        <f>MONTH(D3367)</f>
        <v>7</v>
      </c>
      <c r="F3367" s="2" t="s">
        <v>2098</v>
      </c>
      <c r="G3367" t="s">
        <v>219</v>
      </c>
      <c r="H3367" t="s">
        <v>220</v>
      </c>
      <c r="I3367" t="s">
        <v>22</v>
      </c>
      <c r="J3367" s="2" t="s">
        <v>42</v>
      </c>
      <c r="K3367" s="2" t="s">
        <v>3019</v>
      </c>
      <c r="L3367" t="s">
        <v>25</v>
      </c>
      <c r="M3367" s="10" t="s">
        <v>26</v>
      </c>
      <c r="N3367" t="s">
        <v>26</v>
      </c>
      <c r="O3367" s="10" t="s">
        <v>26</v>
      </c>
      <c r="P3367" s="8" t="s">
        <v>26</v>
      </c>
      <c r="Q3367" s="8">
        <f>(2618262*100)/2995732</f>
        <v>87.399740697766021</v>
      </c>
    </row>
    <row r="3368" spans="1:17" x14ac:dyDescent="0.2">
      <c r="A3368">
        <f>YEAR(D3368)</f>
        <v>2019</v>
      </c>
      <c r="B3368" t="s">
        <v>26</v>
      </c>
      <c r="C3368" s="2" t="s">
        <v>1540</v>
      </c>
      <c r="D3368" s="1">
        <v>43648</v>
      </c>
      <c r="E3368">
        <f>MONTH(D3368)</f>
        <v>7</v>
      </c>
      <c r="F3368" s="2" t="s">
        <v>2098</v>
      </c>
      <c r="G3368" t="s">
        <v>219</v>
      </c>
      <c r="H3368" t="s">
        <v>220</v>
      </c>
      <c r="I3368" t="s">
        <v>22</v>
      </c>
      <c r="J3368" s="2" t="s">
        <v>42</v>
      </c>
      <c r="K3368" s="2" t="s">
        <v>3019</v>
      </c>
      <c r="L3368" t="s">
        <v>25</v>
      </c>
      <c r="M3368" s="10" t="s">
        <v>26</v>
      </c>
      <c r="N3368" t="s">
        <v>26</v>
      </c>
      <c r="O3368" s="10" t="s">
        <v>26</v>
      </c>
      <c r="P3368" s="8" t="s">
        <v>26</v>
      </c>
      <c r="Q3368" s="8">
        <f>(2618262*100)/2995732</f>
        <v>87.399740697766021</v>
      </c>
    </row>
    <row r="3369" spans="1:17" x14ac:dyDescent="0.2">
      <c r="A3369">
        <f>YEAR(D3369)</f>
        <v>2019</v>
      </c>
      <c r="B3369" t="s">
        <v>26</v>
      </c>
      <c r="C3369" s="2" t="s">
        <v>1540</v>
      </c>
      <c r="D3369" s="1">
        <v>43648</v>
      </c>
      <c r="E3369">
        <f>MONTH(D3369)</f>
        <v>7</v>
      </c>
      <c r="F3369" s="2" t="s">
        <v>2098</v>
      </c>
      <c r="G3369" t="s">
        <v>219</v>
      </c>
      <c r="H3369" t="s">
        <v>220</v>
      </c>
      <c r="I3369" t="s">
        <v>22</v>
      </c>
      <c r="J3369" s="2" t="s">
        <v>42</v>
      </c>
      <c r="K3369" s="2" t="s">
        <v>3019</v>
      </c>
      <c r="L3369" t="s">
        <v>25</v>
      </c>
      <c r="M3369" s="10" t="s">
        <v>26</v>
      </c>
      <c r="N3369" t="s">
        <v>26</v>
      </c>
      <c r="O3369" s="10" t="s">
        <v>26</v>
      </c>
      <c r="P3369" s="8" t="s">
        <v>26</v>
      </c>
      <c r="Q3369" s="8">
        <f>(2618262*100)/2995732</f>
        <v>87.399740697766021</v>
      </c>
    </row>
    <row r="3370" spans="1:17" x14ac:dyDescent="0.2">
      <c r="A3370">
        <f>YEAR(D3370)</f>
        <v>2019</v>
      </c>
      <c r="B3370" t="s">
        <v>26</v>
      </c>
      <c r="C3370" s="2" t="s">
        <v>1540</v>
      </c>
      <c r="D3370" s="1">
        <v>43648</v>
      </c>
      <c r="E3370">
        <f>MONTH(D3370)</f>
        <v>7</v>
      </c>
      <c r="F3370" s="2" t="s">
        <v>2098</v>
      </c>
      <c r="G3370" t="s">
        <v>219</v>
      </c>
      <c r="H3370" t="s">
        <v>220</v>
      </c>
      <c r="I3370" t="s">
        <v>22</v>
      </c>
      <c r="J3370" s="2" t="s">
        <v>42</v>
      </c>
      <c r="K3370" s="2" t="s">
        <v>3019</v>
      </c>
      <c r="L3370" t="s">
        <v>25</v>
      </c>
      <c r="M3370" s="10" t="s">
        <v>26</v>
      </c>
      <c r="N3370" t="s">
        <v>26</v>
      </c>
      <c r="O3370" s="10" t="s">
        <v>26</v>
      </c>
      <c r="P3370" s="8" t="s">
        <v>26</v>
      </c>
      <c r="Q3370" s="8">
        <f>(2618262*100)/2995732</f>
        <v>87.399740697766021</v>
      </c>
    </row>
    <row r="3371" spans="1:17" x14ac:dyDescent="0.2">
      <c r="A3371">
        <f>YEAR(D3371)</f>
        <v>2019</v>
      </c>
      <c r="B3371" t="s">
        <v>26</v>
      </c>
      <c r="C3371" s="2" t="s">
        <v>1540</v>
      </c>
      <c r="D3371" s="1">
        <v>43648</v>
      </c>
      <c r="E3371">
        <f>MONTH(D3371)</f>
        <v>7</v>
      </c>
      <c r="F3371" s="2" t="s">
        <v>2098</v>
      </c>
      <c r="G3371" t="s">
        <v>219</v>
      </c>
      <c r="H3371" t="s">
        <v>220</v>
      </c>
      <c r="I3371" t="s">
        <v>22</v>
      </c>
      <c r="J3371" s="2" t="s">
        <v>42</v>
      </c>
      <c r="K3371" s="2" t="s">
        <v>3019</v>
      </c>
      <c r="L3371" t="s">
        <v>25</v>
      </c>
      <c r="M3371" s="10" t="s">
        <v>26</v>
      </c>
      <c r="N3371" t="s">
        <v>26</v>
      </c>
      <c r="O3371" s="10" t="s">
        <v>26</v>
      </c>
      <c r="P3371" s="8" t="s">
        <v>26</v>
      </c>
      <c r="Q3371" s="8">
        <f>(2618262*100)/2995732</f>
        <v>87.399740697766021</v>
      </c>
    </row>
    <row r="3372" spans="1:17" x14ac:dyDescent="0.2">
      <c r="A3372">
        <f>YEAR(D3372)</f>
        <v>2019</v>
      </c>
      <c r="B3372" t="s">
        <v>26</v>
      </c>
      <c r="C3372" s="2" t="s">
        <v>1540</v>
      </c>
      <c r="D3372" s="1">
        <v>43648</v>
      </c>
      <c r="E3372">
        <f>MONTH(D3372)</f>
        <v>7</v>
      </c>
      <c r="F3372" s="2" t="s">
        <v>2098</v>
      </c>
      <c r="G3372" t="s">
        <v>219</v>
      </c>
      <c r="H3372" t="s">
        <v>220</v>
      </c>
      <c r="I3372" t="s">
        <v>22</v>
      </c>
      <c r="J3372" s="2" t="s">
        <v>42</v>
      </c>
      <c r="K3372" s="2" t="s">
        <v>3019</v>
      </c>
      <c r="L3372" t="s">
        <v>25</v>
      </c>
      <c r="M3372" s="10" t="s">
        <v>26</v>
      </c>
      <c r="N3372" t="s">
        <v>26</v>
      </c>
      <c r="O3372" s="10" t="s">
        <v>26</v>
      </c>
      <c r="P3372" s="8" t="s">
        <v>26</v>
      </c>
      <c r="Q3372" s="8">
        <f>(2618262*100)/2995732</f>
        <v>87.399740697766021</v>
      </c>
    </row>
    <row r="3373" spans="1:17" x14ac:dyDescent="0.2">
      <c r="A3373">
        <f>YEAR(D3373)</f>
        <v>2019</v>
      </c>
      <c r="B3373" t="s">
        <v>26</v>
      </c>
      <c r="C3373" s="2" t="s">
        <v>1540</v>
      </c>
      <c r="D3373" s="1">
        <v>43648</v>
      </c>
      <c r="E3373">
        <f>MONTH(D3373)</f>
        <v>7</v>
      </c>
      <c r="F3373" s="2" t="s">
        <v>2098</v>
      </c>
      <c r="G3373" t="s">
        <v>219</v>
      </c>
      <c r="H3373" t="s">
        <v>220</v>
      </c>
      <c r="I3373" t="s">
        <v>22</v>
      </c>
      <c r="J3373" s="2" t="s">
        <v>42</v>
      </c>
      <c r="K3373" s="2" t="s">
        <v>3019</v>
      </c>
      <c r="L3373" t="s">
        <v>25</v>
      </c>
      <c r="M3373" s="10" t="s">
        <v>26</v>
      </c>
      <c r="N3373" t="s">
        <v>26</v>
      </c>
      <c r="O3373" s="10" t="s">
        <v>26</v>
      </c>
      <c r="P3373" s="8" t="s">
        <v>26</v>
      </c>
      <c r="Q3373" s="8">
        <f>(2618262*100)/2995732</f>
        <v>87.399740697766021</v>
      </c>
    </row>
    <row r="3374" spans="1:17" x14ac:dyDescent="0.2">
      <c r="A3374">
        <f>YEAR(D3374)</f>
        <v>2019</v>
      </c>
      <c r="B3374" t="s">
        <v>26</v>
      </c>
      <c r="C3374" s="2" t="s">
        <v>1540</v>
      </c>
      <c r="D3374" s="1">
        <v>43648</v>
      </c>
      <c r="E3374">
        <f>MONTH(D3374)</f>
        <v>7</v>
      </c>
      <c r="F3374" s="2" t="s">
        <v>2098</v>
      </c>
      <c r="G3374" t="s">
        <v>219</v>
      </c>
      <c r="H3374" t="s">
        <v>220</v>
      </c>
      <c r="I3374" t="s">
        <v>22</v>
      </c>
      <c r="J3374" s="2" t="s">
        <v>42</v>
      </c>
      <c r="K3374" s="2" t="s">
        <v>3019</v>
      </c>
      <c r="L3374" t="s">
        <v>25</v>
      </c>
      <c r="M3374" s="10" t="s">
        <v>26</v>
      </c>
      <c r="N3374" t="s">
        <v>26</v>
      </c>
      <c r="O3374" s="10" t="s">
        <v>26</v>
      </c>
      <c r="P3374" s="8" t="s">
        <v>26</v>
      </c>
      <c r="Q3374" s="8">
        <f>(2618262*100)/2995732</f>
        <v>87.399740697766021</v>
      </c>
    </row>
    <row r="3375" spans="1:17" x14ac:dyDescent="0.2">
      <c r="A3375">
        <f>YEAR(D3375)</f>
        <v>2019</v>
      </c>
      <c r="B3375" t="s">
        <v>26</v>
      </c>
      <c r="C3375" s="2" t="s">
        <v>1540</v>
      </c>
      <c r="D3375" s="1">
        <v>43648</v>
      </c>
      <c r="E3375">
        <f>MONTH(D3375)</f>
        <v>7</v>
      </c>
      <c r="F3375" s="2" t="s">
        <v>2098</v>
      </c>
      <c r="G3375" t="s">
        <v>219</v>
      </c>
      <c r="H3375" t="s">
        <v>220</v>
      </c>
      <c r="I3375" t="s">
        <v>22</v>
      </c>
      <c r="J3375" s="2" t="s">
        <v>42</v>
      </c>
      <c r="K3375" s="2" t="s">
        <v>3019</v>
      </c>
      <c r="L3375" t="s">
        <v>25</v>
      </c>
      <c r="M3375" s="10" t="s">
        <v>26</v>
      </c>
      <c r="N3375" t="s">
        <v>26</v>
      </c>
      <c r="O3375" s="10" t="s">
        <v>26</v>
      </c>
      <c r="P3375" s="8" t="s">
        <v>26</v>
      </c>
      <c r="Q3375" s="8">
        <f>(2618262*100)/2995732</f>
        <v>87.399740697766021</v>
      </c>
    </row>
    <row r="3376" spans="1:17" x14ac:dyDescent="0.2">
      <c r="A3376">
        <f>YEAR(D3376)</f>
        <v>2019</v>
      </c>
      <c r="B3376" t="s">
        <v>26</v>
      </c>
      <c r="C3376" s="2" t="s">
        <v>1540</v>
      </c>
      <c r="D3376" s="1">
        <v>43648</v>
      </c>
      <c r="E3376">
        <f>MONTH(D3376)</f>
        <v>7</v>
      </c>
      <c r="F3376" s="2" t="s">
        <v>2098</v>
      </c>
      <c r="G3376" t="s">
        <v>219</v>
      </c>
      <c r="H3376" t="s">
        <v>220</v>
      </c>
      <c r="I3376" t="s">
        <v>22</v>
      </c>
      <c r="J3376" s="2" t="s">
        <v>42</v>
      </c>
      <c r="K3376" s="2" t="s">
        <v>3019</v>
      </c>
      <c r="L3376" t="s">
        <v>25</v>
      </c>
      <c r="M3376" s="10" t="s">
        <v>26</v>
      </c>
      <c r="N3376" t="s">
        <v>26</v>
      </c>
      <c r="O3376" s="10" t="s">
        <v>26</v>
      </c>
      <c r="P3376" s="8" t="s">
        <v>26</v>
      </c>
      <c r="Q3376" s="8">
        <f>(2618262*100)/2995732</f>
        <v>87.399740697766021</v>
      </c>
    </row>
    <row r="3377" spans="1:17" x14ac:dyDescent="0.2">
      <c r="A3377">
        <f>YEAR(D3377)</f>
        <v>2019</v>
      </c>
      <c r="B3377" t="s">
        <v>26</v>
      </c>
      <c r="C3377" s="2" t="s">
        <v>1540</v>
      </c>
      <c r="D3377" s="1">
        <v>43648</v>
      </c>
      <c r="E3377">
        <f>MONTH(D3377)</f>
        <v>7</v>
      </c>
      <c r="F3377" s="2" t="s">
        <v>2098</v>
      </c>
      <c r="G3377" t="s">
        <v>1520</v>
      </c>
      <c r="H3377" t="s">
        <v>1528</v>
      </c>
      <c r="I3377" t="s">
        <v>22</v>
      </c>
      <c r="J3377" s="2" t="s">
        <v>42</v>
      </c>
      <c r="K3377" s="2" t="s">
        <v>3019</v>
      </c>
      <c r="L3377" t="s">
        <v>25</v>
      </c>
      <c r="M3377" s="8">
        <v>3.624333333</v>
      </c>
      <c r="N3377" t="s">
        <v>26</v>
      </c>
      <c r="O3377" s="8">
        <v>3.624333333</v>
      </c>
      <c r="P3377" s="8">
        <f>EXP(-1.363+3.366*LOG(O3377,10))</f>
        <v>1.6809546844949765</v>
      </c>
      <c r="Q3377" s="8">
        <f>(2618262*100)/2995732</f>
        <v>87.399740697766021</v>
      </c>
    </row>
    <row r="3378" spans="1:17" x14ac:dyDescent="0.2">
      <c r="A3378">
        <f>YEAR(D3378)</f>
        <v>2019</v>
      </c>
      <c r="B3378" t="s">
        <v>26</v>
      </c>
      <c r="C3378" s="2" t="s">
        <v>1540</v>
      </c>
      <c r="D3378" s="1">
        <v>43648</v>
      </c>
      <c r="E3378">
        <f>MONTH(D3378)</f>
        <v>7</v>
      </c>
      <c r="F3378" s="2" t="s">
        <v>2098</v>
      </c>
      <c r="G3378" t="s">
        <v>1520</v>
      </c>
      <c r="H3378" t="s">
        <v>1528</v>
      </c>
      <c r="I3378" t="s">
        <v>22</v>
      </c>
      <c r="J3378" s="2" t="s">
        <v>42</v>
      </c>
      <c r="K3378" s="2" t="s">
        <v>3019</v>
      </c>
      <c r="L3378" t="s">
        <v>25</v>
      </c>
      <c r="M3378" s="8">
        <v>3.624333333</v>
      </c>
      <c r="N3378" t="s">
        <v>26</v>
      </c>
      <c r="O3378" s="8">
        <v>3.624333333</v>
      </c>
      <c r="P3378" s="8">
        <f>EXP(-1.363+3.366*LOG(O3378,10))</f>
        <v>1.6809546844949765</v>
      </c>
      <c r="Q3378" s="8">
        <f>(2618262*100)/2995732</f>
        <v>87.399740697766021</v>
      </c>
    </row>
    <row r="3379" spans="1:17" x14ac:dyDescent="0.2">
      <c r="A3379">
        <f>YEAR(D3379)</f>
        <v>2019</v>
      </c>
      <c r="B3379" t="s">
        <v>26</v>
      </c>
      <c r="C3379" s="2" t="s">
        <v>1540</v>
      </c>
      <c r="D3379" s="1">
        <v>43648</v>
      </c>
      <c r="E3379">
        <f>MONTH(D3379)</f>
        <v>7</v>
      </c>
      <c r="F3379" s="2" t="s">
        <v>2098</v>
      </c>
      <c r="G3379" t="s">
        <v>1520</v>
      </c>
      <c r="H3379" t="s">
        <v>1528</v>
      </c>
      <c r="I3379" t="s">
        <v>22</v>
      </c>
      <c r="J3379" s="2" t="s">
        <v>42</v>
      </c>
      <c r="K3379" s="2" t="s">
        <v>3019</v>
      </c>
      <c r="L3379" t="s">
        <v>25</v>
      </c>
      <c r="M3379" s="8">
        <v>3.624333333</v>
      </c>
      <c r="N3379" t="s">
        <v>26</v>
      </c>
      <c r="O3379" s="8">
        <v>3.624333333</v>
      </c>
      <c r="P3379" s="8">
        <f>EXP(-1.363+3.366*LOG(O3379,10))</f>
        <v>1.6809546844949765</v>
      </c>
      <c r="Q3379" s="8">
        <f>(2618262*100)/2995732</f>
        <v>87.399740697766021</v>
      </c>
    </row>
    <row r="3380" spans="1:17" x14ac:dyDescent="0.2">
      <c r="A3380">
        <f>YEAR(D3380)</f>
        <v>2019</v>
      </c>
      <c r="B3380" t="s">
        <v>26</v>
      </c>
      <c r="C3380" s="2" t="s">
        <v>1540</v>
      </c>
      <c r="D3380" s="1">
        <v>43648</v>
      </c>
      <c r="E3380">
        <f>MONTH(D3380)</f>
        <v>7</v>
      </c>
      <c r="F3380" s="2" t="s">
        <v>2098</v>
      </c>
      <c r="G3380" t="s">
        <v>219</v>
      </c>
      <c r="H3380" t="s">
        <v>220</v>
      </c>
      <c r="I3380" t="s">
        <v>22</v>
      </c>
      <c r="J3380" s="2" t="s">
        <v>42</v>
      </c>
      <c r="K3380" s="2" t="s">
        <v>3019</v>
      </c>
      <c r="L3380" t="s">
        <v>25</v>
      </c>
      <c r="M3380" s="10" t="s">
        <v>26</v>
      </c>
      <c r="N3380" t="s">
        <v>26</v>
      </c>
      <c r="O3380" s="10" t="s">
        <v>26</v>
      </c>
      <c r="P3380" s="8" t="s">
        <v>26</v>
      </c>
      <c r="Q3380" s="8">
        <f>(2618262*100)/2995732</f>
        <v>87.399740697766021</v>
      </c>
    </row>
    <row r="3381" spans="1:17" x14ac:dyDescent="0.2">
      <c r="A3381">
        <f>YEAR(D3381)</f>
        <v>2019</v>
      </c>
      <c r="B3381" t="s">
        <v>26</v>
      </c>
      <c r="C3381" s="2" t="s">
        <v>1540</v>
      </c>
      <c r="D3381" s="1">
        <v>43648</v>
      </c>
      <c r="E3381">
        <f>MONTH(D3381)</f>
        <v>7</v>
      </c>
      <c r="F3381" s="2" t="s">
        <v>2098</v>
      </c>
      <c r="G3381" t="s">
        <v>219</v>
      </c>
      <c r="H3381" t="s">
        <v>220</v>
      </c>
      <c r="I3381" t="s">
        <v>22</v>
      </c>
      <c r="J3381" s="2" t="s">
        <v>42</v>
      </c>
      <c r="K3381" s="2" t="s">
        <v>3019</v>
      </c>
      <c r="L3381" t="s">
        <v>25</v>
      </c>
      <c r="M3381" s="10" t="s">
        <v>26</v>
      </c>
      <c r="N3381" t="s">
        <v>26</v>
      </c>
      <c r="O3381" s="10" t="s">
        <v>26</v>
      </c>
      <c r="P3381" s="8" t="s">
        <v>26</v>
      </c>
      <c r="Q3381" s="8">
        <f>(2618262*100)/2995732</f>
        <v>87.399740697766021</v>
      </c>
    </row>
    <row r="3382" spans="1:17" x14ac:dyDescent="0.2">
      <c r="A3382">
        <f>YEAR(D3382)</f>
        <v>2019</v>
      </c>
      <c r="B3382" t="s">
        <v>26</v>
      </c>
      <c r="C3382" s="2" t="s">
        <v>1540</v>
      </c>
      <c r="D3382" s="1">
        <v>43648</v>
      </c>
      <c r="E3382">
        <f>MONTH(D3382)</f>
        <v>7</v>
      </c>
      <c r="F3382" s="2" t="s">
        <v>2098</v>
      </c>
      <c r="G3382" t="s">
        <v>219</v>
      </c>
      <c r="H3382" t="s">
        <v>220</v>
      </c>
      <c r="I3382" t="s">
        <v>22</v>
      </c>
      <c r="J3382" s="2" t="s">
        <v>42</v>
      </c>
      <c r="K3382" s="2" t="s">
        <v>3019</v>
      </c>
      <c r="L3382" t="s">
        <v>25</v>
      </c>
      <c r="M3382" s="10" t="s">
        <v>26</v>
      </c>
      <c r="N3382" t="s">
        <v>26</v>
      </c>
      <c r="O3382" s="10" t="s">
        <v>26</v>
      </c>
      <c r="P3382" s="8" t="s">
        <v>26</v>
      </c>
      <c r="Q3382" s="8">
        <f>(2618262*100)/2995732</f>
        <v>87.399740697766021</v>
      </c>
    </row>
    <row r="3383" spans="1:17" x14ac:dyDescent="0.2">
      <c r="A3383">
        <f>YEAR(D3383)</f>
        <v>2019</v>
      </c>
      <c r="B3383" t="s">
        <v>26</v>
      </c>
      <c r="C3383" s="2" t="s">
        <v>1540</v>
      </c>
      <c r="D3383" s="1">
        <v>43648</v>
      </c>
      <c r="E3383">
        <f>MONTH(D3383)</f>
        <v>7</v>
      </c>
      <c r="F3383" s="2" t="s">
        <v>2098</v>
      </c>
      <c r="G3383" t="s">
        <v>219</v>
      </c>
      <c r="H3383" t="s">
        <v>220</v>
      </c>
      <c r="I3383" t="s">
        <v>22</v>
      </c>
      <c r="J3383" s="2" t="s">
        <v>42</v>
      </c>
      <c r="K3383" s="2" t="s">
        <v>3019</v>
      </c>
      <c r="L3383" t="s">
        <v>25</v>
      </c>
      <c r="M3383" s="10" t="s">
        <v>26</v>
      </c>
      <c r="N3383" t="s">
        <v>26</v>
      </c>
      <c r="O3383" s="10" t="s">
        <v>26</v>
      </c>
      <c r="P3383" s="8" t="s">
        <v>26</v>
      </c>
      <c r="Q3383" s="8">
        <f>(2618262*100)/2995732</f>
        <v>87.399740697766021</v>
      </c>
    </row>
    <row r="3384" spans="1:17" x14ac:dyDescent="0.2">
      <c r="A3384">
        <f>YEAR(D3384)</f>
        <v>2019</v>
      </c>
      <c r="B3384" t="s">
        <v>26</v>
      </c>
      <c r="C3384" s="2" t="s">
        <v>1540</v>
      </c>
      <c r="D3384" s="1">
        <v>43648</v>
      </c>
      <c r="E3384">
        <f>MONTH(D3384)</f>
        <v>7</v>
      </c>
      <c r="F3384" s="2" t="s">
        <v>2098</v>
      </c>
      <c r="G3384" t="s">
        <v>219</v>
      </c>
      <c r="H3384" t="s">
        <v>220</v>
      </c>
      <c r="I3384" t="s">
        <v>22</v>
      </c>
      <c r="J3384" s="2" t="s">
        <v>42</v>
      </c>
      <c r="K3384" s="2" t="s">
        <v>3019</v>
      </c>
      <c r="L3384" t="s">
        <v>25</v>
      </c>
      <c r="M3384" s="10" t="s">
        <v>26</v>
      </c>
      <c r="N3384" t="s">
        <v>26</v>
      </c>
      <c r="O3384" s="10" t="s">
        <v>26</v>
      </c>
      <c r="P3384" s="8" t="s">
        <v>26</v>
      </c>
      <c r="Q3384" s="8">
        <f>(2618262*100)/2995732</f>
        <v>87.399740697766021</v>
      </c>
    </row>
    <row r="3385" spans="1:17" x14ac:dyDescent="0.2">
      <c r="A3385">
        <f>YEAR(D3385)</f>
        <v>2019</v>
      </c>
      <c r="B3385" t="s">
        <v>26</v>
      </c>
      <c r="C3385" s="2" t="s">
        <v>1540</v>
      </c>
      <c r="D3385" s="1">
        <v>43648</v>
      </c>
      <c r="E3385">
        <f>MONTH(D3385)</f>
        <v>7</v>
      </c>
      <c r="F3385" s="2" t="s">
        <v>2098</v>
      </c>
      <c r="G3385" t="s">
        <v>219</v>
      </c>
      <c r="H3385" t="s">
        <v>220</v>
      </c>
      <c r="I3385" t="s">
        <v>22</v>
      </c>
      <c r="J3385" s="2" t="s">
        <v>42</v>
      </c>
      <c r="K3385" s="2" t="s">
        <v>3019</v>
      </c>
      <c r="L3385" t="s">
        <v>25</v>
      </c>
      <c r="M3385" s="10" t="s">
        <v>26</v>
      </c>
      <c r="N3385" t="s">
        <v>26</v>
      </c>
      <c r="O3385" s="10" t="s">
        <v>26</v>
      </c>
      <c r="P3385" s="8" t="s">
        <v>26</v>
      </c>
      <c r="Q3385" s="8">
        <f>(2618262*100)/2995732</f>
        <v>87.399740697766021</v>
      </c>
    </row>
    <row r="3386" spans="1:17" x14ac:dyDescent="0.2">
      <c r="A3386">
        <f>YEAR(D3386)</f>
        <v>2019</v>
      </c>
      <c r="B3386" t="s">
        <v>26</v>
      </c>
      <c r="C3386" s="2" t="s">
        <v>1540</v>
      </c>
      <c r="D3386" s="1">
        <v>43648</v>
      </c>
      <c r="E3386">
        <f>MONTH(D3386)</f>
        <v>7</v>
      </c>
      <c r="F3386" s="2" t="s">
        <v>2098</v>
      </c>
      <c r="G3386" t="s">
        <v>219</v>
      </c>
      <c r="H3386" t="s">
        <v>220</v>
      </c>
      <c r="I3386" t="s">
        <v>22</v>
      </c>
      <c r="J3386" s="2" t="s">
        <v>42</v>
      </c>
      <c r="K3386" s="2" t="s">
        <v>3019</v>
      </c>
      <c r="L3386" t="s">
        <v>25</v>
      </c>
      <c r="M3386" s="10" t="s">
        <v>26</v>
      </c>
      <c r="N3386" t="s">
        <v>26</v>
      </c>
      <c r="O3386" s="10" t="s">
        <v>26</v>
      </c>
      <c r="P3386" s="8" t="s">
        <v>26</v>
      </c>
      <c r="Q3386" s="8">
        <f>(2618262*100)/2995732</f>
        <v>87.399740697766021</v>
      </c>
    </row>
    <row r="3387" spans="1:17" x14ac:dyDescent="0.2">
      <c r="A3387">
        <f>YEAR(D3387)</f>
        <v>2019</v>
      </c>
      <c r="B3387" t="s">
        <v>26</v>
      </c>
      <c r="C3387" s="2" t="s">
        <v>1540</v>
      </c>
      <c r="D3387" s="1">
        <v>43648</v>
      </c>
      <c r="E3387">
        <f>MONTH(D3387)</f>
        <v>7</v>
      </c>
      <c r="F3387" s="2" t="s">
        <v>2098</v>
      </c>
      <c r="G3387" t="s">
        <v>219</v>
      </c>
      <c r="H3387" t="s">
        <v>220</v>
      </c>
      <c r="I3387" t="s">
        <v>22</v>
      </c>
      <c r="J3387" s="2" t="s">
        <v>42</v>
      </c>
      <c r="K3387" s="2" t="s">
        <v>3019</v>
      </c>
      <c r="L3387" t="s">
        <v>25</v>
      </c>
      <c r="M3387" s="10" t="s">
        <v>26</v>
      </c>
      <c r="N3387" t="s">
        <v>26</v>
      </c>
      <c r="O3387" s="10" t="s">
        <v>26</v>
      </c>
      <c r="P3387" s="8" t="s">
        <v>26</v>
      </c>
      <c r="Q3387" s="8">
        <f>(2618262*100)/2995732</f>
        <v>87.399740697766021</v>
      </c>
    </row>
    <row r="3388" spans="1:17" x14ac:dyDescent="0.2">
      <c r="A3388">
        <f>YEAR(D3388)</f>
        <v>2019</v>
      </c>
      <c r="B3388" t="s">
        <v>26</v>
      </c>
      <c r="C3388" s="2" t="s">
        <v>1540</v>
      </c>
      <c r="D3388" s="1">
        <v>43648</v>
      </c>
      <c r="E3388">
        <f>MONTH(D3388)</f>
        <v>7</v>
      </c>
      <c r="F3388" s="2" t="s">
        <v>2098</v>
      </c>
      <c r="G3388" t="s">
        <v>219</v>
      </c>
      <c r="H3388" t="s">
        <v>220</v>
      </c>
      <c r="I3388" t="s">
        <v>22</v>
      </c>
      <c r="J3388" s="2" t="s">
        <v>42</v>
      </c>
      <c r="K3388" s="2" t="s">
        <v>3019</v>
      </c>
      <c r="L3388" t="s">
        <v>25</v>
      </c>
      <c r="M3388" s="10" t="s">
        <v>26</v>
      </c>
      <c r="N3388" t="s">
        <v>26</v>
      </c>
      <c r="O3388" s="10" t="s">
        <v>26</v>
      </c>
      <c r="P3388" s="8" t="s">
        <v>26</v>
      </c>
      <c r="Q3388" s="8">
        <f>(2618262*100)/2995732</f>
        <v>87.399740697766021</v>
      </c>
    </row>
    <row r="3389" spans="1:17" x14ac:dyDescent="0.2">
      <c r="A3389">
        <f>YEAR(D3389)</f>
        <v>2019</v>
      </c>
      <c r="B3389" t="s">
        <v>26</v>
      </c>
      <c r="C3389" s="2" t="s">
        <v>1540</v>
      </c>
      <c r="D3389" s="1">
        <v>43648</v>
      </c>
      <c r="E3389">
        <f>MONTH(D3389)</f>
        <v>7</v>
      </c>
      <c r="F3389" s="2" t="s">
        <v>2098</v>
      </c>
      <c r="G3389" t="s">
        <v>1520</v>
      </c>
      <c r="H3389" t="s">
        <v>1521</v>
      </c>
      <c r="I3389" t="s">
        <v>36</v>
      </c>
      <c r="J3389" s="2" t="s">
        <v>42</v>
      </c>
      <c r="K3389" s="2" t="s">
        <v>3019</v>
      </c>
      <c r="L3389" t="s">
        <v>25</v>
      </c>
      <c r="M3389" s="8">
        <v>2.3340000000000001</v>
      </c>
      <c r="N3389" t="s">
        <v>26</v>
      </c>
      <c r="O3389" s="8">
        <v>2.3340000000000001</v>
      </c>
      <c r="P3389" s="8">
        <f>EXP(-1.363+3.366*LOG(O3389,10))</f>
        <v>0.88340410488080767</v>
      </c>
      <c r="Q3389" s="8">
        <f>(2618262*100)/2995732</f>
        <v>87.399740697766021</v>
      </c>
    </row>
    <row r="3390" spans="1:17" x14ac:dyDescent="0.2">
      <c r="A3390">
        <f>YEAR(D3390)</f>
        <v>2019</v>
      </c>
      <c r="B3390" t="s">
        <v>26</v>
      </c>
      <c r="C3390" s="2" t="s">
        <v>1540</v>
      </c>
      <c r="D3390" s="1">
        <v>43648</v>
      </c>
      <c r="E3390">
        <f>MONTH(D3390)</f>
        <v>7</v>
      </c>
      <c r="F3390" s="2" t="s">
        <v>2098</v>
      </c>
      <c r="G3390" t="s">
        <v>230</v>
      </c>
      <c r="H3390" t="s">
        <v>2260</v>
      </c>
      <c r="I3390" t="s">
        <v>36</v>
      </c>
      <c r="J3390" s="2" t="s">
        <v>42</v>
      </c>
      <c r="K3390" s="2" t="s">
        <v>3019</v>
      </c>
      <c r="L3390" t="s">
        <v>305</v>
      </c>
      <c r="M3390" s="8">
        <v>3.9023333330000001</v>
      </c>
      <c r="N3390" t="s">
        <v>26</v>
      </c>
      <c r="O3390" s="8">
        <v>3.9023333330000001</v>
      </c>
      <c r="P3390" s="8">
        <f>EXP(-1.363+3.366*LOG(O3390,10))</f>
        <v>1.8727310273101283</v>
      </c>
      <c r="Q3390" s="8">
        <f>(2618262*100)/2995732</f>
        <v>87.399740697766021</v>
      </c>
    </row>
    <row r="3391" spans="1:17" x14ac:dyDescent="0.2">
      <c r="A3391">
        <f>YEAR(D3391)</f>
        <v>2019</v>
      </c>
      <c r="B3391" t="s">
        <v>26</v>
      </c>
      <c r="C3391" s="2" t="s">
        <v>1540</v>
      </c>
      <c r="D3391" s="1">
        <v>43648</v>
      </c>
      <c r="E3391">
        <f>MONTH(D3391)</f>
        <v>7</v>
      </c>
      <c r="F3391" s="2" t="s">
        <v>2098</v>
      </c>
      <c r="G3391" t="s">
        <v>219</v>
      </c>
      <c r="H3391" t="s">
        <v>220</v>
      </c>
      <c r="I3391" t="s">
        <v>22</v>
      </c>
      <c r="J3391" s="2" t="s">
        <v>42</v>
      </c>
      <c r="K3391" s="2" t="s">
        <v>3019</v>
      </c>
      <c r="L3391" t="s">
        <v>25</v>
      </c>
      <c r="M3391" s="10" t="s">
        <v>26</v>
      </c>
      <c r="N3391" t="s">
        <v>26</v>
      </c>
      <c r="O3391" s="10" t="s">
        <v>26</v>
      </c>
      <c r="P3391" s="8" t="s">
        <v>26</v>
      </c>
      <c r="Q3391" s="8">
        <f>(2618262*100)/2995732</f>
        <v>87.399740697766021</v>
      </c>
    </row>
    <row r="3392" spans="1:17" x14ac:dyDescent="0.2">
      <c r="A3392">
        <f>YEAR(D3392)</f>
        <v>2019</v>
      </c>
      <c r="B3392" t="s">
        <v>26</v>
      </c>
      <c r="C3392" s="2" t="s">
        <v>1540</v>
      </c>
      <c r="D3392" s="1">
        <v>43648</v>
      </c>
      <c r="E3392">
        <f>MONTH(D3392)</f>
        <v>7</v>
      </c>
      <c r="F3392" s="2" t="s">
        <v>2098</v>
      </c>
      <c r="G3392" t="s">
        <v>230</v>
      </c>
      <c r="H3392" t="s">
        <v>268</v>
      </c>
      <c r="I3392" t="s">
        <v>22</v>
      </c>
      <c r="J3392" s="2" t="s">
        <v>42</v>
      </c>
      <c r="K3392" s="2" t="s">
        <v>3019</v>
      </c>
      <c r="L3392" t="s">
        <v>25</v>
      </c>
      <c r="M3392" s="8">
        <v>3.5356666670000001</v>
      </c>
      <c r="N3392" t="s">
        <v>26</v>
      </c>
      <c r="O3392" s="8">
        <v>3.5356666670000001</v>
      </c>
      <c r="P3392" s="8">
        <f>EXP(-1.363+3.366*LOG(O3392,10))</f>
        <v>1.6211802664427075</v>
      </c>
      <c r="Q3392" s="8">
        <f>(2618262*100)/2995732</f>
        <v>87.399740697766021</v>
      </c>
    </row>
    <row r="3393" spans="1:17" x14ac:dyDescent="0.2">
      <c r="A3393">
        <f>YEAR(D3393)</f>
        <v>2019</v>
      </c>
      <c r="B3393" t="s">
        <v>26</v>
      </c>
      <c r="C3393" s="2" t="s">
        <v>1540</v>
      </c>
      <c r="D3393" s="1">
        <v>43648</v>
      </c>
      <c r="E3393">
        <f>MONTH(D3393)</f>
        <v>7</v>
      </c>
      <c r="F3393" s="2" t="s">
        <v>2098</v>
      </c>
      <c r="G3393" t="s">
        <v>230</v>
      </c>
      <c r="H3393" t="s">
        <v>255</v>
      </c>
      <c r="I3393" t="s">
        <v>36</v>
      </c>
      <c r="J3393" s="2" t="s">
        <v>42</v>
      </c>
      <c r="K3393" s="2" t="s">
        <v>3019</v>
      </c>
      <c r="L3393" t="s">
        <v>25</v>
      </c>
      <c r="M3393" s="8">
        <v>4.1180000000000003</v>
      </c>
      <c r="N3393" t="s">
        <v>26</v>
      </c>
      <c r="O3393" s="8">
        <v>4.1180000000000003</v>
      </c>
      <c r="P3393" s="8">
        <f>EXP(-1.363+3.366*LOG(O3393,10))</f>
        <v>2.0259408868315871</v>
      </c>
      <c r="Q3393" s="8">
        <f>(2618262*100)/2995732</f>
        <v>87.399740697766021</v>
      </c>
    </row>
    <row r="3394" spans="1:17" x14ac:dyDescent="0.2">
      <c r="A3394">
        <f>YEAR(D3394)</f>
        <v>2019</v>
      </c>
      <c r="B3394" t="s">
        <v>26</v>
      </c>
      <c r="C3394" s="2" t="s">
        <v>1540</v>
      </c>
      <c r="D3394" s="1">
        <v>43648</v>
      </c>
      <c r="E3394">
        <f>MONTH(D3394)</f>
        <v>7</v>
      </c>
      <c r="F3394" s="2" t="s">
        <v>2098</v>
      </c>
      <c r="G3394" t="s">
        <v>219</v>
      </c>
      <c r="H3394" t="s">
        <v>220</v>
      </c>
      <c r="I3394" t="s">
        <v>22</v>
      </c>
      <c r="J3394" s="2" t="s">
        <v>42</v>
      </c>
      <c r="K3394" s="2" t="s">
        <v>3019</v>
      </c>
      <c r="L3394" t="s">
        <v>25</v>
      </c>
      <c r="M3394" s="10" t="s">
        <v>26</v>
      </c>
      <c r="N3394" t="s">
        <v>26</v>
      </c>
      <c r="O3394" s="10" t="s">
        <v>26</v>
      </c>
      <c r="P3394" s="8" t="s">
        <v>26</v>
      </c>
      <c r="Q3394" s="8">
        <f>(2618262*100)/2995732</f>
        <v>87.399740697766021</v>
      </c>
    </row>
    <row r="3395" spans="1:17" x14ac:dyDescent="0.2">
      <c r="A3395">
        <f>YEAR(D3395)</f>
        <v>2019</v>
      </c>
      <c r="B3395" t="s">
        <v>26</v>
      </c>
      <c r="C3395" s="2" t="s">
        <v>1540</v>
      </c>
      <c r="D3395" s="1">
        <v>43648</v>
      </c>
      <c r="E3395">
        <f>MONTH(D3395)</f>
        <v>7</v>
      </c>
      <c r="F3395" s="2" t="s">
        <v>2098</v>
      </c>
      <c r="G3395" t="s">
        <v>230</v>
      </c>
      <c r="H3395" t="s">
        <v>268</v>
      </c>
      <c r="I3395" t="s">
        <v>22</v>
      </c>
      <c r="J3395" s="2" t="s">
        <v>42</v>
      </c>
      <c r="K3395" s="2" t="s">
        <v>3019</v>
      </c>
      <c r="L3395" t="s">
        <v>25</v>
      </c>
      <c r="M3395" s="8">
        <v>3.5356666670000001</v>
      </c>
      <c r="N3395" t="s">
        <v>26</v>
      </c>
      <c r="O3395" s="8">
        <v>3.5356666670000001</v>
      </c>
      <c r="P3395" s="8">
        <f>EXP(-1.363+3.366*LOG(O3395,10))</f>
        <v>1.6211802664427075</v>
      </c>
      <c r="Q3395" s="8">
        <f>(2618262*100)/2995732</f>
        <v>87.399740697766021</v>
      </c>
    </row>
    <row r="3396" spans="1:17" x14ac:dyDescent="0.2">
      <c r="A3396">
        <f>YEAR(D3396)</f>
        <v>2019</v>
      </c>
      <c r="B3396" t="s">
        <v>26</v>
      </c>
      <c r="C3396" s="2" t="s">
        <v>1540</v>
      </c>
      <c r="D3396" s="1">
        <v>43648</v>
      </c>
      <c r="E3396">
        <f>MONTH(D3396)</f>
        <v>7</v>
      </c>
      <c r="F3396" s="2" t="s">
        <v>2098</v>
      </c>
      <c r="G3396" t="s">
        <v>230</v>
      </c>
      <c r="H3396" t="s">
        <v>268</v>
      </c>
      <c r="I3396" t="s">
        <v>22</v>
      </c>
      <c r="J3396" s="2" t="s">
        <v>42</v>
      </c>
      <c r="K3396" s="2" t="s">
        <v>3019</v>
      </c>
      <c r="L3396" t="s">
        <v>25</v>
      </c>
      <c r="M3396" s="8">
        <v>3.5356666670000001</v>
      </c>
      <c r="N3396" t="s">
        <v>26</v>
      </c>
      <c r="O3396" s="8">
        <v>3.5356666670000001</v>
      </c>
      <c r="P3396" s="8">
        <f>EXP(-1.363+3.366*LOG(O3396,10))</f>
        <v>1.6211802664427075</v>
      </c>
      <c r="Q3396" s="8">
        <f>(2618262*100)/2995732</f>
        <v>87.399740697766021</v>
      </c>
    </row>
    <row r="3397" spans="1:17" x14ac:dyDescent="0.2">
      <c r="A3397">
        <f>YEAR(D3397)</f>
        <v>2019</v>
      </c>
      <c r="B3397" t="s">
        <v>26</v>
      </c>
      <c r="C3397" s="2" t="s">
        <v>1540</v>
      </c>
      <c r="D3397" s="1">
        <v>43648</v>
      </c>
      <c r="E3397">
        <f>MONTH(D3397)</f>
        <v>7</v>
      </c>
      <c r="F3397" s="2" t="s">
        <v>2098</v>
      </c>
      <c r="G3397" t="s">
        <v>332</v>
      </c>
      <c r="H3397" t="s">
        <v>330</v>
      </c>
      <c r="I3397" t="s">
        <v>36</v>
      </c>
      <c r="J3397" s="2" t="s">
        <v>42</v>
      </c>
      <c r="K3397" s="2" t="s">
        <v>3019</v>
      </c>
      <c r="L3397" t="s">
        <v>25</v>
      </c>
      <c r="M3397" s="8">
        <v>1.100666667</v>
      </c>
      <c r="N3397" t="s">
        <v>26</v>
      </c>
      <c r="O3397" s="8">
        <v>1.100666667</v>
      </c>
      <c r="P3397" s="8">
        <f>EXP(-1.363+3.366*LOG(O3397,10))</f>
        <v>0.29440864465042604</v>
      </c>
      <c r="Q3397" s="8">
        <f>(2618262*100)/2995732</f>
        <v>87.399740697766021</v>
      </c>
    </row>
    <row r="3398" spans="1:17" x14ac:dyDescent="0.2">
      <c r="A3398">
        <f>YEAR(D3398)</f>
        <v>2019</v>
      </c>
      <c r="B3398" t="s">
        <v>26</v>
      </c>
      <c r="C3398" s="2" t="s">
        <v>1540</v>
      </c>
      <c r="D3398" s="1">
        <v>43648</v>
      </c>
      <c r="E3398">
        <f>MONTH(D3398)</f>
        <v>7</v>
      </c>
      <c r="F3398" s="2" t="s">
        <v>2098</v>
      </c>
      <c r="G3398" t="s">
        <v>219</v>
      </c>
      <c r="H3398" t="s">
        <v>220</v>
      </c>
      <c r="I3398" t="s">
        <v>22</v>
      </c>
      <c r="J3398" s="2" t="s">
        <v>42</v>
      </c>
      <c r="K3398" s="2" t="s">
        <v>3019</v>
      </c>
      <c r="L3398" t="s">
        <v>25</v>
      </c>
      <c r="M3398" s="10" t="s">
        <v>26</v>
      </c>
      <c r="N3398" t="s">
        <v>26</v>
      </c>
      <c r="O3398" s="10" t="s">
        <v>26</v>
      </c>
      <c r="P3398" s="8" t="s">
        <v>26</v>
      </c>
      <c r="Q3398" s="8">
        <f>(2618262*100)/2995732</f>
        <v>87.399740697766021</v>
      </c>
    </row>
    <row r="3399" spans="1:17" x14ac:dyDescent="0.2">
      <c r="A3399">
        <f>YEAR(D3399)</f>
        <v>2019</v>
      </c>
      <c r="B3399" t="e">
        <f>CONCATENATE(K3399,#REF!)</f>
        <v>#REF!</v>
      </c>
      <c r="C3399" s="2" t="s">
        <v>1540</v>
      </c>
      <c r="D3399" s="1">
        <v>43648</v>
      </c>
      <c r="E3399">
        <f>MONTH(D3399)</f>
        <v>7</v>
      </c>
      <c r="F3399" s="2" t="s">
        <v>2098</v>
      </c>
      <c r="G3399" s="2" t="s">
        <v>20</v>
      </c>
      <c r="H3399" t="s">
        <v>103</v>
      </c>
      <c r="I3399" t="s">
        <v>36</v>
      </c>
      <c r="J3399" s="2" t="s">
        <v>42</v>
      </c>
      <c r="K3399" s="2" t="s">
        <v>3019</v>
      </c>
      <c r="L3399" t="s">
        <v>25</v>
      </c>
      <c r="M3399" s="8">
        <v>1.856666667</v>
      </c>
      <c r="N3399" t="s">
        <v>26</v>
      </c>
      <c r="O3399" s="8">
        <v>1.856666667</v>
      </c>
      <c r="P3399" s="8">
        <f>EXP(-1.363+3.366*LOG(O3399,10))</f>
        <v>0.63226823262235543</v>
      </c>
      <c r="Q3399" s="8">
        <f>(2618262*100)/2995732</f>
        <v>87.399740697766021</v>
      </c>
    </row>
    <row r="3400" spans="1:17" x14ac:dyDescent="0.2">
      <c r="A3400">
        <f>YEAR(D3400)</f>
        <v>2019</v>
      </c>
      <c r="B3400" t="s">
        <v>26</v>
      </c>
      <c r="C3400" s="2" t="s">
        <v>1540</v>
      </c>
      <c r="D3400" s="1">
        <v>43648</v>
      </c>
      <c r="E3400">
        <f>MONTH(D3400)</f>
        <v>7</v>
      </c>
      <c r="F3400" s="2" t="s">
        <v>2098</v>
      </c>
      <c r="G3400" t="s">
        <v>332</v>
      </c>
      <c r="H3400" t="s">
        <v>330</v>
      </c>
      <c r="I3400" t="s">
        <v>22</v>
      </c>
      <c r="J3400" s="2" t="s">
        <v>42</v>
      </c>
      <c r="K3400" s="2" t="s">
        <v>3019</v>
      </c>
      <c r="L3400" t="s">
        <v>25</v>
      </c>
      <c r="M3400" s="8">
        <v>1.2170000000000001</v>
      </c>
      <c r="N3400" t="s">
        <v>26</v>
      </c>
      <c r="O3400" s="8">
        <v>1.2170000000000001</v>
      </c>
      <c r="P3400" s="8">
        <f>EXP(-1.363+3.366*LOG(O3400,10))</f>
        <v>0.34098666307598596</v>
      </c>
      <c r="Q3400" s="8">
        <f>(2618262*100)/2995732</f>
        <v>87.399740697766021</v>
      </c>
    </row>
    <row r="3401" spans="1:17" x14ac:dyDescent="0.2">
      <c r="A3401">
        <f>YEAR(D3401)</f>
        <v>2019</v>
      </c>
      <c r="B3401" t="s">
        <v>26</v>
      </c>
      <c r="C3401" s="2" t="s">
        <v>1540</v>
      </c>
      <c r="D3401" s="1">
        <v>43648</v>
      </c>
      <c r="E3401">
        <f>MONTH(D3401)</f>
        <v>7</v>
      </c>
      <c r="F3401" s="2" t="s">
        <v>2098</v>
      </c>
      <c r="G3401" t="s">
        <v>332</v>
      </c>
      <c r="H3401" t="s">
        <v>330</v>
      </c>
      <c r="I3401" t="s">
        <v>22</v>
      </c>
      <c r="J3401" s="2" t="s">
        <v>42</v>
      </c>
      <c r="K3401" s="2" t="s">
        <v>3019</v>
      </c>
      <c r="L3401" t="s">
        <v>25</v>
      </c>
      <c r="M3401" s="8">
        <v>1.2170000000000001</v>
      </c>
      <c r="N3401" t="s">
        <v>26</v>
      </c>
      <c r="O3401" s="8">
        <v>1.2170000000000001</v>
      </c>
      <c r="P3401" s="8">
        <f>EXP(-1.363+3.366*LOG(O3401,10))</f>
        <v>0.34098666307598596</v>
      </c>
      <c r="Q3401" s="8">
        <f>(2618262*100)/2995732</f>
        <v>87.399740697766021</v>
      </c>
    </row>
    <row r="3402" spans="1:17" x14ac:dyDescent="0.2">
      <c r="A3402">
        <f>YEAR(D3402)</f>
        <v>2019</v>
      </c>
      <c r="B3402" t="s">
        <v>26</v>
      </c>
      <c r="C3402" s="2" t="s">
        <v>1540</v>
      </c>
      <c r="D3402" s="1">
        <v>43648</v>
      </c>
      <c r="E3402">
        <f>MONTH(D3402)</f>
        <v>7</v>
      </c>
      <c r="F3402" s="2" t="s">
        <v>2098</v>
      </c>
      <c r="G3402" t="s">
        <v>332</v>
      </c>
      <c r="H3402" t="s">
        <v>330</v>
      </c>
      <c r="I3402" t="s">
        <v>22</v>
      </c>
      <c r="J3402" s="2" t="s">
        <v>42</v>
      </c>
      <c r="K3402" s="2" t="s">
        <v>3019</v>
      </c>
      <c r="L3402" t="s">
        <v>25</v>
      </c>
      <c r="M3402" s="8">
        <v>1.2170000000000001</v>
      </c>
      <c r="N3402" t="s">
        <v>26</v>
      </c>
      <c r="O3402" s="8">
        <v>1.2170000000000001</v>
      </c>
      <c r="P3402" s="8">
        <f>EXP(-1.363+3.366*LOG(O3402,10))</f>
        <v>0.34098666307598596</v>
      </c>
      <c r="Q3402" s="8">
        <f>(2618262*100)/2995732</f>
        <v>87.399740697766021</v>
      </c>
    </row>
    <row r="3403" spans="1:17" x14ac:dyDescent="0.2">
      <c r="A3403">
        <f>YEAR(D3403)</f>
        <v>2019</v>
      </c>
      <c r="B3403" t="s">
        <v>26</v>
      </c>
      <c r="C3403" s="2" t="s">
        <v>1540</v>
      </c>
      <c r="D3403" s="1">
        <v>43648</v>
      </c>
      <c r="E3403">
        <f>MONTH(D3403)</f>
        <v>7</v>
      </c>
      <c r="F3403" s="2" t="s">
        <v>2098</v>
      </c>
      <c r="G3403" t="s">
        <v>332</v>
      </c>
      <c r="H3403" t="s">
        <v>330</v>
      </c>
      <c r="I3403" t="s">
        <v>22</v>
      </c>
      <c r="J3403" s="2" t="s">
        <v>42</v>
      </c>
      <c r="K3403" s="2" t="s">
        <v>3019</v>
      </c>
      <c r="L3403" t="s">
        <v>25</v>
      </c>
      <c r="M3403" s="8">
        <v>1.2170000000000001</v>
      </c>
      <c r="N3403" t="s">
        <v>26</v>
      </c>
      <c r="O3403" s="8">
        <v>1.2170000000000001</v>
      </c>
      <c r="P3403" s="8">
        <f>EXP(-1.363+3.366*LOG(O3403,10))</f>
        <v>0.34098666307598596</v>
      </c>
      <c r="Q3403" s="8">
        <f>(2618262*100)/2995732</f>
        <v>87.399740697766021</v>
      </c>
    </row>
    <row r="3404" spans="1:17" x14ac:dyDescent="0.2">
      <c r="A3404">
        <f>YEAR(D3404)</f>
        <v>2019</v>
      </c>
      <c r="B3404" t="s">
        <v>26</v>
      </c>
      <c r="C3404" s="2" t="s">
        <v>1540</v>
      </c>
      <c r="D3404" s="1">
        <v>43648</v>
      </c>
      <c r="E3404">
        <f>MONTH(D3404)</f>
        <v>7</v>
      </c>
      <c r="F3404" s="2" t="s">
        <v>2098</v>
      </c>
      <c r="G3404" t="s">
        <v>332</v>
      </c>
      <c r="H3404" t="s">
        <v>330</v>
      </c>
      <c r="I3404" t="s">
        <v>22</v>
      </c>
      <c r="J3404" s="2" t="s">
        <v>42</v>
      </c>
      <c r="K3404" s="2" t="s">
        <v>3019</v>
      </c>
      <c r="L3404" t="s">
        <v>25</v>
      </c>
      <c r="M3404" s="8">
        <v>1.2170000000000001</v>
      </c>
      <c r="N3404" t="s">
        <v>26</v>
      </c>
      <c r="O3404" s="8">
        <v>1.2170000000000001</v>
      </c>
      <c r="P3404" s="8">
        <f>EXP(-1.363+3.366*LOG(O3404,10))</f>
        <v>0.34098666307598596</v>
      </c>
      <c r="Q3404" s="8">
        <f>(2618262*100)/2995732</f>
        <v>87.399740697766021</v>
      </c>
    </row>
    <row r="3405" spans="1:17" x14ac:dyDescent="0.2">
      <c r="A3405">
        <f>YEAR(D3405)</f>
        <v>2019</v>
      </c>
      <c r="B3405" t="s">
        <v>26</v>
      </c>
      <c r="C3405" s="2" t="s">
        <v>3024</v>
      </c>
      <c r="D3405" s="1">
        <v>43649</v>
      </c>
      <c r="E3405">
        <f>MONTH(D3405)</f>
        <v>7</v>
      </c>
      <c r="F3405" s="2" t="s">
        <v>2098</v>
      </c>
      <c r="G3405" t="s">
        <v>352</v>
      </c>
      <c r="H3405" t="s">
        <v>623</v>
      </c>
      <c r="I3405" t="s">
        <v>22</v>
      </c>
      <c r="J3405" s="2" t="s">
        <v>42</v>
      </c>
      <c r="K3405" s="2" t="s">
        <v>3019</v>
      </c>
      <c r="L3405" t="s">
        <v>25</v>
      </c>
      <c r="M3405" s="8">
        <v>1.387</v>
      </c>
      <c r="N3405" t="s">
        <v>26</v>
      </c>
      <c r="O3405" s="8">
        <v>1.387</v>
      </c>
      <c r="P3405" s="8">
        <f>EXP(-1.363+3.366*LOG(O3405,10))</f>
        <v>0.41280884754947733</v>
      </c>
      <c r="Q3405" s="8">
        <f>(2412691*100)/2623642</f>
        <v>91.959611867777696</v>
      </c>
    </row>
    <row r="3406" spans="1:17" x14ac:dyDescent="0.2">
      <c r="A3406">
        <f>YEAR(D3406)</f>
        <v>2019</v>
      </c>
      <c r="B3406" t="s">
        <v>26</v>
      </c>
      <c r="C3406" s="2" t="s">
        <v>3024</v>
      </c>
      <c r="D3406" s="1">
        <v>43649</v>
      </c>
      <c r="E3406">
        <f>MONTH(D3406)</f>
        <v>7</v>
      </c>
      <c r="F3406" s="2" t="s">
        <v>2098</v>
      </c>
      <c r="G3406" t="s">
        <v>219</v>
      </c>
      <c r="H3406" t="s">
        <v>220</v>
      </c>
      <c r="I3406" t="s">
        <v>22</v>
      </c>
      <c r="J3406" s="2" t="s">
        <v>42</v>
      </c>
      <c r="K3406" s="2" t="s">
        <v>3019</v>
      </c>
      <c r="L3406" t="s">
        <v>25</v>
      </c>
      <c r="M3406" s="10" t="s">
        <v>26</v>
      </c>
      <c r="N3406" t="s">
        <v>26</v>
      </c>
      <c r="O3406" s="10" t="s">
        <v>26</v>
      </c>
      <c r="P3406" s="8" t="s">
        <v>26</v>
      </c>
      <c r="Q3406" s="8">
        <f>(2412691*100)/2623642</f>
        <v>91.959611867777696</v>
      </c>
    </row>
    <row r="3407" spans="1:17" x14ac:dyDescent="0.2">
      <c r="A3407">
        <f>YEAR(D3407)</f>
        <v>2019</v>
      </c>
      <c r="B3407" t="s">
        <v>26</v>
      </c>
      <c r="C3407" s="2" t="s">
        <v>3024</v>
      </c>
      <c r="D3407" s="1">
        <v>43649</v>
      </c>
      <c r="E3407">
        <f>MONTH(D3407)</f>
        <v>7</v>
      </c>
      <c r="F3407" s="2" t="s">
        <v>2098</v>
      </c>
      <c r="G3407" t="s">
        <v>219</v>
      </c>
      <c r="H3407" t="s">
        <v>220</v>
      </c>
      <c r="I3407" t="s">
        <v>22</v>
      </c>
      <c r="J3407" s="2" t="s">
        <v>42</v>
      </c>
      <c r="K3407" s="2" t="s">
        <v>3019</v>
      </c>
      <c r="L3407" t="s">
        <v>25</v>
      </c>
      <c r="M3407" s="10" t="s">
        <v>26</v>
      </c>
      <c r="N3407" t="s">
        <v>26</v>
      </c>
      <c r="O3407" s="10" t="s">
        <v>26</v>
      </c>
      <c r="P3407" s="8" t="s">
        <v>26</v>
      </c>
      <c r="Q3407" s="8">
        <f>(2412691*100)/2623642</f>
        <v>91.959611867777696</v>
      </c>
    </row>
    <row r="3408" spans="1:17" x14ac:dyDescent="0.2">
      <c r="A3408">
        <f>YEAR(D3408)</f>
        <v>2019</v>
      </c>
      <c r="B3408" t="s">
        <v>26</v>
      </c>
      <c r="C3408" s="2" t="s">
        <v>3024</v>
      </c>
      <c r="D3408" s="1">
        <v>43649</v>
      </c>
      <c r="E3408">
        <f>MONTH(D3408)</f>
        <v>7</v>
      </c>
      <c r="F3408" s="2" t="s">
        <v>2098</v>
      </c>
      <c r="G3408" s="2" t="s">
        <v>230</v>
      </c>
      <c r="H3408" t="s">
        <v>3054</v>
      </c>
      <c r="I3408" t="s">
        <v>22</v>
      </c>
      <c r="J3408" s="2" t="s">
        <v>42</v>
      </c>
      <c r="K3408" s="2" t="s">
        <v>3019</v>
      </c>
      <c r="L3408" t="s">
        <v>25</v>
      </c>
      <c r="M3408" s="8">
        <v>3.4456666666666664</v>
      </c>
      <c r="N3408" t="s">
        <v>26</v>
      </c>
      <c r="O3408" s="8">
        <v>3.4456666666666664</v>
      </c>
      <c r="P3408" s="8">
        <f>EXP(-1.363+3.366*LOG(O3408,10))</f>
        <v>1.5612109941121688</v>
      </c>
      <c r="Q3408" s="8">
        <f>(2412691*100)/2623642</f>
        <v>91.959611867777696</v>
      </c>
    </row>
    <row r="3409" spans="1:17" x14ac:dyDescent="0.2">
      <c r="A3409">
        <f>YEAR(D3409)</f>
        <v>2019</v>
      </c>
      <c r="B3409" t="s">
        <v>26</v>
      </c>
      <c r="C3409" s="2" t="s">
        <v>3024</v>
      </c>
      <c r="D3409" s="1">
        <v>43649</v>
      </c>
      <c r="E3409">
        <f>MONTH(D3409)</f>
        <v>7</v>
      </c>
      <c r="F3409" s="2" t="s">
        <v>2098</v>
      </c>
      <c r="G3409" t="s">
        <v>219</v>
      </c>
      <c r="H3409" t="s">
        <v>220</v>
      </c>
      <c r="I3409" t="s">
        <v>22</v>
      </c>
      <c r="J3409" s="2" t="s">
        <v>42</v>
      </c>
      <c r="K3409" s="2" t="s">
        <v>3019</v>
      </c>
      <c r="L3409" t="s">
        <v>25</v>
      </c>
      <c r="M3409" s="10" t="s">
        <v>26</v>
      </c>
      <c r="N3409" t="s">
        <v>26</v>
      </c>
      <c r="O3409" s="10" t="s">
        <v>26</v>
      </c>
      <c r="P3409" s="8" t="s">
        <v>26</v>
      </c>
      <c r="Q3409" s="8">
        <f>(2412691*100)/2623642</f>
        <v>91.959611867777696</v>
      </c>
    </row>
    <row r="3410" spans="1:17" x14ac:dyDescent="0.2">
      <c r="A3410">
        <f>YEAR(D3410)</f>
        <v>2019</v>
      </c>
      <c r="B3410" t="s">
        <v>26</v>
      </c>
      <c r="C3410" s="2" t="s">
        <v>3024</v>
      </c>
      <c r="D3410" s="1">
        <v>43649</v>
      </c>
      <c r="E3410">
        <f>MONTH(D3410)</f>
        <v>7</v>
      </c>
      <c r="F3410" s="2" t="s">
        <v>2098</v>
      </c>
      <c r="G3410" t="s">
        <v>219</v>
      </c>
      <c r="H3410" t="s">
        <v>220</v>
      </c>
      <c r="I3410" t="s">
        <v>22</v>
      </c>
      <c r="J3410" s="2" t="s">
        <v>42</v>
      </c>
      <c r="K3410" s="2" t="s">
        <v>3019</v>
      </c>
      <c r="L3410" t="s">
        <v>25</v>
      </c>
      <c r="M3410" s="10" t="s">
        <v>26</v>
      </c>
      <c r="N3410" t="s">
        <v>26</v>
      </c>
      <c r="O3410" s="10" t="s">
        <v>26</v>
      </c>
      <c r="P3410" s="8" t="s">
        <v>26</v>
      </c>
      <c r="Q3410" s="8">
        <f>(2412691*100)/2623642</f>
        <v>91.959611867777696</v>
      </c>
    </row>
    <row r="3411" spans="1:17" x14ac:dyDescent="0.2">
      <c r="A3411">
        <f>YEAR(D3411)</f>
        <v>2019</v>
      </c>
      <c r="B3411" t="s">
        <v>26</v>
      </c>
      <c r="C3411" s="2" t="s">
        <v>3024</v>
      </c>
      <c r="D3411" s="1">
        <v>43649</v>
      </c>
      <c r="E3411">
        <f>MONTH(D3411)</f>
        <v>7</v>
      </c>
      <c r="F3411" s="2" t="s">
        <v>2098</v>
      </c>
      <c r="G3411" t="s">
        <v>219</v>
      </c>
      <c r="H3411" t="s">
        <v>220</v>
      </c>
      <c r="I3411" t="s">
        <v>22</v>
      </c>
      <c r="J3411" s="2" t="s">
        <v>42</v>
      </c>
      <c r="K3411" s="2" t="s">
        <v>3019</v>
      </c>
      <c r="L3411" t="s">
        <v>25</v>
      </c>
      <c r="M3411" s="10" t="s">
        <v>26</v>
      </c>
      <c r="N3411" t="s">
        <v>26</v>
      </c>
      <c r="O3411" s="10" t="s">
        <v>26</v>
      </c>
      <c r="P3411" s="8" t="s">
        <v>26</v>
      </c>
      <c r="Q3411" s="8">
        <f>(2412691*100)/2623642</f>
        <v>91.959611867777696</v>
      </c>
    </row>
    <row r="3412" spans="1:17" x14ac:dyDescent="0.2">
      <c r="A3412">
        <f>YEAR(D3412)</f>
        <v>2019</v>
      </c>
      <c r="B3412" t="s">
        <v>26</v>
      </c>
      <c r="C3412" s="2" t="s">
        <v>3024</v>
      </c>
      <c r="D3412" s="1">
        <v>43649</v>
      </c>
      <c r="E3412">
        <f>MONTH(D3412)</f>
        <v>7</v>
      </c>
      <c r="F3412" s="2" t="s">
        <v>2098</v>
      </c>
      <c r="G3412" t="s">
        <v>219</v>
      </c>
      <c r="H3412" t="s">
        <v>220</v>
      </c>
      <c r="I3412" t="s">
        <v>22</v>
      </c>
      <c r="J3412" s="2" t="s">
        <v>42</v>
      </c>
      <c r="K3412" s="2" t="s">
        <v>3019</v>
      </c>
      <c r="L3412" t="s">
        <v>25</v>
      </c>
      <c r="M3412" s="10" t="s">
        <v>26</v>
      </c>
      <c r="N3412" t="s">
        <v>26</v>
      </c>
      <c r="O3412" s="10" t="s">
        <v>26</v>
      </c>
      <c r="P3412" s="8" t="s">
        <v>26</v>
      </c>
      <c r="Q3412" s="8">
        <f>(2412691*100)/2623642</f>
        <v>91.959611867777696</v>
      </c>
    </row>
    <row r="3413" spans="1:17" x14ac:dyDescent="0.2">
      <c r="A3413">
        <f>YEAR(D3413)</f>
        <v>2019</v>
      </c>
      <c r="B3413" t="s">
        <v>26</v>
      </c>
      <c r="C3413" s="2" t="s">
        <v>3024</v>
      </c>
      <c r="D3413" s="1">
        <v>43649</v>
      </c>
      <c r="E3413">
        <f>MONTH(D3413)</f>
        <v>7</v>
      </c>
      <c r="F3413" s="2" t="s">
        <v>2098</v>
      </c>
      <c r="G3413" t="s">
        <v>219</v>
      </c>
      <c r="H3413" t="s">
        <v>220</v>
      </c>
      <c r="I3413" t="s">
        <v>22</v>
      </c>
      <c r="J3413" s="2" t="s">
        <v>42</v>
      </c>
      <c r="K3413" s="2" t="s">
        <v>3019</v>
      </c>
      <c r="L3413" t="s">
        <v>25</v>
      </c>
      <c r="M3413" s="10" t="s">
        <v>26</v>
      </c>
      <c r="N3413" t="s">
        <v>26</v>
      </c>
      <c r="O3413" s="10" t="s">
        <v>26</v>
      </c>
      <c r="P3413" s="8" t="s">
        <v>26</v>
      </c>
      <c r="Q3413" s="8">
        <f>(2412691*100)/2623642</f>
        <v>91.959611867777696</v>
      </c>
    </row>
    <row r="3414" spans="1:17" x14ac:dyDescent="0.2">
      <c r="A3414">
        <f>YEAR(D3414)</f>
        <v>2019</v>
      </c>
      <c r="B3414" t="s">
        <v>26</v>
      </c>
      <c r="C3414" s="2" t="s">
        <v>3024</v>
      </c>
      <c r="D3414" s="1">
        <v>43649</v>
      </c>
      <c r="E3414">
        <f>MONTH(D3414)</f>
        <v>7</v>
      </c>
      <c r="F3414" s="2" t="s">
        <v>2098</v>
      </c>
      <c r="G3414" t="s">
        <v>219</v>
      </c>
      <c r="H3414" t="s">
        <v>220</v>
      </c>
      <c r="I3414" t="s">
        <v>22</v>
      </c>
      <c r="J3414" s="2" t="s">
        <v>42</v>
      </c>
      <c r="K3414" s="2" t="s">
        <v>3019</v>
      </c>
      <c r="L3414" t="s">
        <v>25</v>
      </c>
      <c r="M3414" s="10" t="s">
        <v>26</v>
      </c>
      <c r="N3414" t="s">
        <v>26</v>
      </c>
      <c r="O3414" s="10" t="s">
        <v>26</v>
      </c>
      <c r="P3414" s="8" t="s">
        <v>26</v>
      </c>
      <c r="Q3414" s="8">
        <f>(2412691*100)/2623642</f>
        <v>91.959611867777696</v>
      </c>
    </row>
    <row r="3415" spans="1:17" x14ac:dyDescent="0.2">
      <c r="A3415">
        <f>YEAR(D3415)</f>
        <v>2019</v>
      </c>
      <c r="B3415" t="s">
        <v>26</v>
      </c>
      <c r="C3415" s="2" t="s">
        <v>3024</v>
      </c>
      <c r="D3415" s="1">
        <v>43649</v>
      </c>
      <c r="E3415">
        <f>MONTH(D3415)</f>
        <v>7</v>
      </c>
      <c r="F3415" s="2" t="s">
        <v>2098</v>
      </c>
      <c r="G3415" t="s">
        <v>219</v>
      </c>
      <c r="H3415" t="s">
        <v>220</v>
      </c>
      <c r="I3415" t="s">
        <v>22</v>
      </c>
      <c r="J3415" s="2" t="s">
        <v>42</v>
      </c>
      <c r="K3415" s="2" t="s">
        <v>3019</v>
      </c>
      <c r="L3415" t="s">
        <v>25</v>
      </c>
      <c r="M3415" s="10" t="s">
        <v>26</v>
      </c>
      <c r="N3415" t="s">
        <v>26</v>
      </c>
      <c r="O3415" s="10" t="s">
        <v>26</v>
      </c>
      <c r="P3415" s="8" t="s">
        <v>26</v>
      </c>
      <c r="Q3415" s="8">
        <f>(2412691*100)/2623642</f>
        <v>91.959611867777696</v>
      </c>
    </row>
    <row r="3416" spans="1:17" x14ac:dyDescent="0.2">
      <c r="A3416">
        <f>YEAR(D3416)</f>
        <v>2019</v>
      </c>
      <c r="B3416" t="s">
        <v>26</v>
      </c>
      <c r="C3416" s="2" t="s">
        <v>3024</v>
      </c>
      <c r="D3416" s="1">
        <v>43649</v>
      </c>
      <c r="E3416">
        <f>MONTH(D3416)</f>
        <v>7</v>
      </c>
      <c r="F3416" s="2" t="s">
        <v>2098</v>
      </c>
      <c r="G3416" t="s">
        <v>219</v>
      </c>
      <c r="H3416" t="s">
        <v>220</v>
      </c>
      <c r="I3416" t="s">
        <v>22</v>
      </c>
      <c r="J3416" s="2" t="s">
        <v>42</v>
      </c>
      <c r="K3416" s="2" t="s">
        <v>3019</v>
      </c>
      <c r="L3416" t="s">
        <v>25</v>
      </c>
      <c r="M3416" s="10" t="s">
        <v>26</v>
      </c>
      <c r="N3416" t="s">
        <v>26</v>
      </c>
      <c r="O3416" s="10" t="s">
        <v>26</v>
      </c>
      <c r="P3416" s="8" t="s">
        <v>26</v>
      </c>
      <c r="Q3416" s="8">
        <f>(2412691*100)/2623642</f>
        <v>91.959611867777696</v>
      </c>
    </row>
    <row r="3417" spans="1:17" x14ac:dyDescent="0.2">
      <c r="A3417">
        <f>YEAR(D3417)</f>
        <v>2019</v>
      </c>
      <c r="B3417" t="s">
        <v>26</v>
      </c>
      <c r="C3417" s="2" t="s">
        <v>3024</v>
      </c>
      <c r="D3417" s="1">
        <v>43649</v>
      </c>
      <c r="E3417">
        <f>MONTH(D3417)</f>
        <v>7</v>
      </c>
      <c r="F3417" s="2" t="s">
        <v>2098</v>
      </c>
      <c r="G3417" t="s">
        <v>230</v>
      </c>
      <c r="H3417" t="s">
        <v>268</v>
      </c>
      <c r="I3417" t="s">
        <v>36</v>
      </c>
      <c r="J3417" s="2" t="s">
        <v>42</v>
      </c>
      <c r="K3417" s="2" t="s">
        <v>3019</v>
      </c>
      <c r="L3417" t="s">
        <v>25</v>
      </c>
      <c r="M3417" s="8">
        <v>3.3683333329999998</v>
      </c>
      <c r="N3417" t="s">
        <v>26</v>
      </c>
      <c r="O3417" s="8">
        <v>3.3683333329999998</v>
      </c>
      <c r="P3417" s="8">
        <f>EXP(-1.363+3.366*LOG(O3417,10))</f>
        <v>1.510255893489963</v>
      </c>
      <c r="Q3417" s="8">
        <f>(2412691*100)/2623642</f>
        <v>91.959611867777696</v>
      </c>
    </row>
    <row r="3418" spans="1:17" x14ac:dyDescent="0.2">
      <c r="A3418">
        <f>YEAR(D3418)</f>
        <v>2019</v>
      </c>
      <c r="B3418" t="s">
        <v>26</v>
      </c>
      <c r="C3418" s="2" t="s">
        <v>3024</v>
      </c>
      <c r="D3418" s="1">
        <v>43649</v>
      </c>
      <c r="E3418">
        <f>MONTH(D3418)</f>
        <v>7</v>
      </c>
      <c r="F3418" s="2" t="s">
        <v>2098</v>
      </c>
      <c r="G3418" t="s">
        <v>230</v>
      </c>
      <c r="H3418" t="s">
        <v>268</v>
      </c>
      <c r="I3418" t="s">
        <v>22</v>
      </c>
      <c r="J3418" s="2" t="s">
        <v>42</v>
      </c>
      <c r="K3418" s="2" t="s">
        <v>3019</v>
      </c>
      <c r="L3418" t="s">
        <v>25</v>
      </c>
      <c r="M3418" s="8">
        <v>3.5356666670000001</v>
      </c>
      <c r="N3418" t="s">
        <v>26</v>
      </c>
      <c r="O3418" s="8">
        <v>3.5356666670000001</v>
      </c>
      <c r="P3418" s="8">
        <f>EXP(-1.363+3.366*LOG(O3418,10))</f>
        <v>1.6211802664427075</v>
      </c>
      <c r="Q3418" s="8">
        <f>(2412691*100)/2623642</f>
        <v>91.959611867777696</v>
      </c>
    </row>
    <row r="3419" spans="1:17" x14ac:dyDescent="0.2">
      <c r="A3419">
        <f>YEAR(D3419)</f>
        <v>2019</v>
      </c>
      <c r="B3419" t="s">
        <v>26</v>
      </c>
      <c r="C3419" s="2" t="s">
        <v>3024</v>
      </c>
      <c r="D3419" s="1">
        <v>43649</v>
      </c>
      <c r="E3419">
        <f>MONTH(D3419)</f>
        <v>7</v>
      </c>
      <c r="F3419" s="2" t="s">
        <v>2098</v>
      </c>
      <c r="G3419" t="s">
        <v>352</v>
      </c>
      <c r="H3419" t="s">
        <v>1344</v>
      </c>
      <c r="I3419" t="s">
        <v>22</v>
      </c>
      <c r="J3419" s="2" t="s">
        <v>42</v>
      </c>
      <c r="K3419" s="2" t="s">
        <v>3019</v>
      </c>
      <c r="L3419" t="s">
        <v>25</v>
      </c>
      <c r="M3419" s="8">
        <v>0.91800000000000004</v>
      </c>
      <c r="N3419" t="s">
        <v>26</v>
      </c>
      <c r="O3419" s="8">
        <v>0.91800000000000004</v>
      </c>
      <c r="P3419" s="8">
        <f>EXP(-1.363+3.366*LOG(O3419,10))</f>
        <v>0.22580769814771504</v>
      </c>
      <c r="Q3419" s="8">
        <f>(2412691*100)/2623642</f>
        <v>91.959611867777696</v>
      </c>
    </row>
    <row r="3420" spans="1:17" x14ac:dyDescent="0.2">
      <c r="A3420">
        <f>YEAR(D3420)</f>
        <v>2019</v>
      </c>
      <c r="B3420" t="s">
        <v>26</v>
      </c>
      <c r="C3420" s="2" t="s">
        <v>3024</v>
      </c>
      <c r="D3420" s="1">
        <v>43649</v>
      </c>
      <c r="E3420">
        <f>MONTH(D3420)</f>
        <v>7</v>
      </c>
      <c r="F3420" s="2" t="s">
        <v>2098</v>
      </c>
      <c r="G3420" t="s">
        <v>352</v>
      </c>
      <c r="H3420" t="s">
        <v>1344</v>
      </c>
      <c r="I3420" t="s">
        <v>22</v>
      </c>
      <c r="J3420" s="2" t="s">
        <v>42</v>
      </c>
      <c r="K3420" s="2" t="s">
        <v>3019</v>
      </c>
      <c r="L3420" t="s">
        <v>25</v>
      </c>
      <c r="M3420" s="8">
        <v>0.91800000000000004</v>
      </c>
      <c r="N3420" t="s">
        <v>26</v>
      </c>
      <c r="O3420" s="8">
        <v>0.91800000000000004</v>
      </c>
      <c r="P3420" s="8">
        <f>EXP(-1.363+3.366*LOG(O3420,10))</f>
        <v>0.22580769814771504</v>
      </c>
      <c r="Q3420" s="8">
        <f>(2412691*100)/2623642</f>
        <v>91.959611867777696</v>
      </c>
    </row>
    <row r="3421" spans="1:17" x14ac:dyDescent="0.2">
      <c r="A3421">
        <f>YEAR(D3421)</f>
        <v>2019</v>
      </c>
      <c r="B3421" t="s">
        <v>26</v>
      </c>
      <c r="C3421" s="2" t="s">
        <v>3024</v>
      </c>
      <c r="D3421" s="1">
        <v>43649</v>
      </c>
      <c r="E3421">
        <f>MONTH(D3421)</f>
        <v>7</v>
      </c>
      <c r="F3421" s="2" t="s">
        <v>2098</v>
      </c>
      <c r="G3421" t="s">
        <v>352</v>
      </c>
      <c r="H3421" t="s">
        <v>1344</v>
      </c>
      <c r="I3421" t="s">
        <v>22</v>
      </c>
      <c r="J3421" s="2" t="s">
        <v>42</v>
      </c>
      <c r="K3421" s="2" t="s">
        <v>3019</v>
      </c>
      <c r="L3421" t="s">
        <v>25</v>
      </c>
      <c r="M3421" s="8">
        <v>0.91800000000000004</v>
      </c>
      <c r="N3421" t="s">
        <v>26</v>
      </c>
      <c r="O3421" s="8">
        <v>0.91800000000000004</v>
      </c>
      <c r="P3421" s="8">
        <f>EXP(-1.363+3.366*LOG(O3421,10))</f>
        <v>0.22580769814771504</v>
      </c>
      <c r="Q3421" s="8">
        <f>(2412691*100)/2623642</f>
        <v>91.959611867777696</v>
      </c>
    </row>
    <row r="3422" spans="1:17" x14ac:dyDescent="0.2">
      <c r="A3422">
        <f>YEAR(D3422)</f>
        <v>2019</v>
      </c>
      <c r="B3422" t="s">
        <v>26</v>
      </c>
      <c r="C3422" s="2" t="s">
        <v>3024</v>
      </c>
      <c r="D3422" s="1">
        <v>43649</v>
      </c>
      <c r="E3422">
        <f>MONTH(D3422)</f>
        <v>7</v>
      </c>
      <c r="F3422" s="2" t="s">
        <v>2098</v>
      </c>
      <c r="G3422" t="s">
        <v>352</v>
      </c>
      <c r="H3422" t="s">
        <v>494</v>
      </c>
      <c r="I3422" t="s">
        <v>22</v>
      </c>
      <c r="J3422" s="2" t="s">
        <v>42</v>
      </c>
      <c r="K3422" s="2" t="s">
        <v>3019</v>
      </c>
      <c r="L3422" t="s">
        <v>25</v>
      </c>
      <c r="M3422" s="8">
        <v>1.7226666669999999</v>
      </c>
      <c r="N3422" t="s">
        <v>26</v>
      </c>
      <c r="O3422" s="8">
        <v>1.7226666669999999</v>
      </c>
      <c r="P3422" s="8">
        <f>EXP(-1.363+3.366*LOG(O3422,10))</f>
        <v>0.56668788662759551</v>
      </c>
      <c r="Q3422" s="8">
        <f>(2412691*100)/2623642</f>
        <v>91.959611867777696</v>
      </c>
    </row>
    <row r="3423" spans="1:17" x14ac:dyDescent="0.2">
      <c r="A3423">
        <f>YEAR(D3423)</f>
        <v>2019</v>
      </c>
      <c r="B3423" t="s">
        <v>26</v>
      </c>
      <c r="C3423" s="2" t="s">
        <v>3024</v>
      </c>
      <c r="D3423" s="1">
        <v>43649</v>
      </c>
      <c r="E3423">
        <f>MONTH(D3423)</f>
        <v>7</v>
      </c>
      <c r="F3423" s="2" t="s">
        <v>2098</v>
      </c>
      <c r="G3423" t="s">
        <v>352</v>
      </c>
      <c r="H3423" t="s">
        <v>494</v>
      </c>
      <c r="I3423" t="s">
        <v>22</v>
      </c>
      <c r="J3423" s="2" t="s">
        <v>42</v>
      </c>
      <c r="K3423" s="2" t="s">
        <v>3019</v>
      </c>
      <c r="L3423" t="s">
        <v>25</v>
      </c>
      <c r="M3423" s="8">
        <v>1.7226666669999999</v>
      </c>
      <c r="N3423" t="s">
        <v>26</v>
      </c>
      <c r="O3423" s="8">
        <v>1.7226666669999999</v>
      </c>
      <c r="P3423" s="8">
        <f>EXP(-1.363+3.366*LOG(O3423,10))</f>
        <v>0.56668788662759551</v>
      </c>
      <c r="Q3423" s="8">
        <f>(2412691*100)/2623642</f>
        <v>91.959611867777696</v>
      </c>
    </row>
    <row r="3424" spans="1:17" x14ac:dyDescent="0.2">
      <c r="A3424">
        <f>YEAR(D3424)</f>
        <v>2019</v>
      </c>
      <c r="B3424" t="s">
        <v>26</v>
      </c>
      <c r="C3424" s="2" t="s">
        <v>3024</v>
      </c>
      <c r="D3424" s="1">
        <v>43649</v>
      </c>
      <c r="E3424">
        <f>MONTH(D3424)</f>
        <v>7</v>
      </c>
      <c r="F3424" s="2" t="s">
        <v>2098</v>
      </c>
      <c r="G3424" t="s">
        <v>352</v>
      </c>
      <c r="H3424" t="s">
        <v>1142</v>
      </c>
      <c r="I3424" t="s">
        <v>22</v>
      </c>
      <c r="J3424" s="2" t="s">
        <v>42</v>
      </c>
      <c r="K3424" s="2" t="s">
        <v>3019</v>
      </c>
      <c r="L3424" t="s">
        <v>25</v>
      </c>
      <c r="M3424" s="8">
        <v>1.1423333330000001</v>
      </c>
      <c r="N3424" t="s">
        <v>26</v>
      </c>
      <c r="O3424" s="8">
        <v>1.1423333330000001</v>
      </c>
      <c r="P3424" s="8">
        <f>EXP(-1.363+3.366*LOG(O3424,10))</f>
        <v>0.31084239358261528</v>
      </c>
      <c r="Q3424" s="8">
        <f>(2412691*100)/2623642</f>
        <v>91.959611867777696</v>
      </c>
    </row>
    <row r="3425" spans="1:17" x14ac:dyDescent="0.2">
      <c r="A3425">
        <f>YEAR(D3425)</f>
        <v>2019</v>
      </c>
      <c r="B3425" t="s">
        <v>26</v>
      </c>
      <c r="C3425" s="2" t="s">
        <v>3024</v>
      </c>
      <c r="D3425" s="1">
        <v>43649</v>
      </c>
      <c r="E3425">
        <f>MONTH(D3425)</f>
        <v>7</v>
      </c>
      <c r="F3425" s="2" t="s">
        <v>2098</v>
      </c>
      <c r="G3425" t="s">
        <v>352</v>
      </c>
      <c r="H3425" t="s">
        <v>1142</v>
      </c>
      <c r="I3425" t="s">
        <v>22</v>
      </c>
      <c r="J3425" s="2" t="s">
        <v>42</v>
      </c>
      <c r="K3425" s="2" t="s">
        <v>3019</v>
      </c>
      <c r="L3425" t="s">
        <v>25</v>
      </c>
      <c r="M3425" s="8">
        <v>1.1423333330000001</v>
      </c>
      <c r="N3425" t="s">
        <v>26</v>
      </c>
      <c r="O3425" s="8">
        <v>1.1423333330000001</v>
      </c>
      <c r="P3425" s="8">
        <f>EXP(-1.363+3.366*LOG(O3425,10))</f>
        <v>0.31084239358261528</v>
      </c>
      <c r="Q3425" s="8">
        <f>(2412691*100)/2623642</f>
        <v>91.959611867777696</v>
      </c>
    </row>
    <row r="3426" spans="1:17" x14ac:dyDescent="0.2">
      <c r="A3426">
        <f>YEAR(D3426)</f>
        <v>2019</v>
      </c>
      <c r="B3426" t="s">
        <v>26</v>
      </c>
      <c r="C3426" s="2" t="s">
        <v>3024</v>
      </c>
      <c r="D3426" s="1">
        <v>43649</v>
      </c>
      <c r="E3426">
        <f>MONTH(D3426)</f>
        <v>7</v>
      </c>
      <c r="F3426" s="2" t="s">
        <v>2098</v>
      </c>
      <c r="G3426" t="s">
        <v>352</v>
      </c>
      <c r="H3426" t="s">
        <v>623</v>
      </c>
      <c r="I3426" t="s">
        <v>22</v>
      </c>
      <c r="J3426" s="2" t="s">
        <v>42</v>
      </c>
      <c r="K3426" s="2" t="s">
        <v>3019</v>
      </c>
      <c r="L3426" t="s">
        <v>25</v>
      </c>
      <c r="M3426" s="8">
        <v>1.387</v>
      </c>
      <c r="N3426" t="s">
        <v>26</v>
      </c>
      <c r="O3426" s="8">
        <v>1.387</v>
      </c>
      <c r="P3426" s="8">
        <f>EXP(-1.363+3.366*LOG(O3426,10))</f>
        <v>0.41280884754947733</v>
      </c>
      <c r="Q3426" s="8">
        <f>(2412691*100)/2623642</f>
        <v>91.959611867777696</v>
      </c>
    </row>
    <row r="3427" spans="1:17" x14ac:dyDescent="0.2">
      <c r="A3427">
        <f>YEAR(D3427)</f>
        <v>2019</v>
      </c>
      <c r="B3427" t="s">
        <v>26</v>
      </c>
      <c r="C3427" s="2" t="s">
        <v>3024</v>
      </c>
      <c r="D3427" s="1">
        <v>43649</v>
      </c>
      <c r="E3427">
        <f>MONTH(D3427)</f>
        <v>7</v>
      </c>
      <c r="F3427" s="2" t="s">
        <v>2098</v>
      </c>
      <c r="G3427" t="s">
        <v>352</v>
      </c>
      <c r="H3427" t="s">
        <v>1142</v>
      </c>
      <c r="I3427" t="s">
        <v>22</v>
      </c>
      <c r="J3427" s="2" t="s">
        <v>42</v>
      </c>
      <c r="K3427" s="2" t="s">
        <v>3019</v>
      </c>
      <c r="L3427" t="s">
        <v>25</v>
      </c>
      <c r="M3427" s="8">
        <v>1.1423333330000001</v>
      </c>
      <c r="N3427" t="s">
        <v>26</v>
      </c>
      <c r="O3427" s="8">
        <v>1.1423333330000001</v>
      </c>
      <c r="P3427" s="8">
        <f>EXP(-1.363+3.366*LOG(O3427,10))</f>
        <v>0.31084239358261528</v>
      </c>
      <c r="Q3427" s="8">
        <f>(2412691*100)/2623642</f>
        <v>91.959611867777696</v>
      </c>
    </row>
    <row r="3428" spans="1:17" x14ac:dyDescent="0.2">
      <c r="A3428">
        <f>YEAR(D3428)</f>
        <v>2019</v>
      </c>
      <c r="B3428" t="s">
        <v>26</v>
      </c>
      <c r="C3428" s="2" t="s">
        <v>3024</v>
      </c>
      <c r="D3428" s="1">
        <v>43649</v>
      </c>
      <c r="E3428">
        <f>MONTH(D3428)</f>
        <v>7</v>
      </c>
      <c r="F3428" s="2" t="s">
        <v>2098</v>
      </c>
      <c r="G3428" t="s">
        <v>352</v>
      </c>
      <c r="H3428" t="s">
        <v>623</v>
      </c>
      <c r="I3428" t="s">
        <v>22</v>
      </c>
      <c r="J3428" s="2" t="s">
        <v>42</v>
      </c>
      <c r="K3428" s="2" t="s">
        <v>3019</v>
      </c>
      <c r="L3428" t="s">
        <v>25</v>
      </c>
      <c r="M3428" s="8">
        <v>1.387</v>
      </c>
      <c r="N3428" t="s">
        <v>26</v>
      </c>
      <c r="O3428" s="8">
        <v>1.387</v>
      </c>
      <c r="P3428" s="8">
        <f>EXP(-1.363+3.366*LOG(O3428,10))</f>
        <v>0.41280884754947733</v>
      </c>
      <c r="Q3428" s="8">
        <f>(2412691*100)/2623642</f>
        <v>91.959611867777696</v>
      </c>
    </row>
    <row r="3429" spans="1:17" x14ac:dyDescent="0.2">
      <c r="A3429">
        <f>YEAR(D3429)</f>
        <v>2019</v>
      </c>
      <c r="B3429" t="s">
        <v>26</v>
      </c>
      <c r="C3429" s="2" t="s">
        <v>3024</v>
      </c>
      <c r="D3429" s="1">
        <v>43649</v>
      </c>
      <c r="E3429">
        <f>MONTH(D3429)</f>
        <v>7</v>
      </c>
      <c r="F3429" s="2" t="s">
        <v>2098</v>
      </c>
      <c r="G3429" t="s">
        <v>219</v>
      </c>
      <c r="H3429" t="s">
        <v>220</v>
      </c>
      <c r="I3429" t="s">
        <v>22</v>
      </c>
      <c r="J3429" s="2" t="s">
        <v>42</v>
      </c>
      <c r="K3429" s="2" t="s">
        <v>3019</v>
      </c>
      <c r="L3429" t="s">
        <v>25</v>
      </c>
      <c r="M3429" s="10" t="s">
        <v>26</v>
      </c>
      <c r="N3429" t="s">
        <v>26</v>
      </c>
      <c r="O3429" s="10" t="s">
        <v>26</v>
      </c>
      <c r="P3429" s="8" t="s">
        <v>26</v>
      </c>
      <c r="Q3429" s="8">
        <f>(2412691*100)/2623642</f>
        <v>91.959611867777696</v>
      </c>
    </row>
    <row r="3430" spans="1:17" x14ac:dyDescent="0.2">
      <c r="A3430">
        <f>YEAR(D3430)</f>
        <v>2019</v>
      </c>
      <c r="B3430" t="s">
        <v>26</v>
      </c>
      <c r="C3430" s="2" t="s">
        <v>3024</v>
      </c>
      <c r="D3430" s="1">
        <v>43649</v>
      </c>
      <c r="E3430">
        <f>MONTH(D3430)</f>
        <v>7</v>
      </c>
      <c r="F3430" s="2" t="s">
        <v>2098</v>
      </c>
      <c r="G3430" t="s">
        <v>219</v>
      </c>
      <c r="H3430" t="s">
        <v>220</v>
      </c>
      <c r="I3430" t="s">
        <v>22</v>
      </c>
      <c r="J3430" s="2" t="s">
        <v>42</v>
      </c>
      <c r="K3430" s="2" t="s">
        <v>3019</v>
      </c>
      <c r="L3430" t="s">
        <v>25</v>
      </c>
      <c r="M3430" s="10" t="s">
        <v>26</v>
      </c>
      <c r="N3430" t="s">
        <v>26</v>
      </c>
      <c r="O3430" s="10" t="s">
        <v>26</v>
      </c>
      <c r="P3430" s="8" t="s">
        <v>26</v>
      </c>
      <c r="Q3430" s="8">
        <f>(2412691*100)/2623642</f>
        <v>91.959611867777696</v>
      </c>
    </row>
    <row r="3431" spans="1:17" x14ac:dyDescent="0.2">
      <c r="A3431">
        <f>YEAR(D3431)</f>
        <v>2019</v>
      </c>
      <c r="B3431" t="s">
        <v>26</v>
      </c>
      <c r="C3431" s="2" t="s">
        <v>3024</v>
      </c>
      <c r="D3431" s="1">
        <v>43649</v>
      </c>
      <c r="E3431">
        <f>MONTH(D3431)</f>
        <v>7</v>
      </c>
      <c r="F3431" s="2" t="s">
        <v>2098</v>
      </c>
      <c r="G3431" t="s">
        <v>219</v>
      </c>
      <c r="H3431" t="s">
        <v>220</v>
      </c>
      <c r="I3431" t="s">
        <v>22</v>
      </c>
      <c r="J3431" s="2" t="s">
        <v>42</v>
      </c>
      <c r="K3431" s="2" t="s">
        <v>3019</v>
      </c>
      <c r="L3431" t="s">
        <v>25</v>
      </c>
      <c r="M3431" s="10" t="s">
        <v>26</v>
      </c>
      <c r="N3431" t="s">
        <v>26</v>
      </c>
      <c r="O3431" s="10" t="s">
        <v>26</v>
      </c>
      <c r="P3431" s="8" t="s">
        <v>26</v>
      </c>
      <c r="Q3431" s="8">
        <f>(2412691*100)/2623642</f>
        <v>91.959611867777696</v>
      </c>
    </row>
    <row r="3432" spans="1:17" x14ac:dyDescent="0.2">
      <c r="A3432">
        <f>YEAR(D3432)</f>
        <v>2019</v>
      </c>
      <c r="B3432" t="s">
        <v>26</v>
      </c>
      <c r="C3432" s="2" t="s">
        <v>3024</v>
      </c>
      <c r="D3432" s="1">
        <v>43649</v>
      </c>
      <c r="E3432">
        <f>MONTH(D3432)</f>
        <v>7</v>
      </c>
      <c r="F3432" s="2" t="s">
        <v>2098</v>
      </c>
      <c r="G3432" t="s">
        <v>219</v>
      </c>
      <c r="H3432" t="s">
        <v>220</v>
      </c>
      <c r="I3432" t="s">
        <v>22</v>
      </c>
      <c r="J3432" s="2" t="s">
        <v>42</v>
      </c>
      <c r="K3432" s="2" t="s">
        <v>3019</v>
      </c>
      <c r="L3432" t="s">
        <v>25</v>
      </c>
      <c r="M3432" s="10" t="s">
        <v>26</v>
      </c>
      <c r="N3432" t="s">
        <v>26</v>
      </c>
      <c r="O3432" s="10" t="s">
        <v>26</v>
      </c>
      <c r="P3432" s="8" t="s">
        <v>26</v>
      </c>
      <c r="Q3432" s="8">
        <f>(2412691*100)/2623642</f>
        <v>91.959611867777696</v>
      </c>
    </row>
    <row r="3433" spans="1:17" x14ac:dyDescent="0.2">
      <c r="A3433">
        <f>YEAR(D3433)</f>
        <v>2019</v>
      </c>
      <c r="B3433" t="s">
        <v>26</v>
      </c>
      <c r="C3433" s="2" t="s">
        <v>3024</v>
      </c>
      <c r="D3433" s="1">
        <v>43649</v>
      </c>
      <c r="E3433">
        <f>MONTH(D3433)</f>
        <v>7</v>
      </c>
      <c r="F3433" s="2" t="s">
        <v>2098</v>
      </c>
      <c r="G3433" t="s">
        <v>219</v>
      </c>
      <c r="H3433" t="s">
        <v>220</v>
      </c>
      <c r="I3433" t="s">
        <v>22</v>
      </c>
      <c r="J3433" s="2" t="s">
        <v>42</v>
      </c>
      <c r="K3433" s="2" t="s">
        <v>3019</v>
      </c>
      <c r="L3433" t="s">
        <v>25</v>
      </c>
      <c r="M3433" s="10" t="s">
        <v>26</v>
      </c>
      <c r="N3433" t="s">
        <v>26</v>
      </c>
      <c r="O3433" s="10" t="s">
        <v>26</v>
      </c>
      <c r="P3433" s="8" t="s">
        <v>26</v>
      </c>
      <c r="Q3433" s="8">
        <f>(2412691*100)/2623642</f>
        <v>91.959611867777696</v>
      </c>
    </row>
    <row r="3434" spans="1:17" x14ac:dyDescent="0.2">
      <c r="A3434">
        <f>YEAR(D3434)</f>
        <v>2019</v>
      </c>
      <c r="B3434" t="s">
        <v>26</v>
      </c>
      <c r="C3434" s="2" t="s">
        <v>50</v>
      </c>
      <c r="D3434" s="1">
        <v>43649</v>
      </c>
      <c r="E3434">
        <f>MONTH(D3434)</f>
        <v>7</v>
      </c>
      <c r="F3434" s="2" t="s">
        <v>2098</v>
      </c>
      <c r="G3434" t="s">
        <v>230</v>
      </c>
      <c r="H3434" t="s">
        <v>259</v>
      </c>
      <c r="I3434" t="s">
        <v>22</v>
      </c>
      <c r="J3434" s="2" t="s">
        <v>42</v>
      </c>
      <c r="K3434" s="2" t="s">
        <v>3019</v>
      </c>
      <c r="L3434" t="s">
        <v>25</v>
      </c>
      <c r="M3434" s="8">
        <v>4.2283333330000001</v>
      </c>
      <c r="N3434" t="s">
        <v>26</v>
      </c>
      <c r="O3434" s="8">
        <v>4.2283333330000001</v>
      </c>
      <c r="P3434" s="8">
        <f>EXP(-1.363+3.366*LOG(O3434,10))</f>
        <v>2.1057792396965977</v>
      </c>
      <c r="Q3434" s="8">
        <f>(4488342*100)/4914798</f>
        <v>91.323020803703429</v>
      </c>
    </row>
    <row r="3435" spans="1:17" x14ac:dyDescent="0.2">
      <c r="A3435">
        <f>YEAR(D3435)</f>
        <v>2019</v>
      </c>
      <c r="B3435" t="s">
        <v>26</v>
      </c>
      <c r="C3435" s="2" t="s">
        <v>50</v>
      </c>
      <c r="D3435" s="1">
        <v>43649</v>
      </c>
      <c r="E3435">
        <f>MONTH(D3435)</f>
        <v>7</v>
      </c>
      <c r="F3435" s="2" t="s">
        <v>2098</v>
      </c>
      <c r="G3435" t="s">
        <v>219</v>
      </c>
      <c r="H3435" t="s">
        <v>220</v>
      </c>
      <c r="I3435" t="s">
        <v>22</v>
      </c>
      <c r="J3435" s="2" t="s">
        <v>42</v>
      </c>
      <c r="K3435" s="2" t="s">
        <v>3019</v>
      </c>
      <c r="L3435" t="s">
        <v>25</v>
      </c>
      <c r="M3435" s="10" t="s">
        <v>26</v>
      </c>
      <c r="N3435" t="s">
        <v>26</v>
      </c>
      <c r="O3435" s="10" t="s">
        <v>26</v>
      </c>
      <c r="P3435" s="8" t="s">
        <v>26</v>
      </c>
      <c r="Q3435" s="8">
        <f>(4488342*100)/4914798</f>
        <v>91.323020803703429</v>
      </c>
    </row>
    <row r="3436" spans="1:17" x14ac:dyDescent="0.2">
      <c r="A3436">
        <f>YEAR(D3436)</f>
        <v>2019</v>
      </c>
      <c r="B3436" t="s">
        <v>26</v>
      </c>
      <c r="C3436" s="2" t="s">
        <v>50</v>
      </c>
      <c r="D3436" s="1">
        <v>43649</v>
      </c>
      <c r="E3436">
        <f>MONTH(D3436)</f>
        <v>7</v>
      </c>
      <c r="F3436" s="2" t="s">
        <v>2098</v>
      </c>
      <c r="G3436" t="s">
        <v>219</v>
      </c>
      <c r="H3436" t="s">
        <v>220</v>
      </c>
      <c r="I3436" t="s">
        <v>22</v>
      </c>
      <c r="J3436" s="2" t="s">
        <v>42</v>
      </c>
      <c r="K3436" s="2" t="s">
        <v>3019</v>
      </c>
      <c r="L3436" t="s">
        <v>25</v>
      </c>
      <c r="M3436" s="10" t="s">
        <v>26</v>
      </c>
      <c r="N3436" t="s">
        <v>26</v>
      </c>
      <c r="O3436" s="10" t="s">
        <v>26</v>
      </c>
      <c r="P3436" s="8" t="s">
        <v>26</v>
      </c>
      <c r="Q3436" s="8">
        <f>(4488342*100)/4914798</f>
        <v>91.323020803703429</v>
      </c>
    </row>
    <row r="3437" spans="1:17" x14ac:dyDescent="0.2">
      <c r="A3437">
        <f>YEAR(D3437)</f>
        <v>2019</v>
      </c>
      <c r="B3437" t="s">
        <v>26</v>
      </c>
      <c r="C3437" s="2" t="s">
        <v>50</v>
      </c>
      <c r="D3437" s="1">
        <v>43649</v>
      </c>
      <c r="E3437">
        <f>MONTH(D3437)</f>
        <v>7</v>
      </c>
      <c r="F3437" s="2" t="s">
        <v>2098</v>
      </c>
      <c r="G3437" t="s">
        <v>219</v>
      </c>
      <c r="H3437" t="s">
        <v>220</v>
      </c>
      <c r="I3437" t="s">
        <v>22</v>
      </c>
      <c r="J3437" s="2" t="s">
        <v>42</v>
      </c>
      <c r="K3437" s="2" t="s">
        <v>3019</v>
      </c>
      <c r="L3437" t="s">
        <v>25</v>
      </c>
      <c r="M3437" s="10" t="s">
        <v>26</v>
      </c>
      <c r="N3437" t="s">
        <v>26</v>
      </c>
      <c r="O3437" s="10" t="s">
        <v>26</v>
      </c>
      <c r="P3437" s="8" t="s">
        <v>26</v>
      </c>
      <c r="Q3437" s="8">
        <f>(4488342*100)/4914798</f>
        <v>91.323020803703429</v>
      </c>
    </row>
    <row r="3438" spans="1:17" x14ac:dyDescent="0.2">
      <c r="A3438">
        <f>YEAR(D3438)</f>
        <v>2019</v>
      </c>
      <c r="B3438" t="s">
        <v>26</v>
      </c>
      <c r="C3438" s="2" t="s">
        <v>50</v>
      </c>
      <c r="D3438" s="1">
        <v>43649</v>
      </c>
      <c r="E3438">
        <f>MONTH(D3438)</f>
        <v>7</v>
      </c>
      <c r="F3438" s="2" t="s">
        <v>2098</v>
      </c>
      <c r="G3438" t="s">
        <v>219</v>
      </c>
      <c r="H3438" t="s">
        <v>220</v>
      </c>
      <c r="I3438" t="s">
        <v>22</v>
      </c>
      <c r="J3438" s="2" t="s">
        <v>42</v>
      </c>
      <c r="K3438" s="2" t="s">
        <v>3019</v>
      </c>
      <c r="L3438" t="s">
        <v>25</v>
      </c>
      <c r="M3438" s="10" t="s">
        <v>26</v>
      </c>
      <c r="N3438" t="s">
        <v>26</v>
      </c>
      <c r="O3438" s="10" t="s">
        <v>26</v>
      </c>
      <c r="P3438" s="8" t="s">
        <v>26</v>
      </c>
      <c r="Q3438" s="8">
        <f>(4488342*100)/4914798</f>
        <v>91.323020803703429</v>
      </c>
    </row>
    <row r="3439" spans="1:17" x14ac:dyDescent="0.2">
      <c r="A3439">
        <f>YEAR(D3439)</f>
        <v>2019</v>
      </c>
      <c r="B3439" t="s">
        <v>26</v>
      </c>
      <c r="C3439" s="2" t="s">
        <v>50</v>
      </c>
      <c r="D3439" s="1">
        <v>43649</v>
      </c>
      <c r="E3439">
        <f>MONTH(D3439)</f>
        <v>7</v>
      </c>
      <c r="F3439" s="2" t="s">
        <v>2098</v>
      </c>
      <c r="G3439" t="s">
        <v>219</v>
      </c>
      <c r="H3439" t="s">
        <v>220</v>
      </c>
      <c r="I3439" t="s">
        <v>22</v>
      </c>
      <c r="J3439" s="2" t="s">
        <v>42</v>
      </c>
      <c r="K3439" s="2" t="s">
        <v>3019</v>
      </c>
      <c r="L3439" t="s">
        <v>25</v>
      </c>
      <c r="M3439" s="10" t="s">
        <v>26</v>
      </c>
      <c r="N3439" t="s">
        <v>26</v>
      </c>
      <c r="O3439" s="10" t="s">
        <v>26</v>
      </c>
      <c r="P3439" s="8" t="s">
        <v>26</v>
      </c>
      <c r="Q3439" s="8">
        <f>(4488342*100)/4914798</f>
        <v>91.323020803703429</v>
      </c>
    </row>
    <row r="3440" spans="1:17" x14ac:dyDescent="0.2">
      <c r="A3440">
        <f>YEAR(D3440)</f>
        <v>2019</v>
      </c>
      <c r="B3440" t="s">
        <v>26</v>
      </c>
      <c r="C3440" s="2" t="s">
        <v>50</v>
      </c>
      <c r="D3440" s="1">
        <v>43649</v>
      </c>
      <c r="E3440">
        <f>MONTH(D3440)</f>
        <v>7</v>
      </c>
      <c r="F3440" s="2" t="s">
        <v>2098</v>
      </c>
      <c r="G3440" t="s">
        <v>219</v>
      </c>
      <c r="H3440" t="s">
        <v>220</v>
      </c>
      <c r="I3440" t="s">
        <v>22</v>
      </c>
      <c r="J3440" s="2" t="s">
        <v>42</v>
      </c>
      <c r="K3440" s="2" t="s">
        <v>3019</v>
      </c>
      <c r="L3440" t="s">
        <v>25</v>
      </c>
      <c r="M3440" s="10" t="s">
        <v>26</v>
      </c>
      <c r="N3440" t="s">
        <v>26</v>
      </c>
      <c r="O3440" s="10" t="s">
        <v>26</v>
      </c>
      <c r="P3440" s="8" t="s">
        <v>26</v>
      </c>
      <c r="Q3440" s="8">
        <f>(4488342*100)/4914798</f>
        <v>91.323020803703429</v>
      </c>
    </row>
    <row r="3441" spans="1:17" x14ac:dyDescent="0.2">
      <c r="A3441">
        <f>YEAR(D3441)</f>
        <v>2019</v>
      </c>
      <c r="B3441" t="s">
        <v>26</v>
      </c>
      <c r="C3441" s="2" t="s">
        <v>50</v>
      </c>
      <c r="D3441" s="1">
        <v>43649</v>
      </c>
      <c r="E3441">
        <f>MONTH(D3441)</f>
        <v>7</v>
      </c>
      <c r="F3441" s="2" t="s">
        <v>2098</v>
      </c>
      <c r="G3441" t="s">
        <v>219</v>
      </c>
      <c r="H3441" t="s">
        <v>220</v>
      </c>
      <c r="I3441" t="s">
        <v>22</v>
      </c>
      <c r="J3441" s="2" t="s">
        <v>42</v>
      </c>
      <c r="K3441" s="2" t="s">
        <v>3019</v>
      </c>
      <c r="L3441" t="s">
        <v>25</v>
      </c>
      <c r="M3441" s="10" t="s">
        <v>26</v>
      </c>
      <c r="N3441" t="s">
        <v>26</v>
      </c>
      <c r="O3441" s="10" t="s">
        <v>26</v>
      </c>
      <c r="P3441" s="8" t="s">
        <v>26</v>
      </c>
      <c r="Q3441" s="8">
        <f>(4488342*100)/4914798</f>
        <v>91.323020803703429</v>
      </c>
    </row>
    <row r="3442" spans="1:17" x14ac:dyDescent="0.2">
      <c r="A3442">
        <f>YEAR(D3442)</f>
        <v>2019</v>
      </c>
      <c r="B3442" t="s">
        <v>26</v>
      </c>
      <c r="C3442" s="2" t="s">
        <v>50</v>
      </c>
      <c r="D3442" s="1">
        <v>43649</v>
      </c>
      <c r="E3442">
        <f>MONTH(D3442)</f>
        <v>7</v>
      </c>
      <c r="F3442" s="2" t="s">
        <v>2098</v>
      </c>
      <c r="G3442" t="s">
        <v>219</v>
      </c>
      <c r="H3442" t="s">
        <v>220</v>
      </c>
      <c r="I3442" t="s">
        <v>22</v>
      </c>
      <c r="J3442" s="2" t="s">
        <v>42</v>
      </c>
      <c r="K3442" s="2" t="s">
        <v>3019</v>
      </c>
      <c r="L3442" t="s">
        <v>25</v>
      </c>
      <c r="M3442" s="10" t="s">
        <v>26</v>
      </c>
      <c r="N3442" t="s">
        <v>26</v>
      </c>
      <c r="O3442" s="10" t="s">
        <v>26</v>
      </c>
      <c r="P3442" s="8" t="s">
        <v>26</v>
      </c>
      <c r="Q3442" s="8">
        <f>(4488342*100)/4914798</f>
        <v>91.323020803703429</v>
      </c>
    </row>
    <row r="3443" spans="1:17" x14ac:dyDescent="0.2">
      <c r="A3443">
        <f>YEAR(D3443)</f>
        <v>2019</v>
      </c>
      <c r="B3443" t="s">
        <v>26</v>
      </c>
      <c r="C3443" s="2" t="s">
        <v>50</v>
      </c>
      <c r="D3443" s="1">
        <v>43649</v>
      </c>
      <c r="E3443">
        <f>MONTH(D3443)</f>
        <v>7</v>
      </c>
      <c r="F3443" s="2" t="s">
        <v>2098</v>
      </c>
      <c r="G3443" t="s">
        <v>219</v>
      </c>
      <c r="H3443" t="s">
        <v>220</v>
      </c>
      <c r="I3443" t="s">
        <v>22</v>
      </c>
      <c r="J3443" s="2" t="s">
        <v>42</v>
      </c>
      <c r="K3443" s="2" t="s">
        <v>3019</v>
      </c>
      <c r="L3443" t="s">
        <v>25</v>
      </c>
      <c r="M3443" s="10" t="s">
        <v>26</v>
      </c>
      <c r="N3443" t="s">
        <v>26</v>
      </c>
      <c r="O3443" s="10" t="s">
        <v>26</v>
      </c>
      <c r="P3443" s="8" t="s">
        <v>26</v>
      </c>
      <c r="Q3443" s="8">
        <f>(4488342*100)/4914798</f>
        <v>91.323020803703429</v>
      </c>
    </row>
    <row r="3444" spans="1:17" x14ac:dyDescent="0.2">
      <c r="A3444">
        <f>YEAR(D3444)</f>
        <v>2019</v>
      </c>
      <c r="B3444" t="s">
        <v>26</v>
      </c>
      <c r="C3444" s="2" t="s">
        <v>50</v>
      </c>
      <c r="D3444" s="1">
        <v>43649</v>
      </c>
      <c r="E3444">
        <f>MONTH(D3444)</f>
        <v>7</v>
      </c>
      <c r="F3444" s="2" t="s">
        <v>2098</v>
      </c>
      <c r="G3444" t="s">
        <v>219</v>
      </c>
      <c r="H3444" t="s">
        <v>220</v>
      </c>
      <c r="I3444" t="s">
        <v>22</v>
      </c>
      <c r="J3444" s="2" t="s">
        <v>42</v>
      </c>
      <c r="K3444" s="2" t="s">
        <v>3019</v>
      </c>
      <c r="L3444" t="s">
        <v>25</v>
      </c>
      <c r="M3444" s="10" t="s">
        <v>26</v>
      </c>
      <c r="N3444" t="s">
        <v>26</v>
      </c>
      <c r="O3444" s="10" t="s">
        <v>26</v>
      </c>
      <c r="P3444" s="8" t="s">
        <v>26</v>
      </c>
      <c r="Q3444" s="8">
        <f>(4488342*100)/4914798</f>
        <v>91.323020803703429</v>
      </c>
    </row>
    <row r="3445" spans="1:17" x14ac:dyDescent="0.2">
      <c r="A3445">
        <f>YEAR(D3445)</f>
        <v>2019</v>
      </c>
      <c r="B3445" t="s">
        <v>26</v>
      </c>
      <c r="C3445" s="2" t="s">
        <v>50</v>
      </c>
      <c r="D3445" s="1">
        <v>43649</v>
      </c>
      <c r="E3445">
        <f>MONTH(D3445)</f>
        <v>7</v>
      </c>
      <c r="F3445" s="2" t="s">
        <v>2098</v>
      </c>
      <c r="G3445" t="s">
        <v>219</v>
      </c>
      <c r="H3445" t="s">
        <v>220</v>
      </c>
      <c r="I3445" t="s">
        <v>22</v>
      </c>
      <c r="J3445" s="2" t="s">
        <v>42</v>
      </c>
      <c r="K3445" s="2" t="s">
        <v>3019</v>
      </c>
      <c r="L3445" t="s">
        <v>25</v>
      </c>
      <c r="M3445" s="10" t="s">
        <v>26</v>
      </c>
      <c r="N3445" t="s">
        <v>26</v>
      </c>
      <c r="O3445" s="10" t="s">
        <v>26</v>
      </c>
      <c r="P3445" s="8" t="s">
        <v>26</v>
      </c>
      <c r="Q3445" s="8">
        <f>(4488342*100)/4914798</f>
        <v>91.323020803703429</v>
      </c>
    </row>
    <row r="3446" spans="1:17" x14ac:dyDescent="0.2">
      <c r="A3446">
        <f>YEAR(D3446)</f>
        <v>2019</v>
      </c>
      <c r="B3446" t="s">
        <v>26</v>
      </c>
      <c r="C3446" s="2" t="s">
        <v>50</v>
      </c>
      <c r="D3446" s="1">
        <v>43649</v>
      </c>
      <c r="E3446">
        <f>MONTH(D3446)</f>
        <v>7</v>
      </c>
      <c r="F3446" s="2" t="s">
        <v>2098</v>
      </c>
      <c r="G3446" t="s">
        <v>1520</v>
      </c>
      <c r="H3446" t="s">
        <v>1528</v>
      </c>
      <c r="I3446" t="s">
        <v>22</v>
      </c>
      <c r="J3446" s="2" t="s">
        <v>42</v>
      </c>
      <c r="K3446" s="2" t="s">
        <v>3019</v>
      </c>
      <c r="L3446" t="s">
        <v>25</v>
      </c>
      <c r="M3446" s="8">
        <v>3.624333333</v>
      </c>
      <c r="N3446" t="s">
        <v>26</v>
      </c>
      <c r="O3446" s="8">
        <v>3.624333333</v>
      </c>
      <c r="P3446" s="8">
        <f>EXP(-1.363+3.366*LOG(O3446,10))</f>
        <v>1.6809546844949765</v>
      </c>
      <c r="Q3446" s="8">
        <f>(4488342*100)/4914798</f>
        <v>91.323020803703429</v>
      </c>
    </row>
    <row r="3447" spans="1:17" x14ac:dyDescent="0.2">
      <c r="A3447">
        <f>YEAR(D3447)</f>
        <v>2019</v>
      </c>
      <c r="B3447" t="s">
        <v>26</v>
      </c>
      <c r="C3447" s="2" t="s">
        <v>50</v>
      </c>
      <c r="D3447" s="1">
        <v>43649</v>
      </c>
      <c r="E3447">
        <f>MONTH(D3447)</f>
        <v>7</v>
      </c>
      <c r="F3447" s="2" t="s">
        <v>2098</v>
      </c>
      <c r="G3447" t="s">
        <v>230</v>
      </c>
      <c r="H3447" t="s">
        <v>268</v>
      </c>
      <c r="I3447" t="s">
        <v>22</v>
      </c>
      <c r="J3447" s="2" t="s">
        <v>42</v>
      </c>
      <c r="K3447" s="2" t="s">
        <v>3019</v>
      </c>
      <c r="L3447" t="s">
        <v>25</v>
      </c>
      <c r="M3447" s="8">
        <v>3.5356666670000001</v>
      </c>
      <c r="N3447" t="s">
        <v>26</v>
      </c>
      <c r="O3447" s="8">
        <v>3.5356666670000001</v>
      </c>
      <c r="P3447" s="8">
        <f>EXP(-1.363+3.366*LOG(O3447,10))</f>
        <v>1.6211802664427075</v>
      </c>
      <c r="Q3447" s="8">
        <f>(4488342*100)/4914798</f>
        <v>91.323020803703429</v>
      </c>
    </row>
    <row r="3448" spans="1:17" x14ac:dyDescent="0.2">
      <c r="A3448">
        <f>YEAR(D3448)</f>
        <v>2019</v>
      </c>
      <c r="B3448" t="s">
        <v>26</v>
      </c>
      <c r="C3448" s="2" t="s">
        <v>50</v>
      </c>
      <c r="D3448" s="1">
        <v>43649</v>
      </c>
      <c r="E3448">
        <f>MONTH(D3448)</f>
        <v>7</v>
      </c>
      <c r="F3448" s="2" t="s">
        <v>2098</v>
      </c>
      <c r="G3448" t="s">
        <v>230</v>
      </c>
      <c r="H3448" t="s">
        <v>268</v>
      </c>
      <c r="I3448" t="s">
        <v>22</v>
      </c>
      <c r="J3448" s="2" t="s">
        <v>42</v>
      </c>
      <c r="K3448" s="2" t="s">
        <v>3019</v>
      </c>
      <c r="L3448" t="s">
        <v>25</v>
      </c>
      <c r="M3448" s="8">
        <v>3.5356666670000001</v>
      </c>
      <c r="N3448" t="s">
        <v>26</v>
      </c>
      <c r="O3448" s="8">
        <v>3.5356666670000001</v>
      </c>
      <c r="P3448" s="8">
        <f>EXP(-1.363+3.366*LOG(O3448,10))</f>
        <v>1.6211802664427075</v>
      </c>
      <c r="Q3448" s="8">
        <f>(4488342*100)/4914798</f>
        <v>91.323020803703429</v>
      </c>
    </row>
    <row r="3449" spans="1:17" x14ac:dyDescent="0.2">
      <c r="A3449">
        <f>YEAR(D3449)</f>
        <v>2019</v>
      </c>
      <c r="B3449" t="s">
        <v>26</v>
      </c>
      <c r="C3449" s="2" t="s">
        <v>50</v>
      </c>
      <c r="D3449" s="1">
        <v>43649</v>
      </c>
      <c r="E3449">
        <f>MONTH(D3449)</f>
        <v>7</v>
      </c>
      <c r="F3449" s="2" t="s">
        <v>2098</v>
      </c>
      <c r="G3449" t="s">
        <v>2206</v>
      </c>
      <c r="H3449" t="s">
        <v>2263</v>
      </c>
      <c r="I3449" t="s">
        <v>22</v>
      </c>
      <c r="J3449" s="2" t="s">
        <v>42</v>
      </c>
      <c r="K3449" s="2" t="s">
        <v>3019</v>
      </c>
      <c r="L3449" t="s">
        <v>25</v>
      </c>
      <c r="M3449" s="8">
        <v>3.7376666670000001</v>
      </c>
      <c r="N3449" t="s">
        <v>26</v>
      </c>
      <c r="O3449" s="8">
        <v>3.7376666670000001</v>
      </c>
      <c r="P3449" s="8">
        <f>EXP(-1.363+3.366*LOG(O3449,10))</f>
        <v>1.7583458516827115</v>
      </c>
      <c r="Q3449" s="8">
        <f>(4488342*100)/4914798</f>
        <v>91.323020803703429</v>
      </c>
    </row>
    <row r="3450" spans="1:17" x14ac:dyDescent="0.2">
      <c r="A3450">
        <f>YEAR(D3450)</f>
        <v>2019</v>
      </c>
      <c r="B3450" t="s">
        <v>26</v>
      </c>
      <c r="C3450" s="2" t="s">
        <v>50</v>
      </c>
      <c r="D3450" s="1">
        <v>43649</v>
      </c>
      <c r="E3450">
        <f>MONTH(D3450)</f>
        <v>7</v>
      </c>
      <c r="F3450" s="2" t="s">
        <v>2098</v>
      </c>
      <c r="G3450" t="s">
        <v>230</v>
      </c>
      <c r="H3450" t="s">
        <v>268</v>
      </c>
      <c r="I3450" t="s">
        <v>22</v>
      </c>
      <c r="J3450" s="2" t="s">
        <v>42</v>
      </c>
      <c r="K3450" s="2" t="s">
        <v>3019</v>
      </c>
      <c r="L3450" t="s">
        <v>25</v>
      </c>
      <c r="M3450" s="8">
        <v>3.5356666670000001</v>
      </c>
      <c r="N3450" t="s">
        <v>26</v>
      </c>
      <c r="O3450" s="8">
        <v>3.5356666670000001</v>
      </c>
      <c r="P3450" s="8">
        <f>EXP(-1.363+3.366*LOG(O3450,10))</f>
        <v>1.6211802664427075</v>
      </c>
      <c r="Q3450" s="8">
        <f>(4488342*100)/4914798</f>
        <v>91.323020803703429</v>
      </c>
    </row>
    <row r="3451" spans="1:17" x14ac:dyDescent="0.2">
      <c r="A3451">
        <f>YEAR(D3451)</f>
        <v>2019</v>
      </c>
      <c r="B3451" t="s">
        <v>26</v>
      </c>
      <c r="C3451" s="2" t="s">
        <v>50</v>
      </c>
      <c r="D3451" s="1">
        <v>43649</v>
      </c>
      <c r="E3451">
        <f>MONTH(D3451)</f>
        <v>7</v>
      </c>
      <c r="F3451" s="2" t="s">
        <v>2098</v>
      </c>
      <c r="G3451" t="s">
        <v>2566</v>
      </c>
      <c r="H3451" t="s">
        <v>2567</v>
      </c>
      <c r="I3451" t="s">
        <v>36</v>
      </c>
      <c r="J3451" s="2" t="s">
        <v>42</v>
      </c>
      <c r="K3451" s="2" t="s">
        <v>3019</v>
      </c>
      <c r="L3451" t="s">
        <v>25</v>
      </c>
      <c r="M3451" s="8">
        <v>2.3330000000000002</v>
      </c>
      <c r="N3451" t="s">
        <v>26</v>
      </c>
      <c r="O3451" s="8">
        <v>2.3330000000000002</v>
      </c>
      <c r="P3451" s="8">
        <f>EXP(-1.363+3.366*LOG(O3451,10))</f>
        <v>0.88285086432213955</v>
      </c>
      <c r="Q3451" s="8">
        <f>(4488342*100)/4914798</f>
        <v>91.323020803703429</v>
      </c>
    </row>
    <row r="3452" spans="1:17" x14ac:dyDescent="0.2">
      <c r="A3452">
        <f>YEAR(D3452)</f>
        <v>2019</v>
      </c>
      <c r="B3452" t="s">
        <v>26</v>
      </c>
      <c r="C3452" s="2" t="s">
        <v>50</v>
      </c>
      <c r="D3452" s="1">
        <v>43649</v>
      </c>
      <c r="E3452">
        <f>MONTH(D3452)</f>
        <v>7</v>
      </c>
      <c r="F3452" s="2" t="s">
        <v>2098</v>
      </c>
      <c r="G3452" t="s">
        <v>1520</v>
      </c>
      <c r="H3452" t="s">
        <v>1528</v>
      </c>
      <c r="I3452" t="s">
        <v>22</v>
      </c>
      <c r="J3452" s="2" t="s">
        <v>42</v>
      </c>
      <c r="K3452" s="2" t="s">
        <v>3019</v>
      </c>
      <c r="L3452" t="s">
        <v>25</v>
      </c>
      <c r="M3452" s="8">
        <v>3.624333333</v>
      </c>
      <c r="N3452" t="s">
        <v>26</v>
      </c>
      <c r="O3452" s="8">
        <v>3.624333333</v>
      </c>
      <c r="P3452" s="8">
        <f>EXP(-1.363+3.366*LOG(O3452,10))</f>
        <v>1.6809546844949765</v>
      </c>
      <c r="Q3452" s="8">
        <f>(4488342*100)/4914798</f>
        <v>91.323020803703429</v>
      </c>
    </row>
    <row r="3453" spans="1:17" x14ac:dyDescent="0.2">
      <c r="A3453">
        <f>YEAR(D3453)</f>
        <v>2019</v>
      </c>
      <c r="B3453" t="s">
        <v>26</v>
      </c>
      <c r="C3453" s="2" t="s">
        <v>50</v>
      </c>
      <c r="D3453" s="1">
        <v>43649</v>
      </c>
      <c r="E3453">
        <f>MONTH(D3453)</f>
        <v>7</v>
      </c>
      <c r="F3453" s="2" t="s">
        <v>2098</v>
      </c>
      <c r="G3453" t="s">
        <v>2206</v>
      </c>
      <c r="H3453" t="s">
        <v>2263</v>
      </c>
      <c r="I3453" t="s">
        <v>22</v>
      </c>
      <c r="J3453" s="2" t="s">
        <v>42</v>
      </c>
      <c r="K3453" s="2" t="s">
        <v>3019</v>
      </c>
      <c r="L3453" t="s">
        <v>25</v>
      </c>
      <c r="M3453" s="8">
        <v>3.7376666670000001</v>
      </c>
      <c r="N3453" t="s">
        <v>26</v>
      </c>
      <c r="O3453" s="8">
        <v>3.7376666670000001</v>
      </c>
      <c r="P3453" s="8">
        <f>EXP(-1.363+3.366*LOG(O3453,10))</f>
        <v>1.7583458516827115</v>
      </c>
      <c r="Q3453" s="8">
        <f>(4488342*100)/4914798</f>
        <v>91.323020803703429</v>
      </c>
    </row>
    <row r="3454" spans="1:17" x14ac:dyDescent="0.2">
      <c r="A3454">
        <f>YEAR(D3454)</f>
        <v>2019</v>
      </c>
      <c r="B3454" t="s">
        <v>26</v>
      </c>
      <c r="C3454" s="2" t="s">
        <v>50</v>
      </c>
      <c r="D3454" s="1">
        <v>43649</v>
      </c>
      <c r="E3454">
        <f>MONTH(D3454)</f>
        <v>7</v>
      </c>
      <c r="F3454" s="2" t="s">
        <v>2098</v>
      </c>
      <c r="G3454" t="s">
        <v>2206</v>
      </c>
      <c r="H3454" t="s">
        <v>2263</v>
      </c>
      <c r="I3454" t="s">
        <v>22</v>
      </c>
      <c r="J3454" s="2" t="s">
        <v>42</v>
      </c>
      <c r="K3454" s="2" t="s">
        <v>3019</v>
      </c>
      <c r="L3454" t="s">
        <v>25</v>
      </c>
      <c r="M3454" s="8">
        <v>3.7376666670000001</v>
      </c>
      <c r="N3454" t="s">
        <v>26</v>
      </c>
      <c r="O3454" s="8">
        <v>3.7376666670000001</v>
      </c>
      <c r="P3454" s="8">
        <f>EXP(-1.363+3.366*LOG(O3454,10))</f>
        <v>1.7583458516827115</v>
      </c>
      <c r="Q3454" s="8">
        <f>(4488342*100)/4914798</f>
        <v>91.323020803703429</v>
      </c>
    </row>
    <row r="3455" spans="1:17" x14ac:dyDescent="0.2">
      <c r="A3455">
        <f>YEAR(D3455)</f>
        <v>2019</v>
      </c>
      <c r="B3455" t="s">
        <v>26</v>
      </c>
      <c r="C3455" s="2" t="s">
        <v>50</v>
      </c>
      <c r="D3455" s="1">
        <v>43649</v>
      </c>
      <c r="E3455">
        <f>MONTH(D3455)</f>
        <v>7</v>
      </c>
      <c r="F3455" s="2" t="s">
        <v>2098</v>
      </c>
      <c r="G3455" t="s">
        <v>2206</v>
      </c>
      <c r="H3455" t="s">
        <v>2263</v>
      </c>
      <c r="I3455" t="s">
        <v>22</v>
      </c>
      <c r="J3455" s="2" t="s">
        <v>42</v>
      </c>
      <c r="K3455" s="2" t="s">
        <v>3019</v>
      </c>
      <c r="L3455" t="s">
        <v>25</v>
      </c>
      <c r="M3455" s="8">
        <v>3.7376666670000001</v>
      </c>
      <c r="N3455" t="s">
        <v>26</v>
      </c>
      <c r="O3455" s="8">
        <v>3.7376666670000001</v>
      </c>
      <c r="P3455" s="8">
        <f>EXP(-1.363+3.366*LOG(O3455,10))</f>
        <v>1.7583458516827115</v>
      </c>
      <c r="Q3455" s="8">
        <f>(4488342*100)/4914798</f>
        <v>91.323020803703429</v>
      </c>
    </row>
    <row r="3456" spans="1:17" x14ac:dyDescent="0.2">
      <c r="A3456">
        <f>YEAR(D3456)</f>
        <v>2019</v>
      </c>
      <c r="B3456" t="s">
        <v>26</v>
      </c>
      <c r="C3456" s="2" t="s">
        <v>50</v>
      </c>
      <c r="D3456" s="1">
        <v>43649</v>
      </c>
      <c r="E3456">
        <f>MONTH(D3456)</f>
        <v>7</v>
      </c>
      <c r="F3456" s="2" t="s">
        <v>2098</v>
      </c>
      <c r="G3456" t="s">
        <v>2206</v>
      </c>
      <c r="H3456" t="s">
        <v>2263</v>
      </c>
      <c r="I3456" t="s">
        <v>22</v>
      </c>
      <c r="J3456" s="2" t="s">
        <v>42</v>
      </c>
      <c r="K3456" s="2" t="s">
        <v>3019</v>
      </c>
      <c r="L3456" t="s">
        <v>25</v>
      </c>
      <c r="M3456" s="8">
        <v>3.7376666670000001</v>
      </c>
      <c r="N3456" t="s">
        <v>26</v>
      </c>
      <c r="O3456" s="8">
        <v>3.7376666670000001</v>
      </c>
      <c r="P3456" s="8">
        <f>EXP(-1.363+3.366*LOG(O3456,10))</f>
        <v>1.7583458516827115</v>
      </c>
      <c r="Q3456" s="8">
        <f>(4488342*100)/4914798</f>
        <v>91.323020803703429</v>
      </c>
    </row>
    <row r="3457" spans="1:17" x14ac:dyDescent="0.2">
      <c r="A3457">
        <f>YEAR(D3457)</f>
        <v>2019</v>
      </c>
      <c r="B3457" t="s">
        <v>26</v>
      </c>
      <c r="C3457" s="2" t="s">
        <v>50</v>
      </c>
      <c r="D3457" s="1">
        <v>43649</v>
      </c>
      <c r="E3457">
        <f>MONTH(D3457)</f>
        <v>7</v>
      </c>
      <c r="F3457" s="2" t="s">
        <v>2098</v>
      </c>
      <c r="G3457" t="s">
        <v>2206</v>
      </c>
      <c r="H3457" t="s">
        <v>2263</v>
      </c>
      <c r="I3457" t="s">
        <v>22</v>
      </c>
      <c r="J3457" s="2" t="s">
        <v>42</v>
      </c>
      <c r="K3457" s="2" t="s">
        <v>3019</v>
      </c>
      <c r="L3457" t="s">
        <v>25</v>
      </c>
      <c r="M3457" s="8">
        <v>3.7376666670000001</v>
      </c>
      <c r="N3457" t="s">
        <v>26</v>
      </c>
      <c r="O3457" s="8">
        <v>3.7376666670000001</v>
      </c>
      <c r="P3457" s="8">
        <f>EXP(-1.363+3.366*LOG(O3457,10))</f>
        <v>1.7583458516827115</v>
      </c>
      <c r="Q3457" s="8">
        <f>(4488342*100)/4914798</f>
        <v>91.323020803703429</v>
      </c>
    </row>
    <row r="3458" spans="1:17" x14ac:dyDescent="0.2">
      <c r="A3458">
        <f>YEAR(D3458)</f>
        <v>2019</v>
      </c>
      <c r="B3458" t="s">
        <v>26</v>
      </c>
      <c r="C3458" s="2" t="s">
        <v>50</v>
      </c>
      <c r="D3458" s="1">
        <v>43649</v>
      </c>
      <c r="E3458">
        <f>MONTH(D3458)</f>
        <v>7</v>
      </c>
      <c r="F3458" s="2" t="s">
        <v>2098</v>
      </c>
      <c r="G3458" t="s">
        <v>318</v>
      </c>
      <c r="H3458" t="s">
        <v>319</v>
      </c>
      <c r="I3458" t="s">
        <v>22</v>
      </c>
      <c r="J3458" s="2" t="s">
        <v>42</v>
      </c>
      <c r="K3458" s="2" t="s">
        <v>3019</v>
      </c>
      <c r="L3458" t="s">
        <v>25</v>
      </c>
      <c r="M3458" s="8">
        <v>5.71</v>
      </c>
      <c r="N3458" t="s">
        <v>26</v>
      </c>
      <c r="O3458" s="8">
        <v>5.71</v>
      </c>
      <c r="P3458" s="8">
        <f>EXP(-1.363+3.366*LOG(O3458,10))</f>
        <v>3.2668856822755741</v>
      </c>
      <c r="Q3458" s="8">
        <f>(4488342*100)/4914798</f>
        <v>91.323020803703429</v>
      </c>
    </row>
    <row r="3459" spans="1:17" x14ac:dyDescent="0.2">
      <c r="A3459">
        <f>YEAR(D3459)</f>
        <v>2019</v>
      </c>
      <c r="B3459" t="s">
        <v>26</v>
      </c>
      <c r="C3459" s="2" t="s">
        <v>50</v>
      </c>
      <c r="D3459" s="1">
        <v>43649</v>
      </c>
      <c r="E3459">
        <f>MONTH(D3459)</f>
        <v>7</v>
      </c>
      <c r="F3459" s="2" t="s">
        <v>2098</v>
      </c>
      <c r="G3459" t="s">
        <v>318</v>
      </c>
      <c r="H3459" t="s">
        <v>319</v>
      </c>
      <c r="I3459" t="s">
        <v>36</v>
      </c>
      <c r="J3459" s="2" t="s">
        <v>42</v>
      </c>
      <c r="K3459" s="2" t="s">
        <v>3019</v>
      </c>
      <c r="L3459" t="s">
        <v>25</v>
      </c>
      <c r="M3459" s="8">
        <v>5.5119999999999996</v>
      </c>
      <c r="N3459" t="s">
        <v>26</v>
      </c>
      <c r="O3459" s="8">
        <v>5.5119999999999996</v>
      </c>
      <c r="P3459" s="8">
        <f>EXP(-1.363+3.366*LOG(O3459,10))</f>
        <v>3.1026196317879862</v>
      </c>
      <c r="Q3459" s="8">
        <f>(4488342*100)/4914798</f>
        <v>91.323020803703429</v>
      </c>
    </row>
    <row r="3460" spans="1:17" x14ac:dyDescent="0.2">
      <c r="A3460">
        <f>YEAR(D3460)</f>
        <v>2019</v>
      </c>
      <c r="B3460" t="s">
        <v>26</v>
      </c>
      <c r="C3460" s="2" t="s">
        <v>50</v>
      </c>
      <c r="D3460" s="1">
        <v>43649</v>
      </c>
      <c r="E3460">
        <f>MONTH(D3460)</f>
        <v>7</v>
      </c>
      <c r="F3460" s="2" t="s">
        <v>2098</v>
      </c>
      <c r="G3460" t="s">
        <v>1520</v>
      </c>
      <c r="H3460" t="s">
        <v>1528</v>
      </c>
      <c r="I3460" t="s">
        <v>22</v>
      </c>
      <c r="J3460" s="2" t="s">
        <v>42</v>
      </c>
      <c r="K3460" s="2" t="s">
        <v>3019</v>
      </c>
      <c r="L3460" t="s">
        <v>25</v>
      </c>
      <c r="M3460" s="8">
        <v>3.624333333</v>
      </c>
      <c r="N3460" t="s">
        <v>26</v>
      </c>
      <c r="O3460" s="8">
        <v>3.624333333</v>
      </c>
      <c r="P3460" s="8">
        <f>EXP(-1.363+3.366*LOG(O3460,10))</f>
        <v>1.6809546844949765</v>
      </c>
      <c r="Q3460" s="8">
        <f>(4488342*100)/4914798</f>
        <v>91.323020803703429</v>
      </c>
    </row>
    <row r="3461" spans="1:17" x14ac:dyDescent="0.2">
      <c r="A3461">
        <f>YEAR(D3461)</f>
        <v>2019</v>
      </c>
      <c r="B3461" t="s">
        <v>26</v>
      </c>
      <c r="C3461" s="2" t="s">
        <v>50</v>
      </c>
      <c r="D3461" s="1">
        <v>43649</v>
      </c>
      <c r="E3461">
        <f>MONTH(D3461)</f>
        <v>7</v>
      </c>
      <c r="F3461" s="2" t="s">
        <v>2098</v>
      </c>
      <c r="G3461" t="s">
        <v>219</v>
      </c>
      <c r="H3461" t="s">
        <v>220</v>
      </c>
      <c r="I3461" t="s">
        <v>22</v>
      </c>
      <c r="J3461" s="2" t="s">
        <v>42</v>
      </c>
      <c r="K3461" s="2" t="s">
        <v>3019</v>
      </c>
      <c r="L3461" t="s">
        <v>25</v>
      </c>
      <c r="M3461" s="10" t="s">
        <v>26</v>
      </c>
      <c r="N3461" t="s">
        <v>26</v>
      </c>
      <c r="O3461" s="10" t="s">
        <v>26</v>
      </c>
      <c r="P3461" s="8" t="s">
        <v>26</v>
      </c>
      <c r="Q3461" s="8">
        <f>(4488342*100)/4914798</f>
        <v>91.323020803703429</v>
      </c>
    </row>
    <row r="3462" spans="1:17" x14ac:dyDescent="0.2">
      <c r="A3462">
        <f>YEAR(D3462)</f>
        <v>2019</v>
      </c>
      <c r="B3462" t="s">
        <v>26</v>
      </c>
      <c r="C3462" s="2" t="s">
        <v>50</v>
      </c>
      <c r="D3462" s="1">
        <v>43649</v>
      </c>
      <c r="E3462">
        <f>MONTH(D3462)</f>
        <v>7</v>
      </c>
      <c r="F3462" s="2" t="s">
        <v>2098</v>
      </c>
      <c r="G3462" t="s">
        <v>1520</v>
      </c>
      <c r="H3462" t="s">
        <v>1528</v>
      </c>
      <c r="I3462" t="s">
        <v>36</v>
      </c>
      <c r="J3462" s="2" t="s">
        <v>42</v>
      </c>
      <c r="K3462" s="2" t="s">
        <v>3019</v>
      </c>
      <c r="L3462" t="s">
        <v>25</v>
      </c>
      <c r="M3462" s="8">
        <v>3.3860000000000001</v>
      </c>
      <c r="N3462" t="s">
        <v>26</v>
      </c>
      <c r="O3462" s="8">
        <v>3.3860000000000001</v>
      </c>
      <c r="P3462" s="8">
        <f>EXP(-1.363+3.366*LOG(O3462,10))</f>
        <v>1.5218493704875904</v>
      </c>
      <c r="Q3462" s="8">
        <f>(4488342*100)/4914798</f>
        <v>91.323020803703429</v>
      </c>
    </row>
    <row r="3463" spans="1:17" x14ac:dyDescent="0.2">
      <c r="A3463">
        <f>YEAR(D3463)</f>
        <v>2019</v>
      </c>
      <c r="B3463" t="s">
        <v>26</v>
      </c>
      <c r="C3463" s="2" t="s">
        <v>50</v>
      </c>
      <c r="D3463" s="1">
        <v>43649</v>
      </c>
      <c r="E3463">
        <f>MONTH(D3463)</f>
        <v>7</v>
      </c>
      <c r="F3463" s="2" t="s">
        <v>2098</v>
      </c>
      <c r="G3463" t="s">
        <v>1520</v>
      </c>
      <c r="H3463" t="s">
        <v>1528</v>
      </c>
      <c r="I3463" t="s">
        <v>22</v>
      </c>
      <c r="J3463" s="2" t="s">
        <v>42</v>
      </c>
      <c r="K3463" s="2" t="s">
        <v>3019</v>
      </c>
      <c r="L3463" t="s">
        <v>25</v>
      </c>
      <c r="M3463" s="8">
        <v>3.624333333</v>
      </c>
      <c r="N3463" t="s">
        <v>26</v>
      </c>
      <c r="O3463" s="8">
        <v>3.624333333</v>
      </c>
      <c r="P3463" s="8">
        <f>EXP(-1.363+3.366*LOG(O3463,10))</f>
        <v>1.6809546844949765</v>
      </c>
      <c r="Q3463" s="8">
        <f>(4488342*100)/4914798</f>
        <v>91.323020803703429</v>
      </c>
    </row>
    <row r="3464" spans="1:17" x14ac:dyDescent="0.2">
      <c r="A3464">
        <f>YEAR(D3464)</f>
        <v>2019</v>
      </c>
      <c r="B3464" t="s">
        <v>26</v>
      </c>
      <c r="C3464" s="2" t="s">
        <v>50</v>
      </c>
      <c r="D3464" s="1">
        <v>43649</v>
      </c>
      <c r="E3464">
        <f>MONTH(D3464)</f>
        <v>7</v>
      </c>
      <c r="F3464" s="2" t="s">
        <v>2098</v>
      </c>
      <c r="G3464" t="s">
        <v>1520</v>
      </c>
      <c r="H3464" t="s">
        <v>1528</v>
      </c>
      <c r="I3464" t="s">
        <v>22</v>
      </c>
      <c r="J3464" s="2" t="s">
        <v>42</v>
      </c>
      <c r="K3464" s="2" t="s">
        <v>3019</v>
      </c>
      <c r="L3464" t="s">
        <v>25</v>
      </c>
      <c r="M3464" s="8">
        <v>3.624333333</v>
      </c>
      <c r="N3464" t="s">
        <v>26</v>
      </c>
      <c r="O3464" s="8">
        <v>3.624333333</v>
      </c>
      <c r="P3464" s="8">
        <f>EXP(-1.363+3.366*LOG(O3464,10))</f>
        <v>1.6809546844949765</v>
      </c>
      <c r="Q3464" s="8">
        <f>(4488342*100)/4914798</f>
        <v>91.323020803703429</v>
      </c>
    </row>
    <row r="3465" spans="1:17" x14ac:dyDescent="0.2">
      <c r="A3465">
        <f>YEAR(D3465)</f>
        <v>2019</v>
      </c>
      <c r="B3465" t="s">
        <v>26</v>
      </c>
      <c r="C3465" s="2" t="s">
        <v>50</v>
      </c>
      <c r="D3465" s="1">
        <v>43649</v>
      </c>
      <c r="E3465">
        <f>MONTH(D3465)</f>
        <v>7</v>
      </c>
      <c r="F3465" s="2" t="s">
        <v>2098</v>
      </c>
      <c r="G3465" t="s">
        <v>1520</v>
      </c>
      <c r="H3465" t="s">
        <v>1528</v>
      </c>
      <c r="I3465" t="s">
        <v>22</v>
      </c>
      <c r="J3465" s="2" t="s">
        <v>42</v>
      </c>
      <c r="K3465" s="2" t="s">
        <v>3019</v>
      </c>
      <c r="L3465" t="s">
        <v>25</v>
      </c>
      <c r="M3465" s="8">
        <v>3.624333333</v>
      </c>
      <c r="N3465" t="s">
        <v>26</v>
      </c>
      <c r="O3465" s="8">
        <v>3.624333333</v>
      </c>
      <c r="P3465" s="8">
        <f>EXP(-1.363+3.366*LOG(O3465,10))</f>
        <v>1.6809546844949765</v>
      </c>
      <c r="Q3465" s="8">
        <f>(4488342*100)/4914798</f>
        <v>91.323020803703429</v>
      </c>
    </row>
    <row r="3466" spans="1:17" x14ac:dyDescent="0.2">
      <c r="A3466">
        <f>YEAR(D3466)</f>
        <v>2019</v>
      </c>
      <c r="B3466" t="s">
        <v>26</v>
      </c>
      <c r="C3466" s="2" t="s">
        <v>50</v>
      </c>
      <c r="D3466" s="1">
        <v>43649</v>
      </c>
      <c r="E3466">
        <f>MONTH(D3466)</f>
        <v>7</v>
      </c>
      <c r="F3466" s="2" t="s">
        <v>2098</v>
      </c>
      <c r="G3466" t="s">
        <v>219</v>
      </c>
      <c r="H3466" t="s">
        <v>220</v>
      </c>
      <c r="I3466" t="s">
        <v>22</v>
      </c>
      <c r="J3466" s="2" t="s">
        <v>42</v>
      </c>
      <c r="K3466" s="2" t="s">
        <v>3019</v>
      </c>
      <c r="L3466" t="s">
        <v>25</v>
      </c>
      <c r="M3466" s="10" t="s">
        <v>26</v>
      </c>
      <c r="N3466" t="s">
        <v>26</v>
      </c>
      <c r="O3466" s="10" t="s">
        <v>26</v>
      </c>
      <c r="P3466" s="8" t="s">
        <v>26</v>
      </c>
      <c r="Q3466" s="8">
        <f>(4488342*100)/4914798</f>
        <v>91.323020803703429</v>
      </c>
    </row>
    <row r="3467" spans="1:17" x14ac:dyDescent="0.2">
      <c r="A3467">
        <f>YEAR(D3467)</f>
        <v>2019</v>
      </c>
      <c r="B3467" t="s">
        <v>26</v>
      </c>
      <c r="C3467" s="2" t="s">
        <v>50</v>
      </c>
      <c r="D3467" s="1">
        <v>43649</v>
      </c>
      <c r="E3467">
        <f>MONTH(D3467)</f>
        <v>7</v>
      </c>
      <c r="F3467" s="2" t="s">
        <v>2098</v>
      </c>
      <c r="G3467" t="s">
        <v>219</v>
      </c>
      <c r="H3467" t="s">
        <v>220</v>
      </c>
      <c r="I3467" t="s">
        <v>22</v>
      </c>
      <c r="J3467" s="2" t="s">
        <v>42</v>
      </c>
      <c r="K3467" s="2" t="s">
        <v>3019</v>
      </c>
      <c r="L3467" t="s">
        <v>25</v>
      </c>
      <c r="M3467" s="10" t="s">
        <v>26</v>
      </c>
      <c r="N3467" t="s">
        <v>26</v>
      </c>
      <c r="O3467" s="10" t="s">
        <v>26</v>
      </c>
      <c r="P3467" s="8" t="s">
        <v>26</v>
      </c>
      <c r="Q3467" s="8">
        <f>(4488342*100)/4914798</f>
        <v>91.323020803703429</v>
      </c>
    </row>
    <row r="3468" spans="1:17" x14ac:dyDescent="0.2">
      <c r="A3468">
        <f>YEAR(D3468)</f>
        <v>2019</v>
      </c>
      <c r="B3468" t="s">
        <v>26</v>
      </c>
      <c r="C3468" s="2" t="s">
        <v>50</v>
      </c>
      <c r="D3468" s="1">
        <v>43649</v>
      </c>
      <c r="E3468">
        <f>MONTH(D3468)</f>
        <v>7</v>
      </c>
      <c r="F3468" s="2" t="s">
        <v>2098</v>
      </c>
      <c r="G3468" t="s">
        <v>1520</v>
      </c>
      <c r="H3468" t="s">
        <v>1528</v>
      </c>
      <c r="I3468" t="s">
        <v>36</v>
      </c>
      <c r="J3468" s="2" t="s">
        <v>42</v>
      </c>
      <c r="K3468" s="2" t="s">
        <v>3019</v>
      </c>
      <c r="L3468" t="s">
        <v>25</v>
      </c>
      <c r="M3468" s="8">
        <v>3.3860000000000001</v>
      </c>
      <c r="N3468" t="s">
        <v>26</v>
      </c>
      <c r="O3468" s="8">
        <v>3.3860000000000001</v>
      </c>
      <c r="P3468" s="8">
        <f>EXP(-1.363+3.366*LOG(O3468,10))</f>
        <v>1.5218493704875904</v>
      </c>
      <c r="Q3468" s="8">
        <f>(4488342*100)/4914798</f>
        <v>91.323020803703429</v>
      </c>
    </row>
    <row r="3469" spans="1:17" x14ac:dyDescent="0.2">
      <c r="A3469">
        <f>YEAR(D3469)</f>
        <v>2019</v>
      </c>
      <c r="B3469" t="s">
        <v>26</v>
      </c>
      <c r="C3469" s="2" t="s">
        <v>3027</v>
      </c>
      <c r="D3469" s="1">
        <v>43650</v>
      </c>
      <c r="E3469">
        <f>MONTH(D3469)</f>
        <v>7</v>
      </c>
      <c r="F3469" s="2" t="s">
        <v>2098</v>
      </c>
      <c r="G3469" t="s">
        <v>230</v>
      </c>
      <c r="H3469" t="s">
        <v>268</v>
      </c>
      <c r="I3469" t="s">
        <v>22</v>
      </c>
      <c r="J3469" s="2" t="s">
        <v>42</v>
      </c>
      <c r="K3469" s="2" t="s">
        <v>3019</v>
      </c>
      <c r="L3469" t="s">
        <v>25</v>
      </c>
      <c r="M3469" s="8">
        <v>3.5356666670000001</v>
      </c>
      <c r="N3469" t="s">
        <v>26</v>
      </c>
      <c r="O3469" s="8">
        <v>3.5356666670000001</v>
      </c>
      <c r="P3469" s="8">
        <f>EXP(-1.363+3.366*LOG(O3469,10))</f>
        <v>1.6211802664427075</v>
      </c>
      <c r="Q3469" s="8">
        <f>(3939723*100)/4442581</f>
        <v>88.680949204977921</v>
      </c>
    </row>
    <row r="3470" spans="1:17" x14ac:dyDescent="0.2">
      <c r="A3470">
        <f>YEAR(D3470)</f>
        <v>2019</v>
      </c>
      <c r="B3470" t="s">
        <v>26</v>
      </c>
      <c r="C3470" s="2" t="s">
        <v>3027</v>
      </c>
      <c r="D3470" s="1">
        <v>43650</v>
      </c>
      <c r="E3470">
        <f>MONTH(D3470)</f>
        <v>7</v>
      </c>
      <c r="F3470" s="2" t="s">
        <v>2098</v>
      </c>
      <c r="G3470" t="s">
        <v>2206</v>
      </c>
      <c r="H3470" t="s">
        <v>2263</v>
      </c>
      <c r="I3470" t="s">
        <v>22</v>
      </c>
      <c r="J3470" s="2" t="s">
        <v>42</v>
      </c>
      <c r="K3470" s="2" t="s">
        <v>3019</v>
      </c>
      <c r="L3470" t="s">
        <v>25</v>
      </c>
      <c r="M3470" s="8">
        <v>3.7376666670000001</v>
      </c>
      <c r="N3470" t="s">
        <v>26</v>
      </c>
      <c r="O3470" s="8">
        <v>3.7376666670000001</v>
      </c>
      <c r="P3470" s="8">
        <f>EXP(-1.363+3.366*LOG(O3470,10))</f>
        <v>1.7583458516827115</v>
      </c>
      <c r="Q3470" s="8">
        <f>(3939723*100)/4442581</f>
        <v>88.680949204977921</v>
      </c>
    </row>
    <row r="3471" spans="1:17" x14ac:dyDescent="0.2">
      <c r="A3471">
        <f>YEAR(D3471)</f>
        <v>2019</v>
      </c>
      <c r="B3471" t="s">
        <v>26</v>
      </c>
      <c r="C3471" s="2" t="s">
        <v>3027</v>
      </c>
      <c r="D3471" s="1">
        <v>43650</v>
      </c>
      <c r="E3471">
        <f>MONTH(D3471)</f>
        <v>7</v>
      </c>
      <c r="F3471" s="2" t="s">
        <v>2098</v>
      </c>
      <c r="G3471" t="s">
        <v>2206</v>
      </c>
      <c r="H3471" t="s">
        <v>2263</v>
      </c>
      <c r="I3471" t="s">
        <v>36</v>
      </c>
      <c r="J3471" s="2" t="s">
        <v>42</v>
      </c>
      <c r="K3471" s="2" t="s">
        <v>3019</v>
      </c>
      <c r="L3471" t="s">
        <v>25</v>
      </c>
      <c r="M3471" s="8">
        <v>4.1670000000000007</v>
      </c>
      <c r="N3471" t="s">
        <v>26</v>
      </c>
      <c r="O3471" s="8">
        <v>4.1670000000000007</v>
      </c>
      <c r="P3471" s="8">
        <f>EXP(-1.363+3.366*LOG(O3471,10))</f>
        <v>2.0612774305709816</v>
      </c>
      <c r="Q3471" s="8">
        <f>(3939723*100)/4442581</f>
        <v>88.680949204977921</v>
      </c>
    </row>
    <row r="3472" spans="1:17" x14ac:dyDescent="0.2">
      <c r="A3472">
        <f>YEAR(D3472)</f>
        <v>2019</v>
      </c>
      <c r="B3472" t="s">
        <v>26</v>
      </c>
      <c r="C3472" s="2" t="s">
        <v>3027</v>
      </c>
      <c r="D3472" s="1">
        <v>43650</v>
      </c>
      <c r="E3472">
        <f>MONTH(D3472)</f>
        <v>7</v>
      </c>
      <c r="F3472" s="2" t="s">
        <v>2098</v>
      </c>
      <c r="G3472" t="s">
        <v>2206</v>
      </c>
      <c r="H3472" t="s">
        <v>2263</v>
      </c>
      <c r="I3472" t="s">
        <v>22</v>
      </c>
      <c r="J3472" s="2" t="s">
        <v>42</v>
      </c>
      <c r="K3472" s="2" t="s">
        <v>3019</v>
      </c>
      <c r="L3472" t="s">
        <v>25</v>
      </c>
      <c r="M3472" s="8">
        <v>3.7376666670000001</v>
      </c>
      <c r="N3472" t="s">
        <v>26</v>
      </c>
      <c r="O3472" s="8">
        <v>3.7376666670000001</v>
      </c>
      <c r="P3472" s="8">
        <f>EXP(-1.363+3.366*LOG(O3472,10))</f>
        <v>1.7583458516827115</v>
      </c>
      <c r="Q3472" s="8">
        <f>(3939723*100)/4442581</f>
        <v>88.680949204977921</v>
      </c>
    </row>
    <row r="3473" spans="1:17" x14ac:dyDescent="0.2">
      <c r="A3473">
        <f>YEAR(D3473)</f>
        <v>2019</v>
      </c>
      <c r="B3473" t="s">
        <v>26</v>
      </c>
      <c r="C3473" s="2" t="s">
        <v>3027</v>
      </c>
      <c r="D3473" s="1">
        <v>43650</v>
      </c>
      <c r="E3473">
        <f>MONTH(D3473)</f>
        <v>7</v>
      </c>
      <c r="F3473" s="2" t="s">
        <v>2098</v>
      </c>
      <c r="G3473" t="s">
        <v>230</v>
      </c>
      <c r="H3473" t="s">
        <v>268</v>
      </c>
      <c r="I3473" t="s">
        <v>22</v>
      </c>
      <c r="J3473" s="2" t="s">
        <v>42</v>
      </c>
      <c r="K3473" s="2" t="s">
        <v>3019</v>
      </c>
      <c r="L3473" t="s">
        <v>25</v>
      </c>
      <c r="M3473" s="8">
        <v>3.5356666670000001</v>
      </c>
      <c r="N3473" t="s">
        <v>26</v>
      </c>
      <c r="O3473" s="8">
        <v>3.5356666670000001</v>
      </c>
      <c r="P3473" s="8">
        <f>EXP(-1.363+3.366*LOG(O3473,10))</f>
        <v>1.6211802664427075</v>
      </c>
      <c r="Q3473" s="8">
        <f>(3939723*100)/4442581</f>
        <v>88.680949204977921</v>
      </c>
    </row>
    <row r="3474" spans="1:17" x14ac:dyDescent="0.2">
      <c r="A3474">
        <f>YEAR(D3474)</f>
        <v>2019</v>
      </c>
      <c r="B3474" t="s">
        <v>26</v>
      </c>
      <c r="C3474" s="2" t="s">
        <v>3027</v>
      </c>
      <c r="D3474" s="1">
        <v>43650</v>
      </c>
      <c r="E3474">
        <f>MONTH(D3474)</f>
        <v>7</v>
      </c>
      <c r="F3474" s="2" t="s">
        <v>2098</v>
      </c>
      <c r="G3474" t="s">
        <v>1520</v>
      </c>
      <c r="H3474" t="s">
        <v>1528</v>
      </c>
      <c r="I3474" t="s">
        <v>36</v>
      </c>
      <c r="J3474" s="2" t="s">
        <v>42</v>
      </c>
      <c r="K3474" s="2" t="s">
        <v>3019</v>
      </c>
      <c r="L3474" t="s">
        <v>25</v>
      </c>
      <c r="M3474" s="8">
        <v>3.3860000000000001</v>
      </c>
      <c r="N3474" t="s">
        <v>26</v>
      </c>
      <c r="O3474" s="8">
        <v>3.3860000000000001</v>
      </c>
      <c r="P3474" s="8">
        <f>EXP(-1.363+3.366*LOG(O3474,10))</f>
        <v>1.5218493704875904</v>
      </c>
      <c r="Q3474" s="8">
        <f>(3939723*100)/4442581</f>
        <v>88.680949204977921</v>
      </c>
    </row>
    <row r="3475" spans="1:17" x14ac:dyDescent="0.2">
      <c r="A3475">
        <f>YEAR(D3475)</f>
        <v>2019</v>
      </c>
      <c r="B3475" t="s">
        <v>26</v>
      </c>
      <c r="C3475" s="2" t="s">
        <v>3027</v>
      </c>
      <c r="D3475" s="1">
        <v>43650</v>
      </c>
      <c r="E3475">
        <f>MONTH(D3475)</f>
        <v>7</v>
      </c>
      <c r="F3475" s="2" t="s">
        <v>2098</v>
      </c>
      <c r="G3475" t="s">
        <v>219</v>
      </c>
      <c r="H3475" t="s">
        <v>220</v>
      </c>
      <c r="I3475" t="s">
        <v>22</v>
      </c>
      <c r="J3475" s="2" t="s">
        <v>42</v>
      </c>
      <c r="K3475" s="2" t="s">
        <v>3019</v>
      </c>
      <c r="L3475" t="s">
        <v>25</v>
      </c>
      <c r="M3475" s="10" t="s">
        <v>26</v>
      </c>
      <c r="N3475" t="s">
        <v>26</v>
      </c>
      <c r="O3475" s="10" t="s">
        <v>26</v>
      </c>
      <c r="P3475" s="8" t="s">
        <v>26</v>
      </c>
      <c r="Q3475" s="8">
        <f>(3939723*100)/4442581</f>
        <v>88.680949204977921</v>
      </c>
    </row>
    <row r="3476" spans="1:17" x14ac:dyDescent="0.2">
      <c r="A3476">
        <f>YEAR(D3476)</f>
        <v>2019</v>
      </c>
      <c r="B3476" t="s">
        <v>26</v>
      </c>
      <c r="C3476" s="2" t="s">
        <v>3027</v>
      </c>
      <c r="D3476" s="1">
        <v>43650</v>
      </c>
      <c r="E3476">
        <f>MONTH(D3476)</f>
        <v>7</v>
      </c>
      <c r="F3476" s="2" t="s">
        <v>2098</v>
      </c>
      <c r="G3476" t="s">
        <v>2206</v>
      </c>
      <c r="H3476" t="s">
        <v>2263</v>
      </c>
      <c r="I3476" t="s">
        <v>22</v>
      </c>
      <c r="J3476" s="2" t="s">
        <v>42</v>
      </c>
      <c r="K3476" s="2" t="s">
        <v>3019</v>
      </c>
      <c r="L3476" t="s">
        <v>25</v>
      </c>
      <c r="M3476" s="8">
        <v>3.7376666670000001</v>
      </c>
      <c r="N3476" t="s">
        <v>26</v>
      </c>
      <c r="O3476" s="8">
        <v>3.7376666670000001</v>
      </c>
      <c r="P3476" s="8">
        <f>EXP(-1.363+3.366*LOG(O3476,10))</f>
        <v>1.7583458516827115</v>
      </c>
      <c r="Q3476" s="8">
        <f>(3939723*100)/4442581</f>
        <v>88.680949204977921</v>
      </c>
    </row>
    <row r="3477" spans="1:17" x14ac:dyDescent="0.2">
      <c r="A3477">
        <f>YEAR(D3477)</f>
        <v>2019</v>
      </c>
      <c r="B3477" t="s">
        <v>26</v>
      </c>
      <c r="C3477" s="2" t="s">
        <v>3027</v>
      </c>
      <c r="D3477" s="1">
        <v>43650</v>
      </c>
      <c r="E3477">
        <f>MONTH(D3477)</f>
        <v>7</v>
      </c>
      <c r="F3477" s="2" t="s">
        <v>2098</v>
      </c>
      <c r="G3477" t="s">
        <v>2206</v>
      </c>
      <c r="H3477" t="s">
        <v>2263</v>
      </c>
      <c r="I3477" t="s">
        <v>36</v>
      </c>
      <c r="J3477" s="2" t="s">
        <v>42</v>
      </c>
      <c r="K3477" s="2" t="s">
        <v>3019</v>
      </c>
      <c r="L3477" t="s">
        <v>25</v>
      </c>
      <c r="M3477" s="8">
        <v>4.1670000000000007</v>
      </c>
      <c r="N3477" t="s">
        <v>26</v>
      </c>
      <c r="O3477" s="8">
        <v>4.1670000000000007</v>
      </c>
      <c r="P3477" s="8">
        <f>EXP(-1.363+3.366*LOG(O3477,10))</f>
        <v>2.0612774305709816</v>
      </c>
      <c r="Q3477" s="8">
        <f>(3939723*100)/4442581</f>
        <v>88.680949204977921</v>
      </c>
    </row>
    <row r="3478" spans="1:17" x14ac:dyDescent="0.2">
      <c r="A3478">
        <f>YEAR(D3478)</f>
        <v>2019</v>
      </c>
      <c r="B3478" t="s">
        <v>26</v>
      </c>
      <c r="C3478" s="2" t="s">
        <v>3027</v>
      </c>
      <c r="D3478" s="1">
        <v>43650</v>
      </c>
      <c r="E3478">
        <f>MONTH(D3478)</f>
        <v>7</v>
      </c>
      <c r="F3478" s="2" t="s">
        <v>2098</v>
      </c>
      <c r="G3478" t="s">
        <v>2206</v>
      </c>
      <c r="H3478" t="s">
        <v>2263</v>
      </c>
      <c r="I3478" t="s">
        <v>36</v>
      </c>
      <c r="J3478" s="2" t="s">
        <v>42</v>
      </c>
      <c r="K3478" s="2" t="s">
        <v>3019</v>
      </c>
      <c r="L3478" t="s">
        <v>25</v>
      </c>
      <c r="M3478" s="8">
        <v>4.1670000000000007</v>
      </c>
      <c r="N3478" t="s">
        <v>26</v>
      </c>
      <c r="O3478" s="8">
        <v>4.1670000000000007</v>
      </c>
      <c r="P3478" s="8">
        <f>EXP(-1.363+3.366*LOG(O3478,10))</f>
        <v>2.0612774305709816</v>
      </c>
      <c r="Q3478" s="8">
        <f>(3939723*100)/4442581</f>
        <v>88.680949204977921</v>
      </c>
    </row>
    <row r="3479" spans="1:17" x14ac:dyDescent="0.2">
      <c r="A3479">
        <f>YEAR(D3479)</f>
        <v>2019</v>
      </c>
      <c r="B3479" t="s">
        <v>26</v>
      </c>
      <c r="C3479" s="2" t="s">
        <v>3027</v>
      </c>
      <c r="D3479" s="1">
        <v>43650</v>
      </c>
      <c r="E3479">
        <f>MONTH(D3479)</f>
        <v>7</v>
      </c>
      <c r="F3479" s="2" t="s">
        <v>2098</v>
      </c>
      <c r="G3479" t="s">
        <v>352</v>
      </c>
      <c r="H3479" t="s">
        <v>494</v>
      </c>
      <c r="I3479" t="s">
        <v>22</v>
      </c>
      <c r="J3479" s="2" t="s">
        <v>42</v>
      </c>
      <c r="K3479" s="2" t="s">
        <v>3019</v>
      </c>
      <c r="L3479" t="s">
        <v>25</v>
      </c>
      <c r="M3479" s="8">
        <v>1.7226666669999999</v>
      </c>
      <c r="N3479" t="s">
        <v>26</v>
      </c>
      <c r="O3479" s="8">
        <v>1.7226666669999999</v>
      </c>
      <c r="P3479" s="8">
        <f>EXP(-1.363+3.366*LOG(O3479,10))</f>
        <v>0.56668788662759551</v>
      </c>
      <c r="Q3479" s="8">
        <f>(3939723*100)/4442581</f>
        <v>88.680949204977921</v>
      </c>
    </row>
    <row r="3480" spans="1:17" x14ac:dyDescent="0.2">
      <c r="A3480">
        <f>YEAR(D3480)</f>
        <v>2019</v>
      </c>
      <c r="B3480" t="s">
        <v>26</v>
      </c>
      <c r="C3480" s="2" t="s">
        <v>3027</v>
      </c>
      <c r="D3480" s="1">
        <v>43650</v>
      </c>
      <c r="E3480">
        <f>MONTH(D3480)</f>
        <v>7</v>
      </c>
      <c r="F3480" s="2" t="s">
        <v>2098</v>
      </c>
      <c r="G3480" t="s">
        <v>1520</v>
      </c>
      <c r="H3480" t="s">
        <v>1521</v>
      </c>
      <c r="I3480" t="s">
        <v>36</v>
      </c>
      <c r="J3480" s="2" t="s">
        <v>42</v>
      </c>
      <c r="K3480" s="2" t="s">
        <v>3019</v>
      </c>
      <c r="L3480" t="s">
        <v>25</v>
      </c>
      <c r="M3480" s="8">
        <v>2.3340000000000001</v>
      </c>
      <c r="N3480" t="s">
        <v>26</v>
      </c>
      <c r="O3480" s="8">
        <v>2.3340000000000001</v>
      </c>
      <c r="P3480" s="8">
        <f>EXP(-1.363+3.366*LOG(O3480,10))</f>
        <v>0.88340410488080767</v>
      </c>
      <c r="Q3480" s="8">
        <f>(3939723*100)/4442581</f>
        <v>88.680949204977921</v>
      </c>
    </row>
    <row r="3481" spans="1:17" x14ac:dyDescent="0.2">
      <c r="A3481">
        <f>YEAR(D3481)</f>
        <v>2019</v>
      </c>
      <c r="B3481" t="s">
        <v>26</v>
      </c>
      <c r="C3481" s="2" t="s">
        <v>3027</v>
      </c>
      <c r="D3481" s="1">
        <v>43650</v>
      </c>
      <c r="E3481">
        <f>MONTH(D3481)</f>
        <v>7</v>
      </c>
      <c r="F3481" s="2" t="s">
        <v>2098</v>
      </c>
      <c r="G3481" t="s">
        <v>1520</v>
      </c>
      <c r="H3481" t="s">
        <v>1521</v>
      </c>
      <c r="I3481" t="s">
        <v>22</v>
      </c>
      <c r="J3481" s="2" t="s">
        <v>42</v>
      </c>
      <c r="K3481" s="2" t="s">
        <v>3019</v>
      </c>
      <c r="L3481" t="s">
        <v>25</v>
      </c>
      <c r="M3481" s="8">
        <v>2.952</v>
      </c>
      <c r="N3481" t="s">
        <v>26</v>
      </c>
      <c r="O3481" s="8">
        <v>2.952</v>
      </c>
      <c r="P3481" s="8">
        <f>EXP(-1.363+3.366*LOG(O3481,10))</f>
        <v>1.2453438103764427</v>
      </c>
      <c r="Q3481" s="8">
        <f>(3939723*100)/4442581</f>
        <v>88.680949204977921</v>
      </c>
    </row>
    <row r="3482" spans="1:17" x14ac:dyDescent="0.2">
      <c r="A3482">
        <f>YEAR(D3482)</f>
        <v>2019</v>
      </c>
      <c r="B3482" t="s">
        <v>26</v>
      </c>
      <c r="C3482" s="2" t="s">
        <v>3027</v>
      </c>
      <c r="D3482" s="1">
        <v>43650</v>
      </c>
      <c r="E3482">
        <f>MONTH(D3482)</f>
        <v>7</v>
      </c>
      <c r="F3482" s="2" t="s">
        <v>2098</v>
      </c>
      <c r="G3482" t="s">
        <v>2206</v>
      </c>
      <c r="H3482" t="s">
        <v>2263</v>
      </c>
      <c r="I3482" t="s">
        <v>36</v>
      </c>
      <c r="J3482" s="2" t="s">
        <v>42</v>
      </c>
      <c r="K3482" s="2" t="s">
        <v>3019</v>
      </c>
      <c r="L3482" t="s">
        <v>25</v>
      </c>
      <c r="M3482" s="8">
        <v>4.1670000000000007</v>
      </c>
      <c r="N3482" t="s">
        <v>26</v>
      </c>
      <c r="O3482" s="8">
        <v>4.1670000000000007</v>
      </c>
      <c r="P3482" s="8">
        <f>EXP(-1.363+3.366*LOG(O3482,10))</f>
        <v>2.0612774305709816</v>
      </c>
      <c r="Q3482" s="8">
        <f>(3939723*100)/4442581</f>
        <v>88.680949204977921</v>
      </c>
    </row>
    <row r="3483" spans="1:17" x14ac:dyDescent="0.2">
      <c r="A3483">
        <f>YEAR(D3483)</f>
        <v>2019</v>
      </c>
      <c r="B3483" t="s">
        <v>26</v>
      </c>
      <c r="C3483" s="2" t="s">
        <v>3027</v>
      </c>
      <c r="D3483" s="1">
        <v>43650</v>
      </c>
      <c r="E3483">
        <f>MONTH(D3483)</f>
        <v>7</v>
      </c>
      <c r="F3483" s="2" t="s">
        <v>2098</v>
      </c>
      <c r="G3483" t="s">
        <v>2206</v>
      </c>
      <c r="H3483" t="s">
        <v>2263</v>
      </c>
      <c r="I3483" t="s">
        <v>22</v>
      </c>
      <c r="J3483" s="2" t="s">
        <v>42</v>
      </c>
      <c r="K3483" s="2" t="s">
        <v>3019</v>
      </c>
      <c r="L3483" t="s">
        <v>25</v>
      </c>
      <c r="M3483" s="8">
        <v>3.7376666670000001</v>
      </c>
      <c r="N3483" t="s">
        <v>26</v>
      </c>
      <c r="O3483" s="8">
        <v>3.7376666670000001</v>
      </c>
      <c r="P3483" s="8">
        <f>EXP(-1.363+3.366*LOG(O3483,10))</f>
        <v>1.7583458516827115</v>
      </c>
      <c r="Q3483" s="8">
        <f>(3939723*100)/4442581</f>
        <v>88.680949204977921</v>
      </c>
    </row>
    <row r="3484" spans="1:17" x14ac:dyDescent="0.2">
      <c r="A3484">
        <f>YEAR(D3484)</f>
        <v>2019</v>
      </c>
      <c r="B3484" t="s">
        <v>26</v>
      </c>
      <c r="C3484" s="2" t="s">
        <v>3027</v>
      </c>
      <c r="D3484" s="1">
        <v>43650</v>
      </c>
      <c r="E3484">
        <f>MONTH(D3484)</f>
        <v>7</v>
      </c>
      <c r="F3484" s="2" t="s">
        <v>2098</v>
      </c>
      <c r="G3484" t="s">
        <v>352</v>
      </c>
      <c r="H3484" t="s">
        <v>1142</v>
      </c>
      <c r="I3484" t="s">
        <v>22</v>
      </c>
      <c r="J3484" s="2" t="s">
        <v>42</v>
      </c>
      <c r="K3484" s="2" t="s">
        <v>3019</v>
      </c>
      <c r="L3484" t="s">
        <v>25</v>
      </c>
      <c r="M3484" s="8">
        <v>1.1423333330000001</v>
      </c>
      <c r="N3484" t="s">
        <v>26</v>
      </c>
      <c r="O3484" s="8">
        <v>1.1423333330000001</v>
      </c>
      <c r="P3484" s="8">
        <f>EXP(-1.363+3.366*LOG(O3484,10))</f>
        <v>0.31084239358261528</v>
      </c>
      <c r="Q3484" s="8">
        <f>(3939723*100)/4442581</f>
        <v>88.680949204977921</v>
      </c>
    </row>
    <row r="3485" spans="1:17" x14ac:dyDescent="0.2">
      <c r="A3485">
        <f>YEAR(D3485)</f>
        <v>2019</v>
      </c>
      <c r="B3485" t="s">
        <v>26</v>
      </c>
      <c r="C3485" s="2" t="s">
        <v>3027</v>
      </c>
      <c r="D3485" s="1">
        <v>43650</v>
      </c>
      <c r="E3485">
        <f>MONTH(D3485)</f>
        <v>7</v>
      </c>
      <c r="F3485" s="2" t="s">
        <v>2098</v>
      </c>
      <c r="G3485" t="s">
        <v>332</v>
      </c>
      <c r="H3485" t="s">
        <v>2034</v>
      </c>
      <c r="I3485" t="s">
        <v>22</v>
      </c>
      <c r="J3485" s="2" t="s">
        <v>42</v>
      </c>
      <c r="K3485" s="2" t="s">
        <v>3019</v>
      </c>
      <c r="L3485" t="s">
        <v>25</v>
      </c>
      <c r="M3485" s="8">
        <v>0.94899999999999995</v>
      </c>
      <c r="N3485" t="s">
        <v>26</v>
      </c>
      <c r="O3485" s="8">
        <v>0.94899999999999995</v>
      </c>
      <c r="P3485" s="8">
        <f>EXP(-1.363+3.366*LOG(O3485,10))</f>
        <v>0.23704105405927481</v>
      </c>
      <c r="Q3485" s="8">
        <f>(3939723*100)/4442581</f>
        <v>88.680949204977921</v>
      </c>
    </row>
    <row r="3486" spans="1:17" x14ac:dyDescent="0.2">
      <c r="A3486">
        <f>YEAR(D3486)</f>
        <v>2019</v>
      </c>
      <c r="B3486" t="s">
        <v>26</v>
      </c>
      <c r="C3486" s="2" t="s">
        <v>3027</v>
      </c>
      <c r="D3486" s="1">
        <v>43650</v>
      </c>
      <c r="E3486">
        <f>MONTH(D3486)</f>
        <v>7</v>
      </c>
      <c r="F3486" s="2" t="s">
        <v>2098</v>
      </c>
      <c r="G3486" t="s">
        <v>352</v>
      </c>
      <c r="H3486" t="s">
        <v>1344</v>
      </c>
      <c r="I3486" t="s">
        <v>22</v>
      </c>
      <c r="J3486" s="2" t="s">
        <v>42</v>
      </c>
      <c r="K3486" s="2" t="s">
        <v>3019</v>
      </c>
      <c r="L3486" t="s">
        <v>25</v>
      </c>
      <c r="M3486" s="8">
        <v>0.91800000000000004</v>
      </c>
      <c r="N3486" t="s">
        <v>26</v>
      </c>
      <c r="O3486" s="8">
        <v>0.91800000000000004</v>
      </c>
      <c r="P3486" s="8">
        <f>EXP(-1.363+3.366*LOG(O3486,10))</f>
        <v>0.22580769814771504</v>
      </c>
      <c r="Q3486" s="8">
        <f>(3939723*100)/4442581</f>
        <v>88.680949204977921</v>
      </c>
    </row>
    <row r="3487" spans="1:17" x14ac:dyDescent="0.2">
      <c r="A3487">
        <f>YEAR(D3487)</f>
        <v>2019</v>
      </c>
      <c r="B3487" t="s">
        <v>26</v>
      </c>
      <c r="C3487" s="2" t="s">
        <v>3027</v>
      </c>
      <c r="D3487" s="1">
        <v>43650</v>
      </c>
      <c r="E3487">
        <f>MONTH(D3487)</f>
        <v>7</v>
      </c>
      <c r="F3487" s="2" t="s">
        <v>2098</v>
      </c>
      <c r="G3487" t="s">
        <v>332</v>
      </c>
      <c r="H3487" t="s">
        <v>330</v>
      </c>
      <c r="I3487" t="s">
        <v>22</v>
      </c>
      <c r="J3487" s="2" t="s">
        <v>42</v>
      </c>
      <c r="K3487" s="2" t="s">
        <v>3019</v>
      </c>
      <c r="L3487" t="s">
        <v>25</v>
      </c>
      <c r="M3487" s="8">
        <v>1.2170000000000001</v>
      </c>
      <c r="N3487" t="s">
        <v>26</v>
      </c>
      <c r="O3487" s="8">
        <v>1.2170000000000001</v>
      </c>
      <c r="P3487" s="8">
        <f>EXP(-1.363+3.366*LOG(O3487,10))</f>
        <v>0.34098666307598596</v>
      </c>
      <c r="Q3487" s="8">
        <f>(3939723*100)/4442581</f>
        <v>88.680949204977921</v>
      </c>
    </row>
    <row r="3488" spans="1:17" x14ac:dyDescent="0.2">
      <c r="A3488">
        <f>YEAR(D3488)</f>
        <v>2019</v>
      </c>
      <c r="B3488" t="s">
        <v>26</v>
      </c>
      <c r="C3488" s="2" t="s">
        <v>3027</v>
      </c>
      <c r="D3488" s="1">
        <v>43650</v>
      </c>
      <c r="E3488">
        <f>MONTH(D3488)</f>
        <v>7</v>
      </c>
      <c r="F3488" s="2" t="s">
        <v>2098</v>
      </c>
      <c r="G3488" t="s">
        <v>332</v>
      </c>
      <c r="H3488" t="s">
        <v>330</v>
      </c>
      <c r="I3488" t="s">
        <v>22</v>
      </c>
      <c r="J3488" s="2" t="s">
        <v>42</v>
      </c>
      <c r="K3488" s="2" t="s">
        <v>3019</v>
      </c>
      <c r="L3488" t="s">
        <v>25</v>
      </c>
      <c r="M3488" s="8">
        <v>1.2170000000000001</v>
      </c>
      <c r="N3488" t="s">
        <v>26</v>
      </c>
      <c r="O3488" s="8">
        <v>1.2170000000000001</v>
      </c>
      <c r="P3488" s="8">
        <f>EXP(-1.363+3.366*LOG(O3488,10))</f>
        <v>0.34098666307598596</v>
      </c>
      <c r="Q3488" s="8">
        <f>(3939723*100)/4442581</f>
        <v>88.680949204977921</v>
      </c>
    </row>
    <row r="3489" spans="1:17" x14ac:dyDescent="0.2">
      <c r="A3489">
        <f>YEAR(D3489)</f>
        <v>2019</v>
      </c>
      <c r="B3489" t="s">
        <v>26</v>
      </c>
      <c r="C3489" s="2" t="s">
        <v>3027</v>
      </c>
      <c r="D3489" s="1">
        <v>43650</v>
      </c>
      <c r="E3489">
        <f>MONTH(D3489)</f>
        <v>7</v>
      </c>
      <c r="F3489" s="2" t="s">
        <v>2098</v>
      </c>
      <c r="G3489" t="s">
        <v>332</v>
      </c>
      <c r="H3489" t="s">
        <v>330</v>
      </c>
      <c r="I3489" t="s">
        <v>22</v>
      </c>
      <c r="J3489" s="2" t="s">
        <v>42</v>
      </c>
      <c r="K3489" s="2" t="s">
        <v>3019</v>
      </c>
      <c r="L3489" t="s">
        <v>25</v>
      </c>
      <c r="M3489" s="8">
        <v>1.2170000000000001</v>
      </c>
      <c r="N3489" t="s">
        <v>26</v>
      </c>
      <c r="O3489" s="8">
        <v>1.2170000000000001</v>
      </c>
      <c r="P3489" s="8">
        <f>EXP(-1.363+3.366*LOG(O3489,10))</f>
        <v>0.34098666307598596</v>
      </c>
      <c r="Q3489" s="8">
        <f>(3939723*100)/4442581</f>
        <v>88.680949204977921</v>
      </c>
    </row>
    <row r="3490" spans="1:17" x14ac:dyDescent="0.2">
      <c r="A3490">
        <f>YEAR(D3490)</f>
        <v>2019</v>
      </c>
      <c r="B3490" t="s">
        <v>26</v>
      </c>
      <c r="C3490" s="2" t="s">
        <v>3027</v>
      </c>
      <c r="D3490" s="1">
        <v>43650</v>
      </c>
      <c r="E3490">
        <f>MONTH(D3490)</f>
        <v>7</v>
      </c>
      <c r="F3490" s="2" t="s">
        <v>2098</v>
      </c>
      <c r="G3490" t="s">
        <v>1520</v>
      </c>
      <c r="H3490" t="s">
        <v>1528</v>
      </c>
      <c r="I3490" t="s">
        <v>22</v>
      </c>
      <c r="J3490" s="2" t="s">
        <v>42</v>
      </c>
      <c r="K3490" s="2" t="s">
        <v>3019</v>
      </c>
      <c r="L3490" t="s">
        <v>25</v>
      </c>
      <c r="M3490" s="8">
        <v>3.624333333</v>
      </c>
      <c r="N3490" t="s">
        <v>26</v>
      </c>
      <c r="O3490" s="8">
        <v>3.624333333</v>
      </c>
      <c r="P3490" s="8">
        <f>EXP(-1.363+3.366*LOG(O3490,10))</f>
        <v>1.6809546844949765</v>
      </c>
      <c r="Q3490" s="8">
        <f>(3939723*100)/4442581</f>
        <v>88.680949204977921</v>
      </c>
    </row>
    <row r="3491" spans="1:17" x14ac:dyDescent="0.2">
      <c r="A3491">
        <f>YEAR(D3491)</f>
        <v>2019</v>
      </c>
      <c r="B3491" t="s">
        <v>26</v>
      </c>
      <c r="C3491" s="2" t="s">
        <v>3027</v>
      </c>
      <c r="D3491" s="1">
        <v>43650</v>
      </c>
      <c r="E3491">
        <f>MONTH(D3491)</f>
        <v>7</v>
      </c>
      <c r="F3491" s="2" t="s">
        <v>2098</v>
      </c>
      <c r="G3491" t="s">
        <v>1520</v>
      </c>
      <c r="H3491" t="s">
        <v>1528</v>
      </c>
      <c r="I3491" t="s">
        <v>22</v>
      </c>
      <c r="J3491" s="2" t="s">
        <v>42</v>
      </c>
      <c r="K3491" s="2" t="s">
        <v>3019</v>
      </c>
      <c r="L3491" t="s">
        <v>25</v>
      </c>
      <c r="M3491" s="8">
        <v>3.624333333</v>
      </c>
      <c r="N3491" t="s">
        <v>26</v>
      </c>
      <c r="O3491" s="8">
        <v>3.624333333</v>
      </c>
      <c r="P3491" s="8">
        <f>EXP(-1.363+3.366*LOG(O3491,10))</f>
        <v>1.6809546844949765</v>
      </c>
      <c r="Q3491" s="8">
        <f>(3939723*100)/4442581</f>
        <v>88.680949204977921</v>
      </c>
    </row>
    <row r="3492" spans="1:17" x14ac:dyDescent="0.2">
      <c r="A3492">
        <f>YEAR(D3492)</f>
        <v>2019</v>
      </c>
      <c r="B3492" t="s">
        <v>26</v>
      </c>
      <c r="C3492" s="2" t="s">
        <v>3027</v>
      </c>
      <c r="D3492" s="1">
        <v>43650</v>
      </c>
      <c r="E3492">
        <f>MONTH(D3492)</f>
        <v>7</v>
      </c>
      <c r="F3492" s="2" t="s">
        <v>2098</v>
      </c>
      <c r="G3492" t="s">
        <v>352</v>
      </c>
      <c r="H3492" t="s">
        <v>623</v>
      </c>
      <c r="I3492" t="s">
        <v>22</v>
      </c>
      <c r="J3492" s="2" t="s">
        <v>42</v>
      </c>
      <c r="K3492" s="2" t="s">
        <v>3019</v>
      </c>
      <c r="L3492" t="s">
        <v>25</v>
      </c>
      <c r="M3492" s="8">
        <v>1.387</v>
      </c>
      <c r="N3492" t="s">
        <v>26</v>
      </c>
      <c r="O3492" s="8">
        <v>1.387</v>
      </c>
      <c r="P3492" s="8">
        <f>EXP(-1.363+3.366*LOG(O3492,10))</f>
        <v>0.41280884754947733</v>
      </c>
      <c r="Q3492" s="8">
        <f>(3939723*100)/4442581</f>
        <v>88.680949204977921</v>
      </c>
    </row>
    <row r="3493" spans="1:17" x14ac:dyDescent="0.2">
      <c r="A3493">
        <f>YEAR(D3493)</f>
        <v>2019</v>
      </c>
      <c r="B3493" t="s">
        <v>26</v>
      </c>
      <c r="C3493" s="2" t="s">
        <v>3027</v>
      </c>
      <c r="D3493" s="1">
        <v>43650</v>
      </c>
      <c r="E3493">
        <f>MONTH(D3493)</f>
        <v>7</v>
      </c>
      <c r="F3493" s="2" t="s">
        <v>2098</v>
      </c>
      <c r="G3493" t="s">
        <v>352</v>
      </c>
      <c r="H3493" t="s">
        <v>623</v>
      </c>
      <c r="I3493" t="s">
        <v>22</v>
      </c>
      <c r="J3493" s="2" t="s">
        <v>42</v>
      </c>
      <c r="K3493" s="2" t="s">
        <v>3019</v>
      </c>
      <c r="L3493" t="s">
        <v>25</v>
      </c>
      <c r="M3493" s="8">
        <v>1.387</v>
      </c>
      <c r="N3493" t="s">
        <v>26</v>
      </c>
      <c r="O3493" s="8">
        <v>1.387</v>
      </c>
      <c r="P3493" s="8">
        <f>EXP(-1.363+3.366*LOG(O3493,10))</f>
        <v>0.41280884754947733</v>
      </c>
      <c r="Q3493" s="8">
        <f>(3939723*100)/4442581</f>
        <v>88.680949204977921</v>
      </c>
    </row>
    <row r="3494" spans="1:17" x14ac:dyDescent="0.2">
      <c r="A3494">
        <f>YEAR(D3494)</f>
        <v>2019</v>
      </c>
      <c r="B3494" t="s">
        <v>26</v>
      </c>
      <c r="C3494" s="2" t="s">
        <v>3027</v>
      </c>
      <c r="D3494" s="1">
        <v>43650</v>
      </c>
      <c r="E3494">
        <f>MONTH(D3494)</f>
        <v>7</v>
      </c>
      <c r="F3494" s="2" t="s">
        <v>2098</v>
      </c>
      <c r="G3494" t="s">
        <v>352</v>
      </c>
      <c r="H3494" t="s">
        <v>975</v>
      </c>
      <c r="I3494" t="s">
        <v>22</v>
      </c>
      <c r="J3494" s="2" t="s">
        <v>42</v>
      </c>
      <c r="K3494" s="2" t="s">
        <v>3019</v>
      </c>
      <c r="L3494" t="s">
        <v>25</v>
      </c>
      <c r="M3494" s="8">
        <v>1.0693333330000001</v>
      </c>
      <c r="N3494" t="s">
        <v>26</v>
      </c>
      <c r="O3494" s="8">
        <v>1.0693333330000001</v>
      </c>
      <c r="P3494" s="8">
        <f>EXP(-1.363+3.366*LOG(O3494,10))</f>
        <v>0.28223780327142356</v>
      </c>
      <c r="Q3494" s="8">
        <f>(3939723*100)/4442581</f>
        <v>88.680949204977921</v>
      </c>
    </row>
    <row r="3495" spans="1:17" x14ac:dyDescent="0.2">
      <c r="A3495">
        <f>YEAR(D3495)</f>
        <v>2019</v>
      </c>
      <c r="B3495" t="s">
        <v>26</v>
      </c>
      <c r="C3495" s="2" t="s">
        <v>3027</v>
      </c>
      <c r="D3495" s="1">
        <v>43650</v>
      </c>
      <c r="E3495">
        <f>MONTH(D3495)</f>
        <v>7</v>
      </c>
      <c r="F3495" s="2" t="s">
        <v>2098</v>
      </c>
      <c r="G3495" t="s">
        <v>352</v>
      </c>
      <c r="H3495" t="s">
        <v>623</v>
      </c>
      <c r="I3495" t="s">
        <v>22</v>
      </c>
      <c r="J3495" s="2" t="s">
        <v>42</v>
      </c>
      <c r="K3495" s="2" t="s">
        <v>3019</v>
      </c>
      <c r="L3495" t="s">
        <v>25</v>
      </c>
      <c r="M3495" s="8">
        <v>1.387</v>
      </c>
      <c r="N3495" t="s">
        <v>26</v>
      </c>
      <c r="O3495" s="8">
        <v>1.387</v>
      </c>
      <c r="P3495" s="8">
        <f>EXP(-1.363+3.366*LOG(O3495,10))</f>
        <v>0.41280884754947733</v>
      </c>
      <c r="Q3495" s="8">
        <f>(3939723*100)/4442581</f>
        <v>88.680949204977921</v>
      </c>
    </row>
    <row r="3496" spans="1:17" x14ac:dyDescent="0.2">
      <c r="A3496">
        <f>YEAR(D3496)</f>
        <v>2019</v>
      </c>
      <c r="B3496" t="s">
        <v>26</v>
      </c>
      <c r="C3496" s="2" t="s">
        <v>3027</v>
      </c>
      <c r="D3496" s="1">
        <v>43650</v>
      </c>
      <c r="E3496">
        <f>MONTH(D3496)</f>
        <v>7</v>
      </c>
      <c r="F3496" s="2" t="s">
        <v>2098</v>
      </c>
      <c r="G3496" t="s">
        <v>352</v>
      </c>
      <c r="H3496" t="s">
        <v>353</v>
      </c>
      <c r="I3496" t="s">
        <v>22</v>
      </c>
      <c r="J3496" s="2" t="s">
        <v>42</v>
      </c>
      <c r="K3496" s="2" t="s">
        <v>3019</v>
      </c>
      <c r="L3496" t="s">
        <v>25</v>
      </c>
      <c r="M3496" s="8">
        <v>1.1623333330000001</v>
      </c>
      <c r="N3496" t="s">
        <v>26</v>
      </c>
      <c r="O3496" s="8">
        <v>1.1623333330000001</v>
      </c>
      <c r="P3496" s="8">
        <f>EXP(-1.363+3.366*LOG(O3496,10))</f>
        <v>0.31883010989102206</v>
      </c>
      <c r="Q3496" s="8">
        <f>(3939723*100)/4442581</f>
        <v>88.680949204977921</v>
      </c>
    </row>
    <row r="3497" spans="1:17" x14ac:dyDescent="0.2">
      <c r="A3497">
        <f>YEAR(D3497)</f>
        <v>2019</v>
      </c>
      <c r="B3497" t="s">
        <v>26</v>
      </c>
      <c r="C3497" s="2" t="s">
        <v>3027</v>
      </c>
      <c r="D3497" s="1">
        <v>43650</v>
      </c>
      <c r="E3497">
        <f>MONTH(D3497)</f>
        <v>7</v>
      </c>
      <c r="F3497" s="2" t="s">
        <v>2098</v>
      </c>
      <c r="G3497" t="s">
        <v>352</v>
      </c>
      <c r="H3497" t="s">
        <v>623</v>
      </c>
      <c r="I3497" t="s">
        <v>22</v>
      </c>
      <c r="J3497" s="2" t="s">
        <v>42</v>
      </c>
      <c r="K3497" s="2" t="s">
        <v>3019</v>
      </c>
      <c r="L3497" t="s">
        <v>25</v>
      </c>
      <c r="M3497" s="8">
        <v>1.387</v>
      </c>
      <c r="N3497" t="s">
        <v>26</v>
      </c>
      <c r="O3497" s="8">
        <v>1.387</v>
      </c>
      <c r="P3497" s="8">
        <f>EXP(-1.363+3.366*LOG(O3497,10))</f>
        <v>0.41280884754947733</v>
      </c>
      <c r="Q3497" s="8">
        <f>(3939723*100)/4442581</f>
        <v>88.680949204977921</v>
      </c>
    </row>
    <row r="3498" spans="1:17" x14ac:dyDescent="0.2">
      <c r="A3498">
        <f>YEAR(D3498)</f>
        <v>2019</v>
      </c>
      <c r="B3498" t="s">
        <v>26</v>
      </c>
      <c r="C3498" s="2" t="s">
        <v>3027</v>
      </c>
      <c r="D3498" s="1">
        <v>43650</v>
      </c>
      <c r="E3498">
        <f>MONTH(D3498)</f>
        <v>7</v>
      </c>
      <c r="F3498" s="2" t="s">
        <v>2098</v>
      </c>
      <c r="G3498" t="s">
        <v>1520</v>
      </c>
      <c r="H3498" t="s">
        <v>1526</v>
      </c>
      <c r="I3498" t="s">
        <v>22</v>
      </c>
      <c r="J3498" s="2" t="s">
        <v>42</v>
      </c>
      <c r="K3498" s="2" t="s">
        <v>3019</v>
      </c>
      <c r="L3498" t="s">
        <v>25</v>
      </c>
      <c r="M3498" s="8">
        <v>3.4830000000000001</v>
      </c>
      <c r="N3498" t="s">
        <v>26</v>
      </c>
      <c r="O3498" s="8">
        <v>3.4830000000000001</v>
      </c>
      <c r="P3498" s="8">
        <f>EXP(-1.363+3.366*LOG(O3498,10))</f>
        <v>1.5860004310966931</v>
      </c>
      <c r="Q3498" s="8">
        <f>(3939723*100)/4442581</f>
        <v>88.680949204977921</v>
      </c>
    </row>
    <row r="3499" spans="1:17" x14ac:dyDescent="0.2">
      <c r="A3499">
        <f>YEAR(D3499)</f>
        <v>2019</v>
      </c>
      <c r="B3499" t="s">
        <v>26</v>
      </c>
      <c r="C3499" s="2" t="s">
        <v>3027</v>
      </c>
      <c r="D3499" s="1">
        <v>43650</v>
      </c>
      <c r="E3499">
        <f>MONTH(D3499)</f>
        <v>7</v>
      </c>
      <c r="F3499" s="2" t="s">
        <v>2098</v>
      </c>
      <c r="G3499" t="s">
        <v>230</v>
      </c>
      <c r="H3499" t="s">
        <v>268</v>
      </c>
      <c r="I3499" t="s">
        <v>22</v>
      </c>
      <c r="J3499" s="2" t="s">
        <v>42</v>
      </c>
      <c r="K3499" s="2" t="s">
        <v>3019</v>
      </c>
      <c r="L3499" t="s">
        <v>25</v>
      </c>
      <c r="M3499" s="8">
        <v>3.5356666670000001</v>
      </c>
      <c r="N3499" t="s">
        <v>26</v>
      </c>
      <c r="O3499" s="8">
        <v>3.5356666670000001</v>
      </c>
      <c r="P3499" s="8">
        <f>EXP(-1.363+3.366*LOG(O3499,10))</f>
        <v>1.6211802664427075</v>
      </c>
      <c r="Q3499" s="8">
        <f>(3939723*100)/4442581</f>
        <v>88.680949204977921</v>
      </c>
    </row>
    <row r="3500" spans="1:17" x14ac:dyDescent="0.2">
      <c r="A3500">
        <f>YEAR(D3500)</f>
        <v>2019</v>
      </c>
      <c r="B3500" t="s">
        <v>26</v>
      </c>
      <c r="C3500" s="2" t="s">
        <v>3027</v>
      </c>
      <c r="D3500" s="1">
        <v>43650</v>
      </c>
      <c r="E3500">
        <f>MONTH(D3500)</f>
        <v>7</v>
      </c>
      <c r="F3500" s="2" t="s">
        <v>2098</v>
      </c>
      <c r="G3500" t="s">
        <v>230</v>
      </c>
      <c r="H3500" t="s">
        <v>235</v>
      </c>
      <c r="I3500" t="s">
        <v>36</v>
      </c>
      <c r="J3500" s="2" t="s">
        <v>42</v>
      </c>
      <c r="K3500" s="2" t="s">
        <v>3019</v>
      </c>
      <c r="L3500" t="s">
        <v>25</v>
      </c>
      <c r="M3500" s="8">
        <v>3.6166666666666667</v>
      </c>
      <c r="N3500" t="s">
        <v>26</v>
      </c>
      <c r="O3500" s="8">
        <v>3.6166666666666667</v>
      </c>
      <c r="P3500" s="8">
        <f>EXP(-1.363+3.366*LOG(O3500,10))</f>
        <v>1.6757592653929465</v>
      </c>
      <c r="Q3500" s="8">
        <f>(3939723*100)/4442581</f>
        <v>88.680949204977921</v>
      </c>
    </row>
    <row r="3501" spans="1:17" x14ac:dyDescent="0.2">
      <c r="A3501">
        <f>YEAR(D3501)</f>
        <v>2019</v>
      </c>
      <c r="B3501" t="s">
        <v>26</v>
      </c>
      <c r="C3501" s="2" t="s">
        <v>3027</v>
      </c>
      <c r="D3501" s="1">
        <v>43650</v>
      </c>
      <c r="E3501">
        <f>MONTH(D3501)</f>
        <v>7</v>
      </c>
      <c r="F3501" s="2" t="s">
        <v>2098</v>
      </c>
      <c r="G3501" t="s">
        <v>2206</v>
      </c>
      <c r="H3501" t="s">
        <v>2263</v>
      </c>
      <c r="I3501" t="s">
        <v>36</v>
      </c>
      <c r="J3501" s="2" t="s">
        <v>42</v>
      </c>
      <c r="K3501" s="2" t="s">
        <v>3019</v>
      </c>
      <c r="L3501" t="s">
        <v>25</v>
      </c>
      <c r="M3501" s="8">
        <v>4.1670000000000007</v>
      </c>
      <c r="N3501" t="s">
        <v>26</v>
      </c>
      <c r="O3501" s="8">
        <v>4.1670000000000007</v>
      </c>
      <c r="P3501" s="8">
        <f>EXP(-1.363+3.366*LOG(O3501,10))</f>
        <v>2.0612774305709816</v>
      </c>
      <c r="Q3501" s="8">
        <f>(3939723*100)/4442581</f>
        <v>88.680949204977921</v>
      </c>
    </row>
    <row r="3502" spans="1:17" x14ac:dyDescent="0.2">
      <c r="A3502">
        <f>YEAR(D3502)</f>
        <v>2019</v>
      </c>
      <c r="B3502" t="s">
        <v>26</v>
      </c>
      <c r="C3502" s="2" t="s">
        <v>3018</v>
      </c>
      <c r="D3502" s="1">
        <v>43650</v>
      </c>
      <c r="E3502">
        <f>MONTH(D3502)</f>
        <v>7</v>
      </c>
      <c r="F3502" s="2" t="s">
        <v>2098</v>
      </c>
      <c r="G3502" t="s">
        <v>230</v>
      </c>
      <c r="H3502" t="s">
        <v>268</v>
      </c>
      <c r="I3502" t="s">
        <v>22</v>
      </c>
      <c r="J3502" s="2" t="s">
        <v>42</v>
      </c>
      <c r="K3502" s="2" t="s">
        <v>3019</v>
      </c>
      <c r="L3502" t="s">
        <v>25</v>
      </c>
      <c r="M3502" s="8">
        <v>3.5356666670000001</v>
      </c>
      <c r="N3502" t="s">
        <v>26</v>
      </c>
      <c r="O3502" s="8">
        <v>3.5356666670000001</v>
      </c>
      <c r="P3502" s="8">
        <f>EXP(-1.363+3.366*LOG(O3502,10))</f>
        <v>1.6211802664427075</v>
      </c>
      <c r="Q3502" s="8">
        <f>(5996898*100)/6073515</f>
        <v>98.738506449724753</v>
      </c>
    </row>
    <row r="3503" spans="1:17" x14ac:dyDescent="0.2">
      <c r="A3503">
        <f>YEAR(D3503)</f>
        <v>2019</v>
      </c>
      <c r="B3503" t="s">
        <v>26</v>
      </c>
      <c r="C3503" s="2" t="s">
        <v>3018</v>
      </c>
      <c r="D3503" s="1">
        <v>43650</v>
      </c>
      <c r="E3503">
        <f>MONTH(D3503)</f>
        <v>7</v>
      </c>
      <c r="F3503" s="2" t="s">
        <v>2098</v>
      </c>
      <c r="G3503" t="s">
        <v>230</v>
      </c>
      <c r="H3503" t="s">
        <v>268</v>
      </c>
      <c r="I3503" t="s">
        <v>22</v>
      </c>
      <c r="J3503" s="2" t="s">
        <v>42</v>
      </c>
      <c r="K3503" s="2" t="s">
        <v>3019</v>
      </c>
      <c r="L3503" t="s">
        <v>25</v>
      </c>
      <c r="M3503" s="8">
        <v>3.5356666670000001</v>
      </c>
      <c r="N3503" t="s">
        <v>26</v>
      </c>
      <c r="O3503" s="8">
        <v>3.5356666670000001</v>
      </c>
      <c r="P3503" s="8">
        <f>EXP(-1.363+3.366*LOG(O3503,10))</f>
        <v>1.6211802664427075</v>
      </c>
      <c r="Q3503" s="8">
        <f>(5996898*100)/6073515</f>
        <v>98.738506449724753</v>
      </c>
    </row>
    <row r="3504" spans="1:17" x14ac:dyDescent="0.2">
      <c r="A3504">
        <f>YEAR(D3504)</f>
        <v>2019</v>
      </c>
      <c r="B3504" t="s">
        <v>26</v>
      </c>
      <c r="C3504" s="2" t="s">
        <v>3018</v>
      </c>
      <c r="D3504" s="1">
        <v>43650</v>
      </c>
      <c r="E3504">
        <f>MONTH(D3504)</f>
        <v>7</v>
      </c>
      <c r="F3504" s="2" t="s">
        <v>2098</v>
      </c>
      <c r="G3504" t="s">
        <v>2206</v>
      </c>
      <c r="H3504" t="s">
        <v>2263</v>
      </c>
      <c r="I3504" t="s">
        <v>22</v>
      </c>
      <c r="J3504" s="2" t="s">
        <v>42</v>
      </c>
      <c r="K3504" s="2" t="s">
        <v>3019</v>
      </c>
      <c r="L3504" t="s">
        <v>25</v>
      </c>
      <c r="M3504" s="8">
        <v>3.7376666670000001</v>
      </c>
      <c r="N3504" t="s">
        <v>26</v>
      </c>
      <c r="O3504" s="8">
        <v>3.7376666670000001</v>
      </c>
      <c r="P3504" s="8">
        <f>EXP(-1.363+3.366*LOG(O3504,10))</f>
        <v>1.7583458516827115</v>
      </c>
      <c r="Q3504" s="8">
        <f>(5996898*100)/6073515</f>
        <v>98.738506449724753</v>
      </c>
    </row>
    <row r="3505" spans="1:17" x14ac:dyDescent="0.2">
      <c r="A3505">
        <f>YEAR(D3505)</f>
        <v>2019</v>
      </c>
      <c r="B3505" t="s">
        <v>26</v>
      </c>
      <c r="C3505" s="2" t="s">
        <v>3018</v>
      </c>
      <c r="D3505" s="1">
        <v>43650</v>
      </c>
      <c r="E3505">
        <f>MONTH(D3505)</f>
        <v>7</v>
      </c>
      <c r="F3505" s="2" t="s">
        <v>2098</v>
      </c>
      <c r="G3505" t="s">
        <v>230</v>
      </c>
      <c r="H3505" t="s">
        <v>268</v>
      </c>
      <c r="I3505" t="s">
        <v>22</v>
      </c>
      <c r="J3505" s="2" t="s">
        <v>42</v>
      </c>
      <c r="K3505" s="2" t="s">
        <v>3019</v>
      </c>
      <c r="L3505" t="s">
        <v>25</v>
      </c>
      <c r="M3505" s="8">
        <v>3.5356666670000001</v>
      </c>
      <c r="N3505" t="s">
        <v>26</v>
      </c>
      <c r="O3505" s="8">
        <v>3.5356666670000001</v>
      </c>
      <c r="P3505" s="8">
        <f>EXP(-1.363+3.366*LOG(O3505,10))</f>
        <v>1.6211802664427075</v>
      </c>
      <c r="Q3505" s="8">
        <f>(5996898*100)/6073515</f>
        <v>98.738506449724753</v>
      </c>
    </row>
    <row r="3506" spans="1:17" x14ac:dyDescent="0.2">
      <c r="A3506">
        <f>YEAR(D3506)</f>
        <v>2019</v>
      </c>
      <c r="B3506" t="s">
        <v>26</v>
      </c>
      <c r="C3506" s="2" t="s">
        <v>3018</v>
      </c>
      <c r="D3506" s="1">
        <v>43650</v>
      </c>
      <c r="E3506">
        <f>MONTH(D3506)</f>
        <v>7</v>
      </c>
      <c r="F3506" s="2" t="s">
        <v>2098</v>
      </c>
      <c r="G3506" t="s">
        <v>230</v>
      </c>
      <c r="H3506" t="s">
        <v>268</v>
      </c>
      <c r="I3506" t="s">
        <v>22</v>
      </c>
      <c r="J3506" s="2" t="s">
        <v>42</v>
      </c>
      <c r="K3506" s="2" t="s">
        <v>3019</v>
      </c>
      <c r="L3506" t="s">
        <v>25</v>
      </c>
      <c r="M3506" s="8">
        <v>3.5356666670000001</v>
      </c>
      <c r="N3506" t="s">
        <v>26</v>
      </c>
      <c r="O3506" s="8">
        <v>3.5356666670000001</v>
      </c>
      <c r="P3506" s="8">
        <f>EXP(-1.363+3.366*LOG(O3506,10))</f>
        <v>1.6211802664427075</v>
      </c>
      <c r="Q3506" s="8">
        <f>(5996898*100)/6073515</f>
        <v>98.738506449724753</v>
      </c>
    </row>
    <row r="3507" spans="1:17" x14ac:dyDescent="0.2">
      <c r="A3507">
        <f>YEAR(D3507)</f>
        <v>2019</v>
      </c>
      <c r="B3507" t="s">
        <v>26</v>
      </c>
      <c r="C3507" s="2" t="s">
        <v>3018</v>
      </c>
      <c r="D3507" s="1">
        <v>43650</v>
      </c>
      <c r="E3507">
        <f>MONTH(D3507)</f>
        <v>7</v>
      </c>
      <c r="F3507" s="2" t="s">
        <v>2098</v>
      </c>
      <c r="G3507" t="s">
        <v>230</v>
      </c>
      <c r="H3507" t="s">
        <v>268</v>
      </c>
      <c r="I3507" t="s">
        <v>22</v>
      </c>
      <c r="J3507" s="2" t="s">
        <v>42</v>
      </c>
      <c r="K3507" s="2" t="s">
        <v>3019</v>
      </c>
      <c r="L3507" t="s">
        <v>25</v>
      </c>
      <c r="M3507" s="8">
        <v>3.5356666670000001</v>
      </c>
      <c r="N3507" t="s">
        <v>26</v>
      </c>
      <c r="O3507" s="8">
        <v>3.5356666670000001</v>
      </c>
      <c r="P3507" s="8">
        <f>EXP(-1.363+3.366*LOG(O3507,10))</f>
        <v>1.6211802664427075</v>
      </c>
      <c r="Q3507" s="8">
        <f>(5996898*100)/6073515</f>
        <v>98.738506449724753</v>
      </c>
    </row>
    <row r="3508" spans="1:17" x14ac:dyDescent="0.2">
      <c r="A3508">
        <f>YEAR(D3508)</f>
        <v>2019</v>
      </c>
      <c r="B3508" t="s">
        <v>26</v>
      </c>
      <c r="C3508" s="2" t="s">
        <v>3018</v>
      </c>
      <c r="D3508" s="1">
        <v>43650</v>
      </c>
      <c r="E3508">
        <f>MONTH(D3508)</f>
        <v>7</v>
      </c>
      <c r="F3508" s="2" t="s">
        <v>2098</v>
      </c>
      <c r="G3508" t="s">
        <v>230</v>
      </c>
      <c r="H3508" t="s">
        <v>268</v>
      </c>
      <c r="I3508" t="s">
        <v>22</v>
      </c>
      <c r="J3508" s="2" t="s">
        <v>42</v>
      </c>
      <c r="K3508" s="2" t="s">
        <v>3019</v>
      </c>
      <c r="L3508" t="s">
        <v>25</v>
      </c>
      <c r="M3508" s="8">
        <v>3.5356666670000001</v>
      </c>
      <c r="N3508" t="s">
        <v>26</v>
      </c>
      <c r="O3508" s="8">
        <v>3.5356666670000001</v>
      </c>
      <c r="P3508" s="8">
        <f>EXP(-1.363+3.366*LOG(O3508,10))</f>
        <v>1.6211802664427075</v>
      </c>
      <c r="Q3508" s="8">
        <f>(5996898*100)/6073515</f>
        <v>98.738506449724753</v>
      </c>
    </row>
    <row r="3509" spans="1:17" x14ac:dyDescent="0.2">
      <c r="A3509">
        <f>YEAR(D3509)</f>
        <v>2019</v>
      </c>
      <c r="B3509" t="s">
        <v>26</v>
      </c>
      <c r="C3509" s="2" t="s">
        <v>3018</v>
      </c>
      <c r="D3509" s="1">
        <v>43650</v>
      </c>
      <c r="E3509">
        <f>MONTH(D3509)</f>
        <v>7</v>
      </c>
      <c r="F3509" s="2" t="s">
        <v>2098</v>
      </c>
      <c r="G3509" t="s">
        <v>230</v>
      </c>
      <c r="H3509" t="s">
        <v>268</v>
      </c>
      <c r="I3509" t="s">
        <v>22</v>
      </c>
      <c r="J3509" s="2" t="s">
        <v>42</v>
      </c>
      <c r="K3509" s="2" t="s">
        <v>3019</v>
      </c>
      <c r="L3509" t="s">
        <v>25</v>
      </c>
      <c r="M3509" s="8">
        <v>3.5356666670000001</v>
      </c>
      <c r="N3509" t="s">
        <v>26</v>
      </c>
      <c r="O3509" s="8">
        <v>3.5356666670000001</v>
      </c>
      <c r="P3509" s="8">
        <f>EXP(-1.363+3.366*LOG(O3509,10))</f>
        <v>1.6211802664427075</v>
      </c>
      <c r="Q3509" s="8">
        <f>(5996898*100)/6073515</f>
        <v>98.738506449724753</v>
      </c>
    </row>
    <row r="3510" spans="1:17" x14ac:dyDescent="0.2">
      <c r="A3510">
        <f>YEAR(D3510)</f>
        <v>2019</v>
      </c>
      <c r="B3510" t="s">
        <v>26</v>
      </c>
      <c r="C3510" s="2" t="s">
        <v>3018</v>
      </c>
      <c r="D3510" s="1">
        <v>43650</v>
      </c>
      <c r="E3510">
        <f>MONTH(D3510)</f>
        <v>7</v>
      </c>
      <c r="F3510" s="2" t="s">
        <v>2098</v>
      </c>
      <c r="G3510" t="s">
        <v>219</v>
      </c>
      <c r="H3510" t="s">
        <v>220</v>
      </c>
      <c r="I3510" t="s">
        <v>22</v>
      </c>
      <c r="J3510" s="2" t="s">
        <v>42</v>
      </c>
      <c r="K3510" s="2" t="s">
        <v>3019</v>
      </c>
      <c r="L3510" t="s">
        <v>25</v>
      </c>
      <c r="M3510" s="10" t="s">
        <v>26</v>
      </c>
      <c r="N3510" t="s">
        <v>26</v>
      </c>
      <c r="O3510" s="10" t="s">
        <v>26</v>
      </c>
      <c r="P3510" s="8" t="s">
        <v>26</v>
      </c>
      <c r="Q3510" s="8">
        <f>(5996898*100)/6073515</f>
        <v>98.738506449724753</v>
      </c>
    </row>
    <row r="3511" spans="1:17" x14ac:dyDescent="0.2">
      <c r="A3511">
        <f>YEAR(D3511)</f>
        <v>2019</v>
      </c>
      <c r="B3511" t="s">
        <v>26</v>
      </c>
      <c r="C3511" s="2" t="s">
        <v>3018</v>
      </c>
      <c r="D3511" s="1">
        <v>43650</v>
      </c>
      <c r="E3511">
        <f>MONTH(D3511)</f>
        <v>7</v>
      </c>
      <c r="F3511" s="2" t="s">
        <v>2098</v>
      </c>
      <c r="G3511" t="s">
        <v>219</v>
      </c>
      <c r="H3511" t="s">
        <v>220</v>
      </c>
      <c r="I3511" t="s">
        <v>22</v>
      </c>
      <c r="J3511" s="2" t="s">
        <v>42</v>
      </c>
      <c r="K3511" s="2" t="s">
        <v>3019</v>
      </c>
      <c r="L3511" t="s">
        <v>25</v>
      </c>
      <c r="M3511" s="10" t="s">
        <v>26</v>
      </c>
      <c r="N3511" t="s">
        <v>26</v>
      </c>
      <c r="O3511" s="10" t="s">
        <v>26</v>
      </c>
      <c r="P3511" s="8" t="s">
        <v>26</v>
      </c>
      <c r="Q3511" s="8">
        <f>(5996898*100)/6073515</f>
        <v>98.738506449724753</v>
      </c>
    </row>
    <row r="3512" spans="1:17" x14ac:dyDescent="0.2">
      <c r="A3512">
        <f>YEAR(D3512)</f>
        <v>2019</v>
      </c>
      <c r="B3512" t="s">
        <v>26</v>
      </c>
      <c r="C3512" s="2" t="s">
        <v>3018</v>
      </c>
      <c r="D3512" s="1">
        <v>43650</v>
      </c>
      <c r="E3512">
        <f>MONTH(D3512)</f>
        <v>7</v>
      </c>
      <c r="F3512" s="2" t="s">
        <v>2098</v>
      </c>
      <c r="G3512" t="s">
        <v>219</v>
      </c>
      <c r="H3512" t="s">
        <v>220</v>
      </c>
      <c r="I3512" t="s">
        <v>22</v>
      </c>
      <c r="J3512" s="2" t="s">
        <v>42</v>
      </c>
      <c r="K3512" s="2" t="s">
        <v>3019</v>
      </c>
      <c r="L3512" t="s">
        <v>25</v>
      </c>
      <c r="M3512" s="10" t="s">
        <v>26</v>
      </c>
      <c r="N3512" t="s">
        <v>26</v>
      </c>
      <c r="O3512" s="10" t="s">
        <v>26</v>
      </c>
      <c r="P3512" s="8" t="s">
        <v>26</v>
      </c>
      <c r="Q3512" s="8">
        <f>(5996898*100)/6073515</f>
        <v>98.738506449724753</v>
      </c>
    </row>
    <row r="3513" spans="1:17" x14ac:dyDescent="0.2">
      <c r="A3513">
        <f>YEAR(D3513)</f>
        <v>2019</v>
      </c>
      <c r="B3513" t="s">
        <v>26</v>
      </c>
      <c r="C3513" s="2" t="s">
        <v>3018</v>
      </c>
      <c r="D3513" s="1">
        <v>43650</v>
      </c>
      <c r="E3513">
        <f>MONTH(D3513)</f>
        <v>7</v>
      </c>
      <c r="F3513" s="2" t="s">
        <v>2098</v>
      </c>
      <c r="G3513" t="s">
        <v>219</v>
      </c>
      <c r="H3513" t="s">
        <v>220</v>
      </c>
      <c r="I3513" t="s">
        <v>22</v>
      </c>
      <c r="J3513" s="2" t="s">
        <v>42</v>
      </c>
      <c r="K3513" s="2" t="s">
        <v>3019</v>
      </c>
      <c r="L3513" t="s">
        <v>25</v>
      </c>
      <c r="M3513" s="10" t="s">
        <v>26</v>
      </c>
      <c r="N3513" t="s">
        <v>26</v>
      </c>
      <c r="O3513" s="10" t="s">
        <v>26</v>
      </c>
      <c r="P3513" s="8" t="s">
        <v>26</v>
      </c>
      <c r="Q3513" s="8">
        <f>(5996898*100)/6073515</f>
        <v>98.738506449724753</v>
      </c>
    </row>
    <row r="3514" spans="1:17" x14ac:dyDescent="0.2">
      <c r="A3514">
        <f>YEAR(D3514)</f>
        <v>2019</v>
      </c>
      <c r="B3514" t="s">
        <v>26</v>
      </c>
      <c r="C3514" s="2" t="s">
        <v>3018</v>
      </c>
      <c r="D3514" s="1">
        <v>43650</v>
      </c>
      <c r="E3514">
        <f>MONTH(D3514)</f>
        <v>7</v>
      </c>
      <c r="F3514" s="2" t="s">
        <v>2098</v>
      </c>
      <c r="G3514" t="s">
        <v>219</v>
      </c>
      <c r="H3514" t="s">
        <v>220</v>
      </c>
      <c r="I3514" t="s">
        <v>22</v>
      </c>
      <c r="J3514" s="2" t="s">
        <v>42</v>
      </c>
      <c r="K3514" s="2" t="s">
        <v>3019</v>
      </c>
      <c r="L3514" t="s">
        <v>25</v>
      </c>
      <c r="M3514" s="10" t="s">
        <v>26</v>
      </c>
      <c r="N3514" t="s">
        <v>26</v>
      </c>
      <c r="O3514" s="10" t="s">
        <v>26</v>
      </c>
      <c r="P3514" s="8" t="s">
        <v>26</v>
      </c>
      <c r="Q3514" s="8">
        <f>(5996898*100)/6073515</f>
        <v>98.738506449724753</v>
      </c>
    </row>
    <row r="3515" spans="1:17" x14ac:dyDescent="0.2">
      <c r="A3515">
        <f>YEAR(D3515)</f>
        <v>2019</v>
      </c>
      <c r="B3515" t="s">
        <v>26</v>
      </c>
      <c r="C3515" s="2" t="s">
        <v>3018</v>
      </c>
      <c r="D3515" s="1">
        <v>43650</v>
      </c>
      <c r="E3515">
        <f>MONTH(D3515)</f>
        <v>7</v>
      </c>
      <c r="F3515" s="2" t="s">
        <v>2098</v>
      </c>
      <c r="G3515" t="s">
        <v>219</v>
      </c>
      <c r="H3515" t="s">
        <v>220</v>
      </c>
      <c r="I3515" t="s">
        <v>22</v>
      </c>
      <c r="J3515" s="2" t="s">
        <v>42</v>
      </c>
      <c r="K3515" s="2" t="s">
        <v>3019</v>
      </c>
      <c r="L3515" t="s">
        <v>25</v>
      </c>
      <c r="M3515" s="10" t="s">
        <v>26</v>
      </c>
      <c r="N3515" t="s">
        <v>26</v>
      </c>
      <c r="O3515" s="10" t="s">
        <v>26</v>
      </c>
      <c r="P3515" s="8" t="s">
        <v>26</v>
      </c>
      <c r="Q3515" s="8">
        <f>(5996898*100)/6073515</f>
        <v>98.738506449724753</v>
      </c>
    </row>
    <row r="3516" spans="1:17" x14ac:dyDescent="0.2">
      <c r="A3516">
        <f>YEAR(D3516)</f>
        <v>2019</v>
      </c>
      <c r="B3516" t="s">
        <v>26</v>
      </c>
      <c r="C3516" s="2" t="s">
        <v>3018</v>
      </c>
      <c r="D3516" s="1">
        <v>43650</v>
      </c>
      <c r="E3516">
        <f>MONTH(D3516)</f>
        <v>7</v>
      </c>
      <c r="F3516" s="2" t="s">
        <v>2098</v>
      </c>
      <c r="G3516" t="s">
        <v>219</v>
      </c>
      <c r="H3516" t="s">
        <v>220</v>
      </c>
      <c r="I3516" t="s">
        <v>22</v>
      </c>
      <c r="J3516" s="2" t="s">
        <v>42</v>
      </c>
      <c r="K3516" s="2" t="s">
        <v>3019</v>
      </c>
      <c r="L3516" t="s">
        <v>25</v>
      </c>
      <c r="M3516" s="10" t="s">
        <v>26</v>
      </c>
      <c r="N3516" t="s">
        <v>26</v>
      </c>
      <c r="O3516" s="10" t="s">
        <v>26</v>
      </c>
      <c r="P3516" s="8" t="s">
        <v>26</v>
      </c>
      <c r="Q3516" s="8">
        <f>(5996898*100)/6073515</f>
        <v>98.738506449724753</v>
      </c>
    </row>
    <row r="3517" spans="1:17" x14ac:dyDescent="0.2">
      <c r="A3517">
        <f>YEAR(D3517)</f>
        <v>2019</v>
      </c>
      <c r="B3517" t="s">
        <v>26</v>
      </c>
      <c r="C3517" s="2" t="s">
        <v>3018</v>
      </c>
      <c r="D3517" s="1">
        <v>43650</v>
      </c>
      <c r="E3517">
        <f>MONTH(D3517)</f>
        <v>7</v>
      </c>
      <c r="F3517" s="2" t="s">
        <v>2098</v>
      </c>
      <c r="G3517" t="s">
        <v>219</v>
      </c>
      <c r="H3517" t="s">
        <v>220</v>
      </c>
      <c r="I3517" t="s">
        <v>22</v>
      </c>
      <c r="J3517" s="2" t="s">
        <v>42</v>
      </c>
      <c r="K3517" s="2" t="s">
        <v>3019</v>
      </c>
      <c r="L3517" t="s">
        <v>25</v>
      </c>
      <c r="M3517" s="10" t="s">
        <v>26</v>
      </c>
      <c r="N3517" t="s">
        <v>26</v>
      </c>
      <c r="O3517" s="10" t="s">
        <v>26</v>
      </c>
      <c r="P3517" s="8" t="s">
        <v>26</v>
      </c>
      <c r="Q3517" s="8">
        <f>(5996898*100)/6073515</f>
        <v>98.738506449724753</v>
      </c>
    </row>
    <row r="3518" spans="1:17" x14ac:dyDescent="0.2">
      <c r="A3518">
        <f>YEAR(D3518)</f>
        <v>2019</v>
      </c>
      <c r="B3518" t="s">
        <v>26</v>
      </c>
      <c r="C3518" s="2" t="s">
        <v>3018</v>
      </c>
      <c r="D3518" s="1">
        <v>43650</v>
      </c>
      <c r="E3518">
        <f>MONTH(D3518)</f>
        <v>7</v>
      </c>
      <c r="F3518" s="2" t="s">
        <v>2098</v>
      </c>
      <c r="G3518" t="s">
        <v>219</v>
      </c>
      <c r="H3518" t="s">
        <v>220</v>
      </c>
      <c r="I3518" t="s">
        <v>22</v>
      </c>
      <c r="J3518" s="2" t="s">
        <v>42</v>
      </c>
      <c r="K3518" s="2" t="s">
        <v>3019</v>
      </c>
      <c r="L3518" t="s">
        <v>25</v>
      </c>
      <c r="M3518" s="10" t="s">
        <v>26</v>
      </c>
      <c r="N3518" t="s">
        <v>26</v>
      </c>
      <c r="O3518" s="10" t="s">
        <v>26</v>
      </c>
      <c r="P3518" s="8" t="s">
        <v>26</v>
      </c>
      <c r="Q3518" s="8">
        <f>(5996898*100)/6073515</f>
        <v>98.738506449724753</v>
      </c>
    </row>
    <row r="3519" spans="1:17" x14ac:dyDescent="0.2">
      <c r="A3519">
        <f>YEAR(D3519)</f>
        <v>2019</v>
      </c>
      <c r="B3519" t="s">
        <v>26</v>
      </c>
      <c r="C3519" s="2" t="s">
        <v>3018</v>
      </c>
      <c r="D3519" s="1">
        <v>43650</v>
      </c>
      <c r="E3519">
        <f>MONTH(D3519)</f>
        <v>7</v>
      </c>
      <c r="F3519" s="2" t="s">
        <v>2098</v>
      </c>
      <c r="G3519" t="s">
        <v>219</v>
      </c>
      <c r="H3519" t="s">
        <v>220</v>
      </c>
      <c r="I3519" t="s">
        <v>22</v>
      </c>
      <c r="J3519" s="2" t="s">
        <v>42</v>
      </c>
      <c r="K3519" s="2" t="s">
        <v>3019</v>
      </c>
      <c r="L3519" t="s">
        <v>25</v>
      </c>
      <c r="M3519" s="10" t="s">
        <v>26</v>
      </c>
      <c r="N3519" t="s">
        <v>26</v>
      </c>
      <c r="O3519" s="10" t="s">
        <v>26</v>
      </c>
      <c r="P3519" s="8" t="s">
        <v>26</v>
      </c>
      <c r="Q3519" s="8">
        <f>(5996898*100)/6073515</f>
        <v>98.738506449724753</v>
      </c>
    </row>
    <row r="3520" spans="1:17" x14ac:dyDescent="0.2">
      <c r="A3520">
        <f>YEAR(D3520)</f>
        <v>2019</v>
      </c>
      <c r="B3520" t="s">
        <v>26</v>
      </c>
      <c r="C3520" s="2" t="s">
        <v>3018</v>
      </c>
      <c r="D3520" s="1">
        <v>43650</v>
      </c>
      <c r="E3520">
        <f>MONTH(D3520)</f>
        <v>7</v>
      </c>
      <c r="F3520" s="2" t="s">
        <v>2098</v>
      </c>
      <c r="G3520" t="s">
        <v>219</v>
      </c>
      <c r="H3520" t="s">
        <v>220</v>
      </c>
      <c r="I3520" t="s">
        <v>22</v>
      </c>
      <c r="J3520" s="2" t="s">
        <v>42</v>
      </c>
      <c r="K3520" s="2" t="s">
        <v>3019</v>
      </c>
      <c r="L3520" t="s">
        <v>25</v>
      </c>
      <c r="M3520" s="10" t="s">
        <v>26</v>
      </c>
      <c r="N3520" t="s">
        <v>26</v>
      </c>
      <c r="O3520" s="10" t="s">
        <v>26</v>
      </c>
      <c r="P3520" s="8" t="s">
        <v>26</v>
      </c>
      <c r="Q3520" s="8">
        <f>(5996898*100)/6073515</f>
        <v>98.738506449724753</v>
      </c>
    </row>
    <row r="3521" spans="1:17" x14ac:dyDescent="0.2">
      <c r="A3521">
        <f>YEAR(D3521)</f>
        <v>2019</v>
      </c>
      <c r="B3521" t="s">
        <v>26</v>
      </c>
      <c r="C3521" s="2" t="s">
        <v>3018</v>
      </c>
      <c r="D3521" s="1">
        <v>43650</v>
      </c>
      <c r="E3521">
        <f>MONTH(D3521)</f>
        <v>7</v>
      </c>
      <c r="F3521" s="2" t="s">
        <v>2098</v>
      </c>
      <c r="G3521" t="s">
        <v>219</v>
      </c>
      <c r="H3521" t="s">
        <v>220</v>
      </c>
      <c r="I3521" t="s">
        <v>22</v>
      </c>
      <c r="J3521" s="2" t="s">
        <v>42</v>
      </c>
      <c r="K3521" s="2" t="s">
        <v>3019</v>
      </c>
      <c r="L3521" t="s">
        <v>25</v>
      </c>
      <c r="M3521" s="10" t="s">
        <v>26</v>
      </c>
      <c r="N3521" t="s">
        <v>26</v>
      </c>
      <c r="O3521" s="10" t="s">
        <v>26</v>
      </c>
      <c r="P3521" s="8" t="s">
        <v>26</v>
      </c>
      <c r="Q3521" s="8">
        <f>(5996898*100)/6073515</f>
        <v>98.738506449724753</v>
      </c>
    </row>
    <row r="3522" spans="1:17" x14ac:dyDescent="0.2">
      <c r="A3522">
        <f>YEAR(D3522)</f>
        <v>2019</v>
      </c>
      <c r="B3522" t="s">
        <v>26</v>
      </c>
      <c r="C3522" s="2" t="s">
        <v>3018</v>
      </c>
      <c r="D3522" s="1">
        <v>43650</v>
      </c>
      <c r="E3522">
        <f>MONTH(D3522)</f>
        <v>7</v>
      </c>
      <c r="F3522" s="2" t="s">
        <v>2098</v>
      </c>
      <c r="G3522" t="s">
        <v>1520</v>
      </c>
      <c r="H3522" t="s">
        <v>1521</v>
      </c>
      <c r="I3522" t="s">
        <v>36</v>
      </c>
      <c r="J3522" s="2" t="s">
        <v>42</v>
      </c>
      <c r="K3522" s="2" t="s">
        <v>3019</v>
      </c>
      <c r="L3522" t="s">
        <v>25</v>
      </c>
      <c r="M3522" s="8">
        <v>2.3340000000000001</v>
      </c>
      <c r="N3522" t="s">
        <v>26</v>
      </c>
      <c r="O3522" s="8">
        <v>2.3340000000000001</v>
      </c>
      <c r="P3522" s="8">
        <f>EXP(-1.363+3.366*LOG(O3522,10))</f>
        <v>0.88340410488080767</v>
      </c>
      <c r="Q3522" s="8">
        <f>(5996898*100)/6073515</f>
        <v>98.738506449724753</v>
      </c>
    </row>
    <row r="3523" spans="1:17" x14ac:dyDescent="0.2">
      <c r="A3523">
        <f>YEAR(D3523)</f>
        <v>2019</v>
      </c>
      <c r="B3523" t="s">
        <v>26</v>
      </c>
      <c r="C3523" s="2" t="s">
        <v>3018</v>
      </c>
      <c r="D3523" s="1">
        <v>43650</v>
      </c>
      <c r="E3523">
        <f>MONTH(D3523)</f>
        <v>7</v>
      </c>
      <c r="F3523" s="2" t="s">
        <v>2098</v>
      </c>
      <c r="G3523" t="s">
        <v>2206</v>
      </c>
      <c r="H3523" t="s">
        <v>2263</v>
      </c>
      <c r="I3523" t="s">
        <v>22</v>
      </c>
      <c r="J3523" s="2" t="s">
        <v>42</v>
      </c>
      <c r="K3523" s="2" t="s">
        <v>3019</v>
      </c>
      <c r="L3523" t="s">
        <v>25</v>
      </c>
      <c r="M3523" s="8">
        <v>3.7376666670000001</v>
      </c>
      <c r="N3523" t="s">
        <v>26</v>
      </c>
      <c r="O3523" s="8">
        <v>3.7376666670000001</v>
      </c>
      <c r="P3523" s="8">
        <f>EXP(-1.363+3.366*LOG(O3523,10))</f>
        <v>1.7583458516827115</v>
      </c>
      <c r="Q3523" s="8">
        <f>(5996898*100)/6073515</f>
        <v>98.738506449724753</v>
      </c>
    </row>
    <row r="3524" spans="1:17" x14ac:dyDescent="0.2">
      <c r="A3524">
        <f>YEAR(D3524)</f>
        <v>2019</v>
      </c>
      <c r="B3524" t="s">
        <v>26</v>
      </c>
      <c r="C3524" s="2" t="s">
        <v>3018</v>
      </c>
      <c r="D3524" s="1">
        <v>43650</v>
      </c>
      <c r="E3524">
        <f>MONTH(D3524)</f>
        <v>7</v>
      </c>
      <c r="F3524" s="2" t="s">
        <v>2098</v>
      </c>
      <c r="G3524" t="s">
        <v>219</v>
      </c>
      <c r="H3524" t="s">
        <v>220</v>
      </c>
      <c r="I3524" t="s">
        <v>22</v>
      </c>
      <c r="J3524" s="2" t="s">
        <v>42</v>
      </c>
      <c r="K3524" s="2" t="s">
        <v>3019</v>
      </c>
      <c r="L3524" t="s">
        <v>25</v>
      </c>
      <c r="M3524" s="10" t="s">
        <v>26</v>
      </c>
      <c r="N3524" t="s">
        <v>26</v>
      </c>
      <c r="O3524" s="10" t="s">
        <v>26</v>
      </c>
      <c r="P3524" s="8" t="s">
        <v>26</v>
      </c>
      <c r="Q3524" s="8">
        <f>(5996898*100)/6073515</f>
        <v>98.738506449724753</v>
      </c>
    </row>
    <row r="3525" spans="1:17" x14ac:dyDescent="0.2">
      <c r="A3525">
        <f>YEAR(D3525)</f>
        <v>2019</v>
      </c>
      <c r="B3525" t="s">
        <v>26</v>
      </c>
      <c r="C3525" s="2" t="s">
        <v>3018</v>
      </c>
      <c r="D3525" s="1">
        <v>43650</v>
      </c>
      <c r="E3525">
        <f>MONTH(D3525)</f>
        <v>7</v>
      </c>
      <c r="F3525" s="2" t="s">
        <v>2098</v>
      </c>
      <c r="G3525" t="s">
        <v>219</v>
      </c>
      <c r="H3525" t="s">
        <v>220</v>
      </c>
      <c r="I3525" t="s">
        <v>22</v>
      </c>
      <c r="J3525" s="2" t="s">
        <v>42</v>
      </c>
      <c r="K3525" s="2" t="s">
        <v>3019</v>
      </c>
      <c r="L3525" t="s">
        <v>25</v>
      </c>
      <c r="M3525" s="10" t="s">
        <v>26</v>
      </c>
      <c r="N3525" t="s">
        <v>26</v>
      </c>
      <c r="O3525" s="10" t="s">
        <v>26</v>
      </c>
      <c r="P3525" s="8" t="s">
        <v>26</v>
      </c>
      <c r="Q3525" s="8">
        <f>(5996898*100)/6073515</f>
        <v>98.738506449724753</v>
      </c>
    </row>
    <row r="3526" spans="1:17" x14ac:dyDescent="0.2">
      <c r="A3526">
        <f>YEAR(D3526)</f>
        <v>2019</v>
      </c>
      <c r="B3526" t="s">
        <v>26</v>
      </c>
      <c r="C3526" s="2" t="s">
        <v>3018</v>
      </c>
      <c r="D3526" s="1">
        <v>43650</v>
      </c>
      <c r="E3526">
        <f>MONTH(D3526)</f>
        <v>7</v>
      </c>
      <c r="F3526" s="2" t="s">
        <v>2098</v>
      </c>
      <c r="G3526" t="s">
        <v>219</v>
      </c>
      <c r="H3526" t="s">
        <v>220</v>
      </c>
      <c r="I3526" t="s">
        <v>22</v>
      </c>
      <c r="J3526" s="2" t="s">
        <v>42</v>
      </c>
      <c r="K3526" s="2" t="s">
        <v>3019</v>
      </c>
      <c r="L3526" t="s">
        <v>25</v>
      </c>
      <c r="M3526" s="10" t="s">
        <v>26</v>
      </c>
      <c r="N3526" t="s">
        <v>26</v>
      </c>
      <c r="O3526" s="10" t="s">
        <v>26</v>
      </c>
      <c r="P3526" s="8" t="s">
        <v>26</v>
      </c>
      <c r="Q3526" s="8">
        <f>(5996898*100)/6073515</f>
        <v>98.738506449724753</v>
      </c>
    </row>
    <row r="3527" spans="1:17" x14ac:dyDescent="0.2">
      <c r="A3527">
        <f>YEAR(D3527)</f>
        <v>2019</v>
      </c>
      <c r="B3527" t="s">
        <v>26</v>
      </c>
      <c r="C3527" s="2" t="s">
        <v>3018</v>
      </c>
      <c r="D3527" s="1">
        <v>43650</v>
      </c>
      <c r="E3527">
        <f>MONTH(D3527)</f>
        <v>7</v>
      </c>
      <c r="F3527" s="2" t="s">
        <v>2098</v>
      </c>
      <c r="G3527" t="s">
        <v>2206</v>
      </c>
      <c r="H3527" t="s">
        <v>2263</v>
      </c>
      <c r="I3527" t="s">
        <v>36</v>
      </c>
      <c r="J3527" s="2" t="s">
        <v>42</v>
      </c>
      <c r="K3527" s="2" t="s">
        <v>3019</v>
      </c>
      <c r="L3527" t="s">
        <v>25</v>
      </c>
      <c r="M3527" s="8">
        <v>4.1670000000000007</v>
      </c>
      <c r="N3527" t="s">
        <v>26</v>
      </c>
      <c r="O3527" s="8">
        <v>4.1670000000000007</v>
      </c>
      <c r="P3527" s="8">
        <f>EXP(-1.363+3.366*LOG(O3527,10))</f>
        <v>2.0612774305709816</v>
      </c>
      <c r="Q3527" s="8">
        <f>(5996898*100)/6073515</f>
        <v>98.738506449724753</v>
      </c>
    </row>
    <row r="3528" spans="1:17" x14ac:dyDescent="0.2">
      <c r="A3528">
        <f>YEAR(D3528)</f>
        <v>2019</v>
      </c>
      <c r="B3528" t="s">
        <v>26</v>
      </c>
      <c r="C3528" s="2" t="s">
        <v>3018</v>
      </c>
      <c r="D3528" s="1">
        <v>43650</v>
      </c>
      <c r="E3528">
        <f>MONTH(D3528)</f>
        <v>7</v>
      </c>
      <c r="F3528" s="2" t="s">
        <v>2098</v>
      </c>
      <c r="G3528" t="s">
        <v>230</v>
      </c>
      <c r="H3528" t="s">
        <v>2260</v>
      </c>
      <c r="I3528" t="s">
        <v>36</v>
      </c>
      <c r="J3528" s="2" t="s">
        <v>42</v>
      </c>
      <c r="K3528" s="2" t="s">
        <v>3019</v>
      </c>
      <c r="L3528" t="s">
        <v>305</v>
      </c>
      <c r="M3528" s="8">
        <v>3.9023333330000001</v>
      </c>
      <c r="N3528" t="s">
        <v>26</v>
      </c>
      <c r="O3528" s="8">
        <v>3.9023333330000001</v>
      </c>
      <c r="P3528" s="8">
        <f>EXP(-1.363+3.366*LOG(O3528,10))</f>
        <v>1.8727310273101283</v>
      </c>
      <c r="Q3528" s="8">
        <f>(5996898*100)/6073515</f>
        <v>98.738506449724753</v>
      </c>
    </row>
    <row r="3529" spans="1:17" x14ac:dyDescent="0.2">
      <c r="A3529">
        <f>YEAR(D3529)</f>
        <v>2019</v>
      </c>
      <c r="B3529" t="s">
        <v>26</v>
      </c>
      <c r="C3529" s="2" t="s">
        <v>3018</v>
      </c>
      <c r="D3529" s="1">
        <v>43650</v>
      </c>
      <c r="E3529">
        <f>MONTH(D3529)</f>
        <v>7</v>
      </c>
      <c r="F3529" s="2" t="s">
        <v>2098</v>
      </c>
      <c r="G3529" t="s">
        <v>219</v>
      </c>
      <c r="H3529" t="s">
        <v>220</v>
      </c>
      <c r="I3529" t="s">
        <v>22</v>
      </c>
      <c r="J3529" s="2" t="s">
        <v>42</v>
      </c>
      <c r="K3529" s="2" t="s">
        <v>3019</v>
      </c>
      <c r="L3529" t="s">
        <v>25</v>
      </c>
      <c r="M3529" s="10" t="s">
        <v>26</v>
      </c>
      <c r="N3529" t="s">
        <v>26</v>
      </c>
      <c r="O3529" s="10" t="s">
        <v>26</v>
      </c>
      <c r="P3529" s="8" t="s">
        <v>26</v>
      </c>
      <c r="Q3529" s="8">
        <f>(5996898*100)/6073515</f>
        <v>98.738506449724753</v>
      </c>
    </row>
    <row r="3530" spans="1:17" x14ac:dyDescent="0.2">
      <c r="A3530">
        <f>YEAR(D3530)</f>
        <v>2019</v>
      </c>
      <c r="B3530" t="s">
        <v>26</v>
      </c>
      <c r="C3530" s="2" t="s">
        <v>3018</v>
      </c>
      <c r="D3530" s="1">
        <v>43650</v>
      </c>
      <c r="E3530">
        <f>MONTH(D3530)</f>
        <v>7</v>
      </c>
      <c r="F3530" s="2" t="s">
        <v>2098</v>
      </c>
      <c r="G3530" t="s">
        <v>219</v>
      </c>
      <c r="H3530" t="s">
        <v>220</v>
      </c>
      <c r="I3530" t="s">
        <v>22</v>
      </c>
      <c r="J3530" s="2" t="s">
        <v>42</v>
      </c>
      <c r="K3530" s="2" t="s">
        <v>3019</v>
      </c>
      <c r="L3530" t="s">
        <v>25</v>
      </c>
      <c r="M3530" s="10" t="s">
        <v>26</v>
      </c>
      <c r="N3530" t="s">
        <v>26</v>
      </c>
      <c r="O3530" s="10" t="s">
        <v>26</v>
      </c>
      <c r="P3530" s="8" t="s">
        <v>26</v>
      </c>
      <c r="Q3530" s="8">
        <f>(5996898*100)/6073515</f>
        <v>98.738506449724753</v>
      </c>
    </row>
    <row r="3531" spans="1:17" x14ac:dyDescent="0.2">
      <c r="A3531">
        <f>YEAR(D3531)</f>
        <v>2019</v>
      </c>
      <c r="B3531" t="s">
        <v>26</v>
      </c>
      <c r="C3531" s="2" t="s">
        <v>3018</v>
      </c>
      <c r="D3531" s="1">
        <v>43650</v>
      </c>
      <c r="E3531">
        <f>MONTH(D3531)</f>
        <v>7</v>
      </c>
      <c r="F3531" s="2" t="s">
        <v>2098</v>
      </c>
      <c r="G3531" t="s">
        <v>219</v>
      </c>
      <c r="H3531" t="s">
        <v>220</v>
      </c>
      <c r="I3531" t="s">
        <v>22</v>
      </c>
      <c r="J3531" s="2" t="s">
        <v>42</v>
      </c>
      <c r="K3531" s="2" t="s">
        <v>3019</v>
      </c>
      <c r="L3531" t="s">
        <v>25</v>
      </c>
      <c r="M3531" s="10" t="s">
        <v>26</v>
      </c>
      <c r="N3531" t="s">
        <v>26</v>
      </c>
      <c r="O3531" s="10" t="s">
        <v>26</v>
      </c>
      <c r="P3531" s="8" t="s">
        <v>26</v>
      </c>
      <c r="Q3531" s="8">
        <f>(5996898*100)/6073515</f>
        <v>98.738506449724753</v>
      </c>
    </row>
    <row r="3532" spans="1:17" x14ac:dyDescent="0.2">
      <c r="A3532">
        <f>YEAR(D3532)</f>
        <v>2019</v>
      </c>
      <c r="B3532" t="s">
        <v>26</v>
      </c>
      <c r="C3532" s="2" t="s">
        <v>3018</v>
      </c>
      <c r="D3532" s="1">
        <v>43650</v>
      </c>
      <c r="E3532">
        <f>MONTH(D3532)</f>
        <v>7</v>
      </c>
      <c r="F3532" s="2" t="s">
        <v>2098</v>
      </c>
      <c r="G3532" t="s">
        <v>219</v>
      </c>
      <c r="H3532" t="s">
        <v>220</v>
      </c>
      <c r="I3532" t="s">
        <v>22</v>
      </c>
      <c r="J3532" s="2" t="s">
        <v>42</v>
      </c>
      <c r="K3532" s="2" t="s">
        <v>3019</v>
      </c>
      <c r="L3532" t="s">
        <v>25</v>
      </c>
      <c r="M3532" s="10" t="s">
        <v>26</v>
      </c>
      <c r="N3532" t="s">
        <v>26</v>
      </c>
      <c r="O3532" s="10" t="s">
        <v>26</v>
      </c>
      <c r="P3532" s="8" t="s">
        <v>26</v>
      </c>
      <c r="Q3532" s="8">
        <f>(5996898*100)/6073515</f>
        <v>98.738506449724753</v>
      </c>
    </row>
    <row r="3533" spans="1:17" x14ac:dyDescent="0.2">
      <c r="A3533">
        <f>YEAR(D3533)</f>
        <v>2019</v>
      </c>
      <c r="B3533" t="s">
        <v>26</v>
      </c>
      <c r="C3533" s="2" t="s">
        <v>3018</v>
      </c>
      <c r="D3533" s="1">
        <v>43650</v>
      </c>
      <c r="E3533">
        <f>MONTH(D3533)</f>
        <v>7</v>
      </c>
      <c r="F3533" s="2" t="s">
        <v>2098</v>
      </c>
      <c r="G3533" t="s">
        <v>219</v>
      </c>
      <c r="H3533" t="s">
        <v>220</v>
      </c>
      <c r="I3533" t="s">
        <v>22</v>
      </c>
      <c r="J3533" s="2" t="s">
        <v>42</v>
      </c>
      <c r="K3533" s="2" t="s">
        <v>3019</v>
      </c>
      <c r="L3533" t="s">
        <v>25</v>
      </c>
      <c r="M3533" s="10" t="s">
        <v>26</v>
      </c>
      <c r="N3533" t="s">
        <v>26</v>
      </c>
      <c r="O3533" s="10" t="s">
        <v>26</v>
      </c>
      <c r="P3533" s="8" t="s">
        <v>26</v>
      </c>
      <c r="Q3533" s="8">
        <f>(5996898*100)/6073515</f>
        <v>98.738506449724753</v>
      </c>
    </row>
    <row r="3534" spans="1:17" x14ac:dyDescent="0.2">
      <c r="A3534">
        <f>YEAR(D3534)</f>
        <v>2019</v>
      </c>
      <c r="B3534" t="s">
        <v>26</v>
      </c>
      <c r="C3534" s="2" t="s">
        <v>3018</v>
      </c>
      <c r="D3534" s="1">
        <v>43650</v>
      </c>
      <c r="E3534">
        <f>MONTH(D3534)</f>
        <v>7</v>
      </c>
      <c r="F3534" s="2" t="s">
        <v>2098</v>
      </c>
      <c r="G3534" t="s">
        <v>230</v>
      </c>
      <c r="H3534" t="s">
        <v>268</v>
      </c>
      <c r="I3534" t="s">
        <v>22</v>
      </c>
      <c r="J3534" s="2" t="s">
        <v>42</v>
      </c>
      <c r="K3534" s="2" t="s">
        <v>3019</v>
      </c>
      <c r="L3534" t="s">
        <v>25</v>
      </c>
      <c r="M3534" s="8">
        <v>3.5356666670000001</v>
      </c>
      <c r="N3534" t="s">
        <v>26</v>
      </c>
      <c r="O3534" s="8">
        <v>3.5356666670000001</v>
      </c>
      <c r="P3534" s="8">
        <f>EXP(-1.363+3.366*LOG(O3534,10))</f>
        <v>1.6211802664427075</v>
      </c>
      <c r="Q3534" s="8">
        <f>(5996898*100)/6073515</f>
        <v>98.738506449724753</v>
      </c>
    </row>
    <row r="3535" spans="1:17" x14ac:dyDescent="0.2">
      <c r="A3535">
        <f>YEAR(D3535)</f>
        <v>2019</v>
      </c>
      <c r="B3535" t="s">
        <v>26</v>
      </c>
      <c r="C3535" s="2" t="s">
        <v>3018</v>
      </c>
      <c r="D3535" s="1">
        <v>43650</v>
      </c>
      <c r="E3535">
        <f>MONTH(D3535)</f>
        <v>7</v>
      </c>
      <c r="F3535" s="2" t="s">
        <v>2098</v>
      </c>
      <c r="G3535" t="s">
        <v>1520</v>
      </c>
      <c r="H3535" t="s">
        <v>1528</v>
      </c>
      <c r="I3535" t="s">
        <v>36</v>
      </c>
      <c r="J3535" s="2" t="s">
        <v>42</v>
      </c>
      <c r="K3535" s="2" t="s">
        <v>3019</v>
      </c>
      <c r="L3535" t="s">
        <v>25</v>
      </c>
      <c r="M3535" s="8">
        <v>3.3860000000000001</v>
      </c>
      <c r="N3535" t="s">
        <v>26</v>
      </c>
      <c r="O3535" s="8">
        <v>3.3860000000000001</v>
      </c>
      <c r="P3535" s="8">
        <f>EXP(-1.363+3.366*LOG(O3535,10))</f>
        <v>1.5218493704875904</v>
      </c>
      <c r="Q3535" s="8">
        <f>(5996898*100)/6073515</f>
        <v>98.738506449724753</v>
      </c>
    </row>
    <row r="3536" spans="1:17" x14ac:dyDescent="0.2">
      <c r="A3536">
        <f>YEAR(D3536)</f>
        <v>2019</v>
      </c>
      <c r="B3536" t="s">
        <v>26</v>
      </c>
      <c r="C3536" s="2" t="s">
        <v>3018</v>
      </c>
      <c r="D3536" s="1">
        <v>43650</v>
      </c>
      <c r="E3536">
        <f>MONTH(D3536)</f>
        <v>7</v>
      </c>
      <c r="F3536" s="2" t="s">
        <v>2098</v>
      </c>
      <c r="G3536" t="s">
        <v>2206</v>
      </c>
      <c r="H3536" t="s">
        <v>2263</v>
      </c>
      <c r="I3536" t="s">
        <v>22</v>
      </c>
      <c r="J3536" s="2" t="s">
        <v>42</v>
      </c>
      <c r="K3536" s="2" t="s">
        <v>3019</v>
      </c>
      <c r="L3536" t="s">
        <v>25</v>
      </c>
      <c r="M3536" s="8">
        <v>3.7376666670000001</v>
      </c>
      <c r="N3536" t="s">
        <v>26</v>
      </c>
      <c r="O3536" s="8">
        <v>3.7376666670000001</v>
      </c>
      <c r="P3536" s="8">
        <f>EXP(-1.363+3.366*LOG(O3536,10))</f>
        <v>1.7583458516827115</v>
      </c>
      <c r="Q3536" s="8">
        <f>(5996898*100)/6073515</f>
        <v>98.738506449724753</v>
      </c>
    </row>
    <row r="3537" spans="1:17" x14ac:dyDescent="0.2">
      <c r="A3537">
        <f>YEAR(D3537)</f>
        <v>2019</v>
      </c>
      <c r="B3537" t="s">
        <v>26</v>
      </c>
      <c r="C3537" s="2" t="s">
        <v>3018</v>
      </c>
      <c r="D3537" s="1">
        <v>43650</v>
      </c>
      <c r="E3537">
        <f>MONTH(D3537)</f>
        <v>7</v>
      </c>
      <c r="F3537" s="2" t="s">
        <v>2098</v>
      </c>
      <c r="G3537" t="s">
        <v>2206</v>
      </c>
      <c r="H3537" t="s">
        <v>2263</v>
      </c>
      <c r="I3537" t="s">
        <v>36</v>
      </c>
      <c r="J3537" s="2" t="s">
        <v>42</v>
      </c>
      <c r="K3537" s="2" t="s">
        <v>3019</v>
      </c>
      <c r="L3537" t="s">
        <v>25</v>
      </c>
      <c r="M3537" s="8">
        <v>4.1670000000000007</v>
      </c>
      <c r="N3537" t="s">
        <v>26</v>
      </c>
      <c r="O3537" s="8">
        <v>4.1670000000000007</v>
      </c>
      <c r="P3537" s="8">
        <f>EXP(-1.363+3.366*LOG(O3537,10))</f>
        <v>2.0612774305709816</v>
      </c>
      <c r="Q3537" s="8">
        <f>(5996898*100)/6073515</f>
        <v>98.738506449724753</v>
      </c>
    </row>
    <row r="3538" spans="1:17" x14ac:dyDescent="0.2">
      <c r="A3538">
        <f>YEAR(D3538)</f>
        <v>2019</v>
      </c>
      <c r="B3538" t="s">
        <v>26</v>
      </c>
      <c r="C3538" s="2" t="s">
        <v>3018</v>
      </c>
      <c r="D3538" s="1">
        <v>43650</v>
      </c>
      <c r="E3538">
        <f>MONTH(D3538)</f>
        <v>7</v>
      </c>
      <c r="F3538" s="2" t="s">
        <v>2098</v>
      </c>
      <c r="G3538" t="s">
        <v>1520</v>
      </c>
      <c r="H3538" t="s">
        <v>1528</v>
      </c>
      <c r="I3538" t="s">
        <v>36</v>
      </c>
      <c r="J3538" s="2" t="s">
        <v>42</v>
      </c>
      <c r="K3538" s="2" t="s">
        <v>3019</v>
      </c>
      <c r="L3538" t="s">
        <v>25</v>
      </c>
      <c r="M3538" s="8">
        <v>3.3860000000000001</v>
      </c>
      <c r="N3538" t="s">
        <v>26</v>
      </c>
      <c r="O3538" s="8">
        <v>3.3860000000000001</v>
      </c>
      <c r="P3538" s="8">
        <f>EXP(-1.363+3.366*LOG(O3538,10))</f>
        <v>1.5218493704875904</v>
      </c>
      <c r="Q3538" s="8">
        <f>(5996898*100)/6073515</f>
        <v>98.738506449724753</v>
      </c>
    </row>
    <row r="3539" spans="1:17" x14ac:dyDescent="0.2">
      <c r="A3539">
        <f>YEAR(D3539)</f>
        <v>2019</v>
      </c>
      <c r="B3539" t="s">
        <v>26</v>
      </c>
      <c r="C3539" s="2" t="s">
        <v>3018</v>
      </c>
      <c r="D3539" s="1">
        <v>43650</v>
      </c>
      <c r="E3539">
        <f>MONTH(D3539)</f>
        <v>7</v>
      </c>
      <c r="F3539" s="2" t="s">
        <v>2098</v>
      </c>
      <c r="G3539" t="s">
        <v>2206</v>
      </c>
      <c r="H3539" t="s">
        <v>2263</v>
      </c>
      <c r="I3539" t="s">
        <v>22</v>
      </c>
      <c r="J3539" s="2" t="s">
        <v>42</v>
      </c>
      <c r="K3539" s="2" t="s">
        <v>3019</v>
      </c>
      <c r="L3539" t="s">
        <v>25</v>
      </c>
      <c r="M3539" s="8">
        <v>3.7376666670000001</v>
      </c>
      <c r="N3539" t="s">
        <v>26</v>
      </c>
      <c r="O3539" s="8">
        <v>3.7376666670000001</v>
      </c>
      <c r="P3539" s="8">
        <f>EXP(-1.363+3.366*LOG(O3539,10))</f>
        <v>1.7583458516827115</v>
      </c>
      <c r="Q3539" s="8">
        <f>(5996898*100)/6073515</f>
        <v>98.738506449724753</v>
      </c>
    </row>
    <row r="3540" spans="1:17" x14ac:dyDescent="0.2">
      <c r="A3540">
        <f>YEAR(D3540)</f>
        <v>2019</v>
      </c>
      <c r="B3540" t="s">
        <v>26</v>
      </c>
      <c r="C3540" s="2" t="s">
        <v>3018</v>
      </c>
      <c r="D3540" s="1">
        <v>43650</v>
      </c>
      <c r="E3540">
        <f>MONTH(D3540)</f>
        <v>7</v>
      </c>
      <c r="F3540" s="2" t="s">
        <v>2098</v>
      </c>
      <c r="G3540" t="s">
        <v>2206</v>
      </c>
      <c r="H3540" t="s">
        <v>2263</v>
      </c>
      <c r="I3540" t="s">
        <v>36</v>
      </c>
      <c r="J3540" s="2" t="s">
        <v>42</v>
      </c>
      <c r="K3540" s="2" t="s">
        <v>3019</v>
      </c>
      <c r="L3540" t="s">
        <v>25</v>
      </c>
      <c r="M3540" s="8">
        <v>4.1670000000000007</v>
      </c>
      <c r="N3540" t="s">
        <v>26</v>
      </c>
      <c r="O3540" s="8">
        <v>4.1670000000000007</v>
      </c>
      <c r="P3540" s="8">
        <f>EXP(-1.363+3.366*LOG(O3540,10))</f>
        <v>2.0612774305709816</v>
      </c>
      <c r="Q3540" s="8">
        <f>(5996898*100)/6073515</f>
        <v>98.738506449724753</v>
      </c>
    </row>
    <row r="3541" spans="1:17" x14ac:dyDescent="0.2">
      <c r="A3541">
        <f>YEAR(D3541)</f>
        <v>2019</v>
      </c>
      <c r="B3541" t="s">
        <v>26</v>
      </c>
      <c r="C3541" s="2" t="s">
        <v>3018</v>
      </c>
      <c r="D3541" s="1">
        <v>43650</v>
      </c>
      <c r="E3541">
        <f>MONTH(D3541)</f>
        <v>7</v>
      </c>
      <c r="F3541" s="2" t="s">
        <v>2098</v>
      </c>
      <c r="G3541" t="s">
        <v>1520</v>
      </c>
      <c r="H3541" t="s">
        <v>1528</v>
      </c>
      <c r="I3541" t="s">
        <v>36</v>
      </c>
      <c r="J3541" s="2" t="s">
        <v>42</v>
      </c>
      <c r="K3541" s="2" t="s">
        <v>3019</v>
      </c>
      <c r="L3541" t="s">
        <v>25</v>
      </c>
      <c r="M3541" s="8">
        <v>3.3860000000000001</v>
      </c>
      <c r="N3541" t="s">
        <v>26</v>
      </c>
      <c r="O3541" s="8">
        <v>3.3860000000000001</v>
      </c>
      <c r="P3541" s="8">
        <f>EXP(-1.363+3.366*LOG(O3541,10))</f>
        <v>1.5218493704875904</v>
      </c>
      <c r="Q3541" s="8">
        <f>(5996898*100)/6073515</f>
        <v>98.738506449724753</v>
      </c>
    </row>
    <row r="3542" spans="1:17" x14ac:dyDescent="0.2">
      <c r="A3542">
        <f>YEAR(D3542)</f>
        <v>2019</v>
      </c>
      <c r="B3542" t="s">
        <v>26</v>
      </c>
      <c r="C3542" s="2" t="s">
        <v>3018</v>
      </c>
      <c r="D3542" s="1">
        <v>43650</v>
      </c>
      <c r="E3542">
        <f>MONTH(D3542)</f>
        <v>7</v>
      </c>
      <c r="F3542" s="2" t="s">
        <v>2098</v>
      </c>
      <c r="G3542" t="s">
        <v>2206</v>
      </c>
      <c r="H3542" t="s">
        <v>2263</v>
      </c>
      <c r="I3542" t="s">
        <v>36</v>
      </c>
      <c r="J3542" s="2" t="s">
        <v>42</v>
      </c>
      <c r="K3542" s="2" t="s">
        <v>3019</v>
      </c>
      <c r="L3542" t="s">
        <v>25</v>
      </c>
      <c r="M3542" s="8">
        <v>4.1670000000000007</v>
      </c>
      <c r="N3542" t="s">
        <v>26</v>
      </c>
      <c r="O3542" s="8">
        <v>4.1670000000000007</v>
      </c>
      <c r="P3542" s="8">
        <f>EXP(-1.363+3.366*LOG(O3542,10))</f>
        <v>2.0612774305709816</v>
      </c>
      <c r="Q3542" s="8">
        <f>(5996898*100)/6073515</f>
        <v>98.738506449724753</v>
      </c>
    </row>
    <row r="3543" spans="1:17" x14ac:dyDescent="0.2">
      <c r="A3543">
        <f>YEAR(D3543)</f>
        <v>2019</v>
      </c>
      <c r="B3543" t="s">
        <v>26</v>
      </c>
      <c r="C3543" s="2" t="s">
        <v>3018</v>
      </c>
      <c r="D3543" s="1">
        <v>43650</v>
      </c>
      <c r="E3543">
        <f>MONTH(D3543)</f>
        <v>7</v>
      </c>
      <c r="F3543" s="2" t="s">
        <v>2098</v>
      </c>
      <c r="G3543" t="s">
        <v>219</v>
      </c>
      <c r="H3543" t="s">
        <v>220</v>
      </c>
      <c r="I3543" t="s">
        <v>22</v>
      </c>
      <c r="J3543" s="2" t="s">
        <v>42</v>
      </c>
      <c r="K3543" s="2" t="s">
        <v>3019</v>
      </c>
      <c r="L3543" t="s">
        <v>25</v>
      </c>
      <c r="M3543" s="10" t="s">
        <v>26</v>
      </c>
      <c r="N3543" t="s">
        <v>26</v>
      </c>
      <c r="O3543" s="10" t="s">
        <v>26</v>
      </c>
      <c r="P3543" s="8" t="s">
        <v>26</v>
      </c>
      <c r="Q3543" s="8">
        <f>(5996898*100)/6073515</f>
        <v>98.738506449724753</v>
      </c>
    </row>
    <row r="3544" spans="1:17" x14ac:dyDescent="0.2">
      <c r="A3544">
        <f>YEAR(D3544)</f>
        <v>2019</v>
      </c>
      <c r="B3544" t="s">
        <v>26</v>
      </c>
      <c r="C3544" s="2" t="s">
        <v>3018</v>
      </c>
      <c r="D3544" s="1">
        <v>43650</v>
      </c>
      <c r="E3544">
        <f>MONTH(D3544)</f>
        <v>7</v>
      </c>
      <c r="F3544" s="2" t="s">
        <v>2098</v>
      </c>
      <c r="G3544" t="s">
        <v>219</v>
      </c>
      <c r="H3544" t="s">
        <v>220</v>
      </c>
      <c r="I3544" t="s">
        <v>22</v>
      </c>
      <c r="J3544" s="2" t="s">
        <v>42</v>
      </c>
      <c r="K3544" s="2" t="s">
        <v>3019</v>
      </c>
      <c r="L3544" t="s">
        <v>25</v>
      </c>
      <c r="M3544" s="10" t="s">
        <v>26</v>
      </c>
      <c r="N3544" t="s">
        <v>26</v>
      </c>
      <c r="O3544" s="10" t="s">
        <v>26</v>
      </c>
      <c r="P3544" s="8" t="s">
        <v>26</v>
      </c>
      <c r="Q3544" s="8">
        <f>(5996898*100)/6073515</f>
        <v>98.738506449724753</v>
      </c>
    </row>
    <row r="3545" spans="1:17" x14ac:dyDescent="0.2">
      <c r="A3545">
        <f>YEAR(D3545)</f>
        <v>2019</v>
      </c>
      <c r="B3545" t="s">
        <v>26</v>
      </c>
      <c r="C3545" s="2" t="s">
        <v>3018</v>
      </c>
      <c r="D3545" s="1">
        <v>43650</v>
      </c>
      <c r="E3545">
        <f>MONTH(D3545)</f>
        <v>7</v>
      </c>
      <c r="F3545" s="2" t="s">
        <v>2098</v>
      </c>
      <c r="G3545" t="s">
        <v>219</v>
      </c>
      <c r="H3545" t="s">
        <v>220</v>
      </c>
      <c r="I3545" t="s">
        <v>22</v>
      </c>
      <c r="J3545" s="2" t="s">
        <v>42</v>
      </c>
      <c r="K3545" s="2" t="s">
        <v>3019</v>
      </c>
      <c r="L3545" t="s">
        <v>25</v>
      </c>
      <c r="M3545" s="10" t="s">
        <v>26</v>
      </c>
      <c r="N3545" t="s">
        <v>26</v>
      </c>
      <c r="O3545" s="10" t="s">
        <v>26</v>
      </c>
      <c r="P3545" s="8" t="s">
        <v>26</v>
      </c>
      <c r="Q3545" s="8">
        <f>(5996898*100)/6073515</f>
        <v>98.738506449724753</v>
      </c>
    </row>
    <row r="3546" spans="1:17" x14ac:dyDescent="0.2">
      <c r="A3546">
        <f>YEAR(D3546)</f>
        <v>2019</v>
      </c>
      <c r="B3546" t="s">
        <v>26</v>
      </c>
      <c r="C3546" s="2" t="s">
        <v>3018</v>
      </c>
      <c r="D3546" s="1">
        <v>43650</v>
      </c>
      <c r="E3546">
        <f>MONTH(D3546)</f>
        <v>7</v>
      </c>
      <c r="F3546" s="2" t="s">
        <v>2098</v>
      </c>
      <c r="G3546" t="s">
        <v>219</v>
      </c>
      <c r="H3546" t="s">
        <v>220</v>
      </c>
      <c r="I3546" t="s">
        <v>22</v>
      </c>
      <c r="J3546" s="2" t="s">
        <v>42</v>
      </c>
      <c r="K3546" s="2" t="s">
        <v>3019</v>
      </c>
      <c r="L3546" t="s">
        <v>25</v>
      </c>
      <c r="M3546" s="10" t="s">
        <v>26</v>
      </c>
      <c r="N3546" t="s">
        <v>26</v>
      </c>
      <c r="O3546" s="10" t="s">
        <v>26</v>
      </c>
      <c r="P3546" s="8" t="s">
        <v>26</v>
      </c>
      <c r="Q3546" s="8">
        <f>(5996898*100)/6073515</f>
        <v>98.738506449724753</v>
      </c>
    </row>
    <row r="3547" spans="1:17" x14ac:dyDescent="0.2">
      <c r="A3547">
        <f>YEAR(D3547)</f>
        <v>2019</v>
      </c>
      <c r="B3547" t="s">
        <v>26</v>
      </c>
      <c r="C3547" s="2" t="s">
        <v>3018</v>
      </c>
      <c r="D3547" s="1">
        <v>43650</v>
      </c>
      <c r="E3547">
        <f>MONTH(D3547)</f>
        <v>7</v>
      </c>
      <c r="F3547" s="2" t="s">
        <v>2098</v>
      </c>
      <c r="G3547" t="s">
        <v>219</v>
      </c>
      <c r="H3547" t="s">
        <v>220</v>
      </c>
      <c r="I3547" t="s">
        <v>22</v>
      </c>
      <c r="J3547" s="2" t="s">
        <v>42</v>
      </c>
      <c r="K3547" s="2" t="s">
        <v>3019</v>
      </c>
      <c r="L3547" t="s">
        <v>25</v>
      </c>
      <c r="M3547" s="10" t="s">
        <v>26</v>
      </c>
      <c r="N3547" t="s">
        <v>26</v>
      </c>
      <c r="O3547" s="10" t="s">
        <v>26</v>
      </c>
      <c r="P3547" s="8" t="s">
        <v>26</v>
      </c>
      <c r="Q3547" s="8">
        <f>(5996898*100)/6073515</f>
        <v>98.738506449724753</v>
      </c>
    </row>
    <row r="3548" spans="1:17" x14ac:dyDescent="0.2">
      <c r="A3548">
        <f>YEAR(D3548)</f>
        <v>2019</v>
      </c>
      <c r="B3548" t="s">
        <v>26</v>
      </c>
      <c r="C3548" s="2" t="s">
        <v>3018</v>
      </c>
      <c r="D3548" s="1">
        <v>43650</v>
      </c>
      <c r="E3548">
        <f>MONTH(D3548)</f>
        <v>7</v>
      </c>
      <c r="F3548" s="2" t="s">
        <v>2098</v>
      </c>
      <c r="G3548" t="s">
        <v>219</v>
      </c>
      <c r="H3548" t="s">
        <v>220</v>
      </c>
      <c r="I3548" t="s">
        <v>22</v>
      </c>
      <c r="J3548" s="2" t="s">
        <v>42</v>
      </c>
      <c r="K3548" s="2" t="s">
        <v>3019</v>
      </c>
      <c r="L3548" t="s">
        <v>25</v>
      </c>
      <c r="M3548" s="10" t="s">
        <v>26</v>
      </c>
      <c r="N3548" t="s">
        <v>26</v>
      </c>
      <c r="O3548" s="10" t="s">
        <v>26</v>
      </c>
      <c r="P3548" s="8" t="s">
        <v>26</v>
      </c>
      <c r="Q3548" s="8">
        <f>(5996898*100)/6073515</f>
        <v>98.738506449724753</v>
      </c>
    </row>
    <row r="3549" spans="1:17" x14ac:dyDescent="0.2">
      <c r="A3549">
        <f>YEAR(D3549)</f>
        <v>2019</v>
      </c>
      <c r="B3549" t="s">
        <v>26</v>
      </c>
      <c r="C3549" s="2" t="s">
        <v>3018</v>
      </c>
      <c r="D3549" s="1">
        <v>43650</v>
      </c>
      <c r="E3549">
        <f>MONTH(D3549)</f>
        <v>7</v>
      </c>
      <c r="F3549" s="2" t="s">
        <v>2098</v>
      </c>
      <c r="G3549" t="s">
        <v>219</v>
      </c>
      <c r="H3549" t="s">
        <v>220</v>
      </c>
      <c r="I3549" t="s">
        <v>22</v>
      </c>
      <c r="J3549" s="2" t="s">
        <v>42</v>
      </c>
      <c r="K3549" s="2" t="s">
        <v>3019</v>
      </c>
      <c r="L3549" t="s">
        <v>25</v>
      </c>
      <c r="M3549" s="10" t="s">
        <v>26</v>
      </c>
      <c r="N3549" t="s">
        <v>26</v>
      </c>
      <c r="O3549" s="10" t="s">
        <v>26</v>
      </c>
      <c r="P3549" s="8" t="s">
        <v>26</v>
      </c>
      <c r="Q3549" s="8">
        <f>(5996898*100)/6073515</f>
        <v>98.738506449724753</v>
      </c>
    </row>
    <row r="3550" spans="1:17" x14ac:dyDescent="0.2">
      <c r="A3550">
        <f>YEAR(D3550)</f>
        <v>2019</v>
      </c>
      <c r="B3550" t="s">
        <v>26</v>
      </c>
      <c r="C3550" s="2" t="s">
        <v>3018</v>
      </c>
      <c r="D3550" s="1">
        <v>43650</v>
      </c>
      <c r="E3550">
        <f>MONTH(D3550)</f>
        <v>7</v>
      </c>
      <c r="F3550" s="2" t="s">
        <v>2098</v>
      </c>
      <c r="G3550" t="s">
        <v>219</v>
      </c>
      <c r="H3550" t="s">
        <v>220</v>
      </c>
      <c r="I3550" t="s">
        <v>22</v>
      </c>
      <c r="J3550" s="2" t="s">
        <v>42</v>
      </c>
      <c r="K3550" s="2" t="s">
        <v>3019</v>
      </c>
      <c r="L3550" t="s">
        <v>25</v>
      </c>
      <c r="M3550" s="10" t="s">
        <v>26</v>
      </c>
      <c r="N3550" t="s">
        <v>26</v>
      </c>
      <c r="O3550" s="10" t="s">
        <v>26</v>
      </c>
      <c r="P3550" s="8" t="s">
        <v>26</v>
      </c>
      <c r="Q3550" s="8">
        <f>(5996898*100)/6073515</f>
        <v>98.738506449724753</v>
      </c>
    </row>
    <row r="3551" spans="1:17" x14ac:dyDescent="0.2">
      <c r="A3551">
        <f>YEAR(D3551)</f>
        <v>2019</v>
      </c>
      <c r="B3551" t="s">
        <v>26</v>
      </c>
      <c r="C3551" s="2" t="s">
        <v>3018</v>
      </c>
      <c r="D3551" s="1">
        <v>43650</v>
      </c>
      <c r="E3551">
        <f>MONTH(D3551)</f>
        <v>7</v>
      </c>
      <c r="F3551" s="2" t="s">
        <v>2098</v>
      </c>
      <c r="G3551" t="s">
        <v>219</v>
      </c>
      <c r="H3551" t="s">
        <v>220</v>
      </c>
      <c r="I3551" t="s">
        <v>22</v>
      </c>
      <c r="J3551" s="2" t="s">
        <v>42</v>
      </c>
      <c r="K3551" s="2" t="s">
        <v>3019</v>
      </c>
      <c r="L3551" t="s">
        <v>25</v>
      </c>
      <c r="M3551" s="10" t="s">
        <v>26</v>
      </c>
      <c r="N3551" t="s">
        <v>26</v>
      </c>
      <c r="O3551" s="10" t="s">
        <v>26</v>
      </c>
      <c r="P3551" s="8" t="s">
        <v>26</v>
      </c>
      <c r="Q3551" s="8">
        <f>(5996898*100)/6073515</f>
        <v>98.738506449724753</v>
      </c>
    </row>
    <row r="3552" spans="1:17" x14ac:dyDescent="0.2">
      <c r="A3552">
        <f>YEAR(D3552)</f>
        <v>2019</v>
      </c>
      <c r="B3552" t="s">
        <v>26</v>
      </c>
      <c r="C3552" s="2" t="s">
        <v>3018</v>
      </c>
      <c r="D3552" s="1">
        <v>43650</v>
      </c>
      <c r="E3552">
        <f>MONTH(D3552)</f>
        <v>7</v>
      </c>
      <c r="F3552" s="2" t="s">
        <v>2098</v>
      </c>
      <c r="G3552" t="s">
        <v>219</v>
      </c>
      <c r="H3552" t="s">
        <v>220</v>
      </c>
      <c r="I3552" t="s">
        <v>22</v>
      </c>
      <c r="J3552" s="2" t="s">
        <v>42</v>
      </c>
      <c r="K3552" s="2" t="s">
        <v>3019</v>
      </c>
      <c r="L3552" t="s">
        <v>25</v>
      </c>
      <c r="M3552" s="10" t="s">
        <v>26</v>
      </c>
      <c r="N3552" t="s">
        <v>26</v>
      </c>
      <c r="O3552" s="10" t="s">
        <v>26</v>
      </c>
      <c r="P3552" s="8" t="s">
        <v>26</v>
      </c>
      <c r="Q3552" s="8">
        <f>(5996898*100)/6073515</f>
        <v>98.738506449724753</v>
      </c>
    </row>
    <row r="3553" spans="1:17" x14ac:dyDescent="0.2">
      <c r="A3553">
        <f>YEAR(D3553)</f>
        <v>2019</v>
      </c>
      <c r="B3553" t="s">
        <v>26</v>
      </c>
      <c r="C3553" s="2" t="s">
        <v>3018</v>
      </c>
      <c r="D3553" s="1">
        <v>43650</v>
      </c>
      <c r="E3553">
        <f>MONTH(D3553)</f>
        <v>7</v>
      </c>
      <c r="F3553" s="2" t="s">
        <v>2098</v>
      </c>
      <c r="G3553" t="s">
        <v>219</v>
      </c>
      <c r="H3553" t="s">
        <v>220</v>
      </c>
      <c r="I3553" t="s">
        <v>22</v>
      </c>
      <c r="J3553" s="2" t="s">
        <v>42</v>
      </c>
      <c r="K3553" s="2" t="s">
        <v>3019</v>
      </c>
      <c r="L3553" t="s">
        <v>25</v>
      </c>
      <c r="M3553" s="10" t="s">
        <v>26</v>
      </c>
      <c r="N3553" t="s">
        <v>26</v>
      </c>
      <c r="O3553" s="10" t="s">
        <v>26</v>
      </c>
      <c r="P3553" s="8" t="s">
        <v>26</v>
      </c>
      <c r="Q3553" s="8">
        <f>(5996898*100)/6073515</f>
        <v>98.738506449724753</v>
      </c>
    </row>
    <row r="3554" spans="1:17" x14ac:dyDescent="0.2">
      <c r="A3554">
        <f>YEAR(D3554)</f>
        <v>2019</v>
      </c>
      <c r="B3554" t="s">
        <v>26</v>
      </c>
      <c r="C3554" s="2" t="s">
        <v>3018</v>
      </c>
      <c r="D3554" s="1">
        <v>43650</v>
      </c>
      <c r="E3554">
        <f>MONTH(D3554)</f>
        <v>7</v>
      </c>
      <c r="F3554" s="2" t="s">
        <v>2098</v>
      </c>
      <c r="G3554" t="s">
        <v>219</v>
      </c>
      <c r="H3554" t="s">
        <v>220</v>
      </c>
      <c r="I3554" t="s">
        <v>22</v>
      </c>
      <c r="J3554" s="2" t="s">
        <v>42</v>
      </c>
      <c r="K3554" s="2" t="s">
        <v>3019</v>
      </c>
      <c r="L3554" t="s">
        <v>25</v>
      </c>
      <c r="M3554" s="10" t="s">
        <v>26</v>
      </c>
      <c r="N3554" t="s">
        <v>26</v>
      </c>
      <c r="O3554" s="10" t="s">
        <v>26</v>
      </c>
      <c r="P3554" s="8" t="s">
        <v>26</v>
      </c>
      <c r="Q3554" s="8">
        <f>(5996898*100)/6073515</f>
        <v>98.738506449724753</v>
      </c>
    </row>
    <row r="3555" spans="1:17" x14ac:dyDescent="0.2">
      <c r="A3555">
        <f>YEAR(D3555)</f>
        <v>2019</v>
      </c>
      <c r="B3555" t="s">
        <v>26</v>
      </c>
      <c r="C3555" s="2" t="s">
        <v>3018</v>
      </c>
      <c r="D3555" s="1">
        <v>43650</v>
      </c>
      <c r="E3555">
        <f>MONTH(D3555)</f>
        <v>7</v>
      </c>
      <c r="F3555" s="2" t="s">
        <v>2098</v>
      </c>
      <c r="G3555" t="s">
        <v>219</v>
      </c>
      <c r="H3555" t="s">
        <v>220</v>
      </c>
      <c r="I3555" t="s">
        <v>22</v>
      </c>
      <c r="J3555" s="2" t="s">
        <v>42</v>
      </c>
      <c r="K3555" s="2" t="s">
        <v>3019</v>
      </c>
      <c r="L3555" t="s">
        <v>25</v>
      </c>
      <c r="M3555" s="10" t="s">
        <v>26</v>
      </c>
      <c r="N3555" t="s">
        <v>26</v>
      </c>
      <c r="O3555" s="10" t="s">
        <v>26</v>
      </c>
      <c r="P3555" s="8" t="s">
        <v>26</v>
      </c>
      <c r="Q3555" s="8">
        <f>(5996898*100)/6073515</f>
        <v>98.738506449724753</v>
      </c>
    </row>
    <row r="3556" spans="1:17" x14ac:dyDescent="0.2">
      <c r="A3556">
        <f>YEAR(D3556)</f>
        <v>2019</v>
      </c>
      <c r="B3556" t="s">
        <v>26</v>
      </c>
      <c r="C3556" s="2" t="s">
        <v>3018</v>
      </c>
      <c r="D3556" s="1">
        <v>43650</v>
      </c>
      <c r="E3556">
        <f>MONTH(D3556)</f>
        <v>7</v>
      </c>
      <c r="F3556" s="2" t="s">
        <v>2098</v>
      </c>
      <c r="G3556" t="s">
        <v>219</v>
      </c>
      <c r="H3556" t="s">
        <v>220</v>
      </c>
      <c r="I3556" t="s">
        <v>22</v>
      </c>
      <c r="J3556" s="2" t="s">
        <v>42</v>
      </c>
      <c r="K3556" s="2" t="s">
        <v>3019</v>
      </c>
      <c r="L3556" t="s">
        <v>25</v>
      </c>
      <c r="M3556" s="10" t="s">
        <v>26</v>
      </c>
      <c r="N3556" t="s">
        <v>26</v>
      </c>
      <c r="O3556" s="10" t="s">
        <v>26</v>
      </c>
      <c r="P3556" s="8" t="s">
        <v>26</v>
      </c>
      <c r="Q3556" s="8">
        <f>(5996898*100)/6073515</f>
        <v>98.738506449724753</v>
      </c>
    </row>
    <row r="3557" spans="1:17" x14ac:dyDescent="0.2">
      <c r="A3557">
        <f>YEAR(D3557)</f>
        <v>2019</v>
      </c>
      <c r="B3557" t="s">
        <v>26</v>
      </c>
      <c r="C3557" s="2" t="s">
        <v>3018</v>
      </c>
      <c r="D3557" s="1">
        <v>43650</v>
      </c>
      <c r="E3557">
        <f>MONTH(D3557)</f>
        <v>7</v>
      </c>
      <c r="F3557" s="2" t="s">
        <v>2098</v>
      </c>
      <c r="G3557" t="s">
        <v>219</v>
      </c>
      <c r="H3557" t="s">
        <v>220</v>
      </c>
      <c r="I3557" t="s">
        <v>22</v>
      </c>
      <c r="J3557" s="2" t="s">
        <v>42</v>
      </c>
      <c r="K3557" s="2" t="s">
        <v>3019</v>
      </c>
      <c r="L3557" t="s">
        <v>25</v>
      </c>
      <c r="M3557" s="10" t="s">
        <v>26</v>
      </c>
      <c r="N3557" t="s">
        <v>26</v>
      </c>
      <c r="O3557" s="10" t="s">
        <v>26</v>
      </c>
      <c r="P3557" s="8" t="s">
        <v>26</v>
      </c>
      <c r="Q3557" s="8">
        <f>(5996898*100)/6073515</f>
        <v>98.738506449724753</v>
      </c>
    </row>
    <row r="3558" spans="1:17" x14ac:dyDescent="0.2">
      <c r="A3558">
        <f>YEAR(D3558)</f>
        <v>2019</v>
      </c>
      <c r="B3558" t="s">
        <v>26</v>
      </c>
      <c r="C3558" s="2" t="s">
        <v>3018</v>
      </c>
      <c r="D3558" s="1">
        <v>43650</v>
      </c>
      <c r="E3558">
        <f>MONTH(D3558)</f>
        <v>7</v>
      </c>
      <c r="F3558" s="2" t="s">
        <v>2098</v>
      </c>
      <c r="G3558" t="s">
        <v>219</v>
      </c>
      <c r="H3558" t="s">
        <v>220</v>
      </c>
      <c r="I3558" t="s">
        <v>22</v>
      </c>
      <c r="J3558" s="2" t="s">
        <v>42</v>
      </c>
      <c r="K3558" s="2" t="s">
        <v>3019</v>
      </c>
      <c r="L3558" t="s">
        <v>25</v>
      </c>
      <c r="M3558" s="10" t="s">
        <v>26</v>
      </c>
      <c r="N3558" t="s">
        <v>26</v>
      </c>
      <c r="O3558" s="10" t="s">
        <v>26</v>
      </c>
      <c r="P3558" s="8" t="s">
        <v>26</v>
      </c>
      <c r="Q3558" s="8">
        <f>(5996898*100)/6073515</f>
        <v>98.738506449724753</v>
      </c>
    </row>
    <row r="3559" spans="1:17" x14ac:dyDescent="0.2">
      <c r="A3559">
        <f>YEAR(D3559)</f>
        <v>2019</v>
      </c>
      <c r="B3559" t="s">
        <v>26</v>
      </c>
      <c r="C3559" s="2" t="s">
        <v>3018</v>
      </c>
      <c r="D3559" s="1">
        <v>43650</v>
      </c>
      <c r="E3559">
        <f>MONTH(D3559)</f>
        <v>7</v>
      </c>
      <c r="F3559" s="2" t="s">
        <v>2098</v>
      </c>
      <c r="G3559" t="s">
        <v>1520</v>
      </c>
      <c r="H3559" t="s">
        <v>1521</v>
      </c>
      <c r="I3559" t="s">
        <v>22</v>
      </c>
      <c r="J3559" s="2" t="s">
        <v>42</v>
      </c>
      <c r="K3559" s="2" t="s">
        <v>3019</v>
      </c>
      <c r="L3559" t="s">
        <v>25</v>
      </c>
      <c r="M3559" s="8">
        <v>2.952</v>
      </c>
      <c r="N3559" t="s">
        <v>26</v>
      </c>
      <c r="O3559" s="8">
        <v>2.952</v>
      </c>
      <c r="P3559" s="8">
        <f>EXP(-1.363+3.366*LOG(O3559,10))</f>
        <v>1.2453438103764427</v>
      </c>
      <c r="Q3559" s="8">
        <f>(5996898*100)/6073515</f>
        <v>98.738506449724753</v>
      </c>
    </row>
    <row r="3560" spans="1:17" x14ac:dyDescent="0.2">
      <c r="A3560">
        <f>YEAR(D3560)</f>
        <v>2019</v>
      </c>
      <c r="B3560" t="s">
        <v>26</v>
      </c>
      <c r="C3560" s="2" t="s">
        <v>3018</v>
      </c>
      <c r="D3560" s="1">
        <v>43650</v>
      </c>
      <c r="E3560">
        <f>MONTH(D3560)</f>
        <v>7</v>
      </c>
      <c r="F3560" s="2" t="s">
        <v>2098</v>
      </c>
      <c r="G3560" t="s">
        <v>1520</v>
      </c>
      <c r="H3560" t="s">
        <v>1521</v>
      </c>
      <c r="I3560" t="s">
        <v>22</v>
      </c>
      <c r="J3560" s="2" t="s">
        <v>42</v>
      </c>
      <c r="K3560" s="2" t="s">
        <v>3019</v>
      </c>
      <c r="L3560" t="s">
        <v>25</v>
      </c>
      <c r="M3560" s="8">
        <v>2.952</v>
      </c>
      <c r="N3560" t="s">
        <v>26</v>
      </c>
      <c r="O3560" s="8">
        <v>2.952</v>
      </c>
      <c r="P3560" s="8">
        <f>EXP(-1.363+3.366*LOG(O3560,10))</f>
        <v>1.2453438103764427</v>
      </c>
      <c r="Q3560" s="8">
        <f>(5996898*100)/6073515</f>
        <v>98.738506449724753</v>
      </c>
    </row>
    <row r="3561" spans="1:17" x14ac:dyDescent="0.2">
      <c r="A3561">
        <f>YEAR(D3561)</f>
        <v>2019</v>
      </c>
      <c r="B3561" t="s">
        <v>26</v>
      </c>
      <c r="C3561" s="2" t="s">
        <v>3018</v>
      </c>
      <c r="D3561" s="1">
        <v>43650</v>
      </c>
      <c r="E3561">
        <f>MONTH(D3561)</f>
        <v>7</v>
      </c>
      <c r="F3561" s="2" t="s">
        <v>2098</v>
      </c>
      <c r="G3561" t="s">
        <v>1512</v>
      </c>
      <c r="H3561" t="s">
        <v>1515</v>
      </c>
      <c r="I3561" t="s">
        <v>36</v>
      </c>
      <c r="J3561" s="2" t="s">
        <v>42</v>
      </c>
      <c r="K3561" s="2" t="s">
        <v>3019</v>
      </c>
      <c r="L3561" t="s">
        <v>187</v>
      </c>
      <c r="M3561" s="8">
        <v>1.3580000000000001</v>
      </c>
      <c r="N3561" t="s">
        <v>26</v>
      </c>
      <c r="O3561" s="8">
        <v>1.3580000000000001</v>
      </c>
      <c r="P3561" s="8">
        <f>EXP(-1.363+3.366*LOG(O3561,10))</f>
        <v>0.40025262274215467</v>
      </c>
      <c r="Q3561" s="8">
        <f>(5996898*100)/6073515</f>
        <v>98.738506449724753</v>
      </c>
    </row>
    <row r="3562" spans="1:17" x14ac:dyDescent="0.2">
      <c r="A3562">
        <f>YEAR(D3562)</f>
        <v>2019</v>
      </c>
      <c r="B3562" t="s">
        <v>26</v>
      </c>
      <c r="C3562" s="2" t="s">
        <v>3018</v>
      </c>
      <c r="D3562" s="1">
        <v>43650</v>
      </c>
      <c r="E3562">
        <f>MONTH(D3562)</f>
        <v>7</v>
      </c>
      <c r="F3562" s="2" t="s">
        <v>2098</v>
      </c>
      <c r="G3562" s="2" t="s">
        <v>3080</v>
      </c>
      <c r="H3562" t="s">
        <v>3060</v>
      </c>
      <c r="I3562" t="s">
        <v>36</v>
      </c>
      <c r="J3562" s="2" t="s">
        <v>42</v>
      </c>
      <c r="K3562" s="2" t="s">
        <v>3019</v>
      </c>
      <c r="L3562" t="s">
        <v>305</v>
      </c>
      <c r="M3562" s="8">
        <v>2.3639999999999994</v>
      </c>
      <c r="N3562" t="s">
        <v>26</v>
      </c>
      <c r="O3562" s="8">
        <v>2.3639999999999994</v>
      </c>
      <c r="P3562" s="8">
        <f>EXP(-1.363+3.366*LOG(O3562,10))</f>
        <v>0.90005211791163175</v>
      </c>
      <c r="Q3562" s="8">
        <f>(5996898*100)/6073515</f>
        <v>98.738506449724753</v>
      </c>
    </row>
    <row r="3563" spans="1:17" x14ac:dyDescent="0.2">
      <c r="A3563">
        <f>YEAR(D3563)</f>
        <v>2019</v>
      </c>
      <c r="B3563" t="s">
        <v>26</v>
      </c>
      <c r="C3563" s="2" t="s">
        <v>3018</v>
      </c>
      <c r="D3563" s="1">
        <v>43650</v>
      </c>
      <c r="E3563">
        <f>MONTH(D3563)</f>
        <v>7</v>
      </c>
      <c r="F3563" s="2" t="s">
        <v>2098</v>
      </c>
      <c r="G3563" t="s">
        <v>1512</v>
      </c>
      <c r="H3563" t="s">
        <v>1513</v>
      </c>
      <c r="I3563" t="s">
        <v>36</v>
      </c>
      <c r="J3563" s="2" t="s">
        <v>42</v>
      </c>
      <c r="K3563" s="2" t="s">
        <v>3019</v>
      </c>
      <c r="L3563" t="s">
        <v>187</v>
      </c>
      <c r="M3563" s="8">
        <v>1.5229999999999999</v>
      </c>
      <c r="N3563" t="s">
        <v>26</v>
      </c>
      <c r="O3563" s="8">
        <v>1.5229999999999999</v>
      </c>
      <c r="P3563" s="8">
        <f>EXP(-1.363+3.366*LOG(O3563,10))</f>
        <v>0.47329702612300512</v>
      </c>
      <c r="Q3563" s="8">
        <f>(5996898*100)/6073515</f>
        <v>98.738506449724753</v>
      </c>
    </row>
    <row r="3564" spans="1:17" x14ac:dyDescent="0.2">
      <c r="A3564">
        <f>YEAR(D3564)</f>
        <v>2019</v>
      </c>
      <c r="B3564" t="s">
        <v>26</v>
      </c>
      <c r="C3564" s="2" t="s">
        <v>3018</v>
      </c>
      <c r="D3564" s="1">
        <v>43650</v>
      </c>
      <c r="E3564">
        <f>MONTH(D3564)</f>
        <v>7</v>
      </c>
      <c r="F3564" s="2" t="s">
        <v>2098</v>
      </c>
      <c r="G3564" t="s">
        <v>1520</v>
      </c>
      <c r="H3564" t="s">
        <v>1521</v>
      </c>
      <c r="I3564" t="s">
        <v>22</v>
      </c>
      <c r="J3564" s="2" t="s">
        <v>42</v>
      </c>
      <c r="K3564" s="2" t="s">
        <v>3019</v>
      </c>
      <c r="L3564" t="s">
        <v>25</v>
      </c>
      <c r="M3564" s="8">
        <v>2.952</v>
      </c>
      <c r="N3564" t="s">
        <v>26</v>
      </c>
      <c r="O3564" s="8">
        <v>2.952</v>
      </c>
      <c r="P3564" s="8">
        <f>EXP(-1.363+3.366*LOG(O3564,10))</f>
        <v>1.2453438103764427</v>
      </c>
      <c r="Q3564" s="8">
        <f>(5996898*100)/6073515</f>
        <v>98.738506449724753</v>
      </c>
    </row>
    <row r="3565" spans="1:17" x14ac:dyDescent="0.2">
      <c r="A3565">
        <f>YEAR(D3565)</f>
        <v>2019</v>
      </c>
      <c r="B3565" t="s">
        <v>26</v>
      </c>
      <c r="C3565" s="2" t="s">
        <v>3018</v>
      </c>
      <c r="D3565" s="1">
        <v>43650</v>
      </c>
      <c r="E3565">
        <f>MONTH(D3565)</f>
        <v>7</v>
      </c>
      <c r="F3565" s="2" t="s">
        <v>2098</v>
      </c>
      <c r="G3565" t="s">
        <v>1520</v>
      </c>
      <c r="H3565" t="s">
        <v>1521</v>
      </c>
      <c r="I3565" t="s">
        <v>22</v>
      </c>
      <c r="J3565" s="2" t="s">
        <v>42</v>
      </c>
      <c r="K3565" s="2" t="s">
        <v>3019</v>
      </c>
      <c r="L3565" t="s">
        <v>25</v>
      </c>
      <c r="M3565" s="8">
        <v>2.952</v>
      </c>
      <c r="N3565" t="s">
        <v>26</v>
      </c>
      <c r="O3565" s="8">
        <v>2.952</v>
      </c>
      <c r="P3565" s="8">
        <f>EXP(-1.363+3.366*LOG(O3565,10))</f>
        <v>1.2453438103764427</v>
      </c>
      <c r="Q3565" s="8">
        <f>(5996898*100)/6073515</f>
        <v>98.738506449724753</v>
      </c>
    </row>
    <row r="3566" spans="1:17" x14ac:dyDescent="0.2">
      <c r="A3566">
        <f>YEAR(D3566)</f>
        <v>2019</v>
      </c>
      <c r="B3566" t="s">
        <v>26</v>
      </c>
      <c r="C3566" s="2" t="s">
        <v>3018</v>
      </c>
      <c r="D3566" s="1">
        <v>43650</v>
      </c>
      <c r="E3566">
        <f>MONTH(D3566)</f>
        <v>7</v>
      </c>
      <c r="F3566" s="2" t="s">
        <v>2098</v>
      </c>
      <c r="G3566" t="s">
        <v>230</v>
      </c>
      <c r="H3566" t="s">
        <v>268</v>
      </c>
      <c r="I3566" t="s">
        <v>22</v>
      </c>
      <c r="J3566" s="2" t="s">
        <v>42</v>
      </c>
      <c r="K3566" s="2" t="s">
        <v>3019</v>
      </c>
      <c r="L3566" t="s">
        <v>25</v>
      </c>
      <c r="M3566" s="8">
        <v>3.5356666670000001</v>
      </c>
      <c r="N3566" t="s">
        <v>26</v>
      </c>
      <c r="O3566" s="8">
        <v>3.5356666670000001</v>
      </c>
      <c r="P3566" s="8">
        <f>EXP(-1.363+3.366*LOG(O3566,10))</f>
        <v>1.6211802664427075</v>
      </c>
      <c r="Q3566" s="8">
        <f>(5996898*100)/6073515</f>
        <v>98.738506449724753</v>
      </c>
    </row>
    <row r="3567" spans="1:17" x14ac:dyDescent="0.2">
      <c r="A3567">
        <f>YEAR(D3567)</f>
        <v>2019</v>
      </c>
      <c r="B3567" t="s">
        <v>26</v>
      </c>
      <c r="C3567" s="2" t="s">
        <v>3018</v>
      </c>
      <c r="D3567" s="1">
        <v>43650</v>
      </c>
      <c r="E3567">
        <f>MONTH(D3567)</f>
        <v>7</v>
      </c>
      <c r="F3567" s="2" t="s">
        <v>2098</v>
      </c>
      <c r="G3567" t="s">
        <v>230</v>
      </c>
      <c r="H3567" t="s">
        <v>268</v>
      </c>
      <c r="I3567" t="s">
        <v>22</v>
      </c>
      <c r="J3567" s="2" t="s">
        <v>42</v>
      </c>
      <c r="K3567" s="2" t="s">
        <v>3019</v>
      </c>
      <c r="L3567" t="s">
        <v>25</v>
      </c>
      <c r="M3567" s="8">
        <v>3.5356666670000001</v>
      </c>
      <c r="N3567" t="s">
        <v>26</v>
      </c>
      <c r="O3567" s="8">
        <v>3.5356666670000001</v>
      </c>
      <c r="P3567" s="8">
        <f>EXP(-1.363+3.366*LOG(O3567,10))</f>
        <v>1.6211802664427075</v>
      </c>
      <c r="Q3567" s="8">
        <f>(5996898*100)/6073515</f>
        <v>98.738506449724753</v>
      </c>
    </row>
    <row r="3568" spans="1:17" x14ac:dyDescent="0.2">
      <c r="A3568">
        <f>YEAR(D3568)</f>
        <v>2019</v>
      </c>
      <c r="B3568" t="s">
        <v>26</v>
      </c>
      <c r="C3568" s="2" t="s">
        <v>3018</v>
      </c>
      <c r="D3568" s="1">
        <v>43650</v>
      </c>
      <c r="E3568">
        <f>MONTH(D3568)</f>
        <v>7</v>
      </c>
      <c r="F3568" s="2" t="s">
        <v>2098</v>
      </c>
      <c r="G3568" t="s">
        <v>230</v>
      </c>
      <c r="H3568" t="s">
        <v>268</v>
      </c>
      <c r="I3568" t="s">
        <v>22</v>
      </c>
      <c r="J3568" s="2" t="s">
        <v>42</v>
      </c>
      <c r="K3568" s="2" t="s">
        <v>3019</v>
      </c>
      <c r="L3568" t="s">
        <v>25</v>
      </c>
      <c r="M3568" s="8">
        <v>3.5356666670000001</v>
      </c>
      <c r="N3568" t="s">
        <v>26</v>
      </c>
      <c r="O3568" s="8">
        <v>3.5356666670000001</v>
      </c>
      <c r="P3568" s="8">
        <f>EXP(-1.363+3.366*LOG(O3568,10))</f>
        <v>1.6211802664427075</v>
      </c>
      <c r="Q3568" s="8">
        <f>(5996898*100)/6073515</f>
        <v>98.738506449724753</v>
      </c>
    </row>
    <row r="3569" spans="1:17" x14ac:dyDescent="0.2">
      <c r="A3569">
        <f>YEAR(D3569)</f>
        <v>2019</v>
      </c>
      <c r="B3569" t="s">
        <v>26</v>
      </c>
      <c r="C3569" s="2" t="s">
        <v>3025</v>
      </c>
      <c r="D3569" s="1">
        <v>43647</v>
      </c>
      <c r="E3569">
        <f>MONTH(D3569)</f>
        <v>7</v>
      </c>
      <c r="F3569" s="2" t="s">
        <v>19</v>
      </c>
      <c r="G3569" t="s">
        <v>219</v>
      </c>
      <c r="H3569" t="s">
        <v>220</v>
      </c>
      <c r="I3569" t="s">
        <v>22</v>
      </c>
      <c r="J3569" s="2" t="s">
        <v>42</v>
      </c>
      <c r="K3569" s="2" t="s">
        <v>3019</v>
      </c>
      <c r="L3569" t="s">
        <v>25</v>
      </c>
      <c r="M3569" s="10" t="s">
        <v>26</v>
      </c>
      <c r="N3569" t="s">
        <v>26</v>
      </c>
      <c r="O3569" s="10" t="s">
        <v>26</v>
      </c>
      <c r="P3569" s="8" t="s">
        <v>26</v>
      </c>
      <c r="Q3569" s="8">
        <f>(1955155*100)/2180255</f>
        <v>89.67551960665152</v>
      </c>
    </row>
    <row r="3570" spans="1:17" x14ac:dyDescent="0.2">
      <c r="A3570">
        <f>YEAR(D3570)</f>
        <v>2019</v>
      </c>
      <c r="B3570" t="s">
        <v>26</v>
      </c>
      <c r="C3570" s="2" t="s">
        <v>3025</v>
      </c>
      <c r="D3570" s="1">
        <v>43647</v>
      </c>
      <c r="E3570">
        <f>MONTH(D3570)</f>
        <v>7</v>
      </c>
      <c r="F3570" s="2" t="s">
        <v>19</v>
      </c>
      <c r="G3570" t="s">
        <v>352</v>
      </c>
      <c r="H3570" t="s">
        <v>610</v>
      </c>
      <c r="I3570" t="s">
        <v>22</v>
      </c>
      <c r="J3570" s="2" t="s">
        <v>42</v>
      </c>
      <c r="K3570" s="2" t="s">
        <v>3019</v>
      </c>
      <c r="L3570" t="s">
        <v>25</v>
      </c>
      <c r="M3570" s="8">
        <v>0.86499999999999999</v>
      </c>
      <c r="N3570" t="s">
        <v>26</v>
      </c>
      <c r="O3570" s="8">
        <v>0.86499999999999999</v>
      </c>
      <c r="P3570" s="8">
        <f>EXP(-1.363+3.366*LOG(O3570,10))</f>
        <v>0.20700676972346591</v>
      </c>
      <c r="Q3570" s="8">
        <f>(1955155*100)/2180255</f>
        <v>89.67551960665152</v>
      </c>
    </row>
    <row r="3571" spans="1:17" x14ac:dyDescent="0.2">
      <c r="A3571">
        <f>YEAR(D3571)</f>
        <v>2019</v>
      </c>
      <c r="B3571" t="s">
        <v>26</v>
      </c>
      <c r="C3571" s="2" t="s">
        <v>3025</v>
      </c>
      <c r="D3571" s="1">
        <v>43647</v>
      </c>
      <c r="E3571">
        <f>MONTH(D3571)</f>
        <v>7</v>
      </c>
      <c r="F3571" s="2" t="s">
        <v>19</v>
      </c>
      <c r="G3571" t="s">
        <v>352</v>
      </c>
      <c r="H3571" t="s">
        <v>975</v>
      </c>
      <c r="I3571" t="s">
        <v>22</v>
      </c>
      <c r="J3571" s="2" t="s">
        <v>42</v>
      </c>
      <c r="K3571" s="2" t="s">
        <v>3019</v>
      </c>
      <c r="L3571" t="s">
        <v>25</v>
      </c>
      <c r="M3571" s="8">
        <v>1.0693333330000001</v>
      </c>
      <c r="N3571" t="s">
        <v>26</v>
      </c>
      <c r="O3571" s="8">
        <v>1.0693333330000001</v>
      </c>
      <c r="P3571" s="8">
        <f>EXP(-1.363+3.366*LOG(O3571,10))</f>
        <v>0.28223780327142356</v>
      </c>
      <c r="Q3571" s="8">
        <f>(1955155*100)/2180255</f>
        <v>89.67551960665152</v>
      </c>
    </row>
    <row r="3572" spans="1:17" x14ac:dyDescent="0.2">
      <c r="A3572">
        <f>YEAR(D3572)</f>
        <v>2019</v>
      </c>
      <c r="B3572" t="s">
        <v>26</v>
      </c>
      <c r="C3572" s="2" t="s">
        <v>3025</v>
      </c>
      <c r="D3572" s="1">
        <v>43647</v>
      </c>
      <c r="E3572">
        <f>MONTH(D3572)</f>
        <v>7</v>
      </c>
      <c r="F3572" s="2" t="s">
        <v>19</v>
      </c>
      <c r="G3572" t="s">
        <v>352</v>
      </c>
      <c r="H3572" t="s">
        <v>610</v>
      </c>
      <c r="I3572" t="s">
        <v>22</v>
      </c>
      <c r="J3572" s="2" t="s">
        <v>42</v>
      </c>
      <c r="K3572" s="2" t="s">
        <v>3019</v>
      </c>
      <c r="L3572" t="s">
        <v>25</v>
      </c>
      <c r="M3572" s="8">
        <v>0.86499999999999999</v>
      </c>
      <c r="N3572" t="s">
        <v>26</v>
      </c>
      <c r="O3572" s="8">
        <v>0.86499999999999999</v>
      </c>
      <c r="P3572" s="8">
        <f>EXP(-1.363+3.366*LOG(O3572,10))</f>
        <v>0.20700676972346591</v>
      </c>
      <c r="Q3572" s="8">
        <f>(1955155*100)/2180255</f>
        <v>89.67551960665152</v>
      </c>
    </row>
    <row r="3573" spans="1:17" x14ac:dyDescent="0.2">
      <c r="A3573">
        <f>YEAR(D3573)</f>
        <v>2019</v>
      </c>
      <c r="B3573" t="s">
        <v>26</v>
      </c>
      <c r="C3573" s="2" t="s">
        <v>3025</v>
      </c>
      <c r="D3573" s="1">
        <v>43647</v>
      </c>
      <c r="E3573">
        <f>MONTH(D3573)</f>
        <v>7</v>
      </c>
      <c r="F3573" s="2" t="s">
        <v>19</v>
      </c>
      <c r="G3573" t="s">
        <v>352</v>
      </c>
      <c r="H3573" t="s">
        <v>623</v>
      </c>
      <c r="I3573" t="s">
        <v>22</v>
      </c>
      <c r="J3573" s="2" t="s">
        <v>42</v>
      </c>
      <c r="K3573" s="2" t="s">
        <v>3019</v>
      </c>
      <c r="L3573" t="s">
        <v>25</v>
      </c>
      <c r="M3573" s="8">
        <v>1.387</v>
      </c>
      <c r="N3573" t="s">
        <v>26</v>
      </c>
      <c r="O3573" s="8">
        <v>1.387</v>
      </c>
      <c r="P3573" s="8">
        <f>EXP(-1.363+3.366*LOG(O3573,10))</f>
        <v>0.41280884754947733</v>
      </c>
      <c r="Q3573" s="8">
        <f>(1955155*100)/2180255</f>
        <v>89.67551960665152</v>
      </c>
    </row>
    <row r="3574" spans="1:17" x14ac:dyDescent="0.2">
      <c r="A3574">
        <f>YEAR(D3574)</f>
        <v>2019</v>
      </c>
      <c r="B3574" t="s">
        <v>26</v>
      </c>
      <c r="C3574" s="2" t="s">
        <v>3025</v>
      </c>
      <c r="D3574" s="1">
        <v>43647</v>
      </c>
      <c r="E3574">
        <f>MONTH(D3574)</f>
        <v>7</v>
      </c>
      <c r="F3574" s="2" t="s">
        <v>19</v>
      </c>
      <c r="G3574" t="s">
        <v>352</v>
      </c>
      <c r="H3574" t="s">
        <v>975</v>
      </c>
      <c r="I3574" t="s">
        <v>22</v>
      </c>
      <c r="J3574" s="2" t="s">
        <v>42</v>
      </c>
      <c r="K3574" s="2" t="s">
        <v>3019</v>
      </c>
      <c r="L3574" t="s">
        <v>25</v>
      </c>
      <c r="M3574" s="8">
        <v>1.0693333330000001</v>
      </c>
      <c r="N3574" t="s">
        <v>26</v>
      </c>
      <c r="O3574" s="8">
        <v>1.0693333330000001</v>
      </c>
      <c r="P3574" s="8">
        <f>EXP(-1.363+3.366*LOG(O3574,10))</f>
        <v>0.28223780327142356</v>
      </c>
      <c r="Q3574" s="8">
        <f>(1955155*100)/2180255</f>
        <v>89.67551960665152</v>
      </c>
    </row>
    <row r="3575" spans="1:17" x14ac:dyDescent="0.2">
      <c r="A3575">
        <f>YEAR(D3575)</f>
        <v>2019</v>
      </c>
      <c r="B3575" t="s">
        <v>26</v>
      </c>
      <c r="C3575" s="2" t="s">
        <v>3025</v>
      </c>
      <c r="D3575" s="1">
        <v>43647</v>
      </c>
      <c r="E3575">
        <f>MONTH(D3575)</f>
        <v>7</v>
      </c>
      <c r="F3575" s="2" t="s">
        <v>19</v>
      </c>
      <c r="G3575" t="s">
        <v>352</v>
      </c>
      <c r="H3575" t="s">
        <v>975</v>
      </c>
      <c r="I3575" t="s">
        <v>22</v>
      </c>
      <c r="J3575" s="2" t="s">
        <v>42</v>
      </c>
      <c r="K3575" s="2" t="s">
        <v>3019</v>
      </c>
      <c r="L3575" t="s">
        <v>25</v>
      </c>
      <c r="M3575" s="8">
        <v>1.0693333330000001</v>
      </c>
      <c r="N3575" t="s">
        <v>26</v>
      </c>
      <c r="O3575" s="8">
        <v>1.0693333330000001</v>
      </c>
      <c r="P3575" s="8">
        <f>EXP(-1.363+3.366*LOG(O3575,10))</f>
        <v>0.28223780327142356</v>
      </c>
      <c r="Q3575" s="8">
        <f>(1955155*100)/2180255</f>
        <v>89.67551960665152</v>
      </c>
    </row>
    <row r="3576" spans="1:17" x14ac:dyDescent="0.2">
      <c r="A3576">
        <f>YEAR(D3576)</f>
        <v>2019</v>
      </c>
      <c r="B3576" t="s">
        <v>26</v>
      </c>
      <c r="C3576" s="2" t="s">
        <v>3025</v>
      </c>
      <c r="D3576" s="1">
        <v>43647</v>
      </c>
      <c r="E3576">
        <f>MONTH(D3576)</f>
        <v>7</v>
      </c>
      <c r="F3576" s="2" t="s">
        <v>19</v>
      </c>
      <c r="G3576" t="s">
        <v>209</v>
      </c>
      <c r="H3576" t="s">
        <v>212</v>
      </c>
      <c r="I3576" t="s">
        <v>36</v>
      </c>
      <c r="J3576" s="2" t="s">
        <v>42</v>
      </c>
      <c r="K3576" s="2" t="s">
        <v>3019</v>
      </c>
      <c r="L3576" t="s">
        <v>187</v>
      </c>
      <c r="M3576" s="8">
        <v>1.534</v>
      </c>
      <c r="N3576" t="s">
        <v>26</v>
      </c>
      <c r="O3576" s="8">
        <v>1.534</v>
      </c>
      <c r="P3576" s="8">
        <f>EXP(-1.363+3.366*LOG(O3576,10))</f>
        <v>0.47830252961730491</v>
      </c>
      <c r="Q3576" s="8">
        <f>(1955155*100)/2180255</f>
        <v>89.67551960665152</v>
      </c>
    </row>
    <row r="3577" spans="1:17" x14ac:dyDescent="0.2">
      <c r="A3577">
        <f>YEAR(D3577)</f>
        <v>2019</v>
      </c>
      <c r="B3577" t="s">
        <v>26</v>
      </c>
      <c r="C3577" s="2" t="s">
        <v>3025</v>
      </c>
      <c r="D3577" s="1">
        <v>43647</v>
      </c>
      <c r="E3577">
        <f>MONTH(D3577)</f>
        <v>7</v>
      </c>
      <c r="F3577" s="2" t="s">
        <v>19</v>
      </c>
      <c r="G3577" t="s">
        <v>209</v>
      </c>
      <c r="H3577" t="s">
        <v>212</v>
      </c>
      <c r="I3577" t="s">
        <v>36</v>
      </c>
      <c r="J3577" s="2" t="s">
        <v>42</v>
      </c>
      <c r="K3577" s="2" t="s">
        <v>3019</v>
      </c>
      <c r="L3577" t="s">
        <v>187</v>
      </c>
      <c r="M3577" s="8">
        <v>1.534</v>
      </c>
      <c r="N3577" t="s">
        <v>26</v>
      </c>
      <c r="O3577" s="8">
        <v>1.534</v>
      </c>
      <c r="P3577" s="8">
        <f>EXP(-1.363+3.366*LOG(O3577,10))</f>
        <v>0.47830252961730491</v>
      </c>
      <c r="Q3577" s="8">
        <f>(1955155*100)/2180255</f>
        <v>89.67551960665152</v>
      </c>
    </row>
    <row r="3578" spans="1:17" x14ac:dyDescent="0.2">
      <c r="A3578">
        <f>YEAR(D3578)</f>
        <v>2019</v>
      </c>
      <c r="B3578" t="s">
        <v>26</v>
      </c>
      <c r="C3578" s="2" t="s">
        <v>3025</v>
      </c>
      <c r="D3578" s="1">
        <v>43647</v>
      </c>
      <c r="E3578">
        <f>MONTH(D3578)</f>
        <v>7</v>
      </c>
      <c r="F3578" s="2" t="s">
        <v>19</v>
      </c>
      <c r="G3578" t="s">
        <v>352</v>
      </c>
      <c r="H3578" t="s">
        <v>610</v>
      </c>
      <c r="I3578" t="s">
        <v>22</v>
      </c>
      <c r="J3578" s="2" t="s">
        <v>42</v>
      </c>
      <c r="K3578" s="2" t="s">
        <v>3019</v>
      </c>
      <c r="L3578" t="s">
        <v>25</v>
      </c>
      <c r="M3578" s="8">
        <v>0.86499999999999999</v>
      </c>
      <c r="N3578" t="s">
        <v>26</v>
      </c>
      <c r="O3578" s="8">
        <v>0.86499999999999999</v>
      </c>
      <c r="P3578" s="8">
        <f>EXP(-1.363+3.366*LOG(O3578,10))</f>
        <v>0.20700676972346591</v>
      </c>
      <c r="Q3578" s="8">
        <f>(1955155*100)/2180255</f>
        <v>89.67551960665152</v>
      </c>
    </row>
    <row r="3579" spans="1:17" x14ac:dyDescent="0.2">
      <c r="A3579">
        <f>YEAR(D3579)</f>
        <v>2019</v>
      </c>
      <c r="B3579" t="s">
        <v>26</v>
      </c>
      <c r="C3579" s="2" t="s">
        <v>3025</v>
      </c>
      <c r="D3579" s="1">
        <v>43647</v>
      </c>
      <c r="E3579">
        <f>MONTH(D3579)</f>
        <v>7</v>
      </c>
      <c r="F3579" s="2" t="s">
        <v>19</v>
      </c>
      <c r="G3579" t="s">
        <v>209</v>
      </c>
      <c r="H3579" t="s">
        <v>212</v>
      </c>
      <c r="I3579" t="s">
        <v>36</v>
      </c>
      <c r="J3579" s="2" t="s">
        <v>42</v>
      </c>
      <c r="K3579" s="2" t="s">
        <v>3019</v>
      </c>
      <c r="L3579" t="s">
        <v>187</v>
      </c>
      <c r="M3579" s="8">
        <v>1.534</v>
      </c>
      <c r="N3579" t="s">
        <v>26</v>
      </c>
      <c r="O3579" s="8">
        <v>1.534</v>
      </c>
      <c r="P3579" s="8">
        <f>EXP(-1.363+3.366*LOG(O3579,10))</f>
        <v>0.47830252961730491</v>
      </c>
      <c r="Q3579" s="8">
        <f>(1955155*100)/2180255</f>
        <v>89.67551960665152</v>
      </c>
    </row>
    <row r="3580" spans="1:17" x14ac:dyDescent="0.2">
      <c r="A3580">
        <f>YEAR(D3580)</f>
        <v>2019</v>
      </c>
      <c r="B3580" t="s">
        <v>26</v>
      </c>
      <c r="C3580" s="2" t="s">
        <v>3025</v>
      </c>
      <c r="D3580" s="1">
        <v>43647</v>
      </c>
      <c r="E3580">
        <f>MONTH(D3580)</f>
        <v>7</v>
      </c>
      <c r="F3580" s="2" t="s">
        <v>19</v>
      </c>
      <c r="G3580" t="s">
        <v>332</v>
      </c>
      <c r="H3580" t="s">
        <v>1620</v>
      </c>
      <c r="I3580" t="s">
        <v>36</v>
      </c>
      <c r="J3580" s="2" t="s">
        <v>42</v>
      </c>
      <c r="K3580" s="2" t="s">
        <v>3019</v>
      </c>
      <c r="L3580" t="s">
        <v>25</v>
      </c>
      <c r="M3580" s="8">
        <v>1.036333333</v>
      </c>
      <c r="N3580" t="s">
        <v>26</v>
      </c>
      <c r="O3580" s="8">
        <v>1.036333333</v>
      </c>
      <c r="P3580" s="8">
        <f>EXP(-1.363+3.366*LOG(O3580,10))</f>
        <v>0.26959652393070888</v>
      </c>
      <c r="Q3580" s="8">
        <f>(1955155*100)/2180255</f>
        <v>89.67551960665152</v>
      </c>
    </row>
    <row r="3581" spans="1:17" x14ac:dyDescent="0.2">
      <c r="A3581">
        <f>YEAR(D3581)</f>
        <v>2019</v>
      </c>
      <c r="B3581" t="s">
        <v>26</v>
      </c>
      <c r="C3581" s="2" t="s">
        <v>3025</v>
      </c>
      <c r="D3581" s="1">
        <v>43647</v>
      </c>
      <c r="E3581">
        <f>MONTH(D3581)</f>
        <v>7</v>
      </c>
      <c r="F3581" s="2" t="s">
        <v>19</v>
      </c>
      <c r="G3581" t="s">
        <v>352</v>
      </c>
      <c r="H3581" t="s">
        <v>610</v>
      </c>
      <c r="I3581" t="s">
        <v>22</v>
      </c>
      <c r="J3581" s="2" t="s">
        <v>42</v>
      </c>
      <c r="K3581" s="2" t="s">
        <v>3019</v>
      </c>
      <c r="L3581" t="s">
        <v>25</v>
      </c>
      <c r="M3581" s="8">
        <v>0.86499999999999999</v>
      </c>
      <c r="N3581" t="s">
        <v>26</v>
      </c>
      <c r="O3581" s="8">
        <v>0.86499999999999999</v>
      </c>
      <c r="P3581" s="8">
        <f>EXP(-1.363+3.366*LOG(O3581,10))</f>
        <v>0.20700676972346591</v>
      </c>
      <c r="Q3581" s="8">
        <f>(1955155*100)/2180255</f>
        <v>89.67551960665152</v>
      </c>
    </row>
    <row r="3582" spans="1:17" x14ac:dyDescent="0.2">
      <c r="A3582">
        <f>YEAR(D3582)</f>
        <v>2019</v>
      </c>
      <c r="B3582" t="s">
        <v>26</v>
      </c>
      <c r="C3582" s="2" t="s">
        <v>3025</v>
      </c>
      <c r="D3582" s="1">
        <v>43647</v>
      </c>
      <c r="E3582">
        <f>MONTH(D3582)</f>
        <v>7</v>
      </c>
      <c r="F3582" s="2" t="s">
        <v>19</v>
      </c>
      <c r="G3582" t="s">
        <v>209</v>
      </c>
      <c r="H3582" t="s">
        <v>212</v>
      </c>
      <c r="I3582" t="s">
        <v>22</v>
      </c>
      <c r="J3582" s="2" t="s">
        <v>42</v>
      </c>
      <c r="K3582" s="2" t="s">
        <v>3019</v>
      </c>
      <c r="L3582" t="s">
        <v>187</v>
      </c>
      <c r="M3582" s="8">
        <v>1.6839999999999999</v>
      </c>
      <c r="N3582" t="s">
        <v>26</v>
      </c>
      <c r="O3582" s="8">
        <v>1.6839999999999999</v>
      </c>
      <c r="P3582" s="8">
        <f>EXP(-1.363+3.366*LOG(O3582,10))</f>
        <v>0.54819043975287984</v>
      </c>
      <c r="Q3582" s="8">
        <f>(1955155*100)/2180255</f>
        <v>89.67551960665152</v>
      </c>
    </row>
    <row r="3583" spans="1:17" x14ac:dyDescent="0.2">
      <c r="A3583">
        <f>YEAR(D3583)</f>
        <v>2019</v>
      </c>
      <c r="B3583" t="s">
        <v>26</v>
      </c>
      <c r="C3583" s="2" t="s">
        <v>3025</v>
      </c>
      <c r="D3583" s="1">
        <v>43647</v>
      </c>
      <c r="E3583">
        <f>MONTH(D3583)</f>
        <v>7</v>
      </c>
      <c r="F3583" s="2" t="s">
        <v>19</v>
      </c>
      <c r="G3583" t="s">
        <v>352</v>
      </c>
      <c r="H3583" t="s">
        <v>610</v>
      </c>
      <c r="I3583" t="s">
        <v>22</v>
      </c>
      <c r="J3583" s="2" t="s">
        <v>42</v>
      </c>
      <c r="K3583" s="2" t="s">
        <v>3019</v>
      </c>
      <c r="L3583" t="s">
        <v>25</v>
      </c>
      <c r="M3583" s="8">
        <v>0.86499999999999999</v>
      </c>
      <c r="N3583" t="s">
        <v>26</v>
      </c>
      <c r="O3583" s="8">
        <v>0.86499999999999999</v>
      </c>
      <c r="P3583" s="8">
        <f>EXP(-1.363+3.366*LOG(O3583,10))</f>
        <v>0.20700676972346591</v>
      </c>
      <c r="Q3583" s="8">
        <f>(1955155*100)/2180255</f>
        <v>89.67551960665152</v>
      </c>
    </row>
    <row r="3584" spans="1:17" x14ac:dyDescent="0.2">
      <c r="A3584">
        <f>YEAR(D3584)</f>
        <v>2019</v>
      </c>
      <c r="B3584" t="s">
        <v>26</v>
      </c>
      <c r="C3584" s="2" t="s">
        <v>3025</v>
      </c>
      <c r="D3584" s="1">
        <v>43647</v>
      </c>
      <c r="E3584">
        <f>MONTH(D3584)</f>
        <v>7</v>
      </c>
      <c r="F3584" s="2" t="s">
        <v>19</v>
      </c>
      <c r="G3584" t="s">
        <v>352</v>
      </c>
      <c r="H3584" t="s">
        <v>1142</v>
      </c>
      <c r="I3584" t="s">
        <v>22</v>
      </c>
      <c r="J3584" s="2" t="s">
        <v>42</v>
      </c>
      <c r="K3584" s="2" t="s">
        <v>3019</v>
      </c>
      <c r="L3584" t="s">
        <v>25</v>
      </c>
      <c r="M3584" s="8">
        <v>1.1423333330000001</v>
      </c>
      <c r="N3584" t="s">
        <v>26</v>
      </c>
      <c r="O3584" s="8">
        <v>1.1423333330000001</v>
      </c>
      <c r="P3584" s="8">
        <f>EXP(-1.363+3.366*LOG(O3584,10))</f>
        <v>0.31084239358261528</v>
      </c>
      <c r="Q3584" s="8">
        <f>(1955155*100)/2180255</f>
        <v>89.67551960665152</v>
      </c>
    </row>
    <row r="3585" spans="1:17" x14ac:dyDescent="0.2">
      <c r="A3585">
        <f>YEAR(D3585)</f>
        <v>2019</v>
      </c>
      <c r="B3585" t="s">
        <v>26</v>
      </c>
      <c r="C3585" s="2" t="s">
        <v>3025</v>
      </c>
      <c r="D3585" s="1">
        <v>43647</v>
      </c>
      <c r="E3585">
        <f>MONTH(D3585)</f>
        <v>7</v>
      </c>
      <c r="F3585" s="2" t="s">
        <v>19</v>
      </c>
      <c r="G3585" t="s">
        <v>209</v>
      </c>
      <c r="H3585" t="s">
        <v>212</v>
      </c>
      <c r="I3585" t="s">
        <v>36</v>
      </c>
      <c r="J3585" s="2" t="s">
        <v>42</v>
      </c>
      <c r="K3585" s="2" t="s">
        <v>3019</v>
      </c>
      <c r="L3585" t="s">
        <v>187</v>
      </c>
      <c r="M3585" s="8">
        <v>1.534</v>
      </c>
      <c r="N3585" t="s">
        <v>26</v>
      </c>
      <c r="O3585" s="8">
        <v>1.534</v>
      </c>
      <c r="P3585" s="8">
        <f>EXP(-1.363+3.366*LOG(O3585,10))</f>
        <v>0.47830252961730491</v>
      </c>
      <c r="Q3585" s="8">
        <f>(1955155*100)/2180255</f>
        <v>89.67551960665152</v>
      </c>
    </row>
    <row r="3586" spans="1:17" x14ac:dyDescent="0.2">
      <c r="A3586">
        <f>YEAR(D3586)</f>
        <v>2019</v>
      </c>
      <c r="B3586" t="s">
        <v>26</v>
      </c>
      <c r="C3586" s="2" t="s">
        <v>3025</v>
      </c>
      <c r="D3586" s="1">
        <v>43647</v>
      </c>
      <c r="E3586">
        <f>MONTH(D3586)</f>
        <v>7</v>
      </c>
      <c r="F3586" s="2" t="s">
        <v>19</v>
      </c>
      <c r="G3586" t="s">
        <v>362</v>
      </c>
      <c r="H3586" t="s">
        <v>447</v>
      </c>
      <c r="I3586" t="s">
        <v>22</v>
      </c>
      <c r="J3586" s="2" t="s">
        <v>42</v>
      </c>
      <c r="K3586" s="2" t="s">
        <v>3019</v>
      </c>
      <c r="L3586" t="s">
        <v>25</v>
      </c>
      <c r="M3586" s="8">
        <v>1.421</v>
      </c>
      <c r="N3586" t="s">
        <v>26</v>
      </c>
      <c r="O3586" s="8">
        <v>1.421</v>
      </c>
      <c r="P3586" s="8">
        <f>EXP(-1.363+3.366*LOG(O3586,10))</f>
        <v>0.42768500084673816</v>
      </c>
      <c r="Q3586" s="8">
        <f>(1955155*100)/2180255</f>
        <v>89.67551960665152</v>
      </c>
    </row>
    <row r="3587" spans="1:17" x14ac:dyDescent="0.2">
      <c r="A3587">
        <f>YEAR(D3587)</f>
        <v>2019</v>
      </c>
      <c r="B3587" t="s">
        <v>26</v>
      </c>
      <c r="C3587" s="2" t="s">
        <v>3025</v>
      </c>
      <c r="D3587" s="1">
        <v>43647</v>
      </c>
      <c r="E3587">
        <f>MONTH(D3587)</f>
        <v>7</v>
      </c>
      <c r="F3587" s="2" t="s">
        <v>19</v>
      </c>
      <c r="G3587" t="s">
        <v>352</v>
      </c>
      <c r="H3587" t="s">
        <v>623</v>
      </c>
      <c r="I3587" t="s">
        <v>22</v>
      </c>
      <c r="J3587" s="2" t="s">
        <v>42</v>
      </c>
      <c r="K3587" s="2" t="s">
        <v>3019</v>
      </c>
      <c r="L3587" t="s">
        <v>25</v>
      </c>
      <c r="M3587" s="8">
        <v>1.387</v>
      </c>
      <c r="N3587" t="s">
        <v>26</v>
      </c>
      <c r="O3587" s="8">
        <v>1.387</v>
      </c>
      <c r="P3587" s="8">
        <f>EXP(-1.363+3.366*LOG(O3587,10))</f>
        <v>0.41280884754947733</v>
      </c>
      <c r="Q3587" s="8">
        <f>(1955155*100)/2180255</f>
        <v>89.67551960665152</v>
      </c>
    </row>
    <row r="3588" spans="1:17" x14ac:dyDescent="0.2">
      <c r="A3588">
        <f>YEAR(D3588)</f>
        <v>2019</v>
      </c>
      <c r="B3588" t="s">
        <v>26</v>
      </c>
      <c r="C3588" s="2" t="s">
        <v>3026</v>
      </c>
      <c r="D3588" s="1">
        <v>43647</v>
      </c>
      <c r="E3588">
        <f>MONTH(D3588)</f>
        <v>7</v>
      </c>
      <c r="F3588" s="2" t="s">
        <v>19</v>
      </c>
      <c r="G3588" t="s">
        <v>352</v>
      </c>
      <c r="H3588" t="s">
        <v>1344</v>
      </c>
      <c r="I3588" t="s">
        <v>22</v>
      </c>
      <c r="J3588" s="2" t="s">
        <v>42</v>
      </c>
      <c r="K3588" s="2" t="s">
        <v>3019</v>
      </c>
      <c r="L3588" t="s">
        <v>25</v>
      </c>
      <c r="M3588" s="8">
        <v>0.91800000000000004</v>
      </c>
      <c r="N3588" t="s">
        <v>26</v>
      </c>
      <c r="O3588" s="8">
        <v>0.91800000000000004</v>
      </c>
      <c r="P3588" s="8">
        <f>EXP(-1.363+3.366*LOG(O3588,10))</f>
        <v>0.22580769814771504</v>
      </c>
      <c r="Q3588" s="8">
        <f>(2317420*100)/2442061</f>
        <v>94.896073439606951</v>
      </c>
    </row>
    <row r="3589" spans="1:17" x14ac:dyDescent="0.2">
      <c r="A3589">
        <f>YEAR(D3589)</f>
        <v>2019</v>
      </c>
      <c r="B3589" t="s">
        <v>26</v>
      </c>
      <c r="C3589" s="2" t="s">
        <v>1540</v>
      </c>
      <c r="D3589" s="1">
        <v>43648</v>
      </c>
      <c r="E3589">
        <f>MONTH(D3589)</f>
        <v>7</v>
      </c>
      <c r="F3589" s="2" t="s">
        <v>19</v>
      </c>
      <c r="G3589" t="s">
        <v>352</v>
      </c>
      <c r="H3589" t="s">
        <v>975</v>
      </c>
      <c r="I3589" t="s">
        <v>22</v>
      </c>
      <c r="J3589" s="2" t="s">
        <v>42</v>
      </c>
      <c r="K3589" s="2" t="s">
        <v>3019</v>
      </c>
      <c r="L3589" t="s">
        <v>25</v>
      </c>
      <c r="M3589" s="8">
        <v>1.0693333330000001</v>
      </c>
      <c r="N3589" t="s">
        <v>26</v>
      </c>
      <c r="O3589" s="8">
        <v>1.0693333330000001</v>
      </c>
      <c r="P3589" s="8">
        <f>EXP(-1.363+3.366*LOG(O3589,10))</f>
        <v>0.28223780327142356</v>
      </c>
      <c r="Q3589" s="8">
        <f>(2618262*100)/2995732</f>
        <v>87.399740697766021</v>
      </c>
    </row>
    <row r="3590" spans="1:17" x14ac:dyDescent="0.2">
      <c r="A3590">
        <f>YEAR(D3590)</f>
        <v>2019</v>
      </c>
      <c r="B3590" t="s">
        <v>26</v>
      </c>
      <c r="C3590" s="2" t="s">
        <v>1540</v>
      </c>
      <c r="D3590" s="1">
        <v>43648</v>
      </c>
      <c r="E3590">
        <f>MONTH(D3590)</f>
        <v>7</v>
      </c>
      <c r="F3590" s="2" t="s">
        <v>19</v>
      </c>
      <c r="G3590" t="s">
        <v>352</v>
      </c>
      <c r="H3590" t="s">
        <v>975</v>
      </c>
      <c r="I3590" t="s">
        <v>22</v>
      </c>
      <c r="J3590" s="2" t="s">
        <v>42</v>
      </c>
      <c r="K3590" s="2" t="s">
        <v>3019</v>
      </c>
      <c r="L3590" t="s">
        <v>25</v>
      </c>
      <c r="M3590" s="8">
        <v>1.0693333330000001</v>
      </c>
      <c r="N3590" t="s">
        <v>26</v>
      </c>
      <c r="O3590" s="8">
        <v>1.0693333330000001</v>
      </c>
      <c r="P3590" s="8">
        <f>EXP(-1.363+3.366*LOG(O3590,10))</f>
        <v>0.28223780327142356</v>
      </c>
      <c r="Q3590" s="8">
        <f>(2618262*100)/2995732</f>
        <v>87.399740697766021</v>
      </c>
    </row>
    <row r="3591" spans="1:17" x14ac:dyDescent="0.2">
      <c r="A3591">
        <f>YEAR(D3591)</f>
        <v>2019</v>
      </c>
      <c r="B3591" t="s">
        <v>26</v>
      </c>
      <c r="C3591" s="2" t="s">
        <v>1540</v>
      </c>
      <c r="D3591" s="1">
        <v>43648</v>
      </c>
      <c r="E3591">
        <f>MONTH(D3591)</f>
        <v>7</v>
      </c>
      <c r="F3591" s="2" t="s">
        <v>19</v>
      </c>
      <c r="G3591" t="s">
        <v>20</v>
      </c>
      <c r="H3591" t="s">
        <v>2295</v>
      </c>
      <c r="I3591" t="s">
        <v>36</v>
      </c>
      <c r="J3591" s="2" t="s">
        <v>42</v>
      </c>
      <c r="K3591" s="2" t="s">
        <v>3019</v>
      </c>
      <c r="L3591" t="s">
        <v>25</v>
      </c>
      <c r="M3591" s="8">
        <v>1.0436666670000001</v>
      </c>
      <c r="N3591" t="s">
        <v>26</v>
      </c>
      <c r="O3591" s="8">
        <v>1.0436666670000001</v>
      </c>
      <c r="P3591" s="8">
        <f>EXP(-1.363+3.366*LOG(O3591,10))</f>
        <v>0.27238985802470567</v>
      </c>
      <c r="Q3591" s="8">
        <f>(2618262*100)/2995732</f>
        <v>87.399740697766021</v>
      </c>
    </row>
    <row r="3592" spans="1:17" x14ac:dyDescent="0.2">
      <c r="A3592">
        <f>YEAR(D3592)</f>
        <v>2019</v>
      </c>
      <c r="B3592" t="s">
        <v>26</v>
      </c>
      <c r="C3592" s="2" t="s">
        <v>1540</v>
      </c>
      <c r="D3592" s="1">
        <v>43648</v>
      </c>
      <c r="E3592">
        <f>MONTH(D3592)</f>
        <v>7</v>
      </c>
      <c r="F3592" s="2" t="s">
        <v>19</v>
      </c>
      <c r="G3592" t="s">
        <v>362</v>
      </c>
      <c r="H3592" t="s">
        <v>447</v>
      </c>
      <c r="I3592" t="s">
        <v>22</v>
      </c>
      <c r="J3592" s="2" t="s">
        <v>42</v>
      </c>
      <c r="K3592" s="2" t="s">
        <v>3019</v>
      </c>
      <c r="L3592" t="s">
        <v>25</v>
      </c>
      <c r="M3592" s="8">
        <v>1.421</v>
      </c>
      <c r="N3592" t="s">
        <v>26</v>
      </c>
      <c r="O3592" s="8">
        <v>1.421</v>
      </c>
      <c r="P3592" s="8">
        <f>EXP(-1.363+3.366*LOG(O3592,10))</f>
        <v>0.42768500084673816</v>
      </c>
      <c r="Q3592" s="8">
        <f>(2618262*100)/2995732</f>
        <v>87.399740697766021</v>
      </c>
    </row>
    <row r="3593" spans="1:17" x14ac:dyDescent="0.2">
      <c r="A3593">
        <f>YEAR(D3593)</f>
        <v>2019</v>
      </c>
      <c r="B3593" t="s">
        <v>26</v>
      </c>
      <c r="C3593" s="2" t="s">
        <v>1540</v>
      </c>
      <c r="D3593" s="1">
        <v>43648</v>
      </c>
      <c r="E3593">
        <f>MONTH(D3593)</f>
        <v>7</v>
      </c>
      <c r="F3593" s="2" t="s">
        <v>19</v>
      </c>
      <c r="G3593" t="s">
        <v>352</v>
      </c>
      <c r="H3593" t="s">
        <v>975</v>
      </c>
      <c r="I3593" t="s">
        <v>22</v>
      </c>
      <c r="J3593" s="2" t="s">
        <v>42</v>
      </c>
      <c r="K3593" s="2" t="s">
        <v>3019</v>
      </c>
      <c r="L3593" t="s">
        <v>25</v>
      </c>
      <c r="M3593" s="8">
        <v>1.0693333330000001</v>
      </c>
      <c r="N3593" t="s">
        <v>26</v>
      </c>
      <c r="O3593" s="8">
        <v>1.0693333330000001</v>
      </c>
      <c r="P3593" s="8">
        <f>EXP(-1.363+3.366*LOG(O3593,10))</f>
        <v>0.28223780327142356</v>
      </c>
      <c r="Q3593" s="8">
        <f>(2618262*100)/2995732</f>
        <v>87.399740697766021</v>
      </c>
    </row>
    <row r="3594" spans="1:17" x14ac:dyDescent="0.2">
      <c r="A3594">
        <f>YEAR(D3594)</f>
        <v>2019</v>
      </c>
      <c r="B3594" t="s">
        <v>26</v>
      </c>
      <c r="C3594" s="2" t="s">
        <v>1540</v>
      </c>
      <c r="D3594" s="1">
        <v>43648</v>
      </c>
      <c r="E3594">
        <f>MONTH(D3594)</f>
        <v>7</v>
      </c>
      <c r="F3594" s="2" t="s">
        <v>19</v>
      </c>
      <c r="G3594" t="s">
        <v>352</v>
      </c>
      <c r="H3594" t="s">
        <v>975</v>
      </c>
      <c r="I3594" t="s">
        <v>22</v>
      </c>
      <c r="J3594" s="2" t="s">
        <v>42</v>
      </c>
      <c r="K3594" s="2" t="s">
        <v>3019</v>
      </c>
      <c r="L3594" t="s">
        <v>25</v>
      </c>
      <c r="M3594" s="8">
        <v>1.0693333330000001</v>
      </c>
      <c r="N3594" t="s">
        <v>26</v>
      </c>
      <c r="O3594" s="8">
        <v>1.0693333330000001</v>
      </c>
      <c r="P3594" s="8">
        <f>EXP(-1.363+3.366*LOG(O3594,10))</f>
        <v>0.28223780327142356</v>
      </c>
      <c r="Q3594" s="8">
        <f>(2618262*100)/2995732</f>
        <v>87.399740697766021</v>
      </c>
    </row>
    <row r="3595" spans="1:17" x14ac:dyDescent="0.2">
      <c r="A3595">
        <f>YEAR(D3595)</f>
        <v>2019</v>
      </c>
      <c r="B3595" t="s">
        <v>26</v>
      </c>
      <c r="C3595" s="2" t="s">
        <v>1540</v>
      </c>
      <c r="D3595" s="1">
        <v>43648</v>
      </c>
      <c r="E3595">
        <f>MONTH(D3595)</f>
        <v>7</v>
      </c>
      <c r="F3595" s="2" t="s">
        <v>19</v>
      </c>
      <c r="G3595" t="s">
        <v>352</v>
      </c>
      <c r="H3595" t="s">
        <v>975</v>
      </c>
      <c r="I3595" t="s">
        <v>22</v>
      </c>
      <c r="J3595" s="2" t="s">
        <v>42</v>
      </c>
      <c r="K3595" s="2" t="s">
        <v>3019</v>
      </c>
      <c r="L3595" t="s">
        <v>25</v>
      </c>
      <c r="M3595" s="8">
        <v>1.0693333330000001</v>
      </c>
      <c r="N3595" t="s">
        <v>26</v>
      </c>
      <c r="O3595" s="8">
        <v>1.0693333330000001</v>
      </c>
      <c r="P3595" s="8">
        <f>EXP(-1.363+3.366*LOG(O3595,10))</f>
        <v>0.28223780327142356</v>
      </c>
      <c r="Q3595" s="8">
        <f>(2618262*100)/2995732</f>
        <v>87.399740697766021</v>
      </c>
    </row>
    <row r="3596" spans="1:17" x14ac:dyDescent="0.2">
      <c r="A3596">
        <f>YEAR(D3596)</f>
        <v>2019</v>
      </c>
      <c r="B3596" t="s">
        <v>26</v>
      </c>
      <c r="C3596" s="2" t="s">
        <v>1540</v>
      </c>
      <c r="D3596" s="1">
        <v>43648</v>
      </c>
      <c r="E3596">
        <f>MONTH(D3596)</f>
        <v>7</v>
      </c>
      <c r="F3596" s="2" t="s">
        <v>19</v>
      </c>
      <c r="G3596" t="s">
        <v>352</v>
      </c>
      <c r="H3596" t="s">
        <v>975</v>
      </c>
      <c r="I3596" t="s">
        <v>22</v>
      </c>
      <c r="J3596" s="2" t="s">
        <v>42</v>
      </c>
      <c r="K3596" s="2" t="s">
        <v>3019</v>
      </c>
      <c r="L3596" t="s">
        <v>25</v>
      </c>
      <c r="M3596" s="8">
        <v>1.0693333330000001</v>
      </c>
      <c r="N3596" t="s">
        <v>26</v>
      </c>
      <c r="O3596" s="8">
        <v>1.0693333330000001</v>
      </c>
      <c r="P3596" s="8">
        <f>EXP(-1.363+3.366*LOG(O3596,10))</f>
        <v>0.28223780327142356</v>
      </c>
      <c r="Q3596" s="8">
        <f>(2618262*100)/2995732</f>
        <v>87.399740697766021</v>
      </c>
    </row>
    <row r="3597" spans="1:17" x14ac:dyDescent="0.2">
      <c r="A3597">
        <f>YEAR(D3597)</f>
        <v>2019</v>
      </c>
      <c r="B3597" t="s">
        <v>26</v>
      </c>
      <c r="C3597" s="2" t="s">
        <v>1552</v>
      </c>
      <c r="D3597" s="1">
        <v>43648</v>
      </c>
      <c r="E3597">
        <f>MONTH(D3597)</f>
        <v>7</v>
      </c>
      <c r="F3597" s="2" t="s">
        <v>19</v>
      </c>
      <c r="G3597" t="s">
        <v>362</v>
      </c>
      <c r="H3597" t="s">
        <v>447</v>
      </c>
      <c r="I3597" t="s">
        <v>22</v>
      </c>
      <c r="J3597" s="2" t="s">
        <v>42</v>
      </c>
      <c r="K3597" s="2" t="s">
        <v>3019</v>
      </c>
      <c r="L3597" t="s">
        <v>25</v>
      </c>
      <c r="M3597" s="8">
        <v>1.421</v>
      </c>
      <c r="N3597" t="s">
        <v>26</v>
      </c>
      <c r="O3597" s="8">
        <v>1.421</v>
      </c>
      <c r="P3597" s="8">
        <f>EXP(-1.363+3.366*LOG(O3597,10))</f>
        <v>0.42768500084673816</v>
      </c>
      <c r="Q3597" s="8">
        <f>(3738946*100)/3915493</f>
        <v>95.491065875995687</v>
      </c>
    </row>
    <row r="3598" spans="1:17" x14ac:dyDescent="0.2">
      <c r="A3598">
        <f>YEAR(D3598)</f>
        <v>2019</v>
      </c>
      <c r="B3598" t="s">
        <v>26</v>
      </c>
      <c r="C3598" s="2" t="s">
        <v>3022</v>
      </c>
      <c r="D3598" s="1">
        <v>43654</v>
      </c>
      <c r="E3598">
        <f>MONTH(D3598)</f>
        <v>7</v>
      </c>
      <c r="F3598" s="2" t="s">
        <v>2098</v>
      </c>
      <c r="G3598" t="s">
        <v>230</v>
      </c>
      <c r="H3598" t="s">
        <v>235</v>
      </c>
      <c r="I3598" t="s">
        <v>22</v>
      </c>
      <c r="J3598" s="2" t="s">
        <v>42</v>
      </c>
      <c r="K3598" s="2" t="s">
        <v>3019</v>
      </c>
      <c r="L3598" t="s">
        <v>25</v>
      </c>
      <c r="M3598" s="8">
        <v>3.4609999999999999</v>
      </c>
      <c r="N3598" t="s">
        <v>26</v>
      </c>
      <c r="O3598" s="8">
        <v>3.4609999999999999</v>
      </c>
      <c r="P3598" s="8">
        <f>EXP(-1.363+3.366*LOG(O3598,10))</f>
        <v>1.5713774371592206</v>
      </c>
      <c r="Q3598" s="8">
        <f>(4437920*100)/4638971</f>
        <v>95.666043180696747</v>
      </c>
    </row>
    <row r="3599" spans="1:17" x14ac:dyDescent="0.2">
      <c r="A3599">
        <f>YEAR(D3599)</f>
        <v>2019</v>
      </c>
      <c r="B3599" t="s">
        <v>26</v>
      </c>
      <c r="C3599" s="2" t="s">
        <v>3022</v>
      </c>
      <c r="D3599" s="1">
        <v>43654</v>
      </c>
      <c r="E3599">
        <f>MONTH(D3599)</f>
        <v>7</v>
      </c>
      <c r="F3599" s="2" t="s">
        <v>2098</v>
      </c>
      <c r="G3599" t="s">
        <v>230</v>
      </c>
      <c r="H3599" t="s">
        <v>268</v>
      </c>
      <c r="I3599" t="s">
        <v>22</v>
      </c>
      <c r="J3599" s="2" t="s">
        <v>42</v>
      </c>
      <c r="K3599" s="2" t="s">
        <v>3019</v>
      </c>
      <c r="L3599" t="s">
        <v>25</v>
      </c>
      <c r="M3599" s="8">
        <v>3.5356666670000001</v>
      </c>
      <c r="N3599" t="s">
        <v>26</v>
      </c>
      <c r="O3599" s="8">
        <v>3.5356666670000001</v>
      </c>
      <c r="P3599" s="8">
        <f>EXP(-1.363+3.366*LOG(O3599,10))</f>
        <v>1.6211802664427075</v>
      </c>
      <c r="Q3599" s="8">
        <f>(4437920*100)/4638971</f>
        <v>95.666043180696747</v>
      </c>
    </row>
    <row r="3600" spans="1:17" x14ac:dyDescent="0.2">
      <c r="A3600">
        <f>YEAR(D3600)</f>
        <v>2019</v>
      </c>
      <c r="B3600" t="s">
        <v>26</v>
      </c>
      <c r="C3600" s="2" t="s">
        <v>3022</v>
      </c>
      <c r="D3600" s="1">
        <v>43654</v>
      </c>
      <c r="E3600">
        <f>MONTH(D3600)</f>
        <v>7</v>
      </c>
      <c r="F3600" s="2" t="s">
        <v>2098</v>
      </c>
      <c r="G3600" t="s">
        <v>219</v>
      </c>
      <c r="H3600" t="s">
        <v>220</v>
      </c>
      <c r="I3600" t="s">
        <v>22</v>
      </c>
      <c r="J3600" s="2" t="s">
        <v>42</v>
      </c>
      <c r="K3600" s="2" t="s">
        <v>3019</v>
      </c>
      <c r="L3600" t="s">
        <v>25</v>
      </c>
      <c r="M3600" s="10" t="s">
        <v>26</v>
      </c>
      <c r="N3600" t="s">
        <v>26</v>
      </c>
      <c r="O3600" s="10" t="s">
        <v>26</v>
      </c>
      <c r="P3600" s="8" t="s">
        <v>26</v>
      </c>
      <c r="Q3600" s="8">
        <f>(4437920*100)/4638971</f>
        <v>95.666043180696747</v>
      </c>
    </row>
    <row r="3601" spans="1:17" x14ac:dyDescent="0.2">
      <c r="A3601">
        <f>YEAR(D3601)</f>
        <v>2019</v>
      </c>
      <c r="B3601" t="s">
        <v>26</v>
      </c>
      <c r="C3601" s="2" t="s">
        <v>3022</v>
      </c>
      <c r="D3601" s="1">
        <v>43654</v>
      </c>
      <c r="E3601">
        <f>MONTH(D3601)</f>
        <v>7</v>
      </c>
      <c r="F3601" s="2" t="s">
        <v>2098</v>
      </c>
      <c r="G3601" t="s">
        <v>219</v>
      </c>
      <c r="H3601" t="s">
        <v>220</v>
      </c>
      <c r="I3601" t="s">
        <v>22</v>
      </c>
      <c r="J3601" s="2" t="s">
        <v>42</v>
      </c>
      <c r="K3601" s="2" t="s">
        <v>3019</v>
      </c>
      <c r="L3601" t="s">
        <v>25</v>
      </c>
      <c r="M3601" s="10" t="s">
        <v>26</v>
      </c>
      <c r="N3601" t="s">
        <v>26</v>
      </c>
      <c r="O3601" s="10" t="s">
        <v>26</v>
      </c>
      <c r="P3601" s="8" t="s">
        <v>26</v>
      </c>
      <c r="Q3601" s="8">
        <f>(4437920*100)/4638971</f>
        <v>95.666043180696747</v>
      </c>
    </row>
    <row r="3602" spans="1:17" x14ac:dyDescent="0.2">
      <c r="A3602">
        <f>YEAR(D3602)</f>
        <v>2019</v>
      </c>
      <c r="B3602" t="s">
        <v>26</v>
      </c>
      <c r="C3602" s="2" t="s">
        <v>3022</v>
      </c>
      <c r="D3602" s="1">
        <v>43654</v>
      </c>
      <c r="E3602">
        <f>MONTH(D3602)</f>
        <v>7</v>
      </c>
      <c r="F3602" s="2" t="s">
        <v>2098</v>
      </c>
      <c r="G3602" t="s">
        <v>219</v>
      </c>
      <c r="H3602" t="s">
        <v>220</v>
      </c>
      <c r="I3602" t="s">
        <v>22</v>
      </c>
      <c r="J3602" s="2" t="s">
        <v>42</v>
      </c>
      <c r="K3602" s="2" t="s">
        <v>3019</v>
      </c>
      <c r="L3602" t="s">
        <v>25</v>
      </c>
      <c r="M3602" s="10" t="s">
        <v>26</v>
      </c>
      <c r="N3602" t="s">
        <v>26</v>
      </c>
      <c r="O3602" s="10" t="s">
        <v>26</v>
      </c>
      <c r="P3602" s="8" t="s">
        <v>26</v>
      </c>
      <c r="Q3602" s="8">
        <f>(4437920*100)/4638971</f>
        <v>95.666043180696747</v>
      </c>
    </row>
    <row r="3603" spans="1:17" ht="16" x14ac:dyDescent="0.2">
      <c r="A3603">
        <f>YEAR(D3603)</f>
        <v>2019</v>
      </c>
      <c r="B3603" t="s">
        <v>26</v>
      </c>
      <c r="C3603" s="2" t="s">
        <v>3022</v>
      </c>
      <c r="D3603" s="1">
        <v>43654</v>
      </c>
      <c r="E3603">
        <f>MONTH(D3603)</f>
        <v>7</v>
      </c>
      <c r="F3603" s="2" t="s">
        <v>2098</v>
      </c>
      <c r="G3603" t="s">
        <v>318</v>
      </c>
      <c r="H3603" t="s">
        <v>319</v>
      </c>
      <c r="I3603" s="3" t="s">
        <v>26</v>
      </c>
      <c r="J3603" s="2" t="s">
        <v>42</v>
      </c>
      <c r="K3603" s="2" t="s">
        <v>3019</v>
      </c>
      <c r="L3603" t="s">
        <v>25</v>
      </c>
      <c r="M3603" s="10" t="s">
        <v>26</v>
      </c>
      <c r="N3603" t="s">
        <v>26</v>
      </c>
      <c r="O3603" s="8" t="s">
        <v>26</v>
      </c>
      <c r="P3603" s="8" t="s">
        <v>26</v>
      </c>
      <c r="Q3603" s="8">
        <f>(4437920*100)/4638971</f>
        <v>95.666043180696747</v>
      </c>
    </row>
    <row r="3604" spans="1:17" x14ac:dyDescent="0.2">
      <c r="A3604">
        <f>YEAR(D3604)</f>
        <v>2019</v>
      </c>
      <c r="B3604" t="s">
        <v>26</v>
      </c>
      <c r="C3604" s="2" t="s">
        <v>3022</v>
      </c>
      <c r="D3604" s="1">
        <v>43654</v>
      </c>
      <c r="E3604">
        <f>MONTH(D3604)</f>
        <v>7</v>
      </c>
      <c r="F3604" s="2" t="s">
        <v>2098</v>
      </c>
      <c r="G3604" t="s">
        <v>219</v>
      </c>
      <c r="H3604" t="s">
        <v>220</v>
      </c>
      <c r="I3604" t="s">
        <v>22</v>
      </c>
      <c r="J3604" s="2" t="s">
        <v>42</v>
      </c>
      <c r="K3604" s="2" t="s">
        <v>3019</v>
      </c>
      <c r="L3604" t="s">
        <v>25</v>
      </c>
      <c r="M3604" s="10" t="s">
        <v>26</v>
      </c>
      <c r="N3604" t="s">
        <v>26</v>
      </c>
      <c r="O3604" s="10" t="s">
        <v>26</v>
      </c>
      <c r="P3604" s="8" t="s">
        <v>26</v>
      </c>
      <c r="Q3604" s="8">
        <f>(4437920*100)/4638971</f>
        <v>95.666043180696747</v>
      </c>
    </row>
    <row r="3605" spans="1:17" x14ac:dyDescent="0.2">
      <c r="A3605">
        <f>YEAR(D3605)</f>
        <v>2019</v>
      </c>
      <c r="B3605" t="s">
        <v>26</v>
      </c>
      <c r="C3605" s="2" t="s">
        <v>3022</v>
      </c>
      <c r="D3605" s="1">
        <v>43654</v>
      </c>
      <c r="E3605">
        <f>MONTH(D3605)</f>
        <v>7</v>
      </c>
      <c r="F3605" s="2" t="s">
        <v>2098</v>
      </c>
      <c r="G3605" t="s">
        <v>219</v>
      </c>
      <c r="H3605" t="s">
        <v>220</v>
      </c>
      <c r="I3605" t="s">
        <v>22</v>
      </c>
      <c r="J3605" s="2" t="s">
        <v>42</v>
      </c>
      <c r="K3605" s="2" t="s">
        <v>3019</v>
      </c>
      <c r="L3605" t="s">
        <v>25</v>
      </c>
      <c r="M3605" s="10" t="s">
        <v>26</v>
      </c>
      <c r="N3605" t="s">
        <v>26</v>
      </c>
      <c r="O3605" s="10" t="s">
        <v>26</v>
      </c>
      <c r="P3605" s="8" t="s">
        <v>26</v>
      </c>
      <c r="Q3605" s="8">
        <f>(4437920*100)/4638971</f>
        <v>95.666043180696747</v>
      </c>
    </row>
    <row r="3606" spans="1:17" x14ac:dyDescent="0.2">
      <c r="A3606">
        <f>YEAR(D3606)</f>
        <v>2019</v>
      </c>
      <c r="B3606" t="s">
        <v>26</v>
      </c>
      <c r="C3606" s="2" t="s">
        <v>3022</v>
      </c>
      <c r="D3606" s="1">
        <v>43654</v>
      </c>
      <c r="E3606">
        <f>MONTH(D3606)</f>
        <v>7</v>
      </c>
      <c r="F3606" s="2" t="s">
        <v>2098</v>
      </c>
      <c r="G3606" t="s">
        <v>219</v>
      </c>
      <c r="H3606" t="s">
        <v>220</v>
      </c>
      <c r="I3606" t="s">
        <v>22</v>
      </c>
      <c r="J3606" s="2" t="s">
        <v>42</v>
      </c>
      <c r="K3606" s="2" t="s">
        <v>3019</v>
      </c>
      <c r="L3606" t="s">
        <v>25</v>
      </c>
      <c r="M3606" s="10" t="s">
        <v>26</v>
      </c>
      <c r="N3606" t="s">
        <v>26</v>
      </c>
      <c r="O3606" s="10" t="s">
        <v>26</v>
      </c>
      <c r="P3606" s="8" t="s">
        <v>26</v>
      </c>
      <c r="Q3606" s="8">
        <f>(4437920*100)/4638971</f>
        <v>95.666043180696747</v>
      </c>
    </row>
    <row r="3607" spans="1:17" x14ac:dyDescent="0.2">
      <c r="A3607">
        <f>YEAR(D3607)</f>
        <v>2019</v>
      </c>
      <c r="B3607" t="s">
        <v>26</v>
      </c>
      <c r="C3607" s="2" t="s">
        <v>3022</v>
      </c>
      <c r="D3607" s="1">
        <v>43654</v>
      </c>
      <c r="E3607">
        <f>MONTH(D3607)</f>
        <v>7</v>
      </c>
      <c r="F3607" s="2" t="s">
        <v>2098</v>
      </c>
      <c r="G3607" t="s">
        <v>219</v>
      </c>
      <c r="H3607" t="s">
        <v>220</v>
      </c>
      <c r="I3607" t="s">
        <v>22</v>
      </c>
      <c r="J3607" s="2" t="s">
        <v>42</v>
      </c>
      <c r="K3607" s="2" t="s">
        <v>3019</v>
      </c>
      <c r="L3607" t="s">
        <v>25</v>
      </c>
      <c r="M3607" s="10" t="s">
        <v>26</v>
      </c>
      <c r="N3607" t="s">
        <v>26</v>
      </c>
      <c r="O3607" s="10" t="s">
        <v>26</v>
      </c>
      <c r="P3607" s="8" t="s">
        <v>26</v>
      </c>
      <c r="Q3607" s="8">
        <f>(4437920*100)/4638971</f>
        <v>95.666043180696747</v>
      </c>
    </row>
    <row r="3608" spans="1:17" x14ac:dyDescent="0.2">
      <c r="A3608">
        <f>YEAR(D3608)</f>
        <v>2019</v>
      </c>
      <c r="B3608" t="s">
        <v>26</v>
      </c>
      <c r="C3608" s="2" t="s">
        <v>3022</v>
      </c>
      <c r="D3608" s="1">
        <v>43654</v>
      </c>
      <c r="E3608">
        <f>MONTH(D3608)</f>
        <v>7</v>
      </c>
      <c r="F3608" s="2" t="s">
        <v>2098</v>
      </c>
      <c r="G3608" t="s">
        <v>219</v>
      </c>
      <c r="H3608" t="s">
        <v>220</v>
      </c>
      <c r="I3608" t="s">
        <v>22</v>
      </c>
      <c r="J3608" s="2" t="s">
        <v>42</v>
      </c>
      <c r="K3608" s="2" t="s">
        <v>3019</v>
      </c>
      <c r="L3608" t="s">
        <v>25</v>
      </c>
      <c r="M3608" s="10" t="s">
        <v>26</v>
      </c>
      <c r="N3608" t="s">
        <v>26</v>
      </c>
      <c r="O3608" s="10" t="s">
        <v>26</v>
      </c>
      <c r="P3608" s="8" t="s">
        <v>26</v>
      </c>
      <c r="Q3608" s="8">
        <f>(4437920*100)/4638971</f>
        <v>95.666043180696747</v>
      </c>
    </row>
    <row r="3609" spans="1:17" x14ac:dyDescent="0.2">
      <c r="A3609">
        <f>YEAR(D3609)</f>
        <v>2019</v>
      </c>
      <c r="B3609" t="s">
        <v>26</v>
      </c>
      <c r="C3609" s="2" t="s">
        <v>3022</v>
      </c>
      <c r="D3609" s="1">
        <v>43654</v>
      </c>
      <c r="E3609">
        <f>MONTH(D3609)</f>
        <v>7</v>
      </c>
      <c r="F3609" s="2" t="s">
        <v>2098</v>
      </c>
      <c r="G3609" t="s">
        <v>219</v>
      </c>
      <c r="H3609" t="s">
        <v>220</v>
      </c>
      <c r="I3609" t="s">
        <v>22</v>
      </c>
      <c r="J3609" s="2" t="s">
        <v>42</v>
      </c>
      <c r="K3609" s="2" t="s">
        <v>3019</v>
      </c>
      <c r="L3609" t="s">
        <v>25</v>
      </c>
      <c r="M3609" s="10" t="s">
        <v>26</v>
      </c>
      <c r="N3609" t="s">
        <v>26</v>
      </c>
      <c r="O3609" s="10" t="s">
        <v>26</v>
      </c>
      <c r="P3609" s="8" t="s">
        <v>26</v>
      </c>
      <c r="Q3609" s="8">
        <f>(4437920*100)/4638971</f>
        <v>95.666043180696747</v>
      </c>
    </row>
    <row r="3610" spans="1:17" x14ac:dyDescent="0.2">
      <c r="A3610">
        <f>YEAR(D3610)</f>
        <v>2019</v>
      </c>
      <c r="B3610" t="s">
        <v>26</v>
      </c>
      <c r="C3610" s="2" t="s">
        <v>3022</v>
      </c>
      <c r="D3610" s="1">
        <v>43654</v>
      </c>
      <c r="E3610">
        <f>MONTH(D3610)</f>
        <v>7</v>
      </c>
      <c r="F3610" s="2" t="s">
        <v>2098</v>
      </c>
      <c r="G3610" t="s">
        <v>219</v>
      </c>
      <c r="H3610" t="s">
        <v>220</v>
      </c>
      <c r="I3610" t="s">
        <v>22</v>
      </c>
      <c r="J3610" s="2" t="s">
        <v>42</v>
      </c>
      <c r="K3610" s="2" t="s">
        <v>3019</v>
      </c>
      <c r="L3610" t="s">
        <v>25</v>
      </c>
      <c r="M3610" s="10" t="s">
        <v>26</v>
      </c>
      <c r="N3610" t="s">
        <v>26</v>
      </c>
      <c r="O3610" s="10" t="s">
        <v>26</v>
      </c>
      <c r="P3610" s="8" t="s">
        <v>26</v>
      </c>
      <c r="Q3610" s="8">
        <f>(4437920*100)/4638971</f>
        <v>95.666043180696747</v>
      </c>
    </row>
    <row r="3611" spans="1:17" x14ac:dyDescent="0.2">
      <c r="A3611">
        <f>YEAR(D3611)</f>
        <v>2019</v>
      </c>
      <c r="B3611" t="s">
        <v>26</v>
      </c>
      <c r="C3611" s="2" t="s">
        <v>3022</v>
      </c>
      <c r="D3611" s="1">
        <v>43654</v>
      </c>
      <c r="E3611">
        <f>MONTH(D3611)</f>
        <v>7</v>
      </c>
      <c r="F3611" s="2" t="s">
        <v>2098</v>
      </c>
      <c r="G3611" t="s">
        <v>219</v>
      </c>
      <c r="H3611" t="s">
        <v>220</v>
      </c>
      <c r="I3611" t="s">
        <v>22</v>
      </c>
      <c r="J3611" s="2" t="s">
        <v>42</v>
      </c>
      <c r="K3611" s="2" t="s">
        <v>3019</v>
      </c>
      <c r="L3611" t="s">
        <v>25</v>
      </c>
      <c r="M3611" s="10" t="s">
        <v>26</v>
      </c>
      <c r="N3611" t="s">
        <v>26</v>
      </c>
      <c r="O3611" s="10" t="s">
        <v>26</v>
      </c>
      <c r="P3611" s="8" t="s">
        <v>26</v>
      </c>
      <c r="Q3611" s="8">
        <f>(4437920*100)/4638971</f>
        <v>95.666043180696747</v>
      </c>
    </row>
    <row r="3612" spans="1:17" x14ac:dyDescent="0.2">
      <c r="A3612">
        <f>YEAR(D3612)</f>
        <v>2019</v>
      </c>
      <c r="B3612" t="s">
        <v>26</v>
      </c>
      <c r="C3612" s="2" t="s">
        <v>3022</v>
      </c>
      <c r="D3612" s="1">
        <v>43654</v>
      </c>
      <c r="E3612">
        <f>MONTH(D3612)</f>
        <v>7</v>
      </c>
      <c r="F3612" s="2" t="s">
        <v>2098</v>
      </c>
      <c r="G3612" t="s">
        <v>219</v>
      </c>
      <c r="H3612" t="s">
        <v>220</v>
      </c>
      <c r="I3612" t="s">
        <v>22</v>
      </c>
      <c r="J3612" s="2" t="s">
        <v>42</v>
      </c>
      <c r="K3612" s="2" t="s">
        <v>3019</v>
      </c>
      <c r="L3612" t="s">
        <v>25</v>
      </c>
      <c r="M3612" s="10" t="s">
        <v>26</v>
      </c>
      <c r="N3612" t="s">
        <v>26</v>
      </c>
      <c r="O3612" s="10" t="s">
        <v>26</v>
      </c>
      <c r="P3612" s="8" t="s">
        <v>26</v>
      </c>
      <c r="Q3612" s="8">
        <f>(4437920*100)/4638971</f>
        <v>95.666043180696747</v>
      </c>
    </row>
    <row r="3613" spans="1:17" x14ac:dyDescent="0.2">
      <c r="A3613">
        <f>YEAR(D3613)</f>
        <v>2019</v>
      </c>
      <c r="B3613" t="s">
        <v>26</v>
      </c>
      <c r="C3613" s="2" t="s">
        <v>3022</v>
      </c>
      <c r="D3613" s="1">
        <v>43654</v>
      </c>
      <c r="E3613">
        <f>MONTH(D3613)</f>
        <v>7</v>
      </c>
      <c r="F3613" s="2" t="s">
        <v>2098</v>
      </c>
      <c r="G3613" t="s">
        <v>219</v>
      </c>
      <c r="H3613" t="s">
        <v>220</v>
      </c>
      <c r="I3613" t="s">
        <v>22</v>
      </c>
      <c r="J3613" s="2" t="s">
        <v>42</v>
      </c>
      <c r="K3613" s="2" t="s">
        <v>3019</v>
      </c>
      <c r="L3613" t="s">
        <v>25</v>
      </c>
      <c r="M3613" s="10" t="s">
        <v>26</v>
      </c>
      <c r="N3613" t="s">
        <v>26</v>
      </c>
      <c r="O3613" s="10" t="s">
        <v>26</v>
      </c>
      <c r="P3613" s="8" t="s">
        <v>26</v>
      </c>
      <c r="Q3613" s="8">
        <f>(4437920*100)/4638971</f>
        <v>95.666043180696747</v>
      </c>
    </row>
    <row r="3614" spans="1:17" x14ac:dyDescent="0.2">
      <c r="A3614">
        <f>YEAR(D3614)</f>
        <v>2019</v>
      </c>
      <c r="B3614" t="s">
        <v>26</v>
      </c>
      <c r="C3614" s="2" t="s">
        <v>3022</v>
      </c>
      <c r="D3614" s="1">
        <v>43654</v>
      </c>
      <c r="E3614">
        <f>MONTH(D3614)</f>
        <v>7</v>
      </c>
      <c r="F3614" s="2" t="s">
        <v>2098</v>
      </c>
      <c r="G3614" t="s">
        <v>219</v>
      </c>
      <c r="H3614" t="s">
        <v>220</v>
      </c>
      <c r="I3614" t="s">
        <v>22</v>
      </c>
      <c r="J3614" s="2" t="s">
        <v>42</v>
      </c>
      <c r="K3614" s="2" t="s">
        <v>3019</v>
      </c>
      <c r="L3614" t="s">
        <v>25</v>
      </c>
      <c r="M3614" s="10" t="s">
        <v>26</v>
      </c>
      <c r="N3614" t="s">
        <v>26</v>
      </c>
      <c r="O3614" s="10" t="s">
        <v>26</v>
      </c>
      <c r="P3614" s="8" t="s">
        <v>26</v>
      </c>
      <c r="Q3614" s="8">
        <f>(4437920*100)/4638971</f>
        <v>95.666043180696747</v>
      </c>
    </row>
    <row r="3615" spans="1:17" x14ac:dyDescent="0.2">
      <c r="A3615">
        <f>YEAR(D3615)</f>
        <v>2019</v>
      </c>
      <c r="B3615" t="s">
        <v>26</v>
      </c>
      <c r="C3615" s="2" t="s">
        <v>3022</v>
      </c>
      <c r="D3615" s="1">
        <v>43654</v>
      </c>
      <c r="E3615">
        <f>MONTH(D3615)</f>
        <v>7</v>
      </c>
      <c r="F3615" s="2" t="s">
        <v>2098</v>
      </c>
      <c r="G3615" t="s">
        <v>219</v>
      </c>
      <c r="H3615" t="s">
        <v>220</v>
      </c>
      <c r="I3615" t="s">
        <v>22</v>
      </c>
      <c r="J3615" s="2" t="s">
        <v>42</v>
      </c>
      <c r="K3615" s="2" t="s">
        <v>3019</v>
      </c>
      <c r="L3615" t="s">
        <v>25</v>
      </c>
      <c r="M3615" s="10" t="s">
        <v>26</v>
      </c>
      <c r="N3615" t="s">
        <v>26</v>
      </c>
      <c r="O3615" s="10" t="s">
        <v>26</v>
      </c>
      <c r="P3615" s="8" t="s">
        <v>26</v>
      </c>
      <c r="Q3615" s="8">
        <f>(4437920*100)/4638971</f>
        <v>95.666043180696747</v>
      </c>
    </row>
    <row r="3616" spans="1:17" x14ac:dyDescent="0.2">
      <c r="A3616">
        <f>YEAR(D3616)</f>
        <v>2019</v>
      </c>
      <c r="B3616" t="s">
        <v>26</v>
      </c>
      <c r="C3616" s="2" t="s">
        <v>3022</v>
      </c>
      <c r="D3616" s="1">
        <v>43654</v>
      </c>
      <c r="E3616">
        <f>MONTH(D3616)</f>
        <v>7</v>
      </c>
      <c r="F3616" s="2" t="s">
        <v>2098</v>
      </c>
      <c r="G3616" t="s">
        <v>219</v>
      </c>
      <c r="H3616" t="s">
        <v>220</v>
      </c>
      <c r="I3616" t="s">
        <v>22</v>
      </c>
      <c r="J3616" s="2" t="s">
        <v>42</v>
      </c>
      <c r="K3616" s="2" t="s">
        <v>3019</v>
      </c>
      <c r="L3616" t="s">
        <v>25</v>
      </c>
      <c r="M3616" s="10" t="s">
        <v>26</v>
      </c>
      <c r="N3616" t="s">
        <v>26</v>
      </c>
      <c r="O3616" s="10" t="s">
        <v>26</v>
      </c>
      <c r="P3616" s="8" t="s">
        <v>26</v>
      </c>
      <c r="Q3616" s="8">
        <f>(4437920*100)/4638971</f>
        <v>95.666043180696747</v>
      </c>
    </row>
    <row r="3617" spans="1:17" x14ac:dyDescent="0.2">
      <c r="A3617">
        <f>YEAR(D3617)</f>
        <v>2019</v>
      </c>
      <c r="B3617" t="s">
        <v>26</v>
      </c>
      <c r="C3617" s="2" t="s">
        <v>3022</v>
      </c>
      <c r="D3617" s="1">
        <v>43654</v>
      </c>
      <c r="E3617">
        <f>MONTH(D3617)</f>
        <v>7</v>
      </c>
      <c r="F3617" s="2" t="s">
        <v>2098</v>
      </c>
      <c r="G3617" t="s">
        <v>219</v>
      </c>
      <c r="H3617" t="s">
        <v>220</v>
      </c>
      <c r="I3617" t="s">
        <v>22</v>
      </c>
      <c r="J3617" s="2" t="s">
        <v>42</v>
      </c>
      <c r="K3617" s="2" t="s">
        <v>3019</v>
      </c>
      <c r="L3617" t="s">
        <v>25</v>
      </c>
      <c r="M3617" s="10" t="s">
        <v>26</v>
      </c>
      <c r="N3617" t="s">
        <v>26</v>
      </c>
      <c r="O3617" s="10" t="s">
        <v>26</v>
      </c>
      <c r="P3617" s="8" t="s">
        <v>26</v>
      </c>
      <c r="Q3617" s="8">
        <f>(4437920*100)/4638971</f>
        <v>95.666043180696747</v>
      </c>
    </row>
    <row r="3618" spans="1:17" x14ac:dyDescent="0.2">
      <c r="A3618">
        <f>YEAR(D3618)</f>
        <v>2019</v>
      </c>
      <c r="B3618" t="s">
        <v>26</v>
      </c>
      <c r="C3618" s="2" t="s">
        <v>3022</v>
      </c>
      <c r="D3618" s="1">
        <v>43654</v>
      </c>
      <c r="E3618">
        <f>MONTH(D3618)</f>
        <v>7</v>
      </c>
      <c r="F3618" s="2" t="s">
        <v>2098</v>
      </c>
      <c r="G3618" t="s">
        <v>219</v>
      </c>
      <c r="H3618" t="s">
        <v>220</v>
      </c>
      <c r="I3618" t="s">
        <v>22</v>
      </c>
      <c r="J3618" s="2" t="s">
        <v>42</v>
      </c>
      <c r="K3618" s="2" t="s">
        <v>3019</v>
      </c>
      <c r="L3618" t="s">
        <v>25</v>
      </c>
      <c r="M3618" s="10" t="s">
        <v>26</v>
      </c>
      <c r="N3618" t="s">
        <v>26</v>
      </c>
      <c r="O3618" s="10" t="s">
        <v>26</v>
      </c>
      <c r="P3618" s="8" t="s">
        <v>26</v>
      </c>
      <c r="Q3618" s="8">
        <f>(4437920*100)/4638971</f>
        <v>95.666043180696747</v>
      </c>
    </row>
    <row r="3619" spans="1:17" x14ac:dyDescent="0.2">
      <c r="A3619">
        <f>YEAR(D3619)</f>
        <v>2019</v>
      </c>
      <c r="B3619" t="s">
        <v>26</v>
      </c>
      <c r="C3619" s="2" t="s">
        <v>3022</v>
      </c>
      <c r="D3619" s="1">
        <v>43654</v>
      </c>
      <c r="E3619">
        <f>MONTH(D3619)</f>
        <v>7</v>
      </c>
      <c r="F3619" s="2" t="s">
        <v>2098</v>
      </c>
      <c r="G3619" t="s">
        <v>219</v>
      </c>
      <c r="H3619" t="s">
        <v>220</v>
      </c>
      <c r="I3619" t="s">
        <v>22</v>
      </c>
      <c r="J3619" s="2" t="s">
        <v>42</v>
      </c>
      <c r="K3619" s="2" t="s">
        <v>3019</v>
      </c>
      <c r="L3619" t="s">
        <v>25</v>
      </c>
      <c r="M3619" s="10" t="s">
        <v>26</v>
      </c>
      <c r="N3619" t="s">
        <v>26</v>
      </c>
      <c r="O3619" s="10" t="s">
        <v>26</v>
      </c>
      <c r="P3619" s="8" t="s">
        <v>26</v>
      </c>
      <c r="Q3619" s="8">
        <f>(4437920*100)/4638971</f>
        <v>95.666043180696747</v>
      </c>
    </row>
    <row r="3620" spans="1:17" x14ac:dyDescent="0.2">
      <c r="A3620">
        <f>YEAR(D3620)</f>
        <v>2019</v>
      </c>
      <c r="B3620" t="s">
        <v>26</v>
      </c>
      <c r="C3620" s="2" t="s">
        <v>3022</v>
      </c>
      <c r="D3620" s="1">
        <v>43654</v>
      </c>
      <c r="E3620">
        <f>MONTH(D3620)</f>
        <v>7</v>
      </c>
      <c r="F3620" s="2" t="s">
        <v>2098</v>
      </c>
      <c r="G3620" t="s">
        <v>352</v>
      </c>
      <c r="H3620" t="s">
        <v>494</v>
      </c>
      <c r="I3620" t="s">
        <v>22</v>
      </c>
      <c r="J3620" s="2" t="s">
        <v>42</v>
      </c>
      <c r="K3620" s="2" t="s">
        <v>3019</v>
      </c>
      <c r="L3620" t="s">
        <v>25</v>
      </c>
      <c r="M3620" s="8">
        <v>1.7226666669999999</v>
      </c>
      <c r="N3620" t="s">
        <v>26</v>
      </c>
      <c r="O3620" s="8">
        <v>1.7226666669999999</v>
      </c>
      <c r="P3620" s="8">
        <f>EXP(-1.363+3.366*LOG(O3620,10))</f>
        <v>0.56668788662759551</v>
      </c>
      <c r="Q3620" s="8">
        <f>(4437920*100)/4638971</f>
        <v>95.666043180696747</v>
      </c>
    </row>
    <row r="3621" spans="1:17" x14ac:dyDescent="0.2">
      <c r="A3621">
        <f>YEAR(D3621)</f>
        <v>2019</v>
      </c>
      <c r="B3621" t="s">
        <v>26</v>
      </c>
      <c r="C3621" s="2" t="s">
        <v>3022</v>
      </c>
      <c r="D3621" s="1">
        <v>43654</v>
      </c>
      <c r="E3621">
        <f>MONTH(D3621)</f>
        <v>7</v>
      </c>
      <c r="F3621" s="2" t="s">
        <v>2098</v>
      </c>
      <c r="G3621" s="2" t="s">
        <v>230</v>
      </c>
      <c r="H3621" t="s">
        <v>3054</v>
      </c>
      <c r="I3621" t="s">
        <v>36</v>
      </c>
      <c r="J3621" s="2" t="s">
        <v>42</v>
      </c>
      <c r="K3621" s="2" t="s">
        <v>3019</v>
      </c>
      <c r="L3621" t="s">
        <v>25</v>
      </c>
      <c r="M3621" s="8">
        <v>3.3713333333333337</v>
      </c>
      <c r="N3621" t="s">
        <v>26</v>
      </c>
      <c r="O3621" s="8">
        <v>3.3713333333333337</v>
      </c>
      <c r="P3621" s="8">
        <f>EXP(-1.363+3.366*LOG(O3621,10))</f>
        <v>1.5122226223843516</v>
      </c>
      <c r="Q3621" s="8">
        <f>(4437920*100)/4638971</f>
        <v>95.666043180696747</v>
      </c>
    </row>
    <row r="3622" spans="1:17" x14ac:dyDescent="0.2">
      <c r="A3622">
        <f>YEAR(D3622)</f>
        <v>2019</v>
      </c>
      <c r="B3622" t="s">
        <v>26</v>
      </c>
      <c r="C3622" s="2" t="s">
        <v>3022</v>
      </c>
      <c r="D3622" s="1">
        <v>43654</v>
      </c>
      <c r="E3622">
        <f>MONTH(D3622)</f>
        <v>7</v>
      </c>
      <c r="F3622" s="2" t="s">
        <v>2098</v>
      </c>
      <c r="G3622" t="s">
        <v>230</v>
      </c>
      <c r="H3622" t="s">
        <v>268</v>
      </c>
      <c r="I3622" t="s">
        <v>22</v>
      </c>
      <c r="J3622" s="2" t="s">
        <v>42</v>
      </c>
      <c r="K3622" s="2" t="s">
        <v>3019</v>
      </c>
      <c r="L3622" t="s">
        <v>25</v>
      </c>
      <c r="M3622" s="8">
        <v>3.5356666670000001</v>
      </c>
      <c r="N3622" t="s">
        <v>26</v>
      </c>
      <c r="O3622" s="8">
        <v>3.5356666670000001</v>
      </c>
      <c r="P3622" s="8">
        <f>EXP(-1.363+3.366*LOG(O3622,10))</f>
        <v>1.6211802664427075</v>
      </c>
      <c r="Q3622" s="8">
        <f>(4437920*100)/4638971</f>
        <v>95.666043180696747</v>
      </c>
    </row>
    <row r="3623" spans="1:17" x14ac:dyDescent="0.2">
      <c r="A3623">
        <f>YEAR(D3623)</f>
        <v>2019</v>
      </c>
      <c r="B3623" t="s">
        <v>26</v>
      </c>
      <c r="C3623" s="2" t="s">
        <v>3022</v>
      </c>
      <c r="D3623" s="1">
        <v>43654</v>
      </c>
      <c r="E3623">
        <f>MONTH(D3623)</f>
        <v>7</v>
      </c>
      <c r="F3623" s="2" t="s">
        <v>2098</v>
      </c>
      <c r="G3623" s="2" t="s">
        <v>230</v>
      </c>
      <c r="H3623" t="s">
        <v>3052</v>
      </c>
      <c r="I3623" t="s">
        <v>22</v>
      </c>
      <c r="J3623" s="2" t="s">
        <v>42</v>
      </c>
      <c r="K3623" s="2" t="s">
        <v>3019</v>
      </c>
      <c r="L3623" t="s">
        <v>25</v>
      </c>
      <c r="M3623" s="8">
        <v>3.6890000000000001</v>
      </c>
      <c r="N3623" t="s">
        <v>26</v>
      </c>
      <c r="O3623" s="8">
        <v>3.6890000000000001</v>
      </c>
      <c r="P3623" s="8">
        <f>EXP(-1.363+3.366*LOG(O3623,10))</f>
        <v>1.7249784083275497</v>
      </c>
      <c r="Q3623" s="8">
        <f>(4437920*100)/4638971</f>
        <v>95.666043180696747</v>
      </c>
    </row>
    <row r="3624" spans="1:17" x14ac:dyDescent="0.2">
      <c r="A3624">
        <f>YEAR(D3624)</f>
        <v>2019</v>
      </c>
      <c r="B3624" t="s">
        <v>26</v>
      </c>
      <c r="C3624" s="2" t="s">
        <v>3022</v>
      </c>
      <c r="D3624" s="1">
        <v>43654</v>
      </c>
      <c r="E3624">
        <f>MONTH(D3624)</f>
        <v>7</v>
      </c>
      <c r="F3624" s="2" t="s">
        <v>2098</v>
      </c>
      <c r="G3624" t="s">
        <v>2206</v>
      </c>
      <c r="H3624" t="s">
        <v>2263</v>
      </c>
      <c r="I3624" t="s">
        <v>22</v>
      </c>
      <c r="J3624" s="2" t="s">
        <v>42</v>
      </c>
      <c r="K3624" s="2" t="s">
        <v>3019</v>
      </c>
      <c r="L3624" t="s">
        <v>25</v>
      </c>
      <c r="M3624" s="8">
        <v>3.7376666670000001</v>
      </c>
      <c r="N3624" t="s">
        <v>26</v>
      </c>
      <c r="O3624" s="8">
        <v>3.7376666670000001</v>
      </c>
      <c r="P3624" s="8">
        <f>EXP(-1.363+3.366*LOG(O3624,10))</f>
        <v>1.7583458516827115</v>
      </c>
      <c r="Q3624" s="8">
        <f>(4437920*100)/4638971</f>
        <v>95.666043180696747</v>
      </c>
    </row>
    <row r="3625" spans="1:17" x14ac:dyDescent="0.2">
      <c r="A3625">
        <f>YEAR(D3625)</f>
        <v>2019</v>
      </c>
      <c r="B3625" t="s">
        <v>26</v>
      </c>
      <c r="C3625" s="2" t="s">
        <v>3022</v>
      </c>
      <c r="D3625" s="1">
        <v>43654</v>
      </c>
      <c r="E3625">
        <f>MONTH(D3625)</f>
        <v>7</v>
      </c>
      <c r="F3625" s="2" t="s">
        <v>2098</v>
      </c>
      <c r="G3625" t="s">
        <v>2206</v>
      </c>
      <c r="H3625" t="s">
        <v>2263</v>
      </c>
      <c r="I3625" t="s">
        <v>36</v>
      </c>
      <c r="J3625" s="2" t="s">
        <v>42</v>
      </c>
      <c r="K3625" s="2" t="s">
        <v>3019</v>
      </c>
      <c r="L3625" t="s">
        <v>25</v>
      </c>
      <c r="M3625" s="8">
        <v>4.1670000000000007</v>
      </c>
      <c r="N3625" t="s">
        <v>26</v>
      </c>
      <c r="O3625" s="8">
        <v>4.1670000000000007</v>
      </c>
      <c r="P3625" s="8">
        <f>EXP(-1.363+3.366*LOG(O3625,10))</f>
        <v>2.0612774305709816</v>
      </c>
      <c r="Q3625" s="8">
        <f>(4437920*100)/4638971</f>
        <v>95.666043180696747</v>
      </c>
    </row>
    <row r="3626" spans="1:17" x14ac:dyDescent="0.2">
      <c r="A3626">
        <f>YEAR(D3626)</f>
        <v>2019</v>
      </c>
      <c r="B3626" t="s">
        <v>26</v>
      </c>
      <c r="C3626" s="2" t="s">
        <v>3022</v>
      </c>
      <c r="D3626" s="1">
        <v>43654</v>
      </c>
      <c r="E3626">
        <f>MONTH(D3626)</f>
        <v>7</v>
      </c>
      <c r="F3626" s="2" t="s">
        <v>2098</v>
      </c>
      <c r="G3626" t="s">
        <v>230</v>
      </c>
      <c r="H3626" t="s">
        <v>259</v>
      </c>
      <c r="I3626" t="s">
        <v>36</v>
      </c>
      <c r="J3626" s="2" t="s">
        <v>42</v>
      </c>
      <c r="K3626" s="2" t="s">
        <v>3019</v>
      </c>
      <c r="L3626" t="s">
        <v>25</v>
      </c>
      <c r="M3626" s="8">
        <v>4.745333333333333</v>
      </c>
      <c r="N3626" t="s">
        <v>26</v>
      </c>
      <c r="O3626" s="8">
        <v>4.745333333333333</v>
      </c>
      <c r="P3626" s="8">
        <f>EXP(-1.363+3.366*LOG(O3626,10))</f>
        <v>2.4925687246325761</v>
      </c>
      <c r="Q3626" s="8">
        <f>(4437920*100)/4638971</f>
        <v>95.666043180696747</v>
      </c>
    </row>
    <row r="3627" spans="1:17" x14ac:dyDescent="0.2">
      <c r="A3627">
        <f>YEAR(D3627)</f>
        <v>2019</v>
      </c>
      <c r="B3627" t="s">
        <v>26</v>
      </c>
      <c r="C3627" s="2" t="s">
        <v>3022</v>
      </c>
      <c r="D3627" s="1">
        <v>43654</v>
      </c>
      <c r="E3627">
        <f>MONTH(D3627)</f>
        <v>7</v>
      </c>
      <c r="F3627" s="2" t="s">
        <v>2098</v>
      </c>
      <c r="G3627" t="s">
        <v>2206</v>
      </c>
      <c r="H3627" t="s">
        <v>2263</v>
      </c>
      <c r="I3627" t="s">
        <v>22</v>
      </c>
      <c r="J3627" s="2" t="s">
        <v>42</v>
      </c>
      <c r="K3627" s="2" t="s">
        <v>3019</v>
      </c>
      <c r="L3627" t="s">
        <v>25</v>
      </c>
      <c r="M3627" s="8">
        <v>3.7376666670000001</v>
      </c>
      <c r="N3627" t="s">
        <v>26</v>
      </c>
      <c r="O3627" s="8">
        <v>3.7376666670000001</v>
      </c>
      <c r="P3627" s="8">
        <f>EXP(-1.363+3.366*LOG(O3627,10))</f>
        <v>1.7583458516827115</v>
      </c>
      <c r="Q3627" s="8">
        <f>(4437920*100)/4638971</f>
        <v>95.666043180696747</v>
      </c>
    </row>
    <row r="3628" spans="1:17" x14ac:dyDescent="0.2">
      <c r="A3628">
        <f>YEAR(D3628)</f>
        <v>2019</v>
      </c>
      <c r="B3628" t="s">
        <v>26</v>
      </c>
      <c r="C3628" s="2" t="s">
        <v>3022</v>
      </c>
      <c r="D3628" s="1">
        <v>43654</v>
      </c>
      <c r="E3628">
        <f>MONTH(D3628)</f>
        <v>7</v>
      </c>
      <c r="F3628" s="2" t="s">
        <v>2098</v>
      </c>
      <c r="G3628" t="s">
        <v>1520</v>
      </c>
      <c r="H3628" t="s">
        <v>1528</v>
      </c>
      <c r="I3628" t="s">
        <v>22</v>
      </c>
      <c r="J3628" s="2" t="s">
        <v>42</v>
      </c>
      <c r="K3628" s="2" t="s">
        <v>3019</v>
      </c>
      <c r="L3628" t="s">
        <v>25</v>
      </c>
      <c r="M3628" s="8">
        <v>3.624333333</v>
      </c>
      <c r="N3628" t="s">
        <v>26</v>
      </c>
      <c r="O3628" s="8">
        <v>3.624333333</v>
      </c>
      <c r="P3628" s="8">
        <f>EXP(-1.363+3.366*LOG(O3628,10))</f>
        <v>1.6809546844949765</v>
      </c>
      <c r="Q3628" s="8">
        <f>(4437920*100)/4638971</f>
        <v>95.666043180696747</v>
      </c>
    </row>
    <row r="3629" spans="1:17" x14ac:dyDescent="0.2">
      <c r="A3629">
        <f>YEAR(D3629)</f>
        <v>2019</v>
      </c>
      <c r="B3629" t="s">
        <v>26</v>
      </c>
      <c r="C3629" s="2" t="s">
        <v>3022</v>
      </c>
      <c r="D3629" s="1">
        <v>43654</v>
      </c>
      <c r="E3629">
        <f>MONTH(D3629)</f>
        <v>7</v>
      </c>
      <c r="F3629" s="2" t="s">
        <v>2098</v>
      </c>
      <c r="G3629" t="s">
        <v>1520</v>
      </c>
      <c r="H3629" t="s">
        <v>1528</v>
      </c>
      <c r="I3629" t="s">
        <v>22</v>
      </c>
      <c r="J3629" s="2" t="s">
        <v>42</v>
      </c>
      <c r="K3629" s="2" t="s">
        <v>3019</v>
      </c>
      <c r="L3629" t="s">
        <v>25</v>
      </c>
      <c r="M3629" s="8">
        <v>3.624333333</v>
      </c>
      <c r="N3629" t="s">
        <v>26</v>
      </c>
      <c r="O3629" s="8">
        <v>3.624333333</v>
      </c>
      <c r="P3629" s="8">
        <f>EXP(-1.363+3.366*LOG(O3629,10))</f>
        <v>1.6809546844949765</v>
      </c>
      <c r="Q3629" s="8">
        <f>(4437920*100)/4638971</f>
        <v>95.666043180696747</v>
      </c>
    </row>
    <row r="3630" spans="1:17" x14ac:dyDescent="0.2">
      <c r="A3630">
        <f>YEAR(D3630)</f>
        <v>2019</v>
      </c>
      <c r="B3630" t="s">
        <v>26</v>
      </c>
      <c r="C3630" s="2" t="s">
        <v>3022</v>
      </c>
      <c r="D3630" s="1">
        <v>43654</v>
      </c>
      <c r="E3630">
        <f>MONTH(D3630)</f>
        <v>7</v>
      </c>
      <c r="F3630" s="2" t="s">
        <v>2098</v>
      </c>
      <c r="G3630" t="s">
        <v>230</v>
      </c>
      <c r="H3630" t="s">
        <v>268</v>
      </c>
      <c r="I3630" t="s">
        <v>22</v>
      </c>
      <c r="J3630" s="2" t="s">
        <v>42</v>
      </c>
      <c r="K3630" s="2" t="s">
        <v>3019</v>
      </c>
      <c r="L3630" t="s">
        <v>25</v>
      </c>
      <c r="M3630" s="8">
        <v>3.5356666670000001</v>
      </c>
      <c r="N3630" t="s">
        <v>26</v>
      </c>
      <c r="O3630" s="8">
        <v>3.5356666670000001</v>
      </c>
      <c r="P3630" s="8">
        <f>EXP(-1.363+3.366*LOG(O3630,10))</f>
        <v>1.6211802664427075</v>
      </c>
      <c r="Q3630" s="8">
        <f>(4437920*100)/4638971</f>
        <v>95.666043180696747</v>
      </c>
    </row>
    <row r="3631" spans="1:17" x14ac:dyDescent="0.2">
      <c r="A3631">
        <f>YEAR(D3631)</f>
        <v>2019</v>
      </c>
      <c r="B3631" t="s">
        <v>26</v>
      </c>
      <c r="C3631" s="2" t="s">
        <v>3022</v>
      </c>
      <c r="D3631" s="1">
        <v>43654</v>
      </c>
      <c r="E3631">
        <f>MONTH(D3631)</f>
        <v>7</v>
      </c>
      <c r="F3631" s="2" t="s">
        <v>2098</v>
      </c>
      <c r="G3631" t="s">
        <v>230</v>
      </c>
      <c r="H3631" t="s">
        <v>268</v>
      </c>
      <c r="I3631" t="s">
        <v>22</v>
      </c>
      <c r="J3631" s="2" t="s">
        <v>42</v>
      </c>
      <c r="K3631" s="2" t="s">
        <v>3019</v>
      </c>
      <c r="L3631" t="s">
        <v>25</v>
      </c>
      <c r="M3631" s="8">
        <v>3.5356666670000001</v>
      </c>
      <c r="N3631" t="s">
        <v>26</v>
      </c>
      <c r="O3631" s="8">
        <v>3.5356666670000001</v>
      </c>
      <c r="P3631" s="8">
        <f>EXP(-1.363+3.366*LOG(O3631,10))</f>
        <v>1.6211802664427075</v>
      </c>
      <c r="Q3631" s="8">
        <f>(4437920*100)/4638971</f>
        <v>95.666043180696747</v>
      </c>
    </row>
    <row r="3632" spans="1:17" x14ac:dyDescent="0.2">
      <c r="A3632">
        <f>YEAR(D3632)</f>
        <v>2019</v>
      </c>
      <c r="B3632" t="s">
        <v>26</v>
      </c>
      <c r="C3632" s="2" t="s">
        <v>3022</v>
      </c>
      <c r="D3632" s="1">
        <v>43654</v>
      </c>
      <c r="E3632">
        <f>MONTH(D3632)</f>
        <v>7</v>
      </c>
      <c r="F3632" s="2" t="s">
        <v>2098</v>
      </c>
      <c r="G3632" t="s">
        <v>352</v>
      </c>
      <c r="H3632" t="s">
        <v>494</v>
      </c>
      <c r="I3632" t="s">
        <v>22</v>
      </c>
      <c r="J3632" s="2" t="s">
        <v>42</v>
      </c>
      <c r="K3632" s="2" t="s">
        <v>3019</v>
      </c>
      <c r="L3632" t="s">
        <v>25</v>
      </c>
      <c r="M3632" s="8">
        <v>1.7226666669999999</v>
      </c>
      <c r="N3632" t="s">
        <v>26</v>
      </c>
      <c r="O3632" s="8">
        <v>1.7226666669999999</v>
      </c>
      <c r="P3632" s="8">
        <f>EXP(-1.363+3.366*LOG(O3632,10))</f>
        <v>0.56668788662759551</v>
      </c>
      <c r="Q3632" s="8">
        <f>(4437920*100)/4638971</f>
        <v>95.666043180696747</v>
      </c>
    </row>
    <row r="3633" spans="1:17" x14ac:dyDescent="0.2">
      <c r="A3633">
        <f>YEAR(D3633)</f>
        <v>2019</v>
      </c>
      <c r="B3633" t="s">
        <v>26</v>
      </c>
      <c r="C3633" s="2" t="s">
        <v>3022</v>
      </c>
      <c r="D3633" s="1">
        <v>43654</v>
      </c>
      <c r="E3633">
        <f>MONTH(D3633)</f>
        <v>7</v>
      </c>
      <c r="F3633" s="2" t="s">
        <v>2098</v>
      </c>
      <c r="G3633" t="s">
        <v>352</v>
      </c>
      <c r="H3633" t="s">
        <v>975</v>
      </c>
      <c r="I3633" t="s">
        <v>22</v>
      </c>
      <c r="J3633" s="2" t="s">
        <v>42</v>
      </c>
      <c r="K3633" s="2" t="s">
        <v>3019</v>
      </c>
      <c r="L3633" t="s">
        <v>25</v>
      </c>
      <c r="M3633" s="8">
        <v>1.0693333330000001</v>
      </c>
      <c r="N3633" t="s">
        <v>26</v>
      </c>
      <c r="O3633" s="8">
        <v>1.0693333330000001</v>
      </c>
      <c r="P3633" s="8">
        <f>EXP(-1.363+3.366*LOG(O3633,10))</f>
        <v>0.28223780327142356</v>
      </c>
      <c r="Q3633" s="8">
        <f>(4437920*100)/4638971</f>
        <v>95.666043180696747</v>
      </c>
    </row>
    <row r="3634" spans="1:17" x14ac:dyDescent="0.2">
      <c r="A3634">
        <f>YEAR(D3634)</f>
        <v>2019</v>
      </c>
      <c r="B3634" t="s">
        <v>26</v>
      </c>
      <c r="C3634" s="2" t="s">
        <v>3022</v>
      </c>
      <c r="D3634" s="1">
        <v>43654</v>
      </c>
      <c r="E3634">
        <f>MONTH(D3634)</f>
        <v>7</v>
      </c>
      <c r="F3634" s="2" t="s">
        <v>2098</v>
      </c>
      <c r="G3634" t="s">
        <v>352</v>
      </c>
      <c r="H3634" t="s">
        <v>494</v>
      </c>
      <c r="I3634" t="s">
        <v>22</v>
      </c>
      <c r="J3634" s="2" t="s">
        <v>42</v>
      </c>
      <c r="K3634" s="2" t="s">
        <v>3019</v>
      </c>
      <c r="L3634" t="s">
        <v>25</v>
      </c>
      <c r="M3634" s="8">
        <v>1.7226666669999999</v>
      </c>
      <c r="N3634" t="s">
        <v>26</v>
      </c>
      <c r="O3634" s="8">
        <v>1.7226666669999999</v>
      </c>
      <c r="P3634" s="8">
        <f>EXP(-1.363+3.366*LOG(O3634,10))</f>
        <v>0.56668788662759551</v>
      </c>
      <c r="Q3634" s="8">
        <f>(4437920*100)/4638971</f>
        <v>95.666043180696747</v>
      </c>
    </row>
    <row r="3635" spans="1:17" x14ac:dyDescent="0.2">
      <c r="A3635">
        <f>YEAR(D3635)</f>
        <v>2019</v>
      </c>
      <c r="B3635" t="s">
        <v>26</v>
      </c>
      <c r="C3635" s="2" t="s">
        <v>3022</v>
      </c>
      <c r="D3635" s="1">
        <v>43654</v>
      </c>
      <c r="E3635">
        <f>MONTH(D3635)</f>
        <v>7</v>
      </c>
      <c r="F3635" s="2" t="s">
        <v>2098</v>
      </c>
      <c r="G3635" t="s">
        <v>230</v>
      </c>
      <c r="H3635" t="s">
        <v>268</v>
      </c>
      <c r="I3635" t="s">
        <v>22</v>
      </c>
      <c r="J3635" s="2" t="s">
        <v>42</v>
      </c>
      <c r="K3635" s="2" t="s">
        <v>3019</v>
      </c>
      <c r="L3635" t="s">
        <v>25</v>
      </c>
      <c r="M3635" s="8">
        <v>3.5356666670000001</v>
      </c>
      <c r="N3635" t="s">
        <v>26</v>
      </c>
      <c r="O3635" s="8">
        <v>3.5356666670000001</v>
      </c>
      <c r="P3635" s="8">
        <f>EXP(-1.363+3.366*LOG(O3635,10))</f>
        <v>1.6211802664427075</v>
      </c>
      <c r="Q3635" s="8">
        <f>(4437920*100)/4638971</f>
        <v>95.666043180696747</v>
      </c>
    </row>
    <row r="3636" spans="1:17" x14ac:dyDescent="0.2">
      <c r="A3636">
        <f>YEAR(D3636)</f>
        <v>2019</v>
      </c>
      <c r="B3636" t="s">
        <v>26</v>
      </c>
      <c r="C3636" s="2" t="s">
        <v>3022</v>
      </c>
      <c r="D3636" s="1">
        <v>43654</v>
      </c>
      <c r="E3636">
        <f>MONTH(D3636)</f>
        <v>7</v>
      </c>
      <c r="F3636" s="2" t="s">
        <v>2098</v>
      </c>
      <c r="G3636" t="s">
        <v>230</v>
      </c>
      <c r="H3636" t="s">
        <v>268</v>
      </c>
      <c r="I3636" t="s">
        <v>22</v>
      </c>
      <c r="J3636" s="2" t="s">
        <v>42</v>
      </c>
      <c r="K3636" s="2" t="s">
        <v>3019</v>
      </c>
      <c r="L3636" t="s">
        <v>25</v>
      </c>
      <c r="M3636" s="8">
        <v>3.5356666670000001</v>
      </c>
      <c r="N3636" t="s">
        <v>26</v>
      </c>
      <c r="O3636" s="8">
        <v>3.5356666670000001</v>
      </c>
      <c r="P3636" s="8">
        <f>EXP(-1.363+3.366*LOG(O3636,10))</f>
        <v>1.6211802664427075</v>
      </c>
      <c r="Q3636" s="8">
        <f>(4437920*100)/4638971</f>
        <v>95.666043180696747</v>
      </c>
    </row>
    <row r="3637" spans="1:17" x14ac:dyDescent="0.2">
      <c r="A3637">
        <f>YEAR(D3637)</f>
        <v>2019</v>
      </c>
      <c r="B3637" t="s">
        <v>26</v>
      </c>
      <c r="C3637" s="2" t="s">
        <v>3023</v>
      </c>
      <c r="D3637" s="1">
        <v>43654</v>
      </c>
      <c r="E3637">
        <f>MONTH(D3637)</f>
        <v>7</v>
      </c>
      <c r="F3637" s="2" t="s">
        <v>2098</v>
      </c>
      <c r="G3637" t="s">
        <v>219</v>
      </c>
      <c r="H3637" t="s">
        <v>220</v>
      </c>
      <c r="I3637" t="s">
        <v>22</v>
      </c>
      <c r="J3637" s="2" t="s">
        <v>42</v>
      </c>
      <c r="K3637" s="2" t="s">
        <v>3019</v>
      </c>
      <c r="L3637" t="s">
        <v>25</v>
      </c>
      <c r="M3637" s="10" t="s">
        <v>26</v>
      </c>
      <c r="N3637" t="s">
        <v>26</v>
      </c>
      <c r="O3637" s="10" t="s">
        <v>26</v>
      </c>
      <c r="P3637" s="8" t="s">
        <v>26</v>
      </c>
      <c r="Q3637" s="8">
        <f>(8197453*100)/8541008</f>
        <v>95.977582505484136</v>
      </c>
    </row>
    <row r="3638" spans="1:17" x14ac:dyDescent="0.2">
      <c r="A3638">
        <f>YEAR(D3638)</f>
        <v>2019</v>
      </c>
      <c r="B3638" t="s">
        <v>26</v>
      </c>
      <c r="C3638" s="2" t="s">
        <v>3023</v>
      </c>
      <c r="D3638" s="1">
        <v>43654</v>
      </c>
      <c r="E3638">
        <f>MONTH(D3638)</f>
        <v>7</v>
      </c>
      <c r="F3638" s="2" t="s">
        <v>2098</v>
      </c>
      <c r="G3638" t="s">
        <v>219</v>
      </c>
      <c r="H3638" t="s">
        <v>220</v>
      </c>
      <c r="I3638" t="s">
        <v>22</v>
      </c>
      <c r="J3638" s="2" t="s">
        <v>42</v>
      </c>
      <c r="K3638" s="2" t="s">
        <v>3019</v>
      </c>
      <c r="L3638" t="s">
        <v>25</v>
      </c>
      <c r="M3638" s="10" t="s">
        <v>26</v>
      </c>
      <c r="N3638" t="s">
        <v>26</v>
      </c>
      <c r="O3638" s="10" t="s">
        <v>26</v>
      </c>
      <c r="P3638" s="8" t="s">
        <v>26</v>
      </c>
      <c r="Q3638" s="8">
        <f>(8197453*100)/8541008</f>
        <v>95.977582505484136</v>
      </c>
    </row>
    <row r="3639" spans="1:17" x14ac:dyDescent="0.2">
      <c r="A3639">
        <f>YEAR(D3639)</f>
        <v>2019</v>
      </c>
      <c r="B3639" t="s">
        <v>26</v>
      </c>
      <c r="C3639" s="2" t="s">
        <v>3023</v>
      </c>
      <c r="D3639" s="1">
        <v>43654</v>
      </c>
      <c r="E3639">
        <f>MONTH(D3639)</f>
        <v>7</v>
      </c>
      <c r="F3639" s="2" t="s">
        <v>2098</v>
      </c>
      <c r="G3639" t="s">
        <v>332</v>
      </c>
      <c r="H3639" t="s">
        <v>327</v>
      </c>
      <c r="I3639" t="s">
        <v>36</v>
      </c>
      <c r="J3639" s="2" t="s">
        <v>42</v>
      </c>
      <c r="K3639" s="2" t="s">
        <v>3019</v>
      </c>
      <c r="L3639" t="s">
        <v>25</v>
      </c>
      <c r="M3639" s="8">
        <v>1.0693333330000001</v>
      </c>
      <c r="N3639" t="s">
        <v>26</v>
      </c>
      <c r="O3639" s="8">
        <v>1.0693333330000001</v>
      </c>
      <c r="P3639" s="8">
        <f>EXP(-1.363+3.366*LOG(O3639,10))</f>
        <v>0.28223780327142356</v>
      </c>
      <c r="Q3639" s="8">
        <f>(8197453*100)/8541008</f>
        <v>95.977582505484136</v>
      </c>
    </row>
    <row r="3640" spans="1:17" x14ac:dyDescent="0.2">
      <c r="A3640">
        <f>YEAR(D3640)</f>
        <v>2019</v>
      </c>
      <c r="B3640" t="s">
        <v>26</v>
      </c>
      <c r="C3640" s="2" t="s">
        <v>3023</v>
      </c>
      <c r="D3640" s="1">
        <v>43654</v>
      </c>
      <c r="E3640">
        <f>MONTH(D3640)</f>
        <v>7</v>
      </c>
      <c r="F3640" s="2" t="s">
        <v>2098</v>
      </c>
      <c r="G3640" t="s">
        <v>352</v>
      </c>
      <c r="H3640" t="s">
        <v>1459</v>
      </c>
      <c r="I3640" t="s">
        <v>22</v>
      </c>
      <c r="J3640" s="2" t="s">
        <v>42</v>
      </c>
      <c r="K3640" s="2" t="s">
        <v>3019</v>
      </c>
      <c r="L3640" t="s">
        <v>25</v>
      </c>
      <c r="M3640" s="8">
        <v>1.1910000000000001</v>
      </c>
      <c r="N3640" t="s">
        <v>26</v>
      </c>
      <c r="O3640" s="8">
        <v>1.1910000000000001</v>
      </c>
      <c r="P3640" s="8">
        <f>EXP(-1.363+3.366*LOG(O3640,10))</f>
        <v>0.33039016297752993</v>
      </c>
      <c r="Q3640" s="8">
        <f>(8197453*100)/8541008</f>
        <v>95.977582505484136</v>
      </c>
    </row>
    <row r="3641" spans="1:17" x14ac:dyDescent="0.2">
      <c r="A3641">
        <f>YEAR(D3641)</f>
        <v>2019</v>
      </c>
      <c r="B3641" t="s">
        <v>26</v>
      </c>
      <c r="C3641" s="2" t="s">
        <v>3023</v>
      </c>
      <c r="D3641" s="1">
        <v>43654</v>
      </c>
      <c r="E3641">
        <f>MONTH(D3641)</f>
        <v>7</v>
      </c>
      <c r="F3641" s="2" t="s">
        <v>2098</v>
      </c>
      <c r="G3641" t="s">
        <v>352</v>
      </c>
      <c r="H3641" t="s">
        <v>1459</v>
      </c>
      <c r="I3641" t="s">
        <v>22</v>
      </c>
      <c r="J3641" s="2" t="s">
        <v>42</v>
      </c>
      <c r="K3641" s="2" t="s">
        <v>3019</v>
      </c>
      <c r="L3641" t="s">
        <v>25</v>
      </c>
      <c r="M3641" s="8">
        <v>1.1910000000000001</v>
      </c>
      <c r="N3641" t="s">
        <v>26</v>
      </c>
      <c r="O3641" s="8">
        <v>1.1910000000000001</v>
      </c>
      <c r="P3641" s="8">
        <f>EXP(-1.363+3.366*LOG(O3641,10))</f>
        <v>0.33039016297752993</v>
      </c>
      <c r="Q3641" s="8">
        <f>(8197453*100)/8541008</f>
        <v>95.977582505484136</v>
      </c>
    </row>
    <row r="3642" spans="1:17" x14ac:dyDescent="0.2">
      <c r="A3642">
        <f>YEAR(D3642)</f>
        <v>2019</v>
      </c>
      <c r="B3642" t="s">
        <v>26</v>
      </c>
      <c r="C3642" s="2" t="s">
        <v>3023</v>
      </c>
      <c r="D3642" s="1">
        <v>43654</v>
      </c>
      <c r="E3642">
        <f>MONTH(D3642)</f>
        <v>7</v>
      </c>
      <c r="F3642" s="2" t="s">
        <v>2098</v>
      </c>
      <c r="G3642" t="s">
        <v>1512</v>
      </c>
      <c r="H3642" t="s">
        <v>1515</v>
      </c>
      <c r="I3642" t="s">
        <v>36</v>
      </c>
      <c r="J3642" s="2" t="s">
        <v>42</v>
      </c>
      <c r="K3642" s="2" t="s">
        <v>3019</v>
      </c>
      <c r="L3642" t="s">
        <v>187</v>
      </c>
      <c r="M3642" s="8">
        <v>1.3580000000000001</v>
      </c>
      <c r="N3642" t="s">
        <v>26</v>
      </c>
      <c r="O3642" s="8">
        <v>1.3580000000000001</v>
      </c>
      <c r="P3642" s="8">
        <f>EXP(-1.363+3.366*LOG(O3642,10))</f>
        <v>0.40025262274215467</v>
      </c>
      <c r="Q3642" s="8">
        <f>(8197453*100)/8541008</f>
        <v>95.977582505484136</v>
      </c>
    </row>
    <row r="3643" spans="1:17" x14ac:dyDescent="0.2">
      <c r="A3643">
        <f>YEAR(D3643)</f>
        <v>2019</v>
      </c>
      <c r="B3643" t="s">
        <v>26</v>
      </c>
      <c r="C3643" s="2" t="s">
        <v>3023</v>
      </c>
      <c r="D3643" s="1">
        <v>43654</v>
      </c>
      <c r="E3643">
        <f>MONTH(D3643)</f>
        <v>7</v>
      </c>
      <c r="F3643" s="2" t="s">
        <v>2098</v>
      </c>
      <c r="G3643" t="s">
        <v>362</v>
      </c>
      <c r="H3643" t="s">
        <v>393</v>
      </c>
      <c r="I3643" t="s">
        <v>22</v>
      </c>
      <c r="J3643" s="2" t="s">
        <v>42</v>
      </c>
      <c r="K3643" s="2" t="s">
        <v>3019</v>
      </c>
      <c r="L3643" t="s">
        <v>25</v>
      </c>
      <c r="M3643" s="8">
        <v>2.4239999999999999</v>
      </c>
      <c r="N3643" t="s">
        <v>26</v>
      </c>
      <c r="O3643" s="8">
        <v>2.4239999999999999</v>
      </c>
      <c r="P3643" s="8">
        <f>EXP(-1.363+3.366*LOG(O3643,10))</f>
        <v>0.93364106227732868</v>
      </c>
      <c r="Q3643" s="8">
        <f>(8197453*100)/8541008</f>
        <v>95.977582505484136</v>
      </c>
    </row>
    <row r="3644" spans="1:17" x14ac:dyDescent="0.2">
      <c r="A3644">
        <f>YEAR(D3644)</f>
        <v>2019</v>
      </c>
      <c r="B3644" t="s">
        <v>26</v>
      </c>
      <c r="C3644" s="2" t="s">
        <v>3023</v>
      </c>
      <c r="D3644" s="1">
        <v>43654</v>
      </c>
      <c r="E3644">
        <f>MONTH(D3644)</f>
        <v>7</v>
      </c>
      <c r="F3644" s="2" t="s">
        <v>2098</v>
      </c>
      <c r="G3644" t="s">
        <v>352</v>
      </c>
      <c r="H3644" t="s">
        <v>728</v>
      </c>
      <c r="I3644" t="s">
        <v>36</v>
      </c>
      <c r="J3644" s="2" t="s">
        <v>42</v>
      </c>
      <c r="K3644" s="2" t="s">
        <v>3019</v>
      </c>
      <c r="L3644" t="s">
        <v>187</v>
      </c>
      <c r="M3644" s="8">
        <v>1.376333333</v>
      </c>
      <c r="N3644" t="s">
        <v>26</v>
      </c>
      <c r="O3644" s="8">
        <v>1.376333333</v>
      </c>
      <c r="P3644" s="8">
        <f>EXP(-1.363+3.366*LOG(O3644,10))</f>
        <v>0.40817622737824627</v>
      </c>
      <c r="Q3644" s="8">
        <f>(8197453*100)/8541008</f>
        <v>95.977582505484136</v>
      </c>
    </row>
    <row r="3645" spans="1:17" x14ac:dyDescent="0.2">
      <c r="A3645">
        <f>YEAR(D3645)</f>
        <v>2019</v>
      </c>
      <c r="B3645" t="s">
        <v>26</v>
      </c>
      <c r="C3645" s="2" t="s">
        <v>3023</v>
      </c>
      <c r="D3645" s="1">
        <v>43654</v>
      </c>
      <c r="E3645">
        <f>MONTH(D3645)</f>
        <v>7</v>
      </c>
      <c r="F3645" s="2" t="s">
        <v>2098</v>
      </c>
      <c r="G3645" t="s">
        <v>2206</v>
      </c>
      <c r="H3645" t="s">
        <v>2207</v>
      </c>
      <c r="I3645" t="s">
        <v>36</v>
      </c>
      <c r="J3645" s="2" t="s">
        <v>42</v>
      </c>
      <c r="K3645" s="2" t="s">
        <v>3019</v>
      </c>
      <c r="L3645" t="s">
        <v>25</v>
      </c>
      <c r="M3645" s="8">
        <v>3.6386666669999999</v>
      </c>
      <c r="N3645" t="s">
        <v>26</v>
      </c>
      <c r="O3645" s="8">
        <v>3.6386666669999999</v>
      </c>
      <c r="P3645" s="8">
        <f>EXP(-1.363+3.366*LOG(O3645,10))</f>
        <v>1.6906814772344552</v>
      </c>
      <c r="Q3645" s="8">
        <f>(8197453*100)/8541008</f>
        <v>95.977582505484136</v>
      </c>
    </row>
    <row r="3646" spans="1:17" x14ac:dyDescent="0.2">
      <c r="A3646">
        <f>YEAR(D3646)</f>
        <v>2019</v>
      </c>
      <c r="B3646" t="s">
        <v>26</v>
      </c>
      <c r="C3646" s="2" t="s">
        <v>3023</v>
      </c>
      <c r="D3646" s="1">
        <v>43654</v>
      </c>
      <c r="E3646">
        <f>MONTH(D3646)</f>
        <v>7</v>
      </c>
      <c r="F3646" s="2" t="s">
        <v>2098</v>
      </c>
      <c r="G3646" t="s">
        <v>2206</v>
      </c>
      <c r="H3646" t="s">
        <v>2207</v>
      </c>
      <c r="I3646" t="s">
        <v>22</v>
      </c>
      <c r="J3646" s="2" t="s">
        <v>42</v>
      </c>
      <c r="K3646" s="2" t="s">
        <v>3019</v>
      </c>
      <c r="L3646" t="s">
        <v>25</v>
      </c>
      <c r="M3646" s="8">
        <v>3.249333333</v>
      </c>
      <c r="N3646" t="s">
        <v>26</v>
      </c>
      <c r="O3646" s="8">
        <v>3.249333333</v>
      </c>
      <c r="P3646" s="8">
        <f>EXP(-1.363+3.366*LOG(O3646,10))</f>
        <v>1.4328987616438449</v>
      </c>
      <c r="Q3646" s="8">
        <f>(8197453*100)/8541008</f>
        <v>95.977582505484136</v>
      </c>
    </row>
    <row r="3647" spans="1:17" x14ac:dyDescent="0.2">
      <c r="A3647">
        <f>YEAR(D3647)</f>
        <v>2019</v>
      </c>
      <c r="B3647" t="s">
        <v>26</v>
      </c>
      <c r="C3647" s="2" t="s">
        <v>3023</v>
      </c>
      <c r="D3647" s="1">
        <v>43654</v>
      </c>
      <c r="E3647">
        <f>MONTH(D3647)</f>
        <v>7</v>
      </c>
      <c r="F3647" s="2" t="s">
        <v>2098</v>
      </c>
      <c r="G3647" t="s">
        <v>2206</v>
      </c>
      <c r="H3647" t="s">
        <v>2207</v>
      </c>
      <c r="I3647" t="s">
        <v>22</v>
      </c>
      <c r="J3647" s="2" t="s">
        <v>42</v>
      </c>
      <c r="K3647" s="2" t="s">
        <v>3019</v>
      </c>
      <c r="L3647" t="s">
        <v>25</v>
      </c>
      <c r="M3647" s="8">
        <v>3.249333333</v>
      </c>
      <c r="N3647" t="s">
        <v>26</v>
      </c>
      <c r="O3647" s="8">
        <v>3.249333333</v>
      </c>
      <c r="P3647" s="8">
        <f>EXP(-1.363+3.366*LOG(O3647,10))</f>
        <v>1.4328987616438449</v>
      </c>
      <c r="Q3647" s="8">
        <f>(8197453*100)/8541008</f>
        <v>95.977582505484136</v>
      </c>
    </row>
    <row r="3648" spans="1:17" x14ac:dyDescent="0.2">
      <c r="A3648">
        <f>YEAR(D3648)</f>
        <v>2019</v>
      </c>
      <c r="B3648" t="s">
        <v>26</v>
      </c>
      <c r="C3648" s="2" t="s">
        <v>3023</v>
      </c>
      <c r="D3648" s="1">
        <v>43654</v>
      </c>
      <c r="E3648">
        <f>MONTH(D3648)</f>
        <v>7</v>
      </c>
      <c r="F3648" s="2" t="s">
        <v>2098</v>
      </c>
      <c r="G3648" t="s">
        <v>1512</v>
      </c>
      <c r="H3648" t="s">
        <v>1515</v>
      </c>
      <c r="I3648" t="s">
        <v>36</v>
      </c>
      <c r="J3648" s="2" t="s">
        <v>42</v>
      </c>
      <c r="K3648" s="2" t="s">
        <v>3019</v>
      </c>
      <c r="L3648" t="s">
        <v>187</v>
      </c>
      <c r="M3648" s="8">
        <v>1.3580000000000001</v>
      </c>
      <c r="N3648" t="s">
        <v>26</v>
      </c>
      <c r="O3648" s="8">
        <v>1.3580000000000001</v>
      </c>
      <c r="P3648" s="8">
        <f>EXP(-1.363+3.366*LOG(O3648,10))</f>
        <v>0.40025262274215467</v>
      </c>
      <c r="Q3648" s="8">
        <f>(8197453*100)/8541008</f>
        <v>95.977582505484136</v>
      </c>
    </row>
    <row r="3649" spans="1:17" x14ac:dyDescent="0.2">
      <c r="A3649">
        <f>YEAR(D3649)</f>
        <v>2019</v>
      </c>
      <c r="B3649" t="s">
        <v>26</v>
      </c>
      <c r="C3649" s="2" t="s">
        <v>3023</v>
      </c>
      <c r="D3649" s="1">
        <v>43654</v>
      </c>
      <c r="E3649">
        <f>MONTH(D3649)</f>
        <v>7</v>
      </c>
      <c r="F3649" s="2" t="s">
        <v>2098</v>
      </c>
      <c r="G3649" t="s">
        <v>1520</v>
      </c>
      <c r="H3649" t="s">
        <v>1521</v>
      </c>
      <c r="I3649" t="s">
        <v>22</v>
      </c>
      <c r="J3649" s="2" t="s">
        <v>42</v>
      </c>
      <c r="K3649" s="2" t="s">
        <v>3019</v>
      </c>
      <c r="L3649" t="s">
        <v>25</v>
      </c>
      <c r="M3649" s="8">
        <v>2.952</v>
      </c>
      <c r="N3649" t="s">
        <v>26</v>
      </c>
      <c r="O3649" s="8">
        <v>2.952</v>
      </c>
      <c r="P3649" s="8">
        <f>EXP(-1.363+3.366*LOG(O3649,10))</f>
        <v>1.2453438103764427</v>
      </c>
      <c r="Q3649" s="8">
        <f>(8197453*100)/8541008</f>
        <v>95.977582505484136</v>
      </c>
    </row>
    <row r="3650" spans="1:17" x14ac:dyDescent="0.2">
      <c r="A3650">
        <f>YEAR(D3650)</f>
        <v>2019</v>
      </c>
      <c r="B3650" t="s">
        <v>26</v>
      </c>
      <c r="C3650" s="2" t="s">
        <v>3023</v>
      </c>
      <c r="D3650" s="1">
        <v>43654</v>
      </c>
      <c r="E3650">
        <f>MONTH(D3650)</f>
        <v>7</v>
      </c>
      <c r="F3650" s="2" t="s">
        <v>2098</v>
      </c>
      <c r="G3650" t="s">
        <v>332</v>
      </c>
      <c r="H3650" t="s">
        <v>327</v>
      </c>
      <c r="I3650" t="s">
        <v>36</v>
      </c>
      <c r="J3650" s="2" t="s">
        <v>42</v>
      </c>
      <c r="K3650" s="2" t="s">
        <v>3019</v>
      </c>
      <c r="L3650" t="s">
        <v>25</v>
      </c>
      <c r="M3650" s="8">
        <v>1.0693333330000001</v>
      </c>
      <c r="N3650" t="s">
        <v>26</v>
      </c>
      <c r="O3650" s="8">
        <v>1.0693333330000001</v>
      </c>
      <c r="P3650" s="8">
        <f>EXP(-1.363+3.366*LOG(O3650,10))</f>
        <v>0.28223780327142356</v>
      </c>
      <c r="Q3650" s="8">
        <f>(8197453*100)/8541008</f>
        <v>95.977582505484136</v>
      </c>
    </row>
    <row r="3651" spans="1:17" x14ac:dyDescent="0.2">
      <c r="A3651">
        <f>YEAR(D3651)</f>
        <v>2019</v>
      </c>
      <c r="B3651" t="s">
        <v>26</v>
      </c>
      <c r="C3651" s="2" t="s">
        <v>3023</v>
      </c>
      <c r="D3651" s="1">
        <v>43654</v>
      </c>
      <c r="E3651">
        <f>MONTH(D3651)</f>
        <v>7</v>
      </c>
      <c r="F3651" s="2" t="s">
        <v>2098</v>
      </c>
      <c r="G3651" t="s">
        <v>352</v>
      </c>
      <c r="H3651" t="s">
        <v>623</v>
      </c>
      <c r="I3651" t="s">
        <v>22</v>
      </c>
      <c r="J3651" s="2" t="s">
        <v>42</v>
      </c>
      <c r="K3651" s="2" t="s">
        <v>3019</v>
      </c>
      <c r="L3651" t="s">
        <v>25</v>
      </c>
      <c r="M3651" s="8">
        <v>1.387</v>
      </c>
      <c r="N3651" t="s">
        <v>26</v>
      </c>
      <c r="O3651" s="8">
        <v>1.387</v>
      </c>
      <c r="P3651" s="8">
        <f>EXP(-1.363+3.366*LOG(O3651,10))</f>
        <v>0.41280884754947733</v>
      </c>
      <c r="Q3651" s="8">
        <f>(8197453*100)/8541008</f>
        <v>95.977582505484136</v>
      </c>
    </row>
    <row r="3652" spans="1:17" x14ac:dyDescent="0.2">
      <c r="A3652">
        <f>YEAR(D3652)</f>
        <v>2019</v>
      </c>
      <c r="B3652" t="s">
        <v>26</v>
      </c>
      <c r="C3652" s="2" t="s">
        <v>3023</v>
      </c>
      <c r="D3652" s="1">
        <v>43654</v>
      </c>
      <c r="E3652">
        <f>MONTH(D3652)</f>
        <v>7</v>
      </c>
      <c r="F3652" s="2" t="s">
        <v>2098</v>
      </c>
      <c r="G3652" t="s">
        <v>20</v>
      </c>
      <c r="H3652" t="s">
        <v>196</v>
      </c>
      <c r="I3652" t="s">
        <v>36</v>
      </c>
      <c r="J3652" s="2" t="s">
        <v>42</v>
      </c>
      <c r="K3652" s="2" t="s">
        <v>3019</v>
      </c>
      <c r="L3652" t="s">
        <v>26</v>
      </c>
      <c r="M3652" s="8">
        <v>1.458</v>
      </c>
      <c r="N3652" t="s">
        <v>26</v>
      </c>
      <c r="O3652" s="8">
        <v>1.458</v>
      </c>
      <c r="P3652" s="8">
        <f>EXP(-1.363+3.366*LOG(O3652,10))</f>
        <v>0.44406151703054614</v>
      </c>
      <c r="Q3652" s="8">
        <f>(8197453*100)/8541008</f>
        <v>95.977582505484136</v>
      </c>
    </row>
    <row r="3653" spans="1:17" x14ac:dyDescent="0.2">
      <c r="A3653">
        <f>YEAR(D3653)</f>
        <v>2019</v>
      </c>
      <c r="B3653" t="s">
        <v>26</v>
      </c>
      <c r="C3653" s="2" t="s">
        <v>3023</v>
      </c>
      <c r="D3653" s="1">
        <v>43654</v>
      </c>
      <c r="E3653">
        <f>MONTH(D3653)</f>
        <v>7</v>
      </c>
      <c r="F3653" s="2" t="s">
        <v>2098</v>
      </c>
      <c r="G3653" t="s">
        <v>230</v>
      </c>
      <c r="H3653" t="s">
        <v>268</v>
      </c>
      <c r="I3653" t="s">
        <v>22</v>
      </c>
      <c r="J3653" s="2" t="s">
        <v>42</v>
      </c>
      <c r="K3653" s="2" t="s">
        <v>3019</v>
      </c>
      <c r="L3653" t="s">
        <v>25</v>
      </c>
      <c r="M3653" s="8">
        <v>3.5356666670000001</v>
      </c>
      <c r="N3653" t="s">
        <v>26</v>
      </c>
      <c r="O3653" s="8">
        <v>3.5356666670000001</v>
      </c>
      <c r="P3653" s="8">
        <f>EXP(-1.363+3.366*LOG(O3653,10))</f>
        <v>1.6211802664427075</v>
      </c>
      <c r="Q3653" s="8">
        <f>(8197453*100)/8541008</f>
        <v>95.977582505484136</v>
      </c>
    </row>
    <row r="3654" spans="1:17" x14ac:dyDescent="0.2">
      <c r="A3654">
        <f>YEAR(D3654)</f>
        <v>2019</v>
      </c>
      <c r="B3654" t="s">
        <v>26</v>
      </c>
      <c r="C3654" s="2" t="s">
        <v>3023</v>
      </c>
      <c r="D3654" s="1">
        <v>43654</v>
      </c>
      <c r="E3654">
        <f>MONTH(D3654)</f>
        <v>7</v>
      </c>
      <c r="F3654" s="2" t="s">
        <v>2098</v>
      </c>
      <c r="G3654" t="s">
        <v>230</v>
      </c>
      <c r="H3654" t="s">
        <v>231</v>
      </c>
      <c r="I3654" t="s">
        <v>36</v>
      </c>
      <c r="J3654" s="2" t="s">
        <v>42</v>
      </c>
      <c r="K3654" s="2" t="s">
        <v>3019</v>
      </c>
      <c r="L3654" t="s">
        <v>25</v>
      </c>
      <c r="M3654" s="8">
        <v>3.694</v>
      </c>
      <c r="N3654" t="s">
        <v>26</v>
      </c>
      <c r="O3654" s="8">
        <v>3.694</v>
      </c>
      <c r="P3654" s="8">
        <f>EXP(-1.363+3.366*LOG(O3654,10))</f>
        <v>1.7283972525050015</v>
      </c>
      <c r="Q3654" s="8">
        <f>(8197453*100)/8541008</f>
        <v>95.977582505484136</v>
      </c>
    </row>
    <row r="3655" spans="1:17" x14ac:dyDescent="0.2">
      <c r="A3655">
        <f>YEAR(D3655)</f>
        <v>2019</v>
      </c>
      <c r="B3655" t="s">
        <v>26</v>
      </c>
      <c r="C3655" s="2" t="s">
        <v>3023</v>
      </c>
      <c r="D3655" s="1">
        <v>43654</v>
      </c>
      <c r="E3655">
        <f>MONTH(D3655)</f>
        <v>7</v>
      </c>
      <c r="F3655" s="2" t="s">
        <v>2098</v>
      </c>
      <c r="G3655" s="2" t="s">
        <v>1959</v>
      </c>
      <c r="H3655" t="s">
        <v>3061</v>
      </c>
      <c r="I3655" t="s">
        <v>22</v>
      </c>
      <c r="J3655" s="2" t="s">
        <v>42</v>
      </c>
      <c r="K3655" s="2" t="s">
        <v>3019</v>
      </c>
      <c r="L3655" t="s">
        <v>305</v>
      </c>
      <c r="M3655" s="8">
        <v>0.90900000000000003</v>
      </c>
      <c r="N3655" t="s">
        <v>26</v>
      </c>
      <c r="O3655" s="8">
        <v>0.90900000000000003</v>
      </c>
      <c r="P3655" s="8">
        <f>EXP(-1.363+3.366*LOG(O3655,10))</f>
        <v>0.22257882530643389</v>
      </c>
      <c r="Q3655" s="8">
        <f>(8197453*100)/8541008</f>
        <v>95.977582505484136</v>
      </c>
    </row>
    <row r="3656" spans="1:17" x14ac:dyDescent="0.2">
      <c r="A3656">
        <f>YEAR(D3656)</f>
        <v>2019</v>
      </c>
      <c r="B3656" t="s">
        <v>26</v>
      </c>
      <c r="C3656" s="2" t="s">
        <v>3023</v>
      </c>
      <c r="D3656" s="1">
        <v>43654</v>
      </c>
      <c r="E3656">
        <f>MONTH(D3656)</f>
        <v>7</v>
      </c>
      <c r="F3656" s="2" t="s">
        <v>2098</v>
      </c>
      <c r="G3656" t="s">
        <v>352</v>
      </c>
      <c r="H3656" t="s">
        <v>975</v>
      </c>
      <c r="I3656" t="s">
        <v>36</v>
      </c>
      <c r="J3656" s="2" t="s">
        <v>42</v>
      </c>
      <c r="K3656" s="2" t="s">
        <v>3019</v>
      </c>
      <c r="L3656" t="s">
        <v>25</v>
      </c>
      <c r="M3656" s="8">
        <v>0.95199999999999996</v>
      </c>
      <c r="N3656" t="s">
        <v>26</v>
      </c>
      <c r="O3656" s="8">
        <v>0.95199999999999996</v>
      </c>
      <c r="P3656" s="8">
        <f>EXP(-1.363+3.366*LOG(O3656,10))</f>
        <v>0.23813726407794436</v>
      </c>
      <c r="Q3656" s="8">
        <f>(8197453*100)/8541008</f>
        <v>95.977582505484136</v>
      </c>
    </row>
    <row r="3657" spans="1:17" x14ac:dyDescent="0.2">
      <c r="A3657">
        <f>YEAR(D3657)</f>
        <v>2019</v>
      </c>
      <c r="B3657" t="s">
        <v>26</v>
      </c>
      <c r="C3657" s="2" t="s">
        <v>3023</v>
      </c>
      <c r="D3657" s="1">
        <v>43654</v>
      </c>
      <c r="E3657">
        <f>MONTH(D3657)</f>
        <v>7</v>
      </c>
      <c r="F3657" s="2" t="s">
        <v>2098</v>
      </c>
      <c r="G3657" t="s">
        <v>352</v>
      </c>
      <c r="H3657" t="s">
        <v>1344</v>
      </c>
      <c r="I3657" t="s">
        <v>22</v>
      </c>
      <c r="J3657" s="2" t="s">
        <v>42</v>
      </c>
      <c r="K3657" s="2" t="s">
        <v>3019</v>
      </c>
      <c r="L3657" t="s">
        <v>25</v>
      </c>
      <c r="M3657" s="8">
        <v>0.91800000000000004</v>
      </c>
      <c r="N3657" t="s">
        <v>26</v>
      </c>
      <c r="O3657" s="8">
        <v>0.91800000000000004</v>
      </c>
      <c r="P3657" s="8">
        <f>EXP(-1.363+3.366*LOG(O3657,10))</f>
        <v>0.22580769814771504</v>
      </c>
      <c r="Q3657" s="8">
        <f>(8197453*100)/8541008</f>
        <v>95.977582505484136</v>
      </c>
    </row>
    <row r="3658" spans="1:17" x14ac:dyDescent="0.2">
      <c r="A3658">
        <f>YEAR(D3658)</f>
        <v>2019</v>
      </c>
      <c r="B3658" t="s">
        <v>26</v>
      </c>
      <c r="C3658" s="2" t="s">
        <v>3023</v>
      </c>
      <c r="D3658" s="1">
        <v>43654</v>
      </c>
      <c r="E3658">
        <f>MONTH(D3658)</f>
        <v>7</v>
      </c>
      <c r="F3658" s="2" t="s">
        <v>2098</v>
      </c>
      <c r="G3658" t="s">
        <v>352</v>
      </c>
      <c r="H3658" t="s">
        <v>975</v>
      </c>
      <c r="I3658" t="s">
        <v>36</v>
      </c>
      <c r="J3658" s="2" t="s">
        <v>42</v>
      </c>
      <c r="K3658" s="2" t="s">
        <v>3019</v>
      </c>
      <c r="L3658" t="s">
        <v>25</v>
      </c>
      <c r="M3658" s="8">
        <v>0.95199999999999996</v>
      </c>
      <c r="N3658" t="s">
        <v>26</v>
      </c>
      <c r="O3658" s="8">
        <v>0.95199999999999996</v>
      </c>
      <c r="P3658" s="8">
        <f>EXP(-1.363+3.366*LOG(O3658,10))</f>
        <v>0.23813726407794436</v>
      </c>
      <c r="Q3658" s="8">
        <f>(8197453*100)/8541008</f>
        <v>95.977582505484136</v>
      </c>
    </row>
    <row r="3659" spans="1:17" x14ac:dyDescent="0.2">
      <c r="A3659">
        <f>YEAR(D3659)</f>
        <v>2019</v>
      </c>
      <c r="B3659" t="s">
        <v>26</v>
      </c>
      <c r="C3659" s="2" t="s">
        <v>3023</v>
      </c>
      <c r="D3659" s="1">
        <v>43654</v>
      </c>
      <c r="E3659">
        <f>MONTH(D3659)</f>
        <v>7</v>
      </c>
      <c r="F3659" s="2" t="s">
        <v>2098</v>
      </c>
      <c r="G3659" t="s">
        <v>2206</v>
      </c>
      <c r="H3659" t="s">
        <v>2207</v>
      </c>
      <c r="I3659" t="s">
        <v>22</v>
      </c>
      <c r="J3659" s="2" t="s">
        <v>42</v>
      </c>
      <c r="K3659" s="2" t="s">
        <v>3019</v>
      </c>
      <c r="L3659" t="s">
        <v>25</v>
      </c>
      <c r="M3659" s="8">
        <v>3.249333333</v>
      </c>
      <c r="N3659" t="s">
        <v>26</v>
      </c>
      <c r="O3659" s="8">
        <v>3.249333333</v>
      </c>
      <c r="P3659" s="8">
        <f>EXP(-1.363+3.366*LOG(O3659,10))</f>
        <v>1.4328987616438449</v>
      </c>
      <c r="Q3659" s="8">
        <f>(8197453*100)/8541008</f>
        <v>95.977582505484136</v>
      </c>
    </row>
    <row r="3660" spans="1:17" x14ac:dyDescent="0.2">
      <c r="A3660">
        <f>YEAR(D3660)</f>
        <v>2019</v>
      </c>
      <c r="B3660" t="s">
        <v>26</v>
      </c>
      <c r="C3660" s="2" t="s">
        <v>3023</v>
      </c>
      <c r="D3660" s="1">
        <v>43654</v>
      </c>
      <c r="E3660">
        <f>MONTH(D3660)</f>
        <v>7</v>
      </c>
      <c r="F3660" s="2" t="s">
        <v>2098</v>
      </c>
      <c r="G3660" t="s">
        <v>2206</v>
      </c>
      <c r="H3660" t="s">
        <v>2207</v>
      </c>
      <c r="I3660" t="s">
        <v>36</v>
      </c>
      <c r="J3660" s="2" t="s">
        <v>42</v>
      </c>
      <c r="K3660" s="2" t="s">
        <v>3019</v>
      </c>
      <c r="L3660" t="s">
        <v>25</v>
      </c>
      <c r="M3660" s="8">
        <v>3.6386666669999999</v>
      </c>
      <c r="N3660" t="s">
        <v>26</v>
      </c>
      <c r="O3660" s="8">
        <v>3.6386666669999999</v>
      </c>
      <c r="P3660" s="8">
        <f>EXP(-1.363+3.366*LOG(O3660,10))</f>
        <v>1.6906814772344552</v>
      </c>
      <c r="Q3660" s="8">
        <f>(8197453*100)/8541008</f>
        <v>95.977582505484136</v>
      </c>
    </row>
    <row r="3661" spans="1:17" x14ac:dyDescent="0.2">
      <c r="A3661">
        <f>YEAR(D3661)</f>
        <v>2019</v>
      </c>
      <c r="B3661" t="s">
        <v>26</v>
      </c>
      <c r="C3661" s="2" t="s">
        <v>3018</v>
      </c>
      <c r="D3661" s="1">
        <v>43650</v>
      </c>
      <c r="E3661">
        <f>MONTH(D3661)</f>
        <v>7</v>
      </c>
      <c r="F3661" s="2" t="s">
        <v>19</v>
      </c>
      <c r="G3661" t="s">
        <v>352</v>
      </c>
      <c r="H3661" t="s">
        <v>623</v>
      </c>
      <c r="I3661" t="s">
        <v>36</v>
      </c>
      <c r="J3661" s="2" t="s">
        <v>42</v>
      </c>
      <c r="K3661" s="2" t="s">
        <v>3019</v>
      </c>
      <c r="L3661" t="s">
        <v>25</v>
      </c>
      <c r="M3661" s="8">
        <v>1.1339999999999999</v>
      </c>
      <c r="N3661" t="s">
        <v>26</v>
      </c>
      <c r="O3661" s="8">
        <v>1.1339999999999999</v>
      </c>
      <c r="P3661" s="8">
        <f>EXP(-1.363+3.366*LOG(O3661,10))</f>
        <v>0.30753312979708036</v>
      </c>
      <c r="Q3661" s="8">
        <f>(5996898*100)/6073515</f>
        <v>98.738506449724753</v>
      </c>
    </row>
    <row r="3662" spans="1:17" x14ac:dyDescent="0.2">
      <c r="A3662">
        <f>YEAR(D3662)</f>
        <v>2019</v>
      </c>
      <c r="B3662" t="s">
        <v>26</v>
      </c>
      <c r="C3662" s="2" t="s">
        <v>3018</v>
      </c>
      <c r="D3662" s="1">
        <v>43650</v>
      </c>
      <c r="E3662">
        <f>MONTH(D3662)</f>
        <v>7</v>
      </c>
      <c r="F3662" s="2" t="s">
        <v>19</v>
      </c>
      <c r="G3662" t="s">
        <v>362</v>
      </c>
      <c r="H3662" t="s">
        <v>447</v>
      </c>
      <c r="I3662" t="s">
        <v>22</v>
      </c>
      <c r="J3662" s="2" t="s">
        <v>42</v>
      </c>
      <c r="K3662" s="2" t="s">
        <v>3019</v>
      </c>
      <c r="L3662" t="s">
        <v>25</v>
      </c>
      <c r="M3662" s="8">
        <v>1.421</v>
      </c>
      <c r="N3662" t="s">
        <v>26</v>
      </c>
      <c r="O3662" s="8">
        <v>1.421</v>
      </c>
      <c r="P3662" s="8">
        <f>EXP(-1.363+3.366*LOG(O3662,10))</f>
        <v>0.42768500084673816</v>
      </c>
      <c r="Q3662" s="8">
        <f>(5996898*100)/6073515</f>
        <v>98.738506449724753</v>
      </c>
    </row>
    <row r="3663" spans="1:17" x14ac:dyDescent="0.2">
      <c r="A3663">
        <f>YEAR(D3663)</f>
        <v>2019</v>
      </c>
      <c r="B3663" t="s">
        <v>26</v>
      </c>
      <c r="C3663" s="2" t="s">
        <v>3027</v>
      </c>
      <c r="D3663" s="1">
        <v>43650</v>
      </c>
      <c r="E3663">
        <f>MONTH(D3663)</f>
        <v>7</v>
      </c>
      <c r="F3663" s="2" t="s">
        <v>19</v>
      </c>
      <c r="G3663" t="s">
        <v>352</v>
      </c>
      <c r="H3663" t="s">
        <v>1142</v>
      </c>
      <c r="I3663" t="s">
        <v>22</v>
      </c>
      <c r="J3663" s="2" t="s">
        <v>42</v>
      </c>
      <c r="K3663" s="2" t="s">
        <v>3019</v>
      </c>
      <c r="L3663" t="s">
        <v>25</v>
      </c>
      <c r="M3663" s="8">
        <v>1.1423333330000001</v>
      </c>
      <c r="N3663" t="s">
        <v>26</v>
      </c>
      <c r="O3663" s="8">
        <v>1.1423333330000001</v>
      </c>
      <c r="P3663" s="8">
        <f>EXP(-1.363+3.366*LOG(O3663,10))</f>
        <v>0.31084239358261528</v>
      </c>
      <c r="Q3663" s="8">
        <f>(3939723*100)/4442581</f>
        <v>88.680949204977921</v>
      </c>
    </row>
    <row r="3664" spans="1:17" x14ac:dyDescent="0.2">
      <c r="A3664">
        <f>YEAR(D3664)</f>
        <v>2019</v>
      </c>
      <c r="B3664" t="s">
        <v>26</v>
      </c>
      <c r="C3664" s="2" t="s">
        <v>3018</v>
      </c>
      <c r="D3664" s="1">
        <v>43650</v>
      </c>
      <c r="E3664">
        <f>MONTH(D3664)</f>
        <v>7</v>
      </c>
      <c r="F3664" s="2" t="s">
        <v>19</v>
      </c>
      <c r="G3664" t="s">
        <v>352</v>
      </c>
      <c r="H3664" t="s">
        <v>975</v>
      </c>
      <c r="I3664" t="s">
        <v>22</v>
      </c>
      <c r="J3664" s="2" t="s">
        <v>42</v>
      </c>
      <c r="K3664" s="2" t="s">
        <v>3019</v>
      </c>
      <c r="L3664" t="s">
        <v>25</v>
      </c>
      <c r="M3664" s="8">
        <v>1.0693333330000001</v>
      </c>
      <c r="N3664" t="s">
        <v>26</v>
      </c>
      <c r="O3664" s="8">
        <v>1.0693333330000001</v>
      </c>
      <c r="P3664" s="8">
        <f>EXP(-1.363+3.366*LOG(O3664,10))</f>
        <v>0.28223780327142356</v>
      </c>
      <c r="Q3664" s="8">
        <f>(5996898*100)/6073515</f>
        <v>98.738506449724753</v>
      </c>
    </row>
    <row r="3665" spans="1:17" x14ac:dyDescent="0.2">
      <c r="A3665">
        <f>YEAR(D3665)</f>
        <v>2019</v>
      </c>
      <c r="B3665" t="s">
        <v>26</v>
      </c>
      <c r="C3665" s="2" t="s">
        <v>3023</v>
      </c>
      <c r="D3665" s="1">
        <v>43654</v>
      </c>
      <c r="E3665">
        <f>MONTH(D3665)</f>
        <v>7</v>
      </c>
      <c r="F3665" s="2" t="s">
        <v>19</v>
      </c>
      <c r="G3665" t="s">
        <v>362</v>
      </c>
      <c r="H3665" t="s">
        <v>447</v>
      </c>
      <c r="I3665" t="s">
        <v>36</v>
      </c>
      <c r="J3665" s="2" t="s">
        <v>42</v>
      </c>
      <c r="K3665" s="2" t="s">
        <v>3019</v>
      </c>
      <c r="L3665" t="s">
        <v>25</v>
      </c>
      <c r="M3665" s="8">
        <v>1.0956666669999999</v>
      </c>
      <c r="N3665" t="s">
        <v>26</v>
      </c>
      <c r="O3665" s="8">
        <v>1.0956666669999999</v>
      </c>
      <c r="P3665" s="8">
        <f>EXP(-1.363+3.366*LOG(O3665,10))</f>
        <v>0.29245562330904107</v>
      </c>
      <c r="Q3665" s="8">
        <f>(8197453*100)/8541008</f>
        <v>95.977582505484136</v>
      </c>
    </row>
    <row r="3666" spans="1:17" x14ac:dyDescent="0.2">
      <c r="A3666">
        <f>YEAR(D3666)</f>
        <v>2019</v>
      </c>
      <c r="B3666" t="s">
        <v>26</v>
      </c>
      <c r="C3666" s="2" t="s">
        <v>3024</v>
      </c>
      <c r="D3666" s="1">
        <v>43649</v>
      </c>
      <c r="E3666">
        <f>MONTH(D3666)</f>
        <v>7</v>
      </c>
      <c r="F3666" s="2" t="s">
        <v>19</v>
      </c>
      <c r="G3666" t="s">
        <v>352</v>
      </c>
      <c r="H3666" t="s">
        <v>1142</v>
      </c>
      <c r="I3666" t="s">
        <v>22</v>
      </c>
      <c r="J3666" s="2" t="s">
        <v>42</v>
      </c>
      <c r="K3666" s="2" t="s">
        <v>3019</v>
      </c>
      <c r="L3666" t="s">
        <v>25</v>
      </c>
      <c r="M3666" s="8">
        <v>1.1423333330000001</v>
      </c>
      <c r="N3666" t="s">
        <v>26</v>
      </c>
      <c r="O3666" s="8">
        <v>1.1423333330000001</v>
      </c>
      <c r="P3666" s="8">
        <f>EXP(-1.363+3.366*LOG(O3666,10))</f>
        <v>0.31084239358261528</v>
      </c>
      <c r="Q3666" s="8">
        <f>(2412691*100)/2623642</f>
        <v>91.959611867777696</v>
      </c>
    </row>
    <row r="3667" spans="1:17" x14ac:dyDescent="0.2">
      <c r="A3667">
        <f>YEAR(D3667)</f>
        <v>2019</v>
      </c>
      <c r="B3667" t="s">
        <v>26</v>
      </c>
      <c r="C3667" s="2" t="s">
        <v>3024</v>
      </c>
      <c r="D3667" s="1">
        <v>43649</v>
      </c>
      <c r="E3667">
        <f>MONTH(D3667)</f>
        <v>7</v>
      </c>
      <c r="F3667" s="2" t="s">
        <v>19</v>
      </c>
      <c r="G3667" t="s">
        <v>352</v>
      </c>
      <c r="H3667" t="s">
        <v>1142</v>
      </c>
      <c r="I3667" t="s">
        <v>36</v>
      </c>
      <c r="J3667" s="2" t="s">
        <v>42</v>
      </c>
      <c r="K3667" s="2" t="s">
        <v>3019</v>
      </c>
      <c r="L3667" t="s">
        <v>25</v>
      </c>
      <c r="M3667" s="8">
        <v>0.93500000000000005</v>
      </c>
      <c r="N3667" t="s">
        <v>26</v>
      </c>
      <c r="O3667" s="8">
        <v>0.93500000000000005</v>
      </c>
      <c r="P3667" s="8">
        <f>EXP(-1.363+3.366*LOG(O3667,10))</f>
        <v>0.23194659731411651</v>
      </c>
      <c r="Q3667" s="8">
        <f>(2412691*100)/2623642</f>
        <v>91.959611867777696</v>
      </c>
    </row>
    <row r="3668" spans="1:17" x14ac:dyDescent="0.2">
      <c r="A3668">
        <f>YEAR(D3668)</f>
        <v>2019</v>
      </c>
      <c r="B3668" t="s">
        <v>26</v>
      </c>
      <c r="C3668" s="2" t="s">
        <v>50</v>
      </c>
      <c r="D3668" s="1">
        <v>43649</v>
      </c>
      <c r="E3668">
        <f>MONTH(D3668)</f>
        <v>7</v>
      </c>
      <c r="F3668" s="2" t="s">
        <v>19</v>
      </c>
      <c r="G3668" t="s">
        <v>352</v>
      </c>
      <c r="H3668" t="s">
        <v>975</v>
      </c>
      <c r="I3668" t="s">
        <v>22</v>
      </c>
      <c r="J3668" s="2" t="s">
        <v>42</v>
      </c>
      <c r="K3668" s="2" t="s">
        <v>3019</v>
      </c>
      <c r="L3668" t="s">
        <v>25</v>
      </c>
      <c r="M3668" s="8">
        <v>1.0693333330000001</v>
      </c>
      <c r="N3668" t="s">
        <v>26</v>
      </c>
      <c r="O3668" s="8">
        <v>1.0693333330000001</v>
      </c>
      <c r="P3668" s="8">
        <f>EXP(-1.363+3.366*LOG(O3668,10))</f>
        <v>0.28223780327142356</v>
      </c>
      <c r="Q3668" s="8">
        <f>(4488342*100)/4914798</f>
        <v>91.323020803703429</v>
      </c>
    </row>
    <row r="3669" spans="1:17" x14ac:dyDescent="0.2">
      <c r="A3669">
        <f>YEAR(D3669)</f>
        <v>2019</v>
      </c>
      <c r="B3669" t="s">
        <v>26</v>
      </c>
      <c r="C3669" s="2" t="s">
        <v>50</v>
      </c>
      <c r="D3669" s="1">
        <v>43649</v>
      </c>
      <c r="E3669">
        <f>MONTH(D3669)</f>
        <v>7</v>
      </c>
      <c r="F3669" s="2" t="s">
        <v>19</v>
      </c>
      <c r="G3669" t="s">
        <v>352</v>
      </c>
      <c r="H3669" t="s">
        <v>975</v>
      </c>
      <c r="I3669" t="s">
        <v>22</v>
      </c>
      <c r="J3669" s="2" t="s">
        <v>42</v>
      </c>
      <c r="K3669" s="2" t="s">
        <v>3019</v>
      </c>
      <c r="L3669" t="s">
        <v>25</v>
      </c>
      <c r="M3669" s="8">
        <v>1.0693333330000001</v>
      </c>
      <c r="N3669" t="s">
        <v>26</v>
      </c>
      <c r="O3669" s="8">
        <v>1.0693333330000001</v>
      </c>
      <c r="P3669" s="8">
        <f>EXP(-1.363+3.366*LOG(O3669,10))</f>
        <v>0.28223780327142356</v>
      </c>
      <c r="Q3669" s="8">
        <f>(4488342*100)/4914798</f>
        <v>91.323020803703429</v>
      </c>
    </row>
    <row r="3670" spans="1:17" x14ac:dyDescent="0.2">
      <c r="A3670">
        <f>YEAR(D3670)</f>
        <v>2019</v>
      </c>
      <c r="B3670" t="s">
        <v>26</v>
      </c>
      <c r="C3670" s="2" t="s">
        <v>3020</v>
      </c>
      <c r="D3670" s="1">
        <v>43656</v>
      </c>
      <c r="E3670">
        <f>MONTH(D3670)</f>
        <v>7</v>
      </c>
      <c r="F3670" s="2" t="s">
        <v>2098</v>
      </c>
      <c r="G3670" t="s">
        <v>230</v>
      </c>
      <c r="H3670" t="s">
        <v>268</v>
      </c>
      <c r="I3670" t="s">
        <v>22</v>
      </c>
      <c r="J3670" s="2" t="s">
        <v>42</v>
      </c>
      <c r="K3670" s="2" t="s">
        <v>3019</v>
      </c>
      <c r="L3670" t="s">
        <v>25</v>
      </c>
      <c r="M3670" s="8">
        <v>3.5356666670000001</v>
      </c>
      <c r="N3670" t="s">
        <v>26</v>
      </c>
      <c r="O3670" s="8">
        <v>3.5356666670000001</v>
      </c>
      <c r="P3670" s="8">
        <f>EXP(-1.363+3.366*LOG(O3670,10))</f>
        <v>1.6211802664427075</v>
      </c>
      <c r="Q3670" s="8">
        <f>(3359412*100)/3462762</f>
        <v>97.015388294084318</v>
      </c>
    </row>
    <row r="3671" spans="1:17" x14ac:dyDescent="0.2">
      <c r="A3671">
        <f>YEAR(D3671)</f>
        <v>2019</v>
      </c>
      <c r="B3671" t="s">
        <v>26</v>
      </c>
      <c r="C3671" s="2" t="s">
        <v>3020</v>
      </c>
      <c r="D3671" s="1">
        <v>43656</v>
      </c>
      <c r="E3671">
        <f>MONTH(D3671)</f>
        <v>7</v>
      </c>
      <c r="F3671" s="2" t="s">
        <v>2098</v>
      </c>
      <c r="G3671" t="s">
        <v>230</v>
      </c>
      <c r="H3671" t="s">
        <v>268</v>
      </c>
      <c r="I3671" t="s">
        <v>22</v>
      </c>
      <c r="J3671" s="2" t="s">
        <v>42</v>
      </c>
      <c r="K3671" s="2" t="s">
        <v>3019</v>
      </c>
      <c r="L3671" t="s">
        <v>25</v>
      </c>
      <c r="M3671" s="8">
        <v>3.5356666670000001</v>
      </c>
      <c r="N3671" t="s">
        <v>26</v>
      </c>
      <c r="O3671" s="8">
        <v>3.5356666670000001</v>
      </c>
      <c r="P3671" s="8">
        <f>EXP(-1.363+3.366*LOG(O3671,10))</f>
        <v>1.6211802664427075</v>
      </c>
      <c r="Q3671" s="8">
        <f>(3359412*100)/3462762</f>
        <v>97.015388294084318</v>
      </c>
    </row>
    <row r="3672" spans="1:17" x14ac:dyDescent="0.2">
      <c r="A3672">
        <f>YEAR(D3672)</f>
        <v>2019</v>
      </c>
      <c r="B3672" t="s">
        <v>26</v>
      </c>
      <c r="C3672" s="2" t="s">
        <v>3020</v>
      </c>
      <c r="D3672" s="1">
        <v>43656</v>
      </c>
      <c r="E3672">
        <f>MONTH(D3672)</f>
        <v>7</v>
      </c>
      <c r="F3672" s="2" t="s">
        <v>2098</v>
      </c>
      <c r="G3672" t="s">
        <v>230</v>
      </c>
      <c r="H3672" t="s">
        <v>268</v>
      </c>
      <c r="I3672" t="s">
        <v>22</v>
      </c>
      <c r="J3672" s="2" t="s">
        <v>42</v>
      </c>
      <c r="K3672" s="2" t="s">
        <v>3019</v>
      </c>
      <c r="L3672" t="s">
        <v>25</v>
      </c>
      <c r="M3672" s="8">
        <v>3.5356666670000001</v>
      </c>
      <c r="N3672" t="s">
        <v>26</v>
      </c>
      <c r="O3672" s="8">
        <v>3.5356666670000001</v>
      </c>
      <c r="P3672" s="8">
        <f>EXP(-1.363+3.366*LOG(O3672,10))</f>
        <v>1.6211802664427075</v>
      </c>
      <c r="Q3672" s="8">
        <f>(3359412*100)/3462762</f>
        <v>97.015388294084318</v>
      </c>
    </row>
    <row r="3673" spans="1:17" x14ac:dyDescent="0.2">
      <c r="A3673">
        <f>YEAR(D3673)</f>
        <v>2019</v>
      </c>
      <c r="B3673" t="s">
        <v>26</v>
      </c>
      <c r="C3673" s="2" t="s">
        <v>3020</v>
      </c>
      <c r="D3673" s="1">
        <v>43656</v>
      </c>
      <c r="E3673">
        <f>MONTH(D3673)</f>
        <v>7</v>
      </c>
      <c r="F3673" s="2" t="s">
        <v>2098</v>
      </c>
      <c r="G3673" t="s">
        <v>230</v>
      </c>
      <c r="H3673" t="s">
        <v>268</v>
      </c>
      <c r="I3673" t="s">
        <v>22</v>
      </c>
      <c r="J3673" s="2" t="s">
        <v>42</v>
      </c>
      <c r="K3673" s="2" t="s">
        <v>3019</v>
      </c>
      <c r="L3673" t="s">
        <v>25</v>
      </c>
      <c r="M3673" s="8">
        <v>3.5356666670000001</v>
      </c>
      <c r="N3673" t="s">
        <v>26</v>
      </c>
      <c r="O3673" s="8">
        <v>3.5356666670000001</v>
      </c>
      <c r="P3673" s="8">
        <f>EXP(-1.363+3.366*LOG(O3673,10))</f>
        <v>1.6211802664427075</v>
      </c>
      <c r="Q3673" s="8">
        <f>(3359412*100)/3462762</f>
        <v>97.015388294084318</v>
      </c>
    </row>
    <row r="3674" spans="1:17" x14ac:dyDescent="0.2">
      <c r="A3674">
        <f>YEAR(D3674)</f>
        <v>2019</v>
      </c>
      <c r="B3674" t="s">
        <v>26</v>
      </c>
      <c r="C3674" s="2" t="s">
        <v>3020</v>
      </c>
      <c r="D3674" s="1">
        <v>43656</v>
      </c>
      <c r="E3674">
        <f>MONTH(D3674)</f>
        <v>7</v>
      </c>
      <c r="F3674" s="2" t="s">
        <v>2098</v>
      </c>
      <c r="G3674" t="s">
        <v>230</v>
      </c>
      <c r="H3674" t="s">
        <v>268</v>
      </c>
      <c r="I3674" t="s">
        <v>22</v>
      </c>
      <c r="J3674" s="2" t="s">
        <v>42</v>
      </c>
      <c r="K3674" s="2" t="s">
        <v>3019</v>
      </c>
      <c r="L3674" t="s">
        <v>25</v>
      </c>
      <c r="M3674" s="8">
        <v>3.5356666670000001</v>
      </c>
      <c r="N3674" t="s">
        <v>26</v>
      </c>
      <c r="O3674" s="8">
        <v>3.5356666670000001</v>
      </c>
      <c r="P3674" s="8">
        <f>EXP(-1.363+3.366*LOG(O3674,10))</f>
        <v>1.6211802664427075</v>
      </c>
      <c r="Q3674" s="8">
        <f>(3359412*100)/3462762</f>
        <v>97.015388294084318</v>
      </c>
    </row>
    <row r="3675" spans="1:17" x14ac:dyDescent="0.2">
      <c r="A3675">
        <f>YEAR(D3675)</f>
        <v>2019</v>
      </c>
      <c r="B3675" t="s">
        <v>26</v>
      </c>
      <c r="C3675" s="2" t="s">
        <v>3020</v>
      </c>
      <c r="D3675" s="1">
        <v>43656</v>
      </c>
      <c r="E3675">
        <f>MONTH(D3675)</f>
        <v>7</v>
      </c>
      <c r="F3675" s="2" t="s">
        <v>2098</v>
      </c>
      <c r="G3675" t="s">
        <v>332</v>
      </c>
      <c r="H3675" t="s">
        <v>330</v>
      </c>
      <c r="I3675" t="s">
        <v>22</v>
      </c>
      <c r="J3675" s="2" t="s">
        <v>42</v>
      </c>
      <c r="K3675" s="2" t="s">
        <v>3019</v>
      </c>
      <c r="L3675" t="s">
        <v>25</v>
      </c>
      <c r="M3675" s="8">
        <v>1.2170000000000001</v>
      </c>
      <c r="N3675" t="s">
        <v>26</v>
      </c>
      <c r="O3675" s="8">
        <v>1.2170000000000001</v>
      </c>
      <c r="P3675" s="8">
        <f>EXP(-1.363+3.366*LOG(O3675,10))</f>
        <v>0.34098666307598596</v>
      </c>
      <c r="Q3675" s="8">
        <f>(3359412*100)/3462762</f>
        <v>97.015388294084318</v>
      </c>
    </row>
    <row r="3676" spans="1:17" x14ac:dyDescent="0.2">
      <c r="A3676">
        <f>YEAR(D3676)</f>
        <v>2019</v>
      </c>
      <c r="B3676" t="s">
        <v>26</v>
      </c>
      <c r="C3676" s="2" t="s">
        <v>3020</v>
      </c>
      <c r="D3676" s="1">
        <v>43656</v>
      </c>
      <c r="E3676">
        <f>MONTH(D3676)</f>
        <v>7</v>
      </c>
      <c r="F3676" s="2" t="s">
        <v>2098</v>
      </c>
      <c r="G3676" t="s">
        <v>332</v>
      </c>
      <c r="H3676" t="s">
        <v>330</v>
      </c>
      <c r="I3676" t="s">
        <v>22</v>
      </c>
      <c r="J3676" s="2" t="s">
        <v>42</v>
      </c>
      <c r="K3676" s="2" t="s">
        <v>3019</v>
      </c>
      <c r="L3676" t="s">
        <v>25</v>
      </c>
      <c r="M3676" s="8">
        <v>1.2170000000000001</v>
      </c>
      <c r="N3676" t="s">
        <v>26</v>
      </c>
      <c r="O3676" s="8">
        <v>1.2170000000000001</v>
      </c>
      <c r="P3676" s="8">
        <f>EXP(-1.363+3.366*LOG(O3676,10))</f>
        <v>0.34098666307598596</v>
      </c>
      <c r="Q3676" s="8">
        <f>(3359412*100)/3462762</f>
        <v>97.015388294084318</v>
      </c>
    </row>
    <row r="3677" spans="1:17" x14ac:dyDescent="0.2">
      <c r="A3677">
        <f>YEAR(D3677)</f>
        <v>2019</v>
      </c>
      <c r="B3677" t="s">
        <v>26</v>
      </c>
      <c r="C3677" s="2" t="s">
        <v>3020</v>
      </c>
      <c r="D3677" s="1">
        <v>43656</v>
      </c>
      <c r="E3677">
        <f>MONTH(D3677)</f>
        <v>7</v>
      </c>
      <c r="F3677" s="2" t="s">
        <v>2098</v>
      </c>
      <c r="G3677" t="s">
        <v>1520</v>
      </c>
      <c r="H3677" t="s">
        <v>1925</v>
      </c>
      <c r="I3677" t="s">
        <v>22</v>
      </c>
      <c r="J3677" s="2" t="s">
        <v>42</v>
      </c>
      <c r="K3677" s="2" t="s">
        <v>3019</v>
      </c>
      <c r="L3677" t="s">
        <v>25</v>
      </c>
      <c r="M3677" s="8">
        <v>2.3010000000000002</v>
      </c>
      <c r="N3677" t="s">
        <v>26</v>
      </c>
      <c r="O3677" s="8">
        <v>2.3010000000000002</v>
      </c>
      <c r="P3677" s="8">
        <f>EXP(-1.363+3.366*LOG(O3677,10))</f>
        <v>0.86520512489057888</v>
      </c>
      <c r="Q3677" s="8">
        <f>(3359412*100)/3462762</f>
        <v>97.015388294084318</v>
      </c>
    </row>
    <row r="3678" spans="1:17" x14ac:dyDescent="0.2">
      <c r="A3678">
        <f>YEAR(D3678)</f>
        <v>2019</v>
      </c>
      <c r="B3678" t="s">
        <v>26</v>
      </c>
      <c r="C3678" s="2" t="s">
        <v>3020</v>
      </c>
      <c r="D3678" s="1">
        <v>43656</v>
      </c>
      <c r="E3678">
        <f>MONTH(D3678)</f>
        <v>7</v>
      </c>
      <c r="F3678" s="2" t="s">
        <v>2098</v>
      </c>
      <c r="G3678" t="s">
        <v>1512</v>
      </c>
      <c r="H3678" t="s">
        <v>1515</v>
      </c>
      <c r="I3678" t="s">
        <v>36</v>
      </c>
      <c r="J3678" s="2" t="s">
        <v>42</v>
      </c>
      <c r="K3678" s="2" t="s">
        <v>3019</v>
      </c>
      <c r="L3678" t="s">
        <v>187</v>
      </c>
      <c r="M3678" s="8">
        <v>1.3580000000000001</v>
      </c>
      <c r="N3678" t="s">
        <v>26</v>
      </c>
      <c r="O3678" s="8">
        <v>1.3580000000000001</v>
      </c>
      <c r="P3678" s="8">
        <f>EXP(-1.363+3.366*LOG(O3678,10))</f>
        <v>0.40025262274215467</v>
      </c>
      <c r="Q3678" s="8">
        <f>(3359412*100)/3462762</f>
        <v>97.015388294084318</v>
      </c>
    </row>
    <row r="3679" spans="1:17" x14ac:dyDescent="0.2">
      <c r="A3679">
        <f>YEAR(D3679)</f>
        <v>2019</v>
      </c>
      <c r="B3679" t="s">
        <v>26</v>
      </c>
      <c r="C3679" s="2" t="s">
        <v>3020</v>
      </c>
      <c r="D3679" s="1">
        <v>43656</v>
      </c>
      <c r="E3679">
        <f>MONTH(D3679)</f>
        <v>7</v>
      </c>
      <c r="F3679" s="2" t="s">
        <v>2098</v>
      </c>
      <c r="G3679" t="s">
        <v>1520</v>
      </c>
      <c r="H3679" t="s">
        <v>1925</v>
      </c>
      <c r="I3679" t="s">
        <v>22</v>
      </c>
      <c r="J3679" s="2" t="s">
        <v>42</v>
      </c>
      <c r="K3679" s="2" t="s">
        <v>3019</v>
      </c>
      <c r="L3679" t="s">
        <v>25</v>
      </c>
      <c r="M3679" s="8">
        <v>2.3010000000000002</v>
      </c>
      <c r="N3679" t="s">
        <v>26</v>
      </c>
      <c r="O3679" s="8">
        <v>2.3010000000000002</v>
      </c>
      <c r="P3679" s="8">
        <f>EXP(-1.363+3.366*LOG(O3679,10))</f>
        <v>0.86520512489057888</v>
      </c>
      <c r="Q3679" s="8">
        <f>(3359412*100)/3462762</f>
        <v>97.015388294084318</v>
      </c>
    </row>
    <row r="3680" spans="1:17" x14ac:dyDescent="0.2">
      <c r="A3680">
        <f>YEAR(D3680)</f>
        <v>2019</v>
      </c>
      <c r="B3680" t="s">
        <v>26</v>
      </c>
      <c r="C3680" s="2" t="s">
        <v>3020</v>
      </c>
      <c r="D3680" s="1">
        <v>43656</v>
      </c>
      <c r="E3680">
        <f>MONTH(D3680)</f>
        <v>7</v>
      </c>
      <c r="F3680" s="2" t="s">
        <v>2098</v>
      </c>
      <c r="G3680" t="s">
        <v>1520</v>
      </c>
      <c r="H3680" t="s">
        <v>1925</v>
      </c>
      <c r="I3680" t="s">
        <v>22</v>
      </c>
      <c r="J3680" s="2" t="s">
        <v>42</v>
      </c>
      <c r="K3680" s="2" t="s">
        <v>3019</v>
      </c>
      <c r="L3680" t="s">
        <v>25</v>
      </c>
      <c r="M3680" s="8">
        <v>2.3010000000000002</v>
      </c>
      <c r="N3680" t="s">
        <v>26</v>
      </c>
      <c r="O3680" s="8">
        <v>2.3010000000000002</v>
      </c>
      <c r="P3680" s="8">
        <f>EXP(-1.363+3.366*LOG(O3680,10))</f>
        <v>0.86520512489057888</v>
      </c>
      <c r="Q3680" s="8">
        <f>(3359412*100)/3462762</f>
        <v>97.015388294084318</v>
      </c>
    </row>
    <row r="3681" spans="1:17" x14ac:dyDescent="0.2">
      <c r="A3681">
        <f>YEAR(D3681)</f>
        <v>2019</v>
      </c>
      <c r="B3681" t="s">
        <v>26</v>
      </c>
      <c r="C3681" s="2" t="s">
        <v>3020</v>
      </c>
      <c r="D3681" s="1">
        <v>43656</v>
      </c>
      <c r="E3681">
        <f>MONTH(D3681)</f>
        <v>7</v>
      </c>
      <c r="F3681" s="2" t="s">
        <v>2098</v>
      </c>
      <c r="G3681" t="s">
        <v>230</v>
      </c>
      <c r="H3681" t="s">
        <v>268</v>
      </c>
      <c r="I3681" t="s">
        <v>22</v>
      </c>
      <c r="J3681" s="2" t="s">
        <v>42</v>
      </c>
      <c r="K3681" s="2" t="s">
        <v>3019</v>
      </c>
      <c r="L3681" t="s">
        <v>25</v>
      </c>
      <c r="M3681" s="8">
        <v>3.5356666670000001</v>
      </c>
      <c r="N3681" t="s">
        <v>26</v>
      </c>
      <c r="O3681" s="8">
        <v>3.5356666670000001</v>
      </c>
      <c r="P3681" s="8">
        <f>EXP(-1.363+3.366*LOG(O3681,10))</f>
        <v>1.6211802664427075</v>
      </c>
      <c r="Q3681" s="8">
        <f>(3359412*100)/3462762</f>
        <v>97.015388294084318</v>
      </c>
    </row>
    <row r="3682" spans="1:17" x14ac:dyDescent="0.2">
      <c r="A3682">
        <f>YEAR(D3682)</f>
        <v>2019</v>
      </c>
      <c r="B3682" t="s">
        <v>26</v>
      </c>
      <c r="C3682" s="2" t="s">
        <v>3020</v>
      </c>
      <c r="D3682" s="1">
        <v>43656</v>
      </c>
      <c r="E3682">
        <f>MONTH(D3682)</f>
        <v>7</v>
      </c>
      <c r="F3682" s="2" t="s">
        <v>2098</v>
      </c>
      <c r="G3682" s="2" t="s">
        <v>20</v>
      </c>
      <c r="H3682" t="s">
        <v>91</v>
      </c>
      <c r="I3682" t="s">
        <v>36</v>
      </c>
      <c r="J3682" s="2" t="s">
        <v>42</v>
      </c>
      <c r="K3682" s="2" t="s">
        <v>3019</v>
      </c>
      <c r="L3682" t="s">
        <v>25</v>
      </c>
      <c r="M3682" s="8">
        <v>1.5753333329999999</v>
      </c>
      <c r="N3682" t="s">
        <v>26</v>
      </c>
      <c r="O3682" s="8">
        <v>1.5753333329999999</v>
      </c>
      <c r="P3682" s="8">
        <f>EXP(-1.363+3.366*LOG(O3682,10))</f>
        <v>0.49725898537469421</v>
      </c>
      <c r="Q3682" s="8">
        <f>(3359412*100)/3462762</f>
        <v>97.015388294084318</v>
      </c>
    </row>
    <row r="3683" spans="1:17" x14ac:dyDescent="0.2">
      <c r="A3683">
        <f>YEAR(D3683)</f>
        <v>2019</v>
      </c>
      <c r="B3683" t="s">
        <v>26</v>
      </c>
      <c r="C3683" s="2" t="s">
        <v>3020</v>
      </c>
      <c r="D3683" s="1">
        <v>43656</v>
      </c>
      <c r="E3683">
        <f>MONTH(D3683)</f>
        <v>7</v>
      </c>
      <c r="F3683" s="2" t="s">
        <v>2098</v>
      </c>
      <c r="G3683" t="s">
        <v>219</v>
      </c>
      <c r="H3683" t="s">
        <v>220</v>
      </c>
      <c r="I3683" t="s">
        <v>22</v>
      </c>
      <c r="J3683" s="2" t="s">
        <v>42</v>
      </c>
      <c r="K3683" s="2" t="s">
        <v>3019</v>
      </c>
      <c r="L3683" t="s">
        <v>25</v>
      </c>
      <c r="M3683" s="10" t="s">
        <v>26</v>
      </c>
      <c r="N3683" t="s">
        <v>26</v>
      </c>
      <c r="O3683" s="10" t="s">
        <v>26</v>
      </c>
      <c r="P3683" s="8" t="s">
        <v>26</v>
      </c>
      <c r="Q3683" s="8">
        <f>(3359412*100)/3462762</f>
        <v>97.015388294084318</v>
      </c>
    </row>
    <row r="3684" spans="1:17" x14ac:dyDescent="0.2">
      <c r="A3684">
        <f>YEAR(D3684)</f>
        <v>2019</v>
      </c>
      <c r="B3684" t="s">
        <v>26</v>
      </c>
      <c r="C3684" s="2" t="s">
        <v>3020</v>
      </c>
      <c r="D3684" s="1">
        <v>43656</v>
      </c>
      <c r="E3684">
        <f>MONTH(D3684)</f>
        <v>7</v>
      </c>
      <c r="F3684" s="2" t="s">
        <v>2098</v>
      </c>
      <c r="G3684" t="s">
        <v>219</v>
      </c>
      <c r="H3684" t="s">
        <v>220</v>
      </c>
      <c r="I3684" t="s">
        <v>22</v>
      </c>
      <c r="J3684" s="2" t="s">
        <v>42</v>
      </c>
      <c r="K3684" s="2" t="s">
        <v>3019</v>
      </c>
      <c r="L3684" t="s">
        <v>25</v>
      </c>
      <c r="M3684" s="10" t="s">
        <v>26</v>
      </c>
      <c r="N3684" t="s">
        <v>26</v>
      </c>
      <c r="O3684" s="10" t="s">
        <v>26</v>
      </c>
      <c r="P3684" s="8" t="s">
        <v>26</v>
      </c>
      <c r="Q3684" s="8">
        <f>(3359412*100)/3462762</f>
        <v>97.015388294084318</v>
      </c>
    </row>
    <row r="3685" spans="1:17" x14ac:dyDescent="0.2">
      <c r="A3685">
        <f>YEAR(D3685)</f>
        <v>2019</v>
      </c>
      <c r="B3685" t="s">
        <v>26</v>
      </c>
      <c r="C3685" s="2" t="s">
        <v>3020</v>
      </c>
      <c r="D3685" s="1">
        <v>43656</v>
      </c>
      <c r="E3685">
        <f>MONTH(D3685)</f>
        <v>7</v>
      </c>
      <c r="F3685" s="2" t="s">
        <v>2098</v>
      </c>
      <c r="G3685" t="s">
        <v>219</v>
      </c>
      <c r="H3685" t="s">
        <v>220</v>
      </c>
      <c r="I3685" t="s">
        <v>22</v>
      </c>
      <c r="J3685" s="2" t="s">
        <v>42</v>
      </c>
      <c r="K3685" s="2" t="s">
        <v>3019</v>
      </c>
      <c r="L3685" t="s">
        <v>25</v>
      </c>
      <c r="M3685" s="10" t="s">
        <v>26</v>
      </c>
      <c r="N3685" t="s">
        <v>26</v>
      </c>
      <c r="O3685" s="10" t="s">
        <v>26</v>
      </c>
      <c r="P3685" s="8" t="s">
        <v>26</v>
      </c>
      <c r="Q3685" s="8">
        <f>(3359412*100)/3462762</f>
        <v>97.015388294084318</v>
      </c>
    </row>
    <row r="3686" spans="1:17" x14ac:dyDescent="0.2">
      <c r="A3686">
        <f>YEAR(D3686)</f>
        <v>2019</v>
      </c>
      <c r="B3686" t="s">
        <v>26</v>
      </c>
      <c r="C3686" s="2" t="s">
        <v>3020</v>
      </c>
      <c r="D3686" s="1">
        <v>43656</v>
      </c>
      <c r="E3686">
        <f>MONTH(D3686)</f>
        <v>7</v>
      </c>
      <c r="F3686" s="2" t="s">
        <v>2098</v>
      </c>
      <c r="G3686" t="s">
        <v>230</v>
      </c>
      <c r="H3686" t="s">
        <v>268</v>
      </c>
      <c r="I3686" t="s">
        <v>22</v>
      </c>
      <c r="J3686" s="2" t="s">
        <v>42</v>
      </c>
      <c r="K3686" s="2" t="s">
        <v>3019</v>
      </c>
      <c r="L3686" t="s">
        <v>25</v>
      </c>
      <c r="M3686" s="8">
        <v>3.5356666670000001</v>
      </c>
      <c r="N3686" t="s">
        <v>26</v>
      </c>
      <c r="O3686" s="8">
        <v>3.5356666670000001</v>
      </c>
      <c r="P3686" s="8">
        <f>EXP(-1.363+3.366*LOG(O3686,10))</f>
        <v>1.6211802664427075</v>
      </c>
      <c r="Q3686" s="8">
        <f>(3359412*100)/3462762</f>
        <v>97.015388294084318</v>
      </c>
    </row>
    <row r="3687" spans="1:17" x14ac:dyDescent="0.2">
      <c r="A3687">
        <f>YEAR(D3687)</f>
        <v>2019</v>
      </c>
      <c r="B3687" t="s">
        <v>26</v>
      </c>
      <c r="C3687" s="2" t="s">
        <v>3020</v>
      </c>
      <c r="D3687" s="1">
        <v>43656</v>
      </c>
      <c r="E3687">
        <f>MONTH(D3687)</f>
        <v>7</v>
      </c>
      <c r="F3687" s="2" t="s">
        <v>2098</v>
      </c>
      <c r="G3687" t="s">
        <v>230</v>
      </c>
      <c r="H3687" t="s">
        <v>268</v>
      </c>
      <c r="I3687" t="s">
        <v>22</v>
      </c>
      <c r="J3687" s="2" t="s">
        <v>42</v>
      </c>
      <c r="K3687" s="2" t="s">
        <v>3019</v>
      </c>
      <c r="L3687" t="s">
        <v>25</v>
      </c>
      <c r="M3687" s="8">
        <v>3.5356666670000001</v>
      </c>
      <c r="N3687" t="s">
        <v>26</v>
      </c>
      <c r="O3687" s="8">
        <v>3.5356666670000001</v>
      </c>
      <c r="P3687" s="8">
        <f>EXP(-1.363+3.366*LOG(O3687,10))</f>
        <v>1.6211802664427075</v>
      </c>
      <c r="Q3687" s="8">
        <f>(3359412*100)/3462762</f>
        <v>97.015388294084318</v>
      </c>
    </row>
    <row r="3688" spans="1:17" x14ac:dyDescent="0.2">
      <c r="A3688">
        <f>YEAR(D3688)</f>
        <v>2019</v>
      </c>
      <c r="B3688" t="s">
        <v>26</v>
      </c>
      <c r="C3688" s="2" t="s">
        <v>3020</v>
      </c>
      <c r="D3688" s="1">
        <v>43656</v>
      </c>
      <c r="E3688">
        <f>MONTH(D3688)</f>
        <v>7</v>
      </c>
      <c r="F3688" s="2" t="s">
        <v>2098</v>
      </c>
      <c r="G3688" t="s">
        <v>230</v>
      </c>
      <c r="H3688" t="s">
        <v>268</v>
      </c>
      <c r="I3688" t="s">
        <v>22</v>
      </c>
      <c r="J3688" s="2" t="s">
        <v>42</v>
      </c>
      <c r="K3688" s="2" t="s">
        <v>3019</v>
      </c>
      <c r="L3688" t="s">
        <v>25</v>
      </c>
      <c r="M3688" s="8">
        <v>3.5356666670000001</v>
      </c>
      <c r="N3688" t="s">
        <v>26</v>
      </c>
      <c r="O3688" s="8">
        <v>3.5356666670000001</v>
      </c>
      <c r="P3688" s="8">
        <f>EXP(-1.363+3.366*LOG(O3688,10))</f>
        <v>1.6211802664427075</v>
      </c>
      <c r="Q3688" s="8">
        <f>(3359412*100)/3462762</f>
        <v>97.015388294084318</v>
      </c>
    </row>
    <row r="3689" spans="1:17" x14ac:dyDescent="0.2">
      <c r="A3689">
        <f>YEAR(D3689)</f>
        <v>2019</v>
      </c>
      <c r="B3689" t="s">
        <v>26</v>
      </c>
      <c r="C3689" s="2" t="s">
        <v>3020</v>
      </c>
      <c r="D3689" s="1">
        <v>43656</v>
      </c>
      <c r="E3689">
        <f>MONTH(D3689)</f>
        <v>7</v>
      </c>
      <c r="F3689" s="2" t="s">
        <v>2098</v>
      </c>
      <c r="G3689" t="s">
        <v>230</v>
      </c>
      <c r="H3689" t="s">
        <v>268</v>
      </c>
      <c r="I3689" t="s">
        <v>22</v>
      </c>
      <c r="J3689" s="2" t="s">
        <v>42</v>
      </c>
      <c r="K3689" s="2" t="s">
        <v>3019</v>
      </c>
      <c r="L3689" t="s">
        <v>25</v>
      </c>
      <c r="M3689" s="8">
        <v>3.5356666670000001</v>
      </c>
      <c r="N3689" t="s">
        <v>26</v>
      </c>
      <c r="O3689" s="8">
        <v>3.5356666670000001</v>
      </c>
      <c r="P3689" s="8">
        <f>EXP(-1.363+3.366*LOG(O3689,10))</f>
        <v>1.6211802664427075</v>
      </c>
      <c r="Q3689" s="8">
        <f>(3359412*100)/3462762</f>
        <v>97.015388294084318</v>
      </c>
    </row>
    <row r="3690" spans="1:17" x14ac:dyDescent="0.2">
      <c r="A3690">
        <f>YEAR(D3690)</f>
        <v>2019</v>
      </c>
      <c r="B3690" t="s">
        <v>26</v>
      </c>
      <c r="C3690" s="2" t="s">
        <v>3020</v>
      </c>
      <c r="D3690" s="1">
        <v>43656</v>
      </c>
      <c r="E3690">
        <f>MONTH(D3690)</f>
        <v>7</v>
      </c>
      <c r="F3690" s="2" t="s">
        <v>2098</v>
      </c>
      <c r="G3690" t="s">
        <v>230</v>
      </c>
      <c r="H3690" t="s">
        <v>268</v>
      </c>
      <c r="I3690" t="s">
        <v>22</v>
      </c>
      <c r="J3690" s="2" t="s">
        <v>42</v>
      </c>
      <c r="K3690" s="2" t="s">
        <v>3019</v>
      </c>
      <c r="L3690" t="s">
        <v>25</v>
      </c>
      <c r="M3690" s="8">
        <v>3.5356666670000001</v>
      </c>
      <c r="N3690" t="s">
        <v>26</v>
      </c>
      <c r="O3690" s="8">
        <v>3.5356666670000001</v>
      </c>
      <c r="P3690" s="8">
        <f>EXP(-1.363+3.366*LOG(O3690,10))</f>
        <v>1.6211802664427075</v>
      </c>
      <c r="Q3690" s="8">
        <f>(3359412*100)/3462762</f>
        <v>97.015388294084318</v>
      </c>
    </row>
    <row r="3691" spans="1:17" x14ac:dyDescent="0.2">
      <c r="A3691">
        <f>YEAR(D3691)</f>
        <v>2019</v>
      </c>
      <c r="B3691" t="s">
        <v>26</v>
      </c>
      <c r="C3691" s="2" t="s">
        <v>3020</v>
      </c>
      <c r="D3691" s="1">
        <v>43656</v>
      </c>
      <c r="E3691">
        <f>MONTH(D3691)</f>
        <v>7</v>
      </c>
      <c r="F3691" s="2" t="s">
        <v>2098</v>
      </c>
      <c r="G3691" t="s">
        <v>219</v>
      </c>
      <c r="H3691" t="s">
        <v>220</v>
      </c>
      <c r="I3691" t="s">
        <v>22</v>
      </c>
      <c r="J3691" s="2" t="s">
        <v>42</v>
      </c>
      <c r="K3691" s="2" t="s">
        <v>3019</v>
      </c>
      <c r="L3691" t="s">
        <v>25</v>
      </c>
      <c r="M3691" s="10" t="s">
        <v>26</v>
      </c>
      <c r="N3691" t="s">
        <v>26</v>
      </c>
      <c r="O3691" s="10" t="s">
        <v>26</v>
      </c>
      <c r="P3691" s="8" t="s">
        <v>26</v>
      </c>
      <c r="Q3691" s="8">
        <f>(3359412*100)/3462762</f>
        <v>97.015388294084318</v>
      </c>
    </row>
    <row r="3692" spans="1:17" x14ac:dyDescent="0.2">
      <c r="A3692">
        <f>YEAR(D3692)</f>
        <v>2019</v>
      </c>
      <c r="B3692" t="s">
        <v>26</v>
      </c>
      <c r="C3692" s="2" t="s">
        <v>3020</v>
      </c>
      <c r="D3692" s="1">
        <v>43656</v>
      </c>
      <c r="E3692">
        <f>MONTH(D3692)</f>
        <v>7</v>
      </c>
      <c r="F3692" s="2" t="s">
        <v>2098</v>
      </c>
      <c r="G3692" t="s">
        <v>352</v>
      </c>
      <c r="H3692" t="s">
        <v>975</v>
      </c>
      <c r="I3692" t="s">
        <v>22</v>
      </c>
      <c r="J3692" s="2" t="s">
        <v>42</v>
      </c>
      <c r="K3692" s="2" t="s">
        <v>3019</v>
      </c>
      <c r="L3692" t="s">
        <v>25</v>
      </c>
      <c r="M3692" s="8">
        <v>1.0693333330000001</v>
      </c>
      <c r="N3692" t="s">
        <v>26</v>
      </c>
      <c r="O3692" s="8">
        <v>1.0693333330000001</v>
      </c>
      <c r="P3692" s="8">
        <f>EXP(-1.363+3.366*LOG(O3692,10))</f>
        <v>0.28223780327142356</v>
      </c>
      <c r="Q3692" s="8">
        <f>(3359412*100)/3462762</f>
        <v>97.015388294084318</v>
      </c>
    </row>
    <row r="3693" spans="1:17" x14ac:dyDescent="0.2">
      <c r="A3693">
        <f>YEAR(D3693)</f>
        <v>2019</v>
      </c>
      <c r="B3693" t="s">
        <v>26</v>
      </c>
      <c r="C3693" s="2" t="s">
        <v>3020</v>
      </c>
      <c r="D3693" s="1">
        <v>43656</v>
      </c>
      <c r="E3693">
        <f>MONTH(D3693)</f>
        <v>7</v>
      </c>
      <c r="F3693" s="2" t="s">
        <v>2098</v>
      </c>
      <c r="G3693" t="s">
        <v>219</v>
      </c>
      <c r="H3693" t="s">
        <v>220</v>
      </c>
      <c r="I3693" t="s">
        <v>22</v>
      </c>
      <c r="J3693" s="2" t="s">
        <v>42</v>
      </c>
      <c r="K3693" s="2" t="s">
        <v>3019</v>
      </c>
      <c r="L3693" t="s">
        <v>25</v>
      </c>
      <c r="M3693" s="10" t="s">
        <v>26</v>
      </c>
      <c r="N3693" t="s">
        <v>26</v>
      </c>
      <c r="O3693" s="10" t="s">
        <v>26</v>
      </c>
      <c r="P3693" s="8" t="s">
        <v>26</v>
      </c>
      <c r="Q3693" s="8">
        <f>(3359412*100)/3462762</f>
        <v>97.015388294084318</v>
      </c>
    </row>
    <row r="3694" spans="1:17" x14ac:dyDescent="0.2">
      <c r="A3694">
        <f>YEAR(D3694)</f>
        <v>2019</v>
      </c>
      <c r="B3694" t="s">
        <v>26</v>
      </c>
      <c r="C3694" s="2" t="s">
        <v>3020</v>
      </c>
      <c r="D3694" s="1">
        <v>43656</v>
      </c>
      <c r="E3694">
        <f>MONTH(D3694)</f>
        <v>7</v>
      </c>
      <c r="F3694" s="2" t="s">
        <v>2098</v>
      </c>
      <c r="G3694" t="s">
        <v>219</v>
      </c>
      <c r="H3694" t="s">
        <v>220</v>
      </c>
      <c r="I3694" t="s">
        <v>22</v>
      </c>
      <c r="J3694" s="2" t="s">
        <v>42</v>
      </c>
      <c r="K3694" s="2" t="s">
        <v>3019</v>
      </c>
      <c r="L3694" t="s">
        <v>25</v>
      </c>
      <c r="M3694" s="10" t="s">
        <v>26</v>
      </c>
      <c r="N3694" t="s">
        <v>26</v>
      </c>
      <c r="O3694" s="10" t="s">
        <v>26</v>
      </c>
      <c r="P3694" s="8" t="s">
        <v>26</v>
      </c>
      <c r="Q3694" s="8">
        <f>(3359412*100)/3462762</f>
        <v>97.015388294084318</v>
      </c>
    </row>
    <row r="3695" spans="1:17" x14ac:dyDescent="0.2">
      <c r="A3695">
        <f>YEAR(D3695)</f>
        <v>2019</v>
      </c>
      <c r="B3695" t="s">
        <v>26</v>
      </c>
      <c r="C3695" s="2" t="s">
        <v>3020</v>
      </c>
      <c r="D3695" s="1">
        <v>43656</v>
      </c>
      <c r="E3695">
        <f>MONTH(D3695)</f>
        <v>7</v>
      </c>
      <c r="F3695" s="2" t="s">
        <v>2098</v>
      </c>
      <c r="G3695" t="s">
        <v>219</v>
      </c>
      <c r="H3695" t="s">
        <v>220</v>
      </c>
      <c r="I3695" t="s">
        <v>22</v>
      </c>
      <c r="J3695" s="2" t="s">
        <v>42</v>
      </c>
      <c r="K3695" s="2" t="s">
        <v>3019</v>
      </c>
      <c r="L3695" t="s">
        <v>25</v>
      </c>
      <c r="M3695" s="10" t="s">
        <v>26</v>
      </c>
      <c r="N3695" t="s">
        <v>26</v>
      </c>
      <c r="O3695" s="10" t="s">
        <v>26</v>
      </c>
      <c r="P3695" s="8" t="s">
        <v>26</v>
      </c>
      <c r="Q3695" s="8">
        <f>(3359412*100)/3462762</f>
        <v>97.015388294084318</v>
      </c>
    </row>
    <row r="3696" spans="1:17" x14ac:dyDescent="0.2">
      <c r="A3696">
        <f>YEAR(D3696)</f>
        <v>2019</v>
      </c>
      <c r="B3696" t="s">
        <v>26</v>
      </c>
      <c r="C3696" s="2" t="s">
        <v>3020</v>
      </c>
      <c r="D3696" s="1">
        <v>43656</v>
      </c>
      <c r="E3696">
        <f>MONTH(D3696)</f>
        <v>7</v>
      </c>
      <c r="F3696" s="2" t="s">
        <v>2098</v>
      </c>
      <c r="G3696" t="s">
        <v>219</v>
      </c>
      <c r="H3696" t="s">
        <v>220</v>
      </c>
      <c r="I3696" t="s">
        <v>22</v>
      </c>
      <c r="J3696" s="2" t="s">
        <v>42</v>
      </c>
      <c r="K3696" s="2" t="s">
        <v>3019</v>
      </c>
      <c r="L3696" t="s">
        <v>25</v>
      </c>
      <c r="M3696" s="10" t="s">
        <v>26</v>
      </c>
      <c r="N3696" t="s">
        <v>26</v>
      </c>
      <c r="O3696" s="10" t="s">
        <v>26</v>
      </c>
      <c r="P3696" s="8" t="s">
        <v>26</v>
      </c>
      <c r="Q3696" s="8">
        <f>(3359412*100)/3462762</f>
        <v>97.015388294084318</v>
      </c>
    </row>
    <row r="3697" spans="1:17" x14ac:dyDescent="0.2">
      <c r="A3697">
        <f>YEAR(D3697)</f>
        <v>2019</v>
      </c>
      <c r="B3697" t="s">
        <v>26</v>
      </c>
      <c r="C3697" s="2" t="s">
        <v>3020</v>
      </c>
      <c r="D3697" s="1">
        <v>43656</v>
      </c>
      <c r="E3697">
        <f>MONTH(D3697)</f>
        <v>7</v>
      </c>
      <c r="F3697" s="2" t="s">
        <v>2098</v>
      </c>
      <c r="G3697" t="s">
        <v>219</v>
      </c>
      <c r="H3697" t="s">
        <v>220</v>
      </c>
      <c r="I3697" t="s">
        <v>22</v>
      </c>
      <c r="J3697" s="2" t="s">
        <v>42</v>
      </c>
      <c r="K3697" s="2" t="s">
        <v>3019</v>
      </c>
      <c r="L3697" t="s">
        <v>25</v>
      </c>
      <c r="M3697" s="10" t="s">
        <v>26</v>
      </c>
      <c r="N3697" t="s">
        <v>26</v>
      </c>
      <c r="O3697" s="10" t="s">
        <v>26</v>
      </c>
      <c r="P3697" s="8" t="s">
        <v>26</v>
      </c>
      <c r="Q3697" s="8">
        <f>(3359412*100)/3462762</f>
        <v>97.015388294084318</v>
      </c>
    </row>
    <row r="3698" spans="1:17" x14ac:dyDescent="0.2">
      <c r="A3698">
        <f>YEAR(D3698)</f>
        <v>2019</v>
      </c>
      <c r="B3698" t="s">
        <v>26</v>
      </c>
      <c r="C3698" s="2" t="s">
        <v>3020</v>
      </c>
      <c r="D3698" s="1">
        <v>43656</v>
      </c>
      <c r="E3698">
        <f>MONTH(D3698)</f>
        <v>7</v>
      </c>
      <c r="F3698" s="2" t="s">
        <v>2098</v>
      </c>
      <c r="G3698" t="s">
        <v>219</v>
      </c>
      <c r="H3698" t="s">
        <v>220</v>
      </c>
      <c r="I3698" t="s">
        <v>22</v>
      </c>
      <c r="J3698" s="2" t="s">
        <v>42</v>
      </c>
      <c r="K3698" s="2" t="s">
        <v>3019</v>
      </c>
      <c r="L3698" t="s">
        <v>25</v>
      </c>
      <c r="M3698" s="10" t="s">
        <v>26</v>
      </c>
      <c r="N3698" t="s">
        <v>26</v>
      </c>
      <c r="O3698" s="10" t="s">
        <v>26</v>
      </c>
      <c r="P3698" s="8" t="s">
        <v>26</v>
      </c>
      <c r="Q3698" s="8">
        <f>(3359412*100)/3462762</f>
        <v>97.015388294084318</v>
      </c>
    </row>
    <row r="3699" spans="1:17" x14ac:dyDescent="0.2">
      <c r="A3699">
        <f>YEAR(D3699)</f>
        <v>2019</v>
      </c>
      <c r="B3699" t="s">
        <v>26</v>
      </c>
      <c r="C3699" s="2" t="s">
        <v>3020</v>
      </c>
      <c r="D3699" s="1">
        <v>43656</v>
      </c>
      <c r="E3699">
        <f>MONTH(D3699)</f>
        <v>7</v>
      </c>
      <c r="F3699" s="2" t="s">
        <v>2098</v>
      </c>
      <c r="G3699" t="s">
        <v>219</v>
      </c>
      <c r="H3699" t="s">
        <v>220</v>
      </c>
      <c r="I3699" t="s">
        <v>22</v>
      </c>
      <c r="J3699" s="2" t="s">
        <v>42</v>
      </c>
      <c r="K3699" s="2" t="s">
        <v>3019</v>
      </c>
      <c r="L3699" t="s">
        <v>25</v>
      </c>
      <c r="M3699" s="10" t="s">
        <v>26</v>
      </c>
      <c r="N3699" t="s">
        <v>26</v>
      </c>
      <c r="O3699" s="10" t="s">
        <v>26</v>
      </c>
      <c r="P3699" s="8" t="s">
        <v>26</v>
      </c>
      <c r="Q3699" s="8">
        <f>(3359412*100)/3462762</f>
        <v>97.015388294084318</v>
      </c>
    </row>
    <row r="3700" spans="1:17" x14ac:dyDescent="0.2">
      <c r="A3700">
        <f>YEAR(D3700)</f>
        <v>2019</v>
      </c>
      <c r="B3700" t="s">
        <v>26</v>
      </c>
      <c r="C3700" s="2" t="s">
        <v>3020</v>
      </c>
      <c r="D3700" s="1">
        <v>43656</v>
      </c>
      <c r="E3700">
        <f>MONTH(D3700)</f>
        <v>7</v>
      </c>
      <c r="F3700" s="2" t="s">
        <v>2098</v>
      </c>
      <c r="G3700" t="s">
        <v>332</v>
      </c>
      <c r="H3700" t="s">
        <v>330</v>
      </c>
      <c r="I3700" t="s">
        <v>22</v>
      </c>
      <c r="J3700" s="2" t="s">
        <v>42</v>
      </c>
      <c r="K3700" s="2" t="s">
        <v>3019</v>
      </c>
      <c r="L3700" t="s">
        <v>25</v>
      </c>
      <c r="M3700" s="8">
        <v>1.2170000000000001</v>
      </c>
      <c r="N3700" t="s">
        <v>26</v>
      </c>
      <c r="O3700" s="8">
        <v>1.2170000000000001</v>
      </c>
      <c r="P3700" s="8">
        <f>EXP(-1.363+3.366*LOG(O3700,10))</f>
        <v>0.34098666307598596</v>
      </c>
      <c r="Q3700" s="8">
        <f>(3359412*100)/3462762</f>
        <v>97.015388294084318</v>
      </c>
    </row>
    <row r="3701" spans="1:17" x14ac:dyDescent="0.2">
      <c r="A3701">
        <f>YEAR(D3701)</f>
        <v>2019</v>
      </c>
      <c r="B3701" t="s">
        <v>26</v>
      </c>
      <c r="C3701" s="2" t="s">
        <v>3020</v>
      </c>
      <c r="D3701" s="1">
        <v>43656</v>
      </c>
      <c r="E3701">
        <f>MONTH(D3701)</f>
        <v>7</v>
      </c>
      <c r="F3701" s="2" t="s">
        <v>2098</v>
      </c>
      <c r="G3701" t="s">
        <v>352</v>
      </c>
      <c r="H3701" t="s">
        <v>1394</v>
      </c>
      <c r="I3701" t="s">
        <v>22</v>
      </c>
      <c r="J3701" s="2" t="s">
        <v>42</v>
      </c>
      <c r="K3701" s="2" t="s">
        <v>3019</v>
      </c>
      <c r="L3701" t="s">
        <v>25</v>
      </c>
      <c r="M3701" s="8">
        <v>1.2776666670000001</v>
      </c>
      <c r="N3701" t="s">
        <v>26</v>
      </c>
      <c r="O3701" s="8">
        <v>1.2776666670000001</v>
      </c>
      <c r="P3701" s="8">
        <f>EXP(-1.363+3.366*LOG(O3701,10))</f>
        <v>0.36611840850570582</v>
      </c>
      <c r="Q3701" s="8">
        <f>(3359412*100)/3462762</f>
        <v>97.015388294084318</v>
      </c>
    </row>
    <row r="3702" spans="1:17" x14ac:dyDescent="0.2">
      <c r="A3702">
        <f>YEAR(D3702)</f>
        <v>2019</v>
      </c>
      <c r="B3702" t="s">
        <v>26</v>
      </c>
      <c r="C3702" s="2" t="s">
        <v>3020</v>
      </c>
      <c r="D3702" s="1">
        <v>43656</v>
      </c>
      <c r="E3702">
        <f>MONTH(D3702)</f>
        <v>7</v>
      </c>
      <c r="F3702" s="2" t="s">
        <v>2098</v>
      </c>
      <c r="G3702" t="s">
        <v>230</v>
      </c>
      <c r="H3702" t="s">
        <v>268</v>
      </c>
      <c r="I3702" t="s">
        <v>36</v>
      </c>
      <c r="J3702" s="2" t="s">
        <v>42</v>
      </c>
      <c r="K3702" s="2" t="s">
        <v>3019</v>
      </c>
      <c r="L3702" t="s">
        <v>25</v>
      </c>
      <c r="M3702" s="8">
        <v>3.3683333329999998</v>
      </c>
      <c r="N3702" t="s">
        <v>26</v>
      </c>
      <c r="O3702" s="8">
        <v>3.3683333329999998</v>
      </c>
      <c r="P3702" s="8">
        <f>EXP(-1.363+3.366*LOG(O3702,10))</f>
        <v>1.510255893489963</v>
      </c>
      <c r="Q3702" s="8">
        <f>(3359412*100)/3462762</f>
        <v>97.015388294084318</v>
      </c>
    </row>
    <row r="3703" spans="1:17" x14ac:dyDescent="0.2">
      <c r="A3703">
        <f>YEAR(D3703)</f>
        <v>2019</v>
      </c>
      <c r="B3703" t="s">
        <v>26</v>
      </c>
      <c r="C3703" s="2" t="s">
        <v>3020</v>
      </c>
      <c r="D3703" s="1">
        <v>43656</v>
      </c>
      <c r="E3703">
        <f>MONTH(D3703)</f>
        <v>7</v>
      </c>
      <c r="F3703" s="2" t="s">
        <v>2098</v>
      </c>
      <c r="G3703" t="s">
        <v>230</v>
      </c>
      <c r="H3703" t="s">
        <v>268</v>
      </c>
      <c r="I3703" t="s">
        <v>22</v>
      </c>
      <c r="J3703" s="2" t="s">
        <v>42</v>
      </c>
      <c r="K3703" s="2" t="s">
        <v>3019</v>
      </c>
      <c r="L3703" t="s">
        <v>25</v>
      </c>
      <c r="M3703" s="8">
        <v>3.5356666670000001</v>
      </c>
      <c r="N3703" t="s">
        <v>26</v>
      </c>
      <c r="O3703" s="8">
        <v>3.5356666670000001</v>
      </c>
      <c r="P3703" s="8">
        <f>EXP(-1.363+3.366*LOG(O3703,10))</f>
        <v>1.6211802664427075</v>
      </c>
      <c r="Q3703" s="8">
        <f>(3359412*100)/3462762</f>
        <v>97.015388294084318</v>
      </c>
    </row>
    <row r="3704" spans="1:17" x14ac:dyDescent="0.2">
      <c r="A3704">
        <f>YEAR(D3704)</f>
        <v>2019</v>
      </c>
      <c r="B3704" t="s">
        <v>26</v>
      </c>
      <c r="C3704" s="2" t="s">
        <v>3020</v>
      </c>
      <c r="D3704" s="1">
        <v>43656</v>
      </c>
      <c r="E3704">
        <f>MONTH(D3704)</f>
        <v>7</v>
      </c>
      <c r="F3704" s="2" t="s">
        <v>2098</v>
      </c>
      <c r="G3704" s="2" t="s">
        <v>230</v>
      </c>
      <c r="H3704" t="s">
        <v>3052</v>
      </c>
      <c r="I3704" t="s">
        <v>22</v>
      </c>
      <c r="J3704" s="2" t="s">
        <v>42</v>
      </c>
      <c r="K3704" s="2" t="s">
        <v>3019</v>
      </c>
      <c r="L3704" t="s">
        <v>25</v>
      </c>
      <c r="M3704" s="8">
        <v>3.6890000000000001</v>
      </c>
      <c r="N3704" t="s">
        <v>26</v>
      </c>
      <c r="O3704" s="8">
        <v>3.6890000000000001</v>
      </c>
      <c r="P3704" s="8">
        <f>EXP(-1.363+3.366*LOG(O3704,10))</f>
        <v>1.7249784083275497</v>
      </c>
      <c r="Q3704" s="8">
        <f>(3359412*100)/3462762</f>
        <v>97.015388294084318</v>
      </c>
    </row>
    <row r="3705" spans="1:17" x14ac:dyDescent="0.2">
      <c r="A3705">
        <f>YEAR(D3705)</f>
        <v>2019</v>
      </c>
      <c r="B3705" t="s">
        <v>26</v>
      </c>
      <c r="C3705" s="2" t="s">
        <v>3020</v>
      </c>
      <c r="D3705" s="1">
        <v>43656</v>
      </c>
      <c r="E3705">
        <f>MONTH(D3705)</f>
        <v>7</v>
      </c>
      <c r="F3705" s="2" t="s">
        <v>2098</v>
      </c>
      <c r="G3705" t="s">
        <v>362</v>
      </c>
      <c r="H3705" t="s">
        <v>447</v>
      </c>
      <c r="I3705" t="s">
        <v>22</v>
      </c>
      <c r="J3705" s="2" t="s">
        <v>42</v>
      </c>
      <c r="K3705" s="2" t="s">
        <v>3019</v>
      </c>
      <c r="L3705" t="s">
        <v>25</v>
      </c>
      <c r="M3705" s="8">
        <v>1.421</v>
      </c>
      <c r="N3705" t="s">
        <v>26</v>
      </c>
      <c r="O3705" s="8">
        <v>1.421</v>
      </c>
      <c r="P3705" s="8">
        <f>EXP(-1.363+3.366*LOG(O3705,10))</f>
        <v>0.42768500084673816</v>
      </c>
      <c r="Q3705" s="8">
        <f>(3359412*100)/3462762</f>
        <v>97.015388294084318</v>
      </c>
    </row>
    <row r="3706" spans="1:17" x14ac:dyDescent="0.2">
      <c r="A3706">
        <f>YEAR(D3706)</f>
        <v>2019</v>
      </c>
      <c r="B3706" t="s">
        <v>26</v>
      </c>
      <c r="C3706" s="2" t="s">
        <v>3020</v>
      </c>
      <c r="D3706" s="1">
        <v>43656</v>
      </c>
      <c r="E3706">
        <f>MONTH(D3706)</f>
        <v>7</v>
      </c>
      <c r="F3706" s="2" t="s">
        <v>2098</v>
      </c>
      <c r="G3706" t="s">
        <v>352</v>
      </c>
      <c r="H3706" t="s">
        <v>1459</v>
      </c>
      <c r="I3706" t="s">
        <v>22</v>
      </c>
      <c r="J3706" s="2" t="s">
        <v>42</v>
      </c>
      <c r="K3706" s="2" t="s">
        <v>3019</v>
      </c>
      <c r="L3706" t="s">
        <v>25</v>
      </c>
      <c r="M3706" s="8">
        <v>1.1910000000000001</v>
      </c>
      <c r="N3706" t="s">
        <v>26</v>
      </c>
      <c r="O3706" s="8">
        <v>1.1910000000000001</v>
      </c>
      <c r="P3706" s="8">
        <f>EXP(-1.363+3.366*LOG(O3706,10))</f>
        <v>0.33039016297752993</v>
      </c>
      <c r="Q3706" s="8">
        <f>(3359412*100)/3462762</f>
        <v>97.015388294084318</v>
      </c>
    </row>
    <row r="3707" spans="1:17" x14ac:dyDescent="0.2">
      <c r="A3707">
        <f>YEAR(D3707)</f>
        <v>2019</v>
      </c>
      <c r="B3707" t="s">
        <v>26</v>
      </c>
      <c r="C3707" s="2" t="s">
        <v>3020</v>
      </c>
      <c r="D3707" s="1">
        <v>43656</v>
      </c>
      <c r="E3707">
        <f>MONTH(D3707)</f>
        <v>7</v>
      </c>
      <c r="F3707" s="2" t="s">
        <v>2098</v>
      </c>
      <c r="G3707" t="s">
        <v>352</v>
      </c>
      <c r="H3707" t="s">
        <v>1459</v>
      </c>
      <c r="I3707" t="s">
        <v>36</v>
      </c>
      <c r="J3707" s="2" t="s">
        <v>42</v>
      </c>
      <c r="K3707" s="2" t="s">
        <v>3019</v>
      </c>
      <c r="L3707" t="s">
        <v>25</v>
      </c>
      <c r="M3707" s="8">
        <v>1.0913333329999999</v>
      </c>
      <c r="N3707" t="s">
        <v>26</v>
      </c>
      <c r="O3707" s="8">
        <v>1.0913333329999999</v>
      </c>
      <c r="P3707" s="8">
        <f>EXP(-1.363+3.366*LOG(O3707,10))</f>
        <v>0.29076633015787234</v>
      </c>
      <c r="Q3707" s="8">
        <f>(3359412*100)/3462762</f>
        <v>97.015388294084318</v>
      </c>
    </row>
    <row r="3708" spans="1:17" x14ac:dyDescent="0.2">
      <c r="A3708">
        <f>YEAR(D3708)</f>
        <v>2019</v>
      </c>
      <c r="B3708" t="s">
        <v>26</v>
      </c>
      <c r="C3708" s="2" t="s">
        <v>3020</v>
      </c>
      <c r="D3708" s="1">
        <v>43656</v>
      </c>
      <c r="E3708">
        <f>MONTH(D3708)</f>
        <v>7</v>
      </c>
      <c r="F3708" s="2" t="s">
        <v>2098</v>
      </c>
      <c r="G3708" t="s">
        <v>352</v>
      </c>
      <c r="H3708" t="s">
        <v>728</v>
      </c>
      <c r="I3708" t="s">
        <v>36</v>
      </c>
      <c r="J3708" s="2" t="s">
        <v>42</v>
      </c>
      <c r="K3708" s="2" t="s">
        <v>3019</v>
      </c>
      <c r="L3708" t="s">
        <v>187</v>
      </c>
      <c r="M3708" s="8">
        <v>1.376333333</v>
      </c>
      <c r="N3708" t="s">
        <v>26</v>
      </c>
      <c r="O3708" s="8">
        <v>1.376333333</v>
      </c>
      <c r="P3708" s="8">
        <f>EXP(-1.363+3.366*LOG(O3708,10))</f>
        <v>0.40817622737824627</v>
      </c>
      <c r="Q3708" s="8">
        <f>(3359412*100)/3462762</f>
        <v>97.015388294084318</v>
      </c>
    </row>
    <row r="3709" spans="1:17" x14ac:dyDescent="0.2">
      <c r="A3709">
        <f>YEAR(D3709)</f>
        <v>2019</v>
      </c>
      <c r="B3709" t="s">
        <v>26</v>
      </c>
      <c r="C3709" s="2" t="s">
        <v>3020</v>
      </c>
      <c r="D3709" s="1">
        <v>43656</v>
      </c>
      <c r="E3709">
        <f>MONTH(D3709)</f>
        <v>7</v>
      </c>
      <c r="F3709" s="2" t="s">
        <v>2098</v>
      </c>
      <c r="G3709" t="s">
        <v>352</v>
      </c>
      <c r="H3709" t="s">
        <v>1459</v>
      </c>
      <c r="I3709" t="s">
        <v>22</v>
      </c>
      <c r="J3709" s="2" t="s">
        <v>42</v>
      </c>
      <c r="K3709" s="2" t="s">
        <v>3019</v>
      </c>
      <c r="L3709" t="s">
        <v>25</v>
      </c>
      <c r="M3709" s="8">
        <v>1.1910000000000001</v>
      </c>
      <c r="N3709" t="s">
        <v>26</v>
      </c>
      <c r="O3709" s="8">
        <v>1.1910000000000001</v>
      </c>
      <c r="P3709" s="8">
        <f>EXP(-1.363+3.366*LOG(O3709,10))</f>
        <v>0.33039016297752993</v>
      </c>
      <c r="Q3709" s="8">
        <f>(3359412*100)/3462762</f>
        <v>97.015388294084318</v>
      </c>
    </row>
    <row r="3710" spans="1:17" x14ac:dyDescent="0.2">
      <c r="A3710">
        <f>YEAR(D3710)</f>
        <v>2019</v>
      </c>
      <c r="B3710" t="s">
        <v>26</v>
      </c>
      <c r="C3710" s="2" t="s">
        <v>3020</v>
      </c>
      <c r="D3710" s="1">
        <v>43656</v>
      </c>
      <c r="E3710">
        <f>MONTH(D3710)</f>
        <v>7</v>
      </c>
      <c r="F3710" s="2" t="s">
        <v>2098</v>
      </c>
      <c r="G3710" t="s">
        <v>352</v>
      </c>
      <c r="H3710" t="s">
        <v>1459</v>
      </c>
      <c r="I3710" t="s">
        <v>22</v>
      </c>
      <c r="J3710" s="2" t="s">
        <v>42</v>
      </c>
      <c r="K3710" s="2" t="s">
        <v>3019</v>
      </c>
      <c r="L3710" t="s">
        <v>25</v>
      </c>
      <c r="M3710" s="8">
        <v>1.1910000000000001</v>
      </c>
      <c r="N3710" t="s">
        <v>26</v>
      </c>
      <c r="O3710" s="8">
        <v>1.1910000000000001</v>
      </c>
      <c r="P3710" s="8">
        <f>EXP(-1.363+3.366*LOG(O3710,10))</f>
        <v>0.33039016297752993</v>
      </c>
      <c r="Q3710" s="8">
        <f>(3359412*100)/3462762</f>
        <v>97.015388294084318</v>
      </c>
    </row>
    <row r="3711" spans="1:17" x14ac:dyDescent="0.2">
      <c r="A3711">
        <f>YEAR(D3711)</f>
        <v>2019</v>
      </c>
      <c r="B3711" t="s">
        <v>26</v>
      </c>
      <c r="C3711" s="2" t="s">
        <v>3020</v>
      </c>
      <c r="D3711" s="1">
        <v>43656</v>
      </c>
      <c r="E3711">
        <f>MONTH(D3711)</f>
        <v>7</v>
      </c>
      <c r="F3711" s="2" t="s">
        <v>2098</v>
      </c>
      <c r="G3711" t="s">
        <v>352</v>
      </c>
      <c r="H3711" t="s">
        <v>1459</v>
      </c>
      <c r="I3711" t="s">
        <v>22</v>
      </c>
      <c r="J3711" s="2" t="s">
        <v>42</v>
      </c>
      <c r="K3711" s="2" t="s">
        <v>3019</v>
      </c>
      <c r="L3711" t="s">
        <v>25</v>
      </c>
      <c r="M3711" s="8">
        <v>1.1910000000000001</v>
      </c>
      <c r="N3711" t="s">
        <v>26</v>
      </c>
      <c r="O3711" s="8">
        <v>1.1910000000000001</v>
      </c>
      <c r="P3711" s="8">
        <f>EXP(-1.363+3.366*LOG(O3711,10))</f>
        <v>0.33039016297752993</v>
      </c>
      <c r="Q3711" s="8">
        <f>(3359412*100)/3462762</f>
        <v>97.015388294084318</v>
      </c>
    </row>
    <row r="3712" spans="1:17" x14ac:dyDescent="0.2">
      <c r="A3712">
        <f>YEAR(D3712)</f>
        <v>2019</v>
      </c>
      <c r="B3712" t="s">
        <v>26</v>
      </c>
      <c r="C3712" s="2" t="s">
        <v>3020</v>
      </c>
      <c r="D3712" s="1">
        <v>43656</v>
      </c>
      <c r="E3712">
        <f>MONTH(D3712)</f>
        <v>7</v>
      </c>
      <c r="F3712" s="2" t="s">
        <v>2098</v>
      </c>
      <c r="G3712" t="s">
        <v>352</v>
      </c>
      <c r="H3712" t="s">
        <v>1459</v>
      </c>
      <c r="I3712" t="s">
        <v>22</v>
      </c>
      <c r="J3712" s="2" t="s">
        <v>42</v>
      </c>
      <c r="K3712" s="2" t="s">
        <v>3019</v>
      </c>
      <c r="L3712" t="s">
        <v>25</v>
      </c>
      <c r="M3712" s="8">
        <v>1.1910000000000001</v>
      </c>
      <c r="N3712" t="s">
        <v>26</v>
      </c>
      <c r="O3712" s="8">
        <v>1.1910000000000001</v>
      </c>
      <c r="P3712" s="8">
        <f>EXP(-1.363+3.366*LOG(O3712,10))</f>
        <v>0.33039016297752993</v>
      </c>
      <c r="Q3712" s="8">
        <f>(3359412*100)/3462762</f>
        <v>97.015388294084318</v>
      </c>
    </row>
    <row r="3713" spans="1:17" x14ac:dyDescent="0.2">
      <c r="A3713">
        <f>YEAR(D3713)</f>
        <v>2019</v>
      </c>
      <c r="B3713" t="s">
        <v>26</v>
      </c>
      <c r="C3713" s="2" t="s">
        <v>3020</v>
      </c>
      <c r="D3713" s="1">
        <v>43656</v>
      </c>
      <c r="E3713">
        <f>MONTH(D3713)</f>
        <v>7</v>
      </c>
      <c r="F3713" s="2" t="s">
        <v>2098</v>
      </c>
      <c r="G3713" t="s">
        <v>1512</v>
      </c>
      <c r="H3713" t="s">
        <v>1515</v>
      </c>
      <c r="I3713" t="s">
        <v>22</v>
      </c>
      <c r="J3713" s="2" t="s">
        <v>42</v>
      </c>
      <c r="K3713" s="2" t="s">
        <v>3019</v>
      </c>
      <c r="L3713" t="s">
        <v>187</v>
      </c>
      <c r="M3713" s="8">
        <v>1.477333333</v>
      </c>
      <c r="N3713" t="s">
        <v>26</v>
      </c>
      <c r="O3713" s="8">
        <v>1.477333333</v>
      </c>
      <c r="P3713" s="8">
        <f>EXP(-1.363+3.366*LOG(O3713,10))</f>
        <v>0.45269558398500004</v>
      </c>
      <c r="Q3713" s="8">
        <f>(3359412*100)/3462762</f>
        <v>97.015388294084318</v>
      </c>
    </row>
    <row r="3714" spans="1:17" x14ac:dyDescent="0.2">
      <c r="A3714">
        <f>YEAR(D3714)</f>
        <v>2019</v>
      </c>
      <c r="B3714" t="s">
        <v>26</v>
      </c>
      <c r="C3714" s="2" t="s">
        <v>3021</v>
      </c>
      <c r="D3714" s="1">
        <v>43656</v>
      </c>
      <c r="E3714">
        <f>MONTH(D3714)</f>
        <v>7</v>
      </c>
      <c r="F3714" s="2" t="s">
        <v>2098</v>
      </c>
      <c r="G3714" t="s">
        <v>230</v>
      </c>
      <c r="H3714" t="s">
        <v>268</v>
      </c>
      <c r="I3714" t="s">
        <v>22</v>
      </c>
      <c r="J3714" s="2" t="s">
        <v>42</v>
      </c>
      <c r="K3714" s="2" t="s">
        <v>3019</v>
      </c>
      <c r="L3714" t="s">
        <v>25</v>
      </c>
      <c r="M3714" s="8">
        <v>3.5356666670000001</v>
      </c>
      <c r="N3714" t="s">
        <v>26</v>
      </c>
      <c r="O3714" s="8">
        <v>3.5356666670000001</v>
      </c>
      <c r="P3714" s="8">
        <f>EXP(-1.363+3.366*LOG(O3714,10))</f>
        <v>1.6211802664427075</v>
      </c>
      <c r="Q3714" s="8">
        <f>(1845879*100)/1946364</f>
        <v>94.837296620775973</v>
      </c>
    </row>
    <row r="3715" spans="1:17" x14ac:dyDescent="0.2">
      <c r="A3715">
        <f>YEAR(D3715)</f>
        <v>2019</v>
      </c>
      <c r="B3715" t="s">
        <v>26</v>
      </c>
      <c r="C3715" s="2" t="s">
        <v>3021</v>
      </c>
      <c r="D3715" s="1">
        <v>43656</v>
      </c>
      <c r="E3715">
        <f>MONTH(D3715)</f>
        <v>7</v>
      </c>
      <c r="F3715" s="2" t="s">
        <v>2098</v>
      </c>
      <c r="G3715" t="s">
        <v>352</v>
      </c>
      <c r="H3715" t="s">
        <v>1344</v>
      </c>
      <c r="I3715" t="s">
        <v>22</v>
      </c>
      <c r="J3715" s="2" t="s">
        <v>42</v>
      </c>
      <c r="K3715" s="2" t="s">
        <v>3019</v>
      </c>
      <c r="L3715" t="s">
        <v>25</v>
      </c>
      <c r="M3715" s="8">
        <v>0.91800000000000004</v>
      </c>
      <c r="N3715" t="s">
        <v>26</v>
      </c>
      <c r="O3715" s="8">
        <v>0.91800000000000004</v>
      </c>
      <c r="P3715" s="8">
        <f>EXP(-1.363+3.366*LOG(O3715,10))</f>
        <v>0.22580769814771504</v>
      </c>
      <c r="Q3715" s="8">
        <f>(1845879*100)/1946364</f>
        <v>94.837296620775973</v>
      </c>
    </row>
    <row r="3716" spans="1:17" x14ac:dyDescent="0.2">
      <c r="A3716">
        <f>YEAR(D3716)</f>
        <v>2019</v>
      </c>
      <c r="B3716" t="s">
        <v>26</v>
      </c>
      <c r="C3716" s="2" t="s">
        <v>3021</v>
      </c>
      <c r="D3716" s="1">
        <v>43656</v>
      </c>
      <c r="E3716">
        <f>MONTH(D3716)</f>
        <v>7</v>
      </c>
      <c r="F3716" s="2" t="s">
        <v>2098</v>
      </c>
      <c r="G3716" t="s">
        <v>230</v>
      </c>
      <c r="H3716" t="s">
        <v>268</v>
      </c>
      <c r="I3716" t="s">
        <v>22</v>
      </c>
      <c r="J3716" s="2" t="s">
        <v>42</v>
      </c>
      <c r="K3716" s="2" t="s">
        <v>3019</v>
      </c>
      <c r="L3716" t="s">
        <v>25</v>
      </c>
      <c r="M3716" s="8">
        <v>3.5356666670000001</v>
      </c>
      <c r="N3716" t="s">
        <v>26</v>
      </c>
      <c r="O3716" s="8">
        <v>3.5356666670000001</v>
      </c>
      <c r="P3716" s="8">
        <f>EXP(-1.363+3.366*LOG(O3716,10))</f>
        <v>1.6211802664427075</v>
      </c>
      <c r="Q3716" s="8">
        <f>(1845879*100)/1946364</f>
        <v>94.837296620775973</v>
      </c>
    </row>
    <row r="3717" spans="1:17" x14ac:dyDescent="0.2">
      <c r="A3717">
        <f>YEAR(D3717)</f>
        <v>2019</v>
      </c>
      <c r="B3717" t="s">
        <v>26</v>
      </c>
      <c r="C3717" s="2" t="s">
        <v>3021</v>
      </c>
      <c r="D3717" s="1">
        <v>43656</v>
      </c>
      <c r="E3717">
        <f>MONTH(D3717)</f>
        <v>7</v>
      </c>
      <c r="F3717" s="2" t="s">
        <v>2098</v>
      </c>
      <c r="G3717" t="s">
        <v>352</v>
      </c>
      <c r="H3717" t="s">
        <v>975</v>
      </c>
      <c r="I3717" t="s">
        <v>22</v>
      </c>
      <c r="J3717" s="2" t="s">
        <v>42</v>
      </c>
      <c r="K3717" s="2" t="s">
        <v>3019</v>
      </c>
      <c r="L3717" t="s">
        <v>25</v>
      </c>
      <c r="M3717" s="8">
        <v>1.0693333330000001</v>
      </c>
      <c r="N3717" t="s">
        <v>26</v>
      </c>
      <c r="O3717" s="8">
        <v>1.0693333330000001</v>
      </c>
      <c r="P3717" s="8">
        <f>EXP(-1.363+3.366*LOG(O3717,10))</f>
        <v>0.28223780327142356</v>
      </c>
      <c r="Q3717" s="8">
        <f>(1845879*100)/1946364</f>
        <v>94.837296620775973</v>
      </c>
    </row>
    <row r="3718" spans="1:17" x14ac:dyDescent="0.2">
      <c r="A3718">
        <f>YEAR(D3718)</f>
        <v>2019</v>
      </c>
      <c r="B3718" t="s">
        <v>26</v>
      </c>
      <c r="C3718" s="2" t="s">
        <v>3021</v>
      </c>
      <c r="D3718" s="1">
        <v>43656</v>
      </c>
      <c r="E3718">
        <f>MONTH(D3718)</f>
        <v>7</v>
      </c>
      <c r="F3718" s="2" t="s">
        <v>2098</v>
      </c>
      <c r="G3718" t="s">
        <v>352</v>
      </c>
      <c r="H3718" t="s">
        <v>975</v>
      </c>
      <c r="I3718" t="s">
        <v>22</v>
      </c>
      <c r="J3718" s="2" t="s">
        <v>42</v>
      </c>
      <c r="K3718" s="2" t="s">
        <v>3019</v>
      </c>
      <c r="L3718" t="s">
        <v>25</v>
      </c>
      <c r="M3718" s="8">
        <v>1.0693333330000001</v>
      </c>
      <c r="N3718" t="s">
        <v>26</v>
      </c>
      <c r="O3718" s="8">
        <v>1.0693333330000001</v>
      </c>
      <c r="P3718" s="8">
        <f>EXP(-1.363+3.366*LOG(O3718,10))</f>
        <v>0.28223780327142356</v>
      </c>
      <c r="Q3718" s="8">
        <f>(1845879*100)/1946364</f>
        <v>94.837296620775973</v>
      </c>
    </row>
    <row r="3719" spans="1:17" x14ac:dyDescent="0.2">
      <c r="A3719">
        <f>YEAR(D3719)</f>
        <v>2019</v>
      </c>
      <c r="B3719" t="s">
        <v>26</v>
      </c>
      <c r="C3719" s="2" t="s">
        <v>3021</v>
      </c>
      <c r="D3719" s="1">
        <v>43656</v>
      </c>
      <c r="E3719">
        <f>MONTH(D3719)</f>
        <v>7</v>
      </c>
      <c r="F3719" s="2" t="s">
        <v>2098</v>
      </c>
      <c r="G3719" t="s">
        <v>332</v>
      </c>
      <c r="H3719" t="s">
        <v>330</v>
      </c>
      <c r="I3719" t="s">
        <v>22</v>
      </c>
      <c r="J3719" s="2" t="s">
        <v>42</v>
      </c>
      <c r="K3719" s="2" t="s">
        <v>3019</v>
      </c>
      <c r="L3719" t="s">
        <v>25</v>
      </c>
      <c r="M3719" s="8">
        <v>1.2170000000000001</v>
      </c>
      <c r="N3719" t="s">
        <v>26</v>
      </c>
      <c r="O3719" s="8">
        <v>1.2170000000000001</v>
      </c>
      <c r="P3719" s="8">
        <f>EXP(-1.363+3.366*LOG(O3719,10))</f>
        <v>0.34098666307598596</v>
      </c>
      <c r="Q3719" s="8">
        <f>(1845879*100)/1946364</f>
        <v>94.837296620775973</v>
      </c>
    </row>
    <row r="3720" spans="1:17" x14ac:dyDescent="0.2">
      <c r="A3720">
        <f>YEAR(D3720)</f>
        <v>2019</v>
      </c>
      <c r="B3720" t="s">
        <v>26</v>
      </c>
      <c r="C3720" s="2" t="s">
        <v>3018</v>
      </c>
      <c r="D3720" s="1">
        <v>43650</v>
      </c>
      <c r="E3720">
        <f>MONTH(D3720)</f>
        <v>7</v>
      </c>
      <c r="F3720" s="2" t="s">
        <v>19</v>
      </c>
      <c r="G3720" t="s">
        <v>362</v>
      </c>
      <c r="H3720" t="s">
        <v>447</v>
      </c>
      <c r="I3720" t="s">
        <v>22</v>
      </c>
      <c r="J3720" s="2" t="s">
        <v>42</v>
      </c>
      <c r="K3720" s="2" t="s">
        <v>3019</v>
      </c>
      <c r="L3720" t="s">
        <v>25</v>
      </c>
      <c r="M3720" s="8">
        <v>1.421</v>
      </c>
      <c r="N3720" t="s">
        <v>26</v>
      </c>
      <c r="O3720" s="8">
        <v>1.421</v>
      </c>
      <c r="P3720" s="8">
        <f>EXP(-1.363+3.366*LOG(O3720,10))</f>
        <v>0.42768500084673816</v>
      </c>
      <c r="Q3720" s="8">
        <f>(5996898*100)/6073515</f>
        <v>98.738506449724753</v>
      </c>
    </row>
    <row r="3721" spans="1:17" x14ac:dyDescent="0.2">
      <c r="A3721">
        <f>YEAR(D3721)</f>
        <v>2019</v>
      </c>
      <c r="B3721" t="s">
        <v>26</v>
      </c>
      <c r="C3721" s="2" t="s">
        <v>3018</v>
      </c>
      <c r="D3721" s="1">
        <v>43650</v>
      </c>
      <c r="E3721">
        <f>MONTH(D3721)</f>
        <v>7</v>
      </c>
      <c r="F3721" s="2" t="s">
        <v>19</v>
      </c>
      <c r="G3721" t="s">
        <v>362</v>
      </c>
      <c r="H3721" t="s">
        <v>447</v>
      </c>
      <c r="I3721" t="s">
        <v>22</v>
      </c>
      <c r="J3721" s="2" t="s">
        <v>42</v>
      </c>
      <c r="K3721" s="2" t="s">
        <v>3019</v>
      </c>
      <c r="L3721" t="s">
        <v>25</v>
      </c>
      <c r="M3721" s="8">
        <v>1.421</v>
      </c>
      <c r="N3721" t="s">
        <v>26</v>
      </c>
      <c r="O3721" s="8">
        <v>1.421</v>
      </c>
      <c r="P3721" s="8">
        <f>EXP(-1.363+3.366*LOG(O3721,10))</f>
        <v>0.42768500084673816</v>
      </c>
      <c r="Q3721" s="8">
        <f>(5996898*100)/6073515</f>
        <v>98.738506449724753</v>
      </c>
    </row>
    <row r="3722" spans="1:17" x14ac:dyDescent="0.2">
      <c r="A3722">
        <f>YEAR(D3722)</f>
        <v>2019</v>
      </c>
      <c r="B3722" t="s">
        <v>26</v>
      </c>
      <c r="C3722" s="2" t="s">
        <v>3018</v>
      </c>
      <c r="D3722" s="1">
        <v>43650</v>
      </c>
      <c r="E3722">
        <f>MONTH(D3722)</f>
        <v>7</v>
      </c>
      <c r="F3722" s="2" t="s">
        <v>19</v>
      </c>
      <c r="G3722" t="s">
        <v>352</v>
      </c>
      <c r="H3722" t="s">
        <v>975</v>
      </c>
      <c r="I3722" t="s">
        <v>22</v>
      </c>
      <c r="J3722" s="2" t="s">
        <v>42</v>
      </c>
      <c r="K3722" s="2" t="s">
        <v>3019</v>
      </c>
      <c r="L3722" t="s">
        <v>25</v>
      </c>
      <c r="M3722" s="8">
        <v>1.0693333330000001</v>
      </c>
      <c r="N3722" t="s">
        <v>26</v>
      </c>
      <c r="O3722" s="8">
        <v>1.0693333330000001</v>
      </c>
      <c r="P3722" s="8">
        <f>EXP(-1.363+3.366*LOG(O3722,10))</f>
        <v>0.28223780327142356</v>
      </c>
      <c r="Q3722" s="8">
        <f>(5996898*100)/6073515</f>
        <v>98.738506449724753</v>
      </c>
    </row>
    <row r="3723" spans="1:17" x14ac:dyDescent="0.2">
      <c r="A3723">
        <f>YEAR(D3723)</f>
        <v>2019</v>
      </c>
      <c r="B3723" t="s">
        <v>26</v>
      </c>
      <c r="C3723" s="2" t="s">
        <v>3022</v>
      </c>
      <c r="D3723" s="1">
        <v>43654</v>
      </c>
      <c r="E3723">
        <f>MONTH(D3723)</f>
        <v>7</v>
      </c>
      <c r="F3723" s="2" t="s">
        <v>19</v>
      </c>
      <c r="G3723" t="s">
        <v>219</v>
      </c>
      <c r="H3723" t="s">
        <v>220</v>
      </c>
      <c r="I3723" t="s">
        <v>22</v>
      </c>
      <c r="J3723" s="2" t="s">
        <v>42</v>
      </c>
      <c r="K3723" s="2" t="s">
        <v>3019</v>
      </c>
      <c r="L3723" t="s">
        <v>25</v>
      </c>
      <c r="M3723" s="10" t="s">
        <v>26</v>
      </c>
      <c r="N3723" t="s">
        <v>26</v>
      </c>
      <c r="O3723" s="10" t="s">
        <v>26</v>
      </c>
      <c r="P3723" s="8" t="s">
        <v>26</v>
      </c>
      <c r="Q3723" s="8">
        <f>(4437920*100)/4638971</f>
        <v>95.666043180696747</v>
      </c>
    </row>
    <row r="3724" spans="1:17" x14ac:dyDescent="0.2">
      <c r="A3724">
        <f>YEAR(D3724)</f>
        <v>2019</v>
      </c>
      <c r="B3724" t="s">
        <v>26</v>
      </c>
      <c r="C3724" s="2" t="s">
        <v>3022</v>
      </c>
      <c r="D3724" s="1">
        <v>43654</v>
      </c>
      <c r="E3724">
        <f>MONTH(D3724)</f>
        <v>7</v>
      </c>
      <c r="F3724" s="2" t="s">
        <v>19</v>
      </c>
      <c r="G3724" t="s">
        <v>352</v>
      </c>
      <c r="H3724" t="s">
        <v>623</v>
      </c>
      <c r="I3724" t="s">
        <v>36</v>
      </c>
      <c r="J3724" s="2" t="s">
        <v>42</v>
      </c>
      <c r="K3724" s="2" t="s">
        <v>3019</v>
      </c>
      <c r="L3724" t="s">
        <v>25</v>
      </c>
      <c r="M3724" s="8">
        <v>1.1339999999999999</v>
      </c>
      <c r="N3724" t="s">
        <v>26</v>
      </c>
      <c r="O3724" s="8">
        <v>1.1339999999999999</v>
      </c>
      <c r="P3724" s="8">
        <f>EXP(-1.363+3.366*LOG(O3724,10))</f>
        <v>0.30753312979708036</v>
      </c>
      <c r="Q3724" s="8">
        <f>(4437920*100)/4638971</f>
        <v>95.666043180696747</v>
      </c>
    </row>
    <row r="3725" spans="1:17" x14ac:dyDescent="0.2">
      <c r="A3725">
        <f>YEAR(D3725)</f>
        <v>2019</v>
      </c>
      <c r="B3725" t="s">
        <v>26</v>
      </c>
      <c r="C3725" s="2" t="s">
        <v>3022</v>
      </c>
      <c r="D3725" s="1">
        <v>43654</v>
      </c>
      <c r="E3725">
        <f>MONTH(D3725)</f>
        <v>7</v>
      </c>
      <c r="F3725" s="2" t="s">
        <v>19</v>
      </c>
      <c r="G3725" t="s">
        <v>230</v>
      </c>
      <c r="H3725" t="s">
        <v>2260</v>
      </c>
      <c r="I3725" t="s">
        <v>36</v>
      </c>
      <c r="J3725" s="2" t="s">
        <v>42</v>
      </c>
      <c r="K3725" s="2" t="s">
        <v>3019</v>
      </c>
      <c r="L3725" t="s">
        <v>305</v>
      </c>
      <c r="M3725" s="8">
        <v>3.9023333330000001</v>
      </c>
      <c r="N3725" t="s">
        <v>26</v>
      </c>
      <c r="O3725" s="8">
        <v>3.9023333330000001</v>
      </c>
      <c r="P3725" s="8">
        <f>EXP(-1.363+3.366*LOG(O3725,10))</f>
        <v>1.8727310273101283</v>
      </c>
      <c r="Q3725" s="8">
        <f>(4437920*100)/4638971</f>
        <v>95.666043180696747</v>
      </c>
    </row>
    <row r="3726" spans="1:17" x14ac:dyDescent="0.2">
      <c r="A3726">
        <f>YEAR(D3726)</f>
        <v>2019</v>
      </c>
      <c r="B3726" t="s">
        <v>26</v>
      </c>
      <c r="C3726" s="2" t="s">
        <v>3024</v>
      </c>
      <c r="D3726" s="1">
        <v>43649</v>
      </c>
      <c r="E3726">
        <f>MONTH(D3726)</f>
        <v>7</v>
      </c>
      <c r="F3726" s="2" t="s">
        <v>19</v>
      </c>
      <c r="G3726" t="s">
        <v>219</v>
      </c>
      <c r="H3726" t="s">
        <v>220</v>
      </c>
      <c r="I3726" t="s">
        <v>22</v>
      </c>
      <c r="J3726" s="2" t="s">
        <v>42</v>
      </c>
      <c r="K3726" s="2" t="s">
        <v>3019</v>
      </c>
      <c r="L3726" t="s">
        <v>25</v>
      </c>
      <c r="M3726" s="10" t="s">
        <v>26</v>
      </c>
      <c r="N3726" t="s">
        <v>26</v>
      </c>
      <c r="O3726" s="10" t="s">
        <v>26</v>
      </c>
      <c r="P3726" s="8" t="s">
        <v>26</v>
      </c>
      <c r="Q3726" s="8">
        <f>(2412691*100)/2623642</f>
        <v>91.959611867777696</v>
      </c>
    </row>
    <row r="3727" spans="1:17" x14ac:dyDescent="0.2">
      <c r="A3727">
        <f>YEAR(D3727)</f>
        <v>2019</v>
      </c>
      <c r="B3727" t="s">
        <v>26</v>
      </c>
      <c r="C3727" s="2" t="s">
        <v>3024</v>
      </c>
      <c r="D3727" s="1">
        <v>43649</v>
      </c>
      <c r="E3727">
        <f>MONTH(D3727)</f>
        <v>7</v>
      </c>
      <c r="F3727" s="2" t="s">
        <v>19</v>
      </c>
      <c r="G3727" t="s">
        <v>352</v>
      </c>
      <c r="H3727" t="s">
        <v>1142</v>
      </c>
      <c r="I3727" t="s">
        <v>36</v>
      </c>
      <c r="J3727" s="2" t="s">
        <v>42</v>
      </c>
      <c r="K3727" s="2" t="s">
        <v>3019</v>
      </c>
      <c r="L3727" t="s">
        <v>25</v>
      </c>
      <c r="M3727" s="8">
        <v>0.93500000000000005</v>
      </c>
      <c r="N3727" t="s">
        <v>26</v>
      </c>
      <c r="O3727" s="8">
        <v>0.93500000000000005</v>
      </c>
      <c r="P3727" s="8">
        <f>EXP(-1.363+3.366*LOG(O3727,10))</f>
        <v>0.23194659731411651</v>
      </c>
      <c r="Q3727" s="8">
        <f>(2412691*100)/2623642</f>
        <v>91.959611867777696</v>
      </c>
    </row>
    <row r="3728" spans="1:17" x14ac:dyDescent="0.2">
      <c r="A3728">
        <f>YEAR(D3728)</f>
        <v>2019</v>
      </c>
      <c r="B3728" t="s">
        <v>26</v>
      </c>
      <c r="C3728" s="2" t="s">
        <v>3024</v>
      </c>
      <c r="D3728" s="1">
        <v>43649</v>
      </c>
      <c r="E3728">
        <f>MONTH(D3728)</f>
        <v>7</v>
      </c>
      <c r="F3728" s="2" t="s">
        <v>19</v>
      </c>
      <c r="G3728" t="s">
        <v>352</v>
      </c>
      <c r="H3728" t="s">
        <v>1142</v>
      </c>
      <c r="I3728" t="s">
        <v>22</v>
      </c>
      <c r="J3728" s="2" t="s">
        <v>42</v>
      </c>
      <c r="K3728" s="2" t="s">
        <v>3019</v>
      </c>
      <c r="L3728" t="s">
        <v>25</v>
      </c>
      <c r="M3728" s="8">
        <v>1.1423333330000001</v>
      </c>
      <c r="N3728" t="s">
        <v>26</v>
      </c>
      <c r="O3728" s="8">
        <v>1.1423333330000001</v>
      </c>
      <c r="P3728" s="8">
        <f>EXP(-1.363+3.366*LOG(O3728,10))</f>
        <v>0.31084239358261528</v>
      </c>
      <c r="Q3728" s="8">
        <f>(2412691*100)/2623642</f>
        <v>91.959611867777696</v>
      </c>
    </row>
    <row r="3729" spans="1:17" x14ac:dyDescent="0.2">
      <c r="A3729">
        <f>YEAR(D3729)</f>
        <v>2019</v>
      </c>
      <c r="B3729" t="s">
        <v>26</v>
      </c>
      <c r="C3729" s="2" t="s">
        <v>3023</v>
      </c>
      <c r="D3729" s="1">
        <v>43654</v>
      </c>
      <c r="E3729">
        <f>MONTH(D3729)</f>
        <v>7</v>
      </c>
      <c r="F3729" s="2" t="s">
        <v>19</v>
      </c>
      <c r="G3729" t="s">
        <v>362</v>
      </c>
      <c r="H3729" t="s">
        <v>447</v>
      </c>
      <c r="I3729" t="s">
        <v>36</v>
      </c>
      <c r="J3729" s="2" t="s">
        <v>42</v>
      </c>
      <c r="K3729" s="2" t="s">
        <v>3019</v>
      </c>
      <c r="L3729" t="s">
        <v>25</v>
      </c>
      <c r="M3729" s="8">
        <v>1.0956666669999999</v>
      </c>
      <c r="N3729" t="s">
        <v>26</v>
      </c>
      <c r="O3729" s="8">
        <v>1.0956666669999999</v>
      </c>
      <c r="P3729" s="8">
        <f>EXP(-1.363+3.366*LOG(O3729,10))</f>
        <v>0.29245562330904107</v>
      </c>
      <c r="Q3729" s="8">
        <f>(8197453*100)/8541008</f>
        <v>95.977582505484136</v>
      </c>
    </row>
    <row r="3730" spans="1:17" x14ac:dyDescent="0.2">
      <c r="A3730">
        <f>YEAR(D3730)</f>
        <v>2019</v>
      </c>
      <c r="B3730" t="s">
        <v>26</v>
      </c>
      <c r="C3730" s="2" t="s">
        <v>3023</v>
      </c>
      <c r="D3730" s="1">
        <v>43654</v>
      </c>
      <c r="E3730">
        <f>MONTH(D3730)</f>
        <v>7</v>
      </c>
      <c r="F3730" s="2" t="s">
        <v>19</v>
      </c>
      <c r="G3730" t="s">
        <v>362</v>
      </c>
      <c r="H3730" t="s">
        <v>447</v>
      </c>
      <c r="I3730" t="s">
        <v>22</v>
      </c>
      <c r="J3730" s="2" t="s">
        <v>42</v>
      </c>
      <c r="K3730" s="2" t="s">
        <v>3019</v>
      </c>
      <c r="L3730" t="s">
        <v>25</v>
      </c>
      <c r="M3730" s="8">
        <v>1.421</v>
      </c>
      <c r="N3730" t="s">
        <v>26</v>
      </c>
      <c r="O3730" s="8">
        <v>1.421</v>
      </c>
      <c r="P3730" s="8">
        <f>EXP(-1.363+3.366*LOG(O3730,10))</f>
        <v>0.42768500084673816</v>
      </c>
      <c r="Q3730" s="8">
        <f>(8197453*100)/8541008</f>
        <v>95.977582505484136</v>
      </c>
    </row>
    <row r="3731" spans="1:17" x14ac:dyDescent="0.2">
      <c r="A3731">
        <f>YEAR(D3731)</f>
        <v>2019</v>
      </c>
      <c r="B3731" t="s">
        <v>26</v>
      </c>
      <c r="C3731" s="2" t="s">
        <v>3023</v>
      </c>
      <c r="D3731" s="1">
        <v>43654</v>
      </c>
      <c r="E3731">
        <f>MONTH(D3731)</f>
        <v>7</v>
      </c>
      <c r="F3731" s="2" t="s">
        <v>19</v>
      </c>
      <c r="G3731" t="s">
        <v>1520</v>
      </c>
      <c r="H3731" t="s">
        <v>1521</v>
      </c>
      <c r="I3731" t="s">
        <v>36</v>
      </c>
      <c r="J3731" s="2" t="s">
        <v>42</v>
      </c>
      <c r="K3731" s="2" t="s">
        <v>3019</v>
      </c>
      <c r="L3731" t="s">
        <v>25</v>
      </c>
      <c r="M3731" s="8">
        <v>2.3340000000000001</v>
      </c>
      <c r="N3731" t="s">
        <v>26</v>
      </c>
      <c r="O3731" s="8">
        <v>2.3340000000000001</v>
      </c>
      <c r="P3731" s="8">
        <f>EXP(-1.363+3.366*LOG(O3731,10))</f>
        <v>0.88340410488080767</v>
      </c>
      <c r="Q3731" s="8">
        <f>(8197453*100)/8541008</f>
        <v>95.977582505484136</v>
      </c>
    </row>
    <row r="3732" spans="1:17" x14ac:dyDescent="0.2">
      <c r="A3732">
        <f>YEAR(D3732)</f>
        <v>2019</v>
      </c>
      <c r="B3732" t="s">
        <v>26</v>
      </c>
      <c r="C3732" s="2" t="s">
        <v>3023</v>
      </c>
      <c r="D3732" s="1">
        <v>43654</v>
      </c>
      <c r="E3732">
        <f>MONTH(D3732)</f>
        <v>7</v>
      </c>
      <c r="F3732" s="2" t="s">
        <v>19</v>
      </c>
      <c r="G3732" t="s">
        <v>362</v>
      </c>
      <c r="H3732" t="s">
        <v>447</v>
      </c>
      <c r="I3732" t="s">
        <v>22</v>
      </c>
      <c r="J3732" s="2" t="s">
        <v>42</v>
      </c>
      <c r="K3732" s="2" t="s">
        <v>3019</v>
      </c>
      <c r="L3732" t="s">
        <v>25</v>
      </c>
      <c r="M3732" s="8">
        <v>1.421</v>
      </c>
      <c r="N3732" t="s">
        <v>26</v>
      </c>
      <c r="O3732" s="8">
        <v>1.421</v>
      </c>
      <c r="P3732" s="8">
        <f>EXP(-1.363+3.366*LOG(O3732,10))</f>
        <v>0.42768500084673816</v>
      </c>
      <c r="Q3732" s="8">
        <f>(8197453*100)/8541008</f>
        <v>95.977582505484136</v>
      </c>
    </row>
    <row r="3733" spans="1:17" x14ac:dyDescent="0.2">
      <c r="A3733">
        <f>YEAR(D3733)</f>
        <v>2019</v>
      </c>
      <c r="B3733" t="s">
        <v>26</v>
      </c>
      <c r="C3733" s="2" t="s">
        <v>3027</v>
      </c>
      <c r="D3733" s="1">
        <v>43650</v>
      </c>
      <c r="E3733">
        <f>MONTH(D3733)</f>
        <v>7</v>
      </c>
      <c r="F3733" s="2" t="s">
        <v>19</v>
      </c>
      <c r="G3733" t="s">
        <v>362</v>
      </c>
      <c r="H3733" t="s">
        <v>447</v>
      </c>
      <c r="I3733" t="s">
        <v>36</v>
      </c>
      <c r="J3733" s="2" t="s">
        <v>42</v>
      </c>
      <c r="K3733" s="2" t="s">
        <v>3019</v>
      </c>
      <c r="L3733" t="s">
        <v>25</v>
      </c>
      <c r="M3733" s="8">
        <v>1.0956666669999999</v>
      </c>
      <c r="N3733" t="s">
        <v>26</v>
      </c>
      <c r="O3733" s="8">
        <v>1.0956666669999999</v>
      </c>
      <c r="P3733" s="8">
        <f>EXP(-1.363+3.366*LOG(O3733,10))</f>
        <v>0.29245562330904107</v>
      </c>
      <c r="Q3733" s="8">
        <f>(3939723*100)/4442581</f>
        <v>88.680949204977921</v>
      </c>
    </row>
    <row r="3734" spans="1:17" x14ac:dyDescent="0.2">
      <c r="A3734">
        <f>YEAR(D3734)</f>
        <v>2019</v>
      </c>
      <c r="B3734" t="s">
        <v>26</v>
      </c>
      <c r="C3734" s="2" t="s">
        <v>3027</v>
      </c>
      <c r="D3734" s="1">
        <v>43650</v>
      </c>
      <c r="E3734">
        <f>MONTH(D3734)</f>
        <v>7</v>
      </c>
      <c r="F3734" s="2" t="s">
        <v>19</v>
      </c>
      <c r="G3734" t="s">
        <v>209</v>
      </c>
      <c r="H3734" t="s">
        <v>212</v>
      </c>
      <c r="I3734" t="s">
        <v>36</v>
      </c>
      <c r="J3734" s="2" t="s">
        <v>42</v>
      </c>
      <c r="K3734" s="2" t="s">
        <v>3019</v>
      </c>
      <c r="L3734" t="s">
        <v>187</v>
      </c>
      <c r="M3734" s="8">
        <v>1.534</v>
      </c>
      <c r="N3734" t="s">
        <v>26</v>
      </c>
      <c r="O3734" s="8">
        <v>1.534</v>
      </c>
      <c r="P3734" s="8">
        <f>EXP(-1.363+3.366*LOG(O3734,10))</f>
        <v>0.47830252961730491</v>
      </c>
      <c r="Q3734" s="8">
        <f>(3939723*100)/4442581</f>
        <v>88.680949204977921</v>
      </c>
    </row>
    <row r="3735" spans="1:17" x14ac:dyDescent="0.2">
      <c r="A3735">
        <f>YEAR(D3735)</f>
        <v>2019</v>
      </c>
      <c r="B3735" t="s">
        <v>26</v>
      </c>
      <c r="C3735" s="2" t="s">
        <v>3027</v>
      </c>
      <c r="D3735" s="1">
        <v>43650</v>
      </c>
      <c r="E3735">
        <f>MONTH(D3735)</f>
        <v>7</v>
      </c>
      <c r="F3735" s="2" t="s">
        <v>19</v>
      </c>
      <c r="G3735" t="s">
        <v>352</v>
      </c>
      <c r="H3735" t="s">
        <v>975</v>
      </c>
      <c r="I3735" t="s">
        <v>22</v>
      </c>
      <c r="J3735" s="2" t="s">
        <v>42</v>
      </c>
      <c r="K3735" s="2" t="s">
        <v>3019</v>
      </c>
      <c r="L3735" t="s">
        <v>25</v>
      </c>
      <c r="M3735" s="8">
        <v>1.0693333330000001</v>
      </c>
      <c r="N3735" t="s">
        <v>26</v>
      </c>
      <c r="O3735" s="8">
        <v>1.0693333330000001</v>
      </c>
      <c r="P3735" s="8">
        <f>EXP(-1.363+3.366*LOG(O3735,10))</f>
        <v>0.28223780327142356</v>
      </c>
      <c r="Q3735" s="8">
        <f>(3939723*100)/4442581</f>
        <v>88.680949204977921</v>
      </c>
    </row>
    <row r="3736" spans="1:17" x14ac:dyDescent="0.2">
      <c r="A3736">
        <f>YEAR(D3736)</f>
        <v>2019</v>
      </c>
      <c r="B3736" t="s">
        <v>26</v>
      </c>
      <c r="C3736" s="2" t="s">
        <v>3027</v>
      </c>
      <c r="D3736" s="1">
        <v>43650</v>
      </c>
      <c r="E3736">
        <f>MONTH(D3736)</f>
        <v>7</v>
      </c>
      <c r="F3736" s="2" t="s">
        <v>19</v>
      </c>
      <c r="G3736" t="s">
        <v>352</v>
      </c>
      <c r="H3736" t="s">
        <v>1142</v>
      </c>
      <c r="I3736" t="s">
        <v>22</v>
      </c>
      <c r="J3736" s="2" t="s">
        <v>42</v>
      </c>
      <c r="K3736" s="2" t="s">
        <v>3019</v>
      </c>
      <c r="L3736" t="s">
        <v>25</v>
      </c>
      <c r="M3736" s="8">
        <v>1.1423333330000001</v>
      </c>
      <c r="N3736" t="s">
        <v>26</v>
      </c>
      <c r="O3736" s="8">
        <v>1.1423333330000001</v>
      </c>
      <c r="P3736" s="8">
        <f>EXP(-1.363+3.366*LOG(O3736,10))</f>
        <v>0.31084239358261528</v>
      </c>
      <c r="Q3736" s="8">
        <f>(3939723*100)/4442581</f>
        <v>88.680949204977921</v>
      </c>
    </row>
    <row r="3737" spans="1:17" x14ac:dyDescent="0.2">
      <c r="A3737">
        <f>YEAR(D3737)</f>
        <v>2019</v>
      </c>
      <c r="B3737" t="s">
        <v>26</v>
      </c>
      <c r="C3737" s="2" t="s">
        <v>3027</v>
      </c>
      <c r="D3737" s="1">
        <v>43650</v>
      </c>
      <c r="E3737">
        <f>MONTH(D3737)</f>
        <v>7</v>
      </c>
      <c r="F3737" s="2" t="s">
        <v>19</v>
      </c>
      <c r="G3737" t="s">
        <v>352</v>
      </c>
      <c r="H3737" t="s">
        <v>975</v>
      </c>
      <c r="I3737" t="s">
        <v>22</v>
      </c>
      <c r="J3737" s="2" t="s">
        <v>42</v>
      </c>
      <c r="K3737" s="2" t="s">
        <v>3019</v>
      </c>
      <c r="L3737" t="s">
        <v>25</v>
      </c>
      <c r="M3737" s="8">
        <v>1.0693333330000001</v>
      </c>
      <c r="N3737" t="s">
        <v>26</v>
      </c>
      <c r="O3737" s="8">
        <v>1.0693333330000001</v>
      </c>
      <c r="P3737" s="8">
        <f>EXP(-1.363+3.366*LOG(O3737,10))</f>
        <v>0.28223780327142356</v>
      </c>
      <c r="Q3737" s="8">
        <f>(3939723*100)/4442581</f>
        <v>88.680949204977921</v>
      </c>
    </row>
    <row r="3738" spans="1:17" x14ac:dyDescent="0.2">
      <c r="A3738">
        <f>YEAR(D3738)</f>
        <v>2019</v>
      </c>
      <c r="B3738" t="s">
        <v>26</v>
      </c>
      <c r="C3738" s="2" t="s">
        <v>3027</v>
      </c>
      <c r="D3738" s="1">
        <v>43650</v>
      </c>
      <c r="E3738">
        <f>MONTH(D3738)</f>
        <v>7</v>
      </c>
      <c r="F3738" s="2" t="s">
        <v>19</v>
      </c>
      <c r="G3738" t="s">
        <v>209</v>
      </c>
      <c r="H3738" t="s">
        <v>212</v>
      </c>
      <c r="I3738" t="s">
        <v>36</v>
      </c>
      <c r="J3738" s="2" t="s">
        <v>42</v>
      </c>
      <c r="K3738" s="2" t="s">
        <v>3019</v>
      </c>
      <c r="L3738" t="s">
        <v>187</v>
      </c>
      <c r="M3738" s="8">
        <v>1.534</v>
      </c>
      <c r="N3738" t="s">
        <v>26</v>
      </c>
      <c r="O3738" s="8">
        <v>1.534</v>
      </c>
      <c r="P3738" s="8">
        <f>EXP(-1.363+3.366*LOG(O3738,10))</f>
        <v>0.47830252961730491</v>
      </c>
      <c r="Q3738" s="8">
        <f>(3939723*100)/4442581</f>
        <v>88.680949204977921</v>
      </c>
    </row>
    <row r="3739" spans="1:17" x14ac:dyDescent="0.2">
      <c r="A3739">
        <f>YEAR(D3739)</f>
        <v>2019</v>
      </c>
      <c r="B3739" t="s">
        <v>26</v>
      </c>
      <c r="C3739" s="2" t="s">
        <v>3027</v>
      </c>
      <c r="D3739" s="1">
        <v>43650</v>
      </c>
      <c r="E3739">
        <f>MONTH(D3739)</f>
        <v>7</v>
      </c>
      <c r="F3739" s="2" t="s">
        <v>19</v>
      </c>
      <c r="G3739" t="s">
        <v>352</v>
      </c>
      <c r="H3739" t="s">
        <v>975</v>
      </c>
      <c r="I3739" t="s">
        <v>22</v>
      </c>
      <c r="J3739" s="2" t="s">
        <v>42</v>
      </c>
      <c r="K3739" s="2" t="s">
        <v>3019</v>
      </c>
      <c r="L3739" t="s">
        <v>25</v>
      </c>
      <c r="M3739" s="8">
        <v>1.0693333330000001</v>
      </c>
      <c r="N3739" t="s">
        <v>26</v>
      </c>
      <c r="O3739" s="8">
        <v>1.0693333330000001</v>
      </c>
      <c r="P3739" s="8">
        <f>EXP(-1.363+3.366*LOG(O3739,10))</f>
        <v>0.28223780327142356</v>
      </c>
      <c r="Q3739" s="8">
        <f>(3939723*100)/4442581</f>
        <v>88.680949204977921</v>
      </c>
    </row>
    <row r="3740" spans="1:17" x14ac:dyDescent="0.2">
      <c r="A3740">
        <f>YEAR(D3740)</f>
        <v>2019</v>
      </c>
      <c r="B3740" t="s">
        <v>26</v>
      </c>
      <c r="C3740" s="2" t="s">
        <v>50</v>
      </c>
      <c r="D3740" s="1">
        <v>43649</v>
      </c>
      <c r="E3740">
        <f>MONTH(D3740)</f>
        <v>7</v>
      </c>
      <c r="F3740" s="2" t="s">
        <v>19</v>
      </c>
      <c r="G3740" t="s">
        <v>352</v>
      </c>
      <c r="H3740" t="s">
        <v>610</v>
      </c>
      <c r="I3740" t="s">
        <v>22</v>
      </c>
      <c r="J3740" s="2" t="s">
        <v>42</v>
      </c>
      <c r="K3740" s="2" t="s">
        <v>3019</v>
      </c>
      <c r="L3740" t="s">
        <v>25</v>
      </c>
      <c r="M3740" s="8">
        <v>0.86499999999999999</v>
      </c>
      <c r="N3740" t="s">
        <v>26</v>
      </c>
      <c r="O3740" s="8">
        <v>0.86499999999999999</v>
      </c>
      <c r="P3740" s="8">
        <f>EXP(-1.363+3.366*LOG(O3740,10))</f>
        <v>0.20700676972346591</v>
      </c>
      <c r="Q3740" s="8">
        <f>(4488342*100)/4914798</f>
        <v>91.323020803703429</v>
      </c>
    </row>
    <row r="3741" spans="1:17" x14ac:dyDescent="0.2">
      <c r="A3741">
        <f>YEAR(D3741)</f>
        <v>2019</v>
      </c>
      <c r="B3741" t="s">
        <v>26</v>
      </c>
      <c r="C3741" s="2" t="s">
        <v>50</v>
      </c>
      <c r="D3741" s="1">
        <v>43649</v>
      </c>
      <c r="E3741">
        <f>MONTH(D3741)</f>
        <v>7</v>
      </c>
      <c r="F3741" s="2" t="s">
        <v>19</v>
      </c>
      <c r="G3741" t="s">
        <v>352</v>
      </c>
      <c r="H3741" t="s">
        <v>610</v>
      </c>
      <c r="I3741" t="s">
        <v>22</v>
      </c>
      <c r="J3741" s="2" t="s">
        <v>42</v>
      </c>
      <c r="K3741" s="2" t="s">
        <v>3019</v>
      </c>
      <c r="L3741" t="s">
        <v>25</v>
      </c>
      <c r="M3741" s="8">
        <v>0.86499999999999999</v>
      </c>
      <c r="N3741" t="s">
        <v>26</v>
      </c>
      <c r="O3741" s="8">
        <v>0.86499999999999999</v>
      </c>
      <c r="P3741" s="8">
        <f>EXP(-1.363+3.366*LOG(O3741,10))</f>
        <v>0.20700676972346591</v>
      </c>
      <c r="Q3741" s="8">
        <f>(4488342*100)/4914798</f>
        <v>91.323020803703429</v>
      </c>
    </row>
    <row r="3742" spans="1:17" x14ac:dyDescent="0.2">
      <c r="A3742">
        <f>YEAR(D3742)</f>
        <v>2019</v>
      </c>
      <c r="B3742" t="s">
        <v>26</v>
      </c>
      <c r="C3742" s="2" t="s">
        <v>50</v>
      </c>
      <c r="D3742" s="1">
        <v>43649</v>
      </c>
      <c r="E3742">
        <f>MONTH(D3742)</f>
        <v>7</v>
      </c>
      <c r="F3742" s="2" t="s">
        <v>19</v>
      </c>
      <c r="G3742" t="s">
        <v>352</v>
      </c>
      <c r="H3742" t="s">
        <v>975</v>
      </c>
      <c r="I3742" t="s">
        <v>22</v>
      </c>
      <c r="J3742" s="2" t="s">
        <v>42</v>
      </c>
      <c r="K3742" s="2" t="s">
        <v>3019</v>
      </c>
      <c r="L3742" t="s">
        <v>25</v>
      </c>
      <c r="M3742" s="8">
        <v>1.0693333330000001</v>
      </c>
      <c r="N3742" t="s">
        <v>26</v>
      </c>
      <c r="O3742" s="8">
        <v>1.0693333330000001</v>
      </c>
      <c r="P3742" s="8">
        <f>EXP(-1.363+3.366*LOG(O3742,10))</f>
        <v>0.28223780327142356</v>
      </c>
      <c r="Q3742" s="8">
        <f>(4488342*100)/4914798</f>
        <v>91.323020803703429</v>
      </c>
    </row>
    <row r="3743" spans="1:17" x14ac:dyDescent="0.2">
      <c r="A3743">
        <f>YEAR(D3743)</f>
        <v>2019</v>
      </c>
      <c r="B3743" t="s">
        <v>26</v>
      </c>
      <c r="C3743" s="2" t="s">
        <v>50</v>
      </c>
      <c r="D3743" s="1">
        <v>43649</v>
      </c>
      <c r="E3743">
        <f>MONTH(D3743)</f>
        <v>7</v>
      </c>
      <c r="F3743" s="2" t="s">
        <v>19</v>
      </c>
      <c r="G3743" t="s">
        <v>352</v>
      </c>
      <c r="H3743" t="s">
        <v>975</v>
      </c>
      <c r="I3743" t="s">
        <v>22</v>
      </c>
      <c r="J3743" s="2" t="s">
        <v>42</v>
      </c>
      <c r="K3743" s="2" t="s">
        <v>3019</v>
      </c>
      <c r="L3743" t="s">
        <v>25</v>
      </c>
      <c r="M3743" s="8">
        <v>1.0693333330000001</v>
      </c>
      <c r="N3743" t="s">
        <v>26</v>
      </c>
      <c r="O3743" s="8">
        <v>1.0693333330000001</v>
      </c>
      <c r="P3743" s="8">
        <f>EXP(-1.363+3.366*LOG(O3743,10))</f>
        <v>0.28223780327142356</v>
      </c>
      <c r="Q3743" s="8">
        <f>(4488342*100)/4914798</f>
        <v>91.323020803703429</v>
      </c>
    </row>
    <row r="3744" spans="1:17" x14ac:dyDescent="0.2">
      <c r="A3744">
        <f>YEAR(D3744)</f>
        <v>2019</v>
      </c>
      <c r="B3744" t="s">
        <v>26</v>
      </c>
      <c r="C3744" s="2" t="s">
        <v>50</v>
      </c>
      <c r="D3744" s="1">
        <v>43649</v>
      </c>
      <c r="E3744">
        <f>MONTH(D3744)</f>
        <v>7</v>
      </c>
      <c r="F3744" s="2" t="s">
        <v>19</v>
      </c>
      <c r="G3744" t="s">
        <v>352</v>
      </c>
      <c r="H3744" t="s">
        <v>1344</v>
      </c>
      <c r="I3744" t="s">
        <v>22</v>
      </c>
      <c r="J3744" s="2" t="s">
        <v>42</v>
      </c>
      <c r="K3744" s="2" t="s">
        <v>3019</v>
      </c>
      <c r="L3744" t="s">
        <v>25</v>
      </c>
      <c r="M3744" s="8">
        <v>0.91800000000000004</v>
      </c>
      <c r="N3744" t="s">
        <v>26</v>
      </c>
      <c r="O3744" s="8">
        <v>0.91800000000000004</v>
      </c>
      <c r="P3744" s="8">
        <f>EXP(-1.363+3.366*LOG(O3744,10))</f>
        <v>0.22580769814771504</v>
      </c>
      <c r="Q3744" s="8">
        <f>(4488342*100)/4914798</f>
        <v>91.323020803703429</v>
      </c>
    </row>
    <row r="3745" spans="1:17" x14ac:dyDescent="0.2">
      <c r="A3745">
        <f>YEAR(D3745)</f>
        <v>2019</v>
      </c>
      <c r="B3745" t="s">
        <v>26</v>
      </c>
      <c r="C3745" s="2" t="s">
        <v>50</v>
      </c>
      <c r="D3745" s="1">
        <v>43649</v>
      </c>
      <c r="E3745">
        <f>MONTH(D3745)</f>
        <v>7</v>
      </c>
      <c r="F3745" s="2" t="s">
        <v>19</v>
      </c>
      <c r="G3745" t="s">
        <v>352</v>
      </c>
      <c r="H3745" t="s">
        <v>975</v>
      </c>
      <c r="I3745" t="s">
        <v>22</v>
      </c>
      <c r="J3745" s="2" t="s">
        <v>42</v>
      </c>
      <c r="K3745" s="2" t="s">
        <v>3019</v>
      </c>
      <c r="L3745" t="s">
        <v>25</v>
      </c>
      <c r="M3745" s="8">
        <v>1.0693333330000001</v>
      </c>
      <c r="N3745" t="s">
        <v>26</v>
      </c>
      <c r="O3745" s="8">
        <v>1.0693333330000001</v>
      </c>
      <c r="P3745" s="8">
        <f>EXP(-1.363+3.366*LOG(O3745,10))</f>
        <v>0.28223780327142356</v>
      </c>
      <c r="Q3745" s="8">
        <f>(4488342*100)/4914798</f>
        <v>91.323020803703429</v>
      </c>
    </row>
    <row r="3746" spans="1:17" x14ac:dyDescent="0.2">
      <c r="A3746">
        <f>YEAR(D3746)</f>
        <v>2019</v>
      </c>
      <c r="B3746" t="s">
        <v>26</v>
      </c>
      <c r="C3746" s="2" t="s">
        <v>50</v>
      </c>
      <c r="D3746" s="1">
        <v>43649</v>
      </c>
      <c r="E3746">
        <f>MONTH(D3746)</f>
        <v>7</v>
      </c>
      <c r="F3746" s="2" t="s">
        <v>19</v>
      </c>
      <c r="G3746" t="s">
        <v>352</v>
      </c>
      <c r="H3746" t="s">
        <v>975</v>
      </c>
      <c r="I3746" t="s">
        <v>22</v>
      </c>
      <c r="J3746" s="2" t="s">
        <v>42</v>
      </c>
      <c r="K3746" s="2" t="s">
        <v>3019</v>
      </c>
      <c r="L3746" t="s">
        <v>25</v>
      </c>
      <c r="M3746" s="8">
        <v>1.0693333330000001</v>
      </c>
      <c r="N3746" t="s">
        <v>26</v>
      </c>
      <c r="O3746" s="8">
        <v>1.0693333330000001</v>
      </c>
      <c r="P3746" s="8">
        <f>EXP(-1.363+3.366*LOG(O3746,10))</f>
        <v>0.28223780327142356</v>
      </c>
      <c r="Q3746" s="8">
        <f>(4488342*100)/4914798</f>
        <v>91.323020803703429</v>
      </c>
    </row>
    <row r="3747" spans="1:17" x14ac:dyDescent="0.2">
      <c r="A3747">
        <f>YEAR(D3747)</f>
        <v>2019</v>
      </c>
      <c r="B3747" t="s">
        <v>26</v>
      </c>
      <c r="C3747" s="2" t="s">
        <v>50</v>
      </c>
      <c r="D3747" s="1">
        <v>43649</v>
      </c>
      <c r="E3747">
        <f>MONTH(D3747)</f>
        <v>7</v>
      </c>
      <c r="F3747" s="2" t="s">
        <v>19</v>
      </c>
      <c r="G3747" t="s">
        <v>352</v>
      </c>
      <c r="H3747" t="s">
        <v>1142</v>
      </c>
      <c r="I3747" t="s">
        <v>22</v>
      </c>
      <c r="J3747" s="2" t="s">
        <v>42</v>
      </c>
      <c r="K3747" s="2" t="s">
        <v>3019</v>
      </c>
      <c r="L3747" t="s">
        <v>25</v>
      </c>
      <c r="M3747" s="8">
        <v>1.1423333330000001</v>
      </c>
      <c r="N3747" t="s">
        <v>26</v>
      </c>
      <c r="O3747" s="8">
        <v>1.1423333330000001</v>
      </c>
      <c r="P3747" s="8">
        <f>EXP(-1.363+3.366*LOG(O3747,10))</f>
        <v>0.31084239358261528</v>
      </c>
      <c r="Q3747" s="8">
        <f>(4488342*100)/4914798</f>
        <v>91.323020803703429</v>
      </c>
    </row>
    <row r="3748" spans="1:17" x14ac:dyDescent="0.2">
      <c r="A3748">
        <f>YEAR(D3748)</f>
        <v>2019</v>
      </c>
      <c r="B3748" t="s">
        <v>26</v>
      </c>
      <c r="C3748" s="2" t="s">
        <v>50</v>
      </c>
      <c r="D3748" s="1">
        <v>43649</v>
      </c>
      <c r="E3748">
        <f>MONTH(D3748)</f>
        <v>7</v>
      </c>
      <c r="F3748" s="2" t="s">
        <v>19</v>
      </c>
      <c r="G3748" t="s">
        <v>352</v>
      </c>
      <c r="H3748" t="s">
        <v>1142</v>
      </c>
      <c r="I3748" t="s">
        <v>22</v>
      </c>
      <c r="J3748" s="2" t="s">
        <v>42</v>
      </c>
      <c r="K3748" s="2" t="s">
        <v>3019</v>
      </c>
      <c r="L3748" t="s">
        <v>25</v>
      </c>
      <c r="M3748" s="8">
        <v>1.1423333330000001</v>
      </c>
      <c r="N3748" t="s">
        <v>26</v>
      </c>
      <c r="O3748" s="8">
        <v>1.1423333330000001</v>
      </c>
      <c r="P3748" s="8">
        <f>EXP(-1.363+3.366*LOG(O3748,10))</f>
        <v>0.31084239358261528</v>
      </c>
      <c r="Q3748" s="8">
        <f>(4488342*100)/4914798</f>
        <v>91.323020803703429</v>
      </c>
    </row>
    <row r="3749" spans="1:17" x14ac:dyDescent="0.2">
      <c r="A3749">
        <f>YEAR(D3749)</f>
        <v>2019</v>
      </c>
      <c r="B3749" t="s">
        <v>26</v>
      </c>
      <c r="C3749" s="2" t="s">
        <v>50</v>
      </c>
      <c r="D3749" s="1">
        <v>43649</v>
      </c>
      <c r="E3749">
        <f>MONTH(D3749)</f>
        <v>7</v>
      </c>
      <c r="F3749" s="2" t="s">
        <v>19</v>
      </c>
      <c r="G3749" t="s">
        <v>352</v>
      </c>
      <c r="H3749" t="s">
        <v>1344</v>
      </c>
      <c r="I3749" t="s">
        <v>22</v>
      </c>
      <c r="J3749" s="2" t="s">
        <v>42</v>
      </c>
      <c r="K3749" s="2" t="s">
        <v>3019</v>
      </c>
      <c r="L3749" t="s">
        <v>25</v>
      </c>
      <c r="M3749" s="8">
        <v>0.91800000000000004</v>
      </c>
      <c r="N3749" t="s">
        <v>26</v>
      </c>
      <c r="O3749" s="8">
        <v>0.91800000000000004</v>
      </c>
      <c r="P3749" s="8">
        <f>EXP(-1.363+3.366*LOG(O3749,10))</f>
        <v>0.22580769814771504</v>
      </c>
      <c r="Q3749" s="8">
        <f>(4488342*100)/4914798</f>
        <v>91.323020803703429</v>
      </c>
    </row>
    <row r="3750" spans="1:17" x14ac:dyDescent="0.2">
      <c r="A3750">
        <f>YEAR(D3750)</f>
        <v>2019</v>
      </c>
      <c r="B3750" t="s">
        <v>26</v>
      </c>
      <c r="C3750" s="2" t="s">
        <v>1552</v>
      </c>
      <c r="D3750" s="1">
        <v>43648</v>
      </c>
      <c r="E3750">
        <f>MONTH(D3750)</f>
        <v>7</v>
      </c>
      <c r="F3750" s="2" t="s">
        <v>19</v>
      </c>
      <c r="G3750" t="s">
        <v>352</v>
      </c>
      <c r="H3750" t="s">
        <v>975</v>
      </c>
      <c r="I3750" t="s">
        <v>22</v>
      </c>
      <c r="J3750" s="2" t="s">
        <v>42</v>
      </c>
      <c r="K3750" s="2" t="s">
        <v>3019</v>
      </c>
      <c r="L3750" t="s">
        <v>25</v>
      </c>
      <c r="M3750" s="8">
        <v>1.0693333330000001</v>
      </c>
      <c r="N3750" t="s">
        <v>26</v>
      </c>
      <c r="O3750" s="8">
        <v>1.0693333330000001</v>
      </c>
      <c r="P3750" s="8">
        <f>EXP(-1.363+3.366*LOG(O3750,10))</f>
        <v>0.28223780327142356</v>
      </c>
      <c r="Q3750" s="8">
        <f>(3738946*100)/3915493</f>
        <v>95.491065875995687</v>
      </c>
    </row>
    <row r="3751" spans="1:17" x14ac:dyDescent="0.2">
      <c r="A3751">
        <f>YEAR(D3751)</f>
        <v>2019</v>
      </c>
      <c r="B3751" t="s">
        <v>26</v>
      </c>
      <c r="C3751" s="2" t="s">
        <v>1552</v>
      </c>
      <c r="D3751" s="1">
        <v>43648</v>
      </c>
      <c r="E3751">
        <f>MONTH(D3751)</f>
        <v>7</v>
      </c>
      <c r="F3751" s="2" t="s">
        <v>19</v>
      </c>
      <c r="G3751" t="s">
        <v>352</v>
      </c>
      <c r="H3751" t="s">
        <v>975</v>
      </c>
      <c r="I3751" t="s">
        <v>22</v>
      </c>
      <c r="J3751" s="2" t="s">
        <v>42</v>
      </c>
      <c r="K3751" s="2" t="s">
        <v>3019</v>
      </c>
      <c r="L3751" t="s">
        <v>25</v>
      </c>
      <c r="M3751" s="8">
        <v>1.0693333330000001</v>
      </c>
      <c r="N3751" t="s">
        <v>26</v>
      </c>
      <c r="O3751" s="8">
        <v>1.0693333330000001</v>
      </c>
      <c r="P3751" s="8">
        <f>EXP(-1.363+3.366*LOG(O3751,10))</f>
        <v>0.28223780327142356</v>
      </c>
      <c r="Q3751" s="8">
        <f>(3738946*100)/3915493</f>
        <v>95.491065875995687</v>
      </c>
    </row>
    <row r="3752" spans="1:17" x14ac:dyDescent="0.2">
      <c r="A3752">
        <f>YEAR(D3752)</f>
        <v>2019</v>
      </c>
      <c r="B3752" t="s">
        <v>26</v>
      </c>
      <c r="C3752" s="2" t="s">
        <v>1552</v>
      </c>
      <c r="D3752" s="1">
        <v>43648</v>
      </c>
      <c r="E3752">
        <f>MONTH(D3752)</f>
        <v>7</v>
      </c>
      <c r="F3752" s="2" t="s">
        <v>19</v>
      </c>
      <c r="G3752" t="s">
        <v>352</v>
      </c>
      <c r="H3752" t="s">
        <v>975</v>
      </c>
      <c r="I3752" t="s">
        <v>22</v>
      </c>
      <c r="J3752" s="2" t="s">
        <v>42</v>
      </c>
      <c r="K3752" s="2" t="s">
        <v>3019</v>
      </c>
      <c r="L3752" t="s">
        <v>25</v>
      </c>
      <c r="M3752" s="8">
        <v>1.0693333330000001</v>
      </c>
      <c r="N3752" t="s">
        <v>26</v>
      </c>
      <c r="O3752" s="8">
        <v>1.0693333330000001</v>
      </c>
      <c r="P3752" s="8">
        <f>EXP(-1.363+3.366*LOG(O3752,10))</f>
        <v>0.28223780327142356</v>
      </c>
      <c r="Q3752" s="8">
        <f>(3738946*100)/3915493</f>
        <v>95.491065875995687</v>
      </c>
    </row>
    <row r="3753" spans="1:17" x14ac:dyDescent="0.2">
      <c r="A3753">
        <f>YEAR(D3753)</f>
        <v>2019</v>
      </c>
      <c r="B3753" t="s">
        <v>26</v>
      </c>
      <c r="C3753" s="2" t="s">
        <v>1552</v>
      </c>
      <c r="D3753" s="1">
        <v>43648</v>
      </c>
      <c r="E3753">
        <f>MONTH(D3753)</f>
        <v>7</v>
      </c>
      <c r="F3753" s="2" t="s">
        <v>19</v>
      </c>
      <c r="G3753" t="s">
        <v>352</v>
      </c>
      <c r="H3753" t="s">
        <v>747</v>
      </c>
      <c r="I3753" t="s">
        <v>22</v>
      </c>
      <c r="J3753" s="2" t="s">
        <v>42</v>
      </c>
      <c r="K3753" s="2" t="s">
        <v>3019</v>
      </c>
      <c r="L3753" t="s">
        <v>25</v>
      </c>
      <c r="M3753" s="8">
        <v>1.3726666670000001</v>
      </c>
      <c r="N3753" t="s">
        <v>26</v>
      </c>
      <c r="O3753" s="8">
        <v>1.3726666670000001</v>
      </c>
      <c r="P3753" s="8">
        <f>EXP(-1.363+3.366*LOG(O3753,10))</f>
        <v>0.40658758379567089</v>
      </c>
      <c r="Q3753" s="8">
        <f>(3738946*100)/3915493</f>
        <v>95.491065875995687</v>
      </c>
    </row>
    <row r="3754" spans="1:17" x14ac:dyDescent="0.2">
      <c r="A3754">
        <f>YEAR(D3754)</f>
        <v>2019</v>
      </c>
      <c r="B3754" t="s">
        <v>26</v>
      </c>
      <c r="C3754" s="2" t="s">
        <v>1552</v>
      </c>
      <c r="D3754" s="1">
        <v>43648</v>
      </c>
      <c r="E3754">
        <f>MONTH(D3754)</f>
        <v>7</v>
      </c>
      <c r="F3754" s="2" t="s">
        <v>19</v>
      </c>
      <c r="G3754" t="s">
        <v>352</v>
      </c>
      <c r="H3754" t="s">
        <v>747</v>
      </c>
      <c r="I3754" t="s">
        <v>22</v>
      </c>
      <c r="J3754" s="2" t="s">
        <v>42</v>
      </c>
      <c r="K3754" s="2" t="s">
        <v>3019</v>
      </c>
      <c r="L3754" t="s">
        <v>25</v>
      </c>
      <c r="M3754" s="8">
        <v>1.3726666670000001</v>
      </c>
      <c r="N3754" t="s">
        <v>26</v>
      </c>
      <c r="O3754" s="8">
        <v>1.3726666670000001</v>
      </c>
      <c r="P3754" s="8">
        <f>EXP(-1.363+3.366*LOG(O3754,10))</f>
        <v>0.40658758379567089</v>
      </c>
      <c r="Q3754" s="8">
        <f>(3738946*100)/3915493</f>
        <v>95.491065875995687</v>
      </c>
    </row>
    <row r="3755" spans="1:17" x14ac:dyDescent="0.2">
      <c r="A3755">
        <f>YEAR(D3755)</f>
        <v>2019</v>
      </c>
      <c r="B3755" t="s">
        <v>26</v>
      </c>
      <c r="C3755" s="2" t="s">
        <v>1552</v>
      </c>
      <c r="D3755" s="1">
        <v>43648</v>
      </c>
      <c r="E3755">
        <f>MONTH(D3755)</f>
        <v>7</v>
      </c>
      <c r="F3755" s="2" t="s">
        <v>19</v>
      </c>
      <c r="G3755" t="s">
        <v>362</v>
      </c>
      <c r="H3755" t="s">
        <v>447</v>
      </c>
      <c r="I3755" t="s">
        <v>22</v>
      </c>
      <c r="J3755" s="2" t="s">
        <v>42</v>
      </c>
      <c r="K3755" s="2" t="s">
        <v>3019</v>
      </c>
      <c r="L3755" t="s">
        <v>25</v>
      </c>
      <c r="M3755" s="8">
        <v>1.421</v>
      </c>
      <c r="N3755" t="s">
        <v>26</v>
      </c>
      <c r="O3755" s="8">
        <v>1.421</v>
      </c>
      <c r="P3755" s="8">
        <f>EXP(-1.363+3.366*LOG(O3755,10))</f>
        <v>0.42768500084673816</v>
      </c>
      <c r="Q3755" s="8">
        <f>(3738946*100)/3915493</f>
        <v>95.491065875995687</v>
      </c>
    </row>
    <row r="3756" spans="1:17" x14ac:dyDescent="0.2">
      <c r="A3756">
        <f>YEAR(D3756)</f>
        <v>2019</v>
      </c>
      <c r="B3756" t="s">
        <v>26</v>
      </c>
      <c r="C3756" s="2" t="s">
        <v>1552</v>
      </c>
      <c r="D3756" s="1">
        <v>43648</v>
      </c>
      <c r="E3756">
        <f>MONTH(D3756)</f>
        <v>7</v>
      </c>
      <c r="F3756" s="2" t="s">
        <v>19</v>
      </c>
      <c r="G3756" t="s">
        <v>352</v>
      </c>
      <c r="H3756" t="s">
        <v>747</v>
      </c>
      <c r="I3756" t="s">
        <v>22</v>
      </c>
      <c r="J3756" s="2" t="s">
        <v>42</v>
      </c>
      <c r="K3756" s="2" t="s">
        <v>3019</v>
      </c>
      <c r="L3756" t="s">
        <v>25</v>
      </c>
      <c r="M3756" s="8">
        <v>1.3726666670000001</v>
      </c>
      <c r="N3756" t="s">
        <v>26</v>
      </c>
      <c r="O3756" s="8">
        <v>1.3726666670000001</v>
      </c>
      <c r="P3756" s="8">
        <f>EXP(-1.363+3.366*LOG(O3756,10))</f>
        <v>0.40658758379567089</v>
      </c>
      <c r="Q3756" s="8">
        <f>(3738946*100)/3915493</f>
        <v>95.491065875995687</v>
      </c>
    </row>
    <row r="3757" spans="1:17" x14ac:dyDescent="0.2">
      <c r="A3757">
        <f>YEAR(D3757)</f>
        <v>2019</v>
      </c>
      <c r="B3757" t="s">
        <v>26</v>
      </c>
      <c r="C3757" s="2" t="s">
        <v>1552</v>
      </c>
      <c r="D3757" s="1">
        <v>43648</v>
      </c>
      <c r="E3757">
        <f>MONTH(D3757)</f>
        <v>7</v>
      </c>
      <c r="F3757" s="2" t="s">
        <v>19</v>
      </c>
      <c r="G3757" t="s">
        <v>362</v>
      </c>
      <c r="H3757" t="s">
        <v>447</v>
      </c>
      <c r="I3757" t="s">
        <v>22</v>
      </c>
      <c r="J3757" s="2" t="s">
        <v>42</v>
      </c>
      <c r="K3757" s="2" t="s">
        <v>3019</v>
      </c>
      <c r="L3757" t="s">
        <v>25</v>
      </c>
      <c r="M3757" s="8">
        <v>1.421</v>
      </c>
      <c r="N3757" t="s">
        <v>26</v>
      </c>
      <c r="O3757" s="8">
        <v>1.421</v>
      </c>
      <c r="P3757" s="8">
        <f>EXP(-1.363+3.366*LOG(O3757,10))</f>
        <v>0.42768500084673816</v>
      </c>
      <c r="Q3757" s="8">
        <f>(3738946*100)/3915493</f>
        <v>95.491065875995687</v>
      </c>
    </row>
    <row r="3758" spans="1:17" x14ac:dyDescent="0.2">
      <c r="A3758">
        <f>YEAR(D3758)</f>
        <v>2019</v>
      </c>
      <c r="B3758" t="s">
        <v>26</v>
      </c>
      <c r="C3758" s="2" t="s">
        <v>1552</v>
      </c>
      <c r="D3758" s="1">
        <v>43648</v>
      </c>
      <c r="E3758">
        <f>MONTH(D3758)</f>
        <v>7</v>
      </c>
      <c r="F3758" s="2" t="s">
        <v>19</v>
      </c>
      <c r="G3758" t="s">
        <v>362</v>
      </c>
      <c r="H3758" t="s">
        <v>447</v>
      </c>
      <c r="I3758" t="s">
        <v>22</v>
      </c>
      <c r="J3758" s="2" t="s">
        <v>42</v>
      </c>
      <c r="K3758" s="2" t="s">
        <v>3019</v>
      </c>
      <c r="L3758" t="s">
        <v>25</v>
      </c>
      <c r="M3758" s="8">
        <v>1.421</v>
      </c>
      <c r="N3758" t="s">
        <v>26</v>
      </c>
      <c r="O3758" s="8">
        <v>1.421</v>
      </c>
      <c r="P3758" s="8">
        <f>EXP(-1.363+3.366*LOG(O3758,10))</f>
        <v>0.42768500084673816</v>
      </c>
      <c r="Q3758" s="8">
        <f>(3738946*100)/3915493</f>
        <v>95.491065875995687</v>
      </c>
    </row>
    <row r="3759" spans="1:17" x14ac:dyDescent="0.2">
      <c r="A3759">
        <f>YEAR(D3759)</f>
        <v>2019</v>
      </c>
      <c r="B3759" t="s">
        <v>26</v>
      </c>
      <c r="C3759" s="2" t="s">
        <v>1552</v>
      </c>
      <c r="D3759" s="1">
        <v>43648</v>
      </c>
      <c r="E3759">
        <f>MONTH(D3759)</f>
        <v>7</v>
      </c>
      <c r="F3759" s="2" t="s">
        <v>19</v>
      </c>
      <c r="G3759" t="s">
        <v>352</v>
      </c>
      <c r="H3759" t="s">
        <v>747</v>
      </c>
      <c r="I3759" t="s">
        <v>22</v>
      </c>
      <c r="J3759" s="2" t="s">
        <v>42</v>
      </c>
      <c r="K3759" s="2" t="s">
        <v>3019</v>
      </c>
      <c r="L3759" t="s">
        <v>25</v>
      </c>
      <c r="M3759" s="8">
        <v>1.3726666670000001</v>
      </c>
      <c r="N3759" t="s">
        <v>26</v>
      </c>
      <c r="O3759" s="8">
        <v>1.3726666670000001</v>
      </c>
      <c r="P3759" s="8">
        <f>EXP(-1.363+3.366*LOG(O3759,10))</f>
        <v>0.40658758379567089</v>
      </c>
      <c r="Q3759" s="8">
        <f>(3738946*100)/3915493</f>
        <v>95.491065875995687</v>
      </c>
    </row>
    <row r="3760" spans="1:17" x14ac:dyDescent="0.2">
      <c r="A3760">
        <f>YEAR(D3760)</f>
        <v>2019</v>
      </c>
      <c r="B3760" t="s">
        <v>26</v>
      </c>
      <c r="C3760" s="2" t="s">
        <v>1552</v>
      </c>
      <c r="D3760" s="1">
        <v>43648</v>
      </c>
      <c r="E3760">
        <f>MONTH(D3760)</f>
        <v>7</v>
      </c>
      <c r="F3760" s="2" t="s">
        <v>19</v>
      </c>
      <c r="G3760" t="s">
        <v>352</v>
      </c>
      <c r="H3760" t="s">
        <v>747</v>
      </c>
      <c r="I3760" t="s">
        <v>22</v>
      </c>
      <c r="J3760" s="2" t="s">
        <v>42</v>
      </c>
      <c r="K3760" s="2" t="s">
        <v>3019</v>
      </c>
      <c r="L3760" t="s">
        <v>25</v>
      </c>
      <c r="M3760" s="8">
        <v>1.3726666670000001</v>
      </c>
      <c r="N3760" t="s">
        <v>26</v>
      </c>
      <c r="O3760" s="8">
        <v>1.3726666670000001</v>
      </c>
      <c r="P3760" s="8">
        <f>EXP(-1.363+3.366*LOG(O3760,10))</f>
        <v>0.40658758379567089</v>
      </c>
      <c r="Q3760" s="8">
        <f>(3738946*100)/3915493</f>
        <v>95.491065875995687</v>
      </c>
    </row>
    <row r="3761" spans="1:17" x14ac:dyDescent="0.2">
      <c r="A3761">
        <f>YEAR(D3761)</f>
        <v>2019</v>
      </c>
      <c r="B3761" t="s">
        <v>26</v>
      </c>
      <c r="C3761" s="2" t="s">
        <v>1552</v>
      </c>
      <c r="D3761" s="1">
        <v>43648</v>
      </c>
      <c r="E3761">
        <f>MONTH(D3761)</f>
        <v>7</v>
      </c>
      <c r="F3761" s="2" t="s">
        <v>19</v>
      </c>
      <c r="G3761" t="s">
        <v>352</v>
      </c>
      <c r="H3761" t="s">
        <v>975</v>
      </c>
      <c r="I3761" t="s">
        <v>22</v>
      </c>
      <c r="J3761" s="2" t="s">
        <v>42</v>
      </c>
      <c r="K3761" s="2" t="s">
        <v>3019</v>
      </c>
      <c r="L3761" t="s">
        <v>25</v>
      </c>
      <c r="M3761" s="8">
        <v>1.0693333330000001</v>
      </c>
      <c r="N3761" t="s">
        <v>26</v>
      </c>
      <c r="O3761" s="8">
        <v>1.0693333330000001</v>
      </c>
      <c r="P3761" s="8">
        <f>EXP(-1.363+3.366*LOG(O3761,10))</f>
        <v>0.28223780327142356</v>
      </c>
      <c r="Q3761" s="8">
        <f>(3738946*100)/3915493</f>
        <v>95.491065875995687</v>
      </c>
    </row>
    <row r="3762" spans="1:17" x14ac:dyDescent="0.2">
      <c r="A3762">
        <f>YEAR(D3762)</f>
        <v>2019</v>
      </c>
      <c r="B3762" t="s">
        <v>26</v>
      </c>
      <c r="C3762" s="2" t="s">
        <v>1552</v>
      </c>
      <c r="D3762" s="1">
        <v>43648</v>
      </c>
      <c r="E3762">
        <f>MONTH(D3762)</f>
        <v>7</v>
      </c>
      <c r="F3762" s="2" t="s">
        <v>19</v>
      </c>
      <c r="G3762" t="s">
        <v>362</v>
      </c>
      <c r="H3762" t="s">
        <v>447</v>
      </c>
      <c r="I3762" t="s">
        <v>22</v>
      </c>
      <c r="J3762" s="2" t="s">
        <v>42</v>
      </c>
      <c r="K3762" s="2" t="s">
        <v>3019</v>
      </c>
      <c r="L3762" t="s">
        <v>25</v>
      </c>
      <c r="M3762" s="8">
        <v>1.421</v>
      </c>
      <c r="N3762" t="s">
        <v>26</v>
      </c>
      <c r="O3762" s="8">
        <v>1.421</v>
      </c>
      <c r="P3762" s="8">
        <f>EXP(-1.363+3.366*LOG(O3762,10))</f>
        <v>0.42768500084673816</v>
      </c>
      <c r="Q3762" s="8">
        <f>(3738946*100)/3915493</f>
        <v>95.491065875995687</v>
      </c>
    </row>
    <row r="3763" spans="1:17" x14ac:dyDescent="0.2">
      <c r="A3763">
        <f>YEAR(D3763)</f>
        <v>2019</v>
      </c>
      <c r="B3763" t="s">
        <v>26</v>
      </c>
      <c r="C3763" s="2" t="s">
        <v>1552</v>
      </c>
      <c r="D3763" s="1">
        <v>43648</v>
      </c>
      <c r="E3763">
        <f>MONTH(D3763)</f>
        <v>7</v>
      </c>
      <c r="F3763" s="2" t="s">
        <v>19</v>
      </c>
      <c r="G3763" t="s">
        <v>362</v>
      </c>
      <c r="H3763" t="s">
        <v>447</v>
      </c>
      <c r="I3763" t="s">
        <v>22</v>
      </c>
      <c r="J3763" s="2" t="s">
        <v>42</v>
      </c>
      <c r="K3763" s="2" t="s">
        <v>3019</v>
      </c>
      <c r="L3763" t="s">
        <v>25</v>
      </c>
      <c r="M3763" s="8">
        <v>1.421</v>
      </c>
      <c r="N3763" t="s">
        <v>26</v>
      </c>
      <c r="O3763" s="8">
        <v>1.421</v>
      </c>
      <c r="P3763" s="8">
        <f>EXP(-1.363+3.366*LOG(O3763,10))</f>
        <v>0.42768500084673816</v>
      </c>
      <c r="Q3763" s="8">
        <f>(3738946*100)/3915493</f>
        <v>95.491065875995687</v>
      </c>
    </row>
    <row r="3764" spans="1:17" x14ac:dyDescent="0.2">
      <c r="A3764">
        <f>YEAR(D3764)</f>
        <v>2019</v>
      </c>
      <c r="B3764" t="s">
        <v>26</v>
      </c>
      <c r="C3764" s="2" t="s">
        <v>1552</v>
      </c>
      <c r="D3764" s="1">
        <v>43648</v>
      </c>
      <c r="E3764">
        <f>MONTH(D3764)</f>
        <v>7</v>
      </c>
      <c r="F3764" s="2" t="s">
        <v>19</v>
      </c>
      <c r="G3764" t="s">
        <v>362</v>
      </c>
      <c r="H3764" t="s">
        <v>447</v>
      </c>
      <c r="I3764" t="s">
        <v>22</v>
      </c>
      <c r="J3764" s="2" t="s">
        <v>42</v>
      </c>
      <c r="K3764" s="2" t="s">
        <v>3019</v>
      </c>
      <c r="L3764" t="s">
        <v>25</v>
      </c>
      <c r="M3764" s="8">
        <v>1.421</v>
      </c>
      <c r="N3764" t="s">
        <v>26</v>
      </c>
      <c r="O3764" s="8">
        <v>1.421</v>
      </c>
      <c r="P3764" s="8">
        <f>EXP(-1.363+3.366*LOG(O3764,10))</f>
        <v>0.42768500084673816</v>
      </c>
      <c r="Q3764" s="8">
        <f>(3738946*100)/3915493</f>
        <v>95.491065875995687</v>
      </c>
    </row>
    <row r="3765" spans="1:17" x14ac:dyDescent="0.2">
      <c r="A3765">
        <f>YEAR(D3765)</f>
        <v>2019</v>
      </c>
      <c r="B3765" t="s">
        <v>26</v>
      </c>
      <c r="C3765" s="2" t="s">
        <v>1552</v>
      </c>
      <c r="D3765" s="1">
        <v>43648</v>
      </c>
      <c r="E3765">
        <f>MONTH(D3765)</f>
        <v>7</v>
      </c>
      <c r="F3765" s="2" t="s">
        <v>19</v>
      </c>
      <c r="G3765" t="s">
        <v>352</v>
      </c>
      <c r="H3765" t="s">
        <v>975</v>
      </c>
      <c r="I3765" t="s">
        <v>36</v>
      </c>
      <c r="J3765" s="2" t="s">
        <v>42</v>
      </c>
      <c r="K3765" s="2" t="s">
        <v>3019</v>
      </c>
      <c r="L3765" t="s">
        <v>25</v>
      </c>
      <c r="M3765" s="8">
        <v>0.95199999999999996</v>
      </c>
      <c r="N3765" t="s">
        <v>26</v>
      </c>
      <c r="O3765" s="8">
        <v>0.95199999999999996</v>
      </c>
      <c r="P3765" s="8">
        <f>EXP(-1.363+3.366*LOG(O3765,10))</f>
        <v>0.23813726407794436</v>
      </c>
      <c r="Q3765" s="8">
        <f>(3738946*100)/3915493</f>
        <v>95.491065875995687</v>
      </c>
    </row>
    <row r="3766" spans="1:17" x14ac:dyDescent="0.2">
      <c r="A3766">
        <f>YEAR(D3766)</f>
        <v>2019</v>
      </c>
      <c r="B3766" t="s">
        <v>26</v>
      </c>
      <c r="C3766" s="2" t="s">
        <v>1552</v>
      </c>
      <c r="D3766" s="1">
        <v>43648</v>
      </c>
      <c r="E3766">
        <f>MONTH(D3766)</f>
        <v>7</v>
      </c>
      <c r="F3766" s="2" t="s">
        <v>19</v>
      </c>
      <c r="G3766" t="s">
        <v>362</v>
      </c>
      <c r="H3766" t="s">
        <v>447</v>
      </c>
      <c r="I3766" t="s">
        <v>22</v>
      </c>
      <c r="J3766" s="2" t="s">
        <v>42</v>
      </c>
      <c r="K3766" s="2" t="s">
        <v>3019</v>
      </c>
      <c r="L3766" t="s">
        <v>25</v>
      </c>
      <c r="M3766" s="8">
        <v>1.421</v>
      </c>
      <c r="N3766" t="s">
        <v>26</v>
      </c>
      <c r="O3766" s="8">
        <v>1.421</v>
      </c>
      <c r="P3766" s="8">
        <f>EXP(-1.363+3.366*LOG(O3766,10))</f>
        <v>0.42768500084673816</v>
      </c>
      <c r="Q3766" s="8">
        <f>(3738946*100)/3915493</f>
        <v>95.491065875995687</v>
      </c>
    </row>
    <row r="3767" spans="1:17" x14ac:dyDescent="0.2">
      <c r="A3767">
        <f>YEAR(D3767)</f>
        <v>2019</v>
      </c>
      <c r="B3767" t="s">
        <v>26</v>
      </c>
      <c r="C3767" s="2" t="s">
        <v>1552</v>
      </c>
      <c r="D3767" s="1">
        <v>43648</v>
      </c>
      <c r="E3767">
        <f>MONTH(D3767)</f>
        <v>7</v>
      </c>
      <c r="F3767" s="2" t="s">
        <v>19</v>
      </c>
      <c r="G3767" t="s">
        <v>352</v>
      </c>
      <c r="H3767" t="s">
        <v>975</v>
      </c>
      <c r="I3767" t="s">
        <v>22</v>
      </c>
      <c r="J3767" s="2" t="s">
        <v>42</v>
      </c>
      <c r="K3767" s="2" t="s">
        <v>3019</v>
      </c>
      <c r="L3767" t="s">
        <v>25</v>
      </c>
      <c r="M3767" s="8">
        <v>1.0693333330000001</v>
      </c>
      <c r="N3767" t="s">
        <v>26</v>
      </c>
      <c r="O3767" s="8">
        <v>1.0693333330000001</v>
      </c>
      <c r="P3767" s="8">
        <f>EXP(-1.363+3.366*LOG(O3767,10))</f>
        <v>0.28223780327142356</v>
      </c>
      <c r="Q3767" s="8">
        <f>(3738946*100)/3915493</f>
        <v>95.491065875995687</v>
      </c>
    </row>
    <row r="3768" spans="1:17" x14ac:dyDescent="0.2">
      <c r="A3768">
        <f>YEAR(D3768)</f>
        <v>2019</v>
      </c>
      <c r="B3768" t="s">
        <v>26</v>
      </c>
      <c r="C3768" s="2" t="s">
        <v>3020</v>
      </c>
      <c r="D3768" s="1">
        <v>43656</v>
      </c>
      <c r="E3768">
        <f>MONTH(D3768)</f>
        <v>7</v>
      </c>
      <c r="F3768" s="2" t="s">
        <v>19</v>
      </c>
      <c r="G3768" t="s">
        <v>362</v>
      </c>
      <c r="H3768" t="s">
        <v>447</v>
      </c>
      <c r="I3768" t="s">
        <v>36</v>
      </c>
      <c r="J3768" s="2" t="s">
        <v>42</v>
      </c>
      <c r="K3768" s="2" t="s">
        <v>3019</v>
      </c>
      <c r="L3768" t="s">
        <v>25</v>
      </c>
      <c r="M3768" s="8">
        <v>1.0956666669999999</v>
      </c>
      <c r="N3768" t="s">
        <v>26</v>
      </c>
      <c r="O3768" s="8">
        <v>1.0956666669999999</v>
      </c>
      <c r="P3768" s="8">
        <f>EXP(-1.363+3.366*LOG(O3768,10))</f>
        <v>0.29245562330904107</v>
      </c>
      <c r="Q3768" s="8">
        <f>(3359412*100)/3462762</f>
        <v>97.015388294084318</v>
      </c>
    </row>
    <row r="3769" spans="1:17" x14ac:dyDescent="0.2">
      <c r="A3769">
        <f>YEAR(D3769)</f>
        <v>2019</v>
      </c>
      <c r="B3769" t="s">
        <v>26</v>
      </c>
      <c r="C3769" s="2" t="s">
        <v>3020</v>
      </c>
      <c r="D3769" s="1">
        <v>43656</v>
      </c>
      <c r="E3769">
        <f>MONTH(D3769)</f>
        <v>7</v>
      </c>
      <c r="F3769" s="2" t="s">
        <v>19</v>
      </c>
      <c r="G3769" t="s">
        <v>1520</v>
      </c>
      <c r="H3769" t="s">
        <v>1925</v>
      </c>
      <c r="I3769" t="s">
        <v>22</v>
      </c>
      <c r="J3769" s="2" t="s">
        <v>42</v>
      </c>
      <c r="K3769" s="2" t="s">
        <v>3019</v>
      </c>
      <c r="L3769" t="s">
        <v>25</v>
      </c>
      <c r="M3769" s="8">
        <v>2.3010000000000002</v>
      </c>
      <c r="N3769" t="s">
        <v>26</v>
      </c>
      <c r="O3769" s="8">
        <v>2.3010000000000002</v>
      </c>
      <c r="P3769" s="8">
        <f>EXP(-1.363+3.366*LOG(O3769,10))</f>
        <v>0.86520512489057888</v>
      </c>
      <c r="Q3769" s="8">
        <f>(3359412*100)/3462762</f>
        <v>97.015388294084318</v>
      </c>
    </row>
    <row r="3770" spans="1:17" x14ac:dyDescent="0.2">
      <c r="A3770">
        <f>YEAR(D3770)</f>
        <v>2019</v>
      </c>
      <c r="B3770" t="s">
        <v>26</v>
      </c>
      <c r="C3770" s="2" t="s">
        <v>3020</v>
      </c>
      <c r="D3770" s="1">
        <v>43656</v>
      </c>
      <c r="E3770">
        <f>MONTH(D3770)</f>
        <v>7</v>
      </c>
      <c r="F3770" s="2" t="s">
        <v>19</v>
      </c>
      <c r="G3770" t="s">
        <v>352</v>
      </c>
      <c r="H3770" t="s">
        <v>1142</v>
      </c>
      <c r="I3770" t="s">
        <v>22</v>
      </c>
      <c r="J3770" s="2" t="s">
        <v>42</v>
      </c>
      <c r="K3770" s="2" t="s">
        <v>3019</v>
      </c>
      <c r="L3770" t="s">
        <v>25</v>
      </c>
      <c r="M3770" s="8">
        <v>1.1423333330000001</v>
      </c>
      <c r="N3770" t="s">
        <v>26</v>
      </c>
      <c r="O3770" s="8">
        <v>1.1423333330000001</v>
      </c>
      <c r="P3770" s="8">
        <f>EXP(-1.363+3.366*LOG(O3770,10))</f>
        <v>0.31084239358261528</v>
      </c>
      <c r="Q3770" s="8">
        <f>(3359412*100)/3462762</f>
        <v>97.015388294084318</v>
      </c>
    </row>
    <row r="3771" spans="1:17" x14ac:dyDescent="0.2">
      <c r="A3771">
        <f>YEAR(D3771)</f>
        <v>2019</v>
      </c>
      <c r="B3771" t="s">
        <v>26</v>
      </c>
      <c r="C3771" s="2" t="s">
        <v>3020</v>
      </c>
      <c r="D3771" s="1">
        <v>43656</v>
      </c>
      <c r="E3771">
        <f>MONTH(D3771)</f>
        <v>7</v>
      </c>
      <c r="F3771" s="2" t="s">
        <v>19</v>
      </c>
      <c r="G3771" t="s">
        <v>219</v>
      </c>
      <c r="H3771" t="s">
        <v>220</v>
      </c>
      <c r="I3771" t="s">
        <v>22</v>
      </c>
      <c r="J3771" s="2" t="s">
        <v>42</v>
      </c>
      <c r="K3771" s="2" t="s">
        <v>3019</v>
      </c>
      <c r="L3771" t="s">
        <v>25</v>
      </c>
      <c r="M3771" s="10" t="s">
        <v>26</v>
      </c>
      <c r="N3771" t="s">
        <v>26</v>
      </c>
      <c r="O3771" s="10" t="s">
        <v>26</v>
      </c>
      <c r="P3771" s="8" t="s">
        <v>26</v>
      </c>
      <c r="Q3771" s="8">
        <f>(3359412*100)/3462762</f>
        <v>97.015388294084318</v>
      </c>
    </row>
    <row r="3772" spans="1:17" x14ac:dyDescent="0.2">
      <c r="A3772">
        <f>YEAR(D3772)</f>
        <v>2019</v>
      </c>
      <c r="B3772" t="s">
        <v>26</v>
      </c>
      <c r="C3772" s="2" t="s">
        <v>3020</v>
      </c>
      <c r="D3772" s="1">
        <v>43656</v>
      </c>
      <c r="E3772">
        <f>MONTH(D3772)</f>
        <v>7</v>
      </c>
      <c r="F3772" s="2" t="s">
        <v>19</v>
      </c>
      <c r="G3772" t="s">
        <v>352</v>
      </c>
      <c r="H3772" t="s">
        <v>975</v>
      </c>
      <c r="I3772" t="s">
        <v>22</v>
      </c>
      <c r="J3772" s="2" t="s">
        <v>42</v>
      </c>
      <c r="K3772" s="2" t="s">
        <v>3019</v>
      </c>
      <c r="L3772" t="s">
        <v>25</v>
      </c>
      <c r="M3772" s="8">
        <v>1.0693333330000001</v>
      </c>
      <c r="N3772" t="s">
        <v>26</v>
      </c>
      <c r="O3772" s="8">
        <v>1.0693333330000001</v>
      </c>
      <c r="P3772" s="8">
        <f>EXP(-1.363+3.366*LOG(O3772,10))</f>
        <v>0.28223780327142356</v>
      </c>
      <c r="Q3772" s="8">
        <f>(3359412*100)/3462762</f>
        <v>97.015388294084318</v>
      </c>
    </row>
    <row r="3773" spans="1:17" x14ac:dyDescent="0.2">
      <c r="A3773">
        <f>YEAR(D3773)</f>
        <v>2019</v>
      </c>
      <c r="B3773" t="s">
        <v>26</v>
      </c>
      <c r="C3773" s="2" t="s">
        <v>3020</v>
      </c>
      <c r="D3773" s="1">
        <v>43656</v>
      </c>
      <c r="E3773">
        <f>MONTH(D3773)</f>
        <v>7</v>
      </c>
      <c r="F3773" s="2" t="s">
        <v>19</v>
      </c>
      <c r="G3773" t="s">
        <v>352</v>
      </c>
      <c r="H3773" t="s">
        <v>975</v>
      </c>
      <c r="I3773" t="s">
        <v>22</v>
      </c>
      <c r="J3773" s="2" t="s">
        <v>42</v>
      </c>
      <c r="K3773" s="2" t="s">
        <v>3019</v>
      </c>
      <c r="L3773" t="s">
        <v>25</v>
      </c>
      <c r="M3773" s="8">
        <v>1.0693333330000001</v>
      </c>
      <c r="N3773" t="s">
        <v>26</v>
      </c>
      <c r="O3773" s="8">
        <v>1.0693333330000001</v>
      </c>
      <c r="P3773" s="8">
        <f>EXP(-1.363+3.366*LOG(O3773,10))</f>
        <v>0.28223780327142356</v>
      </c>
      <c r="Q3773" s="8">
        <f>(3359412*100)/3462762</f>
        <v>97.015388294084318</v>
      </c>
    </row>
    <row r="3774" spans="1:17" x14ac:dyDescent="0.2">
      <c r="A3774">
        <f>YEAR(D3774)</f>
        <v>2019</v>
      </c>
      <c r="B3774" t="s">
        <v>26</v>
      </c>
      <c r="C3774" s="2" t="s">
        <v>3021</v>
      </c>
      <c r="D3774" s="1">
        <v>43656</v>
      </c>
      <c r="E3774">
        <f>MONTH(D3774)</f>
        <v>7</v>
      </c>
      <c r="F3774" s="2" t="s">
        <v>19</v>
      </c>
      <c r="G3774" t="s">
        <v>352</v>
      </c>
      <c r="H3774" t="s">
        <v>975</v>
      </c>
      <c r="I3774" t="s">
        <v>22</v>
      </c>
      <c r="J3774" s="2" t="s">
        <v>42</v>
      </c>
      <c r="K3774" s="2" t="s">
        <v>3019</v>
      </c>
      <c r="L3774" t="s">
        <v>25</v>
      </c>
      <c r="M3774" s="8">
        <v>1.0693333330000001</v>
      </c>
      <c r="N3774" t="s">
        <v>26</v>
      </c>
      <c r="O3774" s="8">
        <v>1.0693333330000001</v>
      </c>
      <c r="P3774" s="8">
        <f>EXP(-1.363+3.366*LOG(O3774,10))</f>
        <v>0.28223780327142356</v>
      </c>
      <c r="Q3774" s="8">
        <f>(1845879*100)/1946364</f>
        <v>94.837296620775973</v>
      </c>
    </row>
    <row r="3775" spans="1:17" x14ac:dyDescent="0.2">
      <c r="A3775">
        <f>YEAR(D3775)</f>
        <v>2019</v>
      </c>
      <c r="B3775" t="s">
        <v>26</v>
      </c>
      <c r="C3775" s="2" t="s">
        <v>3021</v>
      </c>
      <c r="D3775" s="1">
        <v>43656</v>
      </c>
      <c r="E3775">
        <f>MONTH(D3775)</f>
        <v>7</v>
      </c>
      <c r="F3775" s="2" t="s">
        <v>19</v>
      </c>
      <c r="G3775" t="s">
        <v>352</v>
      </c>
      <c r="H3775" t="s">
        <v>975</v>
      </c>
      <c r="I3775" t="s">
        <v>22</v>
      </c>
      <c r="J3775" s="2" t="s">
        <v>42</v>
      </c>
      <c r="K3775" s="2" t="s">
        <v>3019</v>
      </c>
      <c r="L3775" t="s">
        <v>25</v>
      </c>
      <c r="M3775" s="8">
        <v>1.0693333330000001</v>
      </c>
      <c r="N3775" t="s">
        <v>26</v>
      </c>
      <c r="O3775" s="8">
        <v>1.0693333330000001</v>
      </c>
      <c r="P3775" s="8">
        <f>EXP(-1.363+3.366*LOG(O3775,10))</f>
        <v>0.28223780327142356</v>
      </c>
      <c r="Q3775" s="8">
        <f>(1845879*100)/1946364</f>
        <v>94.837296620775973</v>
      </c>
    </row>
    <row r="3776" spans="1:17" x14ac:dyDescent="0.2">
      <c r="A3776">
        <f>YEAR(D3776)</f>
        <v>2019</v>
      </c>
      <c r="B3776" t="s">
        <v>26</v>
      </c>
      <c r="C3776" s="2" t="s">
        <v>3024</v>
      </c>
      <c r="D3776" s="1">
        <v>43678</v>
      </c>
      <c r="E3776">
        <f>MONTH(D3776)</f>
        <v>8</v>
      </c>
      <c r="F3776" s="2" t="s">
        <v>2098</v>
      </c>
      <c r="G3776" t="s">
        <v>219</v>
      </c>
      <c r="H3776" t="s">
        <v>220</v>
      </c>
      <c r="I3776" t="s">
        <v>22</v>
      </c>
      <c r="J3776" s="2" t="s">
        <v>42</v>
      </c>
      <c r="K3776" s="2" t="s">
        <v>3019</v>
      </c>
      <c r="L3776" t="s">
        <v>25</v>
      </c>
      <c r="M3776" s="10" t="s">
        <v>26</v>
      </c>
      <c r="N3776" t="s">
        <v>26</v>
      </c>
      <c r="O3776" s="10" t="s">
        <v>26</v>
      </c>
      <c r="P3776" s="8" t="s">
        <v>26</v>
      </c>
      <c r="Q3776" s="8">
        <f>(2412691*100)/2623642</f>
        <v>91.959611867777696</v>
      </c>
    </row>
    <row r="3777" spans="1:17" x14ac:dyDescent="0.2">
      <c r="A3777">
        <f>YEAR(D3777)</f>
        <v>2019</v>
      </c>
      <c r="B3777" t="s">
        <v>26</v>
      </c>
      <c r="C3777" s="2" t="s">
        <v>3024</v>
      </c>
      <c r="D3777" s="1">
        <v>43678</v>
      </c>
      <c r="E3777">
        <f>MONTH(D3777)</f>
        <v>8</v>
      </c>
      <c r="F3777" s="2" t="s">
        <v>2098</v>
      </c>
      <c r="G3777" t="s">
        <v>219</v>
      </c>
      <c r="H3777" t="s">
        <v>220</v>
      </c>
      <c r="I3777" t="s">
        <v>22</v>
      </c>
      <c r="J3777" s="2" t="s">
        <v>42</v>
      </c>
      <c r="K3777" s="2" t="s">
        <v>3019</v>
      </c>
      <c r="L3777" t="s">
        <v>25</v>
      </c>
      <c r="M3777" s="10" t="s">
        <v>26</v>
      </c>
      <c r="N3777" t="s">
        <v>26</v>
      </c>
      <c r="O3777" s="10" t="s">
        <v>26</v>
      </c>
      <c r="P3777" s="8" t="s">
        <v>26</v>
      </c>
      <c r="Q3777" s="8">
        <f>(2412691*100)/2623642</f>
        <v>91.959611867777696</v>
      </c>
    </row>
    <row r="3778" spans="1:17" x14ac:dyDescent="0.2">
      <c r="A3778">
        <f>YEAR(D3778)</f>
        <v>2019</v>
      </c>
      <c r="B3778" t="s">
        <v>26</v>
      </c>
      <c r="C3778" s="2" t="s">
        <v>3024</v>
      </c>
      <c r="D3778" s="1">
        <v>43678</v>
      </c>
      <c r="E3778">
        <f>MONTH(D3778)</f>
        <v>8</v>
      </c>
      <c r="F3778" s="2" t="s">
        <v>2098</v>
      </c>
      <c r="G3778" t="s">
        <v>219</v>
      </c>
      <c r="H3778" t="s">
        <v>220</v>
      </c>
      <c r="I3778" t="s">
        <v>22</v>
      </c>
      <c r="J3778" s="2" t="s">
        <v>42</v>
      </c>
      <c r="K3778" s="2" t="s">
        <v>3019</v>
      </c>
      <c r="L3778" t="s">
        <v>25</v>
      </c>
      <c r="M3778" s="10" t="s">
        <v>26</v>
      </c>
      <c r="N3778" t="s">
        <v>26</v>
      </c>
      <c r="O3778" s="10" t="s">
        <v>26</v>
      </c>
      <c r="P3778" s="8" t="s">
        <v>26</v>
      </c>
      <c r="Q3778" s="8">
        <f>(2412691*100)/2623642</f>
        <v>91.959611867777696</v>
      </c>
    </row>
    <row r="3779" spans="1:17" x14ac:dyDescent="0.2">
      <c r="A3779">
        <f>YEAR(D3779)</f>
        <v>2019</v>
      </c>
      <c r="B3779" t="s">
        <v>26</v>
      </c>
      <c r="C3779" s="2" t="s">
        <v>3024</v>
      </c>
      <c r="D3779" s="1">
        <v>43678</v>
      </c>
      <c r="E3779">
        <f>MONTH(D3779)</f>
        <v>8</v>
      </c>
      <c r="F3779" s="2" t="s">
        <v>2098</v>
      </c>
      <c r="G3779" t="s">
        <v>219</v>
      </c>
      <c r="H3779" t="s">
        <v>220</v>
      </c>
      <c r="I3779" t="s">
        <v>22</v>
      </c>
      <c r="J3779" s="2" t="s">
        <v>42</v>
      </c>
      <c r="K3779" s="2" t="s">
        <v>3019</v>
      </c>
      <c r="L3779" t="s">
        <v>25</v>
      </c>
      <c r="M3779" s="10" t="s">
        <v>26</v>
      </c>
      <c r="N3779" t="s">
        <v>26</v>
      </c>
      <c r="O3779" s="10" t="s">
        <v>26</v>
      </c>
      <c r="P3779" s="8" t="s">
        <v>26</v>
      </c>
      <c r="Q3779" s="8">
        <f>(2412691*100)/2623642</f>
        <v>91.959611867777696</v>
      </c>
    </row>
    <row r="3780" spans="1:17" x14ac:dyDescent="0.2">
      <c r="A3780">
        <f>YEAR(D3780)</f>
        <v>2019</v>
      </c>
      <c r="B3780" t="s">
        <v>26</v>
      </c>
      <c r="C3780" s="2" t="s">
        <v>3024</v>
      </c>
      <c r="D3780" s="1">
        <v>43678</v>
      </c>
      <c r="E3780">
        <f>MONTH(D3780)</f>
        <v>8</v>
      </c>
      <c r="F3780" s="2" t="s">
        <v>2098</v>
      </c>
      <c r="G3780" t="s">
        <v>219</v>
      </c>
      <c r="H3780" t="s">
        <v>220</v>
      </c>
      <c r="I3780" t="s">
        <v>22</v>
      </c>
      <c r="J3780" s="2" t="s">
        <v>42</v>
      </c>
      <c r="K3780" s="2" t="s">
        <v>3019</v>
      </c>
      <c r="L3780" t="s">
        <v>25</v>
      </c>
      <c r="M3780" s="10" t="s">
        <v>26</v>
      </c>
      <c r="N3780" t="s">
        <v>26</v>
      </c>
      <c r="O3780" s="10" t="s">
        <v>26</v>
      </c>
      <c r="P3780" s="8" t="s">
        <v>26</v>
      </c>
      <c r="Q3780" s="8">
        <f>(2412691*100)/2623642</f>
        <v>91.959611867777696</v>
      </c>
    </row>
    <row r="3781" spans="1:17" x14ac:dyDescent="0.2">
      <c r="A3781">
        <f>YEAR(D3781)</f>
        <v>2019</v>
      </c>
      <c r="B3781" t="s">
        <v>26</v>
      </c>
      <c r="C3781" s="2" t="s">
        <v>3024</v>
      </c>
      <c r="D3781" s="1">
        <v>43678</v>
      </c>
      <c r="E3781">
        <f>MONTH(D3781)</f>
        <v>8</v>
      </c>
      <c r="F3781" s="2" t="s">
        <v>2098</v>
      </c>
      <c r="G3781" t="s">
        <v>219</v>
      </c>
      <c r="H3781" t="s">
        <v>220</v>
      </c>
      <c r="I3781" t="s">
        <v>22</v>
      </c>
      <c r="J3781" s="2" t="s">
        <v>42</v>
      </c>
      <c r="K3781" s="2" t="s">
        <v>3019</v>
      </c>
      <c r="L3781" t="s">
        <v>25</v>
      </c>
      <c r="M3781" s="10" t="s">
        <v>26</v>
      </c>
      <c r="N3781" t="s">
        <v>26</v>
      </c>
      <c r="O3781" s="10" t="s">
        <v>26</v>
      </c>
      <c r="P3781" s="8" t="s">
        <v>26</v>
      </c>
      <c r="Q3781" s="8">
        <f>(2412691*100)/2623642</f>
        <v>91.959611867777696</v>
      </c>
    </row>
    <row r="3782" spans="1:17" x14ac:dyDescent="0.2">
      <c r="A3782">
        <f>YEAR(D3782)</f>
        <v>2019</v>
      </c>
      <c r="B3782" t="s">
        <v>26</v>
      </c>
      <c r="C3782" s="2" t="s">
        <v>50</v>
      </c>
      <c r="D3782" s="1">
        <v>43678</v>
      </c>
      <c r="E3782">
        <f>MONTH(D3782)</f>
        <v>8</v>
      </c>
      <c r="F3782" s="2" t="s">
        <v>2098</v>
      </c>
      <c r="G3782" t="s">
        <v>318</v>
      </c>
      <c r="H3782" t="s">
        <v>319</v>
      </c>
      <c r="I3782" t="s">
        <v>22</v>
      </c>
      <c r="J3782" s="2" t="s">
        <v>42</v>
      </c>
      <c r="K3782" s="2" t="s">
        <v>3019</v>
      </c>
      <c r="L3782" t="s">
        <v>25</v>
      </c>
      <c r="M3782" s="8">
        <v>5.71</v>
      </c>
      <c r="N3782" t="s">
        <v>26</v>
      </c>
      <c r="O3782" s="8">
        <v>5.71</v>
      </c>
      <c r="P3782" s="8">
        <f>EXP(-1.363+3.366*LOG(O3782,10))</f>
        <v>3.2668856822755741</v>
      </c>
      <c r="Q3782" s="8">
        <f>(4488342*100)/4914798</f>
        <v>91.323020803703429</v>
      </c>
    </row>
    <row r="3783" spans="1:17" x14ac:dyDescent="0.2">
      <c r="A3783">
        <f>YEAR(D3783)</f>
        <v>2019</v>
      </c>
      <c r="B3783" t="s">
        <v>26</v>
      </c>
      <c r="C3783" s="2" t="s">
        <v>50</v>
      </c>
      <c r="D3783" s="1">
        <v>43678</v>
      </c>
      <c r="E3783">
        <f>MONTH(D3783)</f>
        <v>8</v>
      </c>
      <c r="F3783" s="2" t="s">
        <v>2098</v>
      </c>
      <c r="G3783" t="s">
        <v>318</v>
      </c>
      <c r="H3783" t="s">
        <v>319</v>
      </c>
      <c r="I3783" t="s">
        <v>22</v>
      </c>
      <c r="J3783" s="2" t="s">
        <v>42</v>
      </c>
      <c r="K3783" s="2" t="s">
        <v>3019</v>
      </c>
      <c r="L3783" t="s">
        <v>25</v>
      </c>
      <c r="M3783" s="8">
        <v>5.71</v>
      </c>
      <c r="N3783" t="s">
        <v>26</v>
      </c>
      <c r="O3783" s="8">
        <v>5.71</v>
      </c>
      <c r="P3783" s="8">
        <f>EXP(-1.363+3.366*LOG(O3783,10))</f>
        <v>3.2668856822755741</v>
      </c>
      <c r="Q3783" s="8">
        <f>(4488342*100)/4914798</f>
        <v>91.323020803703429</v>
      </c>
    </row>
    <row r="3784" spans="1:17" x14ac:dyDescent="0.2">
      <c r="A3784">
        <f>YEAR(D3784)</f>
        <v>2019</v>
      </c>
      <c r="B3784" t="s">
        <v>26</v>
      </c>
      <c r="C3784" s="2" t="s">
        <v>50</v>
      </c>
      <c r="D3784" s="1">
        <v>43678</v>
      </c>
      <c r="E3784">
        <f>MONTH(D3784)</f>
        <v>8</v>
      </c>
      <c r="F3784" s="2" t="s">
        <v>2098</v>
      </c>
      <c r="G3784" t="s">
        <v>219</v>
      </c>
      <c r="H3784" t="s">
        <v>220</v>
      </c>
      <c r="I3784" t="s">
        <v>22</v>
      </c>
      <c r="J3784" s="2" t="s">
        <v>42</v>
      </c>
      <c r="K3784" s="2" t="s">
        <v>3019</v>
      </c>
      <c r="L3784" t="s">
        <v>25</v>
      </c>
      <c r="M3784" s="10" t="s">
        <v>26</v>
      </c>
      <c r="N3784" t="s">
        <v>26</v>
      </c>
      <c r="O3784" s="10" t="s">
        <v>26</v>
      </c>
      <c r="P3784" s="8" t="s">
        <v>26</v>
      </c>
      <c r="Q3784" s="8">
        <f>(4488342*100)/4914798</f>
        <v>91.323020803703429</v>
      </c>
    </row>
    <row r="3785" spans="1:17" x14ac:dyDescent="0.2">
      <c r="A3785">
        <f>YEAR(D3785)</f>
        <v>2019</v>
      </c>
      <c r="B3785" t="s">
        <v>26</v>
      </c>
      <c r="C3785" s="2" t="s">
        <v>50</v>
      </c>
      <c r="D3785" s="1">
        <v>43678</v>
      </c>
      <c r="E3785">
        <f>MONTH(D3785)</f>
        <v>8</v>
      </c>
      <c r="F3785" s="2" t="s">
        <v>2098</v>
      </c>
      <c r="G3785" t="s">
        <v>219</v>
      </c>
      <c r="H3785" t="s">
        <v>220</v>
      </c>
      <c r="I3785" t="s">
        <v>22</v>
      </c>
      <c r="J3785" s="2" t="s">
        <v>42</v>
      </c>
      <c r="K3785" s="2" t="s">
        <v>3019</v>
      </c>
      <c r="L3785" t="s">
        <v>25</v>
      </c>
      <c r="M3785" s="10" t="s">
        <v>26</v>
      </c>
      <c r="N3785" t="s">
        <v>26</v>
      </c>
      <c r="O3785" s="10" t="s">
        <v>26</v>
      </c>
      <c r="P3785" s="8" t="s">
        <v>26</v>
      </c>
      <c r="Q3785" s="8">
        <f>(4488342*100)/4914798</f>
        <v>91.323020803703429</v>
      </c>
    </row>
    <row r="3786" spans="1:17" x14ac:dyDescent="0.2">
      <c r="A3786">
        <f>YEAR(D3786)</f>
        <v>2019</v>
      </c>
      <c r="B3786" t="s">
        <v>26</v>
      </c>
      <c r="C3786" s="2" t="s">
        <v>50</v>
      </c>
      <c r="D3786" s="1">
        <v>43678</v>
      </c>
      <c r="E3786">
        <f>MONTH(D3786)</f>
        <v>8</v>
      </c>
      <c r="F3786" s="2" t="s">
        <v>2098</v>
      </c>
      <c r="G3786" t="s">
        <v>219</v>
      </c>
      <c r="H3786" t="s">
        <v>220</v>
      </c>
      <c r="I3786" t="s">
        <v>22</v>
      </c>
      <c r="J3786" s="2" t="s">
        <v>42</v>
      </c>
      <c r="K3786" s="2" t="s">
        <v>3019</v>
      </c>
      <c r="L3786" t="s">
        <v>25</v>
      </c>
      <c r="M3786" s="10" t="s">
        <v>26</v>
      </c>
      <c r="N3786" t="s">
        <v>26</v>
      </c>
      <c r="O3786" s="10" t="s">
        <v>26</v>
      </c>
      <c r="P3786" s="8" t="s">
        <v>26</v>
      </c>
      <c r="Q3786" s="8">
        <f>(4488342*100)/4914798</f>
        <v>91.323020803703429</v>
      </c>
    </row>
    <row r="3787" spans="1:17" x14ac:dyDescent="0.2">
      <c r="A3787">
        <f>YEAR(D3787)</f>
        <v>2019</v>
      </c>
      <c r="B3787" t="s">
        <v>26</v>
      </c>
      <c r="C3787" s="2" t="s">
        <v>50</v>
      </c>
      <c r="D3787" s="1">
        <v>43678</v>
      </c>
      <c r="E3787">
        <f>MONTH(D3787)</f>
        <v>8</v>
      </c>
      <c r="F3787" s="2" t="s">
        <v>2098</v>
      </c>
      <c r="G3787" t="s">
        <v>219</v>
      </c>
      <c r="H3787" t="s">
        <v>220</v>
      </c>
      <c r="I3787" t="s">
        <v>22</v>
      </c>
      <c r="J3787" s="2" t="s">
        <v>42</v>
      </c>
      <c r="K3787" s="2" t="s">
        <v>3019</v>
      </c>
      <c r="L3787" t="s">
        <v>25</v>
      </c>
      <c r="M3787" s="10" t="s">
        <v>26</v>
      </c>
      <c r="N3787" t="s">
        <v>26</v>
      </c>
      <c r="O3787" s="10" t="s">
        <v>26</v>
      </c>
      <c r="P3787" s="8" t="s">
        <v>26</v>
      </c>
      <c r="Q3787" s="8">
        <f>(4488342*100)/4914798</f>
        <v>91.323020803703429</v>
      </c>
    </row>
    <row r="3788" spans="1:17" x14ac:dyDescent="0.2">
      <c r="A3788">
        <f>YEAR(D3788)</f>
        <v>2019</v>
      </c>
      <c r="B3788" t="s">
        <v>26</v>
      </c>
      <c r="C3788" s="2" t="s">
        <v>50</v>
      </c>
      <c r="D3788" s="1">
        <v>43678</v>
      </c>
      <c r="E3788">
        <f>MONTH(D3788)</f>
        <v>8</v>
      </c>
      <c r="F3788" s="2" t="s">
        <v>2098</v>
      </c>
      <c r="G3788" t="s">
        <v>219</v>
      </c>
      <c r="H3788" t="s">
        <v>220</v>
      </c>
      <c r="I3788" t="s">
        <v>22</v>
      </c>
      <c r="J3788" s="2" t="s">
        <v>42</v>
      </c>
      <c r="K3788" s="2" t="s">
        <v>3019</v>
      </c>
      <c r="L3788" t="s">
        <v>25</v>
      </c>
      <c r="M3788" s="10" t="s">
        <v>26</v>
      </c>
      <c r="N3788" t="s">
        <v>26</v>
      </c>
      <c r="O3788" s="10" t="s">
        <v>26</v>
      </c>
      <c r="P3788" s="8" t="s">
        <v>26</v>
      </c>
      <c r="Q3788" s="8">
        <f>(4488342*100)/4914798</f>
        <v>91.323020803703429</v>
      </c>
    </row>
    <row r="3789" spans="1:17" x14ac:dyDescent="0.2">
      <c r="A3789">
        <f>YEAR(D3789)</f>
        <v>2019</v>
      </c>
      <c r="B3789" t="s">
        <v>26</v>
      </c>
      <c r="C3789" s="2" t="s">
        <v>50</v>
      </c>
      <c r="D3789" s="1">
        <v>43678</v>
      </c>
      <c r="E3789">
        <f>MONTH(D3789)</f>
        <v>8</v>
      </c>
      <c r="F3789" s="2" t="s">
        <v>2098</v>
      </c>
      <c r="G3789" t="s">
        <v>219</v>
      </c>
      <c r="H3789" t="s">
        <v>220</v>
      </c>
      <c r="I3789" t="s">
        <v>22</v>
      </c>
      <c r="J3789" s="2" t="s">
        <v>42</v>
      </c>
      <c r="K3789" s="2" t="s">
        <v>3019</v>
      </c>
      <c r="L3789" t="s">
        <v>25</v>
      </c>
      <c r="M3789" s="10" t="s">
        <v>26</v>
      </c>
      <c r="N3789" t="s">
        <v>26</v>
      </c>
      <c r="O3789" s="10" t="s">
        <v>26</v>
      </c>
      <c r="P3789" s="8" t="s">
        <v>26</v>
      </c>
      <c r="Q3789" s="8">
        <f>(4488342*100)/4914798</f>
        <v>91.323020803703429</v>
      </c>
    </row>
    <row r="3790" spans="1:17" x14ac:dyDescent="0.2">
      <c r="A3790">
        <f>YEAR(D3790)</f>
        <v>2019</v>
      </c>
      <c r="B3790" t="s">
        <v>26</v>
      </c>
      <c r="C3790" s="2" t="s">
        <v>50</v>
      </c>
      <c r="D3790" s="1">
        <v>43678</v>
      </c>
      <c r="E3790">
        <f>MONTH(D3790)</f>
        <v>8</v>
      </c>
      <c r="F3790" s="2" t="s">
        <v>2098</v>
      </c>
      <c r="G3790" t="s">
        <v>219</v>
      </c>
      <c r="H3790" t="s">
        <v>220</v>
      </c>
      <c r="I3790" t="s">
        <v>22</v>
      </c>
      <c r="J3790" s="2" t="s">
        <v>42</v>
      </c>
      <c r="K3790" s="2" t="s">
        <v>3019</v>
      </c>
      <c r="L3790" t="s">
        <v>25</v>
      </c>
      <c r="M3790" s="10" t="s">
        <v>26</v>
      </c>
      <c r="N3790" t="s">
        <v>26</v>
      </c>
      <c r="O3790" s="10" t="s">
        <v>26</v>
      </c>
      <c r="P3790" s="8" t="s">
        <v>26</v>
      </c>
      <c r="Q3790" s="8">
        <f>(4488342*100)/4914798</f>
        <v>91.323020803703429</v>
      </c>
    </row>
    <row r="3791" spans="1:17" x14ac:dyDescent="0.2">
      <c r="A3791">
        <f>YEAR(D3791)</f>
        <v>2019</v>
      </c>
      <c r="B3791" t="s">
        <v>26</v>
      </c>
      <c r="C3791" s="2" t="s">
        <v>50</v>
      </c>
      <c r="D3791" s="1">
        <v>43678</v>
      </c>
      <c r="E3791">
        <f>MONTH(D3791)</f>
        <v>8</v>
      </c>
      <c r="F3791" s="2" t="s">
        <v>2098</v>
      </c>
      <c r="G3791" t="s">
        <v>219</v>
      </c>
      <c r="H3791" t="s">
        <v>220</v>
      </c>
      <c r="I3791" t="s">
        <v>22</v>
      </c>
      <c r="J3791" s="2" t="s">
        <v>42</v>
      </c>
      <c r="K3791" s="2" t="s">
        <v>3019</v>
      </c>
      <c r="L3791" t="s">
        <v>25</v>
      </c>
      <c r="M3791" s="10" t="s">
        <v>26</v>
      </c>
      <c r="N3791" t="s">
        <v>26</v>
      </c>
      <c r="O3791" s="10" t="s">
        <v>26</v>
      </c>
      <c r="P3791" s="8" t="s">
        <v>26</v>
      </c>
      <c r="Q3791" s="8">
        <f>(4488342*100)/4914798</f>
        <v>91.323020803703429</v>
      </c>
    </row>
    <row r="3792" spans="1:17" x14ac:dyDescent="0.2">
      <c r="A3792">
        <f>YEAR(D3792)</f>
        <v>2019</v>
      </c>
      <c r="B3792" t="s">
        <v>26</v>
      </c>
      <c r="C3792" s="2" t="s">
        <v>50</v>
      </c>
      <c r="D3792" s="1">
        <v>43678</v>
      </c>
      <c r="E3792">
        <f>MONTH(D3792)</f>
        <v>8</v>
      </c>
      <c r="F3792" s="2" t="s">
        <v>2098</v>
      </c>
      <c r="G3792" t="s">
        <v>219</v>
      </c>
      <c r="H3792" t="s">
        <v>220</v>
      </c>
      <c r="I3792" t="s">
        <v>22</v>
      </c>
      <c r="J3792" s="2" t="s">
        <v>42</v>
      </c>
      <c r="K3792" s="2" t="s">
        <v>3019</v>
      </c>
      <c r="L3792" t="s">
        <v>25</v>
      </c>
      <c r="M3792" s="10" t="s">
        <v>26</v>
      </c>
      <c r="N3792" t="s">
        <v>26</v>
      </c>
      <c r="O3792" s="10" t="s">
        <v>26</v>
      </c>
      <c r="P3792" s="8" t="s">
        <v>26</v>
      </c>
      <c r="Q3792" s="8">
        <f>(4488342*100)/4914798</f>
        <v>91.323020803703429</v>
      </c>
    </row>
    <row r="3793" spans="1:17" x14ac:dyDescent="0.2">
      <c r="A3793">
        <f>YEAR(D3793)</f>
        <v>2019</v>
      </c>
      <c r="B3793" t="s">
        <v>26</v>
      </c>
      <c r="C3793" s="2" t="s">
        <v>50</v>
      </c>
      <c r="D3793" s="1">
        <v>43678</v>
      </c>
      <c r="E3793">
        <f>MONTH(D3793)</f>
        <v>8</v>
      </c>
      <c r="F3793" s="2" t="s">
        <v>2098</v>
      </c>
      <c r="G3793" t="s">
        <v>219</v>
      </c>
      <c r="H3793" t="s">
        <v>220</v>
      </c>
      <c r="I3793" t="s">
        <v>22</v>
      </c>
      <c r="J3793" s="2" t="s">
        <v>42</v>
      </c>
      <c r="K3793" s="2" t="s">
        <v>3019</v>
      </c>
      <c r="L3793" t="s">
        <v>25</v>
      </c>
      <c r="M3793" s="10" t="s">
        <v>26</v>
      </c>
      <c r="N3793" t="s">
        <v>26</v>
      </c>
      <c r="O3793" s="10" t="s">
        <v>26</v>
      </c>
      <c r="P3793" s="8" t="s">
        <v>26</v>
      </c>
      <c r="Q3793" s="8">
        <f>(4488342*100)/4914798</f>
        <v>91.323020803703429</v>
      </c>
    </row>
    <row r="3794" spans="1:17" x14ac:dyDescent="0.2">
      <c r="A3794">
        <f>YEAR(D3794)</f>
        <v>2019</v>
      </c>
      <c r="B3794" t="s">
        <v>26</v>
      </c>
      <c r="C3794" s="2" t="s">
        <v>50</v>
      </c>
      <c r="D3794" s="1">
        <v>43678</v>
      </c>
      <c r="E3794">
        <f>MONTH(D3794)</f>
        <v>8</v>
      </c>
      <c r="F3794" s="2" t="s">
        <v>2098</v>
      </c>
      <c r="G3794" t="s">
        <v>219</v>
      </c>
      <c r="H3794" t="s">
        <v>220</v>
      </c>
      <c r="I3794" t="s">
        <v>22</v>
      </c>
      <c r="J3794" s="2" t="s">
        <v>42</v>
      </c>
      <c r="K3794" s="2" t="s">
        <v>3019</v>
      </c>
      <c r="L3794" t="s">
        <v>25</v>
      </c>
      <c r="M3794" s="10" t="s">
        <v>26</v>
      </c>
      <c r="N3794" t="s">
        <v>26</v>
      </c>
      <c r="O3794" s="10" t="s">
        <v>26</v>
      </c>
      <c r="P3794" s="8" t="s">
        <v>26</v>
      </c>
      <c r="Q3794" s="8">
        <f>(4488342*100)/4914798</f>
        <v>91.323020803703429</v>
      </c>
    </row>
    <row r="3795" spans="1:17" x14ac:dyDescent="0.2">
      <c r="A3795">
        <f>YEAR(D3795)</f>
        <v>2019</v>
      </c>
      <c r="B3795" t="s">
        <v>26</v>
      </c>
      <c r="C3795" s="2" t="s">
        <v>50</v>
      </c>
      <c r="D3795" s="1">
        <v>43678</v>
      </c>
      <c r="E3795">
        <f>MONTH(D3795)</f>
        <v>8</v>
      </c>
      <c r="F3795" s="2" t="s">
        <v>2098</v>
      </c>
      <c r="G3795" t="s">
        <v>219</v>
      </c>
      <c r="H3795" t="s">
        <v>220</v>
      </c>
      <c r="I3795" t="s">
        <v>22</v>
      </c>
      <c r="J3795" s="2" t="s">
        <v>42</v>
      </c>
      <c r="K3795" s="2" t="s">
        <v>3019</v>
      </c>
      <c r="L3795" t="s">
        <v>25</v>
      </c>
      <c r="M3795" s="10" t="s">
        <v>26</v>
      </c>
      <c r="N3795" t="s">
        <v>26</v>
      </c>
      <c r="O3795" s="10" t="s">
        <v>26</v>
      </c>
      <c r="P3795" s="8" t="s">
        <v>26</v>
      </c>
      <c r="Q3795" s="8">
        <f>(4488342*100)/4914798</f>
        <v>91.323020803703429</v>
      </c>
    </row>
    <row r="3796" spans="1:17" x14ac:dyDescent="0.2">
      <c r="A3796">
        <f>YEAR(D3796)</f>
        <v>2019</v>
      </c>
      <c r="B3796" t="s">
        <v>26</v>
      </c>
      <c r="C3796" s="2" t="s">
        <v>50</v>
      </c>
      <c r="D3796" s="1">
        <v>43678</v>
      </c>
      <c r="E3796">
        <f>MONTH(D3796)</f>
        <v>8</v>
      </c>
      <c r="F3796" s="2" t="s">
        <v>2098</v>
      </c>
      <c r="G3796" t="s">
        <v>219</v>
      </c>
      <c r="H3796" t="s">
        <v>220</v>
      </c>
      <c r="I3796" t="s">
        <v>22</v>
      </c>
      <c r="J3796" s="2" t="s">
        <v>42</v>
      </c>
      <c r="K3796" s="2" t="s">
        <v>3019</v>
      </c>
      <c r="L3796" t="s">
        <v>25</v>
      </c>
      <c r="M3796" s="10" t="s">
        <v>26</v>
      </c>
      <c r="N3796" t="s">
        <v>26</v>
      </c>
      <c r="O3796" s="10" t="s">
        <v>26</v>
      </c>
      <c r="P3796" s="8" t="s">
        <v>26</v>
      </c>
      <c r="Q3796" s="8">
        <f>(4488342*100)/4914798</f>
        <v>91.323020803703429</v>
      </c>
    </row>
    <row r="3797" spans="1:17" x14ac:dyDescent="0.2">
      <c r="A3797">
        <f>YEAR(D3797)</f>
        <v>2019</v>
      </c>
      <c r="B3797" t="s">
        <v>26</v>
      </c>
      <c r="C3797" s="2" t="s">
        <v>50</v>
      </c>
      <c r="D3797" s="1">
        <v>43678</v>
      </c>
      <c r="E3797">
        <f>MONTH(D3797)</f>
        <v>8</v>
      </c>
      <c r="F3797" s="2" t="s">
        <v>2098</v>
      </c>
      <c r="G3797" t="s">
        <v>219</v>
      </c>
      <c r="H3797" t="s">
        <v>220</v>
      </c>
      <c r="I3797" t="s">
        <v>22</v>
      </c>
      <c r="J3797" s="2" t="s">
        <v>42</v>
      </c>
      <c r="K3797" s="2" t="s">
        <v>3019</v>
      </c>
      <c r="L3797" t="s">
        <v>25</v>
      </c>
      <c r="M3797" s="10" t="s">
        <v>26</v>
      </c>
      <c r="N3797" t="s">
        <v>26</v>
      </c>
      <c r="O3797" s="10" t="s">
        <v>26</v>
      </c>
      <c r="P3797" s="8" t="s">
        <v>26</v>
      </c>
      <c r="Q3797" s="8">
        <f>(4488342*100)/4914798</f>
        <v>91.323020803703429</v>
      </c>
    </row>
    <row r="3798" spans="1:17" x14ac:dyDescent="0.2">
      <c r="A3798">
        <f>YEAR(D3798)</f>
        <v>2019</v>
      </c>
      <c r="B3798" t="s">
        <v>26</v>
      </c>
      <c r="C3798" s="2" t="s">
        <v>50</v>
      </c>
      <c r="D3798" s="1">
        <v>43678</v>
      </c>
      <c r="E3798">
        <f>MONTH(D3798)</f>
        <v>8</v>
      </c>
      <c r="F3798" s="2" t="s">
        <v>2098</v>
      </c>
      <c r="G3798" t="s">
        <v>219</v>
      </c>
      <c r="H3798" t="s">
        <v>220</v>
      </c>
      <c r="I3798" t="s">
        <v>22</v>
      </c>
      <c r="J3798" s="2" t="s">
        <v>42</v>
      </c>
      <c r="K3798" s="2" t="s">
        <v>3019</v>
      </c>
      <c r="L3798" t="s">
        <v>25</v>
      </c>
      <c r="M3798" s="10" t="s">
        <v>26</v>
      </c>
      <c r="N3798" t="s">
        <v>26</v>
      </c>
      <c r="O3798" s="10" t="s">
        <v>26</v>
      </c>
      <c r="P3798" s="8" t="s">
        <v>26</v>
      </c>
      <c r="Q3798" s="8">
        <f>(4488342*100)/4914798</f>
        <v>91.323020803703429</v>
      </c>
    </row>
    <row r="3799" spans="1:17" x14ac:dyDescent="0.2">
      <c r="A3799">
        <f>YEAR(D3799)</f>
        <v>2019</v>
      </c>
      <c r="B3799" t="s">
        <v>26</v>
      </c>
      <c r="C3799" s="2" t="s">
        <v>50</v>
      </c>
      <c r="D3799" s="1">
        <v>43678</v>
      </c>
      <c r="E3799">
        <f>MONTH(D3799)</f>
        <v>8</v>
      </c>
      <c r="F3799" s="2" t="s">
        <v>2098</v>
      </c>
      <c r="G3799" t="s">
        <v>2206</v>
      </c>
      <c r="H3799" t="s">
        <v>2207</v>
      </c>
      <c r="I3799" t="s">
        <v>36</v>
      </c>
      <c r="J3799" s="2" t="s">
        <v>42</v>
      </c>
      <c r="K3799" s="2" t="s">
        <v>3019</v>
      </c>
      <c r="L3799" t="s">
        <v>25</v>
      </c>
      <c r="M3799" s="8">
        <v>3.6386666669999999</v>
      </c>
      <c r="N3799" t="s">
        <v>26</v>
      </c>
      <c r="O3799" s="8">
        <v>3.6386666669999999</v>
      </c>
      <c r="P3799" s="8">
        <f>EXP(-1.363+3.366*LOG(O3799,10))</f>
        <v>1.6906814772344552</v>
      </c>
      <c r="Q3799" s="8">
        <f>(4488342*100)/4914798</f>
        <v>91.323020803703429</v>
      </c>
    </row>
    <row r="3800" spans="1:17" x14ac:dyDescent="0.2">
      <c r="A3800">
        <f>YEAR(D3800)</f>
        <v>2019</v>
      </c>
      <c r="B3800" t="s">
        <v>26</v>
      </c>
      <c r="C3800" s="2" t="s">
        <v>50</v>
      </c>
      <c r="D3800" s="1">
        <v>43678</v>
      </c>
      <c r="E3800">
        <f>MONTH(D3800)</f>
        <v>8</v>
      </c>
      <c r="F3800" s="2" t="s">
        <v>2098</v>
      </c>
      <c r="G3800" t="s">
        <v>2206</v>
      </c>
      <c r="H3800" t="s">
        <v>2207</v>
      </c>
      <c r="I3800" t="s">
        <v>22</v>
      </c>
      <c r="J3800" s="2" t="s">
        <v>42</v>
      </c>
      <c r="K3800" s="2" t="s">
        <v>3019</v>
      </c>
      <c r="L3800" t="s">
        <v>25</v>
      </c>
      <c r="M3800" s="8">
        <v>3.249333333</v>
      </c>
      <c r="N3800" t="s">
        <v>26</v>
      </c>
      <c r="O3800" s="8">
        <v>3.249333333</v>
      </c>
      <c r="P3800" s="8">
        <f>EXP(-1.363+3.366*LOG(O3800,10))</f>
        <v>1.4328987616438449</v>
      </c>
      <c r="Q3800" s="8">
        <f>(4488342*100)/4914798</f>
        <v>91.323020803703429</v>
      </c>
    </row>
    <row r="3801" spans="1:17" x14ac:dyDescent="0.2">
      <c r="A3801">
        <f>YEAR(D3801)</f>
        <v>2019</v>
      </c>
      <c r="B3801" t="s">
        <v>26</v>
      </c>
      <c r="C3801" s="2" t="s">
        <v>50</v>
      </c>
      <c r="D3801" s="1">
        <v>43678</v>
      </c>
      <c r="E3801">
        <f>MONTH(D3801)</f>
        <v>8</v>
      </c>
      <c r="F3801" s="2" t="s">
        <v>2098</v>
      </c>
      <c r="G3801" t="s">
        <v>2206</v>
      </c>
      <c r="H3801" t="s">
        <v>2207</v>
      </c>
      <c r="I3801" t="s">
        <v>22</v>
      </c>
      <c r="J3801" s="2" t="s">
        <v>42</v>
      </c>
      <c r="K3801" s="2" t="s">
        <v>3019</v>
      </c>
      <c r="L3801" t="s">
        <v>25</v>
      </c>
      <c r="M3801" s="8">
        <v>3.249333333</v>
      </c>
      <c r="N3801" t="s">
        <v>26</v>
      </c>
      <c r="O3801" s="8">
        <v>3.249333333</v>
      </c>
      <c r="P3801" s="8">
        <f>EXP(-1.363+3.366*LOG(O3801,10))</f>
        <v>1.4328987616438449</v>
      </c>
      <c r="Q3801" s="8">
        <f>(4488342*100)/4914798</f>
        <v>91.323020803703429</v>
      </c>
    </row>
    <row r="3802" spans="1:17" x14ac:dyDescent="0.2">
      <c r="A3802">
        <f>YEAR(D3802)</f>
        <v>2019</v>
      </c>
      <c r="B3802" t="s">
        <v>26</v>
      </c>
      <c r="C3802" s="2" t="s">
        <v>50</v>
      </c>
      <c r="D3802" s="1">
        <v>43678</v>
      </c>
      <c r="E3802">
        <f>MONTH(D3802)</f>
        <v>8</v>
      </c>
      <c r="F3802" s="2" t="s">
        <v>2098</v>
      </c>
      <c r="G3802" t="s">
        <v>2206</v>
      </c>
      <c r="H3802" t="s">
        <v>2207</v>
      </c>
      <c r="I3802" t="s">
        <v>22</v>
      </c>
      <c r="J3802" s="2" t="s">
        <v>42</v>
      </c>
      <c r="K3802" s="2" t="s">
        <v>3019</v>
      </c>
      <c r="L3802" t="s">
        <v>25</v>
      </c>
      <c r="M3802" s="8">
        <v>3.249333333</v>
      </c>
      <c r="N3802" t="s">
        <v>26</v>
      </c>
      <c r="O3802" s="8">
        <v>3.249333333</v>
      </c>
      <c r="P3802" s="8">
        <f>EXP(-1.363+3.366*LOG(O3802,10))</f>
        <v>1.4328987616438449</v>
      </c>
      <c r="Q3802" s="8">
        <f>(4488342*100)/4914798</f>
        <v>91.323020803703429</v>
      </c>
    </row>
    <row r="3803" spans="1:17" x14ac:dyDescent="0.2">
      <c r="A3803">
        <f>YEAR(D3803)</f>
        <v>2019</v>
      </c>
      <c r="B3803" t="s">
        <v>26</v>
      </c>
      <c r="C3803" s="2" t="s">
        <v>50</v>
      </c>
      <c r="D3803" s="1">
        <v>43678</v>
      </c>
      <c r="E3803">
        <f>MONTH(D3803)</f>
        <v>8</v>
      </c>
      <c r="F3803" s="2" t="s">
        <v>2098</v>
      </c>
      <c r="G3803" t="s">
        <v>2206</v>
      </c>
      <c r="H3803" t="s">
        <v>2207</v>
      </c>
      <c r="I3803" t="s">
        <v>22</v>
      </c>
      <c r="J3803" s="2" t="s">
        <v>42</v>
      </c>
      <c r="K3803" s="2" t="s">
        <v>3019</v>
      </c>
      <c r="L3803" t="s">
        <v>25</v>
      </c>
      <c r="M3803" s="8">
        <v>3.249333333</v>
      </c>
      <c r="N3803" t="s">
        <v>26</v>
      </c>
      <c r="O3803" s="8">
        <v>3.249333333</v>
      </c>
      <c r="P3803" s="8">
        <f>EXP(-1.363+3.366*LOG(O3803,10))</f>
        <v>1.4328987616438449</v>
      </c>
      <c r="Q3803" s="8">
        <f>(4488342*100)/4914798</f>
        <v>91.323020803703429</v>
      </c>
    </row>
    <row r="3804" spans="1:17" x14ac:dyDescent="0.2">
      <c r="A3804">
        <f>YEAR(D3804)</f>
        <v>2019</v>
      </c>
      <c r="B3804" t="s">
        <v>26</v>
      </c>
      <c r="C3804" s="2" t="s">
        <v>50</v>
      </c>
      <c r="D3804" s="1">
        <v>43678</v>
      </c>
      <c r="E3804">
        <f>MONTH(D3804)</f>
        <v>8</v>
      </c>
      <c r="F3804" s="2" t="s">
        <v>2098</v>
      </c>
      <c r="G3804" t="s">
        <v>2206</v>
      </c>
      <c r="H3804" t="s">
        <v>2263</v>
      </c>
      <c r="I3804" t="s">
        <v>36</v>
      </c>
      <c r="J3804" s="2" t="s">
        <v>42</v>
      </c>
      <c r="K3804" s="2" t="s">
        <v>3019</v>
      </c>
      <c r="L3804" t="s">
        <v>25</v>
      </c>
      <c r="M3804" s="8">
        <v>4.1670000000000007</v>
      </c>
      <c r="N3804" t="s">
        <v>26</v>
      </c>
      <c r="O3804" s="8">
        <v>4.1670000000000007</v>
      </c>
      <c r="P3804" s="8">
        <f>EXP(-1.363+3.366*LOG(O3804,10))</f>
        <v>2.0612774305709816</v>
      </c>
      <c r="Q3804" s="8">
        <f>(4488342*100)/4914798</f>
        <v>91.323020803703429</v>
      </c>
    </row>
    <row r="3805" spans="1:17" x14ac:dyDescent="0.2">
      <c r="A3805">
        <f>YEAR(D3805)</f>
        <v>2019</v>
      </c>
      <c r="B3805" t="s">
        <v>26</v>
      </c>
      <c r="C3805" s="2" t="s">
        <v>50</v>
      </c>
      <c r="D3805" s="1">
        <v>43678</v>
      </c>
      <c r="E3805">
        <f>MONTH(D3805)</f>
        <v>8</v>
      </c>
      <c r="F3805" s="2" t="s">
        <v>2098</v>
      </c>
      <c r="G3805" t="s">
        <v>2206</v>
      </c>
      <c r="H3805" t="s">
        <v>2263</v>
      </c>
      <c r="I3805" t="s">
        <v>22</v>
      </c>
      <c r="J3805" s="2" t="s">
        <v>42</v>
      </c>
      <c r="K3805" s="2" t="s">
        <v>3019</v>
      </c>
      <c r="L3805" t="s">
        <v>25</v>
      </c>
      <c r="M3805" s="8">
        <v>3.7376666670000001</v>
      </c>
      <c r="N3805" t="s">
        <v>26</v>
      </c>
      <c r="O3805" s="8">
        <v>3.7376666670000001</v>
      </c>
      <c r="P3805" s="8">
        <f>EXP(-1.363+3.366*LOG(O3805,10))</f>
        <v>1.7583458516827115</v>
      </c>
      <c r="Q3805" s="8">
        <f>(4488342*100)/4914798</f>
        <v>91.323020803703429</v>
      </c>
    </row>
    <row r="3806" spans="1:17" x14ac:dyDescent="0.2">
      <c r="A3806">
        <f>YEAR(D3806)</f>
        <v>2019</v>
      </c>
      <c r="B3806" t="s">
        <v>26</v>
      </c>
      <c r="C3806" s="2" t="s">
        <v>50</v>
      </c>
      <c r="D3806" s="1">
        <v>43678</v>
      </c>
      <c r="E3806">
        <f>MONTH(D3806)</f>
        <v>8</v>
      </c>
      <c r="F3806" s="2" t="s">
        <v>2098</v>
      </c>
      <c r="G3806" t="s">
        <v>2206</v>
      </c>
      <c r="H3806" t="s">
        <v>2263</v>
      </c>
      <c r="I3806" t="s">
        <v>22</v>
      </c>
      <c r="J3806" s="2" t="s">
        <v>42</v>
      </c>
      <c r="K3806" s="2" t="s">
        <v>3019</v>
      </c>
      <c r="L3806" t="s">
        <v>25</v>
      </c>
      <c r="M3806" s="8">
        <v>3.7376666670000001</v>
      </c>
      <c r="N3806" t="s">
        <v>26</v>
      </c>
      <c r="O3806" s="8">
        <v>3.7376666670000001</v>
      </c>
      <c r="P3806" s="8">
        <f>EXP(-1.363+3.366*LOG(O3806,10))</f>
        <v>1.7583458516827115</v>
      </c>
      <c r="Q3806" s="8">
        <f>(4488342*100)/4914798</f>
        <v>91.323020803703429</v>
      </c>
    </row>
    <row r="3807" spans="1:17" x14ac:dyDescent="0.2">
      <c r="A3807">
        <f>YEAR(D3807)</f>
        <v>2019</v>
      </c>
      <c r="B3807" t="s">
        <v>26</v>
      </c>
      <c r="C3807" s="2" t="s">
        <v>50</v>
      </c>
      <c r="D3807" s="1">
        <v>43678</v>
      </c>
      <c r="E3807">
        <f>MONTH(D3807)</f>
        <v>8</v>
      </c>
      <c r="F3807" s="2" t="s">
        <v>2098</v>
      </c>
      <c r="G3807" t="s">
        <v>2206</v>
      </c>
      <c r="H3807" t="s">
        <v>2263</v>
      </c>
      <c r="I3807" t="s">
        <v>22</v>
      </c>
      <c r="J3807" s="2" t="s">
        <v>42</v>
      </c>
      <c r="K3807" s="2" t="s">
        <v>3019</v>
      </c>
      <c r="L3807" t="s">
        <v>25</v>
      </c>
      <c r="M3807" s="8">
        <v>3.7376666670000001</v>
      </c>
      <c r="N3807" t="s">
        <v>26</v>
      </c>
      <c r="O3807" s="8">
        <v>3.7376666670000001</v>
      </c>
      <c r="P3807" s="8">
        <f>EXP(-1.363+3.366*LOG(O3807,10))</f>
        <v>1.7583458516827115</v>
      </c>
      <c r="Q3807" s="8">
        <f>(4488342*100)/4914798</f>
        <v>91.323020803703429</v>
      </c>
    </row>
    <row r="3808" spans="1:17" x14ac:dyDescent="0.2">
      <c r="A3808">
        <f>YEAR(D3808)</f>
        <v>2019</v>
      </c>
      <c r="B3808" t="s">
        <v>26</v>
      </c>
      <c r="C3808" s="2" t="s">
        <v>50</v>
      </c>
      <c r="D3808" s="1">
        <v>43678</v>
      </c>
      <c r="E3808">
        <f>MONTH(D3808)</f>
        <v>8</v>
      </c>
      <c r="F3808" s="2" t="s">
        <v>2098</v>
      </c>
      <c r="G3808" t="s">
        <v>2206</v>
      </c>
      <c r="H3808" t="s">
        <v>2263</v>
      </c>
      <c r="I3808" t="s">
        <v>22</v>
      </c>
      <c r="J3808" s="2" t="s">
        <v>42</v>
      </c>
      <c r="K3808" s="2" t="s">
        <v>3019</v>
      </c>
      <c r="L3808" t="s">
        <v>25</v>
      </c>
      <c r="M3808" s="8">
        <v>3.7376666670000001</v>
      </c>
      <c r="N3808" t="s">
        <v>26</v>
      </c>
      <c r="O3808" s="8">
        <v>3.7376666670000001</v>
      </c>
      <c r="P3808" s="8">
        <f>EXP(-1.363+3.366*LOG(O3808,10))</f>
        <v>1.7583458516827115</v>
      </c>
      <c r="Q3808" s="8">
        <f>(4488342*100)/4914798</f>
        <v>91.323020803703429</v>
      </c>
    </row>
    <row r="3809" spans="1:17" x14ac:dyDescent="0.2">
      <c r="A3809">
        <f>YEAR(D3809)</f>
        <v>2019</v>
      </c>
      <c r="B3809" t="s">
        <v>26</v>
      </c>
      <c r="C3809" s="2" t="s">
        <v>50</v>
      </c>
      <c r="D3809" s="1">
        <v>43678</v>
      </c>
      <c r="E3809">
        <f>MONTH(D3809)</f>
        <v>8</v>
      </c>
      <c r="F3809" s="2" t="s">
        <v>2098</v>
      </c>
      <c r="G3809" t="s">
        <v>230</v>
      </c>
      <c r="H3809" t="s">
        <v>268</v>
      </c>
      <c r="I3809" t="s">
        <v>22</v>
      </c>
      <c r="J3809" s="2" t="s">
        <v>42</v>
      </c>
      <c r="K3809" s="2" t="s">
        <v>3019</v>
      </c>
      <c r="L3809" t="s">
        <v>25</v>
      </c>
      <c r="M3809" s="8">
        <v>3.5356666670000001</v>
      </c>
      <c r="N3809" t="s">
        <v>26</v>
      </c>
      <c r="O3809" s="8">
        <v>3.5356666670000001</v>
      </c>
      <c r="P3809" s="8">
        <f>EXP(-1.363+3.366*LOG(O3809,10))</f>
        <v>1.6211802664427075</v>
      </c>
      <c r="Q3809" s="8">
        <f>(4488342*100)/4914798</f>
        <v>91.323020803703429</v>
      </c>
    </row>
    <row r="3810" spans="1:17" x14ac:dyDescent="0.2">
      <c r="A3810">
        <f>YEAR(D3810)</f>
        <v>2019</v>
      </c>
      <c r="B3810" t="s">
        <v>26</v>
      </c>
      <c r="C3810" s="2" t="s">
        <v>50</v>
      </c>
      <c r="D3810" s="1">
        <v>43678</v>
      </c>
      <c r="E3810">
        <f>MONTH(D3810)</f>
        <v>8</v>
      </c>
      <c r="F3810" s="2" t="s">
        <v>2098</v>
      </c>
      <c r="G3810" t="s">
        <v>230</v>
      </c>
      <c r="H3810" t="s">
        <v>268</v>
      </c>
      <c r="I3810" t="s">
        <v>22</v>
      </c>
      <c r="J3810" s="2" t="s">
        <v>42</v>
      </c>
      <c r="K3810" s="2" t="s">
        <v>3019</v>
      </c>
      <c r="L3810" t="s">
        <v>25</v>
      </c>
      <c r="M3810" s="8">
        <v>3.5356666670000001</v>
      </c>
      <c r="N3810" t="s">
        <v>26</v>
      </c>
      <c r="O3810" s="8">
        <v>3.5356666670000001</v>
      </c>
      <c r="P3810" s="8">
        <f>EXP(-1.363+3.366*LOG(O3810,10))</f>
        <v>1.6211802664427075</v>
      </c>
      <c r="Q3810" s="8">
        <f>(4488342*100)/4914798</f>
        <v>91.323020803703429</v>
      </c>
    </row>
    <row r="3811" spans="1:17" x14ac:dyDescent="0.2">
      <c r="A3811">
        <f>YEAR(D3811)</f>
        <v>2019</v>
      </c>
      <c r="B3811" t="s">
        <v>26</v>
      </c>
      <c r="C3811" s="2" t="s">
        <v>50</v>
      </c>
      <c r="D3811" s="1">
        <v>43678</v>
      </c>
      <c r="E3811">
        <f>MONTH(D3811)</f>
        <v>8</v>
      </c>
      <c r="F3811" s="2" t="s">
        <v>2098</v>
      </c>
      <c r="G3811" t="s">
        <v>230</v>
      </c>
      <c r="H3811" t="s">
        <v>268</v>
      </c>
      <c r="I3811" t="s">
        <v>22</v>
      </c>
      <c r="J3811" s="2" t="s">
        <v>42</v>
      </c>
      <c r="K3811" s="2" t="s">
        <v>3019</v>
      </c>
      <c r="L3811" t="s">
        <v>25</v>
      </c>
      <c r="M3811" s="8">
        <v>3.5356666670000001</v>
      </c>
      <c r="N3811" t="s">
        <v>26</v>
      </c>
      <c r="O3811" s="8">
        <v>3.5356666670000001</v>
      </c>
      <c r="P3811" s="8">
        <f>EXP(-1.363+3.366*LOG(O3811,10))</f>
        <v>1.6211802664427075</v>
      </c>
      <c r="Q3811" s="8">
        <f>(4488342*100)/4914798</f>
        <v>91.323020803703429</v>
      </c>
    </row>
    <row r="3812" spans="1:17" x14ac:dyDescent="0.2">
      <c r="A3812">
        <f>YEAR(D3812)</f>
        <v>2019</v>
      </c>
      <c r="B3812" t="s">
        <v>26</v>
      </c>
      <c r="C3812" s="2" t="s">
        <v>50</v>
      </c>
      <c r="D3812" s="1">
        <v>43678</v>
      </c>
      <c r="E3812">
        <f>MONTH(D3812)</f>
        <v>8</v>
      </c>
      <c r="F3812" s="2" t="s">
        <v>2098</v>
      </c>
      <c r="G3812" t="s">
        <v>230</v>
      </c>
      <c r="H3812" t="s">
        <v>268</v>
      </c>
      <c r="I3812" t="s">
        <v>22</v>
      </c>
      <c r="J3812" s="2" t="s">
        <v>42</v>
      </c>
      <c r="K3812" s="2" t="s">
        <v>3019</v>
      </c>
      <c r="L3812" t="s">
        <v>25</v>
      </c>
      <c r="M3812" s="8">
        <v>3.5356666670000001</v>
      </c>
      <c r="N3812" t="s">
        <v>26</v>
      </c>
      <c r="O3812" s="8">
        <v>3.5356666670000001</v>
      </c>
      <c r="P3812" s="8">
        <f>EXP(-1.363+3.366*LOG(O3812,10))</f>
        <v>1.6211802664427075</v>
      </c>
      <c r="Q3812" s="8">
        <f>(4488342*100)/4914798</f>
        <v>91.323020803703429</v>
      </c>
    </row>
    <row r="3813" spans="1:17" x14ac:dyDescent="0.2">
      <c r="A3813">
        <f>YEAR(D3813)</f>
        <v>2019</v>
      </c>
      <c r="B3813" t="s">
        <v>26</v>
      </c>
      <c r="C3813" s="2" t="s">
        <v>50</v>
      </c>
      <c r="D3813" s="1">
        <v>43678</v>
      </c>
      <c r="E3813">
        <f>MONTH(D3813)</f>
        <v>8</v>
      </c>
      <c r="F3813" s="2" t="s">
        <v>2098</v>
      </c>
      <c r="G3813" t="s">
        <v>2206</v>
      </c>
      <c r="H3813" t="s">
        <v>2263</v>
      </c>
      <c r="I3813" t="s">
        <v>22</v>
      </c>
      <c r="J3813" s="2" t="s">
        <v>42</v>
      </c>
      <c r="K3813" s="2" t="s">
        <v>3019</v>
      </c>
      <c r="L3813" t="s">
        <v>25</v>
      </c>
      <c r="M3813" s="8">
        <v>3.7376666670000001</v>
      </c>
      <c r="N3813" t="s">
        <v>26</v>
      </c>
      <c r="O3813" s="8">
        <v>3.7376666670000001</v>
      </c>
      <c r="P3813" s="8">
        <f>EXP(-1.363+3.366*LOG(O3813,10))</f>
        <v>1.7583458516827115</v>
      </c>
      <c r="Q3813" s="8">
        <f>(4488342*100)/4914798</f>
        <v>91.323020803703429</v>
      </c>
    </row>
    <row r="3814" spans="1:17" x14ac:dyDescent="0.2">
      <c r="A3814">
        <f>YEAR(D3814)</f>
        <v>2019</v>
      </c>
      <c r="B3814" t="s">
        <v>26</v>
      </c>
      <c r="C3814" s="2" t="s">
        <v>50</v>
      </c>
      <c r="D3814" s="1">
        <v>43678</v>
      </c>
      <c r="E3814">
        <f>MONTH(D3814)</f>
        <v>8</v>
      </c>
      <c r="F3814" s="2" t="s">
        <v>2098</v>
      </c>
      <c r="G3814" t="s">
        <v>1520</v>
      </c>
      <c r="H3814" t="s">
        <v>1528</v>
      </c>
      <c r="I3814" t="s">
        <v>22</v>
      </c>
      <c r="J3814" s="2" t="s">
        <v>42</v>
      </c>
      <c r="K3814" s="2" t="s">
        <v>3019</v>
      </c>
      <c r="L3814" t="s">
        <v>25</v>
      </c>
      <c r="M3814" s="8">
        <v>3.624333333</v>
      </c>
      <c r="N3814" t="s">
        <v>26</v>
      </c>
      <c r="O3814" s="8">
        <v>3.624333333</v>
      </c>
      <c r="P3814" s="8">
        <f>EXP(-1.363+3.366*LOG(O3814,10))</f>
        <v>1.6809546844949765</v>
      </c>
      <c r="Q3814" s="8">
        <f>(4488342*100)/4914798</f>
        <v>91.323020803703429</v>
      </c>
    </row>
    <row r="3815" spans="1:17" x14ac:dyDescent="0.2">
      <c r="A3815">
        <f>YEAR(D3815)</f>
        <v>2019</v>
      </c>
      <c r="B3815" t="s">
        <v>26</v>
      </c>
      <c r="C3815" s="2" t="s">
        <v>50</v>
      </c>
      <c r="D3815" s="1">
        <v>43678</v>
      </c>
      <c r="E3815">
        <f>MONTH(D3815)</f>
        <v>8</v>
      </c>
      <c r="F3815" s="2" t="s">
        <v>2098</v>
      </c>
      <c r="G3815" t="s">
        <v>1520</v>
      </c>
      <c r="H3815" t="s">
        <v>1528</v>
      </c>
      <c r="I3815" t="s">
        <v>22</v>
      </c>
      <c r="J3815" s="2" t="s">
        <v>42</v>
      </c>
      <c r="K3815" s="2" t="s">
        <v>3019</v>
      </c>
      <c r="L3815" t="s">
        <v>25</v>
      </c>
      <c r="M3815" s="8">
        <v>3.624333333</v>
      </c>
      <c r="N3815" t="s">
        <v>26</v>
      </c>
      <c r="O3815" s="8">
        <v>3.624333333</v>
      </c>
      <c r="P3815" s="8">
        <f>EXP(-1.363+3.366*LOG(O3815,10))</f>
        <v>1.6809546844949765</v>
      </c>
      <c r="Q3815" s="8">
        <f>(4488342*100)/4914798</f>
        <v>91.323020803703429</v>
      </c>
    </row>
    <row r="3816" spans="1:17" x14ac:dyDescent="0.2">
      <c r="A3816">
        <f>YEAR(D3816)</f>
        <v>2019</v>
      </c>
      <c r="B3816" t="s">
        <v>26</v>
      </c>
      <c r="C3816" s="2" t="s">
        <v>50</v>
      </c>
      <c r="D3816" s="1">
        <v>43678</v>
      </c>
      <c r="E3816">
        <f>MONTH(D3816)</f>
        <v>8</v>
      </c>
      <c r="F3816" s="2" t="s">
        <v>2098</v>
      </c>
      <c r="G3816" t="s">
        <v>352</v>
      </c>
      <c r="H3816" t="s">
        <v>1459</v>
      </c>
      <c r="I3816" t="s">
        <v>22</v>
      </c>
      <c r="J3816" s="2" t="s">
        <v>42</v>
      </c>
      <c r="K3816" s="2" t="s">
        <v>3019</v>
      </c>
      <c r="L3816" t="s">
        <v>25</v>
      </c>
      <c r="M3816" s="8">
        <v>1.1910000000000001</v>
      </c>
      <c r="N3816" t="s">
        <v>26</v>
      </c>
      <c r="O3816" s="8">
        <v>1.1910000000000001</v>
      </c>
      <c r="P3816" s="8">
        <f>EXP(-1.363+3.366*LOG(O3816,10))</f>
        <v>0.33039016297752993</v>
      </c>
      <c r="Q3816" s="8">
        <f>(4488342*100)/4914798</f>
        <v>91.323020803703429</v>
      </c>
    </row>
    <row r="3817" spans="1:17" x14ac:dyDescent="0.2">
      <c r="A3817">
        <f>YEAR(D3817)</f>
        <v>2019</v>
      </c>
      <c r="B3817" t="s">
        <v>26</v>
      </c>
      <c r="C3817" s="2" t="s">
        <v>50</v>
      </c>
      <c r="D3817" s="1">
        <v>43678</v>
      </c>
      <c r="E3817">
        <f>MONTH(D3817)</f>
        <v>8</v>
      </c>
      <c r="F3817" s="2" t="s">
        <v>2098</v>
      </c>
      <c r="G3817" t="s">
        <v>352</v>
      </c>
      <c r="H3817" t="s">
        <v>747</v>
      </c>
      <c r="I3817" t="s">
        <v>36</v>
      </c>
      <c r="J3817" s="2" t="s">
        <v>42</v>
      </c>
      <c r="K3817" s="2" t="s">
        <v>3019</v>
      </c>
      <c r="L3817" t="s">
        <v>25</v>
      </c>
      <c r="M3817" s="8">
        <v>1.2526666666666666</v>
      </c>
      <c r="N3817" t="s">
        <v>26</v>
      </c>
      <c r="O3817" s="8">
        <v>1.2526666666666666</v>
      </c>
      <c r="P3817" s="8">
        <f>EXP(-1.363+3.366*LOG(O3817,10))</f>
        <v>0.35569358460451905</v>
      </c>
      <c r="Q3817" s="8">
        <f>(4488342*100)/4914798</f>
        <v>91.323020803703429</v>
      </c>
    </row>
    <row r="3818" spans="1:17" x14ac:dyDescent="0.2">
      <c r="A3818">
        <f>YEAR(D3818)</f>
        <v>2019</v>
      </c>
      <c r="B3818" t="s">
        <v>26</v>
      </c>
      <c r="C3818" s="2" t="s">
        <v>50</v>
      </c>
      <c r="D3818" s="1">
        <v>43678</v>
      </c>
      <c r="E3818">
        <f>MONTH(D3818)</f>
        <v>8</v>
      </c>
      <c r="F3818" s="2" t="s">
        <v>2098</v>
      </c>
      <c r="G3818" t="s">
        <v>352</v>
      </c>
      <c r="H3818" t="s">
        <v>1459</v>
      </c>
      <c r="I3818" t="s">
        <v>22</v>
      </c>
      <c r="J3818" s="2" t="s">
        <v>42</v>
      </c>
      <c r="K3818" s="2" t="s">
        <v>3019</v>
      </c>
      <c r="L3818" t="s">
        <v>25</v>
      </c>
      <c r="M3818" s="8">
        <v>1.1910000000000001</v>
      </c>
      <c r="N3818" t="s">
        <v>26</v>
      </c>
      <c r="O3818" s="8">
        <v>1.1910000000000001</v>
      </c>
      <c r="P3818" s="8">
        <f>EXP(-1.363+3.366*LOG(O3818,10))</f>
        <v>0.33039016297752993</v>
      </c>
      <c r="Q3818" s="8">
        <f>(4488342*100)/4914798</f>
        <v>91.323020803703429</v>
      </c>
    </row>
    <row r="3819" spans="1:17" x14ac:dyDescent="0.2">
      <c r="A3819">
        <f>YEAR(D3819)</f>
        <v>2019</v>
      </c>
      <c r="B3819" t="s">
        <v>26</v>
      </c>
      <c r="C3819" s="2" t="s">
        <v>50</v>
      </c>
      <c r="D3819" s="1">
        <v>43678</v>
      </c>
      <c r="E3819">
        <f>MONTH(D3819)</f>
        <v>8</v>
      </c>
      <c r="F3819" s="2" t="s">
        <v>2098</v>
      </c>
      <c r="G3819" t="s">
        <v>352</v>
      </c>
      <c r="H3819" t="s">
        <v>975</v>
      </c>
      <c r="I3819" t="s">
        <v>22</v>
      </c>
      <c r="J3819" s="2" t="s">
        <v>42</v>
      </c>
      <c r="K3819" s="2" t="s">
        <v>3019</v>
      </c>
      <c r="L3819" t="s">
        <v>25</v>
      </c>
      <c r="M3819" s="8">
        <v>1.0693333330000001</v>
      </c>
      <c r="N3819" t="s">
        <v>26</v>
      </c>
      <c r="O3819" s="8">
        <v>1.0693333330000001</v>
      </c>
      <c r="P3819" s="8">
        <f>EXP(-1.363+3.366*LOG(O3819,10))</f>
        <v>0.28223780327142356</v>
      </c>
      <c r="Q3819" s="8">
        <f>(4488342*100)/4914798</f>
        <v>91.323020803703429</v>
      </c>
    </row>
    <row r="3820" spans="1:17" x14ac:dyDescent="0.2">
      <c r="A3820">
        <f>YEAR(D3820)</f>
        <v>2019</v>
      </c>
      <c r="B3820" t="s">
        <v>26</v>
      </c>
      <c r="C3820" s="2" t="s">
        <v>50</v>
      </c>
      <c r="D3820" s="1">
        <v>43678</v>
      </c>
      <c r="E3820">
        <f>MONTH(D3820)</f>
        <v>8</v>
      </c>
      <c r="F3820" s="2" t="s">
        <v>2098</v>
      </c>
      <c r="G3820" t="s">
        <v>332</v>
      </c>
      <c r="H3820" t="s">
        <v>1620</v>
      </c>
      <c r="I3820" t="s">
        <v>22</v>
      </c>
      <c r="J3820" s="2" t="s">
        <v>42</v>
      </c>
      <c r="K3820" s="2" t="s">
        <v>3019</v>
      </c>
      <c r="L3820" t="s">
        <v>25</v>
      </c>
      <c r="M3820" s="8">
        <v>1.1595</v>
      </c>
      <c r="N3820" t="s">
        <v>26</v>
      </c>
      <c r="O3820" s="8">
        <v>1.1595</v>
      </c>
      <c r="P3820" s="8">
        <f>EXP(-1.363+3.366*LOG(O3820,10))</f>
        <v>0.31769462844280599</v>
      </c>
      <c r="Q3820" s="8">
        <f>(4488342*100)/4914798</f>
        <v>91.323020803703429</v>
      </c>
    </row>
    <row r="3821" spans="1:17" x14ac:dyDescent="0.2">
      <c r="A3821">
        <f>YEAR(D3821)</f>
        <v>2019</v>
      </c>
      <c r="B3821" t="s">
        <v>26</v>
      </c>
      <c r="C3821" s="2" t="s">
        <v>50</v>
      </c>
      <c r="D3821" s="1">
        <v>43678</v>
      </c>
      <c r="E3821">
        <f>MONTH(D3821)</f>
        <v>8</v>
      </c>
      <c r="F3821" s="2" t="s">
        <v>2098</v>
      </c>
      <c r="G3821" t="s">
        <v>20</v>
      </c>
      <c r="H3821" t="s">
        <v>171</v>
      </c>
      <c r="I3821" t="s">
        <v>22</v>
      </c>
      <c r="J3821" s="2" t="s">
        <v>42</v>
      </c>
      <c r="K3821" s="2" t="s">
        <v>3019</v>
      </c>
      <c r="L3821" t="s">
        <v>25</v>
      </c>
      <c r="M3821" s="8">
        <v>1.258</v>
      </c>
      <c r="N3821" t="s">
        <v>26</v>
      </c>
      <c r="O3821" s="8">
        <v>1.258</v>
      </c>
      <c r="P3821" s="8">
        <f>EXP(-1.363+3.366*LOG(O3821,10))</f>
        <v>0.35790955576548023</v>
      </c>
      <c r="Q3821" s="8">
        <f>(4488342*100)/4914798</f>
        <v>91.323020803703429</v>
      </c>
    </row>
    <row r="3822" spans="1:17" x14ac:dyDescent="0.2">
      <c r="A3822">
        <f>YEAR(D3822)</f>
        <v>2019</v>
      </c>
      <c r="B3822" t="e">
        <f>CONCATENATE(K3822,#REF!)</f>
        <v>#REF!</v>
      </c>
      <c r="C3822" s="2" t="s">
        <v>50</v>
      </c>
      <c r="D3822" s="1">
        <v>43678</v>
      </c>
      <c r="E3822">
        <f>MONTH(D3822)</f>
        <v>8</v>
      </c>
      <c r="F3822" s="2" t="s">
        <v>2098</v>
      </c>
      <c r="G3822" s="2" t="s">
        <v>20</v>
      </c>
      <c r="H3822" t="s">
        <v>103</v>
      </c>
      <c r="I3822" t="s">
        <v>22</v>
      </c>
      <c r="J3822" s="2" t="s">
        <v>42</v>
      </c>
      <c r="K3822" s="2" t="s">
        <v>3019</v>
      </c>
      <c r="L3822" t="s">
        <v>25</v>
      </c>
      <c r="M3822" s="8">
        <v>2.177</v>
      </c>
      <c r="N3822" t="s">
        <v>26</v>
      </c>
      <c r="O3822" s="8">
        <v>2.177</v>
      </c>
      <c r="P3822" s="8">
        <f>EXP(-1.363+3.366*LOG(O3822,10))</f>
        <v>0.79790277256387487</v>
      </c>
      <c r="Q3822" s="8">
        <f>(4488342*100)/4914798</f>
        <v>91.323020803703429</v>
      </c>
    </row>
    <row r="3823" spans="1:17" x14ac:dyDescent="0.2">
      <c r="A3823">
        <f>YEAR(D3823)</f>
        <v>2019</v>
      </c>
      <c r="B3823" t="s">
        <v>26</v>
      </c>
      <c r="C3823" s="2" t="s">
        <v>50</v>
      </c>
      <c r="D3823" s="1">
        <v>43678</v>
      </c>
      <c r="E3823">
        <f>MONTH(D3823)</f>
        <v>8</v>
      </c>
      <c r="F3823" s="2" t="s">
        <v>2098</v>
      </c>
      <c r="G3823" t="s">
        <v>362</v>
      </c>
      <c r="H3823" t="s">
        <v>393</v>
      </c>
      <c r="I3823" t="s">
        <v>22</v>
      </c>
      <c r="J3823" s="2" t="s">
        <v>42</v>
      </c>
      <c r="K3823" s="2" t="s">
        <v>3019</v>
      </c>
      <c r="L3823" t="s">
        <v>25</v>
      </c>
      <c r="M3823" s="8">
        <v>2.4239999999999999</v>
      </c>
      <c r="N3823" t="s">
        <v>26</v>
      </c>
      <c r="O3823" s="8">
        <v>2.4239999999999999</v>
      </c>
      <c r="P3823" s="8">
        <f>EXP(-1.363+3.366*LOG(O3823,10))</f>
        <v>0.93364106227732868</v>
      </c>
      <c r="Q3823" s="8">
        <f>(4488342*100)/4914798</f>
        <v>91.323020803703429</v>
      </c>
    </row>
    <row r="3824" spans="1:17" x14ac:dyDescent="0.2">
      <c r="A3824">
        <f>YEAR(D3824)</f>
        <v>2019</v>
      </c>
      <c r="B3824" t="s">
        <v>26</v>
      </c>
      <c r="C3824" s="2" t="s">
        <v>50</v>
      </c>
      <c r="D3824" s="1">
        <v>43678</v>
      </c>
      <c r="E3824">
        <f>MONTH(D3824)</f>
        <v>8</v>
      </c>
      <c r="F3824" s="2" t="s">
        <v>2098</v>
      </c>
      <c r="G3824" t="s">
        <v>352</v>
      </c>
      <c r="H3824" t="s">
        <v>975</v>
      </c>
      <c r="I3824" t="s">
        <v>22</v>
      </c>
      <c r="J3824" s="2" t="s">
        <v>42</v>
      </c>
      <c r="K3824" s="2" t="s">
        <v>3019</v>
      </c>
      <c r="L3824" t="s">
        <v>25</v>
      </c>
      <c r="M3824" s="8">
        <v>1.0693333330000001</v>
      </c>
      <c r="N3824" t="s">
        <v>26</v>
      </c>
      <c r="O3824" s="8">
        <v>1.0693333330000001</v>
      </c>
      <c r="P3824" s="8">
        <f>EXP(-1.363+3.366*LOG(O3824,10))</f>
        <v>0.28223780327142356</v>
      </c>
      <c r="Q3824" s="8">
        <f>(4488342*100)/4914798</f>
        <v>91.323020803703429</v>
      </c>
    </row>
    <row r="3825" spans="1:17" x14ac:dyDescent="0.2">
      <c r="A3825">
        <f>YEAR(D3825)</f>
        <v>2019</v>
      </c>
      <c r="B3825" t="s">
        <v>26</v>
      </c>
      <c r="C3825" s="2" t="s">
        <v>50</v>
      </c>
      <c r="D3825" s="1">
        <v>43678</v>
      </c>
      <c r="E3825">
        <f>MONTH(D3825)</f>
        <v>8</v>
      </c>
      <c r="F3825" s="2" t="s">
        <v>2098</v>
      </c>
      <c r="G3825" t="s">
        <v>352</v>
      </c>
      <c r="H3825" t="s">
        <v>975</v>
      </c>
      <c r="I3825" t="s">
        <v>22</v>
      </c>
      <c r="J3825" s="2" t="s">
        <v>42</v>
      </c>
      <c r="K3825" s="2" t="s">
        <v>3019</v>
      </c>
      <c r="L3825" t="s">
        <v>25</v>
      </c>
      <c r="M3825" s="8">
        <v>1.0693333330000001</v>
      </c>
      <c r="N3825" t="s">
        <v>26</v>
      </c>
      <c r="O3825" s="8">
        <v>1.0693333330000001</v>
      </c>
      <c r="P3825" s="8">
        <f>EXP(-1.363+3.366*LOG(O3825,10))</f>
        <v>0.28223780327142356</v>
      </c>
      <c r="Q3825" s="8">
        <f>(4488342*100)/4914798</f>
        <v>91.323020803703429</v>
      </c>
    </row>
    <row r="3826" spans="1:17" x14ac:dyDescent="0.2">
      <c r="A3826">
        <f>YEAR(D3826)</f>
        <v>2019</v>
      </c>
      <c r="B3826" t="s">
        <v>26</v>
      </c>
      <c r="C3826" s="2" t="s">
        <v>50</v>
      </c>
      <c r="D3826" s="1">
        <v>43678</v>
      </c>
      <c r="E3826">
        <f>MONTH(D3826)</f>
        <v>8</v>
      </c>
      <c r="F3826" s="2" t="s">
        <v>2098</v>
      </c>
      <c r="G3826" t="s">
        <v>230</v>
      </c>
      <c r="H3826" t="s">
        <v>259</v>
      </c>
      <c r="I3826" t="s">
        <v>22</v>
      </c>
      <c r="J3826" s="2" t="s">
        <v>42</v>
      </c>
      <c r="K3826" s="2" t="s">
        <v>3019</v>
      </c>
      <c r="L3826" t="s">
        <v>25</v>
      </c>
      <c r="M3826" s="8">
        <v>4.2283333330000001</v>
      </c>
      <c r="N3826" t="s">
        <v>26</v>
      </c>
      <c r="O3826" s="8">
        <v>4.2283333330000001</v>
      </c>
      <c r="P3826" s="8">
        <f>EXP(-1.363+3.366*LOG(O3826,10))</f>
        <v>2.1057792396965977</v>
      </c>
      <c r="Q3826" s="8">
        <f>(4488342*100)/4914798</f>
        <v>91.323020803703429</v>
      </c>
    </row>
    <row r="3827" spans="1:17" x14ac:dyDescent="0.2">
      <c r="A3827">
        <f>YEAR(D3827)</f>
        <v>2019</v>
      </c>
      <c r="B3827" t="e">
        <f>CONCATENATE(K3827,#REF!)</f>
        <v>#REF!</v>
      </c>
      <c r="C3827" s="2" t="s">
        <v>3024</v>
      </c>
      <c r="D3827" s="1">
        <v>43678</v>
      </c>
      <c r="E3827">
        <f>MONTH(D3827)</f>
        <v>8</v>
      </c>
      <c r="F3827" s="2" t="s">
        <v>2098</v>
      </c>
      <c r="G3827" s="2" t="s">
        <v>20</v>
      </c>
      <c r="H3827" t="s">
        <v>103</v>
      </c>
      <c r="I3827" t="s">
        <v>22</v>
      </c>
      <c r="J3827" s="2" t="s">
        <v>42</v>
      </c>
      <c r="K3827" s="2" t="s">
        <v>3019</v>
      </c>
      <c r="L3827" t="s">
        <v>25</v>
      </c>
      <c r="M3827" s="8">
        <v>2.177</v>
      </c>
      <c r="N3827" t="s">
        <v>26</v>
      </c>
      <c r="O3827" s="8">
        <v>2.177</v>
      </c>
      <c r="P3827" s="8">
        <f>EXP(-1.363+3.366*LOG(O3827,10))</f>
        <v>0.79790277256387487</v>
      </c>
      <c r="Q3827" s="8">
        <f>(2412691*100)/2623642</f>
        <v>91.959611867777696</v>
      </c>
    </row>
    <row r="3828" spans="1:17" x14ac:dyDescent="0.2">
      <c r="A3828">
        <f>YEAR(D3828)</f>
        <v>2019</v>
      </c>
      <c r="B3828" t="s">
        <v>26</v>
      </c>
      <c r="C3828" s="2" t="s">
        <v>3024</v>
      </c>
      <c r="D3828" s="1">
        <v>43678</v>
      </c>
      <c r="E3828">
        <f>MONTH(D3828)</f>
        <v>8</v>
      </c>
      <c r="F3828" s="2" t="s">
        <v>2098</v>
      </c>
      <c r="G3828" t="s">
        <v>1520</v>
      </c>
      <c r="H3828" t="s">
        <v>1528</v>
      </c>
      <c r="I3828" t="s">
        <v>36</v>
      </c>
      <c r="J3828" s="2" t="s">
        <v>42</v>
      </c>
      <c r="K3828" s="2" t="s">
        <v>3019</v>
      </c>
      <c r="L3828" t="s">
        <v>25</v>
      </c>
      <c r="M3828" s="8">
        <v>3.3860000000000001</v>
      </c>
      <c r="N3828" t="s">
        <v>26</v>
      </c>
      <c r="O3828" s="8">
        <v>3.3860000000000001</v>
      </c>
      <c r="P3828" s="8">
        <f>EXP(-1.363+3.366*LOG(O3828,10))</f>
        <v>1.5218493704875904</v>
      </c>
      <c r="Q3828" s="8">
        <f>(2412691*100)/2623642</f>
        <v>91.959611867777696</v>
      </c>
    </row>
    <row r="3829" spans="1:17" x14ac:dyDescent="0.2">
      <c r="A3829">
        <f>YEAR(D3829)</f>
        <v>2019</v>
      </c>
      <c r="B3829" t="s">
        <v>26</v>
      </c>
      <c r="C3829" s="2" t="s">
        <v>3024</v>
      </c>
      <c r="D3829" s="1">
        <v>43678</v>
      </c>
      <c r="E3829">
        <f>MONTH(D3829)</f>
        <v>8</v>
      </c>
      <c r="F3829" s="2" t="s">
        <v>2098</v>
      </c>
      <c r="G3829" t="s">
        <v>362</v>
      </c>
      <c r="H3829" t="s">
        <v>447</v>
      </c>
      <c r="I3829" t="s">
        <v>22</v>
      </c>
      <c r="J3829" s="2" t="s">
        <v>42</v>
      </c>
      <c r="K3829" s="2" t="s">
        <v>3019</v>
      </c>
      <c r="L3829" t="s">
        <v>25</v>
      </c>
      <c r="M3829" s="8">
        <v>1.421</v>
      </c>
      <c r="N3829" t="s">
        <v>26</v>
      </c>
      <c r="O3829" s="8">
        <v>1.421</v>
      </c>
      <c r="P3829" s="8">
        <f>EXP(-1.363+3.366*LOG(O3829,10))</f>
        <v>0.42768500084673816</v>
      </c>
      <c r="Q3829" s="8">
        <f>(2412691*100)/2623642</f>
        <v>91.959611867777696</v>
      </c>
    </row>
    <row r="3830" spans="1:17" x14ac:dyDescent="0.2">
      <c r="A3830">
        <f>YEAR(D3830)</f>
        <v>2019</v>
      </c>
      <c r="B3830" t="s">
        <v>26</v>
      </c>
      <c r="C3830" s="2" t="s">
        <v>3024</v>
      </c>
      <c r="D3830" s="1">
        <v>43678</v>
      </c>
      <c r="E3830">
        <f>MONTH(D3830)</f>
        <v>8</v>
      </c>
      <c r="F3830" s="2" t="s">
        <v>2098</v>
      </c>
      <c r="G3830" t="s">
        <v>362</v>
      </c>
      <c r="H3830" t="s">
        <v>2030</v>
      </c>
      <c r="I3830" t="s">
        <v>22</v>
      </c>
      <c r="J3830" s="2" t="s">
        <v>42</v>
      </c>
      <c r="K3830" s="2" t="s">
        <v>3019</v>
      </c>
      <c r="L3830" t="s">
        <v>25</v>
      </c>
      <c r="M3830" s="8">
        <v>1.4923333329999999</v>
      </c>
      <c r="N3830" t="s">
        <v>26</v>
      </c>
      <c r="O3830" s="8">
        <v>1.4923333329999999</v>
      </c>
      <c r="P3830" s="8">
        <f>EXP(-1.363+3.366*LOG(O3830,10))</f>
        <v>0.45943050733617752</v>
      </c>
      <c r="Q3830" s="8">
        <f>(2412691*100)/2623642</f>
        <v>91.959611867777696</v>
      </c>
    </row>
    <row r="3831" spans="1:17" x14ac:dyDescent="0.2">
      <c r="A3831">
        <f>YEAR(D3831)</f>
        <v>2019</v>
      </c>
      <c r="B3831" t="s">
        <v>26</v>
      </c>
      <c r="C3831" s="2" t="s">
        <v>3024</v>
      </c>
      <c r="D3831" s="1">
        <v>43678</v>
      </c>
      <c r="E3831">
        <f>MONTH(D3831)</f>
        <v>8</v>
      </c>
      <c r="F3831" s="2" t="s">
        <v>2098</v>
      </c>
      <c r="G3831" t="s">
        <v>362</v>
      </c>
      <c r="H3831" t="s">
        <v>447</v>
      </c>
      <c r="I3831" t="s">
        <v>22</v>
      </c>
      <c r="J3831" s="2" t="s">
        <v>42</v>
      </c>
      <c r="K3831" s="2" t="s">
        <v>3019</v>
      </c>
      <c r="L3831" t="s">
        <v>25</v>
      </c>
      <c r="M3831" s="8">
        <v>1.421</v>
      </c>
      <c r="N3831" t="s">
        <v>26</v>
      </c>
      <c r="O3831" s="8">
        <v>1.421</v>
      </c>
      <c r="P3831" s="8">
        <f>EXP(-1.363+3.366*LOG(O3831,10))</f>
        <v>0.42768500084673816</v>
      </c>
      <c r="Q3831" s="8">
        <f>(2412691*100)/2623642</f>
        <v>91.959611867777696</v>
      </c>
    </row>
    <row r="3832" spans="1:17" x14ac:dyDescent="0.2">
      <c r="A3832">
        <f>YEAR(D3832)</f>
        <v>2019</v>
      </c>
      <c r="B3832" t="s">
        <v>26</v>
      </c>
      <c r="C3832" s="2" t="s">
        <v>3024</v>
      </c>
      <c r="D3832" s="1">
        <v>43678</v>
      </c>
      <c r="E3832">
        <f>MONTH(D3832)</f>
        <v>8</v>
      </c>
      <c r="F3832" s="2" t="s">
        <v>2098</v>
      </c>
      <c r="G3832" t="s">
        <v>362</v>
      </c>
      <c r="H3832" t="s">
        <v>447</v>
      </c>
      <c r="I3832" t="s">
        <v>22</v>
      </c>
      <c r="J3832" s="2" t="s">
        <v>42</v>
      </c>
      <c r="K3832" s="2" t="s">
        <v>3019</v>
      </c>
      <c r="L3832" t="s">
        <v>25</v>
      </c>
      <c r="M3832" s="8">
        <v>1.421</v>
      </c>
      <c r="N3832" t="s">
        <v>26</v>
      </c>
      <c r="O3832" s="8">
        <v>1.421</v>
      </c>
      <c r="P3832" s="8">
        <f>EXP(-1.363+3.366*LOG(O3832,10))</f>
        <v>0.42768500084673816</v>
      </c>
      <c r="Q3832" s="8">
        <f>(2412691*100)/2623642</f>
        <v>91.959611867777696</v>
      </c>
    </row>
    <row r="3833" spans="1:17" x14ac:dyDescent="0.2">
      <c r="A3833">
        <f>YEAR(D3833)</f>
        <v>2019</v>
      </c>
      <c r="B3833" t="s">
        <v>26</v>
      </c>
      <c r="C3833" s="2" t="s">
        <v>3024</v>
      </c>
      <c r="D3833" s="1">
        <v>43678</v>
      </c>
      <c r="E3833">
        <f>MONTH(D3833)</f>
        <v>8</v>
      </c>
      <c r="F3833" s="2" t="s">
        <v>2098</v>
      </c>
      <c r="G3833" t="s">
        <v>1512</v>
      </c>
      <c r="H3833" t="s">
        <v>1515</v>
      </c>
      <c r="I3833" t="s">
        <v>22</v>
      </c>
      <c r="J3833" s="2" t="s">
        <v>42</v>
      </c>
      <c r="K3833" s="2" t="s">
        <v>3019</v>
      </c>
      <c r="L3833" t="s">
        <v>187</v>
      </c>
      <c r="M3833" s="8">
        <v>1.477333333</v>
      </c>
      <c r="N3833" t="s">
        <v>26</v>
      </c>
      <c r="O3833" s="8">
        <v>1.477333333</v>
      </c>
      <c r="P3833" s="8">
        <f>EXP(-1.363+3.366*LOG(O3833,10))</f>
        <v>0.45269558398500004</v>
      </c>
      <c r="Q3833" s="8">
        <f>(2412691*100)/2623642</f>
        <v>91.959611867777696</v>
      </c>
    </row>
    <row r="3834" spans="1:17" x14ac:dyDescent="0.2">
      <c r="A3834">
        <f>YEAR(D3834)</f>
        <v>2019</v>
      </c>
      <c r="B3834" t="s">
        <v>26</v>
      </c>
      <c r="C3834" s="2" t="s">
        <v>3024</v>
      </c>
      <c r="D3834" s="1">
        <v>43678</v>
      </c>
      <c r="E3834">
        <f>MONTH(D3834)</f>
        <v>8</v>
      </c>
      <c r="F3834" s="2" t="s">
        <v>2098</v>
      </c>
      <c r="G3834" t="s">
        <v>352</v>
      </c>
      <c r="H3834" t="s">
        <v>975</v>
      </c>
      <c r="I3834" t="s">
        <v>22</v>
      </c>
      <c r="J3834" s="2" t="s">
        <v>42</v>
      </c>
      <c r="K3834" s="2" t="s">
        <v>3019</v>
      </c>
      <c r="L3834" t="s">
        <v>25</v>
      </c>
      <c r="M3834" s="8">
        <v>1.0693333330000001</v>
      </c>
      <c r="N3834" t="s">
        <v>26</v>
      </c>
      <c r="O3834" s="8">
        <v>1.0693333330000001</v>
      </c>
      <c r="P3834" s="8">
        <f>EXP(-1.363+3.366*LOG(O3834,10))</f>
        <v>0.28223780327142356</v>
      </c>
      <c r="Q3834" s="8">
        <f>(2412691*100)/2623642</f>
        <v>91.959611867777696</v>
      </c>
    </row>
    <row r="3835" spans="1:17" x14ac:dyDescent="0.2">
      <c r="A3835">
        <f>YEAR(D3835)</f>
        <v>2019</v>
      </c>
      <c r="B3835" t="s">
        <v>26</v>
      </c>
      <c r="C3835" s="2" t="s">
        <v>3024</v>
      </c>
      <c r="D3835" s="1">
        <v>43678</v>
      </c>
      <c r="E3835">
        <f>MONTH(D3835)</f>
        <v>8</v>
      </c>
      <c r="F3835" s="2" t="s">
        <v>2098</v>
      </c>
      <c r="G3835" t="s">
        <v>352</v>
      </c>
      <c r="H3835" t="s">
        <v>1585</v>
      </c>
      <c r="I3835" t="s">
        <v>22</v>
      </c>
      <c r="J3835" s="2" t="s">
        <v>42</v>
      </c>
      <c r="K3835" s="2" t="s">
        <v>3019</v>
      </c>
      <c r="L3835" t="s">
        <v>25</v>
      </c>
      <c r="M3835" s="8">
        <v>0.77266666699999997</v>
      </c>
      <c r="N3835" t="s">
        <v>26</v>
      </c>
      <c r="O3835" s="8">
        <v>0.77266666699999997</v>
      </c>
      <c r="P3835" s="8">
        <f>EXP(-1.363+3.366*LOG(O3835,10))</f>
        <v>0.17551718302452865</v>
      </c>
      <c r="Q3835" s="8">
        <f>(2412691*100)/2623642</f>
        <v>91.959611867777696</v>
      </c>
    </row>
    <row r="3836" spans="1:17" x14ac:dyDescent="0.2">
      <c r="A3836">
        <f>YEAR(D3836)</f>
        <v>2019</v>
      </c>
      <c r="B3836" t="s">
        <v>26</v>
      </c>
      <c r="C3836" s="2" t="s">
        <v>3024</v>
      </c>
      <c r="D3836" s="1">
        <v>43678</v>
      </c>
      <c r="E3836">
        <f>MONTH(D3836)</f>
        <v>8</v>
      </c>
      <c r="F3836" s="2" t="s">
        <v>2098</v>
      </c>
      <c r="G3836" t="s">
        <v>352</v>
      </c>
      <c r="H3836" t="s">
        <v>975</v>
      </c>
      <c r="I3836" t="s">
        <v>36</v>
      </c>
      <c r="J3836" s="2" t="s">
        <v>42</v>
      </c>
      <c r="K3836" s="2" t="s">
        <v>3019</v>
      </c>
      <c r="L3836" t="s">
        <v>25</v>
      </c>
      <c r="M3836" s="8">
        <v>0.95199999999999996</v>
      </c>
      <c r="N3836" t="s">
        <v>26</v>
      </c>
      <c r="O3836" s="8">
        <v>0.95199999999999996</v>
      </c>
      <c r="P3836" s="8">
        <f>EXP(-1.363+3.366*LOG(O3836,10))</f>
        <v>0.23813726407794436</v>
      </c>
      <c r="Q3836" s="8">
        <f>(2412691*100)/2623642</f>
        <v>91.959611867777696</v>
      </c>
    </row>
    <row r="3837" spans="1:17" x14ac:dyDescent="0.2">
      <c r="A3837">
        <f>YEAR(D3837)</f>
        <v>2019</v>
      </c>
      <c r="B3837" t="s">
        <v>26</v>
      </c>
      <c r="C3837" s="2" t="s">
        <v>3024</v>
      </c>
      <c r="D3837" s="1">
        <v>43678</v>
      </c>
      <c r="E3837">
        <f>MONTH(D3837)</f>
        <v>8</v>
      </c>
      <c r="F3837" s="2" t="s">
        <v>2098</v>
      </c>
      <c r="G3837" t="s">
        <v>352</v>
      </c>
      <c r="H3837" t="s">
        <v>975</v>
      </c>
      <c r="I3837" t="s">
        <v>36</v>
      </c>
      <c r="J3837" s="2" t="s">
        <v>42</v>
      </c>
      <c r="K3837" s="2" t="s">
        <v>3019</v>
      </c>
      <c r="L3837" t="s">
        <v>25</v>
      </c>
      <c r="M3837" s="8">
        <v>0.95199999999999996</v>
      </c>
      <c r="N3837" t="s">
        <v>26</v>
      </c>
      <c r="O3837" s="8">
        <v>0.95199999999999996</v>
      </c>
      <c r="P3837" s="8">
        <f>EXP(-1.363+3.366*LOG(O3837,10))</f>
        <v>0.23813726407794436</v>
      </c>
      <c r="Q3837" s="8">
        <f>(2412691*100)/2623642</f>
        <v>91.959611867777696</v>
      </c>
    </row>
    <row r="3838" spans="1:17" x14ac:dyDescent="0.2">
      <c r="A3838">
        <f>YEAR(D3838)</f>
        <v>2019</v>
      </c>
      <c r="B3838" t="s">
        <v>26</v>
      </c>
      <c r="C3838" s="2" t="s">
        <v>3024</v>
      </c>
      <c r="D3838" s="1">
        <v>43678</v>
      </c>
      <c r="E3838">
        <f>MONTH(D3838)</f>
        <v>8</v>
      </c>
      <c r="F3838" s="2" t="s">
        <v>2098</v>
      </c>
      <c r="G3838" t="s">
        <v>230</v>
      </c>
      <c r="H3838" t="s">
        <v>268</v>
      </c>
      <c r="I3838" t="s">
        <v>36</v>
      </c>
      <c r="J3838" s="2" t="s">
        <v>42</v>
      </c>
      <c r="K3838" s="2" t="s">
        <v>3019</v>
      </c>
      <c r="L3838" t="s">
        <v>25</v>
      </c>
      <c r="M3838" s="8">
        <v>3.3683333329999998</v>
      </c>
      <c r="N3838" t="s">
        <v>26</v>
      </c>
      <c r="O3838" s="8">
        <v>3.3683333329999998</v>
      </c>
      <c r="P3838" s="8">
        <f>EXP(-1.363+3.366*LOG(O3838,10))</f>
        <v>1.510255893489963</v>
      </c>
      <c r="Q3838" s="8">
        <f>(2412691*100)/2623642</f>
        <v>91.959611867777696</v>
      </c>
    </row>
    <row r="3839" spans="1:17" x14ac:dyDescent="0.2">
      <c r="A3839">
        <f>YEAR(D3839)</f>
        <v>2019</v>
      </c>
      <c r="B3839" t="s">
        <v>26</v>
      </c>
      <c r="C3839" s="2" t="s">
        <v>3024</v>
      </c>
      <c r="D3839" s="1">
        <v>43678</v>
      </c>
      <c r="E3839">
        <f>MONTH(D3839)</f>
        <v>8</v>
      </c>
      <c r="F3839" s="2" t="s">
        <v>2098</v>
      </c>
      <c r="G3839" t="s">
        <v>230</v>
      </c>
      <c r="H3839" t="s">
        <v>268</v>
      </c>
      <c r="I3839" t="s">
        <v>36</v>
      </c>
      <c r="J3839" s="2" t="s">
        <v>42</v>
      </c>
      <c r="K3839" s="2" t="s">
        <v>3019</v>
      </c>
      <c r="L3839" t="s">
        <v>25</v>
      </c>
      <c r="M3839" s="8">
        <v>3.3683333329999998</v>
      </c>
      <c r="N3839" t="s">
        <v>26</v>
      </c>
      <c r="O3839" s="8">
        <v>3.3683333329999998</v>
      </c>
      <c r="P3839" s="8">
        <f>EXP(-1.363+3.366*LOG(O3839,10))</f>
        <v>1.510255893489963</v>
      </c>
      <c r="Q3839" s="8">
        <f>(2412691*100)/2623642</f>
        <v>91.959611867777696</v>
      </c>
    </row>
    <row r="3840" spans="1:17" x14ac:dyDescent="0.2">
      <c r="A3840">
        <f>YEAR(D3840)</f>
        <v>2019</v>
      </c>
      <c r="B3840" t="s">
        <v>26</v>
      </c>
      <c r="C3840" s="2" t="s">
        <v>3024</v>
      </c>
      <c r="D3840" s="1">
        <v>43678</v>
      </c>
      <c r="E3840">
        <f>MONTH(D3840)</f>
        <v>8</v>
      </c>
      <c r="F3840" s="2" t="s">
        <v>2098</v>
      </c>
      <c r="G3840" t="s">
        <v>230</v>
      </c>
      <c r="H3840" t="s">
        <v>268</v>
      </c>
      <c r="I3840" t="s">
        <v>36</v>
      </c>
      <c r="J3840" s="2" t="s">
        <v>42</v>
      </c>
      <c r="K3840" s="2" t="s">
        <v>3019</v>
      </c>
      <c r="L3840" t="s">
        <v>25</v>
      </c>
      <c r="M3840" s="8">
        <v>3.3683333329999998</v>
      </c>
      <c r="N3840" t="s">
        <v>26</v>
      </c>
      <c r="O3840" s="8">
        <v>3.3683333329999998</v>
      </c>
      <c r="P3840" s="8">
        <f>EXP(-1.363+3.366*LOG(O3840,10))</f>
        <v>1.510255893489963</v>
      </c>
      <c r="Q3840" s="8">
        <f>(2412691*100)/2623642</f>
        <v>91.959611867777696</v>
      </c>
    </row>
    <row r="3841" spans="1:17" x14ac:dyDescent="0.2">
      <c r="A3841">
        <f>YEAR(D3841)</f>
        <v>2019</v>
      </c>
      <c r="B3841" t="s">
        <v>26</v>
      </c>
      <c r="C3841" s="2" t="s">
        <v>3024</v>
      </c>
      <c r="D3841" s="1">
        <v>43678</v>
      </c>
      <c r="E3841">
        <f>MONTH(D3841)</f>
        <v>8</v>
      </c>
      <c r="F3841" s="2" t="s">
        <v>2098</v>
      </c>
      <c r="G3841" t="s">
        <v>2206</v>
      </c>
      <c r="H3841" t="s">
        <v>2263</v>
      </c>
      <c r="I3841" t="s">
        <v>22</v>
      </c>
      <c r="J3841" s="2" t="s">
        <v>42</v>
      </c>
      <c r="K3841" s="2" t="s">
        <v>3019</v>
      </c>
      <c r="L3841" t="s">
        <v>25</v>
      </c>
      <c r="M3841" s="8">
        <v>3.7376666670000001</v>
      </c>
      <c r="N3841" t="s">
        <v>26</v>
      </c>
      <c r="O3841" s="8">
        <v>3.7376666670000001</v>
      </c>
      <c r="P3841" s="8">
        <f>EXP(-1.363+3.366*LOG(O3841,10))</f>
        <v>1.7583458516827115</v>
      </c>
      <c r="Q3841" s="8">
        <f>(2412691*100)/2623642</f>
        <v>91.959611867777696</v>
      </c>
    </row>
    <row r="3842" spans="1:17" x14ac:dyDescent="0.2">
      <c r="A3842">
        <f>YEAR(D3842)</f>
        <v>2019</v>
      </c>
      <c r="B3842" t="s">
        <v>26</v>
      </c>
      <c r="C3842" s="2" t="s">
        <v>3018</v>
      </c>
      <c r="D3842" s="1">
        <v>43679</v>
      </c>
      <c r="E3842">
        <f>MONTH(D3842)</f>
        <v>8</v>
      </c>
      <c r="F3842" s="2" t="s">
        <v>2098</v>
      </c>
      <c r="G3842" t="s">
        <v>219</v>
      </c>
      <c r="H3842" t="s">
        <v>220</v>
      </c>
      <c r="I3842" t="s">
        <v>22</v>
      </c>
      <c r="J3842" s="2" t="s">
        <v>42</v>
      </c>
      <c r="K3842" s="2" t="s">
        <v>3019</v>
      </c>
      <c r="L3842" t="s">
        <v>25</v>
      </c>
      <c r="M3842" s="10" t="s">
        <v>26</v>
      </c>
      <c r="N3842" t="s">
        <v>26</v>
      </c>
      <c r="O3842" s="10" t="s">
        <v>26</v>
      </c>
      <c r="P3842" s="8" t="s">
        <v>26</v>
      </c>
      <c r="Q3842" s="8">
        <f>(5996898*100)/6073515</f>
        <v>98.738506449724753</v>
      </c>
    </row>
    <row r="3843" spans="1:17" x14ac:dyDescent="0.2">
      <c r="A3843">
        <f>YEAR(D3843)</f>
        <v>2019</v>
      </c>
      <c r="B3843" t="s">
        <v>26</v>
      </c>
      <c r="C3843" s="2" t="s">
        <v>3018</v>
      </c>
      <c r="D3843" s="1">
        <v>43679</v>
      </c>
      <c r="E3843">
        <f>MONTH(D3843)</f>
        <v>8</v>
      </c>
      <c r="F3843" s="2" t="s">
        <v>2098</v>
      </c>
      <c r="G3843" t="s">
        <v>219</v>
      </c>
      <c r="H3843" t="s">
        <v>220</v>
      </c>
      <c r="I3843" t="s">
        <v>22</v>
      </c>
      <c r="J3843" s="2" t="s">
        <v>42</v>
      </c>
      <c r="K3843" s="2" t="s">
        <v>3019</v>
      </c>
      <c r="L3843" t="s">
        <v>25</v>
      </c>
      <c r="M3843" s="10" t="s">
        <v>26</v>
      </c>
      <c r="N3843" t="s">
        <v>26</v>
      </c>
      <c r="O3843" s="10" t="s">
        <v>26</v>
      </c>
      <c r="P3843" s="8" t="s">
        <v>26</v>
      </c>
      <c r="Q3843" s="8">
        <f>(5996898*100)/6073515</f>
        <v>98.738506449724753</v>
      </c>
    </row>
    <row r="3844" spans="1:17" x14ac:dyDescent="0.2">
      <c r="A3844">
        <f>YEAR(D3844)</f>
        <v>2019</v>
      </c>
      <c r="B3844" t="s">
        <v>26</v>
      </c>
      <c r="C3844" s="2" t="s">
        <v>3018</v>
      </c>
      <c r="D3844" s="1">
        <v>43679</v>
      </c>
      <c r="E3844">
        <f>MONTH(D3844)</f>
        <v>8</v>
      </c>
      <c r="F3844" s="2" t="s">
        <v>2098</v>
      </c>
      <c r="G3844" t="s">
        <v>219</v>
      </c>
      <c r="H3844" t="s">
        <v>220</v>
      </c>
      <c r="I3844" t="s">
        <v>22</v>
      </c>
      <c r="J3844" s="2" t="s">
        <v>42</v>
      </c>
      <c r="K3844" s="2" t="s">
        <v>3019</v>
      </c>
      <c r="L3844" t="s">
        <v>25</v>
      </c>
      <c r="M3844" s="10" t="s">
        <v>26</v>
      </c>
      <c r="N3844" t="s">
        <v>26</v>
      </c>
      <c r="O3844" s="10" t="s">
        <v>26</v>
      </c>
      <c r="P3844" s="8" t="s">
        <v>26</v>
      </c>
      <c r="Q3844" s="8">
        <f>(5996898*100)/6073515</f>
        <v>98.738506449724753</v>
      </c>
    </row>
    <row r="3845" spans="1:17" x14ac:dyDescent="0.2">
      <c r="A3845">
        <f>YEAR(D3845)</f>
        <v>2019</v>
      </c>
      <c r="B3845" t="s">
        <v>26</v>
      </c>
      <c r="C3845" s="2" t="s">
        <v>3018</v>
      </c>
      <c r="D3845" s="1">
        <v>43679</v>
      </c>
      <c r="E3845">
        <f>MONTH(D3845)</f>
        <v>8</v>
      </c>
      <c r="F3845" s="2" t="s">
        <v>2098</v>
      </c>
      <c r="G3845" t="s">
        <v>219</v>
      </c>
      <c r="H3845" t="s">
        <v>220</v>
      </c>
      <c r="I3845" t="s">
        <v>22</v>
      </c>
      <c r="J3845" s="2" t="s">
        <v>42</v>
      </c>
      <c r="K3845" s="2" t="s">
        <v>3019</v>
      </c>
      <c r="L3845" t="s">
        <v>25</v>
      </c>
      <c r="M3845" s="10" t="s">
        <v>26</v>
      </c>
      <c r="N3845" t="s">
        <v>26</v>
      </c>
      <c r="O3845" s="10" t="s">
        <v>26</v>
      </c>
      <c r="P3845" s="8" t="s">
        <v>26</v>
      </c>
      <c r="Q3845" s="8">
        <f>(5996898*100)/6073515</f>
        <v>98.738506449724753</v>
      </c>
    </row>
    <row r="3846" spans="1:17" x14ac:dyDescent="0.2">
      <c r="A3846">
        <f>YEAR(D3846)</f>
        <v>2019</v>
      </c>
      <c r="B3846" t="s">
        <v>26</v>
      </c>
      <c r="C3846" s="2" t="s">
        <v>3018</v>
      </c>
      <c r="D3846" s="1">
        <v>43679</v>
      </c>
      <c r="E3846">
        <f>MONTH(D3846)</f>
        <v>8</v>
      </c>
      <c r="F3846" s="2" t="s">
        <v>2098</v>
      </c>
      <c r="G3846" s="2" t="s">
        <v>3080</v>
      </c>
      <c r="H3846" t="s">
        <v>3060</v>
      </c>
      <c r="I3846" t="s">
        <v>36</v>
      </c>
      <c r="J3846" s="2" t="s">
        <v>42</v>
      </c>
      <c r="K3846" s="2" t="s">
        <v>3019</v>
      </c>
      <c r="L3846" t="s">
        <v>305</v>
      </c>
      <c r="M3846" s="8">
        <v>2.3639999999999994</v>
      </c>
      <c r="N3846" t="s">
        <v>26</v>
      </c>
      <c r="O3846" s="8">
        <v>2.3639999999999994</v>
      </c>
      <c r="P3846" s="8">
        <f>EXP(-1.363+3.366*LOG(O3846,10))</f>
        <v>0.90005211791163175</v>
      </c>
      <c r="Q3846" s="8">
        <f>(5996898*100)/6073515</f>
        <v>98.738506449724753</v>
      </c>
    </row>
    <row r="3847" spans="1:17" x14ac:dyDescent="0.2">
      <c r="A3847">
        <f>YEAR(D3847)</f>
        <v>2019</v>
      </c>
      <c r="B3847" t="s">
        <v>26</v>
      </c>
      <c r="C3847" s="2" t="s">
        <v>3018</v>
      </c>
      <c r="D3847" s="1">
        <v>43679</v>
      </c>
      <c r="E3847">
        <f>MONTH(D3847)</f>
        <v>8</v>
      </c>
      <c r="F3847" s="2" t="s">
        <v>2098</v>
      </c>
      <c r="G3847" t="s">
        <v>332</v>
      </c>
      <c r="H3847" t="s">
        <v>327</v>
      </c>
      <c r="I3847" t="s">
        <v>22</v>
      </c>
      <c r="J3847" s="2" t="s">
        <v>42</v>
      </c>
      <c r="K3847" s="2" t="s">
        <v>3019</v>
      </c>
      <c r="L3847" t="s">
        <v>25</v>
      </c>
      <c r="M3847" s="8">
        <v>1.239333333</v>
      </c>
      <c r="N3847" t="s">
        <v>26</v>
      </c>
      <c r="O3847" s="8">
        <v>1.239333333</v>
      </c>
      <c r="P3847" s="8">
        <f>EXP(-1.363+3.366*LOG(O3847,10))</f>
        <v>0.35017272283851147</v>
      </c>
      <c r="Q3847" s="8">
        <f>(5996898*100)/6073515</f>
        <v>98.738506449724753</v>
      </c>
    </row>
    <row r="3848" spans="1:17" x14ac:dyDescent="0.2">
      <c r="A3848">
        <f>YEAR(D3848)</f>
        <v>2019</v>
      </c>
      <c r="B3848" t="s">
        <v>26</v>
      </c>
      <c r="C3848" s="2" t="s">
        <v>3018</v>
      </c>
      <c r="D3848" s="1">
        <v>43679</v>
      </c>
      <c r="E3848">
        <f>MONTH(D3848)</f>
        <v>8</v>
      </c>
      <c r="F3848" s="2" t="s">
        <v>2098</v>
      </c>
      <c r="G3848" t="s">
        <v>332</v>
      </c>
      <c r="H3848" t="s">
        <v>327</v>
      </c>
      <c r="I3848" t="s">
        <v>22</v>
      </c>
      <c r="J3848" s="2" t="s">
        <v>42</v>
      </c>
      <c r="K3848" s="2" t="s">
        <v>3019</v>
      </c>
      <c r="L3848" t="s">
        <v>25</v>
      </c>
      <c r="M3848" s="8">
        <v>1.239333333</v>
      </c>
      <c r="N3848" t="s">
        <v>26</v>
      </c>
      <c r="O3848" s="8">
        <v>1.239333333</v>
      </c>
      <c r="P3848" s="8">
        <f>EXP(-1.363+3.366*LOG(O3848,10))</f>
        <v>0.35017272283851147</v>
      </c>
      <c r="Q3848" s="8">
        <f>(5996898*100)/6073515</f>
        <v>98.738506449724753</v>
      </c>
    </row>
    <row r="3849" spans="1:17" x14ac:dyDescent="0.2">
      <c r="A3849">
        <f>YEAR(D3849)</f>
        <v>2019</v>
      </c>
      <c r="B3849" t="s">
        <v>26</v>
      </c>
      <c r="C3849" s="2" t="s">
        <v>3018</v>
      </c>
      <c r="D3849" s="1">
        <v>43679</v>
      </c>
      <c r="E3849">
        <f>MONTH(D3849)</f>
        <v>8</v>
      </c>
      <c r="F3849" s="2" t="s">
        <v>2098</v>
      </c>
      <c r="G3849" t="s">
        <v>230</v>
      </c>
      <c r="H3849" t="s">
        <v>268</v>
      </c>
      <c r="I3849" t="s">
        <v>22</v>
      </c>
      <c r="J3849" s="2" t="s">
        <v>42</v>
      </c>
      <c r="K3849" s="2" t="s">
        <v>3019</v>
      </c>
      <c r="L3849" t="s">
        <v>25</v>
      </c>
      <c r="M3849" s="8">
        <v>3.5356666670000001</v>
      </c>
      <c r="N3849" t="s">
        <v>26</v>
      </c>
      <c r="O3849" s="8">
        <v>3.5356666670000001</v>
      </c>
      <c r="P3849" s="8">
        <f>EXP(-1.363+3.366*LOG(O3849,10))</f>
        <v>1.6211802664427075</v>
      </c>
      <c r="Q3849" s="8">
        <f>(5996898*100)/6073515</f>
        <v>98.738506449724753</v>
      </c>
    </row>
    <row r="3850" spans="1:17" x14ac:dyDescent="0.2">
      <c r="A3850">
        <f>YEAR(D3850)</f>
        <v>2019</v>
      </c>
      <c r="B3850" t="s">
        <v>26</v>
      </c>
      <c r="C3850" s="2" t="s">
        <v>3018</v>
      </c>
      <c r="D3850" s="1">
        <v>43679</v>
      </c>
      <c r="E3850">
        <f>MONTH(D3850)</f>
        <v>8</v>
      </c>
      <c r="F3850" s="2" t="s">
        <v>2098</v>
      </c>
      <c r="G3850" t="s">
        <v>332</v>
      </c>
      <c r="H3850" t="s">
        <v>327</v>
      </c>
      <c r="I3850" t="s">
        <v>22</v>
      </c>
      <c r="J3850" s="2" t="s">
        <v>42</v>
      </c>
      <c r="K3850" s="2" t="s">
        <v>3019</v>
      </c>
      <c r="L3850" t="s">
        <v>25</v>
      </c>
      <c r="M3850" s="8">
        <v>1.239333333</v>
      </c>
      <c r="N3850" t="s">
        <v>26</v>
      </c>
      <c r="O3850" s="8">
        <v>1.239333333</v>
      </c>
      <c r="P3850" s="8">
        <f>EXP(-1.363+3.366*LOG(O3850,10))</f>
        <v>0.35017272283851147</v>
      </c>
      <c r="Q3850" s="8">
        <f>(5996898*100)/6073515</f>
        <v>98.738506449724753</v>
      </c>
    </row>
    <row r="3851" spans="1:17" x14ac:dyDescent="0.2">
      <c r="A3851">
        <f>YEAR(D3851)</f>
        <v>2019</v>
      </c>
      <c r="B3851" t="s">
        <v>26</v>
      </c>
      <c r="C3851" s="2" t="s">
        <v>3018</v>
      </c>
      <c r="D3851" s="1">
        <v>43679</v>
      </c>
      <c r="E3851">
        <f>MONTH(D3851)</f>
        <v>8</v>
      </c>
      <c r="F3851" s="2" t="s">
        <v>2098</v>
      </c>
      <c r="G3851" t="s">
        <v>332</v>
      </c>
      <c r="H3851" t="s">
        <v>327</v>
      </c>
      <c r="I3851" t="s">
        <v>22</v>
      </c>
      <c r="J3851" s="2" t="s">
        <v>42</v>
      </c>
      <c r="K3851" s="2" t="s">
        <v>3019</v>
      </c>
      <c r="L3851" t="s">
        <v>25</v>
      </c>
      <c r="M3851" s="8">
        <v>1.239333333</v>
      </c>
      <c r="N3851" t="s">
        <v>26</v>
      </c>
      <c r="O3851" s="8">
        <v>1.239333333</v>
      </c>
      <c r="P3851" s="8">
        <f>EXP(-1.363+3.366*LOG(O3851,10))</f>
        <v>0.35017272283851147</v>
      </c>
      <c r="Q3851" s="8">
        <f>(5996898*100)/6073515</f>
        <v>98.738506449724753</v>
      </c>
    </row>
    <row r="3852" spans="1:17" x14ac:dyDescent="0.2">
      <c r="A3852">
        <f>YEAR(D3852)</f>
        <v>2019</v>
      </c>
      <c r="B3852" t="s">
        <v>26</v>
      </c>
      <c r="C3852" s="2" t="s">
        <v>3018</v>
      </c>
      <c r="D3852" s="1">
        <v>43679</v>
      </c>
      <c r="E3852">
        <f>MONTH(D3852)</f>
        <v>8</v>
      </c>
      <c r="F3852" s="2" t="s">
        <v>2098</v>
      </c>
      <c r="G3852" t="s">
        <v>332</v>
      </c>
      <c r="H3852" t="s">
        <v>327</v>
      </c>
      <c r="I3852" t="s">
        <v>36</v>
      </c>
      <c r="J3852" s="2" t="s">
        <v>42</v>
      </c>
      <c r="K3852" s="2" t="s">
        <v>3019</v>
      </c>
      <c r="L3852" t="s">
        <v>25</v>
      </c>
      <c r="M3852" s="8">
        <v>1.0693333330000001</v>
      </c>
      <c r="N3852" t="s">
        <v>26</v>
      </c>
      <c r="O3852" s="8">
        <v>1.0693333330000001</v>
      </c>
      <c r="P3852" s="8">
        <f>EXP(-1.363+3.366*LOG(O3852,10))</f>
        <v>0.28223780327142356</v>
      </c>
      <c r="Q3852" s="8">
        <f>(5996898*100)/6073515</f>
        <v>98.738506449724753</v>
      </c>
    </row>
    <row r="3853" spans="1:17" x14ac:dyDescent="0.2">
      <c r="A3853">
        <f>YEAR(D3853)</f>
        <v>2019</v>
      </c>
      <c r="B3853" t="s">
        <v>26</v>
      </c>
      <c r="C3853" s="2" t="s">
        <v>3018</v>
      </c>
      <c r="D3853" s="1">
        <v>43679</v>
      </c>
      <c r="E3853">
        <f>MONTH(D3853)</f>
        <v>8</v>
      </c>
      <c r="F3853" s="2" t="s">
        <v>2098</v>
      </c>
      <c r="G3853" t="s">
        <v>352</v>
      </c>
      <c r="H3853" t="s">
        <v>728</v>
      </c>
      <c r="I3853" t="s">
        <v>22</v>
      </c>
      <c r="J3853" s="2" t="s">
        <v>42</v>
      </c>
      <c r="K3853" s="2" t="s">
        <v>3019</v>
      </c>
      <c r="L3853" t="s">
        <v>187</v>
      </c>
      <c r="M3853" s="8">
        <v>1.8093333330000001</v>
      </c>
      <c r="N3853" t="s">
        <v>26</v>
      </c>
      <c r="O3853" s="8">
        <v>1.8093333330000001</v>
      </c>
      <c r="P3853" s="8">
        <f>EXP(-1.363+3.366*LOG(O3853,10))</f>
        <v>0.6088444603462565</v>
      </c>
      <c r="Q3853" s="8">
        <f>(5996898*100)/6073515</f>
        <v>98.738506449724753</v>
      </c>
    </row>
    <row r="3854" spans="1:17" x14ac:dyDescent="0.2">
      <c r="A3854">
        <f>YEAR(D3854)</f>
        <v>2019</v>
      </c>
      <c r="B3854" t="s">
        <v>26</v>
      </c>
      <c r="C3854" s="2" t="s">
        <v>3018</v>
      </c>
      <c r="D3854" s="1">
        <v>43679</v>
      </c>
      <c r="E3854">
        <f>MONTH(D3854)</f>
        <v>8</v>
      </c>
      <c r="F3854" s="2" t="s">
        <v>2098</v>
      </c>
      <c r="G3854" t="s">
        <v>352</v>
      </c>
      <c r="H3854" t="s">
        <v>728</v>
      </c>
      <c r="I3854" t="s">
        <v>36</v>
      </c>
      <c r="J3854" s="2" t="s">
        <v>42</v>
      </c>
      <c r="K3854" s="2" t="s">
        <v>3019</v>
      </c>
      <c r="L3854" t="s">
        <v>187</v>
      </c>
      <c r="M3854" s="8">
        <v>1.376333333</v>
      </c>
      <c r="N3854" t="s">
        <v>26</v>
      </c>
      <c r="O3854" s="8">
        <v>1.376333333</v>
      </c>
      <c r="P3854" s="8">
        <f>EXP(-1.363+3.366*LOG(O3854,10))</f>
        <v>0.40817622737824627</v>
      </c>
      <c r="Q3854" s="8">
        <f>(5996898*100)/6073515</f>
        <v>98.738506449724753</v>
      </c>
    </row>
    <row r="3855" spans="1:17" x14ac:dyDescent="0.2">
      <c r="A3855">
        <f>YEAR(D3855)</f>
        <v>2019</v>
      </c>
      <c r="B3855" t="s">
        <v>26</v>
      </c>
      <c r="C3855" s="2" t="s">
        <v>3018</v>
      </c>
      <c r="D3855" s="1">
        <v>43679</v>
      </c>
      <c r="E3855">
        <f>MONTH(D3855)</f>
        <v>8</v>
      </c>
      <c r="F3855" s="2" t="s">
        <v>2098</v>
      </c>
      <c r="G3855" t="s">
        <v>230</v>
      </c>
      <c r="H3855" t="s">
        <v>268</v>
      </c>
      <c r="I3855" t="s">
        <v>22</v>
      </c>
      <c r="J3855" s="2" t="s">
        <v>42</v>
      </c>
      <c r="K3855" s="2" t="s">
        <v>3019</v>
      </c>
      <c r="L3855" t="s">
        <v>25</v>
      </c>
      <c r="M3855" s="8">
        <v>3.5356666670000001</v>
      </c>
      <c r="N3855" t="s">
        <v>26</v>
      </c>
      <c r="O3855" s="8">
        <v>3.5356666670000001</v>
      </c>
      <c r="P3855" s="8">
        <f>EXP(-1.363+3.366*LOG(O3855,10))</f>
        <v>1.6211802664427075</v>
      </c>
      <c r="Q3855" s="8">
        <f>(5996898*100)/6073515</f>
        <v>98.738506449724753</v>
      </c>
    </row>
    <row r="3856" spans="1:17" x14ac:dyDescent="0.2">
      <c r="A3856">
        <f>YEAR(D3856)</f>
        <v>2019</v>
      </c>
      <c r="B3856" t="s">
        <v>26</v>
      </c>
      <c r="C3856" s="2" t="s">
        <v>3018</v>
      </c>
      <c r="D3856" s="1">
        <v>43679</v>
      </c>
      <c r="E3856">
        <f>MONTH(D3856)</f>
        <v>8</v>
      </c>
      <c r="F3856" s="2" t="s">
        <v>2098</v>
      </c>
      <c r="G3856" t="s">
        <v>230</v>
      </c>
      <c r="H3856" t="s">
        <v>268</v>
      </c>
      <c r="I3856" t="s">
        <v>22</v>
      </c>
      <c r="J3856" s="2" t="s">
        <v>42</v>
      </c>
      <c r="K3856" s="2" t="s">
        <v>3019</v>
      </c>
      <c r="L3856" t="s">
        <v>25</v>
      </c>
      <c r="M3856" s="8">
        <v>3.5356666670000001</v>
      </c>
      <c r="N3856" t="s">
        <v>26</v>
      </c>
      <c r="O3856" s="8">
        <v>3.5356666670000001</v>
      </c>
      <c r="P3856" s="8">
        <f>EXP(-1.363+3.366*LOG(O3856,10))</f>
        <v>1.6211802664427075</v>
      </c>
      <c r="Q3856" s="8">
        <f>(5996898*100)/6073515</f>
        <v>98.738506449724753</v>
      </c>
    </row>
    <row r="3857" spans="1:17" x14ac:dyDescent="0.2">
      <c r="A3857">
        <f>YEAR(D3857)</f>
        <v>2019</v>
      </c>
      <c r="B3857" t="s">
        <v>26</v>
      </c>
      <c r="C3857" s="2" t="s">
        <v>3018</v>
      </c>
      <c r="D3857" s="1">
        <v>43679</v>
      </c>
      <c r="E3857">
        <f>MONTH(D3857)</f>
        <v>8</v>
      </c>
      <c r="F3857" s="2" t="s">
        <v>2098</v>
      </c>
      <c r="G3857" t="s">
        <v>230</v>
      </c>
      <c r="H3857" t="s">
        <v>268</v>
      </c>
      <c r="I3857" t="s">
        <v>22</v>
      </c>
      <c r="J3857" s="2" t="s">
        <v>42</v>
      </c>
      <c r="K3857" s="2" t="s">
        <v>3019</v>
      </c>
      <c r="L3857" t="s">
        <v>25</v>
      </c>
      <c r="M3857" s="8">
        <v>3.5356666670000001</v>
      </c>
      <c r="N3857" t="s">
        <v>26</v>
      </c>
      <c r="O3857" s="8">
        <v>3.5356666670000001</v>
      </c>
      <c r="P3857" s="8">
        <f>EXP(-1.363+3.366*LOG(O3857,10))</f>
        <v>1.6211802664427075</v>
      </c>
      <c r="Q3857" s="8">
        <f>(5996898*100)/6073515</f>
        <v>98.738506449724753</v>
      </c>
    </row>
    <row r="3858" spans="1:17" x14ac:dyDescent="0.2">
      <c r="A3858">
        <f>YEAR(D3858)</f>
        <v>2019</v>
      </c>
      <c r="B3858" t="s">
        <v>26</v>
      </c>
      <c r="C3858" s="2" t="s">
        <v>3018</v>
      </c>
      <c r="D3858" s="1">
        <v>43679</v>
      </c>
      <c r="E3858">
        <f>MONTH(D3858)</f>
        <v>8</v>
      </c>
      <c r="F3858" s="2" t="s">
        <v>2098</v>
      </c>
      <c r="G3858" t="s">
        <v>230</v>
      </c>
      <c r="H3858" t="s">
        <v>268</v>
      </c>
      <c r="I3858" t="s">
        <v>22</v>
      </c>
      <c r="J3858" s="2" t="s">
        <v>42</v>
      </c>
      <c r="K3858" s="2" t="s">
        <v>3019</v>
      </c>
      <c r="L3858" t="s">
        <v>25</v>
      </c>
      <c r="M3858" s="8">
        <v>3.5356666670000001</v>
      </c>
      <c r="N3858" t="s">
        <v>26</v>
      </c>
      <c r="O3858" s="8">
        <v>3.5356666670000001</v>
      </c>
      <c r="P3858" s="8">
        <f>EXP(-1.363+3.366*LOG(O3858,10))</f>
        <v>1.6211802664427075</v>
      </c>
      <c r="Q3858" s="8">
        <f>(5996898*100)/6073515</f>
        <v>98.738506449724753</v>
      </c>
    </row>
    <row r="3859" spans="1:17" x14ac:dyDescent="0.2">
      <c r="A3859">
        <f>YEAR(D3859)</f>
        <v>2019</v>
      </c>
      <c r="B3859" t="s">
        <v>26</v>
      </c>
      <c r="C3859" s="2" t="s">
        <v>3018</v>
      </c>
      <c r="D3859" s="1">
        <v>43679</v>
      </c>
      <c r="E3859">
        <f>MONTH(D3859)</f>
        <v>8</v>
      </c>
      <c r="F3859" s="2" t="s">
        <v>2098</v>
      </c>
      <c r="G3859" t="s">
        <v>230</v>
      </c>
      <c r="H3859" t="s">
        <v>268</v>
      </c>
      <c r="I3859" t="s">
        <v>22</v>
      </c>
      <c r="J3859" s="2" t="s">
        <v>42</v>
      </c>
      <c r="K3859" s="2" t="s">
        <v>3019</v>
      </c>
      <c r="L3859" t="s">
        <v>25</v>
      </c>
      <c r="M3859" s="8">
        <v>3.5356666670000001</v>
      </c>
      <c r="N3859" t="s">
        <v>26</v>
      </c>
      <c r="O3859" s="8">
        <v>3.5356666670000001</v>
      </c>
      <c r="P3859" s="8">
        <f>EXP(-1.363+3.366*LOG(O3859,10))</f>
        <v>1.6211802664427075</v>
      </c>
      <c r="Q3859" s="8">
        <f>(5996898*100)/6073515</f>
        <v>98.738506449724753</v>
      </c>
    </row>
    <row r="3860" spans="1:17" x14ac:dyDescent="0.2">
      <c r="A3860">
        <f>YEAR(D3860)</f>
        <v>2019</v>
      </c>
      <c r="B3860" t="s">
        <v>26</v>
      </c>
      <c r="C3860" s="2" t="s">
        <v>3018</v>
      </c>
      <c r="D3860" s="1">
        <v>43679</v>
      </c>
      <c r="E3860">
        <f>MONTH(D3860)</f>
        <v>8</v>
      </c>
      <c r="F3860" s="2" t="s">
        <v>2098</v>
      </c>
      <c r="G3860" t="s">
        <v>230</v>
      </c>
      <c r="H3860" t="s">
        <v>268</v>
      </c>
      <c r="I3860" t="s">
        <v>22</v>
      </c>
      <c r="J3860" s="2" t="s">
        <v>42</v>
      </c>
      <c r="K3860" s="2" t="s">
        <v>3019</v>
      </c>
      <c r="L3860" t="s">
        <v>25</v>
      </c>
      <c r="M3860" s="8">
        <v>3.5356666670000001</v>
      </c>
      <c r="N3860" t="s">
        <v>26</v>
      </c>
      <c r="O3860" s="8">
        <v>3.5356666670000001</v>
      </c>
      <c r="P3860" s="8">
        <f>EXP(-1.363+3.366*LOG(O3860,10))</f>
        <v>1.6211802664427075</v>
      </c>
      <c r="Q3860" s="8">
        <f>(5996898*100)/6073515</f>
        <v>98.738506449724753</v>
      </c>
    </row>
    <row r="3861" spans="1:17" x14ac:dyDescent="0.2">
      <c r="A3861">
        <f>YEAR(D3861)</f>
        <v>2019</v>
      </c>
      <c r="B3861" t="s">
        <v>26</v>
      </c>
      <c r="C3861" s="2" t="s">
        <v>3018</v>
      </c>
      <c r="D3861" s="1">
        <v>43679</v>
      </c>
      <c r="E3861">
        <f>MONTH(D3861)</f>
        <v>8</v>
      </c>
      <c r="F3861" s="2" t="s">
        <v>2098</v>
      </c>
      <c r="G3861" t="s">
        <v>230</v>
      </c>
      <c r="H3861" t="s">
        <v>268</v>
      </c>
      <c r="I3861" t="s">
        <v>22</v>
      </c>
      <c r="J3861" s="2" t="s">
        <v>42</v>
      </c>
      <c r="K3861" s="2" t="s">
        <v>3019</v>
      </c>
      <c r="L3861" t="s">
        <v>25</v>
      </c>
      <c r="M3861" s="8">
        <v>3.5356666670000001</v>
      </c>
      <c r="N3861" t="s">
        <v>26</v>
      </c>
      <c r="O3861" s="8">
        <v>3.5356666670000001</v>
      </c>
      <c r="P3861" s="8">
        <f>EXP(-1.363+3.366*LOG(O3861,10))</f>
        <v>1.6211802664427075</v>
      </c>
      <c r="Q3861" s="8">
        <f>(5996898*100)/6073515</f>
        <v>98.738506449724753</v>
      </c>
    </row>
    <row r="3862" spans="1:17" x14ac:dyDescent="0.2">
      <c r="A3862">
        <f>YEAR(D3862)</f>
        <v>2019</v>
      </c>
      <c r="B3862" t="s">
        <v>26</v>
      </c>
      <c r="C3862" s="2" t="s">
        <v>3018</v>
      </c>
      <c r="D3862" s="1">
        <v>43679</v>
      </c>
      <c r="E3862">
        <f>MONTH(D3862)</f>
        <v>8</v>
      </c>
      <c r="F3862" s="2" t="s">
        <v>2098</v>
      </c>
      <c r="G3862" t="s">
        <v>230</v>
      </c>
      <c r="H3862" t="s">
        <v>268</v>
      </c>
      <c r="I3862" t="s">
        <v>22</v>
      </c>
      <c r="J3862" s="2" t="s">
        <v>42</v>
      </c>
      <c r="K3862" s="2" t="s">
        <v>3019</v>
      </c>
      <c r="L3862" t="s">
        <v>25</v>
      </c>
      <c r="M3862" s="8">
        <v>3.5356666670000001</v>
      </c>
      <c r="N3862" t="s">
        <v>26</v>
      </c>
      <c r="O3862" s="8">
        <v>3.5356666670000001</v>
      </c>
      <c r="P3862" s="8">
        <f>EXP(-1.363+3.366*LOG(O3862,10))</f>
        <v>1.6211802664427075</v>
      </c>
      <c r="Q3862" s="8">
        <f>(5996898*100)/6073515</f>
        <v>98.738506449724753</v>
      </c>
    </row>
    <row r="3863" spans="1:17" x14ac:dyDescent="0.2">
      <c r="A3863">
        <f>YEAR(D3863)</f>
        <v>2019</v>
      </c>
      <c r="B3863" t="s">
        <v>26</v>
      </c>
      <c r="C3863" s="2" t="s">
        <v>3018</v>
      </c>
      <c r="D3863" s="1">
        <v>43679</v>
      </c>
      <c r="E3863">
        <f>MONTH(D3863)</f>
        <v>8</v>
      </c>
      <c r="F3863" s="2" t="s">
        <v>2098</v>
      </c>
      <c r="G3863" t="s">
        <v>230</v>
      </c>
      <c r="H3863" t="s">
        <v>268</v>
      </c>
      <c r="I3863" t="s">
        <v>22</v>
      </c>
      <c r="J3863" s="2" t="s">
        <v>42</v>
      </c>
      <c r="K3863" s="2" t="s">
        <v>3019</v>
      </c>
      <c r="L3863" t="s">
        <v>25</v>
      </c>
      <c r="M3863" s="8">
        <v>3.5356666670000001</v>
      </c>
      <c r="N3863" t="s">
        <v>26</v>
      </c>
      <c r="O3863" s="8">
        <v>3.5356666670000001</v>
      </c>
      <c r="P3863" s="8">
        <f>EXP(-1.363+3.366*LOG(O3863,10))</f>
        <v>1.6211802664427075</v>
      </c>
      <c r="Q3863" s="8">
        <f>(5996898*100)/6073515</f>
        <v>98.738506449724753</v>
      </c>
    </row>
    <row r="3864" spans="1:17" x14ac:dyDescent="0.2">
      <c r="A3864">
        <f>YEAR(D3864)</f>
        <v>2019</v>
      </c>
      <c r="B3864" t="s">
        <v>26</v>
      </c>
      <c r="C3864" s="2" t="s">
        <v>3018</v>
      </c>
      <c r="D3864" s="1">
        <v>43679</v>
      </c>
      <c r="E3864">
        <f>MONTH(D3864)</f>
        <v>8</v>
      </c>
      <c r="F3864" s="2" t="s">
        <v>2098</v>
      </c>
      <c r="G3864" t="s">
        <v>230</v>
      </c>
      <c r="H3864" t="s">
        <v>268</v>
      </c>
      <c r="I3864" t="s">
        <v>22</v>
      </c>
      <c r="J3864" s="2" t="s">
        <v>42</v>
      </c>
      <c r="K3864" s="2" t="s">
        <v>3019</v>
      </c>
      <c r="L3864" t="s">
        <v>25</v>
      </c>
      <c r="M3864" s="8">
        <v>3.5356666670000001</v>
      </c>
      <c r="N3864" t="s">
        <v>26</v>
      </c>
      <c r="O3864" s="8">
        <v>3.5356666670000001</v>
      </c>
      <c r="P3864" s="8">
        <f>EXP(-1.363+3.366*LOG(O3864,10))</f>
        <v>1.6211802664427075</v>
      </c>
      <c r="Q3864" s="8">
        <f>(5996898*100)/6073515</f>
        <v>98.738506449724753</v>
      </c>
    </row>
    <row r="3865" spans="1:17" x14ac:dyDescent="0.2">
      <c r="A3865">
        <f>YEAR(D3865)</f>
        <v>2019</v>
      </c>
      <c r="B3865" t="s">
        <v>26</v>
      </c>
      <c r="C3865" s="2" t="s">
        <v>3018</v>
      </c>
      <c r="D3865" s="1">
        <v>43679</v>
      </c>
      <c r="E3865">
        <f>MONTH(D3865)</f>
        <v>8</v>
      </c>
      <c r="F3865" s="2" t="s">
        <v>2098</v>
      </c>
      <c r="G3865" t="s">
        <v>230</v>
      </c>
      <c r="H3865" t="s">
        <v>268</v>
      </c>
      <c r="I3865" t="s">
        <v>22</v>
      </c>
      <c r="J3865" s="2" t="s">
        <v>42</v>
      </c>
      <c r="K3865" s="2" t="s">
        <v>3019</v>
      </c>
      <c r="L3865" t="s">
        <v>25</v>
      </c>
      <c r="M3865" s="8">
        <v>3.5356666670000001</v>
      </c>
      <c r="N3865" t="s">
        <v>26</v>
      </c>
      <c r="O3865" s="8">
        <v>3.5356666670000001</v>
      </c>
      <c r="P3865" s="8">
        <f>EXP(-1.363+3.366*LOG(O3865,10))</f>
        <v>1.6211802664427075</v>
      </c>
      <c r="Q3865" s="8">
        <f>(5996898*100)/6073515</f>
        <v>98.738506449724753</v>
      </c>
    </row>
    <row r="3866" spans="1:17" x14ac:dyDescent="0.2">
      <c r="A3866">
        <f>YEAR(D3866)</f>
        <v>2019</v>
      </c>
      <c r="B3866" t="s">
        <v>26</v>
      </c>
      <c r="C3866" s="2" t="s">
        <v>3018</v>
      </c>
      <c r="D3866" s="1">
        <v>43679</v>
      </c>
      <c r="E3866">
        <f>MONTH(D3866)</f>
        <v>8</v>
      </c>
      <c r="F3866" s="2" t="s">
        <v>2098</v>
      </c>
      <c r="G3866" t="s">
        <v>230</v>
      </c>
      <c r="H3866" t="s">
        <v>268</v>
      </c>
      <c r="I3866" t="s">
        <v>22</v>
      </c>
      <c r="J3866" s="2" t="s">
        <v>42</v>
      </c>
      <c r="K3866" s="2" t="s">
        <v>3019</v>
      </c>
      <c r="L3866" t="s">
        <v>25</v>
      </c>
      <c r="M3866" s="8">
        <v>3.5356666670000001</v>
      </c>
      <c r="N3866" t="s">
        <v>26</v>
      </c>
      <c r="O3866" s="8">
        <v>3.5356666670000001</v>
      </c>
      <c r="P3866" s="8">
        <f>EXP(-1.363+3.366*LOG(O3866,10))</f>
        <v>1.6211802664427075</v>
      </c>
      <c r="Q3866" s="8">
        <f>(5996898*100)/6073515</f>
        <v>98.738506449724753</v>
      </c>
    </row>
    <row r="3867" spans="1:17" x14ac:dyDescent="0.2">
      <c r="A3867">
        <f>YEAR(D3867)</f>
        <v>2019</v>
      </c>
      <c r="B3867" t="s">
        <v>26</v>
      </c>
      <c r="C3867" s="2" t="s">
        <v>3018</v>
      </c>
      <c r="D3867" s="1">
        <v>43679</v>
      </c>
      <c r="E3867">
        <f>MONTH(D3867)</f>
        <v>8</v>
      </c>
      <c r="F3867" s="2" t="s">
        <v>2098</v>
      </c>
      <c r="G3867" t="s">
        <v>230</v>
      </c>
      <c r="H3867" t="s">
        <v>268</v>
      </c>
      <c r="I3867" t="s">
        <v>22</v>
      </c>
      <c r="J3867" s="2" t="s">
        <v>42</v>
      </c>
      <c r="K3867" s="2" t="s">
        <v>3019</v>
      </c>
      <c r="L3867" t="s">
        <v>25</v>
      </c>
      <c r="M3867" s="8">
        <v>3.5356666670000001</v>
      </c>
      <c r="N3867" t="s">
        <v>26</v>
      </c>
      <c r="O3867" s="8">
        <v>3.5356666670000001</v>
      </c>
      <c r="P3867" s="8">
        <f>EXP(-1.363+3.366*LOG(O3867,10))</f>
        <v>1.6211802664427075</v>
      </c>
      <c r="Q3867" s="8">
        <f>(5996898*100)/6073515</f>
        <v>98.738506449724753</v>
      </c>
    </row>
    <row r="3868" spans="1:17" x14ac:dyDescent="0.2">
      <c r="A3868">
        <f>YEAR(D3868)</f>
        <v>2019</v>
      </c>
      <c r="B3868" t="s">
        <v>26</v>
      </c>
      <c r="C3868" s="2" t="s">
        <v>3018</v>
      </c>
      <c r="D3868" s="1">
        <v>43679</v>
      </c>
      <c r="E3868">
        <f>MONTH(D3868)</f>
        <v>8</v>
      </c>
      <c r="F3868" s="2" t="s">
        <v>2098</v>
      </c>
      <c r="G3868" t="s">
        <v>230</v>
      </c>
      <c r="H3868" t="s">
        <v>268</v>
      </c>
      <c r="I3868" t="s">
        <v>22</v>
      </c>
      <c r="J3868" s="2" t="s">
        <v>42</v>
      </c>
      <c r="K3868" s="2" t="s">
        <v>3019</v>
      </c>
      <c r="L3868" t="s">
        <v>25</v>
      </c>
      <c r="M3868" s="8">
        <v>3.5356666670000001</v>
      </c>
      <c r="N3868" t="s">
        <v>26</v>
      </c>
      <c r="O3868" s="8">
        <v>3.5356666670000001</v>
      </c>
      <c r="P3868" s="8">
        <f>EXP(-1.363+3.366*LOG(O3868,10))</f>
        <v>1.6211802664427075</v>
      </c>
      <c r="Q3868" s="8">
        <f>(5996898*100)/6073515</f>
        <v>98.738506449724753</v>
      </c>
    </row>
    <row r="3869" spans="1:17" x14ac:dyDescent="0.2">
      <c r="A3869">
        <f>YEAR(D3869)</f>
        <v>2019</v>
      </c>
      <c r="B3869" t="s">
        <v>26</v>
      </c>
      <c r="C3869" s="2" t="s">
        <v>3018</v>
      </c>
      <c r="D3869" s="1">
        <v>43679</v>
      </c>
      <c r="E3869">
        <f>MONTH(D3869)</f>
        <v>8</v>
      </c>
      <c r="F3869" s="2" t="s">
        <v>2098</v>
      </c>
      <c r="G3869" t="s">
        <v>1520</v>
      </c>
      <c r="H3869" t="s">
        <v>1521</v>
      </c>
      <c r="I3869" t="s">
        <v>22</v>
      </c>
      <c r="J3869" s="2" t="s">
        <v>42</v>
      </c>
      <c r="K3869" s="2" t="s">
        <v>3019</v>
      </c>
      <c r="L3869" t="s">
        <v>25</v>
      </c>
      <c r="M3869" s="8">
        <v>2.952</v>
      </c>
      <c r="N3869" t="s">
        <v>26</v>
      </c>
      <c r="O3869" s="8">
        <v>2.952</v>
      </c>
      <c r="P3869" s="8">
        <f>EXP(-1.363+3.366*LOG(O3869,10))</f>
        <v>1.2453438103764427</v>
      </c>
      <c r="Q3869" s="8">
        <f>(5996898*100)/6073515</f>
        <v>98.738506449724753</v>
      </c>
    </row>
    <row r="3870" spans="1:17" x14ac:dyDescent="0.2">
      <c r="A3870">
        <f>YEAR(D3870)</f>
        <v>2019</v>
      </c>
      <c r="B3870" t="s">
        <v>26</v>
      </c>
      <c r="C3870" s="2" t="s">
        <v>3018</v>
      </c>
      <c r="D3870" s="1">
        <v>43679</v>
      </c>
      <c r="E3870">
        <f>MONTH(D3870)</f>
        <v>8</v>
      </c>
      <c r="F3870" s="2" t="s">
        <v>2098</v>
      </c>
      <c r="G3870" t="s">
        <v>352</v>
      </c>
      <c r="H3870" t="s">
        <v>1459</v>
      </c>
      <c r="I3870" t="s">
        <v>22</v>
      </c>
      <c r="J3870" s="2" t="s">
        <v>42</v>
      </c>
      <c r="K3870" s="2" t="s">
        <v>3019</v>
      </c>
      <c r="L3870" t="s">
        <v>25</v>
      </c>
      <c r="M3870" s="8">
        <v>1.1910000000000001</v>
      </c>
      <c r="N3870" t="s">
        <v>26</v>
      </c>
      <c r="O3870" s="8">
        <v>1.1910000000000001</v>
      </c>
      <c r="P3870" s="8">
        <f>EXP(-1.363+3.366*LOG(O3870,10))</f>
        <v>0.33039016297752993</v>
      </c>
      <c r="Q3870" s="8">
        <f>(5996898*100)/6073515</f>
        <v>98.738506449724753</v>
      </c>
    </row>
    <row r="3871" spans="1:17" x14ac:dyDescent="0.2">
      <c r="A3871">
        <f>YEAR(D3871)</f>
        <v>2019</v>
      </c>
      <c r="B3871" t="s">
        <v>26</v>
      </c>
      <c r="C3871" s="2" t="s">
        <v>3018</v>
      </c>
      <c r="D3871" s="1">
        <v>43679</v>
      </c>
      <c r="E3871">
        <f>MONTH(D3871)</f>
        <v>8</v>
      </c>
      <c r="F3871" s="2" t="s">
        <v>2098</v>
      </c>
      <c r="G3871" t="s">
        <v>352</v>
      </c>
      <c r="H3871" t="s">
        <v>747</v>
      </c>
      <c r="I3871" t="s">
        <v>22</v>
      </c>
      <c r="J3871" s="2" t="s">
        <v>42</v>
      </c>
      <c r="K3871" s="2" t="s">
        <v>3019</v>
      </c>
      <c r="L3871" t="s">
        <v>25</v>
      </c>
      <c r="M3871" s="8">
        <v>1.3726666670000001</v>
      </c>
      <c r="N3871" t="s">
        <v>26</v>
      </c>
      <c r="O3871" s="8">
        <v>1.3726666670000001</v>
      </c>
      <c r="P3871" s="8">
        <f>EXP(-1.363+3.366*LOG(O3871,10))</f>
        <v>0.40658758379567089</v>
      </c>
      <c r="Q3871" s="8">
        <f>(5996898*100)/6073515</f>
        <v>98.738506449724753</v>
      </c>
    </row>
    <row r="3872" spans="1:17" x14ac:dyDescent="0.2">
      <c r="A3872">
        <f>YEAR(D3872)</f>
        <v>2019</v>
      </c>
      <c r="B3872" t="s">
        <v>26</v>
      </c>
      <c r="C3872" s="2" t="s">
        <v>3018</v>
      </c>
      <c r="D3872" s="1">
        <v>43679</v>
      </c>
      <c r="E3872">
        <f>MONTH(D3872)</f>
        <v>8</v>
      </c>
      <c r="F3872" s="2" t="s">
        <v>2098</v>
      </c>
      <c r="G3872" t="s">
        <v>352</v>
      </c>
      <c r="H3872" t="s">
        <v>728</v>
      </c>
      <c r="I3872" t="s">
        <v>36</v>
      </c>
      <c r="J3872" s="2" t="s">
        <v>42</v>
      </c>
      <c r="K3872" s="2" t="s">
        <v>3019</v>
      </c>
      <c r="L3872" t="s">
        <v>187</v>
      </c>
      <c r="M3872" s="8">
        <v>1.376333333</v>
      </c>
      <c r="N3872" t="s">
        <v>26</v>
      </c>
      <c r="O3872" s="8">
        <v>1.376333333</v>
      </c>
      <c r="P3872" s="8">
        <f>EXP(-1.363+3.366*LOG(O3872,10))</f>
        <v>0.40817622737824627</v>
      </c>
      <c r="Q3872" s="8">
        <f>(5996898*100)/6073515</f>
        <v>98.738506449724753</v>
      </c>
    </row>
    <row r="3873" spans="1:17" x14ac:dyDescent="0.2">
      <c r="A3873">
        <f>YEAR(D3873)</f>
        <v>2019</v>
      </c>
      <c r="B3873" t="s">
        <v>26</v>
      </c>
      <c r="C3873" s="2" t="s">
        <v>3018</v>
      </c>
      <c r="D3873" s="1">
        <v>43679</v>
      </c>
      <c r="E3873">
        <f>MONTH(D3873)</f>
        <v>8</v>
      </c>
      <c r="F3873" s="2" t="s">
        <v>2098</v>
      </c>
      <c r="G3873" t="s">
        <v>230</v>
      </c>
      <c r="H3873" t="s">
        <v>268</v>
      </c>
      <c r="I3873" t="s">
        <v>22</v>
      </c>
      <c r="J3873" s="2" t="s">
        <v>42</v>
      </c>
      <c r="K3873" s="2" t="s">
        <v>3019</v>
      </c>
      <c r="L3873" t="s">
        <v>25</v>
      </c>
      <c r="M3873" s="8">
        <v>3.5356666670000001</v>
      </c>
      <c r="N3873" t="s">
        <v>26</v>
      </c>
      <c r="O3873" s="8">
        <v>3.5356666670000001</v>
      </c>
      <c r="P3873" s="8">
        <f>EXP(-1.363+3.366*LOG(O3873,10))</f>
        <v>1.6211802664427075</v>
      </c>
      <c r="Q3873" s="8">
        <f>(5996898*100)/6073515</f>
        <v>98.738506449724753</v>
      </c>
    </row>
    <row r="3874" spans="1:17" x14ac:dyDescent="0.2">
      <c r="A3874">
        <f>YEAR(D3874)</f>
        <v>2019</v>
      </c>
      <c r="B3874" t="s">
        <v>26</v>
      </c>
      <c r="C3874" s="2" t="s">
        <v>3018</v>
      </c>
      <c r="D3874" s="1">
        <v>43679</v>
      </c>
      <c r="E3874">
        <f>MONTH(D3874)</f>
        <v>8</v>
      </c>
      <c r="F3874" s="2" t="s">
        <v>2098</v>
      </c>
      <c r="G3874" t="s">
        <v>332</v>
      </c>
      <c r="H3874" t="s">
        <v>327</v>
      </c>
      <c r="I3874" t="s">
        <v>22</v>
      </c>
      <c r="J3874" s="2" t="s">
        <v>42</v>
      </c>
      <c r="K3874" s="2" t="s">
        <v>3019</v>
      </c>
      <c r="L3874" t="s">
        <v>25</v>
      </c>
      <c r="M3874" s="8">
        <v>1.239333333</v>
      </c>
      <c r="N3874" t="s">
        <v>26</v>
      </c>
      <c r="O3874" s="8">
        <v>1.239333333</v>
      </c>
      <c r="P3874" s="8">
        <f>EXP(-1.363+3.366*LOG(O3874,10))</f>
        <v>0.35017272283851147</v>
      </c>
      <c r="Q3874" s="8">
        <f>(5996898*100)/6073515</f>
        <v>98.738506449724753</v>
      </c>
    </row>
    <row r="3875" spans="1:17" x14ac:dyDescent="0.2">
      <c r="A3875">
        <f>YEAR(D3875)</f>
        <v>2019</v>
      </c>
      <c r="B3875" t="s">
        <v>26</v>
      </c>
      <c r="C3875" s="2" t="s">
        <v>3018</v>
      </c>
      <c r="D3875" s="1">
        <v>43679</v>
      </c>
      <c r="E3875">
        <f>MONTH(D3875)</f>
        <v>8</v>
      </c>
      <c r="F3875" s="2" t="s">
        <v>2098</v>
      </c>
      <c r="G3875" t="s">
        <v>332</v>
      </c>
      <c r="H3875" t="s">
        <v>330</v>
      </c>
      <c r="I3875" t="s">
        <v>22</v>
      </c>
      <c r="J3875" s="2" t="s">
        <v>42</v>
      </c>
      <c r="K3875" s="2" t="s">
        <v>3019</v>
      </c>
      <c r="L3875" t="s">
        <v>25</v>
      </c>
      <c r="M3875" s="8">
        <v>1.2170000000000001</v>
      </c>
      <c r="N3875" t="s">
        <v>26</v>
      </c>
      <c r="O3875" s="8">
        <v>1.2170000000000001</v>
      </c>
      <c r="P3875" s="8">
        <f>EXP(-1.363+3.366*LOG(O3875,10))</f>
        <v>0.34098666307598596</v>
      </c>
      <c r="Q3875" s="8">
        <f>(5996898*100)/6073515</f>
        <v>98.738506449724753</v>
      </c>
    </row>
    <row r="3876" spans="1:17" x14ac:dyDescent="0.2">
      <c r="A3876">
        <f>YEAR(D3876)</f>
        <v>2019</v>
      </c>
      <c r="B3876" t="s">
        <v>26</v>
      </c>
      <c r="C3876" s="2" t="s">
        <v>3018</v>
      </c>
      <c r="D3876" s="1">
        <v>43679</v>
      </c>
      <c r="E3876">
        <f>MONTH(D3876)</f>
        <v>8</v>
      </c>
      <c r="F3876" s="2" t="s">
        <v>2098</v>
      </c>
      <c r="G3876" t="s">
        <v>332</v>
      </c>
      <c r="H3876" t="s">
        <v>330</v>
      </c>
      <c r="I3876" t="s">
        <v>22</v>
      </c>
      <c r="J3876" s="2" t="s">
        <v>42</v>
      </c>
      <c r="K3876" s="2" t="s">
        <v>3019</v>
      </c>
      <c r="L3876" t="s">
        <v>25</v>
      </c>
      <c r="M3876" s="8">
        <v>1.2170000000000001</v>
      </c>
      <c r="N3876" t="s">
        <v>26</v>
      </c>
      <c r="O3876" s="8">
        <v>1.2170000000000001</v>
      </c>
      <c r="P3876" s="8">
        <f>EXP(-1.363+3.366*LOG(O3876,10))</f>
        <v>0.34098666307598596</v>
      </c>
      <c r="Q3876" s="8">
        <f>(5996898*100)/6073515</f>
        <v>98.738506449724753</v>
      </c>
    </row>
    <row r="3877" spans="1:17" x14ac:dyDescent="0.2">
      <c r="A3877">
        <f>YEAR(D3877)</f>
        <v>2019</v>
      </c>
      <c r="B3877" t="s">
        <v>26</v>
      </c>
      <c r="C3877" s="2" t="s">
        <v>3018</v>
      </c>
      <c r="D3877" s="1">
        <v>43679</v>
      </c>
      <c r="E3877">
        <f>MONTH(D3877)</f>
        <v>8</v>
      </c>
      <c r="F3877" s="2" t="s">
        <v>2098</v>
      </c>
      <c r="G3877" t="s">
        <v>332</v>
      </c>
      <c r="H3877" t="s">
        <v>330</v>
      </c>
      <c r="I3877" t="s">
        <v>22</v>
      </c>
      <c r="J3877" s="2" t="s">
        <v>42</v>
      </c>
      <c r="K3877" s="2" t="s">
        <v>3019</v>
      </c>
      <c r="L3877" t="s">
        <v>25</v>
      </c>
      <c r="M3877" s="8">
        <v>1.2170000000000001</v>
      </c>
      <c r="N3877" t="s">
        <v>26</v>
      </c>
      <c r="O3877" s="8">
        <v>1.2170000000000001</v>
      </c>
      <c r="P3877" s="8">
        <f>EXP(-1.363+3.366*LOG(O3877,10))</f>
        <v>0.34098666307598596</v>
      </c>
      <c r="Q3877" s="8">
        <f>(5996898*100)/6073515</f>
        <v>98.738506449724753</v>
      </c>
    </row>
    <row r="3878" spans="1:17" x14ac:dyDescent="0.2">
      <c r="A3878">
        <f>YEAR(D3878)</f>
        <v>2019</v>
      </c>
      <c r="B3878" t="s">
        <v>26</v>
      </c>
      <c r="C3878" s="2" t="s">
        <v>3018</v>
      </c>
      <c r="D3878" s="1">
        <v>43679</v>
      </c>
      <c r="E3878">
        <f>MONTH(D3878)</f>
        <v>8</v>
      </c>
      <c r="F3878" s="2" t="s">
        <v>2098</v>
      </c>
      <c r="G3878" t="s">
        <v>2206</v>
      </c>
      <c r="H3878" t="s">
        <v>2263</v>
      </c>
      <c r="I3878" t="s">
        <v>36</v>
      </c>
      <c r="J3878" s="2" t="s">
        <v>42</v>
      </c>
      <c r="K3878" s="2" t="s">
        <v>3019</v>
      </c>
      <c r="L3878" t="s">
        <v>25</v>
      </c>
      <c r="M3878" s="8">
        <v>4.1670000000000007</v>
      </c>
      <c r="N3878" t="s">
        <v>26</v>
      </c>
      <c r="O3878" s="8">
        <v>4.1670000000000007</v>
      </c>
      <c r="P3878" s="8">
        <f>EXP(-1.363+3.366*LOG(O3878,10))</f>
        <v>2.0612774305709816</v>
      </c>
      <c r="Q3878" s="8">
        <f>(5996898*100)/6073515</f>
        <v>98.738506449724753</v>
      </c>
    </row>
    <row r="3879" spans="1:17" x14ac:dyDescent="0.2">
      <c r="A3879">
        <f>YEAR(D3879)</f>
        <v>2019</v>
      </c>
      <c r="B3879" t="s">
        <v>26</v>
      </c>
      <c r="C3879" s="2" t="s">
        <v>3018</v>
      </c>
      <c r="D3879" s="1">
        <v>43679</v>
      </c>
      <c r="E3879">
        <f>MONTH(D3879)</f>
        <v>8</v>
      </c>
      <c r="F3879" s="2" t="s">
        <v>2098</v>
      </c>
      <c r="G3879" t="s">
        <v>230</v>
      </c>
      <c r="H3879" t="s">
        <v>268</v>
      </c>
      <c r="I3879" t="s">
        <v>36</v>
      </c>
      <c r="J3879" s="2" t="s">
        <v>42</v>
      </c>
      <c r="K3879" s="2" t="s">
        <v>3019</v>
      </c>
      <c r="L3879" t="s">
        <v>25</v>
      </c>
      <c r="M3879" s="8">
        <v>3.3683333329999998</v>
      </c>
      <c r="N3879" t="s">
        <v>26</v>
      </c>
      <c r="O3879" s="8">
        <v>3.3683333329999998</v>
      </c>
      <c r="P3879" s="8">
        <f>EXP(-1.363+3.366*LOG(O3879,10))</f>
        <v>1.510255893489963</v>
      </c>
      <c r="Q3879" s="8">
        <f>(5996898*100)/6073515</f>
        <v>98.738506449724753</v>
      </c>
    </row>
    <row r="3880" spans="1:17" x14ac:dyDescent="0.2">
      <c r="A3880">
        <f>YEAR(D3880)</f>
        <v>2019</v>
      </c>
      <c r="B3880" t="s">
        <v>26</v>
      </c>
      <c r="C3880" s="2" t="s">
        <v>3018</v>
      </c>
      <c r="D3880" s="1">
        <v>43679</v>
      </c>
      <c r="E3880">
        <f>MONTH(D3880)</f>
        <v>8</v>
      </c>
      <c r="F3880" s="2" t="s">
        <v>2098</v>
      </c>
      <c r="G3880" t="s">
        <v>352</v>
      </c>
      <c r="H3880" t="s">
        <v>1459</v>
      </c>
      <c r="I3880" t="s">
        <v>22</v>
      </c>
      <c r="J3880" s="2" t="s">
        <v>42</v>
      </c>
      <c r="K3880" s="2" t="s">
        <v>3019</v>
      </c>
      <c r="L3880" t="s">
        <v>25</v>
      </c>
      <c r="M3880" s="8">
        <v>1.1910000000000001</v>
      </c>
      <c r="N3880" t="s">
        <v>26</v>
      </c>
      <c r="O3880" s="8">
        <v>1.1910000000000001</v>
      </c>
      <c r="P3880" s="8">
        <f>EXP(-1.363+3.366*LOG(O3880,10))</f>
        <v>0.33039016297752993</v>
      </c>
      <c r="Q3880" s="8">
        <f>(5996898*100)/6073515</f>
        <v>98.738506449724753</v>
      </c>
    </row>
    <row r="3881" spans="1:17" x14ac:dyDescent="0.2">
      <c r="A3881">
        <f>YEAR(D3881)</f>
        <v>2019</v>
      </c>
      <c r="B3881" t="s">
        <v>26</v>
      </c>
      <c r="C3881" s="2" t="s">
        <v>3018</v>
      </c>
      <c r="D3881" s="1">
        <v>43679</v>
      </c>
      <c r="E3881">
        <f>MONTH(D3881)</f>
        <v>8</v>
      </c>
      <c r="F3881" s="2" t="s">
        <v>2098</v>
      </c>
      <c r="G3881" t="s">
        <v>352</v>
      </c>
      <c r="H3881" t="s">
        <v>2167</v>
      </c>
      <c r="I3881" t="s">
        <v>22</v>
      </c>
      <c r="J3881" s="2" t="s">
        <v>42</v>
      </c>
      <c r="K3881" s="2" t="s">
        <v>3019</v>
      </c>
      <c r="L3881" t="s">
        <v>25</v>
      </c>
      <c r="M3881" s="8">
        <v>1.2443333329999999</v>
      </c>
      <c r="N3881" t="s">
        <v>26</v>
      </c>
      <c r="O3881" s="8">
        <v>1.2443333329999999</v>
      </c>
      <c r="P3881" s="8">
        <f>EXP(-1.363+3.366*LOG(O3881,10))</f>
        <v>0.35223984777902306</v>
      </c>
      <c r="Q3881" s="8">
        <f>(5996898*100)/6073515</f>
        <v>98.738506449724753</v>
      </c>
    </row>
    <row r="3882" spans="1:17" x14ac:dyDescent="0.2">
      <c r="A3882">
        <f>YEAR(D3882)</f>
        <v>2019</v>
      </c>
      <c r="B3882" t="s">
        <v>26</v>
      </c>
      <c r="C3882" s="2" t="s">
        <v>3018</v>
      </c>
      <c r="D3882" s="1">
        <v>43679</v>
      </c>
      <c r="E3882">
        <f>MONTH(D3882)</f>
        <v>8</v>
      </c>
      <c r="F3882" s="2" t="s">
        <v>2098</v>
      </c>
      <c r="G3882" t="s">
        <v>2206</v>
      </c>
      <c r="H3882" t="s">
        <v>2263</v>
      </c>
      <c r="I3882" t="s">
        <v>22</v>
      </c>
      <c r="J3882" s="2" t="s">
        <v>42</v>
      </c>
      <c r="K3882" s="2" t="s">
        <v>3019</v>
      </c>
      <c r="L3882" t="s">
        <v>25</v>
      </c>
      <c r="M3882" s="8">
        <v>3.7376666670000001</v>
      </c>
      <c r="N3882" t="s">
        <v>26</v>
      </c>
      <c r="O3882" s="8">
        <v>3.7376666670000001</v>
      </c>
      <c r="P3882" s="8">
        <f>EXP(-1.363+3.366*LOG(O3882,10))</f>
        <v>1.7583458516827115</v>
      </c>
      <c r="Q3882" s="8">
        <f>(5996898*100)/6073515</f>
        <v>98.738506449724753</v>
      </c>
    </row>
    <row r="3883" spans="1:17" x14ac:dyDescent="0.2">
      <c r="A3883">
        <f>YEAR(D3883)</f>
        <v>2019</v>
      </c>
      <c r="B3883" t="s">
        <v>26</v>
      </c>
      <c r="C3883" s="2" t="s">
        <v>3018</v>
      </c>
      <c r="D3883" s="1">
        <v>43679</v>
      </c>
      <c r="E3883">
        <f>MONTH(D3883)</f>
        <v>8</v>
      </c>
      <c r="F3883" s="2" t="s">
        <v>2098</v>
      </c>
      <c r="G3883" t="s">
        <v>230</v>
      </c>
      <c r="H3883" t="s">
        <v>235</v>
      </c>
      <c r="I3883" t="s">
        <v>36</v>
      </c>
      <c r="J3883" s="2" t="s">
        <v>42</v>
      </c>
      <c r="K3883" s="2" t="s">
        <v>3019</v>
      </c>
      <c r="L3883" t="s">
        <v>25</v>
      </c>
      <c r="M3883" s="8">
        <v>3.6166666666666667</v>
      </c>
      <c r="N3883" t="s">
        <v>26</v>
      </c>
      <c r="O3883" s="8">
        <v>3.6166666666666667</v>
      </c>
      <c r="P3883" s="8">
        <f>EXP(-1.363+3.366*LOG(O3883,10))</f>
        <v>1.6757592653929465</v>
      </c>
      <c r="Q3883" s="8">
        <f>(5996898*100)/6073515</f>
        <v>98.738506449724753</v>
      </c>
    </row>
    <row r="3884" spans="1:17" x14ac:dyDescent="0.2">
      <c r="A3884">
        <f>YEAR(D3884)</f>
        <v>2019</v>
      </c>
      <c r="B3884" t="s">
        <v>26</v>
      </c>
      <c r="C3884" s="2" t="s">
        <v>3018</v>
      </c>
      <c r="D3884" s="1">
        <v>43679</v>
      </c>
      <c r="E3884">
        <f>MONTH(D3884)</f>
        <v>8</v>
      </c>
      <c r="F3884" s="2" t="s">
        <v>2098</v>
      </c>
      <c r="G3884" t="s">
        <v>1520</v>
      </c>
      <c r="H3884" t="s">
        <v>1528</v>
      </c>
      <c r="I3884" t="s">
        <v>36</v>
      </c>
      <c r="J3884" s="2" t="s">
        <v>42</v>
      </c>
      <c r="K3884" s="2" t="s">
        <v>3019</v>
      </c>
      <c r="L3884" t="s">
        <v>25</v>
      </c>
      <c r="M3884" s="8">
        <v>3.3860000000000001</v>
      </c>
      <c r="N3884" t="s">
        <v>26</v>
      </c>
      <c r="O3884" s="8">
        <v>3.3860000000000001</v>
      </c>
      <c r="P3884" s="8">
        <f>EXP(-1.363+3.366*LOG(O3884,10))</f>
        <v>1.5218493704875904</v>
      </c>
      <c r="Q3884" s="8">
        <f>(5996898*100)/6073515</f>
        <v>98.738506449724753</v>
      </c>
    </row>
    <row r="3885" spans="1:17" x14ac:dyDescent="0.2">
      <c r="A3885">
        <f>YEAR(D3885)</f>
        <v>2019</v>
      </c>
      <c r="B3885" t="s">
        <v>26</v>
      </c>
      <c r="C3885" s="2" t="s">
        <v>3018</v>
      </c>
      <c r="D3885" s="1">
        <v>43679</v>
      </c>
      <c r="E3885">
        <f>MONTH(D3885)</f>
        <v>8</v>
      </c>
      <c r="F3885" s="2" t="s">
        <v>2098</v>
      </c>
      <c r="G3885" t="s">
        <v>230</v>
      </c>
      <c r="H3885" t="s">
        <v>268</v>
      </c>
      <c r="I3885" t="s">
        <v>22</v>
      </c>
      <c r="J3885" s="2" t="s">
        <v>42</v>
      </c>
      <c r="K3885" s="2" t="s">
        <v>3019</v>
      </c>
      <c r="L3885" t="s">
        <v>25</v>
      </c>
      <c r="M3885" s="8">
        <v>3.5356666670000001</v>
      </c>
      <c r="N3885" t="s">
        <v>26</v>
      </c>
      <c r="O3885" s="8">
        <v>3.5356666670000001</v>
      </c>
      <c r="P3885" s="8">
        <f>EXP(-1.363+3.366*LOG(O3885,10))</f>
        <v>1.6211802664427075</v>
      </c>
      <c r="Q3885" s="8">
        <f>(5996898*100)/6073515</f>
        <v>98.738506449724753</v>
      </c>
    </row>
    <row r="3886" spans="1:17" x14ac:dyDescent="0.2">
      <c r="A3886">
        <f>YEAR(D3886)</f>
        <v>2019</v>
      </c>
      <c r="B3886" t="s">
        <v>26</v>
      </c>
      <c r="C3886" s="2" t="s">
        <v>3018</v>
      </c>
      <c r="D3886" s="1">
        <v>43679</v>
      </c>
      <c r="E3886">
        <f>MONTH(D3886)</f>
        <v>8</v>
      </c>
      <c r="F3886" s="2" t="s">
        <v>2098</v>
      </c>
      <c r="G3886" t="s">
        <v>230</v>
      </c>
      <c r="H3886" t="s">
        <v>268</v>
      </c>
      <c r="I3886" t="s">
        <v>36</v>
      </c>
      <c r="J3886" s="2" t="s">
        <v>42</v>
      </c>
      <c r="K3886" s="2" t="s">
        <v>3019</v>
      </c>
      <c r="L3886" t="s">
        <v>25</v>
      </c>
      <c r="M3886" s="8">
        <v>3.3683333329999998</v>
      </c>
      <c r="N3886" t="s">
        <v>26</v>
      </c>
      <c r="O3886" s="8">
        <v>3.3683333329999998</v>
      </c>
      <c r="P3886" s="8">
        <f>EXP(-1.363+3.366*LOG(O3886,10))</f>
        <v>1.510255893489963</v>
      </c>
      <c r="Q3886" s="8">
        <f>(5996898*100)/6073515</f>
        <v>98.738506449724753</v>
      </c>
    </row>
    <row r="3887" spans="1:17" x14ac:dyDescent="0.2">
      <c r="A3887">
        <f>YEAR(D3887)</f>
        <v>2019</v>
      </c>
      <c r="B3887" t="s">
        <v>26</v>
      </c>
      <c r="C3887" s="2" t="s">
        <v>3018</v>
      </c>
      <c r="D3887" s="1">
        <v>43679</v>
      </c>
      <c r="E3887">
        <f>MONTH(D3887)</f>
        <v>8</v>
      </c>
      <c r="F3887" s="2" t="s">
        <v>2098</v>
      </c>
      <c r="G3887" t="s">
        <v>230</v>
      </c>
      <c r="H3887" t="s">
        <v>268</v>
      </c>
      <c r="I3887" t="s">
        <v>22</v>
      </c>
      <c r="J3887" s="2" t="s">
        <v>42</v>
      </c>
      <c r="K3887" s="2" t="s">
        <v>3019</v>
      </c>
      <c r="L3887" t="s">
        <v>25</v>
      </c>
      <c r="M3887" s="8">
        <v>3.5356666670000001</v>
      </c>
      <c r="N3887" t="s">
        <v>26</v>
      </c>
      <c r="O3887" s="8">
        <v>3.5356666670000001</v>
      </c>
      <c r="P3887" s="8">
        <f>EXP(-1.363+3.366*LOG(O3887,10))</f>
        <v>1.6211802664427075</v>
      </c>
      <c r="Q3887" s="8">
        <f>(5996898*100)/6073515</f>
        <v>98.738506449724753</v>
      </c>
    </row>
    <row r="3888" spans="1:17" x14ac:dyDescent="0.2">
      <c r="A3888">
        <f>YEAR(D3888)</f>
        <v>2019</v>
      </c>
      <c r="B3888" t="s">
        <v>26</v>
      </c>
      <c r="C3888" s="2" t="s">
        <v>3027</v>
      </c>
      <c r="D3888" s="1">
        <v>43679</v>
      </c>
      <c r="E3888">
        <f>MONTH(D3888)</f>
        <v>8</v>
      </c>
      <c r="F3888" s="2" t="s">
        <v>2098</v>
      </c>
      <c r="G3888" t="s">
        <v>1520</v>
      </c>
      <c r="H3888" t="s">
        <v>1521</v>
      </c>
      <c r="I3888" t="s">
        <v>22</v>
      </c>
      <c r="J3888" s="2" t="s">
        <v>42</v>
      </c>
      <c r="K3888" s="2" t="s">
        <v>3019</v>
      </c>
      <c r="L3888" t="s">
        <v>25</v>
      </c>
      <c r="M3888" s="8">
        <v>2.952</v>
      </c>
      <c r="N3888" t="s">
        <v>26</v>
      </c>
      <c r="O3888" s="8">
        <v>2.952</v>
      </c>
      <c r="P3888" s="8">
        <f>EXP(-1.363+3.366*LOG(O3888,10))</f>
        <v>1.2453438103764427</v>
      </c>
      <c r="Q3888" s="8">
        <f>(3939723*100)/4442581</f>
        <v>88.680949204977921</v>
      </c>
    </row>
    <row r="3889" spans="1:17" x14ac:dyDescent="0.2">
      <c r="A3889">
        <f>YEAR(D3889)</f>
        <v>2019</v>
      </c>
      <c r="B3889" t="s">
        <v>26</v>
      </c>
      <c r="C3889" s="2" t="s">
        <v>3027</v>
      </c>
      <c r="D3889" s="1">
        <v>43679</v>
      </c>
      <c r="E3889">
        <f>MONTH(D3889)</f>
        <v>8</v>
      </c>
      <c r="F3889" s="2" t="s">
        <v>2098</v>
      </c>
      <c r="G3889" t="s">
        <v>1520</v>
      </c>
      <c r="H3889" t="s">
        <v>1521</v>
      </c>
      <c r="I3889" t="s">
        <v>22</v>
      </c>
      <c r="J3889" s="2" t="s">
        <v>42</v>
      </c>
      <c r="K3889" s="2" t="s">
        <v>3019</v>
      </c>
      <c r="L3889" t="s">
        <v>25</v>
      </c>
      <c r="M3889" s="8">
        <v>2.952</v>
      </c>
      <c r="N3889" t="s">
        <v>26</v>
      </c>
      <c r="O3889" s="8">
        <v>2.952</v>
      </c>
      <c r="P3889" s="8">
        <f>EXP(-1.363+3.366*LOG(O3889,10))</f>
        <v>1.2453438103764427</v>
      </c>
      <c r="Q3889" s="8">
        <f>(3939723*100)/4442581</f>
        <v>88.680949204977921</v>
      </c>
    </row>
    <row r="3890" spans="1:17" x14ac:dyDescent="0.2">
      <c r="A3890">
        <f>YEAR(D3890)</f>
        <v>2019</v>
      </c>
      <c r="B3890" t="s">
        <v>26</v>
      </c>
      <c r="C3890" s="2" t="s">
        <v>3027</v>
      </c>
      <c r="D3890" s="1">
        <v>43679</v>
      </c>
      <c r="E3890">
        <f>MONTH(D3890)</f>
        <v>8</v>
      </c>
      <c r="F3890" s="2" t="s">
        <v>2098</v>
      </c>
      <c r="G3890" t="s">
        <v>1520</v>
      </c>
      <c r="H3890" t="s">
        <v>1521</v>
      </c>
      <c r="I3890" t="s">
        <v>36</v>
      </c>
      <c r="J3890" s="2" t="s">
        <v>42</v>
      </c>
      <c r="K3890" s="2" t="s">
        <v>3019</v>
      </c>
      <c r="L3890" t="s">
        <v>25</v>
      </c>
      <c r="M3890" s="8">
        <v>2.3340000000000001</v>
      </c>
      <c r="N3890" t="s">
        <v>26</v>
      </c>
      <c r="O3890" s="8">
        <v>2.3340000000000001</v>
      </c>
      <c r="P3890" s="8">
        <f>EXP(-1.363+3.366*LOG(O3890,10))</f>
        <v>0.88340410488080767</v>
      </c>
      <c r="Q3890" s="8">
        <f>(3939723*100)/4442581</f>
        <v>88.680949204977921</v>
      </c>
    </row>
    <row r="3891" spans="1:17" x14ac:dyDescent="0.2">
      <c r="A3891">
        <f>YEAR(D3891)</f>
        <v>2019</v>
      </c>
      <c r="B3891" t="s">
        <v>26</v>
      </c>
      <c r="C3891" s="2" t="s">
        <v>3027</v>
      </c>
      <c r="D3891" s="1">
        <v>43679</v>
      </c>
      <c r="E3891">
        <f>MONTH(D3891)</f>
        <v>8</v>
      </c>
      <c r="F3891" s="2" t="s">
        <v>2098</v>
      </c>
      <c r="G3891" t="s">
        <v>332</v>
      </c>
      <c r="H3891" t="s">
        <v>327</v>
      </c>
      <c r="I3891" t="s">
        <v>36</v>
      </c>
      <c r="J3891" s="2" t="s">
        <v>42</v>
      </c>
      <c r="K3891" s="2" t="s">
        <v>3019</v>
      </c>
      <c r="L3891" t="s">
        <v>25</v>
      </c>
      <c r="M3891" s="8">
        <v>1.0693333330000001</v>
      </c>
      <c r="N3891" t="s">
        <v>26</v>
      </c>
      <c r="O3891" s="8">
        <v>1.0693333330000001</v>
      </c>
      <c r="P3891" s="8">
        <f>EXP(-1.363+3.366*LOG(O3891,10))</f>
        <v>0.28223780327142356</v>
      </c>
      <c r="Q3891" s="8">
        <f>(3939723*100)/4442581</f>
        <v>88.680949204977921</v>
      </c>
    </row>
    <row r="3892" spans="1:17" x14ac:dyDescent="0.2">
      <c r="A3892">
        <f>YEAR(D3892)</f>
        <v>2019</v>
      </c>
      <c r="B3892" t="s">
        <v>26</v>
      </c>
      <c r="C3892" s="2" t="s">
        <v>3027</v>
      </c>
      <c r="D3892" s="1">
        <v>43679</v>
      </c>
      <c r="E3892">
        <f>MONTH(D3892)</f>
        <v>8</v>
      </c>
      <c r="F3892" s="2" t="s">
        <v>2098</v>
      </c>
      <c r="G3892" t="s">
        <v>230</v>
      </c>
      <c r="H3892" t="s">
        <v>268</v>
      </c>
      <c r="I3892" t="s">
        <v>22</v>
      </c>
      <c r="J3892" s="2" t="s">
        <v>42</v>
      </c>
      <c r="K3892" s="2" t="s">
        <v>3019</v>
      </c>
      <c r="L3892" t="s">
        <v>25</v>
      </c>
      <c r="M3892" s="8">
        <v>3.5356666670000001</v>
      </c>
      <c r="N3892" t="s">
        <v>26</v>
      </c>
      <c r="O3892" s="8">
        <v>3.5356666670000001</v>
      </c>
      <c r="P3892" s="8">
        <f>EXP(-1.363+3.366*LOG(O3892,10))</f>
        <v>1.6211802664427075</v>
      </c>
      <c r="Q3892" s="8">
        <f>(3939723*100)/4442581</f>
        <v>88.680949204977921</v>
      </c>
    </row>
    <row r="3893" spans="1:17" x14ac:dyDescent="0.2">
      <c r="A3893">
        <f>YEAR(D3893)</f>
        <v>2019</v>
      </c>
      <c r="B3893" t="s">
        <v>26</v>
      </c>
      <c r="C3893" s="2" t="s">
        <v>3026</v>
      </c>
      <c r="D3893" s="1">
        <v>43682</v>
      </c>
      <c r="E3893">
        <f>MONTH(D3893)</f>
        <v>8</v>
      </c>
      <c r="F3893" s="2" t="s">
        <v>2098</v>
      </c>
      <c r="G3893" t="s">
        <v>219</v>
      </c>
      <c r="H3893" t="s">
        <v>220</v>
      </c>
      <c r="I3893" t="s">
        <v>22</v>
      </c>
      <c r="J3893" s="2" t="s">
        <v>42</v>
      </c>
      <c r="K3893" s="2" t="s">
        <v>3019</v>
      </c>
      <c r="L3893" t="s">
        <v>25</v>
      </c>
      <c r="M3893" s="10" t="s">
        <v>26</v>
      </c>
      <c r="N3893" t="s">
        <v>26</v>
      </c>
      <c r="O3893" s="10" t="s">
        <v>26</v>
      </c>
      <c r="P3893" s="8" t="s">
        <v>26</v>
      </c>
      <c r="Q3893" s="8">
        <f>(2317420*100)/2442061</f>
        <v>94.896073439606951</v>
      </c>
    </row>
    <row r="3894" spans="1:17" x14ac:dyDescent="0.2">
      <c r="A3894">
        <f>YEAR(D3894)</f>
        <v>2019</v>
      </c>
      <c r="B3894" t="s">
        <v>26</v>
      </c>
      <c r="C3894" s="2" t="s">
        <v>3026</v>
      </c>
      <c r="D3894" s="1">
        <v>43682</v>
      </c>
      <c r="E3894">
        <f>MONTH(D3894)</f>
        <v>8</v>
      </c>
      <c r="F3894" s="2" t="s">
        <v>2098</v>
      </c>
      <c r="G3894" t="s">
        <v>219</v>
      </c>
      <c r="H3894" t="s">
        <v>220</v>
      </c>
      <c r="I3894" t="s">
        <v>22</v>
      </c>
      <c r="J3894" s="2" t="s">
        <v>42</v>
      </c>
      <c r="K3894" s="2" t="s">
        <v>3019</v>
      </c>
      <c r="L3894" t="s">
        <v>25</v>
      </c>
      <c r="M3894" s="10" t="s">
        <v>26</v>
      </c>
      <c r="N3894" t="s">
        <v>26</v>
      </c>
      <c r="O3894" s="10" t="s">
        <v>26</v>
      </c>
      <c r="P3894" s="8" t="s">
        <v>26</v>
      </c>
      <c r="Q3894" s="8">
        <f>(2317420*100)/2442061</f>
        <v>94.896073439606951</v>
      </c>
    </row>
    <row r="3895" spans="1:17" x14ac:dyDescent="0.2">
      <c r="A3895">
        <f>YEAR(D3895)</f>
        <v>2019</v>
      </c>
      <c r="B3895" t="s">
        <v>26</v>
      </c>
      <c r="C3895" s="2" t="s">
        <v>3026</v>
      </c>
      <c r="D3895" s="1">
        <v>43682</v>
      </c>
      <c r="E3895">
        <f>MONTH(D3895)</f>
        <v>8</v>
      </c>
      <c r="F3895" s="2" t="s">
        <v>2098</v>
      </c>
      <c r="G3895" t="s">
        <v>219</v>
      </c>
      <c r="H3895" t="s">
        <v>220</v>
      </c>
      <c r="I3895" t="s">
        <v>22</v>
      </c>
      <c r="J3895" s="2" t="s">
        <v>42</v>
      </c>
      <c r="K3895" s="2" t="s">
        <v>3019</v>
      </c>
      <c r="L3895" t="s">
        <v>25</v>
      </c>
      <c r="M3895" s="10" t="s">
        <v>26</v>
      </c>
      <c r="N3895" t="s">
        <v>26</v>
      </c>
      <c r="O3895" s="10" t="s">
        <v>26</v>
      </c>
      <c r="P3895" s="8" t="s">
        <v>26</v>
      </c>
      <c r="Q3895" s="8">
        <f>(2317420*100)/2442061</f>
        <v>94.896073439606951</v>
      </c>
    </row>
    <row r="3896" spans="1:17" x14ac:dyDescent="0.2">
      <c r="A3896">
        <f>YEAR(D3896)</f>
        <v>2019</v>
      </c>
      <c r="B3896" t="s">
        <v>26</v>
      </c>
      <c r="C3896" s="2" t="s">
        <v>3026</v>
      </c>
      <c r="D3896" s="1">
        <v>43682</v>
      </c>
      <c r="E3896">
        <f>MONTH(D3896)</f>
        <v>8</v>
      </c>
      <c r="F3896" s="2" t="s">
        <v>2098</v>
      </c>
      <c r="G3896" t="s">
        <v>219</v>
      </c>
      <c r="H3896" t="s">
        <v>220</v>
      </c>
      <c r="I3896" t="s">
        <v>22</v>
      </c>
      <c r="J3896" s="2" t="s">
        <v>42</v>
      </c>
      <c r="K3896" s="2" t="s">
        <v>3019</v>
      </c>
      <c r="L3896" t="s">
        <v>25</v>
      </c>
      <c r="M3896" s="10" t="s">
        <v>26</v>
      </c>
      <c r="N3896" t="s">
        <v>26</v>
      </c>
      <c r="O3896" s="10" t="s">
        <v>26</v>
      </c>
      <c r="P3896" s="8" t="s">
        <v>26</v>
      </c>
      <c r="Q3896" s="8">
        <f>(2317420*100)/2442061</f>
        <v>94.896073439606951</v>
      </c>
    </row>
    <row r="3897" spans="1:17" x14ac:dyDescent="0.2">
      <c r="A3897">
        <f>YEAR(D3897)</f>
        <v>2019</v>
      </c>
      <c r="B3897" t="s">
        <v>26</v>
      </c>
      <c r="C3897" s="2" t="s">
        <v>3026</v>
      </c>
      <c r="D3897" s="1">
        <v>43682</v>
      </c>
      <c r="E3897">
        <f>MONTH(D3897)</f>
        <v>8</v>
      </c>
      <c r="F3897" s="2" t="s">
        <v>2098</v>
      </c>
      <c r="G3897" t="s">
        <v>219</v>
      </c>
      <c r="H3897" t="s">
        <v>220</v>
      </c>
      <c r="I3897" t="s">
        <v>22</v>
      </c>
      <c r="J3897" s="2" t="s">
        <v>42</v>
      </c>
      <c r="K3897" s="2" t="s">
        <v>3019</v>
      </c>
      <c r="L3897" t="s">
        <v>25</v>
      </c>
      <c r="M3897" s="10" t="s">
        <v>26</v>
      </c>
      <c r="N3897" t="s">
        <v>26</v>
      </c>
      <c r="O3897" s="10" t="s">
        <v>26</v>
      </c>
      <c r="P3897" s="8" t="s">
        <v>26</v>
      </c>
      <c r="Q3897" s="8">
        <f>(2317420*100)/2442061</f>
        <v>94.896073439606951</v>
      </c>
    </row>
    <row r="3898" spans="1:17" x14ac:dyDescent="0.2">
      <c r="A3898">
        <f>YEAR(D3898)</f>
        <v>2019</v>
      </c>
      <c r="B3898" t="s">
        <v>26</v>
      </c>
      <c r="C3898" s="2" t="s">
        <v>3026</v>
      </c>
      <c r="D3898" s="1">
        <v>43682</v>
      </c>
      <c r="E3898">
        <f>MONTH(D3898)</f>
        <v>8</v>
      </c>
      <c r="F3898" s="2" t="s">
        <v>2098</v>
      </c>
      <c r="G3898" t="s">
        <v>219</v>
      </c>
      <c r="H3898" t="s">
        <v>220</v>
      </c>
      <c r="I3898" t="s">
        <v>22</v>
      </c>
      <c r="J3898" s="2" t="s">
        <v>42</v>
      </c>
      <c r="K3898" s="2" t="s">
        <v>3019</v>
      </c>
      <c r="L3898" t="s">
        <v>25</v>
      </c>
      <c r="M3898" s="10" t="s">
        <v>26</v>
      </c>
      <c r="N3898" t="s">
        <v>26</v>
      </c>
      <c r="O3898" s="10" t="s">
        <v>26</v>
      </c>
      <c r="P3898" s="8" t="s">
        <v>26</v>
      </c>
      <c r="Q3898" s="8">
        <f>(2317420*100)/2442061</f>
        <v>94.896073439606951</v>
      </c>
    </row>
    <row r="3899" spans="1:17" x14ac:dyDescent="0.2">
      <c r="A3899">
        <f>YEAR(D3899)</f>
        <v>2019</v>
      </c>
      <c r="B3899" t="s">
        <v>26</v>
      </c>
      <c r="C3899" s="2" t="s">
        <v>3026</v>
      </c>
      <c r="D3899" s="1">
        <v>43682</v>
      </c>
      <c r="E3899">
        <f>MONTH(D3899)</f>
        <v>8</v>
      </c>
      <c r="F3899" s="2" t="s">
        <v>2098</v>
      </c>
      <c r="G3899" t="s">
        <v>219</v>
      </c>
      <c r="H3899" t="s">
        <v>220</v>
      </c>
      <c r="I3899" t="s">
        <v>22</v>
      </c>
      <c r="J3899" s="2" t="s">
        <v>42</v>
      </c>
      <c r="K3899" s="2" t="s">
        <v>3019</v>
      </c>
      <c r="L3899" t="s">
        <v>25</v>
      </c>
      <c r="M3899" s="10" t="s">
        <v>26</v>
      </c>
      <c r="N3899" t="s">
        <v>26</v>
      </c>
      <c r="O3899" s="10" t="s">
        <v>26</v>
      </c>
      <c r="P3899" s="8" t="s">
        <v>26</v>
      </c>
      <c r="Q3899" s="8">
        <f>(2317420*100)/2442061</f>
        <v>94.896073439606951</v>
      </c>
    </row>
    <row r="3900" spans="1:17" x14ac:dyDescent="0.2">
      <c r="A3900">
        <f>YEAR(D3900)</f>
        <v>2019</v>
      </c>
      <c r="B3900" t="s">
        <v>26</v>
      </c>
      <c r="C3900" s="2" t="s">
        <v>3026</v>
      </c>
      <c r="D3900" s="1">
        <v>43682</v>
      </c>
      <c r="E3900">
        <f>MONTH(D3900)</f>
        <v>8</v>
      </c>
      <c r="F3900" s="2" t="s">
        <v>2098</v>
      </c>
      <c r="G3900" t="s">
        <v>230</v>
      </c>
      <c r="H3900" t="s">
        <v>268</v>
      </c>
      <c r="I3900" t="s">
        <v>22</v>
      </c>
      <c r="J3900" s="2" t="s">
        <v>42</v>
      </c>
      <c r="K3900" s="2" t="s">
        <v>3019</v>
      </c>
      <c r="L3900" t="s">
        <v>25</v>
      </c>
      <c r="M3900" s="8">
        <v>3.5356666670000001</v>
      </c>
      <c r="N3900" t="s">
        <v>26</v>
      </c>
      <c r="O3900" s="8">
        <v>3.5356666670000001</v>
      </c>
      <c r="P3900" s="8">
        <f>EXP(-1.363+3.366*LOG(O3900,10))</f>
        <v>1.6211802664427075</v>
      </c>
      <c r="Q3900" s="8">
        <f>(2317420*100)/2442061</f>
        <v>94.896073439606951</v>
      </c>
    </row>
    <row r="3901" spans="1:17" x14ac:dyDescent="0.2">
      <c r="A3901">
        <f>YEAR(D3901)</f>
        <v>2019</v>
      </c>
      <c r="B3901" t="s">
        <v>26</v>
      </c>
      <c r="C3901" s="2" t="s">
        <v>3026</v>
      </c>
      <c r="D3901" s="1">
        <v>43682</v>
      </c>
      <c r="E3901">
        <f>MONTH(D3901)</f>
        <v>8</v>
      </c>
      <c r="F3901" s="2" t="s">
        <v>2098</v>
      </c>
      <c r="G3901" t="s">
        <v>230</v>
      </c>
      <c r="H3901" t="s">
        <v>268</v>
      </c>
      <c r="I3901" t="s">
        <v>22</v>
      </c>
      <c r="J3901" s="2" t="s">
        <v>42</v>
      </c>
      <c r="K3901" s="2" t="s">
        <v>3019</v>
      </c>
      <c r="L3901" t="s">
        <v>25</v>
      </c>
      <c r="M3901" s="8">
        <v>3.5356666670000001</v>
      </c>
      <c r="N3901" t="s">
        <v>26</v>
      </c>
      <c r="O3901" s="8">
        <v>3.5356666670000001</v>
      </c>
      <c r="P3901" s="8">
        <f>EXP(-1.363+3.366*LOG(O3901,10))</f>
        <v>1.6211802664427075</v>
      </c>
      <c r="Q3901" s="8">
        <f>(2317420*100)/2442061</f>
        <v>94.896073439606951</v>
      </c>
    </row>
    <row r="3902" spans="1:17" x14ac:dyDescent="0.2">
      <c r="A3902">
        <f>YEAR(D3902)</f>
        <v>2019</v>
      </c>
      <c r="B3902" t="s">
        <v>26</v>
      </c>
      <c r="C3902" s="2" t="s">
        <v>3026</v>
      </c>
      <c r="D3902" s="1">
        <v>43682</v>
      </c>
      <c r="E3902">
        <f>MONTH(D3902)</f>
        <v>8</v>
      </c>
      <c r="F3902" s="2" t="s">
        <v>2098</v>
      </c>
      <c r="G3902" t="s">
        <v>230</v>
      </c>
      <c r="H3902" t="s">
        <v>268</v>
      </c>
      <c r="I3902" t="s">
        <v>22</v>
      </c>
      <c r="J3902" s="2" t="s">
        <v>42</v>
      </c>
      <c r="K3902" s="2" t="s">
        <v>3019</v>
      </c>
      <c r="L3902" t="s">
        <v>25</v>
      </c>
      <c r="M3902" s="8">
        <v>3.5356666670000001</v>
      </c>
      <c r="N3902" t="s">
        <v>26</v>
      </c>
      <c r="O3902" s="8">
        <v>3.5356666670000001</v>
      </c>
      <c r="P3902" s="8">
        <f>EXP(-1.363+3.366*LOG(O3902,10))</f>
        <v>1.6211802664427075</v>
      </c>
      <c r="Q3902" s="8">
        <f>(2317420*100)/2442061</f>
        <v>94.896073439606951</v>
      </c>
    </row>
    <row r="3903" spans="1:17" x14ac:dyDescent="0.2">
      <c r="A3903">
        <f>YEAR(D3903)</f>
        <v>2019</v>
      </c>
      <c r="B3903" t="s">
        <v>26</v>
      </c>
      <c r="C3903" s="2" t="s">
        <v>3026</v>
      </c>
      <c r="D3903" s="1">
        <v>43682</v>
      </c>
      <c r="E3903">
        <f>MONTH(D3903)</f>
        <v>8</v>
      </c>
      <c r="F3903" s="2" t="s">
        <v>2098</v>
      </c>
      <c r="G3903" t="s">
        <v>230</v>
      </c>
      <c r="H3903" t="s">
        <v>268</v>
      </c>
      <c r="I3903" t="s">
        <v>22</v>
      </c>
      <c r="J3903" s="2" t="s">
        <v>42</v>
      </c>
      <c r="K3903" s="2" t="s">
        <v>3019</v>
      </c>
      <c r="L3903" t="s">
        <v>25</v>
      </c>
      <c r="M3903" s="8">
        <v>3.5356666670000001</v>
      </c>
      <c r="N3903" t="s">
        <v>26</v>
      </c>
      <c r="O3903" s="8">
        <v>3.5356666670000001</v>
      </c>
      <c r="P3903" s="8">
        <f>EXP(-1.363+3.366*LOG(O3903,10))</f>
        <v>1.6211802664427075</v>
      </c>
      <c r="Q3903" s="8">
        <f>(2317420*100)/2442061</f>
        <v>94.896073439606951</v>
      </c>
    </row>
    <row r="3904" spans="1:17" x14ac:dyDescent="0.2">
      <c r="A3904">
        <f>YEAR(D3904)</f>
        <v>2019</v>
      </c>
      <c r="B3904" t="s">
        <v>26</v>
      </c>
      <c r="C3904" s="2" t="s">
        <v>3026</v>
      </c>
      <c r="D3904" s="1">
        <v>43682</v>
      </c>
      <c r="E3904">
        <f>MONTH(D3904)</f>
        <v>8</v>
      </c>
      <c r="F3904" s="2" t="s">
        <v>2098</v>
      </c>
      <c r="G3904" t="s">
        <v>230</v>
      </c>
      <c r="H3904" t="s">
        <v>268</v>
      </c>
      <c r="I3904" t="s">
        <v>22</v>
      </c>
      <c r="J3904" s="2" t="s">
        <v>42</v>
      </c>
      <c r="K3904" s="2" t="s">
        <v>3019</v>
      </c>
      <c r="L3904" t="s">
        <v>25</v>
      </c>
      <c r="M3904" s="8">
        <v>3.5356666670000001</v>
      </c>
      <c r="N3904" t="s">
        <v>26</v>
      </c>
      <c r="O3904" s="8">
        <v>3.5356666670000001</v>
      </c>
      <c r="P3904" s="8">
        <f>EXP(-1.363+3.366*LOG(O3904,10))</f>
        <v>1.6211802664427075</v>
      </c>
      <c r="Q3904" s="8">
        <f>(2317420*100)/2442061</f>
        <v>94.896073439606951</v>
      </c>
    </row>
    <row r="3905" spans="1:17" x14ac:dyDescent="0.2">
      <c r="A3905">
        <f>YEAR(D3905)</f>
        <v>2019</v>
      </c>
      <c r="B3905" t="s">
        <v>26</v>
      </c>
      <c r="C3905" s="2" t="s">
        <v>3026</v>
      </c>
      <c r="D3905" s="1">
        <v>43682</v>
      </c>
      <c r="E3905">
        <f>MONTH(D3905)</f>
        <v>8</v>
      </c>
      <c r="F3905" s="2" t="s">
        <v>2098</v>
      </c>
      <c r="G3905" t="s">
        <v>230</v>
      </c>
      <c r="H3905" t="s">
        <v>268</v>
      </c>
      <c r="I3905" t="s">
        <v>22</v>
      </c>
      <c r="J3905" s="2" t="s">
        <v>42</v>
      </c>
      <c r="K3905" s="2" t="s">
        <v>3019</v>
      </c>
      <c r="L3905" t="s">
        <v>25</v>
      </c>
      <c r="M3905" s="8">
        <v>3.5356666670000001</v>
      </c>
      <c r="N3905" t="s">
        <v>26</v>
      </c>
      <c r="O3905" s="8">
        <v>3.5356666670000001</v>
      </c>
      <c r="P3905" s="8">
        <f>EXP(-1.363+3.366*LOG(O3905,10))</f>
        <v>1.6211802664427075</v>
      </c>
      <c r="Q3905" s="8">
        <f>(2317420*100)/2442061</f>
        <v>94.896073439606951</v>
      </c>
    </row>
    <row r="3906" spans="1:17" x14ac:dyDescent="0.2">
      <c r="A3906">
        <f>YEAR(D3906)</f>
        <v>2019</v>
      </c>
      <c r="B3906" t="s">
        <v>26</v>
      </c>
      <c r="C3906" s="2" t="s">
        <v>3026</v>
      </c>
      <c r="D3906" s="1">
        <v>43682</v>
      </c>
      <c r="E3906">
        <f>MONTH(D3906)</f>
        <v>8</v>
      </c>
      <c r="F3906" s="2" t="s">
        <v>2098</v>
      </c>
      <c r="G3906" t="s">
        <v>2206</v>
      </c>
      <c r="H3906" t="s">
        <v>2263</v>
      </c>
      <c r="I3906" t="s">
        <v>22</v>
      </c>
      <c r="J3906" s="2" t="s">
        <v>42</v>
      </c>
      <c r="K3906" s="2" t="s">
        <v>3019</v>
      </c>
      <c r="L3906" t="s">
        <v>25</v>
      </c>
      <c r="M3906" s="8">
        <v>3.7376666670000001</v>
      </c>
      <c r="N3906" t="s">
        <v>26</v>
      </c>
      <c r="O3906" s="8">
        <v>3.7376666670000001</v>
      </c>
      <c r="P3906" s="8">
        <f>EXP(-1.363+3.366*LOG(O3906,10))</f>
        <v>1.7583458516827115</v>
      </c>
      <c r="Q3906" s="8">
        <f>(2317420*100)/2442061</f>
        <v>94.896073439606951</v>
      </c>
    </row>
    <row r="3907" spans="1:17" x14ac:dyDescent="0.2">
      <c r="A3907">
        <f>YEAR(D3907)</f>
        <v>2019</v>
      </c>
      <c r="B3907" t="s">
        <v>26</v>
      </c>
      <c r="C3907" s="2" t="s">
        <v>3026</v>
      </c>
      <c r="D3907" s="1">
        <v>43682</v>
      </c>
      <c r="E3907">
        <f>MONTH(D3907)</f>
        <v>8</v>
      </c>
      <c r="F3907" s="2" t="s">
        <v>2098</v>
      </c>
      <c r="G3907" t="s">
        <v>2206</v>
      </c>
      <c r="H3907" t="s">
        <v>2263</v>
      </c>
      <c r="I3907" t="s">
        <v>22</v>
      </c>
      <c r="J3907" s="2" t="s">
        <v>42</v>
      </c>
      <c r="K3907" s="2" t="s">
        <v>3019</v>
      </c>
      <c r="L3907" t="s">
        <v>25</v>
      </c>
      <c r="M3907" s="8">
        <v>3.7376666670000001</v>
      </c>
      <c r="N3907" t="s">
        <v>26</v>
      </c>
      <c r="O3907" s="8">
        <v>3.7376666670000001</v>
      </c>
      <c r="P3907" s="8">
        <f>EXP(-1.363+3.366*LOG(O3907,10))</f>
        <v>1.7583458516827115</v>
      </c>
      <c r="Q3907" s="8">
        <f>(2317420*100)/2442061</f>
        <v>94.896073439606951</v>
      </c>
    </row>
    <row r="3908" spans="1:17" x14ac:dyDescent="0.2">
      <c r="A3908">
        <f>YEAR(D3908)</f>
        <v>2019</v>
      </c>
      <c r="B3908" t="s">
        <v>26</v>
      </c>
      <c r="C3908" s="2" t="s">
        <v>3026</v>
      </c>
      <c r="D3908" s="1">
        <v>43682</v>
      </c>
      <c r="E3908">
        <f>MONTH(D3908)</f>
        <v>8</v>
      </c>
      <c r="F3908" s="2" t="s">
        <v>2098</v>
      </c>
      <c r="G3908" t="s">
        <v>230</v>
      </c>
      <c r="H3908" t="s">
        <v>268</v>
      </c>
      <c r="I3908" t="s">
        <v>22</v>
      </c>
      <c r="J3908" s="2" t="s">
        <v>42</v>
      </c>
      <c r="K3908" s="2" t="s">
        <v>3019</v>
      </c>
      <c r="L3908" t="s">
        <v>25</v>
      </c>
      <c r="M3908" s="8">
        <v>3.5356666670000001</v>
      </c>
      <c r="N3908" t="s">
        <v>26</v>
      </c>
      <c r="O3908" s="8">
        <v>3.5356666670000001</v>
      </c>
      <c r="P3908" s="8">
        <f>EXP(-1.363+3.366*LOG(O3908,10))</f>
        <v>1.6211802664427075</v>
      </c>
      <c r="Q3908" s="8">
        <f>(2317420*100)/2442061</f>
        <v>94.896073439606951</v>
      </c>
    </row>
    <row r="3909" spans="1:17" x14ac:dyDescent="0.2">
      <c r="A3909">
        <f>YEAR(D3909)</f>
        <v>2019</v>
      </c>
      <c r="B3909" t="s">
        <v>26</v>
      </c>
      <c r="C3909" s="2" t="s">
        <v>3026</v>
      </c>
      <c r="D3909" s="1">
        <v>43682</v>
      </c>
      <c r="E3909">
        <f>MONTH(D3909)</f>
        <v>8</v>
      </c>
      <c r="F3909" s="2" t="s">
        <v>2098</v>
      </c>
      <c r="G3909" t="s">
        <v>230</v>
      </c>
      <c r="H3909" t="s">
        <v>268</v>
      </c>
      <c r="I3909" t="s">
        <v>22</v>
      </c>
      <c r="J3909" s="2" t="s">
        <v>42</v>
      </c>
      <c r="K3909" s="2" t="s">
        <v>3019</v>
      </c>
      <c r="L3909" t="s">
        <v>25</v>
      </c>
      <c r="M3909" s="8">
        <v>3.5356666670000001</v>
      </c>
      <c r="N3909" t="s">
        <v>26</v>
      </c>
      <c r="O3909" s="8">
        <v>3.5356666670000001</v>
      </c>
      <c r="P3909" s="8">
        <f>EXP(-1.363+3.366*LOG(O3909,10))</f>
        <v>1.6211802664427075</v>
      </c>
      <c r="Q3909" s="8">
        <f>(2317420*100)/2442061</f>
        <v>94.896073439606951</v>
      </c>
    </row>
    <row r="3910" spans="1:17" x14ac:dyDescent="0.2">
      <c r="A3910">
        <f>YEAR(D3910)</f>
        <v>2019</v>
      </c>
      <c r="B3910" t="s">
        <v>26</v>
      </c>
      <c r="C3910" s="2" t="s">
        <v>3026</v>
      </c>
      <c r="D3910" s="1">
        <v>43682</v>
      </c>
      <c r="E3910">
        <f>MONTH(D3910)</f>
        <v>8</v>
      </c>
      <c r="F3910" s="2" t="s">
        <v>2098</v>
      </c>
      <c r="G3910" t="s">
        <v>230</v>
      </c>
      <c r="H3910" t="s">
        <v>268</v>
      </c>
      <c r="I3910" t="s">
        <v>22</v>
      </c>
      <c r="J3910" s="2" t="s">
        <v>42</v>
      </c>
      <c r="K3910" s="2" t="s">
        <v>3019</v>
      </c>
      <c r="L3910" t="s">
        <v>25</v>
      </c>
      <c r="M3910" s="8">
        <v>3.5356666670000001</v>
      </c>
      <c r="N3910" t="s">
        <v>26</v>
      </c>
      <c r="O3910" s="8">
        <v>3.5356666670000001</v>
      </c>
      <c r="P3910" s="8">
        <f>EXP(-1.363+3.366*LOG(O3910,10))</f>
        <v>1.6211802664427075</v>
      </c>
      <c r="Q3910" s="8">
        <f>(2317420*100)/2442061</f>
        <v>94.896073439606951</v>
      </c>
    </row>
    <row r="3911" spans="1:17" x14ac:dyDescent="0.2">
      <c r="A3911">
        <f>YEAR(D3911)</f>
        <v>2019</v>
      </c>
      <c r="B3911" t="s">
        <v>26</v>
      </c>
      <c r="C3911" s="2" t="s">
        <v>3026</v>
      </c>
      <c r="D3911" s="1">
        <v>43682</v>
      </c>
      <c r="E3911">
        <f>MONTH(D3911)</f>
        <v>8</v>
      </c>
      <c r="F3911" s="2" t="s">
        <v>2098</v>
      </c>
      <c r="G3911" t="s">
        <v>230</v>
      </c>
      <c r="H3911" t="s">
        <v>268</v>
      </c>
      <c r="I3911" t="s">
        <v>22</v>
      </c>
      <c r="J3911" s="2" t="s">
        <v>42</v>
      </c>
      <c r="K3911" s="2" t="s">
        <v>3019</v>
      </c>
      <c r="L3911" t="s">
        <v>25</v>
      </c>
      <c r="M3911" s="8">
        <v>3.5356666670000001</v>
      </c>
      <c r="N3911" t="s">
        <v>26</v>
      </c>
      <c r="O3911" s="8">
        <v>3.5356666670000001</v>
      </c>
      <c r="P3911" s="8">
        <f>EXP(-1.363+3.366*LOG(O3911,10))</f>
        <v>1.6211802664427075</v>
      </c>
      <c r="Q3911" s="8">
        <f>(2317420*100)/2442061</f>
        <v>94.896073439606951</v>
      </c>
    </row>
    <row r="3912" spans="1:17" x14ac:dyDescent="0.2">
      <c r="A3912">
        <f>YEAR(D3912)</f>
        <v>2019</v>
      </c>
      <c r="B3912" t="s">
        <v>26</v>
      </c>
      <c r="C3912" s="2" t="s">
        <v>3026</v>
      </c>
      <c r="D3912" s="1">
        <v>43682</v>
      </c>
      <c r="E3912">
        <f>MONTH(D3912)</f>
        <v>8</v>
      </c>
      <c r="F3912" s="2" t="s">
        <v>2098</v>
      </c>
      <c r="G3912" t="s">
        <v>230</v>
      </c>
      <c r="H3912" t="s">
        <v>268</v>
      </c>
      <c r="I3912" t="s">
        <v>22</v>
      </c>
      <c r="J3912" s="2" t="s">
        <v>42</v>
      </c>
      <c r="K3912" s="2" t="s">
        <v>3019</v>
      </c>
      <c r="L3912" t="s">
        <v>25</v>
      </c>
      <c r="M3912" s="8">
        <v>3.5356666670000001</v>
      </c>
      <c r="N3912" t="s">
        <v>26</v>
      </c>
      <c r="O3912" s="8">
        <v>3.5356666670000001</v>
      </c>
      <c r="P3912" s="8">
        <f>EXP(-1.363+3.366*LOG(O3912,10))</f>
        <v>1.6211802664427075</v>
      </c>
      <c r="Q3912" s="8">
        <f>(2317420*100)/2442061</f>
        <v>94.896073439606951</v>
      </c>
    </row>
    <row r="3913" spans="1:17" x14ac:dyDescent="0.2">
      <c r="A3913">
        <f>YEAR(D3913)</f>
        <v>2019</v>
      </c>
      <c r="B3913" t="s">
        <v>26</v>
      </c>
      <c r="C3913" s="2" t="s">
        <v>3026</v>
      </c>
      <c r="D3913" s="1">
        <v>43682</v>
      </c>
      <c r="E3913">
        <f>MONTH(D3913)</f>
        <v>8</v>
      </c>
      <c r="F3913" s="2" t="s">
        <v>2098</v>
      </c>
      <c r="G3913" t="s">
        <v>332</v>
      </c>
      <c r="H3913" t="s">
        <v>327</v>
      </c>
      <c r="I3913" t="s">
        <v>22</v>
      </c>
      <c r="J3913" s="2" t="s">
        <v>42</v>
      </c>
      <c r="K3913" s="2" t="s">
        <v>3019</v>
      </c>
      <c r="L3913" t="s">
        <v>25</v>
      </c>
      <c r="M3913" s="8">
        <v>1.239333333</v>
      </c>
      <c r="N3913" t="s">
        <v>26</v>
      </c>
      <c r="O3913" s="8">
        <v>1.239333333</v>
      </c>
      <c r="P3913" s="8">
        <f>EXP(-1.363+3.366*LOG(O3913,10))</f>
        <v>0.35017272283851147</v>
      </c>
      <c r="Q3913" s="8">
        <f>(2317420*100)/2442061</f>
        <v>94.896073439606951</v>
      </c>
    </row>
    <row r="3914" spans="1:17" x14ac:dyDescent="0.2">
      <c r="A3914">
        <f>YEAR(D3914)</f>
        <v>2019</v>
      </c>
      <c r="B3914" t="s">
        <v>26</v>
      </c>
      <c r="C3914" s="2" t="s">
        <v>3026</v>
      </c>
      <c r="D3914" s="1">
        <v>43682</v>
      </c>
      <c r="E3914">
        <f>MONTH(D3914)</f>
        <v>8</v>
      </c>
      <c r="F3914" s="2" t="s">
        <v>2098</v>
      </c>
      <c r="G3914" t="s">
        <v>1520</v>
      </c>
      <c r="H3914" t="s">
        <v>1528</v>
      </c>
      <c r="I3914" t="s">
        <v>36</v>
      </c>
      <c r="J3914" s="2" t="s">
        <v>42</v>
      </c>
      <c r="K3914" s="2" t="s">
        <v>3019</v>
      </c>
      <c r="L3914" t="s">
        <v>25</v>
      </c>
      <c r="M3914" s="8">
        <v>3.3860000000000001</v>
      </c>
      <c r="N3914" t="s">
        <v>26</v>
      </c>
      <c r="O3914" s="8">
        <v>3.3860000000000001</v>
      </c>
      <c r="P3914" s="8">
        <f>EXP(-1.363+3.366*LOG(O3914,10))</f>
        <v>1.5218493704875904</v>
      </c>
      <c r="Q3914" s="8">
        <f>(2317420*100)/2442061</f>
        <v>94.896073439606951</v>
      </c>
    </row>
    <row r="3915" spans="1:17" x14ac:dyDescent="0.2">
      <c r="A3915">
        <f>YEAR(D3915)</f>
        <v>2019</v>
      </c>
      <c r="B3915" t="s">
        <v>26</v>
      </c>
      <c r="C3915" s="2" t="s">
        <v>3026</v>
      </c>
      <c r="D3915" s="1">
        <v>43682</v>
      </c>
      <c r="E3915">
        <f>MONTH(D3915)</f>
        <v>8</v>
      </c>
      <c r="F3915" s="2" t="s">
        <v>2098</v>
      </c>
      <c r="G3915" t="s">
        <v>1520</v>
      </c>
      <c r="H3915" t="s">
        <v>1528</v>
      </c>
      <c r="I3915" t="s">
        <v>36</v>
      </c>
      <c r="J3915" s="2" t="s">
        <v>42</v>
      </c>
      <c r="K3915" s="2" t="s">
        <v>3019</v>
      </c>
      <c r="L3915" t="s">
        <v>25</v>
      </c>
      <c r="M3915" s="8">
        <v>3.3860000000000001</v>
      </c>
      <c r="N3915" t="s">
        <v>26</v>
      </c>
      <c r="O3915" s="8">
        <v>3.3860000000000001</v>
      </c>
      <c r="P3915" s="8">
        <f>EXP(-1.363+3.366*LOG(O3915,10))</f>
        <v>1.5218493704875904</v>
      </c>
      <c r="Q3915" s="8">
        <f>(2317420*100)/2442061</f>
        <v>94.896073439606951</v>
      </c>
    </row>
    <row r="3916" spans="1:17" x14ac:dyDescent="0.2">
      <c r="A3916">
        <f>YEAR(D3916)</f>
        <v>2019</v>
      </c>
      <c r="B3916" t="s">
        <v>26</v>
      </c>
      <c r="C3916" s="2" t="s">
        <v>3026</v>
      </c>
      <c r="D3916" s="1">
        <v>43682</v>
      </c>
      <c r="E3916">
        <f>MONTH(D3916)</f>
        <v>8</v>
      </c>
      <c r="F3916" s="2" t="s">
        <v>2098</v>
      </c>
      <c r="G3916" t="s">
        <v>1520</v>
      </c>
      <c r="H3916" t="s">
        <v>1528</v>
      </c>
      <c r="I3916" t="s">
        <v>36</v>
      </c>
      <c r="J3916" s="2" t="s">
        <v>42</v>
      </c>
      <c r="K3916" s="2" t="s">
        <v>3019</v>
      </c>
      <c r="L3916" t="s">
        <v>25</v>
      </c>
      <c r="M3916" s="8">
        <v>3.3860000000000001</v>
      </c>
      <c r="N3916" t="s">
        <v>26</v>
      </c>
      <c r="O3916" s="8">
        <v>3.3860000000000001</v>
      </c>
      <c r="P3916" s="8">
        <f>EXP(-1.363+3.366*LOG(O3916,10))</f>
        <v>1.5218493704875904</v>
      </c>
      <c r="Q3916" s="8">
        <f>(2317420*100)/2442061</f>
        <v>94.896073439606951</v>
      </c>
    </row>
    <row r="3917" spans="1:17" x14ac:dyDescent="0.2">
      <c r="A3917">
        <f>YEAR(D3917)</f>
        <v>2019</v>
      </c>
      <c r="B3917" t="s">
        <v>26</v>
      </c>
      <c r="C3917" s="2" t="s">
        <v>3026</v>
      </c>
      <c r="D3917" s="1">
        <v>43682</v>
      </c>
      <c r="E3917">
        <f>MONTH(D3917)</f>
        <v>8</v>
      </c>
      <c r="F3917" s="2" t="s">
        <v>2098</v>
      </c>
      <c r="G3917" t="s">
        <v>1520</v>
      </c>
      <c r="H3917" t="s">
        <v>1528</v>
      </c>
      <c r="I3917" t="s">
        <v>36</v>
      </c>
      <c r="J3917" s="2" t="s">
        <v>42</v>
      </c>
      <c r="K3917" s="2" t="s">
        <v>3019</v>
      </c>
      <c r="L3917" t="s">
        <v>25</v>
      </c>
      <c r="M3917" s="8">
        <v>3.3860000000000001</v>
      </c>
      <c r="N3917" t="s">
        <v>26</v>
      </c>
      <c r="O3917" s="8">
        <v>3.3860000000000001</v>
      </c>
      <c r="P3917" s="8">
        <f>EXP(-1.363+3.366*LOG(O3917,10))</f>
        <v>1.5218493704875904</v>
      </c>
      <c r="Q3917" s="8">
        <f>(2317420*100)/2442061</f>
        <v>94.896073439606951</v>
      </c>
    </row>
    <row r="3918" spans="1:17" x14ac:dyDescent="0.2">
      <c r="A3918">
        <f>YEAR(D3918)</f>
        <v>2019</v>
      </c>
      <c r="B3918" t="s">
        <v>26</v>
      </c>
      <c r="C3918" s="2" t="s">
        <v>3025</v>
      </c>
      <c r="D3918" s="1">
        <v>43682</v>
      </c>
      <c r="E3918">
        <f>MONTH(D3918)</f>
        <v>8</v>
      </c>
      <c r="F3918" s="2" t="s">
        <v>2098</v>
      </c>
      <c r="G3918" t="s">
        <v>352</v>
      </c>
      <c r="H3918" t="s">
        <v>610</v>
      </c>
      <c r="I3918" t="s">
        <v>36</v>
      </c>
      <c r="J3918" s="2" t="s">
        <v>42</v>
      </c>
      <c r="K3918" s="2" t="s">
        <v>3019</v>
      </c>
      <c r="L3918" t="s">
        <v>25</v>
      </c>
      <c r="M3918" s="8">
        <v>0.878</v>
      </c>
      <c r="N3918" t="s">
        <v>26</v>
      </c>
      <c r="O3918" s="8">
        <v>0.878</v>
      </c>
      <c r="P3918" s="8">
        <f>EXP(-1.363+3.366*LOG(O3918,10))</f>
        <v>0.2115704033642706</v>
      </c>
      <c r="Q3918" s="8">
        <f>(1955155*100)/2180255</f>
        <v>89.67551960665152</v>
      </c>
    </row>
    <row r="3919" spans="1:17" x14ac:dyDescent="0.2">
      <c r="A3919">
        <f>YEAR(D3919)</f>
        <v>2019</v>
      </c>
      <c r="B3919" t="s">
        <v>26</v>
      </c>
      <c r="C3919" s="2" t="s">
        <v>3025</v>
      </c>
      <c r="D3919" s="1">
        <v>43682</v>
      </c>
      <c r="E3919">
        <f>MONTH(D3919)</f>
        <v>8</v>
      </c>
      <c r="F3919" s="2" t="s">
        <v>2098</v>
      </c>
      <c r="G3919" t="s">
        <v>332</v>
      </c>
      <c r="H3919" t="s">
        <v>330</v>
      </c>
      <c r="I3919" t="s">
        <v>22</v>
      </c>
      <c r="J3919" s="2" t="s">
        <v>42</v>
      </c>
      <c r="K3919" s="2" t="s">
        <v>3019</v>
      </c>
      <c r="L3919" t="s">
        <v>25</v>
      </c>
      <c r="M3919" s="8">
        <v>1.2170000000000001</v>
      </c>
      <c r="N3919" t="s">
        <v>26</v>
      </c>
      <c r="O3919" s="8">
        <v>1.2170000000000001</v>
      </c>
      <c r="P3919" s="8">
        <f>EXP(-1.363+3.366*LOG(O3919,10))</f>
        <v>0.34098666307598596</v>
      </c>
      <c r="Q3919" s="8">
        <f>(1955155*100)/2180255</f>
        <v>89.67551960665152</v>
      </c>
    </row>
    <row r="3920" spans="1:17" x14ac:dyDescent="0.2">
      <c r="A3920">
        <f>YEAR(D3920)</f>
        <v>2019</v>
      </c>
      <c r="B3920" t="s">
        <v>26</v>
      </c>
      <c r="C3920" s="2" t="s">
        <v>3025</v>
      </c>
      <c r="D3920" s="1">
        <v>43682</v>
      </c>
      <c r="E3920">
        <f>MONTH(D3920)</f>
        <v>8</v>
      </c>
      <c r="F3920" s="2" t="s">
        <v>2098</v>
      </c>
      <c r="G3920" t="s">
        <v>332</v>
      </c>
      <c r="H3920" t="s">
        <v>330</v>
      </c>
      <c r="I3920" t="s">
        <v>36</v>
      </c>
      <c r="J3920" s="2" t="s">
        <v>42</v>
      </c>
      <c r="K3920" s="2" t="s">
        <v>3019</v>
      </c>
      <c r="L3920" t="s">
        <v>25</v>
      </c>
      <c r="M3920" s="8">
        <v>1.100666667</v>
      </c>
      <c r="N3920" t="s">
        <v>26</v>
      </c>
      <c r="O3920" s="8">
        <v>1.100666667</v>
      </c>
      <c r="P3920" s="8">
        <f>EXP(-1.363+3.366*LOG(O3920,10))</f>
        <v>0.29440864465042604</v>
      </c>
      <c r="Q3920" s="8">
        <f>(1955155*100)/2180255</f>
        <v>89.67551960665152</v>
      </c>
    </row>
    <row r="3921" spans="1:17" x14ac:dyDescent="0.2">
      <c r="A3921">
        <f>YEAR(D3921)</f>
        <v>2019</v>
      </c>
      <c r="B3921" t="s">
        <v>26</v>
      </c>
      <c r="C3921" s="2" t="s">
        <v>3025</v>
      </c>
      <c r="D3921" s="1">
        <v>43682</v>
      </c>
      <c r="E3921">
        <f>MONTH(D3921)</f>
        <v>8</v>
      </c>
      <c r="F3921" s="2" t="s">
        <v>2098</v>
      </c>
      <c r="G3921" t="s">
        <v>332</v>
      </c>
      <c r="H3921" t="s">
        <v>330</v>
      </c>
      <c r="I3921" t="s">
        <v>22</v>
      </c>
      <c r="J3921" s="2" t="s">
        <v>42</v>
      </c>
      <c r="K3921" s="2" t="s">
        <v>3019</v>
      </c>
      <c r="L3921" t="s">
        <v>25</v>
      </c>
      <c r="M3921" s="8">
        <v>1.2170000000000001</v>
      </c>
      <c r="N3921" t="s">
        <v>26</v>
      </c>
      <c r="O3921" s="8">
        <v>1.2170000000000001</v>
      </c>
      <c r="P3921" s="8">
        <f>EXP(-1.363+3.366*LOG(O3921,10))</f>
        <v>0.34098666307598596</v>
      </c>
      <c r="Q3921" s="8">
        <f>(1955155*100)/2180255</f>
        <v>89.67551960665152</v>
      </c>
    </row>
    <row r="3922" spans="1:17" x14ac:dyDescent="0.2">
      <c r="A3922">
        <f>YEAR(D3922)</f>
        <v>2019</v>
      </c>
      <c r="B3922" t="s">
        <v>26</v>
      </c>
      <c r="C3922" s="2" t="s">
        <v>3024</v>
      </c>
      <c r="D3922" s="1">
        <v>43678</v>
      </c>
      <c r="E3922">
        <f>MONTH(D3922)</f>
        <v>8</v>
      </c>
      <c r="F3922" s="2" t="s">
        <v>19</v>
      </c>
      <c r="G3922" t="s">
        <v>352</v>
      </c>
      <c r="H3922" t="s">
        <v>975</v>
      </c>
      <c r="I3922" t="s">
        <v>22</v>
      </c>
      <c r="J3922" s="2" t="s">
        <v>42</v>
      </c>
      <c r="K3922" s="2" t="s">
        <v>3019</v>
      </c>
      <c r="L3922" t="s">
        <v>25</v>
      </c>
      <c r="M3922" s="8">
        <v>1.0693333330000001</v>
      </c>
      <c r="N3922" t="s">
        <v>26</v>
      </c>
      <c r="O3922" s="8">
        <v>1.0693333330000001</v>
      </c>
      <c r="P3922" s="8">
        <f>EXP(-1.363+3.366*LOG(O3922,10))</f>
        <v>0.28223780327142356</v>
      </c>
      <c r="Q3922" s="8">
        <f>(2412691*100)/2623642</f>
        <v>91.959611867777696</v>
      </c>
    </row>
    <row r="3923" spans="1:17" x14ac:dyDescent="0.2">
      <c r="A3923">
        <f>YEAR(D3923)</f>
        <v>2019</v>
      </c>
      <c r="B3923" t="s">
        <v>26</v>
      </c>
      <c r="C3923" s="2" t="s">
        <v>3024</v>
      </c>
      <c r="D3923" s="1">
        <v>43678</v>
      </c>
      <c r="E3923">
        <f>MONTH(D3923)</f>
        <v>8</v>
      </c>
      <c r="F3923" s="2" t="s">
        <v>19</v>
      </c>
      <c r="G3923" t="s">
        <v>352</v>
      </c>
      <c r="H3923" t="s">
        <v>975</v>
      </c>
      <c r="I3923" t="s">
        <v>22</v>
      </c>
      <c r="J3923" s="2" t="s">
        <v>42</v>
      </c>
      <c r="K3923" s="2" t="s">
        <v>3019</v>
      </c>
      <c r="L3923" t="s">
        <v>25</v>
      </c>
      <c r="M3923" s="8">
        <v>1.0693333330000001</v>
      </c>
      <c r="N3923" t="s">
        <v>26</v>
      </c>
      <c r="O3923" s="8">
        <v>1.0693333330000001</v>
      </c>
      <c r="P3923" s="8">
        <f>EXP(-1.363+3.366*LOG(O3923,10))</f>
        <v>0.28223780327142356</v>
      </c>
      <c r="Q3923" s="8">
        <f>(2412691*100)/2623642</f>
        <v>91.959611867777696</v>
      </c>
    </row>
    <row r="3924" spans="1:17" x14ac:dyDescent="0.2">
      <c r="A3924">
        <f>YEAR(D3924)</f>
        <v>2019</v>
      </c>
      <c r="B3924" t="s">
        <v>26</v>
      </c>
      <c r="C3924" s="2" t="s">
        <v>3024</v>
      </c>
      <c r="D3924" s="1">
        <v>43678</v>
      </c>
      <c r="E3924">
        <f>MONTH(D3924)</f>
        <v>8</v>
      </c>
      <c r="F3924" s="2" t="s">
        <v>19</v>
      </c>
      <c r="G3924" t="s">
        <v>352</v>
      </c>
      <c r="H3924" t="s">
        <v>975</v>
      </c>
      <c r="I3924" t="s">
        <v>22</v>
      </c>
      <c r="J3924" s="2" t="s">
        <v>42</v>
      </c>
      <c r="K3924" s="2" t="s">
        <v>3019</v>
      </c>
      <c r="L3924" t="s">
        <v>25</v>
      </c>
      <c r="M3924" s="8">
        <v>1.0693333330000001</v>
      </c>
      <c r="N3924" t="s">
        <v>26</v>
      </c>
      <c r="O3924" s="8">
        <v>1.0693333330000001</v>
      </c>
      <c r="P3924" s="8">
        <f>EXP(-1.363+3.366*LOG(O3924,10))</f>
        <v>0.28223780327142356</v>
      </c>
      <c r="Q3924" s="8">
        <f>(2412691*100)/2623642</f>
        <v>91.959611867777696</v>
      </c>
    </row>
    <row r="3925" spans="1:17" x14ac:dyDescent="0.2">
      <c r="A3925">
        <f>YEAR(D3925)</f>
        <v>2019</v>
      </c>
      <c r="B3925" t="s">
        <v>26</v>
      </c>
      <c r="C3925" s="2" t="s">
        <v>50</v>
      </c>
      <c r="D3925" s="1">
        <v>43678</v>
      </c>
      <c r="E3925">
        <f>MONTH(D3925)</f>
        <v>8</v>
      </c>
      <c r="F3925" s="2" t="s">
        <v>19</v>
      </c>
      <c r="G3925" t="s">
        <v>362</v>
      </c>
      <c r="H3925" t="s">
        <v>447</v>
      </c>
      <c r="I3925" t="s">
        <v>22</v>
      </c>
      <c r="J3925" s="2" t="s">
        <v>42</v>
      </c>
      <c r="K3925" s="2" t="s">
        <v>3019</v>
      </c>
      <c r="L3925" t="s">
        <v>25</v>
      </c>
      <c r="M3925" s="8">
        <v>1.421</v>
      </c>
      <c r="N3925" t="s">
        <v>26</v>
      </c>
      <c r="O3925" s="8">
        <v>1.421</v>
      </c>
      <c r="P3925" s="8">
        <f>EXP(-1.363+3.366*LOG(O3925,10))</f>
        <v>0.42768500084673816</v>
      </c>
      <c r="Q3925" s="8">
        <f>(4488342*100)/4914798</f>
        <v>91.323020803703429</v>
      </c>
    </row>
    <row r="3926" spans="1:17" x14ac:dyDescent="0.2">
      <c r="A3926">
        <f>YEAR(D3926)</f>
        <v>2019</v>
      </c>
      <c r="B3926" t="s">
        <v>26</v>
      </c>
      <c r="C3926" s="2" t="s">
        <v>50</v>
      </c>
      <c r="D3926" s="1">
        <v>43678</v>
      </c>
      <c r="E3926">
        <f>MONTH(D3926)</f>
        <v>8</v>
      </c>
      <c r="F3926" s="2" t="s">
        <v>19</v>
      </c>
      <c r="G3926" t="s">
        <v>352</v>
      </c>
      <c r="H3926" t="s">
        <v>623</v>
      </c>
      <c r="I3926" t="s">
        <v>22</v>
      </c>
      <c r="J3926" s="2" t="s">
        <v>42</v>
      </c>
      <c r="K3926" s="2" t="s">
        <v>3019</v>
      </c>
      <c r="L3926" t="s">
        <v>25</v>
      </c>
      <c r="M3926" s="8">
        <v>1.387</v>
      </c>
      <c r="N3926" t="s">
        <v>26</v>
      </c>
      <c r="O3926" s="8">
        <v>1.387</v>
      </c>
      <c r="P3926" s="8">
        <f>EXP(-1.363+3.366*LOG(O3926,10))</f>
        <v>0.41280884754947733</v>
      </c>
      <c r="Q3926" s="8">
        <f>(4488342*100)/4914798</f>
        <v>91.323020803703429</v>
      </c>
    </row>
    <row r="3927" spans="1:17" x14ac:dyDescent="0.2">
      <c r="A3927">
        <f>YEAR(D3927)</f>
        <v>2019</v>
      </c>
      <c r="B3927" t="s">
        <v>26</v>
      </c>
      <c r="C3927" s="2" t="s">
        <v>50</v>
      </c>
      <c r="D3927" s="1">
        <v>43678</v>
      </c>
      <c r="E3927">
        <f>MONTH(D3927)</f>
        <v>8</v>
      </c>
      <c r="F3927" s="2" t="s">
        <v>19</v>
      </c>
      <c r="G3927" t="s">
        <v>352</v>
      </c>
      <c r="H3927" t="s">
        <v>623</v>
      </c>
      <c r="I3927" t="s">
        <v>22</v>
      </c>
      <c r="J3927" s="2" t="s">
        <v>42</v>
      </c>
      <c r="K3927" s="2" t="s">
        <v>3019</v>
      </c>
      <c r="L3927" t="s">
        <v>25</v>
      </c>
      <c r="M3927" s="8">
        <v>1.387</v>
      </c>
      <c r="N3927" t="s">
        <v>26</v>
      </c>
      <c r="O3927" s="8">
        <v>1.387</v>
      </c>
      <c r="P3927" s="8">
        <f>EXP(-1.363+3.366*LOG(O3927,10))</f>
        <v>0.41280884754947733</v>
      </c>
      <c r="Q3927" s="8">
        <f>(4488342*100)/4914798</f>
        <v>91.323020803703429</v>
      </c>
    </row>
    <row r="3928" spans="1:17" x14ac:dyDescent="0.2">
      <c r="A3928">
        <f>YEAR(D3928)</f>
        <v>2019</v>
      </c>
      <c r="B3928" t="s">
        <v>26</v>
      </c>
      <c r="C3928" s="2" t="s">
        <v>50</v>
      </c>
      <c r="D3928" s="1">
        <v>43678</v>
      </c>
      <c r="E3928">
        <f>MONTH(D3928)</f>
        <v>8</v>
      </c>
      <c r="F3928" s="2" t="s">
        <v>19</v>
      </c>
      <c r="G3928" t="s">
        <v>352</v>
      </c>
      <c r="H3928" t="s">
        <v>975</v>
      </c>
      <c r="I3928" t="s">
        <v>22</v>
      </c>
      <c r="J3928" s="2" t="s">
        <v>42</v>
      </c>
      <c r="K3928" s="2" t="s">
        <v>3019</v>
      </c>
      <c r="L3928" t="s">
        <v>25</v>
      </c>
      <c r="M3928" s="8">
        <v>1.0693333330000001</v>
      </c>
      <c r="N3928" t="s">
        <v>26</v>
      </c>
      <c r="O3928" s="8">
        <v>1.0693333330000001</v>
      </c>
      <c r="P3928" s="8">
        <f>EXP(-1.363+3.366*LOG(O3928,10))</f>
        <v>0.28223780327142356</v>
      </c>
      <c r="Q3928" s="8">
        <f>(4488342*100)/4914798</f>
        <v>91.323020803703429</v>
      </c>
    </row>
    <row r="3929" spans="1:17" x14ac:dyDescent="0.2">
      <c r="A3929">
        <f>YEAR(D3929)</f>
        <v>2019</v>
      </c>
      <c r="B3929" t="s">
        <v>26</v>
      </c>
      <c r="C3929" s="2" t="s">
        <v>50</v>
      </c>
      <c r="D3929" s="1">
        <v>43678</v>
      </c>
      <c r="E3929">
        <f>MONTH(D3929)</f>
        <v>8</v>
      </c>
      <c r="F3929" s="2" t="s">
        <v>19</v>
      </c>
      <c r="G3929" t="s">
        <v>219</v>
      </c>
      <c r="H3929" t="s">
        <v>220</v>
      </c>
      <c r="I3929" t="s">
        <v>22</v>
      </c>
      <c r="J3929" s="2" t="s">
        <v>42</v>
      </c>
      <c r="K3929" s="2" t="s">
        <v>3019</v>
      </c>
      <c r="L3929" t="s">
        <v>25</v>
      </c>
      <c r="M3929" s="10" t="s">
        <v>26</v>
      </c>
      <c r="N3929" t="s">
        <v>26</v>
      </c>
      <c r="O3929" s="10" t="s">
        <v>26</v>
      </c>
      <c r="P3929" s="8" t="s">
        <v>26</v>
      </c>
      <c r="Q3929" s="8">
        <f>(4488342*100)/4914798</f>
        <v>91.323020803703429</v>
      </c>
    </row>
    <row r="3930" spans="1:17" x14ac:dyDescent="0.2">
      <c r="A3930">
        <f>YEAR(D3930)</f>
        <v>2019</v>
      </c>
      <c r="B3930" t="s">
        <v>26</v>
      </c>
      <c r="C3930" s="2" t="s">
        <v>50</v>
      </c>
      <c r="D3930" s="1">
        <v>43678</v>
      </c>
      <c r="E3930">
        <f>MONTH(D3930)</f>
        <v>8</v>
      </c>
      <c r="F3930" s="2" t="s">
        <v>19</v>
      </c>
      <c r="G3930" t="s">
        <v>352</v>
      </c>
      <c r="H3930" t="s">
        <v>975</v>
      </c>
      <c r="I3930" t="s">
        <v>22</v>
      </c>
      <c r="J3930" s="2" t="s">
        <v>42</v>
      </c>
      <c r="K3930" s="2" t="s">
        <v>3019</v>
      </c>
      <c r="L3930" t="s">
        <v>25</v>
      </c>
      <c r="M3930" s="8">
        <v>1.0693333330000001</v>
      </c>
      <c r="N3930" t="s">
        <v>26</v>
      </c>
      <c r="O3930" s="8">
        <v>1.0693333330000001</v>
      </c>
      <c r="P3930" s="8">
        <f>EXP(-1.363+3.366*LOG(O3930,10))</f>
        <v>0.28223780327142356</v>
      </c>
      <c r="Q3930" s="8">
        <f>(4488342*100)/4914798</f>
        <v>91.323020803703429</v>
      </c>
    </row>
    <row r="3931" spans="1:17" x14ac:dyDescent="0.2">
      <c r="A3931">
        <f>YEAR(D3931)</f>
        <v>2019</v>
      </c>
      <c r="B3931" t="s">
        <v>26</v>
      </c>
      <c r="C3931" s="2" t="s">
        <v>50</v>
      </c>
      <c r="D3931" s="1">
        <v>43678</v>
      </c>
      <c r="E3931">
        <f>MONTH(D3931)</f>
        <v>8</v>
      </c>
      <c r="F3931" s="2" t="s">
        <v>19</v>
      </c>
      <c r="G3931" t="s">
        <v>352</v>
      </c>
      <c r="H3931" t="s">
        <v>1344</v>
      </c>
      <c r="I3931" t="s">
        <v>22</v>
      </c>
      <c r="J3931" s="2" t="s">
        <v>42</v>
      </c>
      <c r="K3931" s="2" t="s">
        <v>3019</v>
      </c>
      <c r="L3931" t="s">
        <v>25</v>
      </c>
      <c r="M3931" s="8">
        <v>0.91800000000000004</v>
      </c>
      <c r="N3931" t="s">
        <v>26</v>
      </c>
      <c r="O3931" s="8">
        <v>0.91800000000000004</v>
      </c>
      <c r="P3931" s="8">
        <f>EXP(-1.363+3.366*LOG(O3931,10))</f>
        <v>0.22580769814771504</v>
      </c>
      <c r="Q3931" s="8">
        <f>(4488342*100)/4914798</f>
        <v>91.323020803703429</v>
      </c>
    </row>
    <row r="3932" spans="1:17" x14ac:dyDescent="0.2">
      <c r="A3932">
        <f>YEAR(D3932)</f>
        <v>2019</v>
      </c>
      <c r="B3932" t="s">
        <v>26</v>
      </c>
      <c r="C3932" s="2" t="s">
        <v>50</v>
      </c>
      <c r="D3932" s="1">
        <v>43678</v>
      </c>
      <c r="E3932">
        <f>MONTH(D3932)</f>
        <v>8</v>
      </c>
      <c r="F3932" s="2" t="s">
        <v>19</v>
      </c>
      <c r="G3932" t="s">
        <v>352</v>
      </c>
      <c r="H3932" t="s">
        <v>975</v>
      </c>
      <c r="I3932" t="s">
        <v>36</v>
      </c>
      <c r="J3932" s="2" t="s">
        <v>42</v>
      </c>
      <c r="K3932" s="2" t="s">
        <v>3019</v>
      </c>
      <c r="L3932" t="s">
        <v>25</v>
      </c>
      <c r="M3932" s="8">
        <v>0.95199999999999996</v>
      </c>
      <c r="N3932" t="s">
        <v>26</v>
      </c>
      <c r="O3932" s="8">
        <v>0.95199999999999996</v>
      </c>
      <c r="P3932" s="8">
        <f>EXP(-1.363+3.366*LOG(O3932,10))</f>
        <v>0.23813726407794436</v>
      </c>
      <c r="Q3932" s="8">
        <f>(4488342*100)/4914798</f>
        <v>91.323020803703429</v>
      </c>
    </row>
    <row r="3933" spans="1:17" x14ac:dyDescent="0.2">
      <c r="A3933">
        <f>YEAR(D3933)</f>
        <v>2019</v>
      </c>
      <c r="B3933" t="s">
        <v>26</v>
      </c>
      <c r="C3933" s="2" t="s">
        <v>50</v>
      </c>
      <c r="D3933" s="1">
        <v>43678</v>
      </c>
      <c r="E3933">
        <f>MONTH(D3933)</f>
        <v>8</v>
      </c>
      <c r="F3933" s="2" t="s">
        <v>19</v>
      </c>
      <c r="G3933" t="s">
        <v>352</v>
      </c>
      <c r="H3933" t="s">
        <v>1585</v>
      </c>
      <c r="I3933" t="s">
        <v>22</v>
      </c>
      <c r="J3933" s="2" t="s">
        <v>42</v>
      </c>
      <c r="K3933" s="2" t="s">
        <v>3019</v>
      </c>
      <c r="L3933" t="s">
        <v>25</v>
      </c>
      <c r="M3933" s="8">
        <v>0.77266666699999997</v>
      </c>
      <c r="N3933" t="s">
        <v>26</v>
      </c>
      <c r="O3933" s="8">
        <v>0.77266666699999997</v>
      </c>
      <c r="P3933" s="8">
        <f>EXP(-1.363+3.366*LOG(O3933,10))</f>
        <v>0.17551718302452865</v>
      </c>
      <c r="Q3933" s="8">
        <f>(4488342*100)/4914798</f>
        <v>91.323020803703429</v>
      </c>
    </row>
    <row r="3934" spans="1:17" x14ac:dyDescent="0.2">
      <c r="A3934">
        <f>YEAR(D3934)</f>
        <v>2019</v>
      </c>
      <c r="B3934" t="s">
        <v>26</v>
      </c>
      <c r="C3934" s="2" t="s">
        <v>50</v>
      </c>
      <c r="D3934" s="1">
        <v>43678</v>
      </c>
      <c r="E3934">
        <f>MONTH(D3934)</f>
        <v>8</v>
      </c>
      <c r="F3934" s="2" t="s">
        <v>19</v>
      </c>
      <c r="G3934" t="s">
        <v>352</v>
      </c>
      <c r="H3934" t="s">
        <v>975</v>
      </c>
      <c r="I3934" t="s">
        <v>22</v>
      </c>
      <c r="J3934" s="2" t="s">
        <v>42</v>
      </c>
      <c r="K3934" s="2" t="s">
        <v>3019</v>
      </c>
      <c r="L3934" t="s">
        <v>25</v>
      </c>
      <c r="M3934" s="8">
        <v>1.0693333330000001</v>
      </c>
      <c r="N3934" t="s">
        <v>26</v>
      </c>
      <c r="O3934" s="8">
        <v>1.0693333330000001</v>
      </c>
      <c r="P3934" s="8">
        <f>EXP(-1.363+3.366*LOG(O3934,10))</f>
        <v>0.28223780327142356</v>
      </c>
      <c r="Q3934" s="8">
        <f>(4488342*100)/4914798</f>
        <v>91.323020803703429</v>
      </c>
    </row>
    <row r="3935" spans="1:17" x14ac:dyDescent="0.2">
      <c r="A3935">
        <f>YEAR(D3935)</f>
        <v>2019</v>
      </c>
      <c r="B3935" t="s">
        <v>26</v>
      </c>
      <c r="C3935" s="2" t="s">
        <v>50</v>
      </c>
      <c r="D3935" s="1">
        <v>43678</v>
      </c>
      <c r="E3935">
        <f>MONTH(D3935)</f>
        <v>8</v>
      </c>
      <c r="F3935" s="2" t="s">
        <v>19</v>
      </c>
      <c r="G3935" t="s">
        <v>352</v>
      </c>
      <c r="H3935" t="s">
        <v>728</v>
      </c>
      <c r="I3935" t="s">
        <v>22</v>
      </c>
      <c r="J3935" s="2" t="s">
        <v>42</v>
      </c>
      <c r="K3935" s="2" t="s">
        <v>3019</v>
      </c>
      <c r="L3935" t="s">
        <v>187</v>
      </c>
      <c r="M3935" s="8">
        <v>1.8093333330000001</v>
      </c>
      <c r="N3935" t="s">
        <v>26</v>
      </c>
      <c r="O3935" s="8">
        <v>1.8093333330000001</v>
      </c>
      <c r="P3935" s="8">
        <f>EXP(-1.363+3.366*LOG(O3935,10))</f>
        <v>0.6088444603462565</v>
      </c>
      <c r="Q3935" s="8">
        <f>(4488342*100)/4914798</f>
        <v>91.323020803703429</v>
      </c>
    </row>
    <row r="3936" spans="1:17" x14ac:dyDescent="0.2">
      <c r="A3936">
        <f>YEAR(D3936)</f>
        <v>2019</v>
      </c>
      <c r="B3936" t="s">
        <v>26</v>
      </c>
      <c r="C3936" s="2" t="s">
        <v>3018</v>
      </c>
      <c r="D3936" s="1">
        <v>43679</v>
      </c>
      <c r="E3936">
        <f>MONTH(D3936)</f>
        <v>8</v>
      </c>
      <c r="F3936" s="2" t="s">
        <v>19</v>
      </c>
      <c r="G3936" t="s">
        <v>230</v>
      </c>
      <c r="H3936" t="s">
        <v>268</v>
      </c>
      <c r="I3936" t="s">
        <v>22</v>
      </c>
      <c r="J3936" s="2" t="s">
        <v>42</v>
      </c>
      <c r="K3936" s="2" t="s">
        <v>3019</v>
      </c>
      <c r="L3936" t="s">
        <v>25</v>
      </c>
      <c r="M3936" s="8">
        <v>3.5356666670000001</v>
      </c>
      <c r="N3936" t="s">
        <v>26</v>
      </c>
      <c r="O3936" s="8">
        <v>3.5356666670000001</v>
      </c>
      <c r="P3936" s="8">
        <f>EXP(-1.363+3.366*LOG(O3936,10))</f>
        <v>1.6211802664427075</v>
      </c>
      <c r="Q3936" s="8">
        <f>(5996898*100)/6073515</f>
        <v>98.738506449724753</v>
      </c>
    </row>
    <row r="3937" spans="1:17" x14ac:dyDescent="0.2">
      <c r="A3937">
        <f>YEAR(D3937)</f>
        <v>2019</v>
      </c>
      <c r="B3937" t="s">
        <v>26</v>
      </c>
      <c r="C3937" s="2" t="s">
        <v>3018</v>
      </c>
      <c r="D3937" s="1">
        <v>43679</v>
      </c>
      <c r="E3937">
        <f>MONTH(D3937)</f>
        <v>8</v>
      </c>
      <c r="F3937" s="2" t="s">
        <v>19</v>
      </c>
      <c r="G3937" t="s">
        <v>219</v>
      </c>
      <c r="H3937" t="s">
        <v>220</v>
      </c>
      <c r="I3937" t="s">
        <v>22</v>
      </c>
      <c r="J3937" s="2" t="s">
        <v>42</v>
      </c>
      <c r="K3937" s="2" t="s">
        <v>3019</v>
      </c>
      <c r="L3937" t="s">
        <v>25</v>
      </c>
      <c r="M3937" s="10" t="s">
        <v>26</v>
      </c>
      <c r="N3937" t="s">
        <v>26</v>
      </c>
      <c r="O3937" s="10" t="s">
        <v>26</v>
      </c>
      <c r="P3937" s="8" t="s">
        <v>26</v>
      </c>
      <c r="Q3937" s="8">
        <f>(5996898*100)/6073515</f>
        <v>98.738506449724753</v>
      </c>
    </row>
    <row r="3938" spans="1:17" x14ac:dyDescent="0.2">
      <c r="A3938">
        <f>YEAR(D3938)</f>
        <v>2019</v>
      </c>
      <c r="B3938" t="s">
        <v>26</v>
      </c>
      <c r="C3938" s="2" t="s">
        <v>3018</v>
      </c>
      <c r="D3938" s="1">
        <v>43679</v>
      </c>
      <c r="E3938">
        <f>MONTH(D3938)</f>
        <v>8</v>
      </c>
      <c r="F3938" s="2" t="s">
        <v>19</v>
      </c>
      <c r="G3938" t="s">
        <v>219</v>
      </c>
      <c r="H3938" t="s">
        <v>220</v>
      </c>
      <c r="I3938" t="s">
        <v>22</v>
      </c>
      <c r="J3938" s="2" t="s">
        <v>42</v>
      </c>
      <c r="K3938" s="2" t="s">
        <v>3019</v>
      </c>
      <c r="L3938" t="s">
        <v>25</v>
      </c>
      <c r="M3938" s="10" t="s">
        <v>26</v>
      </c>
      <c r="N3938" t="s">
        <v>26</v>
      </c>
      <c r="O3938" s="10" t="s">
        <v>26</v>
      </c>
      <c r="P3938" s="8" t="s">
        <v>26</v>
      </c>
      <c r="Q3938" s="8">
        <f>(5996898*100)/6073515</f>
        <v>98.738506449724753</v>
      </c>
    </row>
    <row r="3939" spans="1:17" x14ac:dyDescent="0.2">
      <c r="A3939">
        <f>YEAR(D3939)</f>
        <v>2019</v>
      </c>
      <c r="B3939" t="s">
        <v>26</v>
      </c>
      <c r="C3939" s="2" t="s">
        <v>3018</v>
      </c>
      <c r="D3939" s="1">
        <v>43679</v>
      </c>
      <c r="E3939">
        <f>MONTH(D3939)</f>
        <v>8</v>
      </c>
      <c r="F3939" s="2" t="s">
        <v>19</v>
      </c>
      <c r="G3939" t="s">
        <v>352</v>
      </c>
      <c r="H3939" t="s">
        <v>623</v>
      </c>
      <c r="I3939" t="s">
        <v>36</v>
      </c>
      <c r="J3939" s="2" t="s">
        <v>42</v>
      </c>
      <c r="K3939" s="2" t="s">
        <v>3019</v>
      </c>
      <c r="L3939" t="s">
        <v>25</v>
      </c>
      <c r="M3939" s="8">
        <v>1.1339999999999999</v>
      </c>
      <c r="N3939" t="s">
        <v>26</v>
      </c>
      <c r="O3939" s="8">
        <v>1.1339999999999999</v>
      </c>
      <c r="P3939" s="8">
        <f>EXP(-1.363+3.366*LOG(O3939,10))</f>
        <v>0.30753312979708036</v>
      </c>
      <c r="Q3939" s="8">
        <f>(5996898*100)/6073515</f>
        <v>98.738506449724753</v>
      </c>
    </row>
    <row r="3940" spans="1:17" x14ac:dyDescent="0.2">
      <c r="A3940">
        <f>YEAR(D3940)</f>
        <v>2019</v>
      </c>
      <c r="B3940" t="s">
        <v>26</v>
      </c>
      <c r="C3940" s="2" t="s">
        <v>3018</v>
      </c>
      <c r="D3940" s="1">
        <v>43679</v>
      </c>
      <c r="E3940">
        <f>MONTH(D3940)</f>
        <v>8</v>
      </c>
      <c r="F3940" s="2" t="s">
        <v>19</v>
      </c>
      <c r="G3940" t="s">
        <v>352</v>
      </c>
      <c r="H3940" t="s">
        <v>1344</v>
      </c>
      <c r="I3940" t="s">
        <v>22</v>
      </c>
      <c r="J3940" s="2" t="s">
        <v>42</v>
      </c>
      <c r="K3940" s="2" t="s">
        <v>3019</v>
      </c>
      <c r="L3940" t="s">
        <v>25</v>
      </c>
      <c r="M3940" s="8">
        <v>0.91800000000000004</v>
      </c>
      <c r="N3940" t="s">
        <v>26</v>
      </c>
      <c r="O3940" s="8">
        <v>0.91800000000000004</v>
      </c>
      <c r="P3940" s="8">
        <f>EXP(-1.363+3.366*LOG(O3940,10))</f>
        <v>0.22580769814771504</v>
      </c>
      <c r="Q3940" s="8">
        <f>(5996898*100)/6073515</f>
        <v>98.738506449724753</v>
      </c>
    </row>
    <row r="3941" spans="1:17" x14ac:dyDescent="0.2">
      <c r="A3941">
        <f>YEAR(D3941)</f>
        <v>2019</v>
      </c>
      <c r="B3941" t="s">
        <v>26</v>
      </c>
      <c r="C3941" s="2" t="s">
        <v>3018</v>
      </c>
      <c r="D3941" s="1">
        <v>43679</v>
      </c>
      <c r="E3941">
        <f>MONTH(D3941)</f>
        <v>8</v>
      </c>
      <c r="F3941" s="2" t="s">
        <v>19</v>
      </c>
      <c r="G3941" t="s">
        <v>352</v>
      </c>
      <c r="H3941" t="s">
        <v>1344</v>
      </c>
      <c r="I3941" t="s">
        <v>22</v>
      </c>
      <c r="J3941" s="2" t="s">
        <v>42</v>
      </c>
      <c r="K3941" s="2" t="s">
        <v>3019</v>
      </c>
      <c r="L3941" t="s">
        <v>25</v>
      </c>
      <c r="M3941" s="8">
        <v>0.91800000000000004</v>
      </c>
      <c r="N3941" t="s">
        <v>26</v>
      </c>
      <c r="O3941" s="8">
        <v>0.91800000000000004</v>
      </c>
      <c r="P3941" s="8">
        <f>EXP(-1.363+3.366*LOG(O3941,10))</f>
        <v>0.22580769814771504</v>
      </c>
      <c r="Q3941" s="8">
        <f>(5996898*100)/6073515</f>
        <v>98.738506449724753</v>
      </c>
    </row>
    <row r="3942" spans="1:17" x14ac:dyDescent="0.2">
      <c r="A3942">
        <f>YEAR(D3942)</f>
        <v>2019</v>
      </c>
      <c r="B3942" t="s">
        <v>26</v>
      </c>
      <c r="C3942" s="2" t="s">
        <v>3027</v>
      </c>
      <c r="D3942" s="1">
        <v>43679</v>
      </c>
      <c r="E3942">
        <f>MONTH(D3942)</f>
        <v>8</v>
      </c>
      <c r="F3942" s="2" t="s">
        <v>19</v>
      </c>
      <c r="G3942" t="s">
        <v>1520</v>
      </c>
      <c r="H3942" t="s">
        <v>1528</v>
      </c>
      <c r="I3942" t="s">
        <v>36</v>
      </c>
      <c r="J3942" s="2" t="s">
        <v>42</v>
      </c>
      <c r="K3942" s="2" t="s">
        <v>3019</v>
      </c>
      <c r="L3942" t="s">
        <v>25</v>
      </c>
      <c r="M3942" s="8">
        <v>3.3860000000000001</v>
      </c>
      <c r="N3942" t="s">
        <v>26</v>
      </c>
      <c r="O3942" s="8">
        <v>3.3860000000000001</v>
      </c>
      <c r="P3942" s="8">
        <f>EXP(-1.363+3.366*LOG(O3942,10))</f>
        <v>1.5218493704875904</v>
      </c>
      <c r="Q3942" s="8">
        <f>(3939723*100)/4442581</f>
        <v>88.680949204977921</v>
      </c>
    </row>
    <row r="3943" spans="1:17" x14ac:dyDescent="0.2">
      <c r="A3943">
        <f>YEAR(D3943)</f>
        <v>2019</v>
      </c>
      <c r="B3943" t="s">
        <v>26</v>
      </c>
      <c r="C3943" s="2" t="s">
        <v>3027</v>
      </c>
      <c r="D3943" s="1">
        <v>43679</v>
      </c>
      <c r="E3943">
        <f>MONTH(D3943)</f>
        <v>8</v>
      </c>
      <c r="F3943" s="2" t="s">
        <v>19</v>
      </c>
      <c r="G3943" t="s">
        <v>352</v>
      </c>
      <c r="H3943" t="s">
        <v>1142</v>
      </c>
      <c r="I3943" t="s">
        <v>36</v>
      </c>
      <c r="J3943" s="2" t="s">
        <v>42</v>
      </c>
      <c r="K3943" s="2" t="s">
        <v>3019</v>
      </c>
      <c r="L3943" t="s">
        <v>25</v>
      </c>
      <c r="M3943" s="8">
        <v>0.93500000000000005</v>
      </c>
      <c r="N3943" t="s">
        <v>26</v>
      </c>
      <c r="O3943" s="8">
        <v>0.93500000000000005</v>
      </c>
      <c r="P3943" s="8">
        <f>EXP(-1.363+3.366*LOG(O3943,10))</f>
        <v>0.23194659731411651</v>
      </c>
      <c r="Q3943" s="8">
        <f>(3939723*100)/4442581</f>
        <v>88.680949204977921</v>
      </c>
    </row>
    <row r="3944" spans="1:17" x14ac:dyDescent="0.2">
      <c r="A3944">
        <f>YEAR(D3944)</f>
        <v>2019</v>
      </c>
      <c r="B3944" t="s">
        <v>26</v>
      </c>
      <c r="C3944" s="2" t="s">
        <v>3027</v>
      </c>
      <c r="D3944" s="1">
        <v>43679</v>
      </c>
      <c r="E3944">
        <f>MONTH(D3944)</f>
        <v>8</v>
      </c>
      <c r="F3944" s="2" t="s">
        <v>19</v>
      </c>
      <c r="G3944" t="s">
        <v>352</v>
      </c>
      <c r="H3944" t="s">
        <v>975</v>
      </c>
      <c r="I3944" t="s">
        <v>36</v>
      </c>
      <c r="J3944" s="2" t="s">
        <v>42</v>
      </c>
      <c r="K3944" s="2" t="s">
        <v>3019</v>
      </c>
      <c r="L3944" t="s">
        <v>25</v>
      </c>
      <c r="M3944" s="8">
        <v>0.95199999999999996</v>
      </c>
      <c r="N3944" t="s">
        <v>26</v>
      </c>
      <c r="O3944" s="8">
        <v>0.95199999999999996</v>
      </c>
      <c r="P3944" s="8">
        <f>EXP(-1.363+3.366*LOG(O3944,10))</f>
        <v>0.23813726407794436</v>
      </c>
      <c r="Q3944" s="8">
        <f>(3939723*100)/4442581</f>
        <v>88.680949204977921</v>
      </c>
    </row>
    <row r="3945" spans="1:17" x14ac:dyDescent="0.2">
      <c r="A3945">
        <f>YEAR(D3945)</f>
        <v>2019</v>
      </c>
      <c r="B3945" t="s">
        <v>26</v>
      </c>
      <c r="C3945" s="2" t="s">
        <v>3027</v>
      </c>
      <c r="D3945" s="1">
        <v>43679</v>
      </c>
      <c r="E3945">
        <f>MONTH(D3945)</f>
        <v>8</v>
      </c>
      <c r="F3945" s="2" t="s">
        <v>19</v>
      </c>
      <c r="G3945" t="s">
        <v>362</v>
      </c>
      <c r="H3945" t="s">
        <v>447</v>
      </c>
      <c r="I3945" t="s">
        <v>36</v>
      </c>
      <c r="J3945" s="2" t="s">
        <v>42</v>
      </c>
      <c r="K3945" s="2" t="s">
        <v>3019</v>
      </c>
      <c r="L3945" t="s">
        <v>25</v>
      </c>
      <c r="M3945" s="8">
        <v>1.0956666669999999</v>
      </c>
      <c r="N3945" t="s">
        <v>26</v>
      </c>
      <c r="O3945" s="8">
        <v>1.0956666669999999</v>
      </c>
      <c r="P3945" s="8">
        <f>EXP(-1.363+3.366*LOG(O3945,10))</f>
        <v>0.29245562330904107</v>
      </c>
      <c r="Q3945" s="8">
        <f>(3939723*100)/4442581</f>
        <v>88.680949204977921</v>
      </c>
    </row>
    <row r="3946" spans="1:17" x14ac:dyDescent="0.2">
      <c r="A3946">
        <f>YEAR(D3946)</f>
        <v>2019</v>
      </c>
      <c r="B3946" t="s">
        <v>26</v>
      </c>
      <c r="C3946" s="2" t="s">
        <v>3027</v>
      </c>
      <c r="D3946" s="1">
        <v>43679</v>
      </c>
      <c r="E3946">
        <f>MONTH(D3946)</f>
        <v>8</v>
      </c>
      <c r="F3946" s="2" t="s">
        <v>19</v>
      </c>
      <c r="G3946" t="s">
        <v>352</v>
      </c>
      <c r="H3946" t="s">
        <v>1142</v>
      </c>
      <c r="I3946" t="s">
        <v>22</v>
      </c>
      <c r="J3946" s="2" t="s">
        <v>42</v>
      </c>
      <c r="K3946" s="2" t="s">
        <v>3019</v>
      </c>
      <c r="L3946" t="s">
        <v>25</v>
      </c>
      <c r="M3946" s="8">
        <v>1.1423333330000001</v>
      </c>
      <c r="N3946" t="s">
        <v>26</v>
      </c>
      <c r="O3946" s="8">
        <v>1.1423333330000001</v>
      </c>
      <c r="P3946" s="8">
        <f>EXP(-1.363+3.366*LOG(O3946,10))</f>
        <v>0.31084239358261528</v>
      </c>
      <c r="Q3946" s="8">
        <f>(3939723*100)/4442581</f>
        <v>88.680949204977921</v>
      </c>
    </row>
    <row r="3947" spans="1:17" x14ac:dyDescent="0.2">
      <c r="A3947">
        <f>YEAR(D3947)</f>
        <v>2019</v>
      </c>
      <c r="B3947" t="s">
        <v>26</v>
      </c>
      <c r="C3947" s="2" t="s">
        <v>3027</v>
      </c>
      <c r="D3947" s="1">
        <v>43679</v>
      </c>
      <c r="E3947">
        <f>MONTH(D3947)</f>
        <v>8</v>
      </c>
      <c r="F3947" s="2" t="s">
        <v>19</v>
      </c>
      <c r="G3947" t="s">
        <v>352</v>
      </c>
      <c r="H3947" t="s">
        <v>1142</v>
      </c>
      <c r="I3947" t="s">
        <v>22</v>
      </c>
      <c r="J3947" s="2" t="s">
        <v>42</v>
      </c>
      <c r="K3947" s="2" t="s">
        <v>3019</v>
      </c>
      <c r="L3947" t="s">
        <v>25</v>
      </c>
      <c r="M3947" s="8">
        <v>1.1423333330000001</v>
      </c>
      <c r="N3947" t="s">
        <v>26</v>
      </c>
      <c r="O3947" s="8">
        <v>1.1423333330000001</v>
      </c>
      <c r="P3947" s="8">
        <f>EXP(-1.363+3.366*LOG(O3947,10))</f>
        <v>0.31084239358261528</v>
      </c>
      <c r="Q3947" s="8">
        <f>(3939723*100)/4442581</f>
        <v>88.680949204977921</v>
      </c>
    </row>
    <row r="3948" spans="1:17" x14ac:dyDescent="0.2">
      <c r="A3948">
        <f>YEAR(D3948)</f>
        <v>2019</v>
      </c>
      <c r="B3948" t="s">
        <v>26</v>
      </c>
      <c r="C3948" s="2" t="s">
        <v>3027</v>
      </c>
      <c r="D3948" s="1">
        <v>43679</v>
      </c>
      <c r="E3948">
        <f>MONTH(D3948)</f>
        <v>8</v>
      </c>
      <c r="F3948" s="2" t="s">
        <v>19</v>
      </c>
      <c r="G3948" t="s">
        <v>352</v>
      </c>
      <c r="H3948" t="s">
        <v>1142</v>
      </c>
      <c r="I3948" t="s">
        <v>22</v>
      </c>
      <c r="J3948" s="2" t="s">
        <v>42</v>
      </c>
      <c r="K3948" s="2" t="s">
        <v>3019</v>
      </c>
      <c r="L3948" t="s">
        <v>25</v>
      </c>
      <c r="M3948" s="8">
        <v>1.1423333330000001</v>
      </c>
      <c r="N3948" t="s">
        <v>26</v>
      </c>
      <c r="O3948" s="8">
        <v>1.1423333330000001</v>
      </c>
      <c r="P3948" s="8">
        <f>EXP(-1.363+3.366*LOG(O3948,10))</f>
        <v>0.31084239358261528</v>
      </c>
      <c r="Q3948" s="8">
        <f>(3939723*100)/4442581</f>
        <v>88.680949204977921</v>
      </c>
    </row>
    <row r="3949" spans="1:17" x14ac:dyDescent="0.2">
      <c r="A3949">
        <f>YEAR(D3949)</f>
        <v>2019</v>
      </c>
      <c r="B3949" t="s">
        <v>26</v>
      </c>
      <c r="C3949" s="2" t="s">
        <v>3027</v>
      </c>
      <c r="D3949" s="1">
        <v>43679</v>
      </c>
      <c r="E3949">
        <f>MONTH(D3949)</f>
        <v>8</v>
      </c>
      <c r="F3949" s="2" t="s">
        <v>19</v>
      </c>
      <c r="G3949" t="s">
        <v>352</v>
      </c>
      <c r="H3949" t="s">
        <v>975</v>
      </c>
      <c r="I3949" t="s">
        <v>22</v>
      </c>
      <c r="J3949" s="2" t="s">
        <v>42</v>
      </c>
      <c r="K3949" s="2" t="s">
        <v>3019</v>
      </c>
      <c r="L3949" t="s">
        <v>25</v>
      </c>
      <c r="M3949" s="8">
        <v>1.0693333330000001</v>
      </c>
      <c r="N3949" t="s">
        <v>26</v>
      </c>
      <c r="O3949" s="8">
        <v>1.0693333330000001</v>
      </c>
      <c r="P3949" s="8">
        <f>EXP(-1.363+3.366*LOG(O3949,10))</f>
        <v>0.28223780327142356</v>
      </c>
      <c r="Q3949" s="8">
        <f>(3939723*100)/4442581</f>
        <v>88.680949204977921</v>
      </c>
    </row>
    <row r="3950" spans="1:17" x14ac:dyDescent="0.2">
      <c r="A3950">
        <f>YEAR(D3950)</f>
        <v>2019</v>
      </c>
      <c r="B3950" t="s">
        <v>26</v>
      </c>
      <c r="C3950" s="2" t="s">
        <v>3027</v>
      </c>
      <c r="D3950" s="1">
        <v>43679</v>
      </c>
      <c r="E3950">
        <f>MONTH(D3950)</f>
        <v>8</v>
      </c>
      <c r="F3950" s="2" t="s">
        <v>19</v>
      </c>
      <c r="G3950" t="s">
        <v>209</v>
      </c>
      <c r="H3950" t="s">
        <v>212</v>
      </c>
      <c r="I3950" t="s">
        <v>22</v>
      </c>
      <c r="J3950" s="2" t="s">
        <v>42</v>
      </c>
      <c r="K3950" s="2" t="s">
        <v>3019</v>
      </c>
      <c r="L3950" t="s">
        <v>187</v>
      </c>
      <c r="M3950" s="8">
        <v>1.6839999999999999</v>
      </c>
      <c r="N3950" t="s">
        <v>26</v>
      </c>
      <c r="O3950" s="8">
        <v>1.6839999999999999</v>
      </c>
      <c r="P3950" s="8">
        <f>EXP(-1.363+3.366*LOG(O3950,10))</f>
        <v>0.54819043975287984</v>
      </c>
      <c r="Q3950" s="8">
        <f>(3939723*100)/4442581</f>
        <v>88.680949204977921</v>
      </c>
    </row>
    <row r="3951" spans="1:17" x14ac:dyDescent="0.2">
      <c r="A3951">
        <f>YEAR(D3951)</f>
        <v>2019</v>
      </c>
      <c r="B3951" t="s">
        <v>26</v>
      </c>
      <c r="C3951" s="2" t="s">
        <v>3027</v>
      </c>
      <c r="D3951" s="1">
        <v>43679</v>
      </c>
      <c r="E3951">
        <f>MONTH(D3951)</f>
        <v>8</v>
      </c>
      <c r="F3951" s="2" t="s">
        <v>19</v>
      </c>
      <c r="G3951" t="s">
        <v>209</v>
      </c>
      <c r="H3951" t="s">
        <v>212</v>
      </c>
      <c r="I3951" t="s">
        <v>22</v>
      </c>
      <c r="J3951" s="2" t="s">
        <v>42</v>
      </c>
      <c r="K3951" s="2" t="s">
        <v>3019</v>
      </c>
      <c r="L3951" t="s">
        <v>187</v>
      </c>
      <c r="M3951" s="8">
        <v>1.6839999999999999</v>
      </c>
      <c r="N3951" t="s">
        <v>26</v>
      </c>
      <c r="O3951" s="8">
        <v>1.6839999999999999</v>
      </c>
      <c r="P3951" s="8">
        <f>EXP(-1.363+3.366*LOG(O3951,10))</f>
        <v>0.54819043975287984</v>
      </c>
      <c r="Q3951" s="8">
        <f>(3939723*100)/4442581</f>
        <v>88.680949204977921</v>
      </c>
    </row>
    <row r="3952" spans="1:17" x14ac:dyDescent="0.2">
      <c r="A3952">
        <f>YEAR(D3952)</f>
        <v>2019</v>
      </c>
      <c r="B3952" t="s">
        <v>26</v>
      </c>
      <c r="C3952" s="2" t="s">
        <v>3018</v>
      </c>
      <c r="D3952" s="1">
        <v>43679</v>
      </c>
      <c r="E3952">
        <f>MONTH(D3952)</f>
        <v>8</v>
      </c>
      <c r="F3952" s="2" t="s">
        <v>19</v>
      </c>
      <c r="G3952" t="s">
        <v>362</v>
      </c>
      <c r="H3952" t="s">
        <v>447</v>
      </c>
      <c r="I3952" t="s">
        <v>36</v>
      </c>
      <c r="J3952" s="2" t="s">
        <v>42</v>
      </c>
      <c r="K3952" s="2" t="s">
        <v>3019</v>
      </c>
      <c r="L3952" t="s">
        <v>25</v>
      </c>
      <c r="M3952" s="8">
        <v>1.0956666669999999</v>
      </c>
      <c r="N3952" t="s">
        <v>26</v>
      </c>
      <c r="O3952" s="8">
        <v>1.0956666669999999</v>
      </c>
      <c r="P3952" s="8">
        <f>EXP(-1.363+3.366*LOG(O3952,10))</f>
        <v>0.29245562330904107</v>
      </c>
      <c r="Q3952" s="8">
        <f>(5996898*100)/6073515</f>
        <v>98.738506449724753</v>
      </c>
    </row>
    <row r="3953" spans="1:17" x14ac:dyDescent="0.2">
      <c r="A3953">
        <f>YEAR(D3953)</f>
        <v>2019</v>
      </c>
      <c r="B3953" t="s">
        <v>26</v>
      </c>
      <c r="C3953" s="2" t="s">
        <v>3018</v>
      </c>
      <c r="D3953" s="1">
        <v>43679</v>
      </c>
      <c r="E3953">
        <f>MONTH(D3953)</f>
        <v>8</v>
      </c>
      <c r="F3953" s="2" t="s">
        <v>19</v>
      </c>
      <c r="G3953" t="s">
        <v>352</v>
      </c>
      <c r="H3953" t="s">
        <v>1344</v>
      </c>
      <c r="I3953" t="s">
        <v>22</v>
      </c>
      <c r="J3953" s="2" t="s">
        <v>42</v>
      </c>
      <c r="K3953" s="2" t="s">
        <v>3019</v>
      </c>
      <c r="L3953" t="s">
        <v>25</v>
      </c>
      <c r="M3953" s="8">
        <v>0.91800000000000004</v>
      </c>
      <c r="N3953" t="s">
        <v>26</v>
      </c>
      <c r="O3953" s="8">
        <v>0.91800000000000004</v>
      </c>
      <c r="P3953" s="8">
        <f>EXP(-1.363+3.366*LOG(O3953,10))</f>
        <v>0.22580769814771504</v>
      </c>
      <c r="Q3953" s="8">
        <f>(5996898*100)/6073515</f>
        <v>98.738506449724753</v>
      </c>
    </row>
    <row r="3954" spans="1:17" x14ac:dyDescent="0.2">
      <c r="A3954">
        <f>YEAR(D3954)</f>
        <v>2019</v>
      </c>
      <c r="B3954" t="s">
        <v>26</v>
      </c>
      <c r="C3954" s="2" t="s">
        <v>3018</v>
      </c>
      <c r="D3954" s="1">
        <v>43679</v>
      </c>
      <c r="E3954">
        <f>MONTH(D3954)</f>
        <v>8</v>
      </c>
      <c r="F3954" s="2" t="s">
        <v>19</v>
      </c>
      <c r="G3954" t="s">
        <v>1959</v>
      </c>
      <c r="H3954" t="s">
        <v>1960</v>
      </c>
      <c r="I3954" t="s">
        <v>36</v>
      </c>
      <c r="J3954" s="2" t="s">
        <v>42</v>
      </c>
      <c r="K3954" s="2" t="s">
        <v>3019</v>
      </c>
      <c r="L3954" t="s">
        <v>305</v>
      </c>
      <c r="M3954" s="8">
        <v>0.98599999999999999</v>
      </c>
      <c r="N3954" t="s">
        <v>26</v>
      </c>
      <c r="O3954" s="8">
        <v>0.98599999999999999</v>
      </c>
      <c r="P3954" s="8">
        <f>EXP(-1.363+3.366*LOG(O3954,10))</f>
        <v>0.25067191552934642</v>
      </c>
      <c r="Q3954" s="8">
        <f>(5996898*100)/6073515</f>
        <v>98.738506449724753</v>
      </c>
    </row>
    <row r="3955" spans="1:17" x14ac:dyDescent="0.2">
      <c r="A3955">
        <f>YEAR(D3955)</f>
        <v>2019</v>
      </c>
      <c r="B3955" t="s">
        <v>26</v>
      </c>
      <c r="C3955" s="2" t="s">
        <v>3027</v>
      </c>
      <c r="D3955" s="1">
        <v>43679</v>
      </c>
      <c r="E3955">
        <f>MONTH(D3955)</f>
        <v>8</v>
      </c>
      <c r="F3955" s="2" t="s">
        <v>19</v>
      </c>
      <c r="G3955" t="s">
        <v>352</v>
      </c>
      <c r="H3955" t="s">
        <v>1142</v>
      </c>
      <c r="I3955" t="s">
        <v>36</v>
      </c>
      <c r="J3955" s="2" t="s">
        <v>42</v>
      </c>
      <c r="K3955" s="2" t="s">
        <v>3019</v>
      </c>
      <c r="L3955" t="s">
        <v>25</v>
      </c>
      <c r="M3955" s="8">
        <v>0.93500000000000005</v>
      </c>
      <c r="N3955" t="s">
        <v>26</v>
      </c>
      <c r="O3955" s="8">
        <v>0.93500000000000005</v>
      </c>
      <c r="P3955" s="8">
        <f>EXP(-1.363+3.366*LOG(O3955,10))</f>
        <v>0.23194659731411651</v>
      </c>
      <c r="Q3955" s="8">
        <f>(3939723*100)/4442581</f>
        <v>88.680949204977921</v>
      </c>
    </row>
    <row r="3956" spans="1:17" x14ac:dyDescent="0.2">
      <c r="A3956">
        <f>YEAR(D3956)</f>
        <v>2019</v>
      </c>
      <c r="B3956" t="s">
        <v>26</v>
      </c>
      <c r="C3956" s="2" t="s">
        <v>3025</v>
      </c>
      <c r="D3956" s="1">
        <v>43682</v>
      </c>
      <c r="E3956">
        <f>MONTH(D3956)</f>
        <v>8</v>
      </c>
      <c r="F3956" s="2" t="s">
        <v>19</v>
      </c>
      <c r="G3956" t="s">
        <v>352</v>
      </c>
      <c r="H3956" t="s">
        <v>975</v>
      </c>
      <c r="I3956" t="s">
        <v>22</v>
      </c>
      <c r="J3956" s="2" t="s">
        <v>42</v>
      </c>
      <c r="K3956" s="2" t="s">
        <v>3019</v>
      </c>
      <c r="L3956" t="s">
        <v>25</v>
      </c>
      <c r="M3956" s="8">
        <v>1.0693333330000001</v>
      </c>
      <c r="N3956" t="s">
        <v>26</v>
      </c>
      <c r="O3956" s="8">
        <v>1.0693333330000001</v>
      </c>
      <c r="P3956" s="8">
        <f>EXP(-1.363+3.366*LOG(O3956,10))</f>
        <v>0.28223780327142356</v>
      </c>
      <c r="Q3956" s="8">
        <f>(1955155*100)/2180255</f>
        <v>89.67551960665152</v>
      </c>
    </row>
    <row r="3957" spans="1:17" x14ac:dyDescent="0.2">
      <c r="A3957">
        <f>YEAR(D3957)</f>
        <v>2019</v>
      </c>
      <c r="B3957" t="s">
        <v>26</v>
      </c>
      <c r="C3957" s="2" t="s">
        <v>3025</v>
      </c>
      <c r="D3957" s="1">
        <v>43682</v>
      </c>
      <c r="E3957">
        <f>MONTH(D3957)</f>
        <v>8</v>
      </c>
      <c r="F3957" s="2" t="s">
        <v>19</v>
      </c>
      <c r="G3957" t="s">
        <v>352</v>
      </c>
      <c r="H3957" t="s">
        <v>610</v>
      </c>
      <c r="I3957" t="s">
        <v>22</v>
      </c>
      <c r="J3957" s="2" t="s">
        <v>42</v>
      </c>
      <c r="K3957" s="2" t="s">
        <v>3019</v>
      </c>
      <c r="L3957" t="s">
        <v>25</v>
      </c>
      <c r="M3957" s="8">
        <v>0.86499999999999999</v>
      </c>
      <c r="N3957" t="s">
        <v>26</v>
      </c>
      <c r="O3957" s="8">
        <v>0.86499999999999999</v>
      </c>
      <c r="P3957" s="8">
        <f>EXP(-1.363+3.366*LOG(O3957,10))</f>
        <v>0.20700676972346591</v>
      </c>
      <c r="Q3957" s="8">
        <f>(1955155*100)/2180255</f>
        <v>89.67551960665152</v>
      </c>
    </row>
    <row r="3958" spans="1:17" x14ac:dyDescent="0.2">
      <c r="A3958">
        <f>YEAR(D3958)</f>
        <v>2019</v>
      </c>
      <c r="B3958" t="s">
        <v>26</v>
      </c>
      <c r="C3958" s="2" t="s">
        <v>3025</v>
      </c>
      <c r="D3958" s="1">
        <v>43682</v>
      </c>
      <c r="E3958">
        <f>MONTH(D3958)</f>
        <v>8</v>
      </c>
      <c r="F3958" s="2" t="s">
        <v>19</v>
      </c>
      <c r="G3958" t="s">
        <v>362</v>
      </c>
      <c r="H3958" t="s">
        <v>447</v>
      </c>
      <c r="I3958" t="s">
        <v>22</v>
      </c>
      <c r="J3958" s="2" t="s">
        <v>42</v>
      </c>
      <c r="K3958" s="2" t="s">
        <v>3019</v>
      </c>
      <c r="L3958" t="s">
        <v>25</v>
      </c>
      <c r="M3958" s="8">
        <v>1.421</v>
      </c>
      <c r="N3958" t="s">
        <v>26</v>
      </c>
      <c r="O3958" s="8">
        <v>1.421</v>
      </c>
      <c r="P3958" s="8">
        <f>EXP(-1.363+3.366*LOG(O3958,10))</f>
        <v>0.42768500084673816</v>
      </c>
      <c r="Q3958" s="8">
        <f>(1955155*100)/2180255</f>
        <v>89.67551960665152</v>
      </c>
    </row>
    <row r="3959" spans="1:17" x14ac:dyDescent="0.2">
      <c r="A3959">
        <f>YEAR(D3959)</f>
        <v>2019</v>
      </c>
      <c r="B3959" t="s">
        <v>26</v>
      </c>
      <c r="C3959" s="2" t="s">
        <v>3025</v>
      </c>
      <c r="D3959" s="1">
        <v>43682</v>
      </c>
      <c r="E3959">
        <f>MONTH(D3959)</f>
        <v>8</v>
      </c>
      <c r="F3959" s="2" t="s">
        <v>19</v>
      </c>
      <c r="G3959" t="s">
        <v>362</v>
      </c>
      <c r="H3959" t="s">
        <v>393</v>
      </c>
      <c r="I3959" t="s">
        <v>22</v>
      </c>
      <c r="J3959" s="2" t="s">
        <v>42</v>
      </c>
      <c r="K3959" s="2" t="s">
        <v>3019</v>
      </c>
      <c r="L3959" t="s">
        <v>25</v>
      </c>
      <c r="M3959" s="8">
        <v>2.4239999999999999</v>
      </c>
      <c r="N3959" t="s">
        <v>26</v>
      </c>
      <c r="O3959" s="8">
        <v>2.4239999999999999</v>
      </c>
      <c r="P3959" s="8">
        <f>EXP(-1.363+3.366*LOG(O3959,10))</f>
        <v>0.93364106227732868</v>
      </c>
      <c r="Q3959" s="8">
        <f>(1955155*100)/2180255</f>
        <v>89.67551960665152</v>
      </c>
    </row>
    <row r="3960" spans="1:17" x14ac:dyDescent="0.2">
      <c r="A3960">
        <f>YEAR(D3960)</f>
        <v>2019</v>
      </c>
      <c r="B3960" t="s">
        <v>26</v>
      </c>
      <c r="C3960" s="2" t="s">
        <v>3025</v>
      </c>
      <c r="D3960" s="1">
        <v>43682</v>
      </c>
      <c r="E3960">
        <f>MONTH(D3960)</f>
        <v>8</v>
      </c>
      <c r="F3960" s="2" t="s">
        <v>19</v>
      </c>
      <c r="G3960" t="s">
        <v>352</v>
      </c>
      <c r="H3960" t="s">
        <v>975</v>
      </c>
      <c r="I3960" t="s">
        <v>22</v>
      </c>
      <c r="J3960" s="2" t="s">
        <v>42</v>
      </c>
      <c r="K3960" s="2" t="s">
        <v>3019</v>
      </c>
      <c r="L3960" t="s">
        <v>25</v>
      </c>
      <c r="M3960" s="8">
        <v>1.0693333330000001</v>
      </c>
      <c r="N3960" t="s">
        <v>26</v>
      </c>
      <c r="O3960" s="8">
        <v>1.0693333330000001</v>
      </c>
      <c r="P3960" s="8">
        <f>EXP(-1.363+3.366*LOG(O3960,10))</f>
        <v>0.28223780327142356</v>
      </c>
      <c r="Q3960" s="8">
        <f>(1955155*100)/2180255</f>
        <v>89.67551960665152</v>
      </c>
    </row>
    <row r="3961" spans="1:17" x14ac:dyDescent="0.2">
      <c r="A3961">
        <f>YEAR(D3961)</f>
        <v>2019</v>
      </c>
      <c r="B3961" t="s">
        <v>26</v>
      </c>
      <c r="C3961" s="2" t="s">
        <v>3025</v>
      </c>
      <c r="D3961" s="1">
        <v>43682</v>
      </c>
      <c r="E3961">
        <f>MONTH(D3961)</f>
        <v>8</v>
      </c>
      <c r="F3961" s="2" t="s">
        <v>19</v>
      </c>
      <c r="G3961" t="s">
        <v>352</v>
      </c>
      <c r="H3961" t="s">
        <v>975</v>
      </c>
      <c r="I3961" t="s">
        <v>22</v>
      </c>
      <c r="J3961" s="2" t="s">
        <v>42</v>
      </c>
      <c r="K3961" s="2" t="s">
        <v>3019</v>
      </c>
      <c r="L3961" t="s">
        <v>25</v>
      </c>
      <c r="M3961" s="8">
        <v>1.0693333330000001</v>
      </c>
      <c r="N3961" t="s">
        <v>26</v>
      </c>
      <c r="O3961" s="8">
        <v>1.0693333330000001</v>
      </c>
      <c r="P3961" s="8">
        <f>EXP(-1.363+3.366*LOG(O3961,10))</f>
        <v>0.28223780327142356</v>
      </c>
      <c r="Q3961" s="8">
        <f>(1955155*100)/2180255</f>
        <v>89.67551960665152</v>
      </c>
    </row>
    <row r="3962" spans="1:17" x14ac:dyDescent="0.2">
      <c r="A3962">
        <f>YEAR(D3962)</f>
        <v>2019</v>
      </c>
      <c r="B3962" t="s">
        <v>26</v>
      </c>
      <c r="C3962" s="2" t="s">
        <v>3025</v>
      </c>
      <c r="D3962" s="1">
        <v>43682</v>
      </c>
      <c r="E3962">
        <f>MONTH(D3962)</f>
        <v>8</v>
      </c>
      <c r="F3962" s="2" t="s">
        <v>19</v>
      </c>
      <c r="G3962" t="s">
        <v>352</v>
      </c>
      <c r="H3962" t="s">
        <v>494</v>
      </c>
      <c r="I3962" t="s">
        <v>22</v>
      </c>
      <c r="J3962" s="2" t="s">
        <v>42</v>
      </c>
      <c r="K3962" s="2" t="s">
        <v>3019</v>
      </c>
      <c r="L3962" t="s">
        <v>25</v>
      </c>
      <c r="M3962" s="8">
        <v>1.7226666669999999</v>
      </c>
      <c r="N3962" t="s">
        <v>26</v>
      </c>
      <c r="O3962" s="8">
        <v>1.7226666669999999</v>
      </c>
      <c r="P3962" s="8">
        <f>EXP(-1.363+3.366*LOG(O3962,10))</f>
        <v>0.56668788662759551</v>
      </c>
      <c r="Q3962" s="8">
        <f>(1955155*100)/2180255</f>
        <v>89.67551960665152</v>
      </c>
    </row>
    <row r="3963" spans="1:17" x14ac:dyDescent="0.2">
      <c r="A3963">
        <f>YEAR(D3963)</f>
        <v>2019</v>
      </c>
      <c r="B3963" t="s">
        <v>26</v>
      </c>
      <c r="C3963" s="2" t="s">
        <v>3025</v>
      </c>
      <c r="D3963" s="1">
        <v>43682</v>
      </c>
      <c r="E3963">
        <f>MONTH(D3963)</f>
        <v>8</v>
      </c>
      <c r="F3963" s="2" t="s">
        <v>19</v>
      </c>
      <c r="G3963" t="s">
        <v>352</v>
      </c>
      <c r="H3963" t="s">
        <v>975</v>
      </c>
      <c r="I3963" t="s">
        <v>22</v>
      </c>
      <c r="J3963" s="2" t="s">
        <v>42</v>
      </c>
      <c r="K3963" s="2" t="s">
        <v>3019</v>
      </c>
      <c r="L3963" t="s">
        <v>25</v>
      </c>
      <c r="M3963" s="8">
        <v>1.0693333330000001</v>
      </c>
      <c r="N3963" t="s">
        <v>26</v>
      </c>
      <c r="O3963" s="8">
        <v>1.0693333330000001</v>
      </c>
      <c r="P3963" s="8">
        <f>EXP(-1.363+3.366*LOG(O3963,10))</f>
        <v>0.28223780327142356</v>
      </c>
      <c r="Q3963" s="8">
        <f>(1955155*100)/2180255</f>
        <v>89.67551960665152</v>
      </c>
    </row>
    <row r="3964" spans="1:17" x14ac:dyDescent="0.2">
      <c r="A3964">
        <f>YEAR(D3964)</f>
        <v>2019</v>
      </c>
      <c r="B3964" t="s">
        <v>26</v>
      </c>
      <c r="C3964" s="2" t="s">
        <v>3025</v>
      </c>
      <c r="D3964" s="1">
        <v>43682</v>
      </c>
      <c r="E3964">
        <f>MONTH(D3964)</f>
        <v>8</v>
      </c>
      <c r="F3964" s="2" t="s">
        <v>19</v>
      </c>
      <c r="G3964" t="s">
        <v>352</v>
      </c>
      <c r="H3964" t="s">
        <v>975</v>
      </c>
      <c r="I3964" t="s">
        <v>22</v>
      </c>
      <c r="J3964" s="2" t="s">
        <v>42</v>
      </c>
      <c r="K3964" s="2" t="s">
        <v>3019</v>
      </c>
      <c r="L3964" t="s">
        <v>25</v>
      </c>
      <c r="M3964" s="8">
        <v>1.0693333330000001</v>
      </c>
      <c r="N3964" t="s">
        <v>26</v>
      </c>
      <c r="O3964" s="8">
        <v>1.0693333330000001</v>
      </c>
      <c r="P3964" s="8">
        <f>EXP(-1.363+3.366*LOG(O3964,10))</f>
        <v>0.28223780327142356</v>
      </c>
      <c r="Q3964" s="8">
        <f>(1955155*100)/2180255</f>
        <v>89.67551960665152</v>
      </c>
    </row>
    <row r="3965" spans="1:17" x14ac:dyDescent="0.2">
      <c r="A3965">
        <f>YEAR(D3965)</f>
        <v>2019</v>
      </c>
      <c r="B3965" t="s">
        <v>26</v>
      </c>
      <c r="C3965" s="2" t="s">
        <v>1540</v>
      </c>
      <c r="D3965" s="1">
        <v>43684</v>
      </c>
      <c r="E3965">
        <f>MONTH(D3965)</f>
        <v>8</v>
      </c>
      <c r="F3965" s="2" t="s">
        <v>2098</v>
      </c>
      <c r="G3965" t="s">
        <v>219</v>
      </c>
      <c r="H3965" t="s">
        <v>220</v>
      </c>
      <c r="I3965" t="s">
        <v>22</v>
      </c>
      <c r="J3965" s="2" t="s">
        <v>42</v>
      </c>
      <c r="K3965" s="2" t="s">
        <v>3019</v>
      </c>
      <c r="L3965" t="s">
        <v>25</v>
      </c>
      <c r="M3965" s="10" t="s">
        <v>26</v>
      </c>
      <c r="N3965" t="s">
        <v>26</v>
      </c>
      <c r="O3965" s="10" t="s">
        <v>26</v>
      </c>
      <c r="P3965" s="8" t="s">
        <v>26</v>
      </c>
      <c r="Q3965" s="8">
        <f>(2618262*100)/2995732</f>
        <v>87.399740697766021</v>
      </c>
    </row>
    <row r="3966" spans="1:17" x14ac:dyDescent="0.2">
      <c r="A3966">
        <f>YEAR(D3966)</f>
        <v>2019</v>
      </c>
      <c r="B3966" t="s">
        <v>26</v>
      </c>
      <c r="C3966" s="2" t="s">
        <v>1540</v>
      </c>
      <c r="D3966" s="1">
        <v>43684</v>
      </c>
      <c r="E3966">
        <f>MONTH(D3966)</f>
        <v>8</v>
      </c>
      <c r="F3966" s="2" t="s">
        <v>2098</v>
      </c>
      <c r="G3966" t="s">
        <v>219</v>
      </c>
      <c r="H3966" t="s">
        <v>220</v>
      </c>
      <c r="I3966" t="s">
        <v>22</v>
      </c>
      <c r="J3966" s="2" t="s">
        <v>42</v>
      </c>
      <c r="K3966" s="2" t="s">
        <v>3019</v>
      </c>
      <c r="L3966" t="s">
        <v>25</v>
      </c>
      <c r="M3966" s="10" t="s">
        <v>26</v>
      </c>
      <c r="N3966" t="s">
        <v>26</v>
      </c>
      <c r="O3966" s="10" t="s">
        <v>26</v>
      </c>
      <c r="P3966" s="8" t="s">
        <v>26</v>
      </c>
      <c r="Q3966" s="8">
        <f>(2618262*100)/2995732</f>
        <v>87.399740697766021</v>
      </c>
    </row>
    <row r="3967" spans="1:17" x14ac:dyDescent="0.2">
      <c r="A3967">
        <f>YEAR(D3967)</f>
        <v>2019</v>
      </c>
      <c r="B3967" t="s">
        <v>26</v>
      </c>
      <c r="C3967" s="2" t="s">
        <v>1540</v>
      </c>
      <c r="D3967" s="1">
        <v>43684</v>
      </c>
      <c r="E3967">
        <f>MONTH(D3967)</f>
        <v>8</v>
      </c>
      <c r="F3967" s="2" t="s">
        <v>2098</v>
      </c>
      <c r="G3967" t="s">
        <v>219</v>
      </c>
      <c r="H3967" t="s">
        <v>220</v>
      </c>
      <c r="I3967" t="s">
        <v>22</v>
      </c>
      <c r="J3967" s="2" t="s">
        <v>42</v>
      </c>
      <c r="K3967" s="2" t="s">
        <v>3019</v>
      </c>
      <c r="L3967" t="s">
        <v>25</v>
      </c>
      <c r="M3967" s="10" t="s">
        <v>26</v>
      </c>
      <c r="N3967" t="s">
        <v>26</v>
      </c>
      <c r="O3967" s="10" t="s">
        <v>26</v>
      </c>
      <c r="P3967" s="8" t="s">
        <v>26</v>
      </c>
      <c r="Q3967" s="8">
        <f>(2618262*100)/2995732</f>
        <v>87.399740697766021</v>
      </c>
    </row>
    <row r="3968" spans="1:17" x14ac:dyDescent="0.2">
      <c r="A3968">
        <f>YEAR(D3968)</f>
        <v>2019</v>
      </c>
      <c r="B3968" t="s">
        <v>26</v>
      </c>
      <c r="C3968" s="2" t="s">
        <v>1540</v>
      </c>
      <c r="D3968" s="1">
        <v>43684</v>
      </c>
      <c r="E3968">
        <f>MONTH(D3968)</f>
        <v>8</v>
      </c>
      <c r="F3968" s="2" t="s">
        <v>2098</v>
      </c>
      <c r="G3968" t="s">
        <v>219</v>
      </c>
      <c r="H3968" t="s">
        <v>220</v>
      </c>
      <c r="I3968" t="s">
        <v>22</v>
      </c>
      <c r="J3968" s="2" t="s">
        <v>42</v>
      </c>
      <c r="K3968" s="2" t="s">
        <v>3019</v>
      </c>
      <c r="L3968" t="s">
        <v>25</v>
      </c>
      <c r="M3968" s="10" t="s">
        <v>26</v>
      </c>
      <c r="N3968" t="s">
        <v>26</v>
      </c>
      <c r="O3968" s="10" t="s">
        <v>26</v>
      </c>
      <c r="P3968" s="8" t="s">
        <v>26</v>
      </c>
      <c r="Q3968" s="8">
        <f>(2618262*100)/2995732</f>
        <v>87.399740697766021</v>
      </c>
    </row>
    <row r="3969" spans="1:17" x14ac:dyDescent="0.2">
      <c r="A3969">
        <f>YEAR(D3969)</f>
        <v>2019</v>
      </c>
      <c r="B3969" t="s">
        <v>26</v>
      </c>
      <c r="C3969" s="2" t="s">
        <v>1540</v>
      </c>
      <c r="D3969" s="1">
        <v>43684</v>
      </c>
      <c r="E3969">
        <f>MONTH(D3969)</f>
        <v>8</v>
      </c>
      <c r="F3969" s="2" t="s">
        <v>2098</v>
      </c>
      <c r="G3969" t="s">
        <v>219</v>
      </c>
      <c r="H3969" t="s">
        <v>220</v>
      </c>
      <c r="I3969" t="s">
        <v>22</v>
      </c>
      <c r="J3969" s="2" t="s">
        <v>42</v>
      </c>
      <c r="K3969" s="2" t="s">
        <v>3019</v>
      </c>
      <c r="L3969" t="s">
        <v>25</v>
      </c>
      <c r="M3969" s="10" t="s">
        <v>26</v>
      </c>
      <c r="N3969" t="s">
        <v>26</v>
      </c>
      <c r="O3969" s="10" t="s">
        <v>26</v>
      </c>
      <c r="P3969" s="8" t="s">
        <v>26</v>
      </c>
      <c r="Q3969" s="8">
        <f>(2618262*100)/2995732</f>
        <v>87.399740697766021</v>
      </c>
    </row>
    <row r="3970" spans="1:17" x14ac:dyDescent="0.2">
      <c r="A3970">
        <f>YEAR(D3970)</f>
        <v>2019</v>
      </c>
      <c r="B3970" t="s">
        <v>26</v>
      </c>
      <c r="C3970" s="2" t="s">
        <v>1540</v>
      </c>
      <c r="D3970" s="1">
        <v>43684</v>
      </c>
      <c r="E3970">
        <f>MONTH(D3970)</f>
        <v>8</v>
      </c>
      <c r="F3970" s="2" t="s">
        <v>2098</v>
      </c>
      <c r="G3970" t="s">
        <v>219</v>
      </c>
      <c r="H3970" t="s">
        <v>220</v>
      </c>
      <c r="I3970" t="s">
        <v>22</v>
      </c>
      <c r="J3970" s="2" t="s">
        <v>42</v>
      </c>
      <c r="K3970" s="2" t="s">
        <v>3019</v>
      </c>
      <c r="L3970" t="s">
        <v>25</v>
      </c>
      <c r="M3970" s="10" t="s">
        <v>26</v>
      </c>
      <c r="N3970" t="s">
        <v>26</v>
      </c>
      <c r="O3970" s="10" t="s">
        <v>26</v>
      </c>
      <c r="P3970" s="8" t="s">
        <v>26</v>
      </c>
      <c r="Q3970" s="8">
        <f>(2618262*100)/2995732</f>
        <v>87.399740697766021</v>
      </c>
    </row>
    <row r="3971" spans="1:17" x14ac:dyDescent="0.2">
      <c r="A3971">
        <f>YEAR(D3971)</f>
        <v>2019</v>
      </c>
      <c r="B3971" t="s">
        <v>26</v>
      </c>
      <c r="C3971" s="2" t="s">
        <v>1552</v>
      </c>
      <c r="D3971" s="1">
        <v>43684</v>
      </c>
      <c r="E3971">
        <f>MONTH(D3971)</f>
        <v>8</v>
      </c>
      <c r="F3971" s="2" t="s">
        <v>2098</v>
      </c>
      <c r="G3971" t="s">
        <v>219</v>
      </c>
      <c r="H3971" t="s">
        <v>220</v>
      </c>
      <c r="I3971" t="s">
        <v>22</v>
      </c>
      <c r="J3971" s="2" t="s">
        <v>42</v>
      </c>
      <c r="K3971" s="2" t="s">
        <v>3019</v>
      </c>
      <c r="L3971" t="s">
        <v>25</v>
      </c>
      <c r="M3971" s="10" t="s">
        <v>26</v>
      </c>
      <c r="N3971" t="s">
        <v>26</v>
      </c>
      <c r="O3971" s="10" t="s">
        <v>26</v>
      </c>
      <c r="P3971" s="8" t="s">
        <v>26</v>
      </c>
      <c r="Q3971" s="8">
        <f>(3738946*100)/3915493</f>
        <v>95.491065875995687</v>
      </c>
    </row>
    <row r="3972" spans="1:17" x14ac:dyDescent="0.2">
      <c r="A3972">
        <f>YEAR(D3972)</f>
        <v>2019</v>
      </c>
      <c r="B3972" t="s">
        <v>26</v>
      </c>
      <c r="C3972" s="2" t="s">
        <v>1552</v>
      </c>
      <c r="D3972" s="1">
        <v>43684</v>
      </c>
      <c r="E3972">
        <f>MONTH(D3972)</f>
        <v>8</v>
      </c>
      <c r="F3972" s="2" t="s">
        <v>2098</v>
      </c>
      <c r="G3972" t="s">
        <v>219</v>
      </c>
      <c r="H3972" t="s">
        <v>220</v>
      </c>
      <c r="I3972" t="s">
        <v>22</v>
      </c>
      <c r="J3972" s="2" t="s">
        <v>42</v>
      </c>
      <c r="K3972" s="2" t="s">
        <v>3019</v>
      </c>
      <c r="L3972" t="s">
        <v>25</v>
      </c>
      <c r="M3972" s="10" t="s">
        <v>26</v>
      </c>
      <c r="N3972" t="s">
        <v>26</v>
      </c>
      <c r="O3972" s="10" t="s">
        <v>26</v>
      </c>
      <c r="P3972" s="8" t="s">
        <v>26</v>
      </c>
      <c r="Q3972" s="8">
        <f>(3738946*100)/3915493</f>
        <v>95.491065875995687</v>
      </c>
    </row>
    <row r="3973" spans="1:17" x14ac:dyDescent="0.2">
      <c r="A3973">
        <f>YEAR(D3973)</f>
        <v>2019</v>
      </c>
      <c r="B3973" t="s">
        <v>26</v>
      </c>
      <c r="C3973" s="2" t="s">
        <v>1552</v>
      </c>
      <c r="D3973" s="1">
        <v>43684</v>
      </c>
      <c r="E3973">
        <f>MONTH(D3973)</f>
        <v>8</v>
      </c>
      <c r="F3973" s="2" t="s">
        <v>2098</v>
      </c>
      <c r="G3973" t="s">
        <v>219</v>
      </c>
      <c r="H3973" t="s">
        <v>220</v>
      </c>
      <c r="I3973" t="s">
        <v>22</v>
      </c>
      <c r="J3973" s="2" t="s">
        <v>42</v>
      </c>
      <c r="K3973" s="2" t="s">
        <v>3019</v>
      </c>
      <c r="L3973" t="s">
        <v>25</v>
      </c>
      <c r="M3973" s="10" t="s">
        <v>26</v>
      </c>
      <c r="N3973" t="s">
        <v>26</v>
      </c>
      <c r="O3973" s="10" t="s">
        <v>26</v>
      </c>
      <c r="P3973" s="8" t="s">
        <v>26</v>
      </c>
      <c r="Q3973" s="8">
        <f>(3738946*100)/3915493</f>
        <v>95.491065875995687</v>
      </c>
    </row>
    <row r="3974" spans="1:17" x14ac:dyDescent="0.2">
      <c r="A3974">
        <f>YEAR(D3974)</f>
        <v>2019</v>
      </c>
      <c r="B3974" t="s">
        <v>26</v>
      </c>
      <c r="C3974" s="2" t="s">
        <v>1552</v>
      </c>
      <c r="D3974" s="1">
        <v>43684</v>
      </c>
      <c r="E3974">
        <f>MONTH(D3974)</f>
        <v>8</v>
      </c>
      <c r="F3974" s="2" t="s">
        <v>2098</v>
      </c>
      <c r="G3974" t="s">
        <v>219</v>
      </c>
      <c r="H3974" t="s">
        <v>220</v>
      </c>
      <c r="I3974" t="s">
        <v>22</v>
      </c>
      <c r="J3974" s="2" t="s">
        <v>42</v>
      </c>
      <c r="K3974" s="2" t="s">
        <v>3019</v>
      </c>
      <c r="L3974" t="s">
        <v>25</v>
      </c>
      <c r="M3974" s="10" t="s">
        <v>26</v>
      </c>
      <c r="N3974" t="s">
        <v>26</v>
      </c>
      <c r="O3974" s="10" t="s">
        <v>26</v>
      </c>
      <c r="P3974" s="8" t="s">
        <v>26</v>
      </c>
      <c r="Q3974" s="8">
        <f>(3738946*100)/3915493</f>
        <v>95.491065875995687</v>
      </c>
    </row>
    <row r="3975" spans="1:17" x14ac:dyDescent="0.2">
      <c r="A3975">
        <f>YEAR(D3975)</f>
        <v>2019</v>
      </c>
      <c r="B3975" t="s">
        <v>26</v>
      </c>
      <c r="C3975" s="2" t="s">
        <v>1540</v>
      </c>
      <c r="D3975" s="1">
        <v>43684</v>
      </c>
      <c r="E3975">
        <f>MONTH(D3975)</f>
        <v>8</v>
      </c>
      <c r="F3975" s="2" t="s">
        <v>2098</v>
      </c>
      <c r="G3975" t="s">
        <v>352</v>
      </c>
      <c r="H3975" t="s">
        <v>747</v>
      </c>
      <c r="I3975" t="s">
        <v>22</v>
      </c>
      <c r="J3975" s="2" t="s">
        <v>42</v>
      </c>
      <c r="K3975" s="2" t="s">
        <v>3019</v>
      </c>
      <c r="L3975" t="s">
        <v>25</v>
      </c>
      <c r="M3975" s="8">
        <v>1.3726666670000001</v>
      </c>
      <c r="N3975" t="s">
        <v>26</v>
      </c>
      <c r="O3975" s="8">
        <v>1.3726666670000001</v>
      </c>
      <c r="P3975" s="8">
        <f>EXP(-1.363+3.366*LOG(O3975,10))</f>
        <v>0.40658758379567089</v>
      </c>
      <c r="Q3975" s="8">
        <f>(2618262*100)/2995732</f>
        <v>87.399740697766021</v>
      </c>
    </row>
    <row r="3976" spans="1:17" x14ac:dyDescent="0.2">
      <c r="A3976">
        <f>YEAR(D3976)</f>
        <v>2019</v>
      </c>
      <c r="B3976" t="s">
        <v>26</v>
      </c>
      <c r="C3976" s="2" t="s">
        <v>1540</v>
      </c>
      <c r="D3976" s="1">
        <v>43684</v>
      </c>
      <c r="E3976">
        <f>MONTH(D3976)</f>
        <v>8</v>
      </c>
      <c r="F3976" s="2" t="s">
        <v>2098</v>
      </c>
      <c r="G3976" t="s">
        <v>352</v>
      </c>
      <c r="H3976" t="s">
        <v>1459</v>
      </c>
      <c r="I3976" t="s">
        <v>22</v>
      </c>
      <c r="J3976" s="2" t="s">
        <v>42</v>
      </c>
      <c r="K3976" s="2" t="s">
        <v>3019</v>
      </c>
      <c r="L3976" t="s">
        <v>25</v>
      </c>
      <c r="M3976" s="8">
        <v>1.1910000000000001</v>
      </c>
      <c r="N3976" t="s">
        <v>26</v>
      </c>
      <c r="O3976" s="8">
        <v>1.1910000000000001</v>
      </c>
      <c r="P3976" s="8">
        <f>EXP(-1.363+3.366*LOG(O3976,10))</f>
        <v>0.33039016297752993</v>
      </c>
      <c r="Q3976" s="8">
        <f>(2618262*100)/2995732</f>
        <v>87.399740697766021</v>
      </c>
    </row>
    <row r="3977" spans="1:17" x14ac:dyDescent="0.2">
      <c r="A3977">
        <f>YEAR(D3977)</f>
        <v>2019</v>
      </c>
      <c r="B3977" t="s">
        <v>26</v>
      </c>
      <c r="C3977" s="2" t="s">
        <v>1540</v>
      </c>
      <c r="D3977" s="1">
        <v>43684</v>
      </c>
      <c r="E3977">
        <f>MONTH(D3977)</f>
        <v>8</v>
      </c>
      <c r="F3977" s="2" t="s">
        <v>2098</v>
      </c>
      <c r="G3977" t="s">
        <v>2206</v>
      </c>
      <c r="H3977" t="s">
        <v>2263</v>
      </c>
      <c r="I3977" t="s">
        <v>36</v>
      </c>
      <c r="J3977" s="2" t="s">
        <v>42</v>
      </c>
      <c r="K3977" s="2" t="s">
        <v>3019</v>
      </c>
      <c r="L3977" t="s">
        <v>25</v>
      </c>
      <c r="M3977" s="8">
        <v>4.1670000000000007</v>
      </c>
      <c r="N3977" t="s">
        <v>26</v>
      </c>
      <c r="O3977" s="8">
        <v>4.1670000000000007</v>
      </c>
      <c r="P3977" s="8">
        <f>EXP(-1.363+3.366*LOG(O3977,10))</f>
        <v>2.0612774305709816</v>
      </c>
      <c r="Q3977" s="8">
        <f>(2618262*100)/2995732</f>
        <v>87.399740697766021</v>
      </c>
    </row>
    <row r="3978" spans="1:17" x14ac:dyDescent="0.2">
      <c r="A3978">
        <f>YEAR(D3978)</f>
        <v>2019</v>
      </c>
      <c r="B3978" t="s">
        <v>26</v>
      </c>
      <c r="C3978" s="2" t="s">
        <v>1540</v>
      </c>
      <c r="D3978" s="1">
        <v>43684</v>
      </c>
      <c r="E3978">
        <f>MONTH(D3978)</f>
        <v>8</v>
      </c>
      <c r="F3978" s="2" t="s">
        <v>2098</v>
      </c>
      <c r="G3978" t="s">
        <v>2206</v>
      </c>
      <c r="H3978" t="s">
        <v>2263</v>
      </c>
      <c r="I3978" t="s">
        <v>36</v>
      </c>
      <c r="J3978" s="2" t="s">
        <v>42</v>
      </c>
      <c r="K3978" s="2" t="s">
        <v>3019</v>
      </c>
      <c r="L3978" t="s">
        <v>25</v>
      </c>
      <c r="M3978" s="8">
        <v>4.1670000000000007</v>
      </c>
      <c r="N3978" t="s">
        <v>26</v>
      </c>
      <c r="O3978" s="8">
        <v>4.1670000000000007</v>
      </c>
      <c r="P3978" s="8">
        <f>EXP(-1.363+3.366*LOG(O3978,10))</f>
        <v>2.0612774305709816</v>
      </c>
      <c r="Q3978" s="8">
        <f>(2618262*100)/2995732</f>
        <v>87.399740697766021</v>
      </c>
    </row>
    <row r="3979" spans="1:17" x14ac:dyDescent="0.2">
      <c r="A3979">
        <f>YEAR(D3979)</f>
        <v>2019</v>
      </c>
      <c r="B3979" t="s">
        <v>26</v>
      </c>
      <c r="C3979" s="2" t="s">
        <v>1540</v>
      </c>
      <c r="D3979" s="1">
        <v>43684</v>
      </c>
      <c r="E3979">
        <f>MONTH(D3979)</f>
        <v>8</v>
      </c>
      <c r="F3979" s="2" t="s">
        <v>2098</v>
      </c>
      <c r="G3979" t="s">
        <v>2206</v>
      </c>
      <c r="H3979" t="s">
        <v>2263</v>
      </c>
      <c r="I3979" t="s">
        <v>36</v>
      </c>
      <c r="J3979" s="2" t="s">
        <v>42</v>
      </c>
      <c r="K3979" s="2" t="s">
        <v>3019</v>
      </c>
      <c r="L3979" t="s">
        <v>25</v>
      </c>
      <c r="M3979" s="8">
        <v>4.1670000000000007</v>
      </c>
      <c r="N3979" t="s">
        <v>26</v>
      </c>
      <c r="O3979" s="8">
        <v>4.1670000000000007</v>
      </c>
      <c r="P3979" s="8">
        <f>EXP(-1.363+3.366*LOG(O3979,10))</f>
        <v>2.0612774305709816</v>
      </c>
      <c r="Q3979" s="8">
        <f>(2618262*100)/2995732</f>
        <v>87.399740697766021</v>
      </c>
    </row>
    <row r="3980" spans="1:17" x14ac:dyDescent="0.2">
      <c r="A3980">
        <f>YEAR(D3980)</f>
        <v>2019</v>
      </c>
      <c r="B3980" t="s">
        <v>26</v>
      </c>
      <c r="C3980" s="2" t="s">
        <v>1540</v>
      </c>
      <c r="D3980" s="1">
        <v>43684</v>
      </c>
      <c r="E3980">
        <f>MONTH(D3980)</f>
        <v>8</v>
      </c>
      <c r="F3980" s="2" t="s">
        <v>2098</v>
      </c>
      <c r="G3980" t="s">
        <v>2206</v>
      </c>
      <c r="H3980" t="s">
        <v>2263</v>
      </c>
      <c r="I3980" t="s">
        <v>36</v>
      </c>
      <c r="J3980" s="2" t="s">
        <v>42</v>
      </c>
      <c r="K3980" s="2" t="s">
        <v>3019</v>
      </c>
      <c r="L3980" t="s">
        <v>25</v>
      </c>
      <c r="M3980" s="8">
        <v>4.1670000000000007</v>
      </c>
      <c r="N3980" t="s">
        <v>26</v>
      </c>
      <c r="O3980" s="8">
        <v>4.1670000000000007</v>
      </c>
      <c r="P3980" s="8">
        <f>EXP(-1.363+3.366*LOG(O3980,10))</f>
        <v>2.0612774305709816</v>
      </c>
      <c r="Q3980" s="8">
        <f>(2618262*100)/2995732</f>
        <v>87.399740697766021</v>
      </c>
    </row>
    <row r="3981" spans="1:17" x14ac:dyDescent="0.2">
      <c r="A3981">
        <f>YEAR(D3981)</f>
        <v>2019</v>
      </c>
      <c r="B3981" t="s">
        <v>26</v>
      </c>
      <c r="C3981" s="2" t="s">
        <v>1540</v>
      </c>
      <c r="D3981" s="1">
        <v>43684</v>
      </c>
      <c r="E3981">
        <f>MONTH(D3981)</f>
        <v>8</v>
      </c>
      <c r="F3981" s="2" t="s">
        <v>2098</v>
      </c>
      <c r="G3981" t="s">
        <v>2206</v>
      </c>
      <c r="H3981" t="s">
        <v>2263</v>
      </c>
      <c r="I3981" t="s">
        <v>36</v>
      </c>
      <c r="J3981" s="2" t="s">
        <v>42</v>
      </c>
      <c r="K3981" s="2" t="s">
        <v>3019</v>
      </c>
      <c r="L3981" t="s">
        <v>25</v>
      </c>
      <c r="M3981" s="8">
        <v>4.1670000000000007</v>
      </c>
      <c r="N3981" t="s">
        <v>26</v>
      </c>
      <c r="O3981" s="8">
        <v>4.1670000000000007</v>
      </c>
      <c r="P3981" s="8">
        <f>EXP(-1.363+3.366*LOG(O3981,10))</f>
        <v>2.0612774305709816</v>
      </c>
      <c r="Q3981" s="8">
        <f>(2618262*100)/2995732</f>
        <v>87.399740697766021</v>
      </c>
    </row>
    <row r="3982" spans="1:17" x14ac:dyDescent="0.2">
      <c r="A3982">
        <f>YEAR(D3982)</f>
        <v>2019</v>
      </c>
      <c r="B3982" t="s">
        <v>26</v>
      </c>
      <c r="C3982" s="2" t="s">
        <v>1540</v>
      </c>
      <c r="D3982" s="1">
        <v>43684</v>
      </c>
      <c r="E3982">
        <f>MONTH(D3982)</f>
        <v>8</v>
      </c>
      <c r="F3982" s="2" t="s">
        <v>2098</v>
      </c>
      <c r="G3982" t="s">
        <v>332</v>
      </c>
      <c r="H3982" t="s">
        <v>330</v>
      </c>
      <c r="I3982" t="s">
        <v>22</v>
      </c>
      <c r="J3982" s="2" t="s">
        <v>42</v>
      </c>
      <c r="K3982" s="2" t="s">
        <v>3019</v>
      </c>
      <c r="L3982" t="s">
        <v>25</v>
      </c>
      <c r="M3982" s="8">
        <v>1.2170000000000001</v>
      </c>
      <c r="N3982" t="s">
        <v>26</v>
      </c>
      <c r="O3982" s="8">
        <v>1.2170000000000001</v>
      </c>
      <c r="P3982" s="8">
        <f>EXP(-1.363+3.366*LOG(O3982,10))</f>
        <v>0.34098666307598596</v>
      </c>
      <c r="Q3982" s="8">
        <f>(2618262*100)/2995732</f>
        <v>87.399740697766021</v>
      </c>
    </row>
    <row r="3983" spans="1:17" x14ac:dyDescent="0.2">
      <c r="A3983">
        <f>YEAR(D3983)</f>
        <v>2019</v>
      </c>
      <c r="B3983" t="s">
        <v>26</v>
      </c>
      <c r="C3983" s="2" t="s">
        <v>1540</v>
      </c>
      <c r="D3983" s="1">
        <v>43684</v>
      </c>
      <c r="E3983">
        <f>MONTH(D3983)</f>
        <v>8</v>
      </c>
      <c r="F3983" s="2" t="s">
        <v>2098</v>
      </c>
      <c r="G3983" t="s">
        <v>332</v>
      </c>
      <c r="H3983" t="s">
        <v>327</v>
      </c>
      <c r="I3983" t="s">
        <v>36</v>
      </c>
      <c r="J3983" s="2" t="s">
        <v>42</v>
      </c>
      <c r="K3983" s="2" t="s">
        <v>3019</v>
      </c>
      <c r="L3983" t="s">
        <v>25</v>
      </c>
      <c r="M3983" s="8">
        <v>1.0693333330000001</v>
      </c>
      <c r="N3983" t="s">
        <v>26</v>
      </c>
      <c r="O3983" s="8">
        <v>1.0693333330000001</v>
      </c>
      <c r="P3983" s="8">
        <f>EXP(-1.363+3.366*LOG(O3983,10))</f>
        <v>0.28223780327142356</v>
      </c>
      <c r="Q3983" s="8">
        <f>(2618262*100)/2995732</f>
        <v>87.399740697766021</v>
      </c>
    </row>
    <row r="3984" spans="1:17" x14ac:dyDescent="0.2">
      <c r="A3984">
        <f>YEAR(D3984)</f>
        <v>2019</v>
      </c>
      <c r="B3984" t="s">
        <v>26</v>
      </c>
      <c r="C3984" s="2" t="s">
        <v>1540</v>
      </c>
      <c r="D3984" s="1">
        <v>43684</v>
      </c>
      <c r="E3984">
        <f>MONTH(D3984)</f>
        <v>8</v>
      </c>
      <c r="F3984" s="2" t="s">
        <v>2098</v>
      </c>
      <c r="G3984" t="s">
        <v>332</v>
      </c>
      <c r="H3984" t="s">
        <v>330</v>
      </c>
      <c r="I3984" t="s">
        <v>36</v>
      </c>
      <c r="J3984" s="2" t="s">
        <v>42</v>
      </c>
      <c r="K3984" s="2" t="s">
        <v>3019</v>
      </c>
      <c r="L3984" t="s">
        <v>25</v>
      </c>
      <c r="M3984" s="8">
        <v>1.100666667</v>
      </c>
      <c r="N3984" t="s">
        <v>26</v>
      </c>
      <c r="O3984" s="8">
        <v>1.100666667</v>
      </c>
      <c r="P3984" s="8">
        <f>EXP(-1.363+3.366*LOG(O3984,10))</f>
        <v>0.29440864465042604</v>
      </c>
      <c r="Q3984" s="8">
        <f>(2618262*100)/2995732</f>
        <v>87.399740697766021</v>
      </c>
    </row>
    <row r="3985" spans="1:17" x14ac:dyDescent="0.2">
      <c r="A3985">
        <f>YEAR(D3985)</f>
        <v>2019</v>
      </c>
      <c r="B3985" t="s">
        <v>26</v>
      </c>
      <c r="C3985" s="2" t="s">
        <v>1540</v>
      </c>
      <c r="D3985" s="1">
        <v>43684</v>
      </c>
      <c r="E3985">
        <f>MONTH(D3985)</f>
        <v>8</v>
      </c>
      <c r="F3985" s="2" t="s">
        <v>2098</v>
      </c>
      <c r="G3985" t="s">
        <v>332</v>
      </c>
      <c r="H3985" t="s">
        <v>330</v>
      </c>
      <c r="I3985" t="s">
        <v>22</v>
      </c>
      <c r="J3985" s="2" t="s">
        <v>42</v>
      </c>
      <c r="K3985" s="2" t="s">
        <v>3019</v>
      </c>
      <c r="L3985" t="s">
        <v>25</v>
      </c>
      <c r="M3985" s="8">
        <v>1.2170000000000001</v>
      </c>
      <c r="N3985" t="s">
        <v>26</v>
      </c>
      <c r="O3985" s="8">
        <v>1.2170000000000001</v>
      </c>
      <c r="P3985" s="8">
        <f>EXP(-1.363+3.366*LOG(O3985,10))</f>
        <v>0.34098666307598596</v>
      </c>
      <c r="Q3985" s="8">
        <f>(2618262*100)/2995732</f>
        <v>87.399740697766021</v>
      </c>
    </row>
    <row r="3986" spans="1:17" x14ac:dyDescent="0.2">
      <c r="A3986">
        <f>YEAR(D3986)</f>
        <v>2019</v>
      </c>
      <c r="B3986" t="s">
        <v>26</v>
      </c>
      <c r="C3986" s="2" t="s">
        <v>1540</v>
      </c>
      <c r="D3986" s="1">
        <v>43684</v>
      </c>
      <c r="E3986">
        <f>MONTH(D3986)</f>
        <v>8</v>
      </c>
      <c r="F3986" s="2" t="s">
        <v>2098</v>
      </c>
      <c r="G3986" t="s">
        <v>230</v>
      </c>
      <c r="H3986" t="s">
        <v>259</v>
      </c>
      <c r="I3986" t="s">
        <v>22</v>
      </c>
      <c r="J3986" s="2" t="s">
        <v>42</v>
      </c>
      <c r="K3986" s="2" t="s">
        <v>3019</v>
      </c>
      <c r="L3986" t="s">
        <v>25</v>
      </c>
      <c r="M3986" s="8">
        <v>4.2283333330000001</v>
      </c>
      <c r="N3986" t="s">
        <v>26</v>
      </c>
      <c r="O3986" s="8">
        <v>4.2283333330000001</v>
      </c>
      <c r="P3986" s="8">
        <f>EXP(-1.363+3.366*LOG(O3986,10))</f>
        <v>2.1057792396965977</v>
      </c>
      <c r="Q3986" s="8">
        <f>(2618262*100)/2995732</f>
        <v>87.399740697766021</v>
      </c>
    </row>
    <row r="3987" spans="1:17" x14ac:dyDescent="0.2">
      <c r="A3987">
        <f>YEAR(D3987)</f>
        <v>2019</v>
      </c>
      <c r="B3987" t="s">
        <v>26</v>
      </c>
      <c r="C3987" s="2" t="s">
        <v>1540</v>
      </c>
      <c r="D3987" s="1">
        <v>43684</v>
      </c>
      <c r="E3987">
        <f>MONTH(D3987)</f>
        <v>8</v>
      </c>
      <c r="F3987" s="2" t="s">
        <v>2098</v>
      </c>
      <c r="G3987" t="s">
        <v>230</v>
      </c>
      <c r="H3987" t="s">
        <v>268</v>
      </c>
      <c r="I3987" t="s">
        <v>22</v>
      </c>
      <c r="J3987" s="2" t="s">
        <v>42</v>
      </c>
      <c r="K3987" s="2" t="s">
        <v>3019</v>
      </c>
      <c r="L3987" t="s">
        <v>25</v>
      </c>
      <c r="M3987" s="8">
        <v>3.5356666670000001</v>
      </c>
      <c r="N3987" t="s">
        <v>26</v>
      </c>
      <c r="O3987" s="8">
        <v>3.5356666670000001</v>
      </c>
      <c r="P3987" s="8">
        <f>EXP(-1.363+3.366*LOG(O3987,10))</f>
        <v>1.6211802664427075</v>
      </c>
      <c r="Q3987" s="8">
        <f>(2618262*100)/2995732</f>
        <v>87.399740697766021</v>
      </c>
    </row>
    <row r="3988" spans="1:17" x14ac:dyDescent="0.2">
      <c r="A3988">
        <f>YEAR(D3988)</f>
        <v>2019</v>
      </c>
      <c r="B3988" t="s">
        <v>26</v>
      </c>
      <c r="C3988" s="2" t="s">
        <v>1540</v>
      </c>
      <c r="D3988" s="1">
        <v>43684</v>
      </c>
      <c r="E3988">
        <f>MONTH(D3988)</f>
        <v>8</v>
      </c>
      <c r="F3988" s="2" t="s">
        <v>2098</v>
      </c>
      <c r="G3988" t="s">
        <v>362</v>
      </c>
      <c r="H3988" t="s">
        <v>447</v>
      </c>
      <c r="I3988" t="s">
        <v>36</v>
      </c>
      <c r="J3988" s="2" t="s">
        <v>42</v>
      </c>
      <c r="K3988" s="2" t="s">
        <v>3019</v>
      </c>
      <c r="L3988" t="s">
        <v>25</v>
      </c>
      <c r="M3988" s="8">
        <v>1.0956666669999999</v>
      </c>
      <c r="N3988" t="s">
        <v>26</v>
      </c>
      <c r="O3988" s="8">
        <v>1.0956666669999999</v>
      </c>
      <c r="P3988" s="8">
        <f>EXP(-1.363+3.366*LOG(O3988,10))</f>
        <v>0.29245562330904107</v>
      </c>
      <c r="Q3988" s="8">
        <f>(2618262*100)/2995732</f>
        <v>87.399740697766021</v>
      </c>
    </row>
    <row r="3989" spans="1:17" x14ac:dyDescent="0.2">
      <c r="A3989">
        <f>YEAR(D3989)</f>
        <v>2019</v>
      </c>
      <c r="B3989" t="s">
        <v>26</v>
      </c>
      <c r="C3989" s="2" t="s">
        <v>1540</v>
      </c>
      <c r="D3989" s="1">
        <v>43684</v>
      </c>
      <c r="E3989">
        <f>MONTH(D3989)</f>
        <v>8</v>
      </c>
      <c r="F3989" s="2" t="s">
        <v>2098</v>
      </c>
      <c r="G3989" t="s">
        <v>362</v>
      </c>
      <c r="H3989" t="s">
        <v>2030</v>
      </c>
      <c r="I3989" t="s">
        <v>22</v>
      </c>
      <c r="J3989" s="2" t="s">
        <v>42</v>
      </c>
      <c r="K3989" s="2" t="s">
        <v>3019</v>
      </c>
      <c r="L3989" t="s">
        <v>25</v>
      </c>
      <c r="M3989" s="8">
        <v>1.4923333329999999</v>
      </c>
      <c r="N3989" t="s">
        <v>26</v>
      </c>
      <c r="O3989" s="8">
        <v>1.4923333329999999</v>
      </c>
      <c r="P3989" s="8">
        <f>EXP(-1.363+3.366*LOG(O3989,10))</f>
        <v>0.45943050733617752</v>
      </c>
      <c r="Q3989" s="8">
        <f>(2618262*100)/2995732</f>
        <v>87.399740697766021</v>
      </c>
    </row>
    <row r="3990" spans="1:17" x14ac:dyDescent="0.2">
      <c r="A3990">
        <f>YEAR(D3990)</f>
        <v>2019</v>
      </c>
      <c r="B3990" t="s">
        <v>26</v>
      </c>
      <c r="C3990" s="2" t="s">
        <v>1552</v>
      </c>
      <c r="D3990" s="1">
        <v>43684</v>
      </c>
      <c r="E3990">
        <f>MONTH(D3990)</f>
        <v>8</v>
      </c>
      <c r="F3990" s="2" t="s">
        <v>2098</v>
      </c>
      <c r="G3990" t="s">
        <v>230</v>
      </c>
      <c r="H3990" t="s">
        <v>268</v>
      </c>
      <c r="I3990" t="s">
        <v>22</v>
      </c>
      <c r="J3990" s="2" t="s">
        <v>42</v>
      </c>
      <c r="K3990" s="2" t="s">
        <v>3019</v>
      </c>
      <c r="L3990" t="s">
        <v>25</v>
      </c>
      <c r="M3990" s="8">
        <v>3.5356666670000001</v>
      </c>
      <c r="N3990" t="s">
        <v>26</v>
      </c>
      <c r="O3990" s="8">
        <v>3.5356666670000001</v>
      </c>
      <c r="P3990" s="8">
        <f>EXP(-1.363+3.366*LOG(O3990,10))</f>
        <v>1.6211802664427075</v>
      </c>
      <c r="Q3990" s="8">
        <f>(3738946*100)/3915493</f>
        <v>95.491065875995687</v>
      </c>
    </row>
    <row r="3991" spans="1:17" x14ac:dyDescent="0.2">
      <c r="A3991">
        <f>YEAR(D3991)</f>
        <v>2019</v>
      </c>
      <c r="B3991" t="s">
        <v>26</v>
      </c>
      <c r="C3991" s="2" t="s">
        <v>1552</v>
      </c>
      <c r="D3991" s="1">
        <v>43684</v>
      </c>
      <c r="E3991">
        <f>MONTH(D3991)</f>
        <v>8</v>
      </c>
      <c r="F3991" s="2" t="s">
        <v>2098</v>
      </c>
      <c r="G3991" t="s">
        <v>1520</v>
      </c>
      <c r="H3991" t="s">
        <v>1528</v>
      </c>
      <c r="I3991" t="s">
        <v>36</v>
      </c>
      <c r="J3991" s="2" t="s">
        <v>42</v>
      </c>
      <c r="K3991" s="2" t="s">
        <v>3019</v>
      </c>
      <c r="L3991" t="s">
        <v>25</v>
      </c>
      <c r="M3991" s="8">
        <v>3.3860000000000001</v>
      </c>
      <c r="N3991" t="s">
        <v>26</v>
      </c>
      <c r="O3991" s="8">
        <v>3.3860000000000001</v>
      </c>
      <c r="P3991" s="8">
        <f>EXP(-1.363+3.366*LOG(O3991,10))</f>
        <v>1.5218493704875904</v>
      </c>
      <c r="Q3991" s="8">
        <f>(3738946*100)/3915493</f>
        <v>95.491065875995687</v>
      </c>
    </row>
    <row r="3992" spans="1:17" x14ac:dyDescent="0.2">
      <c r="A3992">
        <f>YEAR(D3992)</f>
        <v>2019</v>
      </c>
      <c r="B3992" t="s">
        <v>26</v>
      </c>
      <c r="C3992" s="2" t="s">
        <v>1552</v>
      </c>
      <c r="D3992" s="1">
        <v>43684</v>
      </c>
      <c r="E3992">
        <f>MONTH(D3992)</f>
        <v>8</v>
      </c>
      <c r="F3992" s="2" t="s">
        <v>2098</v>
      </c>
      <c r="G3992" t="s">
        <v>230</v>
      </c>
      <c r="H3992" t="s">
        <v>268</v>
      </c>
      <c r="I3992" t="s">
        <v>22</v>
      </c>
      <c r="J3992" s="2" t="s">
        <v>42</v>
      </c>
      <c r="K3992" s="2" t="s">
        <v>3019</v>
      </c>
      <c r="L3992" t="s">
        <v>25</v>
      </c>
      <c r="M3992" s="8">
        <v>3.5356666670000001</v>
      </c>
      <c r="N3992" t="s">
        <v>26</v>
      </c>
      <c r="O3992" s="8">
        <v>3.5356666670000001</v>
      </c>
      <c r="P3992" s="8">
        <f>EXP(-1.363+3.366*LOG(O3992,10))</f>
        <v>1.6211802664427075</v>
      </c>
      <c r="Q3992" s="8">
        <f>(3738946*100)/3915493</f>
        <v>95.491065875995687</v>
      </c>
    </row>
    <row r="3993" spans="1:17" x14ac:dyDescent="0.2">
      <c r="A3993">
        <f>YEAR(D3993)</f>
        <v>2019</v>
      </c>
      <c r="B3993" t="s">
        <v>26</v>
      </c>
      <c r="C3993" s="2" t="s">
        <v>1552</v>
      </c>
      <c r="D3993" s="1">
        <v>43684</v>
      </c>
      <c r="E3993">
        <f>MONTH(D3993)</f>
        <v>8</v>
      </c>
      <c r="F3993" s="2" t="s">
        <v>2098</v>
      </c>
      <c r="G3993" t="s">
        <v>332</v>
      </c>
      <c r="H3993" t="s">
        <v>330</v>
      </c>
      <c r="I3993" t="s">
        <v>22</v>
      </c>
      <c r="J3993" s="2" t="s">
        <v>42</v>
      </c>
      <c r="K3993" s="2" t="s">
        <v>3019</v>
      </c>
      <c r="L3993" t="s">
        <v>25</v>
      </c>
      <c r="M3993" s="8">
        <v>1.2170000000000001</v>
      </c>
      <c r="N3993" t="s">
        <v>26</v>
      </c>
      <c r="O3993" s="8">
        <v>1.2170000000000001</v>
      </c>
      <c r="P3993" s="8">
        <f>EXP(-1.363+3.366*LOG(O3993,10))</f>
        <v>0.34098666307598596</v>
      </c>
      <c r="Q3993" s="8">
        <f>(3738946*100)/3915493</f>
        <v>95.491065875995687</v>
      </c>
    </row>
    <row r="3994" spans="1:17" x14ac:dyDescent="0.2">
      <c r="A3994">
        <f>YEAR(D3994)</f>
        <v>2019</v>
      </c>
      <c r="B3994" t="s">
        <v>26</v>
      </c>
      <c r="C3994" s="2" t="s">
        <v>1552</v>
      </c>
      <c r="D3994" s="1">
        <v>43684</v>
      </c>
      <c r="E3994">
        <f>MONTH(D3994)</f>
        <v>8</v>
      </c>
      <c r="F3994" s="2" t="s">
        <v>2098</v>
      </c>
      <c r="G3994" t="s">
        <v>230</v>
      </c>
      <c r="H3994" t="s">
        <v>268</v>
      </c>
      <c r="I3994" t="s">
        <v>22</v>
      </c>
      <c r="J3994" s="2" t="s">
        <v>42</v>
      </c>
      <c r="K3994" s="2" t="s">
        <v>3019</v>
      </c>
      <c r="L3994" t="s">
        <v>25</v>
      </c>
      <c r="M3994" s="8">
        <v>3.5356666670000001</v>
      </c>
      <c r="N3994" t="s">
        <v>26</v>
      </c>
      <c r="O3994" s="8">
        <v>3.5356666670000001</v>
      </c>
      <c r="P3994" s="8">
        <f>EXP(-1.363+3.366*LOG(O3994,10))</f>
        <v>1.6211802664427075</v>
      </c>
      <c r="Q3994" s="8">
        <f>(3738946*100)/3915493</f>
        <v>95.491065875995687</v>
      </c>
    </row>
    <row r="3995" spans="1:17" x14ac:dyDescent="0.2">
      <c r="A3995">
        <f>YEAR(D3995)</f>
        <v>2019</v>
      </c>
      <c r="B3995" t="s">
        <v>26</v>
      </c>
      <c r="C3995" s="2" t="s">
        <v>1552</v>
      </c>
      <c r="D3995" s="1">
        <v>43684</v>
      </c>
      <c r="E3995">
        <f>MONTH(D3995)</f>
        <v>8</v>
      </c>
      <c r="F3995" s="2" t="s">
        <v>2098</v>
      </c>
      <c r="G3995" t="s">
        <v>230</v>
      </c>
      <c r="H3995" t="s">
        <v>268</v>
      </c>
      <c r="I3995" t="s">
        <v>22</v>
      </c>
      <c r="J3995" s="2" t="s">
        <v>42</v>
      </c>
      <c r="K3995" s="2" t="s">
        <v>3019</v>
      </c>
      <c r="L3995" t="s">
        <v>25</v>
      </c>
      <c r="M3995" s="8">
        <v>3.5356666670000001</v>
      </c>
      <c r="N3995" t="s">
        <v>26</v>
      </c>
      <c r="O3995" s="8">
        <v>3.5356666670000001</v>
      </c>
      <c r="P3995" s="8">
        <f>EXP(-1.363+3.366*LOG(O3995,10))</f>
        <v>1.6211802664427075</v>
      </c>
      <c r="Q3995" s="8">
        <f>(3738946*100)/3915493</f>
        <v>95.491065875995687</v>
      </c>
    </row>
    <row r="3996" spans="1:17" x14ac:dyDescent="0.2">
      <c r="A3996">
        <f>YEAR(D3996)</f>
        <v>2019</v>
      </c>
      <c r="B3996" t="s">
        <v>26</v>
      </c>
      <c r="C3996" s="2" t="s">
        <v>1552</v>
      </c>
      <c r="D3996" s="1">
        <v>43684</v>
      </c>
      <c r="E3996">
        <f>MONTH(D3996)</f>
        <v>8</v>
      </c>
      <c r="F3996" s="2" t="s">
        <v>2098</v>
      </c>
      <c r="G3996" t="s">
        <v>352</v>
      </c>
      <c r="H3996" t="s">
        <v>1459</v>
      </c>
      <c r="I3996" t="s">
        <v>36</v>
      </c>
      <c r="J3996" s="2" t="s">
        <v>42</v>
      </c>
      <c r="K3996" s="2" t="s">
        <v>3019</v>
      </c>
      <c r="L3996" t="s">
        <v>25</v>
      </c>
      <c r="M3996" s="8">
        <v>1.0913333329999999</v>
      </c>
      <c r="N3996" t="s">
        <v>26</v>
      </c>
      <c r="O3996" s="8">
        <v>1.0913333329999999</v>
      </c>
      <c r="P3996" s="8">
        <f>EXP(-1.363+3.366*LOG(O3996,10))</f>
        <v>0.29076633015787234</v>
      </c>
      <c r="Q3996" s="8">
        <f>(3738946*100)/3915493</f>
        <v>95.491065875995687</v>
      </c>
    </row>
    <row r="3997" spans="1:17" x14ac:dyDescent="0.2">
      <c r="A3997">
        <f>YEAR(D3997)</f>
        <v>2019</v>
      </c>
      <c r="B3997" t="s">
        <v>26</v>
      </c>
      <c r="C3997" s="2" t="s">
        <v>1552</v>
      </c>
      <c r="D3997" s="1">
        <v>43684</v>
      </c>
      <c r="E3997">
        <f>MONTH(D3997)</f>
        <v>8</v>
      </c>
      <c r="F3997" s="2" t="s">
        <v>2098</v>
      </c>
      <c r="G3997" t="s">
        <v>352</v>
      </c>
      <c r="H3997" t="s">
        <v>1459</v>
      </c>
      <c r="I3997" t="s">
        <v>36</v>
      </c>
      <c r="J3997" s="2" t="s">
        <v>42</v>
      </c>
      <c r="K3997" s="2" t="s">
        <v>3019</v>
      </c>
      <c r="L3997" t="s">
        <v>25</v>
      </c>
      <c r="M3997" s="8">
        <v>1.0913333329999999</v>
      </c>
      <c r="N3997" t="s">
        <v>26</v>
      </c>
      <c r="O3997" s="8">
        <v>1.0913333329999999</v>
      </c>
      <c r="P3997" s="8">
        <f>EXP(-1.363+3.366*LOG(O3997,10))</f>
        <v>0.29076633015787234</v>
      </c>
      <c r="Q3997" s="8">
        <f>(3738946*100)/3915493</f>
        <v>95.491065875995687</v>
      </c>
    </row>
    <row r="3998" spans="1:17" x14ac:dyDescent="0.2">
      <c r="A3998">
        <f>YEAR(D3998)</f>
        <v>2019</v>
      </c>
      <c r="B3998" t="s">
        <v>26</v>
      </c>
      <c r="C3998" s="2" t="s">
        <v>1552</v>
      </c>
      <c r="D3998" s="1">
        <v>43684</v>
      </c>
      <c r="E3998">
        <f>MONTH(D3998)</f>
        <v>8</v>
      </c>
      <c r="F3998" s="2" t="s">
        <v>2098</v>
      </c>
      <c r="G3998" t="s">
        <v>362</v>
      </c>
      <c r="H3998" t="s">
        <v>447</v>
      </c>
      <c r="I3998" t="s">
        <v>22</v>
      </c>
      <c r="J3998" s="2" t="s">
        <v>42</v>
      </c>
      <c r="K3998" s="2" t="s">
        <v>3019</v>
      </c>
      <c r="L3998" t="s">
        <v>25</v>
      </c>
      <c r="M3998" s="8">
        <v>1.421</v>
      </c>
      <c r="N3998" t="s">
        <v>26</v>
      </c>
      <c r="O3998" s="8">
        <v>1.421</v>
      </c>
      <c r="P3998" s="8">
        <f>EXP(-1.363+3.366*LOG(O3998,10))</f>
        <v>0.42768500084673816</v>
      </c>
      <c r="Q3998" s="8">
        <f>(3738946*100)/3915493</f>
        <v>95.491065875995687</v>
      </c>
    </row>
    <row r="3999" spans="1:17" x14ac:dyDescent="0.2">
      <c r="A3999">
        <f>YEAR(D3999)</f>
        <v>2019</v>
      </c>
      <c r="B3999" t="s">
        <v>26</v>
      </c>
      <c r="C3999" s="2" t="s">
        <v>1552</v>
      </c>
      <c r="D3999" s="1">
        <v>43684</v>
      </c>
      <c r="E3999">
        <f>MONTH(D3999)</f>
        <v>8</v>
      </c>
      <c r="F3999" s="2" t="s">
        <v>2098</v>
      </c>
      <c r="G3999" t="s">
        <v>352</v>
      </c>
      <c r="H3999" t="s">
        <v>975</v>
      </c>
      <c r="I3999" t="s">
        <v>36</v>
      </c>
      <c r="J3999" s="2" t="s">
        <v>42</v>
      </c>
      <c r="K3999" s="2" t="s">
        <v>3019</v>
      </c>
      <c r="L3999" t="s">
        <v>25</v>
      </c>
      <c r="M3999" s="8">
        <v>0.95199999999999996</v>
      </c>
      <c r="N3999" t="s">
        <v>26</v>
      </c>
      <c r="O3999" s="8">
        <v>0.95199999999999996</v>
      </c>
      <c r="P3999" s="8">
        <f>EXP(-1.363+3.366*LOG(O3999,10))</f>
        <v>0.23813726407794436</v>
      </c>
      <c r="Q3999" s="8">
        <f>(3738946*100)/3915493</f>
        <v>95.491065875995687</v>
      </c>
    </row>
    <row r="4000" spans="1:17" x14ac:dyDescent="0.2">
      <c r="A4000">
        <f>YEAR(D4000)</f>
        <v>2019</v>
      </c>
      <c r="B4000" t="s">
        <v>26</v>
      </c>
      <c r="C4000" s="2" t="s">
        <v>1552</v>
      </c>
      <c r="D4000" s="1">
        <v>43684</v>
      </c>
      <c r="E4000">
        <f>MONTH(D4000)</f>
        <v>8</v>
      </c>
      <c r="F4000" s="2" t="s">
        <v>2098</v>
      </c>
      <c r="G4000" t="s">
        <v>352</v>
      </c>
      <c r="H4000" t="s">
        <v>728</v>
      </c>
      <c r="I4000" t="s">
        <v>36</v>
      </c>
      <c r="J4000" s="2" t="s">
        <v>42</v>
      </c>
      <c r="K4000" s="2" t="s">
        <v>3019</v>
      </c>
      <c r="L4000" t="s">
        <v>187</v>
      </c>
      <c r="M4000" s="8">
        <v>1.376333333</v>
      </c>
      <c r="N4000" t="s">
        <v>26</v>
      </c>
      <c r="O4000" s="8">
        <v>1.376333333</v>
      </c>
      <c r="P4000" s="8">
        <f>EXP(-1.363+3.366*LOG(O4000,10))</f>
        <v>0.40817622737824627</v>
      </c>
      <c r="Q4000" s="8">
        <f>(3738946*100)/3915493</f>
        <v>95.491065875995687</v>
      </c>
    </row>
    <row r="4001" spans="1:17" x14ac:dyDescent="0.2">
      <c r="A4001">
        <f>YEAR(D4001)</f>
        <v>2019</v>
      </c>
      <c r="B4001" t="s">
        <v>26</v>
      </c>
      <c r="C4001" s="2" t="s">
        <v>3023</v>
      </c>
      <c r="D4001" s="1">
        <v>43685</v>
      </c>
      <c r="E4001">
        <f>MONTH(D4001)</f>
        <v>8</v>
      </c>
      <c r="F4001" s="2" t="s">
        <v>2098</v>
      </c>
      <c r="G4001" t="s">
        <v>219</v>
      </c>
      <c r="H4001" t="s">
        <v>220</v>
      </c>
      <c r="I4001" t="s">
        <v>22</v>
      </c>
      <c r="J4001" s="2" t="s">
        <v>42</v>
      </c>
      <c r="K4001" s="2" t="s">
        <v>3019</v>
      </c>
      <c r="L4001" t="s">
        <v>25</v>
      </c>
      <c r="M4001" s="10" t="s">
        <v>26</v>
      </c>
      <c r="N4001" t="s">
        <v>26</v>
      </c>
      <c r="O4001" s="10" t="s">
        <v>26</v>
      </c>
      <c r="P4001" s="8" t="s">
        <v>26</v>
      </c>
      <c r="Q4001" s="8">
        <f>(8197453*100)/8541008</f>
        <v>95.977582505484136</v>
      </c>
    </row>
    <row r="4002" spans="1:17" x14ac:dyDescent="0.2">
      <c r="A4002">
        <f>YEAR(D4002)</f>
        <v>2019</v>
      </c>
      <c r="B4002" t="s">
        <v>26</v>
      </c>
      <c r="C4002" s="2" t="s">
        <v>3023</v>
      </c>
      <c r="D4002" s="1">
        <v>43685</v>
      </c>
      <c r="E4002">
        <f>MONTH(D4002)</f>
        <v>8</v>
      </c>
      <c r="F4002" s="2" t="s">
        <v>2098</v>
      </c>
      <c r="G4002" t="s">
        <v>219</v>
      </c>
      <c r="H4002" t="s">
        <v>220</v>
      </c>
      <c r="I4002" t="s">
        <v>22</v>
      </c>
      <c r="J4002" s="2" t="s">
        <v>42</v>
      </c>
      <c r="K4002" s="2" t="s">
        <v>3019</v>
      </c>
      <c r="L4002" t="s">
        <v>25</v>
      </c>
      <c r="M4002" s="10" t="s">
        <v>26</v>
      </c>
      <c r="N4002" t="s">
        <v>26</v>
      </c>
      <c r="O4002" s="10" t="s">
        <v>26</v>
      </c>
      <c r="P4002" s="8" t="s">
        <v>26</v>
      </c>
      <c r="Q4002" s="8">
        <f>(8197453*100)/8541008</f>
        <v>95.977582505484136</v>
      </c>
    </row>
    <row r="4003" spans="1:17" x14ac:dyDescent="0.2">
      <c r="A4003">
        <f>YEAR(D4003)</f>
        <v>2019</v>
      </c>
      <c r="B4003" t="s">
        <v>26</v>
      </c>
      <c r="C4003" s="2" t="s">
        <v>3023</v>
      </c>
      <c r="D4003" s="1">
        <v>43685</v>
      </c>
      <c r="E4003">
        <f>MONTH(D4003)</f>
        <v>8</v>
      </c>
      <c r="F4003" s="2" t="s">
        <v>2098</v>
      </c>
      <c r="G4003" t="s">
        <v>219</v>
      </c>
      <c r="H4003" t="s">
        <v>220</v>
      </c>
      <c r="I4003" t="s">
        <v>22</v>
      </c>
      <c r="J4003" s="2" t="s">
        <v>42</v>
      </c>
      <c r="K4003" s="2" t="s">
        <v>3019</v>
      </c>
      <c r="L4003" t="s">
        <v>25</v>
      </c>
      <c r="M4003" s="10" t="s">
        <v>26</v>
      </c>
      <c r="N4003" t="s">
        <v>26</v>
      </c>
      <c r="O4003" s="10" t="s">
        <v>26</v>
      </c>
      <c r="P4003" s="8" t="s">
        <v>26</v>
      </c>
      <c r="Q4003" s="8">
        <f>(8197453*100)/8541008</f>
        <v>95.977582505484136</v>
      </c>
    </row>
    <row r="4004" spans="1:17" x14ac:dyDescent="0.2">
      <c r="A4004">
        <f>YEAR(D4004)</f>
        <v>2019</v>
      </c>
      <c r="B4004" t="s">
        <v>26</v>
      </c>
      <c r="C4004" s="2" t="s">
        <v>3023</v>
      </c>
      <c r="D4004" s="1">
        <v>43685</v>
      </c>
      <c r="E4004">
        <f>MONTH(D4004)</f>
        <v>8</v>
      </c>
      <c r="F4004" s="2" t="s">
        <v>2098</v>
      </c>
      <c r="G4004" t="s">
        <v>219</v>
      </c>
      <c r="H4004" t="s">
        <v>220</v>
      </c>
      <c r="I4004" t="s">
        <v>22</v>
      </c>
      <c r="J4004" s="2" t="s">
        <v>42</v>
      </c>
      <c r="K4004" s="2" t="s">
        <v>3019</v>
      </c>
      <c r="L4004" t="s">
        <v>25</v>
      </c>
      <c r="M4004" s="10" t="s">
        <v>26</v>
      </c>
      <c r="N4004" t="s">
        <v>26</v>
      </c>
      <c r="O4004" s="10" t="s">
        <v>26</v>
      </c>
      <c r="P4004" s="8" t="s">
        <v>26</v>
      </c>
      <c r="Q4004" s="8">
        <f>(8197453*100)/8541008</f>
        <v>95.977582505484136</v>
      </c>
    </row>
    <row r="4005" spans="1:17" x14ac:dyDescent="0.2">
      <c r="A4005">
        <f>YEAR(D4005)</f>
        <v>2019</v>
      </c>
      <c r="B4005" t="s">
        <v>26</v>
      </c>
      <c r="C4005" s="2" t="s">
        <v>3023</v>
      </c>
      <c r="D4005" s="1">
        <v>43685</v>
      </c>
      <c r="E4005">
        <f>MONTH(D4005)</f>
        <v>8</v>
      </c>
      <c r="F4005" s="2" t="s">
        <v>2098</v>
      </c>
      <c r="G4005" t="s">
        <v>219</v>
      </c>
      <c r="H4005" t="s">
        <v>220</v>
      </c>
      <c r="I4005" t="s">
        <v>22</v>
      </c>
      <c r="J4005" s="2" t="s">
        <v>42</v>
      </c>
      <c r="K4005" s="2" t="s">
        <v>3019</v>
      </c>
      <c r="L4005" t="s">
        <v>25</v>
      </c>
      <c r="M4005" s="10" t="s">
        <v>26</v>
      </c>
      <c r="N4005" t="s">
        <v>26</v>
      </c>
      <c r="O4005" s="10" t="s">
        <v>26</v>
      </c>
      <c r="P4005" s="8" t="s">
        <v>26</v>
      </c>
      <c r="Q4005" s="8">
        <f>(8197453*100)/8541008</f>
        <v>95.977582505484136</v>
      </c>
    </row>
    <row r="4006" spans="1:17" x14ac:dyDescent="0.2">
      <c r="A4006">
        <f>YEAR(D4006)</f>
        <v>2019</v>
      </c>
      <c r="B4006" t="s">
        <v>26</v>
      </c>
      <c r="C4006" s="2" t="s">
        <v>3023</v>
      </c>
      <c r="D4006" s="1">
        <v>43685</v>
      </c>
      <c r="E4006">
        <f>MONTH(D4006)</f>
        <v>8</v>
      </c>
      <c r="F4006" s="2" t="s">
        <v>2098</v>
      </c>
      <c r="G4006" t="s">
        <v>219</v>
      </c>
      <c r="H4006" t="s">
        <v>220</v>
      </c>
      <c r="I4006" t="s">
        <v>22</v>
      </c>
      <c r="J4006" s="2" t="s">
        <v>42</v>
      </c>
      <c r="K4006" s="2" t="s">
        <v>3019</v>
      </c>
      <c r="L4006" t="s">
        <v>25</v>
      </c>
      <c r="M4006" s="10" t="s">
        <v>26</v>
      </c>
      <c r="N4006" t="s">
        <v>26</v>
      </c>
      <c r="O4006" s="10" t="s">
        <v>26</v>
      </c>
      <c r="P4006" s="8" t="s">
        <v>26</v>
      </c>
      <c r="Q4006" s="8">
        <f>(8197453*100)/8541008</f>
        <v>95.977582505484136</v>
      </c>
    </row>
    <row r="4007" spans="1:17" x14ac:dyDescent="0.2">
      <c r="A4007">
        <f>YEAR(D4007)</f>
        <v>2019</v>
      </c>
      <c r="B4007" t="s">
        <v>26</v>
      </c>
      <c r="C4007" s="2" t="s">
        <v>3023</v>
      </c>
      <c r="D4007" s="1">
        <v>43685</v>
      </c>
      <c r="E4007">
        <f>MONTH(D4007)</f>
        <v>8</v>
      </c>
      <c r="F4007" s="2" t="s">
        <v>2098</v>
      </c>
      <c r="G4007" t="s">
        <v>219</v>
      </c>
      <c r="H4007" t="s">
        <v>220</v>
      </c>
      <c r="I4007" t="s">
        <v>22</v>
      </c>
      <c r="J4007" s="2" t="s">
        <v>42</v>
      </c>
      <c r="K4007" s="2" t="s">
        <v>3019</v>
      </c>
      <c r="L4007" t="s">
        <v>25</v>
      </c>
      <c r="M4007" s="10" t="s">
        <v>26</v>
      </c>
      <c r="N4007" t="s">
        <v>26</v>
      </c>
      <c r="O4007" s="10" t="s">
        <v>26</v>
      </c>
      <c r="P4007" s="8" t="s">
        <v>26</v>
      </c>
      <c r="Q4007" s="8">
        <f>(8197453*100)/8541008</f>
        <v>95.977582505484136</v>
      </c>
    </row>
    <row r="4008" spans="1:17" x14ac:dyDescent="0.2">
      <c r="A4008">
        <f>YEAR(D4008)</f>
        <v>2019</v>
      </c>
      <c r="B4008" t="s">
        <v>26</v>
      </c>
      <c r="C4008" s="2" t="s">
        <v>3023</v>
      </c>
      <c r="D4008" s="1">
        <v>43685</v>
      </c>
      <c r="E4008">
        <f>MONTH(D4008)</f>
        <v>8</v>
      </c>
      <c r="F4008" s="2" t="s">
        <v>2098</v>
      </c>
      <c r="G4008" t="s">
        <v>219</v>
      </c>
      <c r="H4008" t="s">
        <v>220</v>
      </c>
      <c r="I4008" t="s">
        <v>22</v>
      </c>
      <c r="J4008" s="2" t="s">
        <v>42</v>
      </c>
      <c r="K4008" s="2" t="s">
        <v>3019</v>
      </c>
      <c r="L4008" t="s">
        <v>25</v>
      </c>
      <c r="M4008" s="10" t="s">
        <v>26</v>
      </c>
      <c r="N4008" t="s">
        <v>26</v>
      </c>
      <c r="O4008" s="10" t="s">
        <v>26</v>
      </c>
      <c r="P4008" s="8" t="s">
        <v>26</v>
      </c>
      <c r="Q4008" s="8">
        <f>(8197453*100)/8541008</f>
        <v>95.977582505484136</v>
      </c>
    </row>
    <row r="4009" spans="1:17" x14ac:dyDescent="0.2">
      <c r="A4009">
        <f>YEAR(D4009)</f>
        <v>2019</v>
      </c>
      <c r="B4009" t="s">
        <v>26</v>
      </c>
      <c r="C4009" s="2" t="s">
        <v>3022</v>
      </c>
      <c r="D4009" s="1">
        <v>43685</v>
      </c>
      <c r="E4009">
        <f>MONTH(D4009)</f>
        <v>8</v>
      </c>
      <c r="F4009" s="2" t="s">
        <v>2098</v>
      </c>
      <c r="G4009" t="s">
        <v>219</v>
      </c>
      <c r="H4009" t="s">
        <v>220</v>
      </c>
      <c r="I4009" t="s">
        <v>22</v>
      </c>
      <c r="J4009" s="2" t="s">
        <v>42</v>
      </c>
      <c r="K4009" s="2" t="s">
        <v>3019</v>
      </c>
      <c r="L4009" t="s">
        <v>25</v>
      </c>
      <c r="M4009" s="10" t="s">
        <v>26</v>
      </c>
      <c r="N4009" t="s">
        <v>26</v>
      </c>
      <c r="O4009" s="10" t="s">
        <v>26</v>
      </c>
      <c r="P4009" s="8" t="s">
        <v>26</v>
      </c>
      <c r="Q4009" s="8">
        <f>(4437920*100)/4638971</f>
        <v>95.666043180696747</v>
      </c>
    </row>
    <row r="4010" spans="1:17" x14ac:dyDescent="0.2">
      <c r="A4010">
        <f>YEAR(D4010)</f>
        <v>2019</v>
      </c>
      <c r="B4010" t="s">
        <v>26</v>
      </c>
      <c r="C4010" s="2" t="s">
        <v>3022</v>
      </c>
      <c r="D4010" s="1">
        <v>43685</v>
      </c>
      <c r="E4010">
        <f>MONTH(D4010)</f>
        <v>8</v>
      </c>
      <c r="F4010" s="2" t="s">
        <v>2098</v>
      </c>
      <c r="G4010" t="s">
        <v>219</v>
      </c>
      <c r="H4010" t="s">
        <v>220</v>
      </c>
      <c r="I4010" t="s">
        <v>22</v>
      </c>
      <c r="J4010" s="2" t="s">
        <v>42</v>
      </c>
      <c r="K4010" s="2" t="s">
        <v>3019</v>
      </c>
      <c r="L4010" t="s">
        <v>25</v>
      </c>
      <c r="M4010" s="10" t="s">
        <v>26</v>
      </c>
      <c r="N4010" t="s">
        <v>26</v>
      </c>
      <c r="O4010" s="10" t="s">
        <v>26</v>
      </c>
      <c r="P4010" s="8" t="s">
        <v>26</v>
      </c>
      <c r="Q4010" s="8">
        <f>(4437920*100)/4638971</f>
        <v>95.666043180696747</v>
      </c>
    </row>
    <row r="4011" spans="1:17" x14ac:dyDescent="0.2">
      <c r="A4011">
        <f>YEAR(D4011)</f>
        <v>2019</v>
      </c>
      <c r="B4011" t="s">
        <v>26</v>
      </c>
      <c r="C4011" s="2" t="s">
        <v>3022</v>
      </c>
      <c r="D4011" s="1">
        <v>43685</v>
      </c>
      <c r="E4011">
        <f>MONTH(D4011)</f>
        <v>8</v>
      </c>
      <c r="F4011" s="2" t="s">
        <v>2098</v>
      </c>
      <c r="G4011" t="s">
        <v>219</v>
      </c>
      <c r="H4011" t="s">
        <v>220</v>
      </c>
      <c r="I4011" t="s">
        <v>22</v>
      </c>
      <c r="J4011" s="2" t="s">
        <v>42</v>
      </c>
      <c r="K4011" s="2" t="s">
        <v>3019</v>
      </c>
      <c r="L4011" t="s">
        <v>25</v>
      </c>
      <c r="M4011" s="10" t="s">
        <v>26</v>
      </c>
      <c r="N4011" t="s">
        <v>26</v>
      </c>
      <c r="O4011" s="10" t="s">
        <v>26</v>
      </c>
      <c r="P4011" s="8" t="s">
        <v>26</v>
      </c>
      <c r="Q4011" s="8">
        <f>(4437920*100)/4638971</f>
        <v>95.666043180696747</v>
      </c>
    </row>
    <row r="4012" spans="1:17" x14ac:dyDescent="0.2">
      <c r="A4012">
        <f>YEAR(D4012)</f>
        <v>2019</v>
      </c>
      <c r="B4012" t="s">
        <v>26</v>
      </c>
      <c r="C4012" s="2" t="s">
        <v>3022</v>
      </c>
      <c r="D4012" s="1">
        <v>43685</v>
      </c>
      <c r="E4012">
        <f>MONTH(D4012)</f>
        <v>8</v>
      </c>
      <c r="F4012" s="2" t="s">
        <v>2098</v>
      </c>
      <c r="G4012" t="s">
        <v>219</v>
      </c>
      <c r="H4012" t="s">
        <v>220</v>
      </c>
      <c r="I4012" t="s">
        <v>22</v>
      </c>
      <c r="J4012" s="2" t="s">
        <v>42</v>
      </c>
      <c r="K4012" s="2" t="s">
        <v>3019</v>
      </c>
      <c r="L4012" t="s">
        <v>25</v>
      </c>
      <c r="M4012" s="10" t="s">
        <v>26</v>
      </c>
      <c r="N4012" t="s">
        <v>26</v>
      </c>
      <c r="O4012" s="10" t="s">
        <v>26</v>
      </c>
      <c r="P4012" s="8" t="s">
        <v>26</v>
      </c>
      <c r="Q4012" s="8">
        <f>(4437920*100)/4638971</f>
        <v>95.666043180696747</v>
      </c>
    </row>
    <row r="4013" spans="1:17" x14ac:dyDescent="0.2">
      <c r="A4013">
        <f>YEAR(D4013)</f>
        <v>2019</v>
      </c>
      <c r="B4013" t="s">
        <v>26</v>
      </c>
      <c r="C4013" s="2" t="s">
        <v>3022</v>
      </c>
      <c r="D4013" s="1">
        <v>43685</v>
      </c>
      <c r="E4013">
        <f>MONTH(D4013)</f>
        <v>8</v>
      </c>
      <c r="F4013" s="2" t="s">
        <v>2098</v>
      </c>
      <c r="G4013" t="s">
        <v>219</v>
      </c>
      <c r="H4013" t="s">
        <v>220</v>
      </c>
      <c r="I4013" t="s">
        <v>22</v>
      </c>
      <c r="J4013" s="2" t="s">
        <v>42</v>
      </c>
      <c r="K4013" s="2" t="s">
        <v>3019</v>
      </c>
      <c r="L4013" t="s">
        <v>25</v>
      </c>
      <c r="M4013" s="10" t="s">
        <v>26</v>
      </c>
      <c r="N4013" t="s">
        <v>26</v>
      </c>
      <c r="O4013" s="10" t="s">
        <v>26</v>
      </c>
      <c r="P4013" s="8" t="s">
        <v>26</v>
      </c>
      <c r="Q4013" s="8">
        <f>(4437920*100)/4638971</f>
        <v>95.666043180696747</v>
      </c>
    </row>
    <row r="4014" spans="1:17" x14ac:dyDescent="0.2">
      <c r="A4014">
        <f>YEAR(D4014)</f>
        <v>2019</v>
      </c>
      <c r="B4014" t="s">
        <v>26</v>
      </c>
      <c r="C4014" s="2" t="s">
        <v>3022</v>
      </c>
      <c r="D4014" s="1">
        <v>43685</v>
      </c>
      <c r="E4014">
        <f>MONTH(D4014)</f>
        <v>8</v>
      </c>
      <c r="F4014" s="2" t="s">
        <v>2098</v>
      </c>
      <c r="G4014" t="s">
        <v>219</v>
      </c>
      <c r="H4014" t="s">
        <v>220</v>
      </c>
      <c r="I4014" t="s">
        <v>22</v>
      </c>
      <c r="J4014" s="2" t="s">
        <v>42</v>
      </c>
      <c r="K4014" s="2" t="s">
        <v>3019</v>
      </c>
      <c r="L4014" t="s">
        <v>25</v>
      </c>
      <c r="M4014" s="10" t="s">
        <v>26</v>
      </c>
      <c r="N4014" t="s">
        <v>26</v>
      </c>
      <c r="O4014" s="10" t="s">
        <v>26</v>
      </c>
      <c r="P4014" s="8" t="s">
        <v>26</v>
      </c>
      <c r="Q4014" s="8">
        <f>(4437920*100)/4638971</f>
        <v>95.666043180696747</v>
      </c>
    </row>
    <row r="4015" spans="1:17" x14ac:dyDescent="0.2">
      <c r="A4015">
        <f>YEAR(D4015)</f>
        <v>2019</v>
      </c>
      <c r="B4015" t="s">
        <v>26</v>
      </c>
      <c r="C4015" s="2" t="s">
        <v>3022</v>
      </c>
      <c r="D4015" s="1">
        <v>43685</v>
      </c>
      <c r="E4015">
        <f>MONTH(D4015)</f>
        <v>8</v>
      </c>
      <c r="F4015" s="2" t="s">
        <v>2098</v>
      </c>
      <c r="G4015" t="s">
        <v>219</v>
      </c>
      <c r="H4015" t="s">
        <v>220</v>
      </c>
      <c r="I4015" t="s">
        <v>22</v>
      </c>
      <c r="J4015" s="2" t="s">
        <v>42</v>
      </c>
      <c r="K4015" s="2" t="s">
        <v>3019</v>
      </c>
      <c r="L4015" t="s">
        <v>25</v>
      </c>
      <c r="M4015" s="10" t="s">
        <v>26</v>
      </c>
      <c r="N4015" t="s">
        <v>26</v>
      </c>
      <c r="O4015" s="10" t="s">
        <v>26</v>
      </c>
      <c r="P4015" s="8" t="s">
        <v>26</v>
      </c>
      <c r="Q4015" s="8">
        <f>(4437920*100)/4638971</f>
        <v>95.666043180696747</v>
      </c>
    </row>
    <row r="4016" spans="1:17" x14ac:dyDescent="0.2">
      <c r="A4016">
        <f>YEAR(D4016)</f>
        <v>2019</v>
      </c>
      <c r="B4016" t="s">
        <v>26</v>
      </c>
      <c r="C4016" s="2" t="s">
        <v>3022</v>
      </c>
      <c r="D4016" s="1">
        <v>43685</v>
      </c>
      <c r="E4016">
        <f>MONTH(D4016)</f>
        <v>8</v>
      </c>
      <c r="F4016" s="2" t="s">
        <v>2098</v>
      </c>
      <c r="G4016" t="s">
        <v>219</v>
      </c>
      <c r="H4016" t="s">
        <v>220</v>
      </c>
      <c r="I4016" t="s">
        <v>22</v>
      </c>
      <c r="J4016" s="2" t="s">
        <v>42</v>
      </c>
      <c r="K4016" s="2" t="s">
        <v>3019</v>
      </c>
      <c r="L4016" t="s">
        <v>25</v>
      </c>
      <c r="M4016" s="10" t="s">
        <v>26</v>
      </c>
      <c r="N4016" t="s">
        <v>26</v>
      </c>
      <c r="O4016" s="10" t="s">
        <v>26</v>
      </c>
      <c r="P4016" s="8" t="s">
        <v>26</v>
      </c>
      <c r="Q4016" s="8">
        <f>(4437920*100)/4638971</f>
        <v>95.666043180696747</v>
      </c>
    </row>
    <row r="4017" spans="1:17" x14ac:dyDescent="0.2">
      <c r="A4017">
        <f>YEAR(D4017)</f>
        <v>2019</v>
      </c>
      <c r="B4017" t="s">
        <v>26</v>
      </c>
      <c r="C4017" s="2" t="s">
        <v>3022</v>
      </c>
      <c r="D4017" s="1">
        <v>43685</v>
      </c>
      <c r="E4017">
        <f>MONTH(D4017)</f>
        <v>8</v>
      </c>
      <c r="F4017" s="2" t="s">
        <v>2098</v>
      </c>
      <c r="G4017" t="s">
        <v>219</v>
      </c>
      <c r="H4017" t="s">
        <v>220</v>
      </c>
      <c r="I4017" t="s">
        <v>22</v>
      </c>
      <c r="J4017" s="2" t="s">
        <v>42</v>
      </c>
      <c r="K4017" s="2" t="s">
        <v>3019</v>
      </c>
      <c r="L4017" t="s">
        <v>25</v>
      </c>
      <c r="M4017" s="10" t="s">
        <v>26</v>
      </c>
      <c r="N4017" t="s">
        <v>26</v>
      </c>
      <c r="O4017" s="10" t="s">
        <v>26</v>
      </c>
      <c r="P4017" s="8" t="s">
        <v>26</v>
      </c>
      <c r="Q4017" s="8">
        <f>(4437920*100)/4638971</f>
        <v>95.666043180696747</v>
      </c>
    </row>
    <row r="4018" spans="1:17" x14ac:dyDescent="0.2">
      <c r="A4018">
        <f>YEAR(D4018)</f>
        <v>2019</v>
      </c>
      <c r="B4018" t="s">
        <v>26</v>
      </c>
      <c r="C4018" s="2" t="s">
        <v>3022</v>
      </c>
      <c r="D4018" s="1">
        <v>43685</v>
      </c>
      <c r="E4018">
        <f>MONTH(D4018)</f>
        <v>8</v>
      </c>
      <c r="F4018" s="2" t="s">
        <v>2098</v>
      </c>
      <c r="G4018" t="s">
        <v>219</v>
      </c>
      <c r="H4018" t="s">
        <v>220</v>
      </c>
      <c r="I4018" t="s">
        <v>22</v>
      </c>
      <c r="J4018" s="2" t="s">
        <v>42</v>
      </c>
      <c r="K4018" s="2" t="s">
        <v>3019</v>
      </c>
      <c r="L4018" t="s">
        <v>25</v>
      </c>
      <c r="M4018" s="10" t="s">
        <v>26</v>
      </c>
      <c r="N4018" t="s">
        <v>26</v>
      </c>
      <c r="O4018" s="10" t="s">
        <v>26</v>
      </c>
      <c r="P4018" s="8" t="s">
        <v>26</v>
      </c>
      <c r="Q4018" s="8">
        <f>(4437920*100)/4638971</f>
        <v>95.666043180696747</v>
      </c>
    </row>
    <row r="4019" spans="1:17" x14ac:dyDescent="0.2">
      <c r="A4019">
        <f>YEAR(D4019)</f>
        <v>2019</v>
      </c>
      <c r="B4019" t="s">
        <v>26</v>
      </c>
      <c r="C4019" s="2" t="s">
        <v>3022</v>
      </c>
      <c r="D4019" s="1">
        <v>43685</v>
      </c>
      <c r="E4019">
        <f>MONTH(D4019)</f>
        <v>8</v>
      </c>
      <c r="F4019" s="2" t="s">
        <v>2098</v>
      </c>
      <c r="G4019" t="s">
        <v>219</v>
      </c>
      <c r="H4019" t="s">
        <v>220</v>
      </c>
      <c r="I4019" t="s">
        <v>22</v>
      </c>
      <c r="J4019" s="2" t="s">
        <v>42</v>
      </c>
      <c r="K4019" s="2" t="s">
        <v>3019</v>
      </c>
      <c r="L4019" t="s">
        <v>25</v>
      </c>
      <c r="M4019" s="10" t="s">
        <v>26</v>
      </c>
      <c r="N4019" t="s">
        <v>26</v>
      </c>
      <c r="O4019" s="10" t="s">
        <v>26</v>
      </c>
      <c r="P4019" s="8" t="s">
        <v>26</v>
      </c>
      <c r="Q4019" s="8">
        <f>(4437920*100)/4638971</f>
        <v>95.666043180696747</v>
      </c>
    </row>
    <row r="4020" spans="1:17" x14ac:dyDescent="0.2">
      <c r="A4020">
        <f>YEAR(D4020)</f>
        <v>2019</v>
      </c>
      <c r="B4020" t="s">
        <v>26</v>
      </c>
      <c r="C4020" s="2" t="s">
        <v>3022</v>
      </c>
      <c r="D4020" s="1">
        <v>43685</v>
      </c>
      <c r="E4020">
        <f>MONTH(D4020)</f>
        <v>8</v>
      </c>
      <c r="F4020" s="2" t="s">
        <v>2098</v>
      </c>
      <c r="G4020" t="s">
        <v>219</v>
      </c>
      <c r="H4020" t="s">
        <v>220</v>
      </c>
      <c r="I4020" t="s">
        <v>22</v>
      </c>
      <c r="J4020" s="2" t="s">
        <v>42</v>
      </c>
      <c r="K4020" s="2" t="s">
        <v>3019</v>
      </c>
      <c r="L4020" t="s">
        <v>25</v>
      </c>
      <c r="M4020" s="10" t="s">
        <v>26</v>
      </c>
      <c r="N4020" t="s">
        <v>26</v>
      </c>
      <c r="O4020" s="10" t="s">
        <v>26</v>
      </c>
      <c r="P4020" s="8" t="s">
        <v>26</v>
      </c>
      <c r="Q4020" s="8">
        <f>(4437920*100)/4638971</f>
        <v>95.666043180696747</v>
      </c>
    </row>
    <row r="4021" spans="1:17" x14ac:dyDescent="0.2">
      <c r="A4021">
        <f>YEAR(D4021)</f>
        <v>2019</v>
      </c>
      <c r="B4021" t="s">
        <v>26</v>
      </c>
      <c r="C4021" s="2" t="s">
        <v>3022</v>
      </c>
      <c r="D4021" s="1">
        <v>43685</v>
      </c>
      <c r="E4021">
        <f>MONTH(D4021)</f>
        <v>8</v>
      </c>
      <c r="F4021" s="2" t="s">
        <v>2098</v>
      </c>
      <c r="G4021" t="s">
        <v>219</v>
      </c>
      <c r="H4021" t="s">
        <v>220</v>
      </c>
      <c r="I4021" t="s">
        <v>22</v>
      </c>
      <c r="J4021" s="2" t="s">
        <v>42</v>
      </c>
      <c r="K4021" s="2" t="s">
        <v>3019</v>
      </c>
      <c r="L4021" t="s">
        <v>25</v>
      </c>
      <c r="M4021" s="10" t="s">
        <v>26</v>
      </c>
      <c r="N4021" t="s">
        <v>26</v>
      </c>
      <c r="O4021" s="10" t="s">
        <v>26</v>
      </c>
      <c r="P4021" s="8" t="s">
        <v>26</v>
      </c>
      <c r="Q4021" s="8">
        <f>(4437920*100)/4638971</f>
        <v>95.666043180696747</v>
      </c>
    </row>
    <row r="4022" spans="1:17" x14ac:dyDescent="0.2">
      <c r="A4022">
        <f>YEAR(D4022)</f>
        <v>2019</v>
      </c>
      <c r="B4022" t="s">
        <v>26</v>
      </c>
      <c r="C4022" s="2" t="s">
        <v>3022</v>
      </c>
      <c r="D4022" s="1">
        <v>43685</v>
      </c>
      <c r="E4022">
        <f>MONTH(D4022)</f>
        <v>8</v>
      </c>
      <c r="F4022" s="2" t="s">
        <v>2098</v>
      </c>
      <c r="G4022" t="s">
        <v>219</v>
      </c>
      <c r="H4022" t="s">
        <v>220</v>
      </c>
      <c r="I4022" t="s">
        <v>22</v>
      </c>
      <c r="J4022" s="2" t="s">
        <v>42</v>
      </c>
      <c r="K4022" s="2" t="s">
        <v>3019</v>
      </c>
      <c r="L4022" t="s">
        <v>25</v>
      </c>
      <c r="M4022" s="10" t="s">
        <v>26</v>
      </c>
      <c r="N4022" t="s">
        <v>26</v>
      </c>
      <c r="O4022" s="10" t="s">
        <v>26</v>
      </c>
      <c r="P4022" s="8" t="s">
        <v>26</v>
      </c>
      <c r="Q4022" s="8">
        <f>(4437920*100)/4638971</f>
        <v>95.666043180696747</v>
      </c>
    </row>
    <row r="4023" spans="1:17" ht="16" x14ac:dyDescent="0.2">
      <c r="A4023">
        <f>YEAR(D4023)</f>
        <v>2019</v>
      </c>
      <c r="B4023" t="s">
        <v>26</v>
      </c>
      <c r="C4023" s="2" t="s">
        <v>3022</v>
      </c>
      <c r="D4023" s="1">
        <v>43685</v>
      </c>
      <c r="E4023">
        <f>MONTH(D4023)</f>
        <v>8</v>
      </c>
      <c r="F4023" s="2" t="s">
        <v>2098</v>
      </c>
      <c r="G4023" t="s">
        <v>318</v>
      </c>
      <c r="H4023" t="s">
        <v>319</v>
      </c>
      <c r="I4023" s="3" t="s">
        <v>26</v>
      </c>
      <c r="J4023" s="2" t="s">
        <v>42</v>
      </c>
      <c r="K4023" s="2" t="s">
        <v>3019</v>
      </c>
      <c r="L4023" t="s">
        <v>25</v>
      </c>
      <c r="M4023" s="10" t="s">
        <v>26</v>
      </c>
      <c r="N4023" t="s">
        <v>26</v>
      </c>
      <c r="O4023" s="8" t="s">
        <v>26</v>
      </c>
      <c r="P4023" s="8" t="s">
        <v>26</v>
      </c>
      <c r="Q4023" s="8">
        <f>(4437920*100)/4638971</f>
        <v>95.666043180696747</v>
      </c>
    </row>
    <row r="4024" spans="1:17" ht="16" x14ac:dyDescent="0.2">
      <c r="A4024">
        <f>YEAR(D4024)</f>
        <v>2019</v>
      </c>
      <c r="B4024" t="s">
        <v>26</v>
      </c>
      <c r="C4024" s="2" t="s">
        <v>3022</v>
      </c>
      <c r="D4024" s="1">
        <v>43685</v>
      </c>
      <c r="E4024">
        <f>MONTH(D4024)</f>
        <v>8</v>
      </c>
      <c r="F4024" s="2" t="s">
        <v>2098</v>
      </c>
      <c r="G4024" t="s">
        <v>318</v>
      </c>
      <c r="H4024" t="s">
        <v>319</v>
      </c>
      <c r="I4024" s="3" t="s">
        <v>26</v>
      </c>
      <c r="J4024" s="2" t="s">
        <v>42</v>
      </c>
      <c r="K4024" s="2" t="s">
        <v>3019</v>
      </c>
      <c r="L4024" t="s">
        <v>25</v>
      </c>
      <c r="M4024" s="10" t="s">
        <v>26</v>
      </c>
      <c r="N4024" t="s">
        <v>26</v>
      </c>
      <c r="O4024" s="8" t="s">
        <v>26</v>
      </c>
      <c r="P4024" s="8" t="s">
        <v>26</v>
      </c>
      <c r="Q4024" s="8">
        <f>(4437920*100)/4638971</f>
        <v>95.666043180696747</v>
      </c>
    </row>
    <row r="4025" spans="1:17" x14ac:dyDescent="0.2">
      <c r="A4025">
        <f>YEAR(D4025)</f>
        <v>2019</v>
      </c>
      <c r="B4025" t="s">
        <v>26</v>
      </c>
      <c r="C4025" s="2" t="s">
        <v>3022</v>
      </c>
      <c r="D4025" s="1">
        <v>43685</v>
      </c>
      <c r="E4025">
        <f>MONTH(D4025)</f>
        <v>8</v>
      </c>
      <c r="F4025" s="2" t="s">
        <v>2098</v>
      </c>
      <c r="G4025" t="s">
        <v>219</v>
      </c>
      <c r="H4025" t="s">
        <v>220</v>
      </c>
      <c r="I4025" t="s">
        <v>22</v>
      </c>
      <c r="J4025" s="2" t="s">
        <v>42</v>
      </c>
      <c r="K4025" s="2" t="s">
        <v>3019</v>
      </c>
      <c r="L4025" t="s">
        <v>25</v>
      </c>
      <c r="M4025" s="10" t="s">
        <v>26</v>
      </c>
      <c r="N4025" t="s">
        <v>26</v>
      </c>
      <c r="O4025" s="10" t="s">
        <v>26</v>
      </c>
      <c r="P4025" s="8" t="s">
        <v>26</v>
      </c>
      <c r="Q4025" s="8">
        <f>(4437920*100)/4638971</f>
        <v>95.666043180696747</v>
      </c>
    </row>
    <row r="4026" spans="1:17" x14ac:dyDescent="0.2">
      <c r="A4026">
        <f>YEAR(D4026)</f>
        <v>2019</v>
      </c>
      <c r="B4026" t="s">
        <v>26</v>
      </c>
      <c r="C4026" s="2" t="s">
        <v>3022</v>
      </c>
      <c r="D4026" s="1">
        <v>43685</v>
      </c>
      <c r="E4026">
        <f>MONTH(D4026)</f>
        <v>8</v>
      </c>
      <c r="F4026" s="2" t="s">
        <v>2098</v>
      </c>
      <c r="G4026" t="s">
        <v>219</v>
      </c>
      <c r="H4026" t="s">
        <v>220</v>
      </c>
      <c r="I4026" t="s">
        <v>22</v>
      </c>
      <c r="J4026" s="2" t="s">
        <v>42</v>
      </c>
      <c r="K4026" s="2" t="s">
        <v>3019</v>
      </c>
      <c r="L4026" t="s">
        <v>25</v>
      </c>
      <c r="M4026" s="10" t="s">
        <v>26</v>
      </c>
      <c r="N4026" t="s">
        <v>26</v>
      </c>
      <c r="O4026" s="10" t="s">
        <v>26</v>
      </c>
      <c r="P4026" s="8" t="s">
        <v>26</v>
      </c>
      <c r="Q4026" s="8">
        <f>(4437920*100)/4638971</f>
        <v>95.666043180696747</v>
      </c>
    </row>
    <row r="4027" spans="1:17" x14ac:dyDescent="0.2">
      <c r="A4027">
        <f>YEAR(D4027)</f>
        <v>2019</v>
      </c>
      <c r="B4027" t="s">
        <v>26</v>
      </c>
      <c r="C4027" s="2" t="s">
        <v>3022</v>
      </c>
      <c r="D4027" s="1">
        <v>43685</v>
      </c>
      <c r="E4027">
        <f>MONTH(D4027)</f>
        <v>8</v>
      </c>
      <c r="F4027" s="2" t="s">
        <v>2098</v>
      </c>
      <c r="G4027" t="s">
        <v>219</v>
      </c>
      <c r="H4027" t="s">
        <v>220</v>
      </c>
      <c r="I4027" t="s">
        <v>22</v>
      </c>
      <c r="J4027" s="2" t="s">
        <v>42</v>
      </c>
      <c r="K4027" s="2" t="s">
        <v>3019</v>
      </c>
      <c r="L4027" t="s">
        <v>25</v>
      </c>
      <c r="M4027" s="10" t="s">
        <v>26</v>
      </c>
      <c r="N4027" t="s">
        <v>26</v>
      </c>
      <c r="O4027" s="10" t="s">
        <v>26</v>
      </c>
      <c r="P4027" s="8" t="s">
        <v>26</v>
      </c>
      <c r="Q4027" s="8">
        <f>(4437920*100)/4638971</f>
        <v>95.666043180696747</v>
      </c>
    </row>
    <row r="4028" spans="1:17" x14ac:dyDescent="0.2">
      <c r="A4028">
        <f>YEAR(D4028)</f>
        <v>2019</v>
      </c>
      <c r="B4028" t="s">
        <v>26</v>
      </c>
      <c r="C4028" s="2" t="s">
        <v>3022</v>
      </c>
      <c r="D4028" s="1">
        <v>43685</v>
      </c>
      <c r="E4028">
        <f>MONTH(D4028)</f>
        <v>8</v>
      </c>
      <c r="F4028" s="2" t="s">
        <v>2098</v>
      </c>
      <c r="G4028" t="s">
        <v>2206</v>
      </c>
      <c r="H4028" t="s">
        <v>2263</v>
      </c>
      <c r="I4028" t="s">
        <v>22</v>
      </c>
      <c r="J4028" s="2" t="s">
        <v>42</v>
      </c>
      <c r="K4028" s="2" t="s">
        <v>3019</v>
      </c>
      <c r="L4028" t="s">
        <v>25</v>
      </c>
      <c r="M4028" s="8">
        <v>3.7376666670000001</v>
      </c>
      <c r="N4028" t="s">
        <v>26</v>
      </c>
      <c r="O4028" s="8">
        <v>3.7376666670000001</v>
      </c>
      <c r="P4028" s="8">
        <f>EXP(-1.363+3.366*LOG(O4028,10))</f>
        <v>1.7583458516827115</v>
      </c>
      <c r="Q4028" s="8">
        <f>(4437920*100)/4638971</f>
        <v>95.666043180696747</v>
      </c>
    </row>
    <row r="4029" spans="1:17" x14ac:dyDescent="0.2">
      <c r="A4029">
        <f>YEAR(D4029)</f>
        <v>2019</v>
      </c>
      <c r="B4029" t="s">
        <v>26</v>
      </c>
      <c r="C4029" s="2" t="s">
        <v>3023</v>
      </c>
      <c r="D4029" s="1">
        <v>43685</v>
      </c>
      <c r="E4029">
        <f>MONTH(D4029)</f>
        <v>8</v>
      </c>
      <c r="F4029" s="2" t="s">
        <v>2098</v>
      </c>
      <c r="G4029" t="s">
        <v>352</v>
      </c>
      <c r="H4029" t="s">
        <v>1344</v>
      </c>
      <c r="I4029" t="s">
        <v>36</v>
      </c>
      <c r="J4029" s="2" t="s">
        <v>42</v>
      </c>
      <c r="K4029" s="2" t="s">
        <v>3019</v>
      </c>
      <c r="L4029" t="s">
        <v>25</v>
      </c>
      <c r="M4029" s="8">
        <v>0.88233333300000005</v>
      </c>
      <c r="N4029" t="s">
        <v>26</v>
      </c>
      <c r="O4029" s="8">
        <v>0.88233333300000005</v>
      </c>
      <c r="P4029" s="8">
        <f>EXP(-1.363+3.366*LOG(O4029,10))</f>
        <v>0.21309858552345248</v>
      </c>
      <c r="Q4029" s="8">
        <f>(8197453*100)/8541008</f>
        <v>95.977582505484136</v>
      </c>
    </row>
    <row r="4030" spans="1:17" x14ac:dyDescent="0.2">
      <c r="A4030">
        <f>YEAR(D4030)</f>
        <v>2019</v>
      </c>
      <c r="B4030" t="s">
        <v>26</v>
      </c>
      <c r="C4030" s="2" t="s">
        <v>3023</v>
      </c>
      <c r="D4030" s="1">
        <v>43685</v>
      </c>
      <c r="E4030">
        <f>MONTH(D4030)</f>
        <v>8</v>
      </c>
      <c r="F4030" s="2" t="s">
        <v>2098</v>
      </c>
      <c r="G4030" t="s">
        <v>352</v>
      </c>
      <c r="H4030" t="s">
        <v>1344</v>
      </c>
      <c r="I4030" t="s">
        <v>36</v>
      </c>
      <c r="J4030" s="2" t="s">
        <v>42</v>
      </c>
      <c r="K4030" s="2" t="s">
        <v>3019</v>
      </c>
      <c r="L4030" t="s">
        <v>25</v>
      </c>
      <c r="M4030" s="8">
        <v>0.88233333300000005</v>
      </c>
      <c r="N4030" t="s">
        <v>26</v>
      </c>
      <c r="O4030" s="8">
        <v>0.88233333300000005</v>
      </c>
      <c r="P4030" s="8">
        <f>EXP(-1.363+3.366*LOG(O4030,10))</f>
        <v>0.21309858552345248</v>
      </c>
      <c r="Q4030" s="8">
        <f>(8197453*100)/8541008</f>
        <v>95.977582505484136</v>
      </c>
    </row>
    <row r="4031" spans="1:17" x14ac:dyDescent="0.2">
      <c r="A4031">
        <f>YEAR(D4031)</f>
        <v>2019</v>
      </c>
      <c r="B4031" t="s">
        <v>26</v>
      </c>
      <c r="C4031" s="2" t="s">
        <v>3023</v>
      </c>
      <c r="D4031" s="1">
        <v>43685</v>
      </c>
      <c r="E4031">
        <f>MONTH(D4031)</f>
        <v>8</v>
      </c>
      <c r="F4031" s="2" t="s">
        <v>2098</v>
      </c>
      <c r="G4031" t="s">
        <v>352</v>
      </c>
      <c r="H4031" t="s">
        <v>1344</v>
      </c>
      <c r="I4031" t="s">
        <v>36</v>
      </c>
      <c r="J4031" s="2" t="s">
        <v>42</v>
      </c>
      <c r="K4031" s="2" t="s">
        <v>3019</v>
      </c>
      <c r="L4031" t="s">
        <v>25</v>
      </c>
      <c r="M4031" s="8">
        <v>0.88233333300000005</v>
      </c>
      <c r="N4031" t="s">
        <v>26</v>
      </c>
      <c r="O4031" s="8">
        <v>0.88233333300000005</v>
      </c>
      <c r="P4031" s="8">
        <f>EXP(-1.363+3.366*LOG(O4031,10))</f>
        <v>0.21309858552345248</v>
      </c>
      <c r="Q4031" s="8">
        <f>(8197453*100)/8541008</f>
        <v>95.977582505484136</v>
      </c>
    </row>
    <row r="4032" spans="1:17" x14ac:dyDescent="0.2">
      <c r="A4032">
        <f>YEAR(D4032)</f>
        <v>2019</v>
      </c>
      <c r="B4032" t="s">
        <v>26</v>
      </c>
      <c r="C4032" s="2" t="s">
        <v>3023</v>
      </c>
      <c r="D4032" s="1">
        <v>43685</v>
      </c>
      <c r="E4032">
        <f>MONTH(D4032)</f>
        <v>8</v>
      </c>
      <c r="F4032" s="2" t="s">
        <v>2098</v>
      </c>
      <c r="G4032" t="s">
        <v>352</v>
      </c>
      <c r="H4032" t="s">
        <v>1344</v>
      </c>
      <c r="I4032" t="s">
        <v>36</v>
      </c>
      <c r="J4032" s="2" t="s">
        <v>42</v>
      </c>
      <c r="K4032" s="2" t="s">
        <v>3019</v>
      </c>
      <c r="L4032" t="s">
        <v>25</v>
      </c>
      <c r="M4032" s="8">
        <v>0.88233333300000005</v>
      </c>
      <c r="N4032" t="s">
        <v>26</v>
      </c>
      <c r="O4032" s="8">
        <v>0.88233333300000005</v>
      </c>
      <c r="P4032" s="8">
        <f>EXP(-1.363+3.366*LOG(O4032,10))</f>
        <v>0.21309858552345248</v>
      </c>
      <c r="Q4032" s="8">
        <f>(8197453*100)/8541008</f>
        <v>95.977582505484136</v>
      </c>
    </row>
    <row r="4033" spans="1:17" x14ac:dyDescent="0.2">
      <c r="A4033">
        <f>YEAR(D4033)</f>
        <v>2019</v>
      </c>
      <c r="B4033" t="s">
        <v>26</v>
      </c>
      <c r="C4033" s="2" t="s">
        <v>3023</v>
      </c>
      <c r="D4033" s="1">
        <v>43685</v>
      </c>
      <c r="E4033">
        <f>MONTH(D4033)</f>
        <v>8</v>
      </c>
      <c r="F4033" s="2" t="s">
        <v>2098</v>
      </c>
      <c r="G4033" t="s">
        <v>352</v>
      </c>
      <c r="H4033" t="s">
        <v>610</v>
      </c>
      <c r="I4033" t="s">
        <v>22</v>
      </c>
      <c r="J4033" s="2" t="s">
        <v>42</v>
      </c>
      <c r="K4033" s="2" t="s">
        <v>3019</v>
      </c>
      <c r="L4033" t="s">
        <v>25</v>
      </c>
      <c r="M4033" s="8">
        <v>0.86499999999999999</v>
      </c>
      <c r="N4033" t="s">
        <v>26</v>
      </c>
      <c r="O4033" s="8">
        <v>0.86499999999999999</v>
      </c>
      <c r="P4033" s="8">
        <f>EXP(-1.363+3.366*LOG(O4033,10))</f>
        <v>0.20700676972346591</v>
      </c>
      <c r="Q4033" s="8">
        <f>(8197453*100)/8541008</f>
        <v>95.977582505484136</v>
      </c>
    </row>
    <row r="4034" spans="1:17" x14ac:dyDescent="0.2">
      <c r="A4034">
        <f>YEAR(D4034)</f>
        <v>2019</v>
      </c>
      <c r="B4034" t="s">
        <v>26</v>
      </c>
      <c r="C4034" s="2" t="s">
        <v>3023</v>
      </c>
      <c r="D4034" s="1">
        <v>43685</v>
      </c>
      <c r="E4034">
        <f>MONTH(D4034)</f>
        <v>8</v>
      </c>
      <c r="F4034" s="2" t="s">
        <v>2098</v>
      </c>
      <c r="G4034" t="s">
        <v>230</v>
      </c>
      <c r="H4034" t="s">
        <v>268</v>
      </c>
      <c r="I4034" t="s">
        <v>22</v>
      </c>
      <c r="J4034" s="2" t="s">
        <v>42</v>
      </c>
      <c r="K4034" s="2" t="s">
        <v>3019</v>
      </c>
      <c r="L4034" t="s">
        <v>25</v>
      </c>
      <c r="M4034" s="8">
        <v>3.5356666670000001</v>
      </c>
      <c r="N4034" t="s">
        <v>26</v>
      </c>
      <c r="O4034" s="8">
        <v>3.5356666670000001</v>
      </c>
      <c r="P4034" s="8">
        <f>EXP(-1.363+3.366*LOG(O4034,10))</f>
        <v>1.6211802664427075</v>
      </c>
      <c r="Q4034" s="8">
        <f>(8197453*100)/8541008</f>
        <v>95.977582505484136</v>
      </c>
    </row>
    <row r="4035" spans="1:17" x14ac:dyDescent="0.2">
      <c r="A4035">
        <f>YEAR(D4035)</f>
        <v>2019</v>
      </c>
      <c r="B4035" t="s">
        <v>26</v>
      </c>
      <c r="C4035" s="2" t="s">
        <v>3023</v>
      </c>
      <c r="D4035" s="1">
        <v>43685</v>
      </c>
      <c r="E4035">
        <f>MONTH(D4035)</f>
        <v>8</v>
      </c>
      <c r="F4035" s="2" t="s">
        <v>2098</v>
      </c>
      <c r="G4035" t="s">
        <v>230</v>
      </c>
      <c r="H4035" t="s">
        <v>268</v>
      </c>
      <c r="I4035" t="s">
        <v>22</v>
      </c>
      <c r="J4035" s="2" t="s">
        <v>42</v>
      </c>
      <c r="K4035" s="2" t="s">
        <v>3019</v>
      </c>
      <c r="L4035" t="s">
        <v>25</v>
      </c>
      <c r="M4035" s="8">
        <v>3.5356666670000001</v>
      </c>
      <c r="N4035" t="s">
        <v>26</v>
      </c>
      <c r="O4035" s="8">
        <v>3.5356666670000001</v>
      </c>
      <c r="P4035" s="8">
        <f>EXP(-1.363+3.366*LOG(O4035,10))</f>
        <v>1.6211802664427075</v>
      </c>
      <c r="Q4035" s="8">
        <f>(8197453*100)/8541008</f>
        <v>95.977582505484136</v>
      </c>
    </row>
    <row r="4036" spans="1:17" x14ac:dyDescent="0.2">
      <c r="A4036">
        <f>YEAR(D4036)</f>
        <v>2019</v>
      </c>
      <c r="B4036" t="s">
        <v>26</v>
      </c>
      <c r="C4036" s="2" t="s">
        <v>3023</v>
      </c>
      <c r="D4036" s="1">
        <v>43685</v>
      </c>
      <c r="E4036">
        <f>MONTH(D4036)</f>
        <v>8</v>
      </c>
      <c r="F4036" s="2" t="s">
        <v>2098</v>
      </c>
      <c r="G4036" t="s">
        <v>1520</v>
      </c>
      <c r="H4036" t="s">
        <v>1521</v>
      </c>
      <c r="I4036" t="s">
        <v>36</v>
      </c>
      <c r="J4036" s="2" t="s">
        <v>42</v>
      </c>
      <c r="K4036" s="2" t="s">
        <v>3019</v>
      </c>
      <c r="L4036" t="s">
        <v>25</v>
      </c>
      <c r="M4036" s="8">
        <v>2.3340000000000001</v>
      </c>
      <c r="N4036" t="s">
        <v>26</v>
      </c>
      <c r="O4036" s="8">
        <v>2.3340000000000001</v>
      </c>
      <c r="P4036" s="8">
        <f>EXP(-1.363+3.366*LOG(O4036,10))</f>
        <v>0.88340410488080767</v>
      </c>
      <c r="Q4036" s="8">
        <f>(8197453*100)/8541008</f>
        <v>95.977582505484136</v>
      </c>
    </row>
    <row r="4037" spans="1:17" x14ac:dyDescent="0.2">
      <c r="A4037">
        <f>YEAR(D4037)</f>
        <v>2019</v>
      </c>
      <c r="B4037" t="s">
        <v>26</v>
      </c>
      <c r="C4037" s="2" t="s">
        <v>3023</v>
      </c>
      <c r="D4037" s="1">
        <v>43685</v>
      </c>
      <c r="E4037">
        <f>MONTH(D4037)</f>
        <v>8</v>
      </c>
      <c r="F4037" s="2" t="s">
        <v>2098</v>
      </c>
      <c r="G4037" t="s">
        <v>1520</v>
      </c>
      <c r="H4037" t="s">
        <v>1521</v>
      </c>
      <c r="I4037" t="s">
        <v>22</v>
      </c>
      <c r="J4037" s="2" t="s">
        <v>42</v>
      </c>
      <c r="K4037" s="2" t="s">
        <v>3019</v>
      </c>
      <c r="L4037" t="s">
        <v>25</v>
      </c>
      <c r="M4037" s="8">
        <v>2.952</v>
      </c>
      <c r="N4037" t="s">
        <v>26</v>
      </c>
      <c r="O4037" s="8">
        <v>2.952</v>
      </c>
      <c r="P4037" s="8">
        <f>EXP(-1.363+3.366*LOG(O4037,10))</f>
        <v>1.2453438103764427</v>
      </c>
      <c r="Q4037" s="8">
        <f>(8197453*100)/8541008</f>
        <v>95.977582505484136</v>
      </c>
    </row>
    <row r="4038" spans="1:17" x14ac:dyDescent="0.2">
      <c r="A4038">
        <f>YEAR(D4038)</f>
        <v>2019</v>
      </c>
      <c r="B4038" t="s">
        <v>26</v>
      </c>
      <c r="C4038" s="2" t="s">
        <v>3023</v>
      </c>
      <c r="D4038" s="1">
        <v>43685</v>
      </c>
      <c r="E4038">
        <f>MONTH(D4038)</f>
        <v>8</v>
      </c>
      <c r="F4038" s="2" t="s">
        <v>2098</v>
      </c>
      <c r="G4038" t="s">
        <v>352</v>
      </c>
      <c r="H4038" t="s">
        <v>1459</v>
      </c>
      <c r="I4038" t="s">
        <v>36</v>
      </c>
      <c r="J4038" s="2" t="s">
        <v>42</v>
      </c>
      <c r="K4038" s="2" t="s">
        <v>3019</v>
      </c>
      <c r="L4038" t="s">
        <v>25</v>
      </c>
      <c r="M4038" s="8">
        <v>1.0913333329999999</v>
      </c>
      <c r="N4038" t="s">
        <v>26</v>
      </c>
      <c r="O4038" s="8">
        <v>1.0913333329999999</v>
      </c>
      <c r="P4038" s="8">
        <f>EXP(-1.363+3.366*LOG(O4038,10))</f>
        <v>0.29076633015787234</v>
      </c>
      <c r="Q4038" s="8">
        <f>(8197453*100)/8541008</f>
        <v>95.977582505484136</v>
      </c>
    </row>
    <row r="4039" spans="1:17" x14ac:dyDescent="0.2">
      <c r="A4039">
        <f>YEAR(D4039)</f>
        <v>2019</v>
      </c>
      <c r="B4039" t="s">
        <v>26</v>
      </c>
      <c r="C4039" s="2" t="s">
        <v>3023</v>
      </c>
      <c r="D4039" s="1">
        <v>43685</v>
      </c>
      <c r="E4039">
        <f>MONTH(D4039)</f>
        <v>8</v>
      </c>
      <c r="F4039" s="2" t="s">
        <v>2098</v>
      </c>
      <c r="G4039" t="s">
        <v>352</v>
      </c>
      <c r="H4039" t="s">
        <v>1459</v>
      </c>
      <c r="I4039" t="s">
        <v>36</v>
      </c>
      <c r="J4039" s="2" t="s">
        <v>42</v>
      </c>
      <c r="K4039" s="2" t="s">
        <v>3019</v>
      </c>
      <c r="L4039" t="s">
        <v>25</v>
      </c>
      <c r="M4039" s="8">
        <v>1.0913333329999999</v>
      </c>
      <c r="N4039" t="s">
        <v>26</v>
      </c>
      <c r="O4039" s="8">
        <v>1.0913333329999999</v>
      </c>
      <c r="P4039" s="8">
        <f>EXP(-1.363+3.366*LOG(O4039,10))</f>
        <v>0.29076633015787234</v>
      </c>
      <c r="Q4039" s="8">
        <f>(8197453*100)/8541008</f>
        <v>95.977582505484136</v>
      </c>
    </row>
    <row r="4040" spans="1:17" x14ac:dyDescent="0.2">
      <c r="A4040">
        <f>YEAR(D4040)</f>
        <v>2019</v>
      </c>
      <c r="B4040" t="s">
        <v>26</v>
      </c>
      <c r="C4040" s="2" t="s">
        <v>3023</v>
      </c>
      <c r="D4040" s="1">
        <v>43685</v>
      </c>
      <c r="E4040">
        <f>MONTH(D4040)</f>
        <v>8</v>
      </c>
      <c r="F4040" s="2" t="s">
        <v>2098</v>
      </c>
      <c r="G4040" t="s">
        <v>352</v>
      </c>
      <c r="H4040" t="s">
        <v>1459</v>
      </c>
      <c r="I4040" t="s">
        <v>36</v>
      </c>
      <c r="J4040" s="2" t="s">
        <v>42</v>
      </c>
      <c r="K4040" s="2" t="s">
        <v>3019</v>
      </c>
      <c r="L4040" t="s">
        <v>25</v>
      </c>
      <c r="M4040" s="8">
        <v>1.0913333329999999</v>
      </c>
      <c r="N4040" t="s">
        <v>26</v>
      </c>
      <c r="O4040" s="8">
        <v>1.0913333329999999</v>
      </c>
      <c r="P4040" s="8">
        <f>EXP(-1.363+3.366*LOG(O4040,10))</f>
        <v>0.29076633015787234</v>
      </c>
      <c r="Q4040" s="8">
        <f>(8197453*100)/8541008</f>
        <v>95.977582505484136</v>
      </c>
    </row>
    <row r="4041" spans="1:17" x14ac:dyDescent="0.2">
      <c r="A4041">
        <f>YEAR(D4041)</f>
        <v>2019</v>
      </c>
      <c r="B4041" t="s">
        <v>26</v>
      </c>
      <c r="C4041" s="2" t="s">
        <v>3023</v>
      </c>
      <c r="D4041" s="1">
        <v>43685</v>
      </c>
      <c r="E4041">
        <f>MONTH(D4041)</f>
        <v>8</v>
      </c>
      <c r="F4041" s="2" t="s">
        <v>2098</v>
      </c>
      <c r="G4041" t="s">
        <v>352</v>
      </c>
      <c r="H4041" t="s">
        <v>1459</v>
      </c>
      <c r="I4041" t="s">
        <v>36</v>
      </c>
      <c r="J4041" s="2" t="s">
        <v>42</v>
      </c>
      <c r="K4041" s="2" t="s">
        <v>3019</v>
      </c>
      <c r="L4041" t="s">
        <v>25</v>
      </c>
      <c r="M4041" s="8">
        <v>1.0913333329999999</v>
      </c>
      <c r="N4041" t="s">
        <v>26</v>
      </c>
      <c r="O4041" s="8">
        <v>1.0913333329999999</v>
      </c>
      <c r="P4041" s="8">
        <f>EXP(-1.363+3.366*LOG(O4041,10))</f>
        <v>0.29076633015787234</v>
      </c>
      <c r="Q4041" s="8">
        <f>(8197453*100)/8541008</f>
        <v>95.977582505484136</v>
      </c>
    </row>
    <row r="4042" spans="1:17" x14ac:dyDescent="0.2">
      <c r="A4042">
        <f>YEAR(D4042)</f>
        <v>2019</v>
      </c>
      <c r="B4042" t="s">
        <v>26</v>
      </c>
      <c r="C4042" s="2" t="s">
        <v>3023</v>
      </c>
      <c r="D4042" s="1">
        <v>43685</v>
      </c>
      <c r="E4042">
        <f>MONTH(D4042)</f>
        <v>8</v>
      </c>
      <c r="F4042" s="2" t="s">
        <v>2098</v>
      </c>
      <c r="G4042" t="s">
        <v>352</v>
      </c>
      <c r="H4042" t="s">
        <v>1459</v>
      </c>
      <c r="I4042" t="s">
        <v>22</v>
      </c>
      <c r="J4042" s="2" t="s">
        <v>42</v>
      </c>
      <c r="K4042" s="2" t="s">
        <v>3019</v>
      </c>
      <c r="L4042" t="s">
        <v>25</v>
      </c>
      <c r="M4042" s="8">
        <v>1.1910000000000001</v>
      </c>
      <c r="N4042" t="s">
        <v>26</v>
      </c>
      <c r="O4042" s="8">
        <v>1.1910000000000001</v>
      </c>
      <c r="P4042" s="8">
        <f>EXP(-1.363+3.366*LOG(O4042,10))</f>
        <v>0.33039016297752993</v>
      </c>
      <c r="Q4042" s="8">
        <f>(8197453*100)/8541008</f>
        <v>95.977582505484136</v>
      </c>
    </row>
    <row r="4043" spans="1:17" x14ac:dyDescent="0.2">
      <c r="A4043">
        <f>YEAR(D4043)</f>
        <v>2019</v>
      </c>
      <c r="B4043" t="s">
        <v>26</v>
      </c>
      <c r="C4043" s="2" t="s">
        <v>3023</v>
      </c>
      <c r="D4043" s="1">
        <v>43685</v>
      </c>
      <c r="E4043">
        <f>MONTH(D4043)</f>
        <v>8</v>
      </c>
      <c r="F4043" s="2" t="s">
        <v>2098</v>
      </c>
      <c r="G4043" t="s">
        <v>352</v>
      </c>
      <c r="H4043" t="s">
        <v>1459</v>
      </c>
      <c r="I4043" t="s">
        <v>22</v>
      </c>
      <c r="J4043" s="2" t="s">
        <v>42</v>
      </c>
      <c r="K4043" s="2" t="s">
        <v>3019</v>
      </c>
      <c r="L4043" t="s">
        <v>25</v>
      </c>
      <c r="M4043" s="8">
        <v>1.1910000000000001</v>
      </c>
      <c r="N4043" t="s">
        <v>26</v>
      </c>
      <c r="O4043" s="8">
        <v>1.1910000000000001</v>
      </c>
      <c r="P4043" s="8">
        <f>EXP(-1.363+3.366*LOG(O4043,10))</f>
        <v>0.33039016297752993</v>
      </c>
      <c r="Q4043" s="8">
        <f>(8197453*100)/8541008</f>
        <v>95.977582505484136</v>
      </c>
    </row>
    <row r="4044" spans="1:17" x14ac:dyDescent="0.2">
      <c r="A4044">
        <f>YEAR(D4044)</f>
        <v>2019</v>
      </c>
      <c r="B4044" t="s">
        <v>26</v>
      </c>
      <c r="C4044" s="2" t="s">
        <v>3023</v>
      </c>
      <c r="D4044" s="1">
        <v>43685</v>
      </c>
      <c r="E4044">
        <f>MONTH(D4044)</f>
        <v>8</v>
      </c>
      <c r="F4044" s="2" t="s">
        <v>2098</v>
      </c>
      <c r="G4044" t="s">
        <v>352</v>
      </c>
      <c r="H4044" t="s">
        <v>1459</v>
      </c>
      <c r="I4044" t="s">
        <v>22</v>
      </c>
      <c r="J4044" s="2" t="s">
        <v>42</v>
      </c>
      <c r="K4044" s="2" t="s">
        <v>3019</v>
      </c>
      <c r="L4044" t="s">
        <v>25</v>
      </c>
      <c r="M4044" s="8">
        <v>1.1910000000000001</v>
      </c>
      <c r="N4044" t="s">
        <v>26</v>
      </c>
      <c r="O4044" s="8">
        <v>1.1910000000000001</v>
      </c>
      <c r="P4044" s="8">
        <f>EXP(-1.363+3.366*LOG(O4044,10))</f>
        <v>0.33039016297752993</v>
      </c>
      <c r="Q4044" s="8">
        <f>(8197453*100)/8541008</f>
        <v>95.977582505484136</v>
      </c>
    </row>
    <row r="4045" spans="1:17" x14ac:dyDescent="0.2">
      <c r="A4045">
        <f>YEAR(D4045)</f>
        <v>2019</v>
      </c>
      <c r="B4045" t="s">
        <v>26</v>
      </c>
      <c r="C4045" s="2" t="s">
        <v>3023</v>
      </c>
      <c r="D4045" s="1">
        <v>43685</v>
      </c>
      <c r="E4045">
        <f>MONTH(D4045)</f>
        <v>8</v>
      </c>
      <c r="F4045" s="2" t="s">
        <v>2098</v>
      </c>
      <c r="G4045" t="s">
        <v>352</v>
      </c>
      <c r="H4045" t="s">
        <v>1459</v>
      </c>
      <c r="I4045" t="s">
        <v>22</v>
      </c>
      <c r="J4045" s="2" t="s">
        <v>42</v>
      </c>
      <c r="K4045" s="2" t="s">
        <v>3019</v>
      </c>
      <c r="L4045" t="s">
        <v>25</v>
      </c>
      <c r="M4045" s="8">
        <v>1.1910000000000001</v>
      </c>
      <c r="N4045" t="s">
        <v>26</v>
      </c>
      <c r="O4045" s="8">
        <v>1.1910000000000001</v>
      </c>
      <c r="P4045" s="8">
        <f>EXP(-1.363+3.366*LOG(O4045,10))</f>
        <v>0.33039016297752993</v>
      </c>
      <c r="Q4045" s="8">
        <f>(8197453*100)/8541008</f>
        <v>95.977582505484136</v>
      </c>
    </row>
    <row r="4046" spans="1:17" x14ac:dyDescent="0.2">
      <c r="A4046">
        <f>YEAR(D4046)</f>
        <v>2019</v>
      </c>
      <c r="B4046" t="s">
        <v>26</v>
      </c>
      <c r="C4046" s="2" t="s">
        <v>3023</v>
      </c>
      <c r="D4046" s="1">
        <v>43685</v>
      </c>
      <c r="E4046">
        <f>MONTH(D4046)</f>
        <v>8</v>
      </c>
      <c r="F4046" s="2" t="s">
        <v>2098</v>
      </c>
      <c r="G4046" t="s">
        <v>352</v>
      </c>
      <c r="H4046" t="s">
        <v>1459</v>
      </c>
      <c r="I4046" t="s">
        <v>22</v>
      </c>
      <c r="J4046" s="2" t="s">
        <v>42</v>
      </c>
      <c r="K4046" s="2" t="s">
        <v>3019</v>
      </c>
      <c r="L4046" t="s">
        <v>25</v>
      </c>
      <c r="M4046" s="8">
        <v>1.1910000000000001</v>
      </c>
      <c r="N4046" t="s">
        <v>26</v>
      </c>
      <c r="O4046" s="8">
        <v>1.1910000000000001</v>
      </c>
      <c r="P4046" s="8">
        <f>EXP(-1.363+3.366*LOG(O4046,10))</f>
        <v>0.33039016297752993</v>
      </c>
      <c r="Q4046" s="8">
        <f>(8197453*100)/8541008</f>
        <v>95.977582505484136</v>
      </c>
    </row>
    <row r="4047" spans="1:17" x14ac:dyDescent="0.2">
      <c r="A4047">
        <f>YEAR(D4047)</f>
        <v>2019</v>
      </c>
      <c r="B4047" t="s">
        <v>26</v>
      </c>
      <c r="C4047" s="2" t="s">
        <v>3023</v>
      </c>
      <c r="D4047" s="1">
        <v>43685</v>
      </c>
      <c r="E4047">
        <f>MONTH(D4047)</f>
        <v>8</v>
      </c>
      <c r="F4047" s="2" t="s">
        <v>2098</v>
      </c>
      <c r="G4047" t="s">
        <v>352</v>
      </c>
      <c r="H4047" t="s">
        <v>1459</v>
      </c>
      <c r="I4047" t="s">
        <v>22</v>
      </c>
      <c r="J4047" s="2" t="s">
        <v>42</v>
      </c>
      <c r="K4047" s="2" t="s">
        <v>3019</v>
      </c>
      <c r="L4047" t="s">
        <v>25</v>
      </c>
      <c r="M4047" s="8">
        <v>1.1910000000000001</v>
      </c>
      <c r="N4047" t="s">
        <v>26</v>
      </c>
      <c r="O4047" s="8">
        <v>1.1910000000000001</v>
      </c>
      <c r="P4047" s="8">
        <f>EXP(-1.363+3.366*LOG(O4047,10))</f>
        <v>0.33039016297752993</v>
      </c>
      <c r="Q4047" s="8">
        <f>(8197453*100)/8541008</f>
        <v>95.977582505484136</v>
      </c>
    </row>
    <row r="4048" spans="1:17" x14ac:dyDescent="0.2">
      <c r="A4048">
        <f>YEAR(D4048)</f>
        <v>2019</v>
      </c>
      <c r="B4048" t="s">
        <v>26</v>
      </c>
      <c r="C4048" s="2" t="s">
        <v>3023</v>
      </c>
      <c r="D4048" s="1">
        <v>43685</v>
      </c>
      <c r="E4048">
        <f>MONTH(D4048)</f>
        <v>8</v>
      </c>
      <c r="F4048" s="2" t="s">
        <v>2098</v>
      </c>
      <c r="G4048" t="s">
        <v>352</v>
      </c>
      <c r="H4048" t="s">
        <v>1459</v>
      </c>
      <c r="I4048" t="s">
        <v>22</v>
      </c>
      <c r="J4048" s="2" t="s">
        <v>42</v>
      </c>
      <c r="K4048" s="2" t="s">
        <v>3019</v>
      </c>
      <c r="L4048" t="s">
        <v>25</v>
      </c>
      <c r="M4048" s="8">
        <v>1.1910000000000001</v>
      </c>
      <c r="N4048" t="s">
        <v>26</v>
      </c>
      <c r="O4048" s="8">
        <v>1.1910000000000001</v>
      </c>
      <c r="P4048" s="8">
        <f>EXP(-1.363+3.366*LOG(O4048,10))</f>
        <v>0.33039016297752993</v>
      </c>
      <c r="Q4048" s="8">
        <f>(8197453*100)/8541008</f>
        <v>95.977582505484136</v>
      </c>
    </row>
    <row r="4049" spans="1:17" x14ac:dyDescent="0.2">
      <c r="A4049">
        <f>YEAR(D4049)</f>
        <v>2019</v>
      </c>
      <c r="B4049" t="s">
        <v>26</v>
      </c>
      <c r="C4049" s="2" t="s">
        <v>3023</v>
      </c>
      <c r="D4049" s="1">
        <v>43685</v>
      </c>
      <c r="E4049">
        <f>MONTH(D4049)</f>
        <v>8</v>
      </c>
      <c r="F4049" s="2" t="s">
        <v>2098</v>
      </c>
      <c r="G4049" t="s">
        <v>352</v>
      </c>
      <c r="H4049" t="s">
        <v>1459</v>
      </c>
      <c r="I4049" t="s">
        <v>22</v>
      </c>
      <c r="J4049" s="2" t="s">
        <v>42</v>
      </c>
      <c r="K4049" s="2" t="s">
        <v>3019</v>
      </c>
      <c r="L4049" t="s">
        <v>25</v>
      </c>
      <c r="M4049" s="8">
        <v>1.1910000000000001</v>
      </c>
      <c r="N4049" t="s">
        <v>26</v>
      </c>
      <c r="O4049" s="8">
        <v>1.1910000000000001</v>
      </c>
      <c r="P4049" s="8">
        <f>EXP(-1.363+3.366*LOG(O4049,10))</f>
        <v>0.33039016297752993</v>
      </c>
      <c r="Q4049" s="8">
        <f>(8197453*100)/8541008</f>
        <v>95.977582505484136</v>
      </c>
    </row>
    <row r="4050" spans="1:17" x14ac:dyDescent="0.2">
      <c r="A4050">
        <f>YEAR(D4050)</f>
        <v>2019</v>
      </c>
      <c r="B4050" t="s">
        <v>26</v>
      </c>
      <c r="C4050" s="2" t="s">
        <v>3023</v>
      </c>
      <c r="D4050" s="1">
        <v>43685</v>
      </c>
      <c r="E4050">
        <f>MONTH(D4050)</f>
        <v>8</v>
      </c>
      <c r="F4050" s="2" t="s">
        <v>2098</v>
      </c>
      <c r="G4050" t="s">
        <v>352</v>
      </c>
      <c r="H4050" t="s">
        <v>1459</v>
      </c>
      <c r="I4050" t="s">
        <v>22</v>
      </c>
      <c r="J4050" s="2" t="s">
        <v>42</v>
      </c>
      <c r="K4050" s="2" t="s">
        <v>3019</v>
      </c>
      <c r="L4050" t="s">
        <v>25</v>
      </c>
      <c r="M4050" s="8">
        <v>1.1910000000000001</v>
      </c>
      <c r="N4050" t="s">
        <v>26</v>
      </c>
      <c r="O4050" s="8">
        <v>1.1910000000000001</v>
      </c>
      <c r="P4050" s="8">
        <f>EXP(-1.363+3.366*LOG(O4050,10))</f>
        <v>0.33039016297752993</v>
      </c>
      <c r="Q4050" s="8">
        <f>(8197453*100)/8541008</f>
        <v>95.977582505484136</v>
      </c>
    </row>
    <row r="4051" spans="1:17" x14ac:dyDescent="0.2">
      <c r="A4051">
        <f>YEAR(D4051)</f>
        <v>2019</v>
      </c>
      <c r="B4051" t="s">
        <v>26</v>
      </c>
      <c r="C4051" s="2" t="s">
        <v>3023</v>
      </c>
      <c r="D4051" s="1">
        <v>43685</v>
      </c>
      <c r="E4051">
        <f>MONTH(D4051)</f>
        <v>8</v>
      </c>
      <c r="F4051" s="2" t="s">
        <v>2098</v>
      </c>
      <c r="G4051" t="s">
        <v>352</v>
      </c>
      <c r="H4051" t="s">
        <v>728</v>
      </c>
      <c r="I4051" t="s">
        <v>22</v>
      </c>
      <c r="J4051" s="2" t="s">
        <v>42</v>
      </c>
      <c r="K4051" s="2" t="s">
        <v>3019</v>
      </c>
      <c r="L4051" t="s">
        <v>187</v>
      </c>
      <c r="M4051" s="8">
        <v>1.8093333330000001</v>
      </c>
      <c r="N4051" t="s">
        <v>26</v>
      </c>
      <c r="O4051" s="8">
        <v>1.8093333330000001</v>
      </c>
      <c r="P4051" s="8">
        <f>EXP(-1.363+3.366*LOG(O4051,10))</f>
        <v>0.6088444603462565</v>
      </c>
      <c r="Q4051" s="8">
        <f>(8197453*100)/8541008</f>
        <v>95.977582505484136</v>
      </c>
    </row>
    <row r="4052" spans="1:17" x14ac:dyDescent="0.2">
      <c r="A4052">
        <f>YEAR(D4052)</f>
        <v>2019</v>
      </c>
      <c r="B4052" t="s">
        <v>26</v>
      </c>
      <c r="C4052" s="2" t="s">
        <v>3023</v>
      </c>
      <c r="D4052" s="1">
        <v>43685</v>
      </c>
      <c r="E4052">
        <f>MONTH(D4052)</f>
        <v>8</v>
      </c>
      <c r="F4052" s="2" t="s">
        <v>2098</v>
      </c>
      <c r="G4052" t="s">
        <v>352</v>
      </c>
      <c r="H4052" t="s">
        <v>728</v>
      </c>
      <c r="I4052" t="s">
        <v>22</v>
      </c>
      <c r="J4052" s="2" t="s">
        <v>42</v>
      </c>
      <c r="K4052" s="2" t="s">
        <v>3019</v>
      </c>
      <c r="L4052" t="s">
        <v>187</v>
      </c>
      <c r="M4052" s="8">
        <v>1.8093333330000001</v>
      </c>
      <c r="N4052" t="s">
        <v>26</v>
      </c>
      <c r="O4052" s="8">
        <v>1.8093333330000001</v>
      </c>
      <c r="P4052" s="8">
        <f>EXP(-1.363+3.366*LOG(O4052,10))</f>
        <v>0.6088444603462565</v>
      </c>
      <c r="Q4052" s="8">
        <f>(8197453*100)/8541008</f>
        <v>95.977582505484136</v>
      </c>
    </row>
    <row r="4053" spans="1:17" x14ac:dyDescent="0.2">
      <c r="A4053">
        <f>YEAR(D4053)</f>
        <v>2019</v>
      </c>
      <c r="B4053" t="s">
        <v>26</v>
      </c>
      <c r="C4053" s="2" t="s">
        <v>3023</v>
      </c>
      <c r="D4053" s="1">
        <v>43685</v>
      </c>
      <c r="E4053">
        <f>MONTH(D4053)</f>
        <v>8</v>
      </c>
      <c r="F4053" s="2" t="s">
        <v>2098</v>
      </c>
      <c r="G4053" t="s">
        <v>352</v>
      </c>
      <c r="H4053" t="s">
        <v>728</v>
      </c>
      <c r="I4053" t="s">
        <v>22</v>
      </c>
      <c r="J4053" s="2" t="s">
        <v>42</v>
      </c>
      <c r="K4053" s="2" t="s">
        <v>3019</v>
      </c>
      <c r="L4053" t="s">
        <v>187</v>
      </c>
      <c r="M4053" s="8">
        <v>1.8093333330000001</v>
      </c>
      <c r="N4053" t="s">
        <v>26</v>
      </c>
      <c r="O4053" s="8">
        <v>1.8093333330000001</v>
      </c>
      <c r="P4053" s="8">
        <f>EXP(-1.363+3.366*LOG(O4053,10))</f>
        <v>0.6088444603462565</v>
      </c>
      <c r="Q4053" s="8">
        <f>(8197453*100)/8541008</f>
        <v>95.977582505484136</v>
      </c>
    </row>
    <row r="4054" spans="1:17" x14ac:dyDescent="0.2">
      <c r="A4054">
        <f>YEAR(D4054)</f>
        <v>2019</v>
      </c>
      <c r="B4054" t="s">
        <v>26</v>
      </c>
      <c r="C4054" s="2" t="s">
        <v>3022</v>
      </c>
      <c r="D4054" s="1">
        <v>43685</v>
      </c>
      <c r="E4054">
        <f>MONTH(D4054)</f>
        <v>8</v>
      </c>
      <c r="F4054" s="2" t="s">
        <v>2098</v>
      </c>
      <c r="G4054" t="s">
        <v>352</v>
      </c>
      <c r="H4054" t="s">
        <v>975</v>
      </c>
      <c r="I4054" t="s">
        <v>22</v>
      </c>
      <c r="J4054" s="2" t="s">
        <v>42</v>
      </c>
      <c r="K4054" s="2" t="s">
        <v>3019</v>
      </c>
      <c r="L4054" t="s">
        <v>25</v>
      </c>
      <c r="M4054" s="8">
        <v>1.0693333330000001</v>
      </c>
      <c r="N4054" t="s">
        <v>26</v>
      </c>
      <c r="O4054" s="8">
        <v>1.0693333330000001</v>
      </c>
      <c r="P4054" s="8">
        <f>EXP(-1.363+3.366*LOG(O4054,10))</f>
        <v>0.28223780327142356</v>
      </c>
      <c r="Q4054" s="8">
        <f>(4437920*100)/4638971</f>
        <v>95.666043180696747</v>
      </c>
    </row>
    <row r="4055" spans="1:17" x14ac:dyDescent="0.2">
      <c r="A4055">
        <f>YEAR(D4055)</f>
        <v>2019</v>
      </c>
      <c r="B4055" t="s">
        <v>26</v>
      </c>
      <c r="C4055" s="2" t="s">
        <v>3022</v>
      </c>
      <c r="D4055" s="1">
        <v>43685</v>
      </c>
      <c r="E4055">
        <f>MONTH(D4055)</f>
        <v>8</v>
      </c>
      <c r="F4055" s="2" t="s">
        <v>2098</v>
      </c>
      <c r="G4055" t="s">
        <v>332</v>
      </c>
      <c r="H4055" t="s">
        <v>327</v>
      </c>
      <c r="I4055" t="s">
        <v>22</v>
      </c>
      <c r="J4055" s="2" t="s">
        <v>42</v>
      </c>
      <c r="K4055" s="2" t="s">
        <v>3019</v>
      </c>
      <c r="L4055" t="s">
        <v>25</v>
      </c>
      <c r="M4055" s="8">
        <v>1.239333333</v>
      </c>
      <c r="N4055" t="s">
        <v>26</v>
      </c>
      <c r="O4055" s="8">
        <v>1.239333333</v>
      </c>
      <c r="P4055" s="8">
        <f>EXP(-1.363+3.366*LOG(O4055,10))</f>
        <v>0.35017272283851147</v>
      </c>
      <c r="Q4055" s="8">
        <f>(4437920*100)/4638971</f>
        <v>95.666043180696747</v>
      </c>
    </row>
    <row r="4056" spans="1:17" x14ac:dyDescent="0.2">
      <c r="A4056">
        <f>YEAR(D4056)</f>
        <v>2019</v>
      </c>
      <c r="B4056" t="s">
        <v>26</v>
      </c>
      <c r="C4056" s="2" t="s">
        <v>3022</v>
      </c>
      <c r="D4056" s="1">
        <v>43685</v>
      </c>
      <c r="E4056">
        <f>MONTH(D4056)</f>
        <v>8</v>
      </c>
      <c r="F4056" s="2" t="s">
        <v>2098</v>
      </c>
      <c r="G4056" t="s">
        <v>230</v>
      </c>
      <c r="H4056" t="s">
        <v>268</v>
      </c>
      <c r="I4056" t="s">
        <v>22</v>
      </c>
      <c r="J4056" s="2" t="s">
        <v>42</v>
      </c>
      <c r="K4056" s="2" t="s">
        <v>3019</v>
      </c>
      <c r="L4056" t="s">
        <v>25</v>
      </c>
      <c r="M4056" s="8">
        <v>3.5356666670000001</v>
      </c>
      <c r="N4056" t="s">
        <v>26</v>
      </c>
      <c r="O4056" s="8">
        <v>3.5356666670000001</v>
      </c>
      <c r="P4056" s="8">
        <f>EXP(-1.363+3.366*LOG(O4056,10))</f>
        <v>1.6211802664427075</v>
      </c>
      <c r="Q4056" s="8">
        <f>(4437920*100)/4638971</f>
        <v>95.666043180696747</v>
      </c>
    </row>
    <row r="4057" spans="1:17" x14ac:dyDescent="0.2">
      <c r="A4057">
        <f>YEAR(D4057)</f>
        <v>2019</v>
      </c>
      <c r="B4057" t="s">
        <v>26</v>
      </c>
      <c r="C4057" s="2" t="s">
        <v>3022</v>
      </c>
      <c r="D4057" s="1">
        <v>43685</v>
      </c>
      <c r="E4057">
        <f>MONTH(D4057)</f>
        <v>8</v>
      </c>
      <c r="F4057" s="2" t="s">
        <v>2098</v>
      </c>
      <c r="G4057" t="s">
        <v>332</v>
      </c>
      <c r="H4057" t="s">
        <v>327</v>
      </c>
      <c r="I4057" t="s">
        <v>22</v>
      </c>
      <c r="J4057" s="2" t="s">
        <v>42</v>
      </c>
      <c r="K4057" s="2" t="s">
        <v>3019</v>
      </c>
      <c r="L4057" t="s">
        <v>25</v>
      </c>
      <c r="M4057" s="8">
        <v>1.239333333</v>
      </c>
      <c r="N4057" t="s">
        <v>26</v>
      </c>
      <c r="O4057" s="8">
        <v>1.239333333</v>
      </c>
      <c r="P4057" s="8">
        <f>EXP(-1.363+3.366*LOG(O4057,10))</f>
        <v>0.35017272283851147</v>
      </c>
      <c r="Q4057" s="8">
        <f>(4437920*100)/4638971</f>
        <v>95.666043180696747</v>
      </c>
    </row>
    <row r="4058" spans="1:17" x14ac:dyDescent="0.2">
      <c r="A4058">
        <f>YEAR(D4058)</f>
        <v>2019</v>
      </c>
      <c r="B4058" t="s">
        <v>26</v>
      </c>
      <c r="C4058" s="2" t="s">
        <v>3022</v>
      </c>
      <c r="D4058" s="1">
        <v>43685</v>
      </c>
      <c r="E4058">
        <f>MONTH(D4058)</f>
        <v>8</v>
      </c>
      <c r="F4058" s="2" t="s">
        <v>2098</v>
      </c>
      <c r="G4058" t="s">
        <v>362</v>
      </c>
      <c r="H4058" t="s">
        <v>393</v>
      </c>
      <c r="I4058" t="s">
        <v>22</v>
      </c>
      <c r="J4058" s="2" t="s">
        <v>42</v>
      </c>
      <c r="K4058" s="2" t="s">
        <v>3019</v>
      </c>
      <c r="L4058" t="s">
        <v>25</v>
      </c>
      <c r="M4058" s="8">
        <v>2.4239999999999999</v>
      </c>
      <c r="N4058" t="s">
        <v>26</v>
      </c>
      <c r="O4058" s="8">
        <v>2.4239999999999999</v>
      </c>
      <c r="P4058" s="8">
        <f>EXP(-1.363+3.366*LOG(O4058,10))</f>
        <v>0.93364106227732868</v>
      </c>
      <c r="Q4058" s="8">
        <f>(4437920*100)/4638971</f>
        <v>95.666043180696747</v>
      </c>
    </row>
    <row r="4059" spans="1:17" x14ac:dyDescent="0.2">
      <c r="A4059">
        <f>YEAR(D4059)</f>
        <v>2019</v>
      </c>
      <c r="B4059" t="s">
        <v>26</v>
      </c>
      <c r="C4059" s="2" t="s">
        <v>3022</v>
      </c>
      <c r="D4059" s="1">
        <v>43685</v>
      </c>
      <c r="E4059">
        <f>MONTH(D4059)</f>
        <v>8</v>
      </c>
      <c r="F4059" s="2" t="s">
        <v>2098</v>
      </c>
      <c r="G4059" t="s">
        <v>230</v>
      </c>
      <c r="H4059" t="s">
        <v>255</v>
      </c>
      <c r="I4059" t="s">
        <v>36</v>
      </c>
      <c r="J4059" s="2" t="s">
        <v>42</v>
      </c>
      <c r="K4059" s="2" t="s">
        <v>3019</v>
      </c>
      <c r="L4059" t="s">
        <v>25</v>
      </c>
      <c r="M4059" s="8">
        <v>4.1180000000000003</v>
      </c>
      <c r="N4059" t="s">
        <v>26</v>
      </c>
      <c r="O4059" s="8">
        <v>4.1180000000000003</v>
      </c>
      <c r="P4059" s="8">
        <f>EXP(-1.363+3.366*LOG(O4059,10))</f>
        <v>2.0259408868315871</v>
      </c>
      <c r="Q4059" s="8">
        <f>(4437920*100)/4638971</f>
        <v>95.666043180696747</v>
      </c>
    </row>
    <row r="4060" spans="1:17" x14ac:dyDescent="0.2">
      <c r="A4060">
        <f>YEAR(D4060)</f>
        <v>2019</v>
      </c>
      <c r="B4060" t="s">
        <v>26</v>
      </c>
      <c r="C4060" s="2" t="s">
        <v>3022</v>
      </c>
      <c r="D4060" s="1">
        <v>43685</v>
      </c>
      <c r="E4060">
        <f>MONTH(D4060)</f>
        <v>8</v>
      </c>
      <c r="F4060" s="2" t="s">
        <v>2098</v>
      </c>
      <c r="G4060" t="s">
        <v>332</v>
      </c>
      <c r="H4060" t="s">
        <v>327</v>
      </c>
      <c r="I4060" t="s">
        <v>22</v>
      </c>
      <c r="J4060" s="2" t="s">
        <v>42</v>
      </c>
      <c r="K4060" s="2" t="s">
        <v>3019</v>
      </c>
      <c r="L4060" t="s">
        <v>25</v>
      </c>
      <c r="M4060" s="8">
        <v>1.239333333</v>
      </c>
      <c r="N4060" t="s">
        <v>26</v>
      </c>
      <c r="O4060" s="8">
        <v>1.239333333</v>
      </c>
      <c r="P4060" s="8">
        <f>EXP(-1.363+3.366*LOG(O4060,10))</f>
        <v>0.35017272283851147</v>
      </c>
      <c r="Q4060" s="8">
        <f>(4437920*100)/4638971</f>
        <v>95.666043180696747</v>
      </c>
    </row>
    <row r="4061" spans="1:17" x14ac:dyDescent="0.2">
      <c r="A4061">
        <f>YEAR(D4061)</f>
        <v>2019</v>
      </c>
      <c r="B4061" t="s">
        <v>26</v>
      </c>
      <c r="C4061" s="2" t="s">
        <v>3022</v>
      </c>
      <c r="D4061" s="1">
        <v>43685</v>
      </c>
      <c r="E4061">
        <f>MONTH(D4061)</f>
        <v>8</v>
      </c>
      <c r="F4061" s="2" t="s">
        <v>2098</v>
      </c>
      <c r="G4061" t="s">
        <v>332</v>
      </c>
      <c r="H4061" t="s">
        <v>327</v>
      </c>
      <c r="I4061" t="s">
        <v>22</v>
      </c>
      <c r="J4061" s="2" t="s">
        <v>42</v>
      </c>
      <c r="K4061" s="2" t="s">
        <v>3019</v>
      </c>
      <c r="L4061" t="s">
        <v>25</v>
      </c>
      <c r="M4061" s="8">
        <v>1.239333333</v>
      </c>
      <c r="N4061" t="s">
        <v>26</v>
      </c>
      <c r="O4061" s="8">
        <v>1.239333333</v>
      </c>
      <c r="P4061" s="8">
        <f>EXP(-1.363+3.366*LOG(O4061,10))</f>
        <v>0.35017272283851147</v>
      </c>
      <c r="Q4061" s="8">
        <f>(4437920*100)/4638971</f>
        <v>95.666043180696747</v>
      </c>
    </row>
    <row r="4062" spans="1:17" x14ac:dyDescent="0.2">
      <c r="A4062">
        <f>YEAR(D4062)</f>
        <v>2019</v>
      </c>
      <c r="B4062" t="s">
        <v>26</v>
      </c>
      <c r="C4062" s="2" t="s">
        <v>3022</v>
      </c>
      <c r="D4062" s="1">
        <v>43685</v>
      </c>
      <c r="E4062">
        <f>MONTH(D4062)</f>
        <v>8</v>
      </c>
      <c r="F4062" s="2" t="s">
        <v>2098</v>
      </c>
      <c r="G4062" t="s">
        <v>332</v>
      </c>
      <c r="H4062" t="s">
        <v>327</v>
      </c>
      <c r="I4062" t="s">
        <v>22</v>
      </c>
      <c r="J4062" s="2" t="s">
        <v>42</v>
      </c>
      <c r="K4062" s="2" t="s">
        <v>3019</v>
      </c>
      <c r="L4062" t="s">
        <v>25</v>
      </c>
      <c r="M4062" s="8">
        <v>1.239333333</v>
      </c>
      <c r="N4062" t="s">
        <v>26</v>
      </c>
      <c r="O4062" s="8">
        <v>1.239333333</v>
      </c>
      <c r="P4062" s="8">
        <f>EXP(-1.363+3.366*LOG(O4062,10))</f>
        <v>0.35017272283851147</v>
      </c>
      <c r="Q4062" s="8">
        <f>(4437920*100)/4638971</f>
        <v>95.666043180696747</v>
      </c>
    </row>
    <row r="4063" spans="1:17" x14ac:dyDescent="0.2">
      <c r="A4063">
        <f>YEAR(D4063)</f>
        <v>2019</v>
      </c>
      <c r="B4063" t="s">
        <v>26</v>
      </c>
      <c r="C4063" s="2" t="s">
        <v>3022</v>
      </c>
      <c r="D4063" s="1">
        <v>43685</v>
      </c>
      <c r="E4063">
        <f>MONTH(D4063)</f>
        <v>8</v>
      </c>
      <c r="F4063" s="2" t="s">
        <v>2098</v>
      </c>
      <c r="G4063" t="s">
        <v>332</v>
      </c>
      <c r="H4063" t="s">
        <v>327</v>
      </c>
      <c r="I4063" t="s">
        <v>36</v>
      </c>
      <c r="J4063" s="2" t="s">
        <v>42</v>
      </c>
      <c r="K4063" s="2" t="s">
        <v>3019</v>
      </c>
      <c r="L4063" t="s">
        <v>25</v>
      </c>
      <c r="M4063" s="8">
        <v>1.0693333330000001</v>
      </c>
      <c r="N4063" t="s">
        <v>26</v>
      </c>
      <c r="O4063" s="8">
        <v>1.0693333330000001</v>
      </c>
      <c r="P4063" s="8">
        <f>EXP(-1.363+3.366*LOG(O4063,10))</f>
        <v>0.28223780327142356</v>
      </c>
      <c r="Q4063" s="8">
        <f>(4437920*100)/4638971</f>
        <v>95.666043180696747</v>
      </c>
    </row>
    <row r="4064" spans="1:17" x14ac:dyDescent="0.2">
      <c r="A4064">
        <f>YEAR(D4064)</f>
        <v>2019</v>
      </c>
      <c r="B4064" t="s">
        <v>26</v>
      </c>
      <c r="C4064" s="2" t="s">
        <v>3022</v>
      </c>
      <c r="D4064" s="1">
        <v>43685</v>
      </c>
      <c r="E4064">
        <f>MONTH(D4064)</f>
        <v>8</v>
      </c>
      <c r="F4064" s="2" t="s">
        <v>2098</v>
      </c>
      <c r="G4064" t="s">
        <v>332</v>
      </c>
      <c r="H4064" t="s">
        <v>327</v>
      </c>
      <c r="I4064" t="s">
        <v>36</v>
      </c>
      <c r="J4064" s="2" t="s">
        <v>42</v>
      </c>
      <c r="K4064" s="2" t="s">
        <v>3019</v>
      </c>
      <c r="L4064" t="s">
        <v>25</v>
      </c>
      <c r="M4064" s="8">
        <v>1.0693333330000001</v>
      </c>
      <c r="N4064" t="s">
        <v>26</v>
      </c>
      <c r="O4064" s="8">
        <v>1.0693333330000001</v>
      </c>
      <c r="P4064" s="8">
        <f>EXP(-1.363+3.366*LOG(O4064,10))</f>
        <v>0.28223780327142356</v>
      </c>
      <c r="Q4064" s="8">
        <f>(4437920*100)/4638971</f>
        <v>95.666043180696747</v>
      </c>
    </row>
    <row r="4065" spans="1:17" x14ac:dyDescent="0.2">
      <c r="A4065">
        <f>YEAR(D4065)</f>
        <v>2019</v>
      </c>
      <c r="B4065" t="s">
        <v>26</v>
      </c>
      <c r="C4065" s="2" t="s">
        <v>3022</v>
      </c>
      <c r="D4065" s="1">
        <v>43685</v>
      </c>
      <c r="E4065">
        <f>MONTH(D4065)</f>
        <v>8</v>
      </c>
      <c r="F4065" s="2" t="s">
        <v>2098</v>
      </c>
      <c r="G4065" t="s">
        <v>352</v>
      </c>
      <c r="H4065" t="s">
        <v>1142</v>
      </c>
      <c r="I4065" t="s">
        <v>22</v>
      </c>
      <c r="J4065" s="2" t="s">
        <v>42</v>
      </c>
      <c r="K4065" s="2" t="s">
        <v>3019</v>
      </c>
      <c r="L4065" t="s">
        <v>25</v>
      </c>
      <c r="M4065" s="8">
        <v>1.1423333330000001</v>
      </c>
      <c r="N4065" t="s">
        <v>26</v>
      </c>
      <c r="O4065" s="8">
        <v>1.1423333330000001</v>
      </c>
      <c r="P4065" s="8">
        <f>EXP(-1.363+3.366*LOG(O4065,10))</f>
        <v>0.31084239358261528</v>
      </c>
      <c r="Q4065" s="8">
        <f>(4437920*100)/4638971</f>
        <v>95.666043180696747</v>
      </c>
    </row>
    <row r="4066" spans="1:17" x14ac:dyDescent="0.2">
      <c r="A4066">
        <f>YEAR(D4066)</f>
        <v>2019</v>
      </c>
      <c r="B4066" t="s">
        <v>26</v>
      </c>
      <c r="C4066" s="2" t="s">
        <v>3022</v>
      </c>
      <c r="D4066" s="1">
        <v>43685</v>
      </c>
      <c r="E4066">
        <f>MONTH(D4066)</f>
        <v>8</v>
      </c>
      <c r="F4066" s="2" t="s">
        <v>2098</v>
      </c>
      <c r="G4066" t="s">
        <v>1520</v>
      </c>
      <c r="H4066" t="s">
        <v>1528</v>
      </c>
      <c r="I4066" t="s">
        <v>22</v>
      </c>
      <c r="J4066" s="2" t="s">
        <v>42</v>
      </c>
      <c r="K4066" s="2" t="s">
        <v>3019</v>
      </c>
      <c r="L4066" t="s">
        <v>25</v>
      </c>
      <c r="M4066" s="8">
        <v>3.624333333</v>
      </c>
      <c r="N4066" t="s">
        <v>26</v>
      </c>
      <c r="O4066" s="8">
        <v>3.624333333</v>
      </c>
      <c r="P4066" s="8">
        <f>EXP(-1.363+3.366*LOG(O4066,10))</f>
        <v>1.6809546844949765</v>
      </c>
      <c r="Q4066" s="8">
        <f>(4437920*100)/4638971</f>
        <v>95.666043180696747</v>
      </c>
    </row>
    <row r="4067" spans="1:17" x14ac:dyDescent="0.2">
      <c r="A4067">
        <f>YEAR(D4067)</f>
        <v>2019</v>
      </c>
      <c r="B4067" t="s">
        <v>26</v>
      </c>
      <c r="C4067" s="2" t="s">
        <v>3022</v>
      </c>
      <c r="D4067" s="1">
        <v>43685</v>
      </c>
      <c r="E4067">
        <f>MONTH(D4067)</f>
        <v>8</v>
      </c>
      <c r="F4067" s="2" t="s">
        <v>2098</v>
      </c>
      <c r="G4067" t="s">
        <v>362</v>
      </c>
      <c r="H4067" t="s">
        <v>393</v>
      </c>
      <c r="I4067" t="s">
        <v>36</v>
      </c>
      <c r="J4067" s="2" t="s">
        <v>42</v>
      </c>
      <c r="K4067" s="2" t="s">
        <v>3019</v>
      </c>
      <c r="L4067" t="s">
        <v>25</v>
      </c>
      <c r="M4067" s="8">
        <v>2.2189999999999999</v>
      </c>
      <c r="N4067" t="s">
        <v>26</v>
      </c>
      <c r="O4067" s="8">
        <v>2.2189999999999999</v>
      </c>
      <c r="P4067" s="8">
        <f>EXP(-1.363+3.366*LOG(O4067,10))</f>
        <v>0.82050561861036375</v>
      </c>
      <c r="Q4067" s="8">
        <f>(4437920*100)/4638971</f>
        <v>95.666043180696747</v>
      </c>
    </row>
    <row r="4068" spans="1:17" x14ac:dyDescent="0.2">
      <c r="A4068">
        <f>YEAR(D4068)</f>
        <v>2019</v>
      </c>
      <c r="B4068" t="s">
        <v>26</v>
      </c>
      <c r="C4068" s="2" t="s">
        <v>3022</v>
      </c>
      <c r="D4068" s="1">
        <v>43685</v>
      </c>
      <c r="E4068">
        <f>MONTH(D4068)</f>
        <v>8</v>
      </c>
      <c r="F4068" s="2" t="s">
        <v>2098</v>
      </c>
      <c r="G4068" t="s">
        <v>362</v>
      </c>
      <c r="H4068" t="s">
        <v>393</v>
      </c>
      <c r="I4068" t="s">
        <v>36</v>
      </c>
      <c r="J4068" s="2" t="s">
        <v>42</v>
      </c>
      <c r="K4068" s="2" t="s">
        <v>3019</v>
      </c>
      <c r="L4068" t="s">
        <v>25</v>
      </c>
      <c r="M4068" s="8">
        <v>2.2189999999999999</v>
      </c>
      <c r="N4068" t="s">
        <v>26</v>
      </c>
      <c r="O4068" s="8">
        <v>2.2189999999999999</v>
      </c>
      <c r="P4068" s="8">
        <f>EXP(-1.363+3.366*LOG(O4068,10))</f>
        <v>0.82050561861036375</v>
      </c>
      <c r="Q4068" s="8">
        <f>(4437920*100)/4638971</f>
        <v>95.666043180696747</v>
      </c>
    </row>
    <row r="4069" spans="1:17" x14ac:dyDescent="0.2">
      <c r="A4069">
        <f>YEAR(D4069)</f>
        <v>2019</v>
      </c>
      <c r="B4069" t="s">
        <v>26</v>
      </c>
      <c r="C4069" s="2" t="s">
        <v>3022</v>
      </c>
      <c r="D4069" s="1">
        <v>43685</v>
      </c>
      <c r="E4069">
        <f>MONTH(D4069)</f>
        <v>8</v>
      </c>
      <c r="F4069" s="2" t="s">
        <v>2098</v>
      </c>
      <c r="G4069" t="s">
        <v>362</v>
      </c>
      <c r="H4069" t="s">
        <v>393</v>
      </c>
      <c r="I4069" t="s">
        <v>22</v>
      </c>
      <c r="J4069" s="2" t="s">
        <v>42</v>
      </c>
      <c r="K4069" s="2" t="s">
        <v>3019</v>
      </c>
      <c r="L4069" t="s">
        <v>25</v>
      </c>
      <c r="M4069" s="8">
        <v>2.4239999999999999</v>
      </c>
      <c r="N4069" t="s">
        <v>26</v>
      </c>
      <c r="O4069" s="8">
        <v>2.4239999999999999</v>
      </c>
      <c r="P4069" s="8">
        <f>EXP(-1.363+3.366*LOG(O4069,10))</f>
        <v>0.93364106227732868</v>
      </c>
      <c r="Q4069" s="8">
        <f>(4437920*100)/4638971</f>
        <v>95.666043180696747</v>
      </c>
    </row>
    <row r="4070" spans="1:17" x14ac:dyDescent="0.2">
      <c r="A4070">
        <f>YEAR(D4070)</f>
        <v>2019</v>
      </c>
      <c r="B4070" t="s">
        <v>26</v>
      </c>
      <c r="C4070" s="2" t="s">
        <v>3022</v>
      </c>
      <c r="D4070" s="1">
        <v>43685</v>
      </c>
      <c r="E4070">
        <f>MONTH(D4070)</f>
        <v>8</v>
      </c>
      <c r="F4070" s="2" t="s">
        <v>2098</v>
      </c>
      <c r="G4070" t="s">
        <v>1520</v>
      </c>
      <c r="H4070" t="s">
        <v>1521</v>
      </c>
      <c r="I4070" t="s">
        <v>22</v>
      </c>
      <c r="J4070" s="2" t="s">
        <v>42</v>
      </c>
      <c r="K4070" s="2" t="s">
        <v>3019</v>
      </c>
      <c r="L4070" t="s">
        <v>25</v>
      </c>
      <c r="M4070" s="8">
        <v>2.952</v>
      </c>
      <c r="N4070" t="s">
        <v>26</v>
      </c>
      <c r="O4070" s="8">
        <v>2.952</v>
      </c>
      <c r="P4070" s="8">
        <f>EXP(-1.363+3.366*LOG(O4070,10))</f>
        <v>1.2453438103764427</v>
      </c>
      <c r="Q4070" s="8">
        <f>(4437920*100)/4638971</f>
        <v>95.666043180696747</v>
      </c>
    </row>
    <row r="4071" spans="1:17" x14ac:dyDescent="0.2">
      <c r="A4071">
        <f>YEAR(D4071)</f>
        <v>2019</v>
      </c>
      <c r="B4071" t="s">
        <v>26</v>
      </c>
      <c r="C4071" s="2" t="s">
        <v>3022</v>
      </c>
      <c r="D4071" s="1">
        <v>43685</v>
      </c>
      <c r="E4071">
        <f>MONTH(D4071)</f>
        <v>8</v>
      </c>
      <c r="F4071" s="2" t="s">
        <v>2098</v>
      </c>
      <c r="G4071" t="s">
        <v>1520</v>
      </c>
      <c r="H4071" t="s">
        <v>2268</v>
      </c>
      <c r="I4071" t="s">
        <v>36</v>
      </c>
      <c r="J4071" s="2" t="s">
        <v>42</v>
      </c>
      <c r="K4071" s="2" t="s">
        <v>3019</v>
      </c>
      <c r="L4071" t="s">
        <v>25</v>
      </c>
      <c r="M4071" s="8">
        <v>3.8523333329999998</v>
      </c>
      <c r="N4071" t="s">
        <v>26</v>
      </c>
      <c r="O4071" s="8">
        <v>3.8523333329999998</v>
      </c>
      <c r="P4071" s="8">
        <f>EXP(-1.363+3.366*LOG(O4071,10))</f>
        <v>1.837758289200395</v>
      </c>
      <c r="Q4071" s="8">
        <f>(4437920*100)/4638971</f>
        <v>95.666043180696747</v>
      </c>
    </row>
    <row r="4072" spans="1:17" x14ac:dyDescent="0.2">
      <c r="A4072">
        <f>YEAR(D4072)</f>
        <v>2019</v>
      </c>
      <c r="B4072" t="s">
        <v>26</v>
      </c>
      <c r="C4072" s="2" t="s">
        <v>3022</v>
      </c>
      <c r="D4072" s="1">
        <v>43685</v>
      </c>
      <c r="E4072">
        <f>MONTH(D4072)</f>
        <v>8</v>
      </c>
      <c r="F4072" s="2" t="s">
        <v>2098</v>
      </c>
      <c r="G4072" t="s">
        <v>230</v>
      </c>
      <c r="H4072" t="s">
        <v>259</v>
      </c>
      <c r="I4072" t="s">
        <v>22</v>
      </c>
      <c r="J4072" s="2" t="s">
        <v>42</v>
      </c>
      <c r="K4072" s="2" t="s">
        <v>3019</v>
      </c>
      <c r="L4072" t="s">
        <v>25</v>
      </c>
      <c r="M4072" s="8">
        <v>4.2283333330000001</v>
      </c>
      <c r="N4072" t="s">
        <v>26</v>
      </c>
      <c r="O4072" s="8">
        <v>4.2283333330000001</v>
      </c>
      <c r="P4072" s="8">
        <f>EXP(-1.363+3.366*LOG(O4072,10))</f>
        <v>2.1057792396965977</v>
      </c>
      <c r="Q4072" s="8">
        <f>(4437920*100)/4638971</f>
        <v>95.666043180696747</v>
      </c>
    </row>
    <row r="4073" spans="1:17" x14ac:dyDescent="0.2">
      <c r="A4073">
        <f>YEAR(D4073)</f>
        <v>2019</v>
      </c>
      <c r="B4073" t="s">
        <v>26</v>
      </c>
      <c r="C4073" s="2" t="s">
        <v>3022</v>
      </c>
      <c r="D4073" s="1">
        <v>43685</v>
      </c>
      <c r="E4073">
        <f>MONTH(D4073)</f>
        <v>8</v>
      </c>
      <c r="F4073" s="2" t="s">
        <v>2098</v>
      </c>
      <c r="G4073" t="s">
        <v>1520</v>
      </c>
      <c r="H4073" t="s">
        <v>1528</v>
      </c>
      <c r="I4073" t="s">
        <v>22</v>
      </c>
      <c r="J4073" s="2" t="s">
        <v>42</v>
      </c>
      <c r="K4073" s="2" t="s">
        <v>3019</v>
      </c>
      <c r="L4073" t="s">
        <v>25</v>
      </c>
      <c r="M4073" s="8">
        <v>3.624333333</v>
      </c>
      <c r="N4073" t="s">
        <v>26</v>
      </c>
      <c r="O4073" s="8">
        <v>3.624333333</v>
      </c>
      <c r="P4073" s="8">
        <f>EXP(-1.363+3.366*LOG(O4073,10))</f>
        <v>1.6809546844949765</v>
      </c>
      <c r="Q4073" s="8">
        <f>(4437920*100)/4638971</f>
        <v>95.666043180696747</v>
      </c>
    </row>
    <row r="4074" spans="1:17" x14ac:dyDescent="0.2">
      <c r="A4074">
        <f>YEAR(D4074)</f>
        <v>2019</v>
      </c>
      <c r="B4074" t="s">
        <v>26</v>
      </c>
      <c r="C4074" s="2" t="s">
        <v>3022</v>
      </c>
      <c r="D4074" s="1">
        <v>43685</v>
      </c>
      <c r="E4074">
        <f>MONTH(D4074)</f>
        <v>8</v>
      </c>
      <c r="F4074" s="2" t="s">
        <v>2098</v>
      </c>
      <c r="G4074" t="s">
        <v>230</v>
      </c>
      <c r="H4074" t="s">
        <v>259</v>
      </c>
      <c r="I4074" t="s">
        <v>36</v>
      </c>
      <c r="J4074" s="2" t="s">
        <v>42</v>
      </c>
      <c r="K4074" s="2" t="s">
        <v>3019</v>
      </c>
      <c r="L4074" t="s">
        <v>25</v>
      </c>
      <c r="M4074" s="8">
        <v>4.745333333333333</v>
      </c>
      <c r="N4074" t="s">
        <v>26</v>
      </c>
      <c r="O4074" s="8">
        <v>4.745333333333333</v>
      </c>
      <c r="P4074" s="8">
        <f>EXP(-1.363+3.366*LOG(O4074,10))</f>
        <v>2.4925687246325761</v>
      </c>
      <c r="Q4074" s="8">
        <f>(4437920*100)/4638971</f>
        <v>95.666043180696747</v>
      </c>
    </row>
    <row r="4075" spans="1:17" x14ac:dyDescent="0.2">
      <c r="A4075">
        <f>YEAR(D4075)</f>
        <v>2019</v>
      </c>
      <c r="B4075" t="s">
        <v>26</v>
      </c>
      <c r="C4075" s="2" t="s">
        <v>3022</v>
      </c>
      <c r="D4075" s="1">
        <v>43685</v>
      </c>
      <c r="E4075">
        <f>MONTH(D4075)</f>
        <v>8</v>
      </c>
      <c r="F4075" s="2" t="s">
        <v>2098</v>
      </c>
      <c r="G4075" t="s">
        <v>230</v>
      </c>
      <c r="H4075" t="s">
        <v>259</v>
      </c>
      <c r="I4075" t="s">
        <v>36</v>
      </c>
      <c r="J4075" s="2" t="s">
        <v>42</v>
      </c>
      <c r="K4075" s="2" t="s">
        <v>3019</v>
      </c>
      <c r="L4075" t="s">
        <v>25</v>
      </c>
      <c r="M4075" s="8">
        <v>4.745333333333333</v>
      </c>
      <c r="N4075" t="s">
        <v>26</v>
      </c>
      <c r="O4075" s="8">
        <v>4.745333333333333</v>
      </c>
      <c r="P4075" s="8">
        <f>EXP(-1.363+3.366*LOG(O4075,10))</f>
        <v>2.4925687246325761</v>
      </c>
      <c r="Q4075" s="8">
        <f>(4437920*100)/4638971</f>
        <v>95.666043180696747</v>
      </c>
    </row>
    <row r="4076" spans="1:17" x14ac:dyDescent="0.2">
      <c r="A4076">
        <f>YEAR(D4076)</f>
        <v>2019</v>
      </c>
      <c r="B4076" t="s">
        <v>26</v>
      </c>
      <c r="C4076" s="2" t="s">
        <v>3022</v>
      </c>
      <c r="D4076" s="1">
        <v>43685</v>
      </c>
      <c r="E4076">
        <f>MONTH(D4076)</f>
        <v>8</v>
      </c>
      <c r="F4076" s="2" t="s">
        <v>2098</v>
      </c>
      <c r="G4076" t="s">
        <v>230</v>
      </c>
      <c r="H4076" t="s">
        <v>259</v>
      </c>
      <c r="I4076" t="s">
        <v>36</v>
      </c>
      <c r="J4076" s="2" t="s">
        <v>42</v>
      </c>
      <c r="K4076" s="2" t="s">
        <v>3019</v>
      </c>
      <c r="L4076" t="s">
        <v>25</v>
      </c>
      <c r="M4076" s="8">
        <v>4.745333333333333</v>
      </c>
      <c r="N4076" t="s">
        <v>26</v>
      </c>
      <c r="O4076" s="8">
        <v>4.745333333333333</v>
      </c>
      <c r="P4076" s="8">
        <f>EXP(-1.363+3.366*LOG(O4076,10))</f>
        <v>2.4925687246325761</v>
      </c>
      <c r="Q4076" s="8">
        <f>(4437920*100)/4638971</f>
        <v>95.666043180696747</v>
      </c>
    </row>
    <row r="4077" spans="1:17" x14ac:dyDescent="0.2">
      <c r="A4077">
        <f>YEAR(D4077)</f>
        <v>2019</v>
      </c>
      <c r="B4077" t="s">
        <v>26</v>
      </c>
      <c r="C4077" s="2" t="s">
        <v>3022</v>
      </c>
      <c r="D4077" s="1">
        <v>43685</v>
      </c>
      <c r="E4077">
        <f>MONTH(D4077)</f>
        <v>8</v>
      </c>
      <c r="F4077" s="2" t="s">
        <v>2098</v>
      </c>
      <c r="G4077" t="s">
        <v>230</v>
      </c>
      <c r="H4077" t="s">
        <v>259</v>
      </c>
      <c r="I4077" t="s">
        <v>36</v>
      </c>
      <c r="J4077" s="2" t="s">
        <v>42</v>
      </c>
      <c r="K4077" s="2" t="s">
        <v>3019</v>
      </c>
      <c r="L4077" t="s">
        <v>25</v>
      </c>
      <c r="M4077" s="8">
        <v>4.745333333333333</v>
      </c>
      <c r="N4077" t="s">
        <v>26</v>
      </c>
      <c r="O4077" s="8">
        <v>4.745333333333333</v>
      </c>
      <c r="P4077" s="8">
        <f>EXP(-1.363+3.366*LOG(O4077,10))</f>
        <v>2.4925687246325761</v>
      </c>
      <c r="Q4077" s="8">
        <f>(4437920*100)/4638971</f>
        <v>95.666043180696747</v>
      </c>
    </row>
    <row r="4078" spans="1:17" x14ac:dyDescent="0.2">
      <c r="A4078">
        <f>YEAR(D4078)</f>
        <v>2019</v>
      </c>
      <c r="B4078" t="s">
        <v>26</v>
      </c>
      <c r="C4078" s="2" t="s">
        <v>3022</v>
      </c>
      <c r="D4078" s="1">
        <v>43685</v>
      </c>
      <c r="E4078">
        <f>MONTH(D4078)</f>
        <v>8</v>
      </c>
      <c r="F4078" s="2" t="s">
        <v>2098</v>
      </c>
      <c r="G4078" t="s">
        <v>230</v>
      </c>
      <c r="H4078" t="s">
        <v>255</v>
      </c>
      <c r="I4078" t="s">
        <v>22</v>
      </c>
      <c r="J4078" s="2" t="s">
        <v>42</v>
      </c>
      <c r="K4078" s="2" t="s">
        <v>3019</v>
      </c>
      <c r="L4078" t="s">
        <v>25</v>
      </c>
      <c r="M4078" s="8">
        <v>3.1943333329999999</v>
      </c>
      <c r="N4078" t="s">
        <v>26</v>
      </c>
      <c r="O4078" s="8">
        <v>3.1943333329999999</v>
      </c>
      <c r="P4078" s="8">
        <f>EXP(-1.363+3.366*LOG(O4078,10))</f>
        <v>1.3975823704079444</v>
      </c>
      <c r="Q4078" s="8">
        <f>(4437920*100)/4638971</f>
        <v>95.666043180696747</v>
      </c>
    </row>
    <row r="4079" spans="1:17" x14ac:dyDescent="0.2">
      <c r="A4079">
        <f>YEAR(D4079)</f>
        <v>2019</v>
      </c>
      <c r="B4079" t="s">
        <v>26</v>
      </c>
      <c r="C4079" s="2" t="s">
        <v>3022</v>
      </c>
      <c r="D4079" s="1">
        <v>43685</v>
      </c>
      <c r="E4079">
        <f>MONTH(D4079)</f>
        <v>8</v>
      </c>
      <c r="F4079" s="2" t="s">
        <v>2098</v>
      </c>
      <c r="G4079" t="s">
        <v>1520</v>
      </c>
      <c r="H4079" t="s">
        <v>1528</v>
      </c>
      <c r="I4079" t="s">
        <v>22</v>
      </c>
      <c r="J4079" s="2" t="s">
        <v>42</v>
      </c>
      <c r="K4079" s="2" t="s">
        <v>3019</v>
      </c>
      <c r="L4079" t="s">
        <v>25</v>
      </c>
      <c r="M4079" s="8">
        <v>3.624333333</v>
      </c>
      <c r="N4079" t="s">
        <v>26</v>
      </c>
      <c r="O4079" s="8">
        <v>3.624333333</v>
      </c>
      <c r="P4079" s="8">
        <f>EXP(-1.363+3.366*LOG(O4079,10))</f>
        <v>1.6809546844949765</v>
      </c>
      <c r="Q4079" s="8">
        <f>(4437920*100)/4638971</f>
        <v>95.666043180696747</v>
      </c>
    </row>
    <row r="4080" spans="1:17" x14ac:dyDescent="0.2">
      <c r="A4080">
        <f>YEAR(D4080)</f>
        <v>2019</v>
      </c>
      <c r="B4080" t="s">
        <v>26</v>
      </c>
      <c r="C4080" s="2" t="s">
        <v>3022</v>
      </c>
      <c r="D4080" s="1">
        <v>43685</v>
      </c>
      <c r="E4080">
        <f>MONTH(D4080)</f>
        <v>8</v>
      </c>
      <c r="F4080" s="2" t="s">
        <v>2098</v>
      </c>
      <c r="G4080" t="s">
        <v>1520</v>
      </c>
      <c r="H4080" t="s">
        <v>1528</v>
      </c>
      <c r="I4080" t="s">
        <v>22</v>
      </c>
      <c r="J4080" s="2" t="s">
        <v>42</v>
      </c>
      <c r="K4080" s="2" t="s">
        <v>3019</v>
      </c>
      <c r="L4080" t="s">
        <v>25</v>
      </c>
      <c r="M4080" s="8">
        <v>3.624333333</v>
      </c>
      <c r="N4080" t="s">
        <v>26</v>
      </c>
      <c r="O4080" s="8">
        <v>3.624333333</v>
      </c>
      <c r="P4080" s="8">
        <f>EXP(-1.363+3.366*LOG(O4080,10))</f>
        <v>1.6809546844949765</v>
      </c>
      <c r="Q4080" s="8">
        <f>(4437920*100)/4638971</f>
        <v>95.666043180696747</v>
      </c>
    </row>
    <row r="4081" spans="1:17" x14ac:dyDescent="0.2">
      <c r="A4081">
        <f>YEAR(D4081)</f>
        <v>2019</v>
      </c>
      <c r="B4081" t="s">
        <v>26</v>
      </c>
      <c r="C4081" s="2" t="s">
        <v>3022</v>
      </c>
      <c r="D4081" s="1">
        <v>43685</v>
      </c>
      <c r="E4081">
        <f>MONTH(D4081)</f>
        <v>8</v>
      </c>
      <c r="F4081" s="2" t="s">
        <v>2098</v>
      </c>
      <c r="G4081" t="s">
        <v>1520</v>
      </c>
      <c r="H4081" t="s">
        <v>1528</v>
      </c>
      <c r="I4081" t="s">
        <v>36</v>
      </c>
      <c r="J4081" s="2" t="s">
        <v>42</v>
      </c>
      <c r="K4081" s="2" t="s">
        <v>3019</v>
      </c>
      <c r="L4081" t="s">
        <v>25</v>
      </c>
      <c r="M4081" s="8">
        <v>3.3860000000000001</v>
      </c>
      <c r="N4081" t="s">
        <v>26</v>
      </c>
      <c r="O4081" s="8">
        <v>3.3860000000000001</v>
      </c>
      <c r="P4081" s="8">
        <f>EXP(-1.363+3.366*LOG(O4081,10))</f>
        <v>1.5218493704875904</v>
      </c>
      <c r="Q4081" s="8">
        <f>(4437920*100)/4638971</f>
        <v>95.666043180696747</v>
      </c>
    </row>
    <row r="4082" spans="1:17" x14ac:dyDescent="0.2">
      <c r="A4082">
        <f>YEAR(D4082)</f>
        <v>2019</v>
      </c>
      <c r="B4082" t="s">
        <v>26</v>
      </c>
      <c r="C4082" s="2" t="s">
        <v>1540</v>
      </c>
      <c r="D4082" s="1">
        <v>43684</v>
      </c>
      <c r="E4082">
        <f>MONTH(D4082)</f>
        <v>8</v>
      </c>
      <c r="F4082" s="2" t="s">
        <v>19</v>
      </c>
      <c r="G4082" t="s">
        <v>362</v>
      </c>
      <c r="H4082" t="s">
        <v>447</v>
      </c>
      <c r="I4082" t="s">
        <v>22</v>
      </c>
      <c r="J4082" s="2" t="s">
        <v>42</v>
      </c>
      <c r="K4082" s="2" t="s">
        <v>3019</v>
      </c>
      <c r="L4082" t="s">
        <v>25</v>
      </c>
      <c r="M4082" s="8">
        <v>1.421</v>
      </c>
      <c r="N4082" t="s">
        <v>26</v>
      </c>
      <c r="O4082" s="8">
        <v>1.421</v>
      </c>
      <c r="P4082" s="8">
        <f>EXP(-1.363+3.366*LOG(O4082,10))</f>
        <v>0.42768500084673816</v>
      </c>
      <c r="Q4082" s="8">
        <f>(2618262*100)/2995732</f>
        <v>87.399740697766021</v>
      </c>
    </row>
    <row r="4083" spans="1:17" x14ac:dyDescent="0.2">
      <c r="A4083">
        <f>YEAR(D4083)</f>
        <v>2019</v>
      </c>
      <c r="B4083" t="s">
        <v>26</v>
      </c>
      <c r="C4083" s="2" t="s">
        <v>1540</v>
      </c>
      <c r="D4083" s="1">
        <v>43684</v>
      </c>
      <c r="E4083">
        <f>MONTH(D4083)</f>
        <v>8</v>
      </c>
      <c r="F4083" s="2" t="s">
        <v>19</v>
      </c>
      <c r="G4083" t="s">
        <v>352</v>
      </c>
      <c r="H4083" t="s">
        <v>975</v>
      </c>
      <c r="I4083" t="s">
        <v>22</v>
      </c>
      <c r="J4083" s="2" t="s">
        <v>42</v>
      </c>
      <c r="K4083" s="2" t="s">
        <v>3019</v>
      </c>
      <c r="L4083" t="s">
        <v>25</v>
      </c>
      <c r="M4083" s="8">
        <v>1.0693333330000001</v>
      </c>
      <c r="N4083" t="s">
        <v>26</v>
      </c>
      <c r="O4083" s="8">
        <v>1.0693333330000001</v>
      </c>
      <c r="P4083" s="8">
        <f>EXP(-1.363+3.366*LOG(O4083,10))</f>
        <v>0.28223780327142356</v>
      </c>
      <c r="Q4083" s="8">
        <f>(2618262*100)/2995732</f>
        <v>87.399740697766021</v>
      </c>
    </row>
    <row r="4084" spans="1:17" x14ac:dyDescent="0.2">
      <c r="A4084">
        <f>YEAR(D4084)</f>
        <v>2019</v>
      </c>
      <c r="B4084" t="s">
        <v>26</v>
      </c>
      <c r="C4084" s="2" t="s">
        <v>1552</v>
      </c>
      <c r="D4084" s="1">
        <v>43684</v>
      </c>
      <c r="E4084">
        <f>MONTH(D4084)</f>
        <v>8</v>
      </c>
      <c r="F4084" s="2" t="s">
        <v>19</v>
      </c>
      <c r="G4084" t="s">
        <v>352</v>
      </c>
      <c r="H4084" t="s">
        <v>747</v>
      </c>
      <c r="I4084" t="s">
        <v>36</v>
      </c>
      <c r="J4084" s="2" t="s">
        <v>42</v>
      </c>
      <c r="K4084" s="2" t="s">
        <v>3019</v>
      </c>
      <c r="L4084" t="s">
        <v>25</v>
      </c>
      <c r="M4084" s="8">
        <v>1.2526666666666666</v>
      </c>
      <c r="N4084" t="s">
        <v>26</v>
      </c>
      <c r="O4084" s="8">
        <v>1.2526666666666666</v>
      </c>
      <c r="P4084" s="8">
        <f>EXP(-1.363+3.366*LOG(O4084,10))</f>
        <v>0.35569358460451905</v>
      </c>
      <c r="Q4084" s="8">
        <f>(3738946*100)/3915493</f>
        <v>95.491065875995687</v>
      </c>
    </row>
    <row r="4085" spans="1:17" x14ac:dyDescent="0.2">
      <c r="A4085">
        <f>YEAR(D4085)</f>
        <v>2019</v>
      </c>
      <c r="B4085" t="s">
        <v>26</v>
      </c>
      <c r="C4085" s="2" t="s">
        <v>1552</v>
      </c>
      <c r="D4085" s="1">
        <v>43684</v>
      </c>
      <c r="E4085">
        <f>MONTH(D4085)</f>
        <v>8</v>
      </c>
      <c r="F4085" s="2" t="s">
        <v>19</v>
      </c>
      <c r="G4085" t="s">
        <v>352</v>
      </c>
      <c r="H4085" t="s">
        <v>623</v>
      </c>
      <c r="I4085" t="s">
        <v>36</v>
      </c>
      <c r="J4085" s="2" t="s">
        <v>42</v>
      </c>
      <c r="K4085" s="2" t="s">
        <v>3019</v>
      </c>
      <c r="L4085" t="s">
        <v>25</v>
      </c>
      <c r="M4085" s="8">
        <v>1.1339999999999999</v>
      </c>
      <c r="N4085" t="s">
        <v>26</v>
      </c>
      <c r="O4085" s="8">
        <v>1.1339999999999999</v>
      </c>
      <c r="P4085" s="8">
        <f>EXP(-1.363+3.366*LOG(O4085,10))</f>
        <v>0.30753312979708036</v>
      </c>
      <c r="Q4085" s="8">
        <f>(3738946*100)/3915493</f>
        <v>95.491065875995687</v>
      </c>
    </row>
    <row r="4086" spans="1:17" x14ac:dyDescent="0.2">
      <c r="A4086">
        <f>YEAR(D4086)</f>
        <v>2019</v>
      </c>
      <c r="B4086" t="s">
        <v>26</v>
      </c>
      <c r="C4086" s="2" t="s">
        <v>1552</v>
      </c>
      <c r="D4086" s="1">
        <v>43684</v>
      </c>
      <c r="E4086">
        <f>MONTH(D4086)</f>
        <v>8</v>
      </c>
      <c r="F4086" s="2" t="s">
        <v>19</v>
      </c>
      <c r="G4086" t="s">
        <v>1520</v>
      </c>
      <c r="H4086" t="s">
        <v>1528</v>
      </c>
      <c r="I4086" t="s">
        <v>36</v>
      </c>
      <c r="J4086" s="2" t="s">
        <v>42</v>
      </c>
      <c r="K4086" s="2" t="s">
        <v>3019</v>
      </c>
      <c r="L4086" t="s">
        <v>25</v>
      </c>
      <c r="M4086" s="8">
        <v>3.3860000000000001</v>
      </c>
      <c r="N4086" t="s">
        <v>26</v>
      </c>
      <c r="O4086" s="8">
        <v>3.3860000000000001</v>
      </c>
      <c r="P4086" s="8">
        <f>EXP(-1.363+3.366*LOG(O4086,10))</f>
        <v>1.5218493704875904</v>
      </c>
      <c r="Q4086" s="8">
        <f>(3738946*100)/3915493</f>
        <v>95.491065875995687</v>
      </c>
    </row>
    <row r="4087" spans="1:17" x14ac:dyDescent="0.2">
      <c r="A4087">
        <f>YEAR(D4087)</f>
        <v>2019</v>
      </c>
      <c r="B4087" t="s">
        <v>26</v>
      </c>
      <c r="C4087" s="2" t="s">
        <v>1552</v>
      </c>
      <c r="D4087" s="1">
        <v>43684</v>
      </c>
      <c r="E4087">
        <f>MONTH(D4087)</f>
        <v>8</v>
      </c>
      <c r="F4087" s="2" t="s">
        <v>19</v>
      </c>
      <c r="G4087" t="s">
        <v>352</v>
      </c>
      <c r="H4087" t="s">
        <v>975</v>
      </c>
      <c r="I4087" t="s">
        <v>22</v>
      </c>
      <c r="J4087" s="2" t="s">
        <v>42</v>
      </c>
      <c r="K4087" s="2" t="s">
        <v>3019</v>
      </c>
      <c r="L4087" t="s">
        <v>25</v>
      </c>
      <c r="M4087" s="8">
        <v>1.0693333330000001</v>
      </c>
      <c r="N4087" t="s">
        <v>26</v>
      </c>
      <c r="O4087" s="8">
        <v>1.0693333330000001</v>
      </c>
      <c r="P4087" s="8">
        <f>EXP(-1.363+3.366*LOG(O4087,10))</f>
        <v>0.28223780327142356</v>
      </c>
      <c r="Q4087" s="8">
        <f>(3738946*100)/3915493</f>
        <v>95.491065875995687</v>
      </c>
    </row>
    <row r="4088" spans="1:17" x14ac:dyDescent="0.2">
      <c r="A4088">
        <f>YEAR(D4088)</f>
        <v>2019</v>
      </c>
      <c r="B4088" t="s">
        <v>26</v>
      </c>
      <c r="C4088" s="2" t="s">
        <v>1552</v>
      </c>
      <c r="D4088" s="1">
        <v>43684</v>
      </c>
      <c r="E4088">
        <f>MONTH(D4088)</f>
        <v>8</v>
      </c>
      <c r="F4088" s="2" t="s">
        <v>19</v>
      </c>
      <c r="G4088" t="s">
        <v>352</v>
      </c>
      <c r="H4088" t="s">
        <v>1344</v>
      </c>
      <c r="I4088" t="s">
        <v>22</v>
      </c>
      <c r="J4088" s="2" t="s">
        <v>42</v>
      </c>
      <c r="K4088" s="2" t="s">
        <v>3019</v>
      </c>
      <c r="L4088" t="s">
        <v>25</v>
      </c>
      <c r="M4088" s="8">
        <v>0.91800000000000004</v>
      </c>
      <c r="N4088" t="s">
        <v>26</v>
      </c>
      <c r="O4088" s="8">
        <v>0.91800000000000004</v>
      </c>
      <c r="P4088" s="8">
        <f>EXP(-1.363+3.366*LOG(O4088,10))</f>
        <v>0.22580769814771504</v>
      </c>
      <c r="Q4088" s="8">
        <f>(3738946*100)/3915493</f>
        <v>95.491065875995687</v>
      </c>
    </row>
    <row r="4089" spans="1:17" x14ac:dyDescent="0.2">
      <c r="A4089">
        <f>YEAR(D4089)</f>
        <v>2019</v>
      </c>
      <c r="B4089" t="s">
        <v>26</v>
      </c>
      <c r="C4089" s="2" t="s">
        <v>3022</v>
      </c>
      <c r="D4089" s="1">
        <v>43685</v>
      </c>
      <c r="E4089">
        <f>MONTH(D4089)</f>
        <v>8</v>
      </c>
      <c r="F4089" s="2" t="s">
        <v>19</v>
      </c>
      <c r="G4089" t="s">
        <v>1520</v>
      </c>
      <c r="H4089" t="s">
        <v>1521</v>
      </c>
      <c r="I4089" t="s">
        <v>22</v>
      </c>
      <c r="J4089" s="2" t="s">
        <v>42</v>
      </c>
      <c r="K4089" s="2" t="s">
        <v>3019</v>
      </c>
      <c r="L4089" t="s">
        <v>25</v>
      </c>
      <c r="M4089" s="8">
        <v>2.952</v>
      </c>
      <c r="N4089" t="s">
        <v>26</v>
      </c>
      <c r="O4089" s="8">
        <v>2.952</v>
      </c>
      <c r="P4089" s="8">
        <f>EXP(-1.363+3.366*LOG(O4089,10))</f>
        <v>1.2453438103764427</v>
      </c>
      <c r="Q4089" s="8">
        <f>(4437920*100)/4638971</f>
        <v>95.666043180696747</v>
      </c>
    </row>
    <row r="4090" spans="1:17" x14ac:dyDescent="0.2">
      <c r="A4090">
        <f>YEAR(D4090)</f>
        <v>2019</v>
      </c>
      <c r="B4090" t="s">
        <v>26</v>
      </c>
      <c r="C4090" s="2" t="s">
        <v>3022</v>
      </c>
      <c r="D4090" s="1">
        <v>43685</v>
      </c>
      <c r="E4090">
        <f>MONTH(D4090)</f>
        <v>8</v>
      </c>
      <c r="F4090" s="2" t="s">
        <v>19</v>
      </c>
      <c r="G4090" t="s">
        <v>352</v>
      </c>
      <c r="H4090" t="s">
        <v>975</v>
      </c>
      <c r="I4090" t="s">
        <v>36</v>
      </c>
      <c r="J4090" s="2" t="s">
        <v>42</v>
      </c>
      <c r="K4090" s="2" t="s">
        <v>3019</v>
      </c>
      <c r="L4090" t="s">
        <v>25</v>
      </c>
      <c r="M4090" s="8">
        <v>0.95199999999999996</v>
      </c>
      <c r="N4090" t="s">
        <v>26</v>
      </c>
      <c r="O4090" s="8">
        <v>0.95199999999999996</v>
      </c>
      <c r="P4090" s="8">
        <f>EXP(-1.363+3.366*LOG(O4090,10))</f>
        <v>0.23813726407794436</v>
      </c>
      <c r="Q4090" s="8">
        <f>(4437920*100)/4638971</f>
        <v>95.666043180696747</v>
      </c>
    </row>
    <row r="4091" spans="1:17" x14ac:dyDescent="0.2">
      <c r="A4091">
        <f>YEAR(D4091)</f>
        <v>2019</v>
      </c>
      <c r="B4091" t="s">
        <v>26</v>
      </c>
      <c r="C4091" s="2" t="s">
        <v>3022</v>
      </c>
      <c r="D4091" s="1">
        <v>43685</v>
      </c>
      <c r="E4091">
        <f>MONTH(D4091)</f>
        <v>8</v>
      </c>
      <c r="F4091" s="2" t="s">
        <v>19</v>
      </c>
      <c r="G4091" t="s">
        <v>352</v>
      </c>
      <c r="H4091" t="s">
        <v>975</v>
      </c>
      <c r="I4091" t="s">
        <v>22</v>
      </c>
      <c r="J4091" s="2" t="s">
        <v>42</v>
      </c>
      <c r="K4091" s="2" t="s">
        <v>3019</v>
      </c>
      <c r="L4091" t="s">
        <v>25</v>
      </c>
      <c r="M4091" s="8">
        <v>1.0693333330000001</v>
      </c>
      <c r="N4091" t="s">
        <v>26</v>
      </c>
      <c r="O4091" s="8">
        <v>1.0693333330000001</v>
      </c>
      <c r="P4091" s="8">
        <f>EXP(-1.363+3.366*LOG(O4091,10))</f>
        <v>0.28223780327142356</v>
      </c>
      <c r="Q4091" s="8">
        <f>(4437920*100)/4638971</f>
        <v>95.666043180696747</v>
      </c>
    </row>
    <row r="4092" spans="1:17" x14ac:dyDescent="0.2">
      <c r="A4092">
        <f>YEAR(D4092)</f>
        <v>2019</v>
      </c>
      <c r="B4092" t="s">
        <v>26</v>
      </c>
      <c r="C4092" s="2" t="s">
        <v>3022</v>
      </c>
      <c r="D4092" s="1">
        <v>43685</v>
      </c>
      <c r="E4092">
        <f>MONTH(D4092)</f>
        <v>8</v>
      </c>
      <c r="F4092" s="2" t="s">
        <v>19</v>
      </c>
      <c r="G4092" t="s">
        <v>352</v>
      </c>
      <c r="H4092" t="s">
        <v>975</v>
      </c>
      <c r="I4092" t="s">
        <v>22</v>
      </c>
      <c r="J4092" s="2" t="s">
        <v>42</v>
      </c>
      <c r="K4092" s="2" t="s">
        <v>3019</v>
      </c>
      <c r="L4092" t="s">
        <v>25</v>
      </c>
      <c r="M4092" s="8">
        <v>1.0693333330000001</v>
      </c>
      <c r="N4092" t="s">
        <v>26</v>
      </c>
      <c r="O4092" s="8">
        <v>1.0693333330000001</v>
      </c>
      <c r="P4092" s="8">
        <f>EXP(-1.363+3.366*LOG(O4092,10))</f>
        <v>0.28223780327142356</v>
      </c>
      <c r="Q4092" s="8">
        <f>(4437920*100)/4638971</f>
        <v>95.666043180696747</v>
      </c>
    </row>
    <row r="4093" spans="1:17" x14ac:dyDescent="0.2">
      <c r="A4093">
        <f>YEAR(D4093)</f>
        <v>2019</v>
      </c>
      <c r="B4093" t="s">
        <v>26</v>
      </c>
      <c r="C4093" s="2" t="s">
        <v>3023</v>
      </c>
      <c r="D4093" s="1">
        <v>43685</v>
      </c>
      <c r="E4093">
        <f>MONTH(D4093)</f>
        <v>8</v>
      </c>
      <c r="F4093" s="2" t="s">
        <v>19</v>
      </c>
      <c r="G4093" s="2" t="s">
        <v>20</v>
      </c>
      <c r="H4093" t="s">
        <v>3062</v>
      </c>
      <c r="I4093" t="s">
        <v>22</v>
      </c>
      <c r="J4093" s="2" t="s">
        <v>42</v>
      </c>
      <c r="K4093" s="2" t="s">
        <v>3019</v>
      </c>
      <c r="L4093" t="s">
        <v>187</v>
      </c>
      <c r="M4093" s="8">
        <v>1.994</v>
      </c>
      <c r="N4093" t="s">
        <v>26</v>
      </c>
      <c r="O4093" s="8">
        <v>1.994</v>
      </c>
      <c r="P4093" s="8">
        <f>EXP(-1.363+3.366*LOG(O4093,10))</f>
        <v>0.70178714602963455</v>
      </c>
      <c r="Q4093" s="8">
        <f>(8197453*100)/8541008</f>
        <v>95.977582505484136</v>
      </c>
    </row>
    <row r="4094" spans="1:17" x14ac:dyDescent="0.2">
      <c r="A4094">
        <f>YEAR(D4094)</f>
        <v>2019</v>
      </c>
      <c r="B4094" t="s">
        <v>26</v>
      </c>
      <c r="C4094" s="2" t="s">
        <v>3023</v>
      </c>
      <c r="D4094" s="1">
        <v>43685</v>
      </c>
      <c r="E4094">
        <f>MONTH(D4094)</f>
        <v>8</v>
      </c>
      <c r="F4094" s="2" t="s">
        <v>19</v>
      </c>
      <c r="G4094" t="s">
        <v>332</v>
      </c>
      <c r="H4094" t="s">
        <v>327</v>
      </c>
      <c r="I4094" t="s">
        <v>22</v>
      </c>
      <c r="J4094" s="2" t="s">
        <v>42</v>
      </c>
      <c r="K4094" s="2" t="s">
        <v>3019</v>
      </c>
      <c r="L4094" t="s">
        <v>25</v>
      </c>
      <c r="M4094" s="8">
        <v>1.239333333</v>
      </c>
      <c r="N4094" t="s">
        <v>26</v>
      </c>
      <c r="O4094" s="8">
        <v>1.239333333</v>
      </c>
      <c r="P4094" s="8">
        <f>EXP(-1.363+3.366*LOG(O4094,10))</f>
        <v>0.35017272283851147</v>
      </c>
      <c r="Q4094" s="8">
        <f>(8197453*100)/8541008</f>
        <v>95.977582505484136</v>
      </c>
    </row>
    <row r="4095" spans="1:17" x14ac:dyDescent="0.2">
      <c r="A4095">
        <f>YEAR(D4095)</f>
        <v>2019</v>
      </c>
      <c r="B4095" t="s">
        <v>26</v>
      </c>
      <c r="C4095" s="2" t="s">
        <v>3023</v>
      </c>
      <c r="D4095" s="1">
        <v>43685</v>
      </c>
      <c r="E4095">
        <f>MONTH(D4095)</f>
        <v>8</v>
      </c>
      <c r="F4095" s="2" t="s">
        <v>19</v>
      </c>
      <c r="G4095" t="s">
        <v>352</v>
      </c>
      <c r="H4095" t="s">
        <v>1459</v>
      </c>
      <c r="I4095" t="s">
        <v>36</v>
      </c>
      <c r="J4095" s="2" t="s">
        <v>42</v>
      </c>
      <c r="K4095" s="2" t="s">
        <v>3019</v>
      </c>
      <c r="L4095" t="s">
        <v>25</v>
      </c>
      <c r="M4095" s="8">
        <v>1.0913333329999999</v>
      </c>
      <c r="N4095" t="s">
        <v>26</v>
      </c>
      <c r="O4095" s="8">
        <v>1.0913333329999999</v>
      </c>
      <c r="P4095" s="8">
        <f>EXP(-1.363+3.366*LOG(O4095,10))</f>
        <v>0.29076633015787234</v>
      </c>
      <c r="Q4095" s="8">
        <f>(8197453*100)/8541008</f>
        <v>95.977582505484136</v>
      </c>
    </row>
    <row r="4096" spans="1:17" x14ac:dyDescent="0.2">
      <c r="A4096">
        <f>YEAR(D4096)</f>
        <v>2019</v>
      </c>
      <c r="B4096" t="s">
        <v>26</v>
      </c>
      <c r="C4096" s="2" t="s">
        <v>3023</v>
      </c>
      <c r="D4096" s="1">
        <v>43685</v>
      </c>
      <c r="E4096">
        <f>MONTH(D4096)</f>
        <v>8</v>
      </c>
      <c r="F4096" s="2" t="s">
        <v>19</v>
      </c>
      <c r="G4096" t="s">
        <v>352</v>
      </c>
      <c r="H4096" t="s">
        <v>623</v>
      </c>
      <c r="I4096" t="s">
        <v>22</v>
      </c>
      <c r="J4096" s="2" t="s">
        <v>42</v>
      </c>
      <c r="K4096" s="2" t="s">
        <v>3019</v>
      </c>
      <c r="L4096" t="s">
        <v>25</v>
      </c>
      <c r="M4096" s="8">
        <v>1.387</v>
      </c>
      <c r="N4096" t="s">
        <v>26</v>
      </c>
      <c r="O4096" s="8">
        <v>1.387</v>
      </c>
      <c r="P4096" s="8">
        <f>EXP(-1.363+3.366*LOG(O4096,10))</f>
        <v>0.41280884754947733</v>
      </c>
      <c r="Q4096" s="8">
        <f>(8197453*100)/8541008</f>
        <v>95.977582505484136</v>
      </c>
    </row>
    <row r="4097" spans="1:17" x14ac:dyDescent="0.2">
      <c r="A4097">
        <f>YEAR(D4097)</f>
        <v>2019</v>
      </c>
      <c r="B4097" t="s">
        <v>26</v>
      </c>
      <c r="C4097" s="2" t="s">
        <v>3021</v>
      </c>
      <c r="D4097" s="1">
        <v>43690</v>
      </c>
      <c r="E4097">
        <f>MONTH(D4097)</f>
        <v>8</v>
      </c>
      <c r="F4097" s="2" t="s">
        <v>2098</v>
      </c>
      <c r="G4097" t="s">
        <v>219</v>
      </c>
      <c r="H4097" t="s">
        <v>220</v>
      </c>
      <c r="I4097" t="s">
        <v>22</v>
      </c>
      <c r="J4097" s="2" t="s">
        <v>42</v>
      </c>
      <c r="K4097" s="2" t="s">
        <v>3019</v>
      </c>
      <c r="L4097" t="s">
        <v>25</v>
      </c>
      <c r="M4097" s="10" t="s">
        <v>26</v>
      </c>
      <c r="N4097" t="s">
        <v>26</v>
      </c>
      <c r="O4097" s="10" t="s">
        <v>26</v>
      </c>
      <c r="P4097" s="8" t="s">
        <v>26</v>
      </c>
      <c r="Q4097" s="8">
        <f>(1845879*100)/1946364</f>
        <v>94.837296620775973</v>
      </c>
    </row>
    <row r="4098" spans="1:17" x14ac:dyDescent="0.2">
      <c r="A4098">
        <f>YEAR(D4098)</f>
        <v>2019</v>
      </c>
      <c r="B4098" t="s">
        <v>26</v>
      </c>
      <c r="C4098" s="2" t="s">
        <v>3021</v>
      </c>
      <c r="D4098" s="1">
        <v>43690</v>
      </c>
      <c r="E4098">
        <f>MONTH(D4098)</f>
        <v>8</v>
      </c>
      <c r="F4098" s="2" t="s">
        <v>2098</v>
      </c>
      <c r="G4098" t="s">
        <v>230</v>
      </c>
      <c r="H4098" t="s">
        <v>268</v>
      </c>
      <c r="I4098" t="s">
        <v>22</v>
      </c>
      <c r="J4098" s="2" t="s">
        <v>42</v>
      </c>
      <c r="K4098" s="2" t="s">
        <v>3019</v>
      </c>
      <c r="L4098" t="s">
        <v>25</v>
      </c>
      <c r="M4098" s="8">
        <v>3.5356666670000001</v>
      </c>
      <c r="N4098" t="s">
        <v>26</v>
      </c>
      <c r="O4098" s="8">
        <v>3.5356666670000001</v>
      </c>
      <c r="P4098" s="8">
        <f>EXP(-1.363+3.366*LOG(O4098,10))</f>
        <v>1.6211802664427075</v>
      </c>
      <c r="Q4098" s="8">
        <f>(1845879*100)/1946364</f>
        <v>94.837296620775973</v>
      </c>
    </row>
    <row r="4099" spans="1:17" x14ac:dyDescent="0.2">
      <c r="A4099">
        <f>YEAR(D4099)</f>
        <v>2019</v>
      </c>
      <c r="B4099" t="s">
        <v>26</v>
      </c>
      <c r="C4099" s="2" t="s">
        <v>3020</v>
      </c>
      <c r="D4099" s="1">
        <v>43690</v>
      </c>
      <c r="E4099">
        <f>MONTH(D4099)</f>
        <v>8</v>
      </c>
      <c r="F4099" s="2" t="s">
        <v>2098</v>
      </c>
      <c r="G4099" t="s">
        <v>219</v>
      </c>
      <c r="H4099" t="s">
        <v>220</v>
      </c>
      <c r="I4099" t="s">
        <v>22</v>
      </c>
      <c r="J4099" s="2" t="s">
        <v>42</v>
      </c>
      <c r="K4099" s="2" t="s">
        <v>3019</v>
      </c>
      <c r="L4099" t="s">
        <v>25</v>
      </c>
      <c r="M4099" s="10" t="s">
        <v>26</v>
      </c>
      <c r="N4099" t="s">
        <v>26</v>
      </c>
      <c r="O4099" s="10" t="s">
        <v>26</v>
      </c>
      <c r="P4099" s="8" t="s">
        <v>26</v>
      </c>
      <c r="Q4099" s="8">
        <f>(3359412*100)/3462762</f>
        <v>97.015388294084318</v>
      </c>
    </row>
    <row r="4100" spans="1:17" x14ac:dyDescent="0.2">
      <c r="A4100">
        <f>YEAR(D4100)</f>
        <v>2019</v>
      </c>
      <c r="B4100" t="s">
        <v>26</v>
      </c>
      <c r="C4100" s="2" t="s">
        <v>3020</v>
      </c>
      <c r="D4100" s="1">
        <v>43690</v>
      </c>
      <c r="E4100">
        <f>MONTH(D4100)</f>
        <v>8</v>
      </c>
      <c r="F4100" s="2" t="s">
        <v>2098</v>
      </c>
      <c r="G4100" t="s">
        <v>219</v>
      </c>
      <c r="H4100" t="s">
        <v>220</v>
      </c>
      <c r="I4100" t="s">
        <v>22</v>
      </c>
      <c r="J4100" s="2" t="s">
        <v>42</v>
      </c>
      <c r="K4100" s="2" t="s">
        <v>3019</v>
      </c>
      <c r="L4100" t="s">
        <v>25</v>
      </c>
      <c r="M4100" s="10" t="s">
        <v>26</v>
      </c>
      <c r="N4100" t="s">
        <v>26</v>
      </c>
      <c r="O4100" s="10" t="s">
        <v>26</v>
      </c>
      <c r="P4100" s="8" t="s">
        <v>26</v>
      </c>
      <c r="Q4100" s="8">
        <f>(3359412*100)/3462762</f>
        <v>97.015388294084318</v>
      </c>
    </row>
    <row r="4101" spans="1:17" x14ac:dyDescent="0.2">
      <c r="A4101">
        <f>YEAR(D4101)</f>
        <v>2019</v>
      </c>
      <c r="B4101" t="s">
        <v>26</v>
      </c>
      <c r="C4101" s="2" t="s">
        <v>3020</v>
      </c>
      <c r="D4101" s="1">
        <v>43690</v>
      </c>
      <c r="E4101">
        <f>MONTH(D4101)</f>
        <v>8</v>
      </c>
      <c r="F4101" s="2" t="s">
        <v>2098</v>
      </c>
      <c r="G4101" t="s">
        <v>219</v>
      </c>
      <c r="H4101" t="s">
        <v>220</v>
      </c>
      <c r="I4101" t="s">
        <v>22</v>
      </c>
      <c r="J4101" s="2" t="s">
        <v>42</v>
      </c>
      <c r="K4101" s="2" t="s">
        <v>3019</v>
      </c>
      <c r="L4101" t="s">
        <v>25</v>
      </c>
      <c r="M4101" s="10" t="s">
        <v>26</v>
      </c>
      <c r="N4101" t="s">
        <v>26</v>
      </c>
      <c r="O4101" s="10" t="s">
        <v>26</v>
      </c>
      <c r="P4101" s="8" t="s">
        <v>26</v>
      </c>
      <c r="Q4101" s="8">
        <f>(3359412*100)/3462762</f>
        <v>97.015388294084318</v>
      </c>
    </row>
    <row r="4102" spans="1:17" x14ac:dyDescent="0.2">
      <c r="A4102">
        <f>YEAR(D4102)</f>
        <v>2019</v>
      </c>
      <c r="B4102" t="s">
        <v>26</v>
      </c>
      <c r="C4102" s="2" t="s">
        <v>3020</v>
      </c>
      <c r="D4102" s="1">
        <v>43690</v>
      </c>
      <c r="E4102">
        <f>MONTH(D4102)</f>
        <v>8</v>
      </c>
      <c r="F4102" s="2" t="s">
        <v>2098</v>
      </c>
      <c r="G4102" t="s">
        <v>219</v>
      </c>
      <c r="H4102" t="s">
        <v>220</v>
      </c>
      <c r="I4102" t="s">
        <v>22</v>
      </c>
      <c r="J4102" s="2" t="s">
        <v>42</v>
      </c>
      <c r="K4102" s="2" t="s">
        <v>3019</v>
      </c>
      <c r="L4102" t="s">
        <v>25</v>
      </c>
      <c r="M4102" s="10" t="s">
        <v>26</v>
      </c>
      <c r="N4102" t="s">
        <v>26</v>
      </c>
      <c r="O4102" s="10" t="s">
        <v>26</v>
      </c>
      <c r="P4102" s="8" t="s">
        <v>26</v>
      </c>
      <c r="Q4102" s="8">
        <f>(3359412*100)/3462762</f>
        <v>97.015388294084318</v>
      </c>
    </row>
    <row r="4103" spans="1:17" x14ac:dyDescent="0.2">
      <c r="A4103">
        <f>YEAR(D4103)</f>
        <v>2019</v>
      </c>
      <c r="B4103" t="s">
        <v>26</v>
      </c>
      <c r="C4103" s="2" t="s">
        <v>3020</v>
      </c>
      <c r="D4103" s="1">
        <v>43690</v>
      </c>
      <c r="E4103">
        <f>MONTH(D4103)</f>
        <v>8</v>
      </c>
      <c r="F4103" s="2" t="s">
        <v>2098</v>
      </c>
      <c r="G4103" t="s">
        <v>219</v>
      </c>
      <c r="H4103" t="s">
        <v>220</v>
      </c>
      <c r="I4103" t="s">
        <v>22</v>
      </c>
      <c r="J4103" s="2" t="s">
        <v>42</v>
      </c>
      <c r="K4103" s="2" t="s">
        <v>3019</v>
      </c>
      <c r="L4103" t="s">
        <v>25</v>
      </c>
      <c r="M4103" s="10" t="s">
        <v>26</v>
      </c>
      <c r="N4103" t="s">
        <v>26</v>
      </c>
      <c r="O4103" s="10" t="s">
        <v>26</v>
      </c>
      <c r="P4103" s="8" t="s">
        <v>26</v>
      </c>
      <c r="Q4103" s="8">
        <f>(3359412*100)/3462762</f>
        <v>97.015388294084318</v>
      </c>
    </row>
    <row r="4104" spans="1:17" x14ac:dyDescent="0.2">
      <c r="A4104">
        <f>YEAR(D4104)</f>
        <v>2019</v>
      </c>
      <c r="B4104" t="s">
        <v>26</v>
      </c>
      <c r="C4104" s="2" t="s">
        <v>3020</v>
      </c>
      <c r="D4104" s="1">
        <v>43690</v>
      </c>
      <c r="E4104">
        <f>MONTH(D4104)</f>
        <v>8</v>
      </c>
      <c r="F4104" s="2" t="s">
        <v>2098</v>
      </c>
      <c r="G4104" t="s">
        <v>219</v>
      </c>
      <c r="H4104" t="s">
        <v>220</v>
      </c>
      <c r="I4104" t="s">
        <v>22</v>
      </c>
      <c r="J4104" s="2" t="s">
        <v>42</v>
      </c>
      <c r="K4104" s="2" t="s">
        <v>3019</v>
      </c>
      <c r="L4104" t="s">
        <v>25</v>
      </c>
      <c r="M4104" s="10" t="s">
        <v>26</v>
      </c>
      <c r="N4104" t="s">
        <v>26</v>
      </c>
      <c r="O4104" s="10" t="s">
        <v>26</v>
      </c>
      <c r="P4104" s="8" t="s">
        <v>26</v>
      </c>
      <c r="Q4104" s="8">
        <f>(3359412*100)/3462762</f>
        <v>97.015388294084318</v>
      </c>
    </row>
    <row r="4105" spans="1:17" x14ac:dyDescent="0.2">
      <c r="A4105">
        <f>YEAR(D4105)</f>
        <v>2019</v>
      </c>
      <c r="B4105" t="s">
        <v>26</v>
      </c>
      <c r="C4105" s="2" t="s">
        <v>3020</v>
      </c>
      <c r="D4105" s="1">
        <v>43690</v>
      </c>
      <c r="E4105">
        <f>MONTH(D4105)</f>
        <v>8</v>
      </c>
      <c r="F4105" s="2" t="s">
        <v>2098</v>
      </c>
      <c r="G4105" t="s">
        <v>219</v>
      </c>
      <c r="H4105" t="s">
        <v>220</v>
      </c>
      <c r="I4105" t="s">
        <v>22</v>
      </c>
      <c r="J4105" s="2" t="s">
        <v>42</v>
      </c>
      <c r="K4105" s="2" t="s">
        <v>3019</v>
      </c>
      <c r="L4105" t="s">
        <v>25</v>
      </c>
      <c r="M4105" s="10" t="s">
        <v>26</v>
      </c>
      <c r="N4105" t="s">
        <v>26</v>
      </c>
      <c r="O4105" s="10" t="s">
        <v>26</v>
      </c>
      <c r="P4105" s="8" t="s">
        <v>26</v>
      </c>
      <c r="Q4105" s="8">
        <f>(3359412*100)/3462762</f>
        <v>97.015388294084318</v>
      </c>
    </row>
    <row r="4106" spans="1:17" x14ac:dyDescent="0.2">
      <c r="A4106">
        <f>YEAR(D4106)</f>
        <v>2019</v>
      </c>
      <c r="B4106" t="s">
        <v>26</v>
      </c>
      <c r="C4106" s="2" t="s">
        <v>3020</v>
      </c>
      <c r="D4106" s="1">
        <v>43690</v>
      </c>
      <c r="E4106">
        <f>MONTH(D4106)</f>
        <v>8</v>
      </c>
      <c r="F4106" s="2" t="s">
        <v>2098</v>
      </c>
      <c r="G4106" t="s">
        <v>230</v>
      </c>
      <c r="H4106" t="s">
        <v>268</v>
      </c>
      <c r="I4106" t="s">
        <v>22</v>
      </c>
      <c r="J4106" s="2" t="s">
        <v>42</v>
      </c>
      <c r="K4106" s="2" t="s">
        <v>3019</v>
      </c>
      <c r="L4106" t="s">
        <v>25</v>
      </c>
      <c r="M4106" s="8">
        <v>3.5356666670000001</v>
      </c>
      <c r="N4106" t="s">
        <v>26</v>
      </c>
      <c r="O4106" s="8">
        <v>3.5356666670000001</v>
      </c>
      <c r="P4106" s="8">
        <f>EXP(-1.363+3.366*LOG(O4106,10))</f>
        <v>1.6211802664427075</v>
      </c>
      <c r="Q4106" s="8">
        <f>(3359412*100)/3462762</f>
        <v>97.015388294084318</v>
      </c>
    </row>
    <row r="4107" spans="1:17" x14ac:dyDescent="0.2">
      <c r="A4107">
        <f>YEAR(D4107)</f>
        <v>2019</v>
      </c>
      <c r="B4107" t="s">
        <v>26</v>
      </c>
      <c r="C4107" s="2" t="s">
        <v>3021</v>
      </c>
      <c r="D4107" s="1">
        <v>43690</v>
      </c>
      <c r="E4107">
        <f>MONTH(D4107)</f>
        <v>8</v>
      </c>
      <c r="F4107" s="2" t="s">
        <v>2098</v>
      </c>
      <c r="G4107" t="s">
        <v>1520</v>
      </c>
      <c r="H4107" t="s">
        <v>1521</v>
      </c>
      <c r="I4107" t="s">
        <v>22</v>
      </c>
      <c r="J4107" s="2" t="s">
        <v>42</v>
      </c>
      <c r="K4107" s="2" t="s">
        <v>3019</v>
      </c>
      <c r="L4107" t="s">
        <v>25</v>
      </c>
      <c r="M4107" s="8">
        <v>2.952</v>
      </c>
      <c r="N4107" t="s">
        <v>26</v>
      </c>
      <c r="O4107" s="8">
        <v>2.952</v>
      </c>
      <c r="P4107" s="8">
        <f>EXP(-1.363+3.366*LOG(O4107,10))</f>
        <v>1.2453438103764427</v>
      </c>
      <c r="Q4107" s="8">
        <f>(1845879*100)/1946364</f>
        <v>94.837296620775973</v>
      </c>
    </row>
    <row r="4108" spans="1:17" x14ac:dyDescent="0.2">
      <c r="A4108">
        <f>YEAR(D4108)</f>
        <v>2019</v>
      </c>
      <c r="B4108" t="s">
        <v>26</v>
      </c>
      <c r="C4108" s="2" t="s">
        <v>3020</v>
      </c>
      <c r="D4108" s="1">
        <v>43690</v>
      </c>
      <c r="E4108">
        <f>MONTH(D4108)</f>
        <v>8</v>
      </c>
      <c r="F4108" s="2" t="s">
        <v>2098</v>
      </c>
      <c r="G4108" t="s">
        <v>1520</v>
      </c>
      <c r="H4108" t="s">
        <v>1528</v>
      </c>
      <c r="I4108" t="s">
        <v>36</v>
      </c>
      <c r="J4108" s="2" t="s">
        <v>42</v>
      </c>
      <c r="K4108" s="2" t="s">
        <v>3019</v>
      </c>
      <c r="L4108" t="s">
        <v>25</v>
      </c>
      <c r="M4108" s="8">
        <v>3.3860000000000001</v>
      </c>
      <c r="N4108" t="s">
        <v>26</v>
      </c>
      <c r="O4108" s="8">
        <v>3.3860000000000001</v>
      </c>
      <c r="P4108" s="8">
        <f>EXP(-1.363+3.366*LOG(O4108,10))</f>
        <v>1.5218493704875904</v>
      </c>
      <c r="Q4108" s="8">
        <f>(3359412*100)/3462762</f>
        <v>97.015388294084318</v>
      </c>
    </row>
    <row r="4109" spans="1:17" x14ac:dyDescent="0.2">
      <c r="A4109">
        <f>YEAR(D4109)</f>
        <v>2019</v>
      </c>
      <c r="B4109" t="s">
        <v>26</v>
      </c>
      <c r="C4109" s="2" t="s">
        <v>3020</v>
      </c>
      <c r="D4109" s="1">
        <v>43690</v>
      </c>
      <c r="E4109">
        <f>MONTH(D4109)</f>
        <v>8</v>
      </c>
      <c r="F4109" s="2" t="s">
        <v>2098</v>
      </c>
      <c r="G4109" t="s">
        <v>1520</v>
      </c>
      <c r="H4109" t="s">
        <v>1528</v>
      </c>
      <c r="I4109" t="s">
        <v>22</v>
      </c>
      <c r="J4109" s="2" t="s">
        <v>42</v>
      </c>
      <c r="K4109" s="2" t="s">
        <v>3019</v>
      </c>
      <c r="L4109" t="s">
        <v>25</v>
      </c>
      <c r="M4109" s="8">
        <v>3.624333333</v>
      </c>
      <c r="N4109" t="s">
        <v>26</v>
      </c>
      <c r="O4109" s="8">
        <v>3.624333333</v>
      </c>
      <c r="P4109" s="8">
        <f>EXP(-1.363+3.366*LOG(O4109,10))</f>
        <v>1.6809546844949765</v>
      </c>
      <c r="Q4109" s="8">
        <f>(3359412*100)/3462762</f>
        <v>97.015388294084318</v>
      </c>
    </row>
    <row r="4110" spans="1:17" x14ac:dyDescent="0.2">
      <c r="A4110">
        <f>YEAR(D4110)</f>
        <v>2019</v>
      </c>
      <c r="B4110" t="s">
        <v>26</v>
      </c>
      <c r="C4110" s="2" t="s">
        <v>3020</v>
      </c>
      <c r="D4110" s="1">
        <v>43690</v>
      </c>
      <c r="E4110">
        <f>MONTH(D4110)</f>
        <v>8</v>
      </c>
      <c r="F4110" s="2" t="s">
        <v>2098</v>
      </c>
      <c r="G4110" t="s">
        <v>352</v>
      </c>
      <c r="H4110" t="s">
        <v>975</v>
      </c>
      <c r="I4110" t="s">
        <v>36</v>
      </c>
      <c r="J4110" s="2" t="s">
        <v>42</v>
      </c>
      <c r="K4110" s="2" t="s">
        <v>3019</v>
      </c>
      <c r="L4110" t="s">
        <v>25</v>
      </c>
      <c r="M4110" s="8">
        <v>0.95199999999999996</v>
      </c>
      <c r="N4110" t="s">
        <v>26</v>
      </c>
      <c r="O4110" s="8">
        <v>0.95199999999999996</v>
      </c>
      <c r="P4110" s="8">
        <f>EXP(-1.363+3.366*LOG(O4110,10))</f>
        <v>0.23813726407794436</v>
      </c>
      <c r="Q4110" s="8">
        <f>(3359412*100)/3462762</f>
        <v>97.015388294084318</v>
      </c>
    </row>
    <row r="4111" spans="1:17" x14ac:dyDescent="0.2">
      <c r="A4111">
        <f>YEAR(D4111)</f>
        <v>2019</v>
      </c>
      <c r="B4111" t="s">
        <v>26</v>
      </c>
      <c r="C4111" s="2" t="s">
        <v>3020</v>
      </c>
      <c r="D4111" s="1">
        <v>43690</v>
      </c>
      <c r="E4111">
        <f>MONTH(D4111)</f>
        <v>8</v>
      </c>
      <c r="F4111" s="2" t="s">
        <v>2098</v>
      </c>
      <c r="G4111" t="s">
        <v>352</v>
      </c>
      <c r="H4111" t="s">
        <v>1459</v>
      </c>
      <c r="I4111" t="s">
        <v>36</v>
      </c>
      <c r="J4111" s="2" t="s">
        <v>42</v>
      </c>
      <c r="K4111" s="2" t="s">
        <v>3019</v>
      </c>
      <c r="L4111" t="s">
        <v>25</v>
      </c>
      <c r="M4111" s="8">
        <v>1.0913333329999999</v>
      </c>
      <c r="N4111" t="s">
        <v>26</v>
      </c>
      <c r="O4111" s="8">
        <v>1.0913333329999999</v>
      </c>
      <c r="P4111" s="8">
        <f>EXP(-1.363+3.366*LOG(O4111,10))</f>
        <v>0.29076633015787234</v>
      </c>
      <c r="Q4111" s="8">
        <f>(3359412*100)/3462762</f>
        <v>97.015388294084318</v>
      </c>
    </row>
    <row r="4112" spans="1:17" x14ac:dyDescent="0.2">
      <c r="A4112">
        <f>YEAR(D4112)</f>
        <v>2019</v>
      </c>
      <c r="B4112" t="s">
        <v>26</v>
      </c>
      <c r="C4112" s="2" t="s">
        <v>3020</v>
      </c>
      <c r="D4112" s="1">
        <v>43690</v>
      </c>
      <c r="E4112">
        <f>MONTH(D4112)</f>
        <v>8</v>
      </c>
      <c r="F4112" s="2" t="s">
        <v>2098</v>
      </c>
      <c r="G4112" t="s">
        <v>352</v>
      </c>
      <c r="H4112" t="s">
        <v>1459</v>
      </c>
      <c r="I4112" t="s">
        <v>22</v>
      </c>
      <c r="J4112" s="2" t="s">
        <v>42</v>
      </c>
      <c r="K4112" s="2" t="s">
        <v>3019</v>
      </c>
      <c r="L4112" t="s">
        <v>25</v>
      </c>
      <c r="M4112" s="8">
        <v>1.1910000000000001</v>
      </c>
      <c r="N4112" t="s">
        <v>26</v>
      </c>
      <c r="O4112" s="8">
        <v>1.1910000000000001</v>
      </c>
      <c r="P4112" s="8">
        <f>EXP(-1.363+3.366*LOG(O4112,10))</f>
        <v>0.33039016297752993</v>
      </c>
      <c r="Q4112" s="8">
        <f>(3359412*100)/3462762</f>
        <v>97.015388294084318</v>
      </c>
    </row>
    <row r="4113" spans="1:17" x14ac:dyDescent="0.2">
      <c r="A4113">
        <f>YEAR(D4113)</f>
        <v>2019</v>
      </c>
      <c r="B4113" t="s">
        <v>26</v>
      </c>
      <c r="C4113" s="2" t="s">
        <v>3020</v>
      </c>
      <c r="D4113" s="1">
        <v>43690</v>
      </c>
      <c r="E4113">
        <f>MONTH(D4113)</f>
        <v>8</v>
      </c>
      <c r="F4113" s="2" t="s">
        <v>2098</v>
      </c>
      <c r="G4113" t="s">
        <v>352</v>
      </c>
      <c r="H4113" t="s">
        <v>1459</v>
      </c>
      <c r="I4113" t="s">
        <v>22</v>
      </c>
      <c r="J4113" s="2" t="s">
        <v>42</v>
      </c>
      <c r="K4113" s="2" t="s">
        <v>3019</v>
      </c>
      <c r="L4113" t="s">
        <v>25</v>
      </c>
      <c r="M4113" s="8">
        <v>1.1910000000000001</v>
      </c>
      <c r="N4113" t="s">
        <v>26</v>
      </c>
      <c r="O4113" s="8">
        <v>1.1910000000000001</v>
      </c>
      <c r="P4113" s="8">
        <f>EXP(-1.363+3.366*LOG(O4113,10))</f>
        <v>0.33039016297752993</v>
      </c>
      <c r="Q4113" s="8">
        <f>(3359412*100)/3462762</f>
        <v>97.015388294084318</v>
      </c>
    </row>
    <row r="4114" spans="1:17" x14ac:dyDescent="0.2">
      <c r="A4114">
        <f>YEAR(D4114)</f>
        <v>2019</v>
      </c>
      <c r="B4114" t="s">
        <v>26</v>
      </c>
      <c r="C4114" s="2" t="s">
        <v>3020</v>
      </c>
      <c r="D4114" s="1">
        <v>43690</v>
      </c>
      <c r="E4114">
        <f>MONTH(D4114)</f>
        <v>8</v>
      </c>
      <c r="F4114" s="2" t="s">
        <v>2098</v>
      </c>
      <c r="G4114" t="s">
        <v>352</v>
      </c>
      <c r="H4114" t="s">
        <v>1459</v>
      </c>
      <c r="I4114" t="s">
        <v>22</v>
      </c>
      <c r="J4114" s="2" t="s">
        <v>42</v>
      </c>
      <c r="K4114" s="2" t="s">
        <v>3019</v>
      </c>
      <c r="L4114" t="s">
        <v>25</v>
      </c>
      <c r="M4114" s="8">
        <v>1.1910000000000001</v>
      </c>
      <c r="N4114" t="s">
        <v>26</v>
      </c>
      <c r="O4114" s="8">
        <v>1.1910000000000001</v>
      </c>
      <c r="P4114" s="8">
        <f>EXP(-1.363+3.366*LOG(O4114,10))</f>
        <v>0.33039016297752993</v>
      </c>
      <c r="Q4114" s="8">
        <f>(3359412*100)/3462762</f>
        <v>97.015388294084318</v>
      </c>
    </row>
    <row r="4115" spans="1:17" x14ac:dyDescent="0.2">
      <c r="A4115">
        <f>YEAR(D4115)</f>
        <v>2019</v>
      </c>
      <c r="B4115" t="s">
        <v>26</v>
      </c>
      <c r="C4115" s="2" t="s">
        <v>3020</v>
      </c>
      <c r="D4115" s="1">
        <v>43690</v>
      </c>
      <c r="E4115">
        <f>MONTH(D4115)</f>
        <v>8</v>
      </c>
      <c r="F4115" s="2" t="s">
        <v>2098</v>
      </c>
      <c r="G4115" t="s">
        <v>352</v>
      </c>
      <c r="H4115" t="s">
        <v>1459</v>
      </c>
      <c r="I4115" t="s">
        <v>22</v>
      </c>
      <c r="J4115" s="2" t="s">
        <v>42</v>
      </c>
      <c r="K4115" s="2" t="s">
        <v>3019</v>
      </c>
      <c r="L4115" t="s">
        <v>25</v>
      </c>
      <c r="M4115" s="8">
        <v>1.1910000000000001</v>
      </c>
      <c r="N4115" t="s">
        <v>26</v>
      </c>
      <c r="O4115" s="8">
        <v>1.1910000000000001</v>
      </c>
      <c r="P4115" s="8">
        <f>EXP(-1.363+3.366*LOG(O4115,10))</f>
        <v>0.33039016297752993</v>
      </c>
      <c r="Q4115" s="8">
        <f>(3359412*100)/3462762</f>
        <v>97.015388294084318</v>
      </c>
    </row>
    <row r="4116" spans="1:17" x14ac:dyDescent="0.2">
      <c r="A4116">
        <f>YEAR(D4116)</f>
        <v>2019</v>
      </c>
      <c r="B4116" t="s">
        <v>26</v>
      </c>
      <c r="C4116" s="2" t="s">
        <v>3021</v>
      </c>
      <c r="D4116" s="1">
        <v>43690</v>
      </c>
      <c r="E4116">
        <f>MONTH(D4116)</f>
        <v>8</v>
      </c>
      <c r="F4116" s="2" t="s">
        <v>19</v>
      </c>
      <c r="G4116" t="s">
        <v>219</v>
      </c>
      <c r="H4116" t="s">
        <v>220</v>
      </c>
      <c r="I4116" t="s">
        <v>22</v>
      </c>
      <c r="J4116" s="2" t="s">
        <v>42</v>
      </c>
      <c r="K4116" s="2" t="s">
        <v>3019</v>
      </c>
      <c r="L4116" t="s">
        <v>25</v>
      </c>
      <c r="M4116" s="10" t="s">
        <v>26</v>
      </c>
      <c r="N4116" t="s">
        <v>26</v>
      </c>
      <c r="O4116" s="10" t="s">
        <v>26</v>
      </c>
      <c r="P4116" s="8" t="s">
        <v>26</v>
      </c>
      <c r="Q4116" s="8">
        <f>(1845879*100)/1946364</f>
        <v>94.837296620775973</v>
      </c>
    </row>
    <row r="4117" spans="1:17" x14ac:dyDescent="0.2">
      <c r="A4117">
        <f>YEAR(D4117)</f>
        <v>2019</v>
      </c>
      <c r="B4117" t="s">
        <v>26</v>
      </c>
      <c r="C4117" s="2" t="s">
        <v>3020</v>
      </c>
      <c r="D4117" s="1">
        <v>43690</v>
      </c>
      <c r="E4117">
        <f>MONTH(D4117)</f>
        <v>8</v>
      </c>
      <c r="F4117" s="2" t="s">
        <v>19</v>
      </c>
      <c r="G4117" t="s">
        <v>352</v>
      </c>
      <c r="H4117" t="s">
        <v>728</v>
      </c>
      <c r="I4117" t="s">
        <v>36</v>
      </c>
      <c r="J4117" s="2" t="s">
        <v>42</v>
      </c>
      <c r="K4117" s="2" t="s">
        <v>3019</v>
      </c>
      <c r="L4117" t="s">
        <v>187</v>
      </c>
      <c r="M4117" s="8">
        <v>1.376333333</v>
      </c>
      <c r="N4117" t="s">
        <v>26</v>
      </c>
      <c r="O4117" s="8">
        <v>1.376333333</v>
      </c>
      <c r="P4117" s="8">
        <f>EXP(-1.363+3.366*LOG(O4117,10))</f>
        <v>0.40817622737824627</v>
      </c>
      <c r="Q4117" s="8">
        <f>(3359412*100)/3462762</f>
        <v>97.015388294084318</v>
      </c>
    </row>
    <row r="4118" spans="1:17" x14ac:dyDescent="0.2">
      <c r="A4118">
        <f>YEAR(D4118)</f>
        <v>2019</v>
      </c>
      <c r="B4118" t="s">
        <v>26</v>
      </c>
      <c r="C4118" s="2" t="s">
        <v>3020</v>
      </c>
      <c r="D4118" s="1">
        <v>43690</v>
      </c>
      <c r="E4118">
        <f>MONTH(D4118)</f>
        <v>8</v>
      </c>
      <c r="F4118" s="2" t="s">
        <v>19</v>
      </c>
      <c r="G4118" t="s">
        <v>332</v>
      </c>
      <c r="H4118" t="s">
        <v>327</v>
      </c>
      <c r="I4118" t="s">
        <v>36</v>
      </c>
      <c r="J4118" s="2" t="s">
        <v>42</v>
      </c>
      <c r="K4118" s="2" t="s">
        <v>3019</v>
      </c>
      <c r="L4118" t="s">
        <v>25</v>
      </c>
      <c r="M4118" s="8">
        <v>1.0693333330000001</v>
      </c>
      <c r="N4118" t="s">
        <v>26</v>
      </c>
      <c r="O4118" s="8">
        <v>1.0693333330000001</v>
      </c>
      <c r="P4118" s="8">
        <f>EXP(-1.363+3.366*LOG(O4118,10))</f>
        <v>0.28223780327142356</v>
      </c>
      <c r="Q4118" s="8">
        <f>(3359412*100)/3462762</f>
        <v>97.015388294084318</v>
      </c>
    </row>
    <row r="4119" spans="1:17" x14ac:dyDescent="0.2">
      <c r="A4119">
        <f>YEAR(D4119)</f>
        <v>2019</v>
      </c>
      <c r="B4119" t="s">
        <v>26</v>
      </c>
      <c r="C4119" s="2" t="s">
        <v>3020</v>
      </c>
      <c r="D4119" s="1">
        <v>43690</v>
      </c>
      <c r="E4119">
        <f>MONTH(D4119)</f>
        <v>8</v>
      </c>
      <c r="F4119" s="2" t="s">
        <v>19</v>
      </c>
      <c r="G4119" t="s">
        <v>352</v>
      </c>
      <c r="H4119" t="s">
        <v>1459</v>
      </c>
      <c r="I4119" t="s">
        <v>36</v>
      </c>
      <c r="J4119" s="2" t="s">
        <v>42</v>
      </c>
      <c r="K4119" s="2" t="s">
        <v>3019</v>
      </c>
      <c r="L4119" t="s">
        <v>25</v>
      </c>
      <c r="M4119" s="8">
        <v>1.0913333329999999</v>
      </c>
      <c r="N4119" t="s">
        <v>26</v>
      </c>
      <c r="O4119" s="8">
        <v>1.0913333329999999</v>
      </c>
      <c r="P4119" s="8">
        <f>EXP(-1.363+3.366*LOG(O4119,10))</f>
        <v>0.29076633015787234</v>
      </c>
      <c r="Q4119" s="8">
        <f>(3359412*100)/3462762</f>
        <v>97.015388294084318</v>
      </c>
    </row>
    <row r="4120" spans="1:17" x14ac:dyDescent="0.2">
      <c r="A4120">
        <f>YEAR(D4120)</f>
        <v>2019</v>
      </c>
      <c r="B4120" t="s">
        <v>26</v>
      </c>
      <c r="C4120" s="2" t="s">
        <v>3020</v>
      </c>
      <c r="D4120" s="1">
        <v>43690</v>
      </c>
      <c r="E4120">
        <f>MONTH(D4120)</f>
        <v>8</v>
      </c>
      <c r="F4120" s="2" t="s">
        <v>19</v>
      </c>
      <c r="G4120" t="s">
        <v>219</v>
      </c>
      <c r="H4120" t="s">
        <v>220</v>
      </c>
      <c r="I4120" t="s">
        <v>22</v>
      </c>
      <c r="J4120" s="2" t="s">
        <v>42</v>
      </c>
      <c r="K4120" s="2" t="s">
        <v>3019</v>
      </c>
      <c r="L4120" t="s">
        <v>25</v>
      </c>
      <c r="M4120" s="10" t="s">
        <v>26</v>
      </c>
      <c r="N4120" t="s">
        <v>26</v>
      </c>
      <c r="O4120" s="10" t="s">
        <v>26</v>
      </c>
      <c r="P4120" s="8" t="s">
        <v>26</v>
      </c>
      <c r="Q4120" s="8">
        <f>(3359412*100)/3462762</f>
        <v>97.015388294084318</v>
      </c>
    </row>
    <row r="4121" spans="1:17" x14ac:dyDescent="0.2">
      <c r="A4121">
        <f>YEAR(D4121)</f>
        <v>2019</v>
      </c>
      <c r="B4121" t="s">
        <v>26</v>
      </c>
      <c r="C4121" s="2" t="s">
        <v>3020</v>
      </c>
      <c r="D4121" s="1">
        <v>43690</v>
      </c>
      <c r="E4121">
        <f>MONTH(D4121)</f>
        <v>8</v>
      </c>
      <c r="F4121" s="2" t="s">
        <v>19</v>
      </c>
      <c r="G4121" t="s">
        <v>352</v>
      </c>
      <c r="H4121" t="s">
        <v>728</v>
      </c>
      <c r="I4121" t="s">
        <v>36</v>
      </c>
      <c r="J4121" s="2" t="s">
        <v>42</v>
      </c>
      <c r="K4121" s="2" t="s">
        <v>3019</v>
      </c>
      <c r="L4121" t="s">
        <v>187</v>
      </c>
      <c r="M4121" s="8">
        <v>1.376333333</v>
      </c>
      <c r="N4121" t="s">
        <v>26</v>
      </c>
      <c r="O4121" s="8">
        <v>1.376333333</v>
      </c>
      <c r="P4121" s="8">
        <f>EXP(-1.363+3.366*LOG(O4121,10))</f>
        <v>0.40817622737824627</v>
      </c>
      <c r="Q4121" s="8">
        <f>(3359412*100)/3462762</f>
        <v>97.015388294084318</v>
      </c>
    </row>
    <row r="4122" spans="1:17" x14ac:dyDescent="0.2">
      <c r="A4122">
        <f>YEAR(D4122)</f>
        <v>2019</v>
      </c>
      <c r="B4122" t="s">
        <v>26</v>
      </c>
      <c r="C4122" s="2" t="s">
        <v>3020</v>
      </c>
      <c r="D4122" s="1">
        <v>43690</v>
      </c>
      <c r="E4122">
        <f>MONTH(D4122)</f>
        <v>8</v>
      </c>
      <c r="F4122" s="2" t="s">
        <v>19</v>
      </c>
      <c r="G4122" t="s">
        <v>352</v>
      </c>
      <c r="H4122" t="s">
        <v>728</v>
      </c>
      <c r="I4122" t="s">
        <v>36</v>
      </c>
      <c r="J4122" s="2" t="s">
        <v>42</v>
      </c>
      <c r="K4122" s="2" t="s">
        <v>3019</v>
      </c>
      <c r="L4122" t="s">
        <v>187</v>
      </c>
      <c r="M4122" s="8">
        <v>1.376333333</v>
      </c>
      <c r="N4122" t="s">
        <v>26</v>
      </c>
      <c r="O4122" s="8">
        <v>1.376333333</v>
      </c>
      <c r="P4122" s="8">
        <f>EXP(-1.363+3.366*LOG(O4122,10))</f>
        <v>0.40817622737824627</v>
      </c>
      <c r="Q4122" s="8">
        <f>(3359412*100)/3462762</f>
        <v>97.015388294084318</v>
      </c>
    </row>
    <row r="4123" spans="1:17" x14ac:dyDescent="0.2">
      <c r="A4123">
        <f>YEAR(D4123)</f>
        <v>2019</v>
      </c>
      <c r="B4123" t="s">
        <v>26</v>
      </c>
      <c r="C4123" s="2" t="s">
        <v>3020</v>
      </c>
      <c r="D4123" s="1">
        <v>43690</v>
      </c>
      <c r="E4123">
        <f>MONTH(D4123)</f>
        <v>8</v>
      </c>
      <c r="F4123" s="2" t="s">
        <v>19</v>
      </c>
      <c r="G4123" t="s">
        <v>219</v>
      </c>
      <c r="H4123" t="s">
        <v>220</v>
      </c>
      <c r="I4123" t="s">
        <v>22</v>
      </c>
      <c r="J4123" s="2" t="s">
        <v>42</v>
      </c>
      <c r="K4123" s="2" t="s">
        <v>3019</v>
      </c>
      <c r="L4123" t="s">
        <v>25</v>
      </c>
      <c r="M4123" s="10" t="s">
        <v>26</v>
      </c>
      <c r="N4123" t="s">
        <v>26</v>
      </c>
      <c r="O4123" s="10" t="s">
        <v>26</v>
      </c>
      <c r="P4123" s="8" t="s">
        <v>26</v>
      </c>
      <c r="Q4123" s="8">
        <f>(3359412*100)/3462762</f>
        <v>97.015388294084318</v>
      </c>
    </row>
    <row r="4124" spans="1:17" x14ac:dyDescent="0.2">
      <c r="A4124">
        <f>YEAR(D4124)</f>
        <v>2019</v>
      </c>
      <c r="B4124" t="s">
        <v>26</v>
      </c>
      <c r="C4124" s="2" t="s">
        <v>3020</v>
      </c>
      <c r="D4124" s="1">
        <v>43690</v>
      </c>
      <c r="E4124">
        <f>MONTH(D4124)</f>
        <v>8</v>
      </c>
      <c r="F4124" s="2" t="s">
        <v>19</v>
      </c>
      <c r="G4124" t="s">
        <v>230</v>
      </c>
      <c r="H4124" t="s">
        <v>268</v>
      </c>
      <c r="I4124" t="s">
        <v>22</v>
      </c>
      <c r="J4124" s="2" t="s">
        <v>42</v>
      </c>
      <c r="K4124" s="2" t="s">
        <v>3019</v>
      </c>
      <c r="L4124" t="s">
        <v>25</v>
      </c>
      <c r="M4124" s="8">
        <v>3.5356666670000001</v>
      </c>
      <c r="N4124" t="s">
        <v>26</v>
      </c>
      <c r="O4124" s="8">
        <v>3.5356666670000001</v>
      </c>
      <c r="P4124" s="8">
        <f>EXP(-1.363+3.366*LOG(O4124,10))</f>
        <v>1.6211802664427075</v>
      </c>
      <c r="Q4124" s="8">
        <f>(3359412*100)/3462762</f>
        <v>97.015388294084318</v>
      </c>
    </row>
    <row r="4125" spans="1:17" x14ac:dyDescent="0.2">
      <c r="A4125">
        <f>YEAR(D4125)</f>
        <v>2019</v>
      </c>
      <c r="B4125" t="s">
        <v>26</v>
      </c>
      <c r="C4125" s="2" t="s">
        <v>3020</v>
      </c>
      <c r="D4125" s="1">
        <v>43690</v>
      </c>
      <c r="E4125">
        <f>MONTH(D4125)</f>
        <v>8</v>
      </c>
      <c r="F4125" s="2" t="s">
        <v>19</v>
      </c>
      <c r="G4125" t="s">
        <v>219</v>
      </c>
      <c r="H4125" t="s">
        <v>220</v>
      </c>
      <c r="I4125" t="s">
        <v>22</v>
      </c>
      <c r="J4125" s="2" t="s">
        <v>42</v>
      </c>
      <c r="K4125" s="2" t="s">
        <v>3019</v>
      </c>
      <c r="L4125" t="s">
        <v>25</v>
      </c>
      <c r="M4125" s="10" t="s">
        <v>26</v>
      </c>
      <c r="N4125" t="s">
        <v>26</v>
      </c>
      <c r="O4125" s="10" t="s">
        <v>26</v>
      </c>
      <c r="P4125" s="8" t="s">
        <v>26</v>
      </c>
      <c r="Q4125" s="8">
        <f>(3359412*100)/3462762</f>
        <v>97.015388294084318</v>
      </c>
    </row>
    <row r="4126" spans="1:17" x14ac:dyDescent="0.2">
      <c r="A4126">
        <f>YEAR(D4126)</f>
        <v>2019</v>
      </c>
      <c r="B4126" t="s">
        <v>26</v>
      </c>
      <c r="C4126" s="2" t="s">
        <v>3020</v>
      </c>
      <c r="D4126" s="1">
        <v>43690</v>
      </c>
      <c r="E4126">
        <f>MONTH(D4126)</f>
        <v>8</v>
      </c>
      <c r="F4126" s="2" t="s">
        <v>19</v>
      </c>
      <c r="G4126" t="s">
        <v>230</v>
      </c>
      <c r="H4126" t="s">
        <v>268</v>
      </c>
      <c r="I4126" t="s">
        <v>22</v>
      </c>
      <c r="J4126" s="2" t="s">
        <v>42</v>
      </c>
      <c r="K4126" s="2" t="s">
        <v>3019</v>
      </c>
      <c r="L4126" t="s">
        <v>25</v>
      </c>
      <c r="M4126" s="8">
        <v>3.5356666670000001</v>
      </c>
      <c r="N4126" t="s">
        <v>26</v>
      </c>
      <c r="O4126" s="8">
        <v>3.5356666670000001</v>
      </c>
      <c r="P4126" s="8">
        <f>EXP(-1.363+3.366*LOG(O4126,10))</f>
        <v>1.6211802664427075</v>
      </c>
      <c r="Q4126" s="8">
        <f>(3359412*100)/3462762</f>
        <v>97.015388294084318</v>
      </c>
    </row>
    <row r="4127" spans="1:17" x14ac:dyDescent="0.2">
      <c r="A4127">
        <f>YEAR(D4127)</f>
        <v>2019</v>
      </c>
      <c r="B4127" t="s">
        <v>26</v>
      </c>
      <c r="C4127" s="2" t="s">
        <v>3020</v>
      </c>
      <c r="D4127" s="1">
        <v>43690</v>
      </c>
      <c r="E4127">
        <f>MONTH(D4127)</f>
        <v>8</v>
      </c>
      <c r="F4127" s="2" t="s">
        <v>19</v>
      </c>
      <c r="G4127" t="s">
        <v>219</v>
      </c>
      <c r="H4127" t="s">
        <v>220</v>
      </c>
      <c r="I4127" t="s">
        <v>22</v>
      </c>
      <c r="J4127" s="2" t="s">
        <v>42</v>
      </c>
      <c r="K4127" s="2" t="s">
        <v>3019</v>
      </c>
      <c r="L4127" t="s">
        <v>25</v>
      </c>
      <c r="M4127" s="10" t="s">
        <v>26</v>
      </c>
      <c r="N4127" t="s">
        <v>26</v>
      </c>
      <c r="O4127" s="10" t="s">
        <v>26</v>
      </c>
      <c r="P4127" s="8" t="s">
        <v>26</v>
      </c>
      <c r="Q4127" s="8">
        <f>(3359412*100)/3462762</f>
        <v>97.015388294084318</v>
      </c>
    </row>
    <row r="4128" spans="1:17" x14ac:dyDescent="0.2">
      <c r="A4128">
        <f>YEAR(D4128)</f>
        <v>2019</v>
      </c>
      <c r="B4128" t="s">
        <v>26</v>
      </c>
      <c r="C4128" s="2" t="s">
        <v>3020</v>
      </c>
      <c r="D4128" s="1">
        <v>43690</v>
      </c>
      <c r="E4128">
        <f>MONTH(D4128)</f>
        <v>8</v>
      </c>
      <c r="F4128" s="2" t="s">
        <v>19</v>
      </c>
      <c r="G4128" t="s">
        <v>219</v>
      </c>
      <c r="H4128" t="s">
        <v>220</v>
      </c>
      <c r="I4128" t="s">
        <v>22</v>
      </c>
      <c r="J4128" s="2" t="s">
        <v>42</v>
      </c>
      <c r="K4128" s="2" t="s">
        <v>3019</v>
      </c>
      <c r="L4128" t="s">
        <v>25</v>
      </c>
      <c r="M4128" s="10" t="s">
        <v>26</v>
      </c>
      <c r="N4128" t="s">
        <v>26</v>
      </c>
      <c r="O4128" s="10" t="s">
        <v>26</v>
      </c>
      <c r="P4128" s="8" t="s">
        <v>26</v>
      </c>
      <c r="Q4128" s="8">
        <f>(3359412*100)/3462762</f>
        <v>97.015388294084318</v>
      </c>
    </row>
    <row r="4129" spans="1:17" x14ac:dyDescent="0.2">
      <c r="A4129">
        <f>YEAR(D4129)</f>
        <v>2019</v>
      </c>
      <c r="B4129" t="s">
        <v>26</v>
      </c>
      <c r="C4129" s="2" t="s">
        <v>3020</v>
      </c>
      <c r="D4129" s="1">
        <v>43690</v>
      </c>
      <c r="E4129">
        <f>MONTH(D4129)</f>
        <v>8</v>
      </c>
      <c r="F4129" s="2" t="s">
        <v>19</v>
      </c>
      <c r="G4129" t="s">
        <v>362</v>
      </c>
      <c r="H4129" t="s">
        <v>447</v>
      </c>
      <c r="I4129" t="s">
        <v>36</v>
      </c>
      <c r="J4129" s="2" t="s">
        <v>42</v>
      </c>
      <c r="K4129" s="2" t="s">
        <v>3019</v>
      </c>
      <c r="L4129" t="s">
        <v>25</v>
      </c>
      <c r="M4129" s="8">
        <v>1.0956666669999999</v>
      </c>
      <c r="N4129" t="s">
        <v>26</v>
      </c>
      <c r="O4129" s="8">
        <v>1.0956666669999999</v>
      </c>
      <c r="P4129" s="8">
        <f>EXP(-1.363+3.366*LOG(O4129,10))</f>
        <v>0.29245562330904107</v>
      </c>
      <c r="Q4129" s="8">
        <f>(3359412*100)/3462762</f>
        <v>97.015388294084318</v>
      </c>
    </row>
    <row r="4130" spans="1:17" x14ac:dyDescent="0.2">
      <c r="A4130">
        <f>YEAR(D4130)</f>
        <v>2019</v>
      </c>
      <c r="B4130" t="s">
        <v>26</v>
      </c>
      <c r="C4130" s="2" t="s">
        <v>3020</v>
      </c>
      <c r="D4130" s="1">
        <v>43690</v>
      </c>
      <c r="E4130">
        <f>MONTH(D4130)</f>
        <v>8</v>
      </c>
      <c r="F4130" s="2" t="s">
        <v>19</v>
      </c>
      <c r="G4130" t="s">
        <v>362</v>
      </c>
      <c r="H4130" t="s">
        <v>447</v>
      </c>
      <c r="I4130" t="s">
        <v>36</v>
      </c>
      <c r="J4130" s="2" t="s">
        <v>42</v>
      </c>
      <c r="K4130" s="2" t="s">
        <v>3019</v>
      </c>
      <c r="L4130" t="s">
        <v>25</v>
      </c>
      <c r="M4130" s="8">
        <v>1.0956666669999999</v>
      </c>
      <c r="N4130" t="s">
        <v>26</v>
      </c>
      <c r="O4130" s="8">
        <v>1.0956666669999999</v>
      </c>
      <c r="P4130" s="8">
        <f>EXP(-1.363+3.366*LOG(O4130,10))</f>
        <v>0.29245562330904107</v>
      </c>
      <c r="Q4130" s="8">
        <f>(3359412*100)/3462762</f>
        <v>97.015388294084318</v>
      </c>
    </row>
    <row r="4131" spans="1:17" x14ac:dyDescent="0.2">
      <c r="A4131">
        <f>YEAR(D4131)</f>
        <v>2019</v>
      </c>
      <c r="B4131" t="s">
        <v>26</v>
      </c>
      <c r="C4131" s="2" t="s">
        <v>3020</v>
      </c>
      <c r="D4131" s="1">
        <v>43690</v>
      </c>
      <c r="E4131">
        <f>MONTH(D4131)</f>
        <v>8</v>
      </c>
      <c r="F4131" s="2" t="s">
        <v>19</v>
      </c>
      <c r="G4131" t="s">
        <v>352</v>
      </c>
      <c r="H4131" t="s">
        <v>975</v>
      </c>
      <c r="I4131" t="s">
        <v>36</v>
      </c>
      <c r="J4131" s="2" t="s">
        <v>42</v>
      </c>
      <c r="K4131" s="2" t="s">
        <v>3019</v>
      </c>
      <c r="L4131" t="s">
        <v>25</v>
      </c>
      <c r="M4131" s="8">
        <v>0.95199999999999996</v>
      </c>
      <c r="N4131" t="s">
        <v>26</v>
      </c>
      <c r="O4131" s="8">
        <v>0.95199999999999996</v>
      </c>
      <c r="P4131" s="8">
        <f>EXP(-1.363+3.366*LOG(O4131,10))</f>
        <v>0.23813726407794436</v>
      </c>
      <c r="Q4131" s="8">
        <f>(3359412*100)/3462762</f>
        <v>97.015388294084318</v>
      </c>
    </row>
    <row r="4132" spans="1:17" x14ac:dyDescent="0.2">
      <c r="A4132">
        <f>YEAR(D4132)</f>
        <v>2019</v>
      </c>
      <c r="B4132" t="s">
        <v>26</v>
      </c>
      <c r="C4132" s="2" t="s">
        <v>3020</v>
      </c>
      <c r="D4132" s="1">
        <v>43690</v>
      </c>
      <c r="E4132">
        <f>MONTH(D4132)</f>
        <v>8</v>
      </c>
      <c r="F4132" s="2" t="s">
        <v>19</v>
      </c>
      <c r="G4132" t="s">
        <v>352</v>
      </c>
      <c r="H4132" t="s">
        <v>1459</v>
      </c>
      <c r="I4132" t="s">
        <v>36</v>
      </c>
      <c r="J4132" s="2" t="s">
        <v>42</v>
      </c>
      <c r="K4132" s="2" t="s">
        <v>3019</v>
      </c>
      <c r="L4132" t="s">
        <v>25</v>
      </c>
      <c r="M4132" s="8">
        <v>1.0913333329999999</v>
      </c>
      <c r="N4132" t="s">
        <v>26</v>
      </c>
      <c r="O4132" s="8">
        <v>1.0913333329999999</v>
      </c>
      <c r="P4132" s="8">
        <f>EXP(-1.363+3.366*LOG(O4132,10))</f>
        <v>0.29076633015787234</v>
      </c>
      <c r="Q4132" s="8">
        <f>(3359412*100)/3462762</f>
        <v>97.015388294084318</v>
      </c>
    </row>
    <row r="4133" spans="1:17" x14ac:dyDescent="0.2">
      <c r="A4133">
        <f>YEAR(D4133)</f>
        <v>2019</v>
      </c>
      <c r="B4133" t="s">
        <v>26</v>
      </c>
      <c r="C4133" s="2" t="s">
        <v>3020</v>
      </c>
      <c r="D4133" s="1">
        <v>43690</v>
      </c>
      <c r="E4133">
        <f>MONTH(D4133)</f>
        <v>8</v>
      </c>
      <c r="F4133" s="2" t="s">
        <v>19</v>
      </c>
      <c r="G4133" t="s">
        <v>352</v>
      </c>
      <c r="H4133" t="s">
        <v>975</v>
      </c>
      <c r="I4133" t="s">
        <v>36</v>
      </c>
      <c r="J4133" s="2" t="s">
        <v>42</v>
      </c>
      <c r="K4133" s="2" t="s">
        <v>3019</v>
      </c>
      <c r="L4133" t="s">
        <v>25</v>
      </c>
      <c r="M4133" s="8">
        <v>0.95199999999999996</v>
      </c>
      <c r="N4133" t="s">
        <v>26</v>
      </c>
      <c r="O4133" s="8">
        <v>0.95199999999999996</v>
      </c>
      <c r="P4133" s="8">
        <f>EXP(-1.363+3.366*LOG(O4133,10))</f>
        <v>0.23813726407794436</v>
      </c>
      <c r="Q4133" s="8">
        <f>(3359412*100)/3462762</f>
        <v>97.015388294084318</v>
      </c>
    </row>
    <row r="4134" spans="1:17" x14ac:dyDescent="0.2">
      <c r="A4134">
        <f>YEAR(D4134)</f>
        <v>2019</v>
      </c>
      <c r="B4134" t="s">
        <v>26</v>
      </c>
      <c r="C4134" s="2" t="s">
        <v>3020</v>
      </c>
      <c r="D4134" s="1">
        <v>43690</v>
      </c>
      <c r="E4134">
        <f>MONTH(D4134)</f>
        <v>8</v>
      </c>
      <c r="F4134" s="2" t="s">
        <v>19</v>
      </c>
      <c r="G4134" t="s">
        <v>362</v>
      </c>
      <c r="H4134" t="s">
        <v>447</v>
      </c>
      <c r="I4134" t="s">
        <v>22</v>
      </c>
      <c r="J4134" s="2" t="s">
        <v>42</v>
      </c>
      <c r="K4134" s="2" t="s">
        <v>3019</v>
      </c>
      <c r="L4134" t="s">
        <v>25</v>
      </c>
      <c r="M4134" s="8">
        <v>1.421</v>
      </c>
      <c r="N4134" t="s">
        <v>26</v>
      </c>
      <c r="O4134" s="8">
        <v>1.421</v>
      </c>
      <c r="P4134" s="8">
        <f>EXP(-1.363+3.366*LOG(O4134,10))</f>
        <v>0.42768500084673816</v>
      </c>
      <c r="Q4134" s="8">
        <f>(3359412*100)/3462762</f>
        <v>97.015388294084318</v>
      </c>
    </row>
    <row r="4135" spans="1:17" x14ac:dyDescent="0.2">
      <c r="A4135">
        <f>YEAR(D4135)</f>
        <v>2019</v>
      </c>
      <c r="B4135" t="s">
        <v>26</v>
      </c>
      <c r="C4135" s="2" t="s">
        <v>3020</v>
      </c>
      <c r="D4135" s="1">
        <v>43690</v>
      </c>
      <c r="E4135">
        <f>MONTH(D4135)</f>
        <v>8</v>
      </c>
      <c r="F4135" s="2" t="s">
        <v>19</v>
      </c>
      <c r="G4135" t="s">
        <v>352</v>
      </c>
      <c r="H4135" t="s">
        <v>623</v>
      </c>
      <c r="I4135" t="s">
        <v>22</v>
      </c>
      <c r="J4135" s="2" t="s">
        <v>42</v>
      </c>
      <c r="K4135" s="2" t="s">
        <v>3019</v>
      </c>
      <c r="L4135" t="s">
        <v>25</v>
      </c>
      <c r="M4135" s="8">
        <v>1.387</v>
      </c>
      <c r="N4135" t="s">
        <v>26</v>
      </c>
      <c r="O4135" s="8">
        <v>1.387</v>
      </c>
      <c r="P4135" s="8">
        <f>EXP(-1.363+3.366*LOG(O4135,10))</f>
        <v>0.41280884754947733</v>
      </c>
      <c r="Q4135" s="8">
        <f>(3359412*100)/3462762</f>
        <v>97.015388294084318</v>
      </c>
    </row>
    <row r="4136" spans="1:17" x14ac:dyDescent="0.2">
      <c r="A4136">
        <f>YEAR(D4136)</f>
        <v>2019</v>
      </c>
      <c r="B4136" t="s">
        <v>26</v>
      </c>
      <c r="C4136" s="2" t="s">
        <v>3020</v>
      </c>
      <c r="D4136" s="1">
        <v>43690</v>
      </c>
      <c r="E4136">
        <f>MONTH(D4136)</f>
        <v>8</v>
      </c>
      <c r="F4136" s="2" t="s">
        <v>19</v>
      </c>
      <c r="G4136" t="s">
        <v>352</v>
      </c>
      <c r="H4136" t="s">
        <v>728</v>
      </c>
      <c r="I4136" t="s">
        <v>22</v>
      </c>
      <c r="J4136" s="2" t="s">
        <v>42</v>
      </c>
      <c r="K4136" s="2" t="s">
        <v>3019</v>
      </c>
      <c r="L4136" t="s">
        <v>187</v>
      </c>
      <c r="M4136" s="8">
        <v>1.8093333330000001</v>
      </c>
      <c r="N4136" t="s">
        <v>26</v>
      </c>
      <c r="O4136" s="8">
        <v>1.8093333330000001</v>
      </c>
      <c r="P4136" s="8">
        <f>EXP(-1.363+3.366*LOG(O4136,10))</f>
        <v>0.6088444603462565</v>
      </c>
      <c r="Q4136" s="8">
        <f>(3359412*100)/3462762</f>
        <v>97.015388294084318</v>
      </c>
    </row>
    <row r="4137" spans="1:17" x14ac:dyDescent="0.2">
      <c r="A4137">
        <f>YEAR(D4137)</f>
        <v>2019</v>
      </c>
      <c r="B4137" t="s">
        <v>26</v>
      </c>
      <c r="C4137" s="2" t="s">
        <v>3020</v>
      </c>
      <c r="D4137" s="1">
        <v>43690</v>
      </c>
      <c r="E4137">
        <f>MONTH(D4137)</f>
        <v>8</v>
      </c>
      <c r="F4137" s="2" t="s">
        <v>19</v>
      </c>
      <c r="G4137" t="s">
        <v>362</v>
      </c>
      <c r="H4137" t="s">
        <v>447</v>
      </c>
      <c r="I4137" t="s">
        <v>22</v>
      </c>
      <c r="J4137" s="2" t="s">
        <v>42</v>
      </c>
      <c r="K4137" s="2" t="s">
        <v>3019</v>
      </c>
      <c r="L4137" t="s">
        <v>25</v>
      </c>
      <c r="M4137" s="8">
        <v>1.421</v>
      </c>
      <c r="N4137" t="s">
        <v>26</v>
      </c>
      <c r="O4137" s="8">
        <v>1.421</v>
      </c>
      <c r="P4137" s="8">
        <f>EXP(-1.363+3.366*LOG(O4137,10))</f>
        <v>0.42768500084673816</v>
      </c>
      <c r="Q4137" s="8">
        <f>(3359412*100)/3462762</f>
        <v>97.015388294084318</v>
      </c>
    </row>
    <row r="4138" spans="1:17" x14ac:dyDescent="0.2">
      <c r="A4138">
        <f>YEAR(D4138)</f>
        <v>2019</v>
      </c>
      <c r="B4138" t="s">
        <v>26</v>
      </c>
      <c r="C4138" s="2" t="s">
        <v>3020</v>
      </c>
      <c r="D4138" s="1">
        <v>43690</v>
      </c>
      <c r="E4138">
        <f>MONTH(D4138)</f>
        <v>8</v>
      </c>
      <c r="F4138" s="2" t="s">
        <v>19</v>
      </c>
      <c r="G4138" t="s">
        <v>352</v>
      </c>
      <c r="H4138" t="s">
        <v>728</v>
      </c>
      <c r="I4138" t="s">
        <v>22</v>
      </c>
      <c r="J4138" s="2" t="s">
        <v>42</v>
      </c>
      <c r="K4138" s="2" t="s">
        <v>3019</v>
      </c>
      <c r="L4138" t="s">
        <v>187</v>
      </c>
      <c r="M4138" s="8">
        <v>1.8093333330000001</v>
      </c>
      <c r="N4138" t="s">
        <v>26</v>
      </c>
      <c r="O4138" s="8">
        <v>1.8093333330000001</v>
      </c>
      <c r="P4138" s="8">
        <f>EXP(-1.363+3.366*LOG(O4138,10))</f>
        <v>0.6088444603462565</v>
      </c>
      <c r="Q4138" s="8">
        <f>(3359412*100)/3462762</f>
        <v>97.015388294084318</v>
      </c>
    </row>
    <row r="4139" spans="1:17" x14ac:dyDescent="0.2">
      <c r="A4139">
        <f>YEAR(D4139)</f>
        <v>2019</v>
      </c>
      <c r="B4139" t="s">
        <v>26</v>
      </c>
      <c r="C4139" s="2" t="s">
        <v>3022</v>
      </c>
      <c r="D4139" s="1">
        <v>43710</v>
      </c>
      <c r="E4139">
        <f>MONTH(D4139)</f>
        <v>9</v>
      </c>
      <c r="F4139" s="2" t="s">
        <v>2098</v>
      </c>
      <c r="G4139" t="s">
        <v>219</v>
      </c>
      <c r="H4139" t="s">
        <v>220</v>
      </c>
      <c r="I4139" t="s">
        <v>22</v>
      </c>
      <c r="J4139" s="2" t="s">
        <v>42</v>
      </c>
      <c r="K4139" s="2" t="s">
        <v>3019</v>
      </c>
      <c r="L4139" t="s">
        <v>25</v>
      </c>
      <c r="M4139" s="10" t="s">
        <v>26</v>
      </c>
      <c r="N4139" t="s">
        <v>26</v>
      </c>
      <c r="O4139" s="10" t="s">
        <v>26</v>
      </c>
      <c r="P4139" s="8" t="s">
        <v>26</v>
      </c>
      <c r="Q4139" s="8">
        <f>(4437920*100)/4638971</f>
        <v>95.666043180696747</v>
      </c>
    </row>
    <row r="4140" spans="1:17" x14ac:dyDescent="0.2">
      <c r="A4140">
        <f>YEAR(D4140)</f>
        <v>2019</v>
      </c>
      <c r="B4140" t="s">
        <v>26</v>
      </c>
      <c r="C4140" s="2" t="s">
        <v>3022</v>
      </c>
      <c r="D4140" s="1">
        <v>43710</v>
      </c>
      <c r="E4140">
        <f>MONTH(D4140)</f>
        <v>9</v>
      </c>
      <c r="F4140" s="2" t="s">
        <v>2098</v>
      </c>
      <c r="G4140" t="s">
        <v>219</v>
      </c>
      <c r="H4140" t="s">
        <v>220</v>
      </c>
      <c r="I4140" t="s">
        <v>22</v>
      </c>
      <c r="J4140" s="2" t="s">
        <v>42</v>
      </c>
      <c r="K4140" s="2" t="s">
        <v>3019</v>
      </c>
      <c r="L4140" t="s">
        <v>25</v>
      </c>
      <c r="M4140" s="10" t="s">
        <v>26</v>
      </c>
      <c r="N4140" t="s">
        <v>26</v>
      </c>
      <c r="O4140" s="10" t="s">
        <v>26</v>
      </c>
      <c r="P4140" s="8" t="s">
        <v>26</v>
      </c>
      <c r="Q4140" s="8">
        <f>(4437920*100)/4638971</f>
        <v>95.666043180696747</v>
      </c>
    </row>
    <row r="4141" spans="1:17" x14ac:dyDescent="0.2">
      <c r="A4141">
        <f>YEAR(D4141)</f>
        <v>2019</v>
      </c>
      <c r="B4141" t="s">
        <v>26</v>
      </c>
      <c r="C4141" s="2" t="s">
        <v>3022</v>
      </c>
      <c r="D4141" s="1">
        <v>43710</v>
      </c>
      <c r="E4141">
        <f>MONTH(D4141)</f>
        <v>9</v>
      </c>
      <c r="F4141" s="2" t="s">
        <v>2098</v>
      </c>
      <c r="G4141" t="s">
        <v>219</v>
      </c>
      <c r="H4141" t="s">
        <v>220</v>
      </c>
      <c r="I4141" t="s">
        <v>22</v>
      </c>
      <c r="J4141" s="2" t="s">
        <v>42</v>
      </c>
      <c r="K4141" s="2" t="s">
        <v>3019</v>
      </c>
      <c r="L4141" t="s">
        <v>25</v>
      </c>
      <c r="M4141" s="10" t="s">
        <v>26</v>
      </c>
      <c r="N4141" t="s">
        <v>26</v>
      </c>
      <c r="O4141" s="10" t="s">
        <v>26</v>
      </c>
      <c r="P4141" s="8" t="s">
        <v>26</v>
      </c>
      <c r="Q4141" s="8">
        <f>(4437920*100)/4638971</f>
        <v>95.666043180696747</v>
      </c>
    </row>
    <row r="4142" spans="1:17" x14ac:dyDescent="0.2">
      <c r="A4142">
        <f>YEAR(D4142)</f>
        <v>2019</v>
      </c>
      <c r="B4142" t="s">
        <v>26</v>
      </c>
      <c r="C4142" s="2" t="s">
        <v>3022</v>
      </c>
      <c r="D4142" s="1">
        <v>43710</v>
      </c>
      <c r="E4142">
        <f>MONTH(D4142)</f>
        <v>9</v>
      </c>
      <c r="F4142" s="2" t="s">
        <v>2098</v>
      </c>
      <c r="G4142" t="s">
        <v>219</v>
      </c>
      <c r="H4142" t="s">
        <v>220</v>
      </c>
      <c r="I4142" t="s">
        <v>22</v>
      </c>
      <c r="J4142" s="2" t="s">
        <v>42</v>
      </c>
      <c r="K4142" s="2" t="s">
        <v>3019</v>
      </c>
      <c r="L4142" t="s">
        <v>25</v>
      </c>
      <c r="M4142" s="10" t="s">
        <v>26</v>
      </c>
      <c r="N4142" t="s">
        <v>26</v>
      </c>
      <c r="O4142" s="10" t="s">
        <v>26</v>
      </c>
      <c r="P4142" s="8" t="s">
        <v>26</v>
      </c>
      <c r="Q4142" s="8">
        <f>(4437920*100)/4638971</f>
        <v>95.666043180696747</v>
      </c>
    </row>
    <row r="4143" spans="1:17" x14ac:dyDescent="0.2">
      <c r="A4143">
        <f>YEAR(D4143)</f>
        <v>2019</v>
      </c>
      <c r="B4143" t="s">
        <v>26</v>
      </c>
      <c r="C4143" s="2" t="s">
        <v>3022</v>
      </c>
      <c r="D4143" s="1">
        <v>43710</v>
      </c>
      <c r="E4143">
        <f>MONTH(D4143)</f>
        <v>9</v>
      </c>
      <c r="F4143" s="2" t="s">
        <v>2098</v>
      </c>
      <c r="G4143" t="s">
        <v>219</v>
      </c>
      <c r="H4143" t="s">
        <v>220</v>
      </c>
      <c r="I4143" t="s">
        <v>22</v>
      </c>
      <c r="J4143" s="2" t="s">
        <v>42</v>
      </c>
      <c r="K4143" s="2" t="s">
        <v>3019</v>
      </c>
      <c r="L4143" t="s">
        <v>25</v>
      </c>
      <c r="M4143" s="10" t="s">
        <v>26</v>
      </c>
      <c r="N4143" t="s">
        <v>26</v>
      </c>
      <c r="O4143" s="10" t="s">
        <v>26</v>
      </c>
      <c r="P4143" s="8" t="s">
        <v>26</v>
      </c>
      <c r="Q4143" s="8">
        <f>(4437920*100)/4638971</f>
        <v>95.666043180696747</v>
      </c>
    </row>
    <row r="4144" spans="1:17" x14ac:dyDescent="0.2">
      <c r="A4144">
        <f>YEAR(D4144)</f>
        <v>2019</v>
      </c>
      <c r="B4144" t="s">
        <v>26</v>
      </c>
      <c r="C4144" s="2" t="s">
        <v>3022</v>
      </c>
      <c r="D4144" s="1">
        <v>43710</v>
      </c>
      <c r="E4144">
        <f>MONTH(D4144)</f>
        <v>9</v>
      </c>
      <c r="F4144" s="2" t="s">
        <v>2098</v>
      </c>
      <c r="G4144" t="s">
        <v>219</v>
      </c>
      <c r="H4144" t="s">
        <v>220</v>
      </c>
      <c r="I4144" t="s">
        <v>22</v>
      </c>
      <c r="J4144" s="2" t="s">
        <v>42</v>
      </c>
      <c r="K4144" s="2" t="s">
        <v>3019</v>
      </c>
      <c r="L4144" t="s">
        <v>25</v>
      </c>
      <c r="M4144" s="10" t="s">
        <v>26</v>
      </c>
      <c r="N4144" t="s">
        <v>26</v>
      </c>
      <c r="O4144" s="10" t="s">
        <v>26</v>
      </c>
      <c r="P4144" s="8" t="s">
        <v>26</v>
      </c>
      <c r="Q4144" s="8">
        <f>(4437920*100)/4638971</f>
        <v>95.666043180696747</v>
      </c>
    </row>
    <row r="4145" spans="1:17" x14ac:dyDescent="0.2">
      <c r="A4145">
        <f>YEAR(D4145)</f>
        <v>2019</v>
      </c>
      <c r="B4145" t="s">
        <v>26</v>
      </c>
      <c r="C4145" s="2" t="s">
        <v>3022</v>
      </c>
      <c r="D4145" s="1">
        <v>43710</v>
      </c>
      <c r="E4145">
        <f>MONTH(D4145)</f>
        <v>9</v>
      </c>
      <c r="F4145" s="2" t="s">
        <v>2098</v>
      </c>
      <c r="G4145" t="s">
        <v>219</v>
      </c>
      <c r="H4145" t="s">
        <v>220</v>
      </c>
      <c r="I4145" t="s">
        <v>22</v>
      </c>
      <c r="J4145" s="2" t="s">
        <v>42</v>
      </c>
      <c r="K4145" s="2" t="s">
        <v>3019</v>
      </c>
      <c r="L4145" t="s">
        <v>25</v>
      </c>
      <c r="M4145" s="10" t="s">
        <v>26</v>
      </c>
      <c r="N4145" t="s">
        <v>26</v>
      </c>
      <c r="O4145" s="10" t="s">
        <v>26</v>
      </c>
      <c r="P4145" s="8" t="s">
        <v>26</v>
      </c>
      <c r="Q4145" s="8">
        <f>(4437920*100)/4638971</f>
        <v>95.666043180696747</v>
      </c>
    </row>
    <row r="4146" spans="1:17" x14ac:dyDescent="0.2">
      <c r="A4146">
        <f>YEAR(D4146)</f>
        <v>2019</v>
      </c>
      <c r="B4146" t="s">
        <v>26</v>
      </c>
      <c r="C4146" s="2" t="s">
        <v>3022</v>
      </c>
      <c r="D4146" s="1">
        <v>43710</v>
      </c>
      <c r="E4146">
        <f>MONTH(D4146)</f>
        <v>9</v>
      </c>
      <c r="F4146" s="2" t="s">
        <v>2098</v>
      </c>
      <c r="G4146" t="s">
        <v>219</v>
      </c>
      <c r="H4146" t="s">
        <v>220</v>
      </c>
      <c r="I4146" t="s">
        <v>22</v>
      </c>
      <c r="J4146" s="2" t="s">
        <v>42</v>
      </c>
      <c r="K4146" s="2" t="s">
        <v>3019</v>
      </c>
      <c r="L4146" t="s">
        <v>25</v>
      </c>
      <c r="M4146" s="10" t="s">
        <v>26</v>
      </c>
      <c r="N4146" t="s">
        <v>26</v>
      </c>
      <c r="O4146" s="10" t="s">
        <v>26</v>
      </c>
      <c r="P4146" s="8" t="s">
        <v>26</v>
      </c>
      <c r="Q4146" s="8">
        <f>(4437920*100)/4638971</f>
        <v>95.666043180696747</v>
      </c>
    </row>
    <row r="4147" spans="1:17" x14ac:dyDescent="0.2">
      <c r="A4147">
        <f>YEAR(D4147)</f>
        <v>2019</v>
      </c>
      <c r="B4147" t="s">
        <v>26</v>
      </c>
      <c r="C4147" s="2" t="s">
        <v>3022</v>
      </c>
      <c r="D4147" s="1">
        <v>43710</v>
      </c>
      <c r="E4147">
        <f>MONTH(D4147)</f>
        <v>9</v>
      </c>
      <c r="F4147" s="2" t="s">
        <v>2098</v>
      </c>
      <c r="G4147" t="s">
        <v>219</v>
      </c>
      <c r="H4147" t="s">
        <v>220</v>
      </c>
      <c r="I4147" t="s">
        <v>22</v>
      </c>
      <c r="J4147" s="2" t="s">
        <v>42</v>
      </c>
      <c r="K4147" s="2" t="s">
        <v>3019</v>
      </c>
      <c r="L4147" t="s">
        <v>25</v>
      </c>
      <c r="M4147" s="10" t="s">
        <v>26</v>
      </c>
      <c r="N4147" t="s">
        <v>26</v>
      </c>
      <c r="O4147" s="10" t="s">
        <v>26</v>
      </c>
      <c r="P4147" s="8" t="s">
        <v>26</v>
      </c>
      <c r="Q4147" s="8">
        <f>(4437920*100)/4638971</f>
        <v>95.666043180696747</v>
      </c>
    </row>
    <row r="4148" spans="1:17" x14ac:dyDescent="0.2">
      <c r="A4148">
        <f>YEAR(D4148)</f>
        <v>2019</v>
      </c>
      <c r="B4148" t="s">
        <v>26</v>
      </c>
      <c r="C4148" s="2" t="s">
        <v>3022</v>
      </c>
      <c r="D4148" s="1">
        <v>43710</v>
      </c>
      <c r="E4148">
        <f>MONTH(D4148)</f>
        <v>9</v>
      </c>
      <c r="F4148" s="2" t="s">
        <v>2098</v>
      </c>
      <c r="G4148" t="s">
        <v>219</v>
      </c>
      <c r="H4148" t="s">
        <v>220</v>
      </c>
      <c r="I4148" t="s">
        <v>22</v>
      </c>
      <c r="J4148" s="2" t="s">
        <v>42</v>
      </c>
      <c r="K4148" s="2" t="s">
        <v>3019</v>
      </c>
      <c r="L4148" t="s">
        <v>25</v>
      </c>
      <c r="M4148" s="10" t="s">
        <v>26</v>
      </c>
      <c r="N4148" t="s">
        <v>26</v>
      </c>
      <c r="O4148" s="10" t="s">
        <v>26</v>
      </c>
      <c r="P4148" s="8" t="s">
        <v>26</v>
      </c>
      <c r="Q4148" s="8">
        <f>(4437920*100)/4638971</f>
        <v>95.666043180696747</v>
      </c>
    </row>
    <row r="4149" spans="1:17" x14ac:dyDescent="0.2">
      <c r="A4149">
        <f>YEAR(D4149)</f>
        <v>2019</v>
      </c>
      <c r="B4149" t="s">
        <v>26</v>
      </c>
      <c r="C4149" s="2" t="s">
        <v>3022</v>
      </c>
      <c r="D4149" s="1">
        <v>43710</v>
      </c>
      <c r="E4149">
        <f>MONTH(D4149)</f>
        <v>9</v>
      </c>
      <c r="F4149" s="2" t="s">
        <v>2098</v>
      </c>
      <c r="G4149" t="s">
        <v>219</v>
      </c>
      <c r="H4149" t="s">
        <v>220</v>
      </c>
      <c r="I4149" t="s">
        <v>22</v>
      </c>
      <c r="J4149" s="2" t="s">
        <v>42</v>
      </c>
      <c r="K4149" s="2" t="s">
        <v>3019</v>
      </c>
      <c r="L4149" t="s">
        <v>25</v>
      </c>
      <c r="M4149" s="10" t="s">
        <v>26</v>
      </c>
      <c r="N4149" t="s">
        <v>26</v>
      </c>
      <c r="O4149" s="10" t="s">
        <v>26</v>
      </c>
      <c r="P4149" s="8" t="s">
        <v>26</v>
      </c>
      <c r="Q4149" s="8">
        <f>(4437920*100)/4638971</f>
        <v>95.666043180696747</v>
      </c>
    </row>
    <row r="4150" spans="1:17" x14ac:dyDescent="0.2">
      <c r="A4150">
        <f>YEAR(D4150)</f>
        <v>2019</v>
      </c>
      <c r="B4150" t="s">
        <v>26</v>
      </c>
      <c r="C4150" s="2" t="s">
        <v>3022</v>
      </c>
      <c r="D4150" s="1">
        <v>43710</v>
      </c>
      <c r="E4150">
        <f>MONTH(D4150)</f>
        <v>9</v>
      </c>
      <c r="F4150" s="2" t="s">
        <v>2098</v>
      </c>
      <c r="G4150" t="s">
        <v>219</v>
      </c>
      <c r="H4150" t="s">
        <v>220</v>
      </c>
      <c r="I4150" t="s">
        <v>22</v>
      </c>
      <c r="J4150" s="2" t="s">
        <v>42</v>
      </c>
      <c r="K4150" s="2" t="s">
        <v>3019</v>
      </c>
      <c r="L4150" t="s">
        <v>25</v>
      </c>
      <c r="M4150" s="10" t="s">
        <v>26</v>
      </c>
      <c r="N4150" t="s">
        <v>26</v>
      </c>
      <c r="O4150" s="10" t="s">
        <v>26</v>
      </c>
      <c r="P4150" s="8" t="s">
        <v>26</v>
      </c>
      <c r="Q4150" s="8">
        <f>(4437920*100)/4638971</f>
        <v>95.666043180696747</v>
      </c>
    </row>
    <row r="4151" spans="1:17" x14ac:dyDescent="0.2">
      <c r="A4151">
        <f>YEAR(D4151)</f>
        <v>2019</v>
      </c>
      <c r="B4151" t="s">
        <v>26</v>
      </c>
      <c r="C4151" s="2" t="s">
        <v>3022</v>
      </c>
      <c r="D4151" s="1">
        <v>43710</v>
      </c>
      <c r="E4151">
        <f>MONTH(D4151)</f>
        <v>9</v>
      </c>
      <c r="F4151" s="2" t="s">
        <v>2098</v>
      </c>
      <c r="G4151" t="s">
        <v>219</v>
      </c>
      <c r="H4151" t="s">
        <v>220</v>
      </c>
      <c r="I4151" t="s">
        <v>22</v>
      </c>
      <c r="J4151" s="2" t="s">
        <v>42</v>
      </c>
      <c r="K4151" s="2" t="s">
        <v>3019</v>
      </c>
      <c r="L4151" t="s">
        <v>25</v>
      </c>
      <c r="M4151" s="10" t="s">
        <v>26</v>
      </c>
      <c r="N4151" t="s">
        <v>26</v>
      </c>
      <c r="O4151" s="10" t="s">
        <v>26</v>
      </c>
      <c r="P4151" s="8" t="s">
        <v>26</v>
      </c>
      <c r="Q4151" s="8">
        <f>(4437920*100)/4638971</f>
        <v>95.666043180696747</v>
      </c>
    </row>
    <row r="4152" spans="1:17" x14ac:dyDescent="0.2">
      <c r="A4152">
        <f>YEAR(D4152)</f>
        <v>2019</v>
      </c>
      <c r="B4152" t="s">
        <v>26</v>
      </c>
      <c r="C4152" s="2" t="s">
        <v>3022</v>
      </c>
      <c r="D4152" s="1">
        <v>43710</v>
      </c>
      <c r="E4152">
        <f>MONTH(D4152)</f>
        <v>9</v>
      </c>
      <c r="F4152" s="2" t="s">
        <v>2098</v>
      </c>
      <c r="G4152" t="s">
        <v>230</v>
      </c>
      <c r="H4152" t="s">
        <v>268</v>
      </c>
      <c r="I4152" t="s">
        <v>22</v>
      </c>
      <c r="J4152" s="2" t="s">
        <v>42</v>
      </c>
      <c r="K4152" s="2" t="s">
        <v>3019</v>
      </c>
      <c r="L4152" t="s">
        <v>25</v>
      </c>
      <c r="M4152" s="8">
        <v>3.5356666670000001</v>
      </c>
      <c r="N4152" t="s">
        <v>26</v>
      </c>
      <c r="O4152" s="8">
        <v>3.5356666670000001</v>
      </c>
      <c r="P4152" s="8">
        <f>EXP(-1.363+3.366*LOG(O4152,10))</f>
        <v>1.6211802664427075</v>
      </c>
      <c r="Q4152" s="8">
        <f>(4437920*100)/4638971</f>
        <v>95.666043180696747</v>
      </c>
    </row>
    <row r="4153" spans="1:17" x14ac:dyDescent="0.2">
      <c r="A4153">
        <f>YEAR(D4153)</f>
        <v>2019</v>
      </c>
      <c r="B4153" t="s">
        <v>26</v>
      </c>
      <c r="C4153" s="2" t="s">
        <v>3022</v>
      </c>
      <c r="D4153" s="1">
        <v>43710</v>
      </c>
      <c r="E4153">
        <f>MONTH(D4153)</f>
        <v>9</v>
      </c>
      <c r="F4153" s="2" t="s">
        <v>2098</v>
      </c>
      <c r="G4153" t="s">
        <v>230</v>
      </c>
      <c r="H4153" t="s">
        <v>268</v>
      </c>
      <c r="I4153" t="s">
        <v>22</v>
      </c>
      <c r="J4153" s="2" t="s">
        <v>42</v>
      </c>
      <c r="K4153" s="2" t="s">
        <v>3019</v>
      </c>
      <c r="L4153" t="s">
        <v>25</v>
      </c>
      <c r="M4153" s="8">
        <v>3.5356666670000001</v>
      </c>
      <c r="N4153" t="s">
        <v>26</v>
      </c>
      <c r="O4153" s="8">
        <v>3.5356666670000001</v>
      </c>
      <c r="P4153" s="8">
        <f>EXP(-1.363+3.366*LOG(O4153,10))</f>
        <v>1.6211802664427075</v>
      </c>
      <c r="Q4153" s="8">
        <f>(4437920*100)/4638971</f>
        <v>95.666043180696747</v>
      </c>
    </row>
    <row r="4154" spans="1:17" x14ac:dyDescent="0.2">
      <c r="A4154">
        <f>YEAR(D4154)</f>
        <v>2019</v>
      </c>
      <c r="B4154" t="s">
        <v>26</v>
      </c>
      <c r="C4154" s="2" t="s">
        <v>3022</v>
      </c>
      <c r="D4154" s="1">
        <v>43710</v>
      </c>
      <c r="E4154">
        <f>MONTH(D4154)</f>
        <v>9</v>
      </c>
      <c r="F4154" s="2" t="s">
        <v>2098</v>
      </c>
      <c r="G4154" t="s">
        <v>318</v>
      </c>
      <c r="H4154" t="s">
        <v>319</v>
      </c>
      <c r="I4154" t="s">
        <v>36</v>
      </c>
      <c r="J4154" s="2" t="s">
        <v>42</v>
      </c>
      <c r="K4154" s="2" t="s">
        <v>3019</v>
      </c>
      <c r="L4154" t="s">
        <v>25</v>
      </c>
      <c r="M4154" s="8">
        <v>5.5119999999999996</v>
      </c>
      <c r="N4154" t="s">
        <v>26</v>
      </c>
      <c r="O4154" s="8">
        <v>5.5119999999999996</v>
      </c>
      <c r="P4154" s="8">
        <f>EXP(-1.363+3.366*LOG(O4154,10))</f>
        <v>3.1026196317879862</v>
      </c>
      <c r="Q4154" s="8">
        <f>(4437920*100)/4638971</f>
        <v>95.666043180696747</v>
      </c>
    </row>
    <row r="4155" spans="1:17" x14ac:dyDescent="0.2">
      <c r="A4155">
        <f>YEAR(D4155)</f>
        <v>2019</v>
      </c>
      <c r="B4155" t="s">
        <v>26</v>
      </c>
      <c r="C4155" s="2" t="s">
        <v>3022</v>
      </c>
      <c r="D4155" s="1">
        <v>43710</v>
      </c>
      <c r="E4155">
        <f>MONTH(D4155)</f>
        <v>9</v>
      </c>
      <c r="F4155" s="2" t="s">
        <v>2098</v>
      </c>
      <c r="G4155" t="s">
        <v>318</v>
      </c>
      <c r="H4155" t="s">
        <v>319</v>
      </c>
      <c r="I4155" t="s">
        <v>36</v>
      </c>
      <c r="J4155" s="2" t="s">
        <v>42</v>
      </c>
      <c r="K4155" s="2" t="s">
        <v>3019</v>
      </c>
      <c r="L4155" t="s">
        <v>25</v>
      </c>
      <c r="M4155" s="8">
        <v>5.5119999999999996</v>
      </c>
      <c r="N4155" t="s">
        <v>26</v>
      </c>
      <c r="O4155" s="8">
        <v>5.5119999999999996</v>
      </c>
      <c r="P4155" s="8">
        <f>EXP(-1.363+3.366*LOG(O4155,10))</f>
        <v>3.1026196317879862</v>
      </c>
      <c r="Q4155" s="8">
        <f>(4437920*100)/4638971</f>
        <v>95.666043180696747</v>
      </c>
    </row>
    <row r="4156" spans="1:17" x14ac:dyDescent="0.2">
      <c r="A4156">
        <f>YEAR(D4156)</f>
        <v>2019</v>
      </c>
      <c r="B4156" t="s">
        <v>26</v>
      </c>
      <c r="C4156" s="2" t="s">
        <v>3022</v>
      </c>
      <c r="D4156" s="1">
        <v>43710</v>
      </c>
      <c r="E4156">
        <f>MONTH(D4156)</f>
        <v>9</v>
      </c>
      <c r="F4156" s="2" t="s">
        <v>2098</v>
      </c>
      <c r="G4156" t="s">
        <v>230</v>
      </c>
      <c r="H4156" t="s">
        <v>255</v>
      </c>
      <c r="I4156" t="s">
        <v>22</v>
      </c>
      <c r="J4156" s="2" t="s">
        <v>42</v>
      </c>
      <c r="K4156" s="2" t="s">
        <v>3019</v>
      </c>
      <c r="L4156" t="s">
        <v>25</v>
      </c>
      <c r="M4156" s="8">
        <v>3.1943333329999999</v>
      </c>
      <c r="N4156" t="s">
        <v>26</v>
      </c>
      <c r="O4156" s="8">
        <v>3.1943333329999999</v>
      </c>
      <c r="P4156" s="8">
        <f>EXP(-1.363+3.366*LOG(O4156,10))</f>
        <v>1.3975823704079444</v>
      </c>
      <c r="Q4156" s="8">
        <f>(4437920*100)/4638971</f>
        <v>95.666043180696747</v>
      </c>
    </row>
    <row r="4157" spans="1:17" x14ac:dyDescent="0.2">
      <c r="A4157">
        <f>YEAR(D4157)</f>
        <v>2019</v>
      </c>
      <c r="B4157" t="s">
        <v>26</v>
      </c>
      <c r="C4157" s="2" t="s">
        <v>3022</v>
      </c>
      <c r="D4157" s="1">
        <v>43710</v>
      </c>
      <c r="E4157">
        <f>MONTH(D4157)</f>
        <v>9</v>
      </c>
      <c r="F4157" s="2" t="s">
        <v>2098</v>
      </c>
      <c r="G4157" t="s">
        <v>230</v>
      </c>
      <c r="H4157" t="s">
        <v>255</v>
      </c>
      <c r="I4157" t="s">
        <v>22</v>
      </c>
      <c r="J4157" s="2" t="s">
        <v>42</v>
      </c>
      <c r="K4157" s="2" t="s">
        <v>3019</v>
      </c>
      <c r="L4157" t="s">
        <v>25</v>
      </c>
      <c r="M4157" s="8">
        <v>3.1943333329999999</v>
      </c>
      <c r="N4157" t="s">
        <v>26</v>
      </c>
      <c r="O4157" s="8">
        <v>3.1943333329999999</v>
      </c>
      <c r="P4157" s="8">
        <f>EXP(-1.363+3.366*LOG(O4157,10))</f>
        <v>1.3975823704079444</v>
      </c>
      <c r="Q4157" s="8">
        <f>(4437920*100)/4638971</f>
        <v>95.666043180696747</v>
      </c>
    </row>
    <row r="4158" spans="1:17" x14ac:dyDescent="0.2">
      <c r="A4158">
        <f>YEAR(D4158)</f>
        <v>2019</v>
      </c>
      <c r="B4158" t="s">
        <v>26</v>
      </c>
      <c r="C4158" s="2" t="s">
        <v>3022</v>
      </c>
      <c r="D4158" s="1">
        <v>43710</v>
      </c>
      <c r="E4158">
        <f>MONTH(D4158)</f>
        <v>9</v>
      </c>
      <c r="F4158" s="2" t="s">
        <v>2098</v>
      </c>
      <c r="G4158" t="s">
        <v>219</v>
      </c>
      <c r="H4158" t="s">
        <v>220</v>
      </c>
      <c r="I4158" t="s">
        <v>22</v>
      </c>
      <c r="J4158" s="2" t="s">
        <v>42</v>
      </c>
      <c r="K4158" s="2" t="s">
        <v>3019</v>
      </c>
      <c r="L4158" t="s">
        <v>25</v>
      </c>
      <c r="M4158" s="10" t="s">
        <v>26</v>
      </c>
      <c r="N4158" t="s">
        <v>26</v>
      </c>
      <c r="O4158" s="10" t="s">
        <v>26</v>
      </c>
      <c r="P4158" s="8" t="s">
        <v>26</v>
      </c>
      <c r="Q4158" s="8">
        <f>(4437920*100)/4638971</f>
        <v>95.666043180696747</v>
      </c>
    </row>
    <row r="4159" spans="1:17" x14ac:dyDescent="0.2">
      <c r="A4159">
        <f>YEAR(D4159)</f>
        <v>2019</v>
      </c>
      <c r="B4159" t="s">
        <v>26</v>
      </c>
      <c r="C4159" s="2" t="s">
        <v>3022</v>
      </c>
      <c r="D4159" s="1">
        <v>43710</v>
      </c>
      <c r="E4159">
        <f>MONTH(D4159)</f>
        <v>9</v>
      </c>
      <c r="F4159" s="2" t="s">
        <v>2098</v>
      </c>
      <c r="G4159" t="s">
        <v>219</v>
      </c>
      <c r="H4159" t="s">
        <v>220</v>
      </c>
      <c r="I4159" t="s">
        <v>22</v>
      </c>
      <c r="J4159" s="2" t="s">
        <v>42</v>
      </c>
      <c r="K4159" s="2" t="s">
        <v>3019</v>
      </c>
      <c r="L4159" t="s">
        <v>25</v>
      </c>
      <c r="M4159" s="10" t="s">
        <v>26</v>
      </c>
      <c r="N4159" t="s">
        <v>26</v>
      </c>
      <c r="O4159" s="10" t="s">
        <v>26</v>
      </c>
      <c r="P4159" s="8" t="s">
        <v>26</v>
      </c>
      <c r="Q4159" s="8">
        <f>(4437920*100)/4638971</f>
        <v>95.666043180696747</v>
      </c>
    </row>
    <row r="4160" spans="1:17" x14ac:dyDescent="0.2">
      <c r="A4160">
        <f>YEAR(D4160)</f>
        <v>2019</v>
      </c>
      <c r="B4160" t="s">
        <v>26</v>
      </c>
      <c r="C4160" s="2" t="s">
        <v>3022</v>
      </c>
      <c r="D4160" s="1">
        <v>43710</v>
      </c>
      <c r="E4160">
        <f>MONTH(D4160)</f>
        <v>9</v>
      </c>
      <c r="F4160" s="2" t="s">
        <v>2098</v>
      </c>
      <c r="G4160" t="s">
        <v>219</v>
      </c>
      <c r="H4160" t="s">
        <v>220</v>
      </c>
      <c r="I4160" t="s">
        <v>22</v>
      </c>
      <c r="J4160" s="2" t="s">
        <v>42</v>
      </c>
      <c r="K4160" s="2" t="s">
        <v>3019</v>
      </c>
      <c r="L4160" t="s">
        <v>25</v>
      </c>
      <c r="M4160" s="10" t="s">
        <v>26</v>
      </c>
      <c r="N4160" t="s">
        <v>26</v>
      </c>
      <c r="O4160" s="10" t="s">
        <v>26</v>
      </c>
      <c r="P4160" s="8" t="s">
        <v>26</v>
      </c>
      <c r="Q4160" s="8">
        <f>(4437920*100)/4638971</f>
        <v>95.666043180696747</v>
      </c>
    </row>
    <row r="4161" spans="1:17" x14ac:dyDescent="0.2">
      <c r="A4161">
        <f>YEAR(D4161)</f>
        <v>2019</v>
      </c>
      <c r="B4161" t="s">
        <v>26</v>
      </c>
      <c r="C4161" s="2" t="s">
        <v>3022</v>
      </c>
      <c r="D4161" s="1">
        <v>43710</v>
      </c>
      <c r="E4161">
        <f>MONTH(D4161)</f>
        <v>9</v>
      </c>
      <c r="F4161" s="2" t="s">
        <v>2098</v>
      </c>
      <c r="G4161" t="s">
        <v>219</v>
      </c>
      <c r="H4161" t="s">
        <v>220</v>
      </c>
      <c r="I4161" t="s">
        <v>22</v>
      </c>
      <c r="J4161" s="2" t="s">
        <v>42</v>
      </c>
      <c r="K4161" s="2" t="s">
        <v>3019</v>
      </c>
      <c r="L4161" t="s">
        <v>25</v>
      </c>
      <c r="M4161" s="10" t="s">
        <v>26</v>
      </c>
      <c r="N4161" t="s">
        <v>26</v>
      </c>
      <c r="O4161" s="10" t="s">
        <v>26</v>
      </c>
      <c r="P4161" s="8" t="s">
        <v>26</v>
      </c>
      <c r="Q4161" s="8">
        <f>(4437920*100)/4638971</f>
        <v>95.666043180696747</v>
      </c>
    </row>
    <row r="4162" spans="1:17" x14ac:dyDescent="0.2">
      <c r="A4162">
        <f>YEAR(D4162)</f>
        <v>2019</v>
      </c>
      <c r="B4162" t="s">
        <v>26</v>
      </c>
      <c r="C4162" s="2" t="s">
        <v>3023</v>
      </c>
      <c r="D4162" s="1">
        <v>43710</v>
      </c>
      <c r="E4162">
        <f>MONTH(D4162)</f>
        <v>9</v>
      </c>
      <c r="F4162" s="2" t="s">
        <v>2098</v>
      </c>
      <c r="G4162" t="s">
        <v>219</v>
      </c>
      <c r="H4162" t="s">
        <v>220</v>
      </c>
      <c r="I4162" t="s">
        <v>22</v>
      </c>
      <c r="J4162" s="2" t="s">
        <v>42</v>
      </c>
      <c r="K4162" s="2" t="s">
        <v>3019</v>
      </c>
      <c r="L4162" t="s">
        <v>25</v>
      </c>
      <c r="M4162" s="10" t="s">
        <v>26</v>
      </c>
      <c r="N4162" t="s">
        <v>26</v>
      </c>
      <c r="O4162" s="10" t="s">
        <v>26</v>
      </c>
      <c r="P4162" s="8" t="s">
        <v>26</v>
      </c>
      <c r="Q4162" s="8">
        <f>(8197453*100)/8541008</f>
        <v>95.977582505484136</v>
      </c>
    </row>
    <row r="4163" spans="1:17" x14ac:dyDescent="0.2">
      <c r="A4163">
        <f>YEAR(D4163)</f>
        <v>2019</v>
      </c>
      <c r="B4163" t="s">
        <v>26</v>
      </c>
      <c r="C4163" s="2" t="s">
        <v>3023</v>
      </c>
      <c r="D4163" s="1">
        <v>43710</v>
      </c>
      <c r="E4163">
        <f>MONTH(D4163)</f>
        <v>9</v>
      </c>
      <c r="F4163" s="2" t="s">
        <v>2098</v>
      </c>
      <c r="G4163" t="s">
        <v>219</v>
      </c>
      <c r="H4163" t="s">
        <v>220</v>
      </c>
      <c r="I4163" t="s">
        <v>22</v>
      </c>
      <c r="J4163" s="2" t="s">
        <v>42</v>
      </c>
      <c r="K4163" s="2" t="s">
        <v>3019</v>
      </c>
      <c r="L4163" t="s">
        <v>25</v>
      </c>
      <c r="M4163" s="10" t="s">
        <v>26</v>
      </c>
      <c r="N4163" t="s">
        <v>26</v>
      </c>
      <c r="O4163" s="10" t="s">
        <v>26</v>
      </c>
      <c r="P4163" s="8" t="s">
        <v>26</v>
      </c>
      <c r="Q4163" s="8">
        <f>(8197453*100)/8541008</f>
        <v>95.977582505484136</v>
      </c>
    </row>
    <row r="4164" spans="1:17" x14ac:dyDescent="0.2">
      <c r="A4164">
        <f>YEAR(D4164)</f>
        <v>2019</v>
      </c>
      <c r="B4164" t="s">
        <v>26</v>
      </c>
      <c r="C4164" s="2" t="s">
        <v>3023</v>
      </c>
      <c r="D4164" s="1">
        <v>43710</v>
      </c>
      <c r="E4164">
        <f>MONTH(D4164)</f>
        <v>9</v>
      </c>
      <c r="F4164" s="2" t="s">
        <v>2098</v>
      </c>
      <c r="G4164" t="s">
        <v>219</v>
      </c>
      <c r="H4164" t="s">
        <v>220</v>
      </c>
      <c r="I4164" t="s">
        <v>22</v>
      </c>
      <c r="J4164" s="2" t="s">
        <v>42</v>
      </c>
      <c r="K4164" s="2" t="s">
        <v>3019</v>
      </c>
      <c r="L4164" t="s">
        <v>25</v>
      </c>
      <c r="M4164" s="10" t="s">
        <v>26</v>
      </c>
      <c r="N4164" t="s">
        <v>26</v>
      </c>
      <c r="O4164" s="10" t="s">
        <v>26</v>
      </c>
      <c r="P4164" s="8" t="s">
        <v>26</v>
      </c>
      <c r="Q4164" s="8">
        <f>(8197453*100)/8541008</f>
        <v>95.977582505484136</v>
      </c>
    </row>
    <row r="4165" spans="1:17" x14ac:dyDescent="0.2">
      <c r="A4165">
        <f>YEAR(D4165)</f>
        <v>2019</v>
      </c>
      <c r="B4165" t="s">
        <v>26</v>
      </c>
      <c r="C4165" s="2" t="s">
        <v>3022</v>
      </c>
      <c r="D4165" s="1">
        <v>43710</v>
      </c>
      <c r="E4165">
        <f>MONTH(D4165)</f>
        <v>9</v>
      </c>
      <c r="F4165" s="2" t="s">
        <v>2098</v>
      </c>
      <c r="G4165" t="s">
        <v>230</v>
      </c>
      <c r="H4165" t="s">
        <v>259</v>
      </c>
      <c r="I4165" t="s">
        <v>36</v>
      </c>
      <c r="J4165" s="2" t="s">
        <v>42</v>
      </c>
      <c r="K4165" s="2" t="s">
        <v>3019</v>
      </c>
      <c r="L4165" t="s">
        <v>25</v>
      </c>
      <c r="M4165" s="8">
        <v>4.745333333333333</v>
      </c>
      <c r="N4165" t="s">
        <v>26</v>
      </c>
      <c r="O4165" s="8">
        <v>4.745333333333333</v>
      </c>
      <c r="P4165" s="8">
        <f>EXP(-1.363+3.366*LOG(O4165,10))</f>
        <v>2.4925687246325761</v>
      </c>
      <c r="Q4165" s="8">
        <f>(4437920*100)/4638971</f>
        <v>95.666043180696747</v>
      </c>
    </row>
    <row r="4166" spans="1:17" x14ac:dyDescent="0.2">
      <c r="A4166">
        <f>YEAR(D4166)</f>
        <v>2019</v>
      </c>
      <c r="B4166" t="s">
        <v>26</v>
      </c>
      <c r="C4166" s="2" t="s">
        <v>3022</v>
      </c>
      <c r="D4166" s="1">
        <v>43710</v>
      </c>
      <c r="E4166">
        <f>MONTH(D4166)</f>
        <v>9</v>
      </c>
      <c r="F4166" s="2" t="s">
        <v>2098</v>
      </c>
      <c r="G4166" t="s">
        <v>230</v>
      </c>
      <c r="H4166" t="s">
        <v>268</v>
      </c>
      <c r="I4166" t="s">
        <v>22</v>
      </c>
      <c r="J4166" s="2" t="s">
        <v>42</v>
      </c>
      <c r="K4166" s="2" t="s">
        <v>3019</v>
      </c>
      <c r="L4166" t="s">
        <v>25</v>
      </c>
      <c r="M4166" s="8">
        <v>3.5356666670000001</v>
      </c>
      <c r="N4166" t="s">
        <v>26</v>
      </c>
      <c r="O4166" s="8">
        <v>3.5356666670000001</v>
      </c>
      <c r="P4166" s="8">
        <f>EXP(-1.363+3.366*LOG(O4166,10))</f>
        <v>1.6211802664427075</v>
      </c>
      <c r="Q4166" s="8">
        <f>(4437920*100)/4638971</f>
        <v>95.666043180696747</v>
      </c>
    </row>
    <row r="4167" spans="1:17" x14ac:dyDescent="0.2">
      <c r="A4167">
        <f>YEAR(D4167)</f>
        <v>2019</v>
      </c>
      <c r="B4167" t="s">
        <v>26</v>
      </c>
      <c r="C4167" s="2" t="s">
        <v>3022</v>
      </c>
      <c r="D4167" s="1">
        <v>43710</v>
      </c>
      <c r="E4167">
        <f>MONTH(D4167)</f>
        <v>9</v>
      </c>
      <c r="F4167" s="2" t="s">
        <v>2098</v>
      </c>
      <c r="G4167" t="s">
        <v>332</v>
      </c>
      <c r="H4167" t="s">
        <v>327</v>
      </c>
      <c r="I4167" t="s">
        <v>22</v>
      </c>
      <c r="J4167" s="2" t="s">
        <v>42</v>
      </c>
      <c r="K4167" s="2" t="s">
        <v>3019</v>
      </c>
      <c r="L4167" t="s">
        <v>25</v>
      </c>
      <c r="M4167" s="8">
        <v>1.239333333</v>
      </c>
      <c r="N4167" t="s">
        <v>26</v>
      </c>
      <c r="O4167" s="8">
        <v>1.239333333</v>
      </c>
      <c r="P4167" s="8">
        <f>EXP(-1.363+3.366*LOG(O4167,10))</f>
        <v>0.35017272283851147</v>
      </c>
      <c r="Q4167" s="8">
        <f>(4437920*100)/4638971</f>
        <v>95.666043180696747</v>
      </c>
    </row>
    <row r="4168" spans="1:17" x14ac:dyDescent="0.2">
      <c r="A4168">
        <f>YEAR(D4168)</f>
        <v>2019</v>
      </c>
      <c r="B4168" t="s">
        <v>26</v>
      </c>
      <c r="C4168" s="2" t="s">
        <v>3022</v>
      </c>
      <c r="D4168" s="1">
        <v>43710</v>
      </c>
      <c r="E4168">
        <f>MONTH(D4168)</f>
        <v>9</v>
      </c>
      <c r="F4168" s="2" t="s">
        <v>2098</v>
      </c>
      <c r="G4168" t="s">
        <v>362</v>
      </c>
      <c r="H4168" t="s">
        <v>393</v>
      </c>
      <c r="I4168" t="s">
        <v>36</v>
      </c>
      <c r="J4168" s="2" t="s">
        <v>42</v>
      </c>
      <c r="K4168" s="2" t="s">
        <v>3019</v>
      </c>
      <c r="L4168" t="s">
        <v>25</v>
      </c>
      <c r="M4168" s="8">
        <v>2.2189999999999999</v>
      </c>
      <c r="N4168" t="s">
        <v>26</v>
      </c>
      <c r="O4168" s="8">
        <v>2.2189999999999999</v>
      </c>
      <c r="P4168" s="8">
        <f>EXP(-1.363+3.366*LOG(O4168,10))</f>
        <v>0.82050561861036375</v>
      </c>
      <c r="Q4168" s="8">
        <f>(4437920*100)/4638971</f>
        <v>95.666043180696747</v>
      </c>
    </row>
    <row r="4169" spans="1:17" x14ac:dyDescent="0.2">
      <c r="A4169">
        <f>YEAR(D4169)</f>
        <v>2019</v>
      </c>
      <c r="B4169" t="s">
        <v>26</v>
      </c>
      <c r="C4169" s="2" t="s">
        <v>3022</v>
      </c>
      <c r="D4169" s="1">
        <v>43710</v>
      </c>
      <c r="E4169">
        <f>MONTH(D4169)</f>
        <v>9</v>
      </c>
      <c r="F4169" s="2" t="s">
        <v>2098</v>
      </c>
      <c r="G4169" t="s">
        <v>230</v>
      </c>
      <c r="H4169" t="s">
        <v>268</v>
      </c>
      <c r="I4169" t="s">
        <v>36</v>
      </c>
      <c r="J4169" s="2" t="s">
        <v>42</v>
      </c>
      <c r="K4169" s="2" t="s">
        <v>3019</v>
      </c>
      <c r="L4169" t="s">
        <v>25</v>
      </c>
      <c r="M4169" s="8">
        <v>3.3683333329999998</v>
      </c>
      <c r="N4169" t="s">
        <v>26</v>
      </c>
      <c r="O4169" s="8">
        <v>3.3683333329999998</v>
      </c>
      <c r="P4169" s="8">
        <f>EXP(-1.363+3.366*LOG(O4169,10))</f>
        <v>1.510255893489963</v>
      </c>
      <c r="Q4169" s="8">
        <f>(4437920*100)/4638971</f>
        <v>95.666043180696747</v>
      </c>
    </row>
    <row r="4170" spans="1:17" x14ac:dyDescent="0.2">
      <c r="A4170">
        <f>YEAR(D4170)</f>
        <v>2019</v>
      </c>
      <c r="B4170" t="s">
        <v>26</v>
      </c>
      <c r="C4170" s="2" t="s">
        <v>3022</v>
      </c>
      <c r="D4170" s="1">
        <v>43710</v>
      </c>
      <c r="E4170">
        <f>MONTH(D4170)</f>
        <v>9</v>
      </c>
      <c r="F4170" s="2" t="s">
        <v>2098</v>
      </c>
      <c r="G4170" t="s">
        <v>230</v>
      </c>
      <c r="H4170" t="s">
        <v>268</v>
      </c>
      <c r="I4170" t="s">
        <v>22</v>
      </c>
      <c r="J4170" s="2" t="s">
        <v>42</v>
      </c>
      <c r="K4170" s="2" t="s">
        <v>3019</v>
      </c>
      <c r="L4170" t="s">
        <v>25</v>
      </c>
      <c r="M4170" s="8">
        <v>3.5356666670000001</v>
      </c>
      <c r="N4170" t="s">
        <v>26</v>
      </c>
      <c r="O4170" s="8">
        <v>3.5356666670000001</v>
      </c>
      <c r="P4170" s="8">
        <f>EXP(-1.363+3.366*LOG(O4170,10))</f>
        <v>1.6211802664427075</v>
      </c>
      <c r="Q4170" s="8">
        <f>(4437920*100)/4638971</f>
        <v>95.666043180696747</v>
      </c>
    </row>
    <row r="4171" spans="1:17" x14ac:dyDescent="0.2">
      <c r="A4171">
        <f>YEAR(D4171)</f>
        <v>2019</v>
      </c>
      <c r="B4171" t="s">
        <v>26</v>
      </c>
      <c r="C4171" s="2" t="s">
        <v>3022</v>
      </c>
      <c r="D4171" s="1">
        <v>43710</v>
      </c>
      <c r="E4171">
        <f>MONTH(D4171)</f>
        <v>9</v>
      </c>
      <c r="F4171" s="2" t="s">
        <v>2098</v>
      </c>
      <c r="G4171" t="s">
        <v>230</v>
      </c>
      <c r="H4171" t="s">
        <v>268</v>
      </c>
      <c r="I4171" t="s">
        <v>22</v>
      </c>
      <c r="J4171" s="2" t="s">
        <v>42</v>
      </c>
      <c r="K4171" s="2" t="s">
        <v>3019</v>
      </c>
      <c r="L4171" t="s">
        <v>25</v>
      </c>
      <c r="M4171" s="8">
        <v>3.5356666670000001</v>
      </c>
      <c r="N4171" t="s">
        <v>26</v>
      </c>
      <c r="O4171" s="8">
        <v>3.5356666670000001</v>
      </c>
      <c r="P4171" s="8">
        <f>EXP(-1.363+3.366*LOG(O4171,10))</f>
        <v>1.6211802664427075</v>
      </c>
      <c r="Q4171" s="8">
        <f>(4437920*100)/4638971</f>
        <v>95.666043180696747</v>
      </c>
    </row>
    <row r="4172" spans="1:17" x14ac:dyDescent="0.2">
      <c r="A4172">
        <f>YEAR(D4172)</f>
        <v>2019</v>
      </c>
      <c r="B4172" t="s">
        <v>26</v>
      </c>
      <c r="C4172" s="2" t="s">
        <v>3022</v>
      </c>
      <c r="D4172" s="1">
        <v>43710</v>
      </c>
      <c r="E4172">
        <f>MONTH(D4172)</f>
        <v>9</v>
      </c>
      <c r="F4172" s="2" t="s">
        <v>2098</v>
      </c>
      <c r="G4172" t="s">
        <v>230</v>
      </c>
      <c r="H4172" t="s">
        <v>268</v>
      </c>
      <c r="I4172" t="s">
        <v>22</v>
      </c>
      <c r="J4172" s="2" t="s">
        <v>42</v>
      </c>
      <c r="K4172" s="2" t="s">
        <v>3019</v>
      </c>
      <c r="L4172" t="s">
        <v>25</v>
      </c>
      <c r="M4172" s="8">
        <v>3.5356666670000001</v>
      </c>
      <c r="N4172" t="s">
        <v>26</v>
      </c>
      <c r="O4172" s="8">
        <v>3.5356666670000001</v>
      </c>
      <c r="P4172" s="8">
        <f>EXP(-1.363+3.366*LOG(O4172,10))</f>
        <v>1.6211802664427075</v>
      </c>
      <c r="Q4172" s="8">
        <f>(4437920*100)/4638971</f>
        <v>95.666043180696747</v>
      </c>
    </row>
    <row r="4173" spans="1:17" x14ac:dyDescent="0.2">
      <c r="A4173">
        <f>YEAR(D4173)</f>
        <v>2019</v>
      </c>
      <c r="B4173" t="s">
        <v>26</v>
      </c>
      <c r="C4173" s="2" t="s">
        <v>3023</v>
      </c>
      <c r="D4173" s="1">
        <v>43710</v>
      </c>
      <c r="E4173">
        <f>MONTH(D4173)</f>
        <v>9</v>
      </c>
      <c r="F4173" s="2" t="s">
        <v>2098</v>
      </c>
      <c r="G4173" t="s">
        <v>230</v>
      </c>
      <c r="H4173" t="s">
        <v>268</v>
      </c>
      <c r="I4173" t="s">
        <v>22</v>
      </c>
      <c r="J4173" s="2" t="s">
        <v>42</v>
      </c>
      <c r="K4173" s="2" t="s">
        <v>3019</v>
      </c>
      <c r="L4173" t="s">
        <v>25</v>
      </c>
      <c r="M4173" s="8">
        <v>3.5356666670000001</v>
      </c>
      <c r="N4173" t="s">
        <v>26</v>
      </c>
      <c r="O4173" s="8">
        <v>3.5356666670000001</v>
      </c>
      <c r="P4173" s="8">
        <f>EXP(-1.363+3.366*LOG(O4173,10))</f>
        <v>1.6211802664427075</v>
      </c>
      <c r="Q4173" s="8">
        <f>(8197453*100)/8541008</f>
        <v>95.977582505484136</v>
      </c>
    </row>
    <row r="4174" spans="1:17" x14ac:dyDescent="0.2">
      <c r="A4174">
        <f>YEAR(D4174)</f>
        <v>2019</v>
      </c>
      <c r="B4174" t="s">
        <v>26</v>
      </c>
      <c r="C4174" s="2" t="s">
        <v>3023</v>
      </c>
      <c r="D4174" s="1">
        <v>43710</v>
      </c>
      <c r="E4174">
        <f>MONTH(D4174)</f>
        <v>9</v>
      </c>
      <c r="F4174" s="2" t="s">
        <v>2098</v>
      </c>
      <c r="G4174" t="s">
        <v>1520</v>
      </c>
      <c r="H4174" t="s">
        <v>1521</v>
      </c>
      <c r="I4174" t="s">
        <v>36</v>
      </c>
      <c r="J4174" s="2" t="s">
        <v>42</v>
      </c>
      <c r="K4174" s="2" t="s">
        <v>3019</v>
      </c>
      <c r="L4174" t="s">
        <v>25</v>
      </c>
      <c r="M4174" s="8">
        <v>2.3340000000000001</v>
      </c>
      <c r="N4174" t="s">
        <v>26</v>
      </c>
      <c r="O4174" s="8">
        <v>2.3340000000000001</v>
      </c>
      <c r="P4174" s="8">
        <f>EXP(-1.363+3.366*LOG(O4174,10))</f>
        <v>0.88340410488080767</v>
      </c>
      <c r="Q4174" s="8">
        <f>(8197453*100)/8541008</f>
        <v>95.977582505484136</v>
      </c>
    </row>
    <row r="4175" spans="1:17" x14ac:dyDescent="0.2">
      <c r="A4175">
        <f>YEAR(D4175)</f>
        <v>2019</v>
      </c>
      <c r="B4175" t="s">
        <v>26</v>
      </c>
      <c r="C4175" s="2" t="s">
        <v>3023</v>
      </c>
      <c r="D4175" s="1">
        <v>43710</v>
      </c>
      <c r="E4175">
        <f>MONTH(D4175)</f>
        <v>9</v>
      </c>
      <c r="F4175" s="2" t="s">
        <v>2098</v>
      </c>
      <c r="G4175" t="s">
        <v>230</v>
      </c>
      <c r="H4175" t="s">
        <v>268</v>
      </c>
      <c r="I4175" t="s">
        <v>22</v>
      </c>
      <c r="J4175" s="2" t="s">
        <v>42</v>
      </c>
      <c r="K4175" s="2" t="s">
        <v>3019</v>
      </c>
      <c r="L4175" t="s">
        <v>25</v>
      </c>
      <c r="M4175" s="8">
        <v>3.5356666670000001</v>
      </c>
      <c r="N4175" t="s">
        <v>26</v>
      </c>
      <c r="O4175" s="8">
        <v>3.5356666670000001</v>
      </c>
      <c r="P4175" s="8">
        <f>EXP(-1.363+3.366*LOG(O4175,10))</f>
        <v>1.6211802664427075</v>
      </c>
      <c r="Q4175" s="8">
        <f>(8197453*100)/8541008</f>
        <v>95.977582505484136</v>
      </c>
    </row>
    <row r="4176" spans="1:17" x14ac:dyDescent="0.2">
      <c r="A4176">
        <f>YEAR(D4176)</f>
        <v>2019</v>
      </c>
      <c r="B4176" t="s">
        <v>26</v>
      </c>
      <c r="C4176" s="2" t="s">
        <v>3023</v>
      </c>
      <c r="D4176" s="1">
        <v>43710</v>
      </c>
      <c r="E4176">
        <f>MONTH(D4176)</f>
        <v>9</v>
      </c>
      <c r="F4176" s="2" t="s">
        <v>2098</v>
      </c>
      <c r="G4176" t="s">
        <v>352</v>
      </c>
      <c r="H4176" t="s">
        <v>975</v>
      </c>
      <c r="I4176" t="s">
        <v>36</v>
      </c>
      <c r="J4176" s="2" t="s">
        <v>42</v>
      </c>
      <c r="K4176" s="2" t="s">
        <v>3019</v>
      </c>
      <c r="L4176" t="s">
        <v>25</v>
      </c>
      <c r="M4176" s="8">
        <v>0.95199999999999996</v>
      </c>
      <c r="N4176" t="s">
        <v>26</v>
      </c>
      <c r="O4176" s="8">
        <v>0.95199999999999996</v>
      </c>
      <c r="P4176" s="8">
        <f>EXP(-1.363+3.366*LOG(O4176,10))</f>
        <v>0.23813726407794436</v>
      </c>
      <c r="Q4176" s="8">
        <f>(8197453*100)/8541008</f>
        <v>95.977582505484136</v>
      </c>
    </row>
    <row r="4177" spans="1:17" x14ac:dyDescent="0.2">
      <c r="A4177">
        <f>YEAR(D4177)</f>
        <v>2019</v>
      </c>
      <c r="B4177" t="s">
        <v>26</v>
      </c>
      <c r="C4177" s="2" t="s">
        <v>3023</v>
      </c>
      <c r="D4177" s="1">
        <v>43710</v>
      </c>
      <c r="E4177">
        <f>MONTH(D4177)</f>
        <v>9</v>
      </c>
      <c r="F4177" s="2" t="s">
        <v>2098</v>
      </c>
      <c r="G4177" t="s">
        <v>1520</v>
      </c>
      <c r="H4177" t="s">
        <v>1521</v>
      </c>
      <c r="I4177" t="s">
        <v>22</v>
      </c>
      <c r="J4177" s="2" t="s">
        <v>42</v>
      </c>
      <c r="K4177" s="2" t="s">
        <v>3019</v>
      </c>
      <c r="L4177" t="s">
        <v>25</v>
      </c>
      <c r="M4177" s="8">
        <v>2.952</v>
      </c>
      <c r="N4177" t="s">
        <v>26</v>
      </c>
      <c r="O4177" s="8">
        <v>2.952</v>
      </c>
      <c r="P4177" s="8">
        <f>EXP(-1.363+3.366*LOG(O4177,10))</f>
        <v>1.2453438103764427</v>
      </c>
      <c r="Q4177" s="8">
        <f>(8197453*100)/8541008</f>
        <v>95.977582505484136</v>
      </c>
    </row>
    <row r="4178" spans="1:17" x14ac:dyDescent="0.2">
      <c r="A4178">
        <f>YEAR(D4178)</f>
        <v>2019</v>
      </c>
      <c r="B4178" t="s">
        <v>26</v>
      </c>
      <c r="C4178" s="2" t="s">
        <v>3024</v>
      </c>
      <c r="D4178" s="1">
        <v>43711</v>
      </c>
      <c r="E4178">
        <f>MONTH(D4178)</f>
        <v>9</v>
      </c>
      <c r="F4178" s="2" t="s">
        <v>2098</v>
      </c>
      <c r="G4178" t="s">
        <v>219</v>
      </c>
      <c r="H4178" t="s">
        <v>220</v>
      </c>
      <c r="I4178" t="s">
        <v>22</v>
      </c>
      <c r="J4178" s="2" t="s">
        <v>42</v>
      </c>
      <c r="K4178" s="2" t="s">
        <v>3019</v>
      </c>
      <c r="L4178" t="s">
        <v>25</v>
      </c>
      <c r="M4178" s="10" t="s">
        <v>26</v>
      </c>
      <c r="N4178" t="s">
        <v>26</v>
      </c>
      <c r="O4178" s="10" t="s">
        <v>26</v>
      </c>
      <c r="P4178" s="8" t="s">
        <v>26</v>
      </c>
      <c r="Q4178" s="8">
        <f>(2412691*100)/2623642</f>
        <v>91.959611867777696</v>
      </c>
    </row>
    <row r="4179" spans="1:17" x14ac:dyDescent="0.2">
      <c r="A4179">
        <f>YEAR(D4179)</f>
        <v>2019</v>
      </c>
      <c r="B4179" t="s">
        <v>26</v>
      </c>
      <c r="C4179" s="2" t="s">
        <v>3024</v>
      </c>
      <c r="D4179" s="1">
        <v>43711</v>
      </c>
      <c r="E4179">
        <f>MONTH(D4179)</f>
        <v>9</v>
      </c>
      <c r="F4179" s="2" t="s">
        <v>2098</v>
      </c>
      <c r="G4179" t="s">
        <v>219</v>
      </c>
      <c r="H4179" t="s">
        <v>220</v>
      </c>
      <c r="I4179" t="s">
        <v>22</v>
      </c>
      <c r="J4179" s="2" t="s">
        <v>42</v>
      </c>
      <c r="K4179" s="2" t="s">
        <v>3019</v>
      </c>
      <c r="L4179" t="s">
        <v>25</v>
      </c>
      <c r="M4179" s="10" t="s">
        <v>26</v>
      </c>
      <c r="N4179" t="s">
        <v>26</v>
      </c>
      <c r="O4179" s="10" t="s">
        <v>26</v>
      </c>
      <c r="P4179" s="8" t="s">
        <v>26</v>
      </c>
      <c r="Q4179" s="8">
        <f>(2412691*100)/2623642</f>
        <v>91.959611867777696</v>
      </c>
    </row>
    <row r="4180" spans="1:17" x14ac:dyDescent="0.2">
      <c r="A4180">
        <f>YEAR(D4180)</f>
        <v>2019</v>
      </c>
      <c r="B4180" t="s">
        <v>26</v>
      </c>
      <c r="C4180" s="2" t="s">
        <v>3024</v>
      </c>
      <c r="D4180" s="1">
        <v>43711</v>
      </c>
      <c r="E4180">
        <f>MONTH(D4180)</f>
        <v>9</v>
      </c>
      <c r="F4180" s="2" t="s">
        <v>2098</v>
      </c>
      <c r="G4180" t="s">
        <v>219</v>
      </c>
      <c r="H4180" t="s">
        <v>220</v>
      </c>
      <c r="I4180" t="s">
        <v>22</v>
      </c>
      <c r="J4180" s="2" t="s">
        <v>42</v>
      </c>
      <c r="K4180" s="2" t="s">
        <v>3019</v>
      </c>
      <c r="L4180" t="s">
        <v>25</v>
      </c>
      <c r="M4180" s="10" t="s">
        <v>26</v>
      </c>
      <c r="N4180" t="s">
        <v>26</v>
      </c>
      <c r="O4180" s="10" t="s">
        <v>26</v>
      </c>
      <c r="P4180" s="8" t="s">
        <v>26</v>
      </c>
      <c r="Q4180" s="8">
        <f>(2412691*100)/2623642</f>
        <v>91.959611867777696</v>
      </c>
    </row>
    <row r="4181" spans="1:17" x14ac:dyDescent="0.2">
      <c r="A4181">
        <f>YEAR(D4181)</f>
        <v>2019</v>
      </c>
      <c r="B4181" t="s">
        <v>26</v>
      </c>
      <c r="C4181" s="2" t="s">
        <v>3024</v>
      </c>
      <c r="D4181" s="1">
        <v>43711</v>
      </c>
      <c r="E4181">
        <f>MONTH(D4181)</f>
        <v>9</v>
      </c>
      <c r="F4181" s="2" t="s">
        <v>2098</v>
      </c>
      <c r="G4181" t="s">
        <v>219</v>
      </c>
      <c r="H4181" t="s">
        <v>220</v>
      </c>
      <c r="I4181" t="s">
        <v>22</v>
      </c>
      <c r="J4181" s="2" t="s">
        <v>42</v>
      </c>
      <c r="K4181" s="2" t="s">
        <v>3019</v>
      </c>
      <c r="L4181" t="s">
        <v>25</v>
      </c>
      <c r="M4181" s="10" t="s">
        <v>26</v>
      </c>
      <c r="N4181" t="s">
        <v>26</v>
      </c>
      <c r="O4181" s="10" t="s">
        <v>26</v>
      </c>
      <c r="P4181" s="8" t="s">
        <v>26</v>
      </c>
      <c r="Q4181" s="8">
        <f>(2412691*100)/2623642</f>
        <v>91.959611867777696</v>
      </c>
    </row>
    <row r="4182" spans="1:17" x14ac:dyDescent="0.2">
      <c r="A4182">
        <f>YEAR(D4182)</f>
        <v>2019</v>
      </c>
      <c r="B4182" t="s">
        <v>26</v>
      </c>
      <c r="C4182" s="2" t="s">
        <v>3024</v>
      </c>
      <c r="D4182" s="1">
        <v>43711</v>
      </c>
      <c r="E4182">
        <f>MONTH(D4182)</f>
        <v>9</v>
      </c>
      <c r="F4182" s="2" t="s">
        <v>2098</v>
      </c>
      <c r="G4182" t="s">
        <v>219</v>
      </c>
      <c r="H4182" t="s">
        <v>220</v>
      </c>
      <c r="I4182" t="s">
        <v>22</v>
      </c>
      <c r="J4182" s="2" t="s">
        <v>42</v>
      </c>
      <c r="K4182" s="2" t="s">
        <v>3019</v>
      </c>
      <c r="L4182" t="s">
        <v>25</v>
      </c>
      <c r="M4182" s="10" t="s">
        <v>26</v>
      </c>
      <c r="N4182" t="s">
        <v>26</v>
      </c>
      <c r="O4182" s="10" t="s">
        <v>26</v>
      </c>
      <c r="P4182" s="8" t="s">
        <v>26</v>
      </c>
      <c r="Q4182" s="8">
        <f>(2412691*100)/2623642</f>
        <v>91.959611867777696</v>
      </c>
    </row>
    <row r="4183" spans="1:17" x14ac:dyDescent="0.2">
      <c r="A4183">
        <f>YEAR(D4183)</f>
        <v>2019</v>
      </c>
      <c r="B4183" t="s">
        <v>26</v>
      </c>
      <c r="C4183" s="2" t="s">
        <v>3024</v>
      </c>
      <c r="D4183" s="1">
        <v>43711</v>
      </c>
      <c r="E4183">
        <f>MONTH(D4183)</f>
        <v>9</v>
      </c>
      <c r="F4183" s="2" t="s">
        <v>2098</v>
      </c>
      <c r="G4183" t="s">
        <v>219</v>
      </c>
      <c r="H4183" t="s">
        <v>220</v>
      </c>
      <c r="I4183" t="s">
        <v>22</v>
      </c>
      <c r="J4183" s="2" t="s">
        <v>42</v>
      </c>
      <c r="K4183" s="2" t="s">
        <v>3019</v>
      </c>
      <c r="L4183" t="s">
        <v>25</v>
      </c>
      <c r="M4183" s="10" t="s">
        <v>26</v>
      </c>
      <c r="N4183" t="s">
        <v>26</v>
      </c>
      <c r="O4183" s="10" t="s">
        <v>26</v>
      </c>
      <c r="P4183" s="8" t="s">
        <v>26</v>
      </c>
      <c r="Q4183" s="8">
        <f>(2412691*100)/2623642</f>
        <v>91.959611867777696</v>
      </c>
    </row>
    <row r="4184" spans="1:17" x14ac:dyDescent="0.2">
      <c r="A4184">
        <f>YEAR(D4184)</f>
        <v>2019</v>
      </c>
      <c r="B4184" t="s">
        <v>26</v>
      </c>
      <c r="C4184" s="2" t="s">
        <v>3024</v>
      </c>
      <c r="D4184" s="1">
        <v>43711</v>
      </c>
      <c r="E4184">
        <f>MONTH(D4184)</f>
        <v>9</v>
      </c>
      <c r="F4184" s="2" t="s">
        <v>2098</v>
      </c>
      <c r="G4184" t="s">
        <v>219</v>
      </c>
      <c r="H4184" t="s">
        <v>220</v>
      </c>
      <c r="I4184" t="s">
        <v>22</v>
      </c>
      <c r="J4184" s="2" t="s">
        <v>42</v>
      </c>
      <c r="K4184" s="2" t="s">
        <v>3019</v>
      </c>
      <c r="L4184" t="s">
        <v>25</v>
      </c>
      <c r="M4184" s="10" t="s">
        <v>26</v>
      </c>
      <c r="N4184" t="s">
        <v>26</v>
      </c>
      <c r="O4184" s="10" t="s">
        <v>26</v>
      </c>
      <c r="P4184" s="8" t="s">
        <v>26</v>
      </c>
      <c r="Q4184" s="8">
        <f>(2412691*100)/2623642</f>
        <v>91.959611867777696</v>
      </c>
    </row>
    <row r="4185" spans="1:17" x14ac:dyDescent="0.2">
      <c r="A4185">
        <f>YEAR(D4185)</f>
        <v>2019</v>
      </c>
      <c r="B4185" t="s">
        <v>26</v>
      </c>
      <c r="C4185" s="2" t="s">
        <v>3024</v>
      </c>
      <c r="D4185" s="1">
        <v>43711</v>
      </c>
      <c r="E4185">
        <f>MONTH(D4185)</f>
        <v>9</v>
      </c>
      <c r="F4185" s="2" t="s">
        <v>2098</v>
      </c>
      <c r="G4185" t="s">
        <v>219</v>
      </c>
      <c r="H4185" t="s">
        <v>220</v>
      </c>
      <c r="I4185" t="s">
        <v>22</v>
      </c>
      <c r="J4185" s="2" t="s">
        <v>42</v>
      </c>
      <c r="K4185" s="2" t="s">
        <v>3019</v>
      </c>
      <c r="L4185" t="s">
        <v>25</v>
      </c>
      <c r="M4185" s="10" t="s">
        <v>26</v>
      </c>
      <c r="N4185" t="s">
        <v>26</v>
      </c>
      <c r="O4185" s="10" t="s">
        <v>26</v>
      </c>
      <c r="P4185" s="8" t="s">
        <v>26</v>
      </c>
      <c r="Q4185" s="8">
        <f>(2412691*100)/2623642</f>
        <v>91.959611867777696</v>
      </c>
    </row>
    <row r="4186" spans="1:17" x14ac:dyDescent="0.2">
      <c r="A4186">
        <f>YEAR(D4186)</f>
        <v>2019</v>
      </c>
      <c r="B4186" t="s">
        <v>26</v>
      </c>
      <c r="C4186" s="2" t="s">
        <v>3024</v>
      </c>
      <c r="D4186" s="1">
        <v>43711</v>
      </c>
      <c r="E4186">
        <f>MONTH(D4186)</f>
        <v>9</v>
      </c>
      <c r="F4186" s="2" t="s">
        <v>2098</v>
      </c>
      <c r="G4186" t="s">
        <v>219</v>
      </c>
      <c r="H4186" t="s">
        <v>220</v>
      </c>
      <c r="I4186" t="s">
        <v>22</v>
      </c>
      <c r="J4186" s="2" t="s">
        <v>42</v>
      </c>
      <c r="K4186" s="2" t="s">
        <v>3019</v>
      </c>
      <c r="L4186" t="s">
        <v>25</v>
      </c>
      <c r="M4186" s="10" t="s">
        <v>26</v>
      </c>
      <c r="N4186" t="s">
        <v>26</v>
      </c>
      <c r="O4186" s="10" t="s">
        <v>26</v>
      </c>
      <c r="P4186" s="8" t="s">
        <v>26</v>
      </c>
      <c r="Q4186" s="8">
        <f>(2412691*100)/2623642</f>
        <v>91.959611867777696</v>
      </c>
    </row>
    <row r="4187" spans="1:17" x14ac:dyDescent="0.2">
      <c r="A4187">
        <f>YEAR(D4187)</f>
        <v>2019</v>
      </c>
      <c r="B4187" t="s">
        <v>26</v>
      </c>
      <c r="C4187" s="2" t="s">
        <v>3024</v>
      </c>
      <c r="D4187" s="1">
        <v>43711</v>
      </c>
      <c r="E4187">
        <f>MONTH(D4187)</f>
        <v>9</v>
      </c>
      <c r="F4187" s="2" t="s">
        <v>2098</v>
      </c>
      <c r="G4187" t="s">
        <v>219</v>
      </c>
      <c r="H4187" t="s">
        <v>220</v>
      </c>
      <c r="I4187" t="s">
        <v>22</v>
      </c>
      <c r="J4187" s="2" t="s">
        <v>42</v>
      </c>
      <c r="K4187" s="2" t="s">
        <v>3019</v>
      </c>
      <c r="L4187" t="s">
        <v>25</v>
      </c>
      <c r="M4187" s="10" t="s">
        <v>26</v>
      </c>
      <c r="N4187" t="s">
        <v>26</v>
      </c>
      <c r="O4187" s="10" t="s">
        <v>26</v>
      </c>
      <c r="P4187" s="8" t="s">
        <v>26</v>
      </c>
      <c r="Q4187" s="8">
        <f>(2412691*100)/2623642</f>
        <v>91.959611867777696</v>
      </c>
    </row>
    <row r="4188" spans="1:17" x14ac:dyDescent="0.2">
      <c r="A4188">
        <f>YEAR(D4188)</f>
        <v>2019</v>
      </c>
      <c r="B4188" t="s">
        <v>26</v>
      </c>
      <c r="C4188" s="2" t="s">
        <v>3024</v>
      </c>
      <c r="D4188" s="1">
        <v>43711</v>
      </c>
      <c r="E4188">
        <f>MONTH(D4188)</f>
        <v>9</v>
      </c>
      <c r="F4188" s="2" t="s">
        <v>2098</v>
      </c>
      <c r="G4188" t="s">
        <v>219</v>
      </c>
      <c r="H4188" t="s">
        <v>220</v>
      </c>
      <c r="I4188" t="s">
        <v>22</v>
      </c>
      <c r="J4188" s="2" t="s">
        <v>42</v>
      </c>
      <c r="K4188" s="2" t="s">
        <v>3019</v>
      </c>
      <c r="L4188" t="s">
        <v>25</v>
      </c>
      <c r="M4188" s="10" t="s">
        <v>26</v>
      </c>
      <c r="N4188" t="s">
        <v>26</v>
      </c>
      <c r="O4188" s="10" t="s">
        <v>26</v>
      </c>
      <c r="P4188" s="8" t="s">
        <v>26</v>
      </c>
      <c r="Q4188" s="8">
        <f>(2412691*100)/2623642</f>
        <v>91.959611867777696</v>
      </c>
    </row>
    <row r="4189" spans="1:17" x14ac:dyDescent="0.2">
      <c r="A4189">
        <f>YEAR(D4189)</f>
        <v>2019</v>
      </c>
      <c r="B4189" t="s">
        <v>26</v>
      </c>
      <c r="C4189" s="2" t="s">
        <v>3024</v>
      </c>
      <c r="D4189" s="1">
        <v>43711</v>
      </c>
      <c r="E4189">
        <f>MONTH(D4189)</f>
        <v>9</v>
      </c>
      <c r="F4189" s="2" t="s">
        <v>2098</v>
      </c>
      <c r="G4189" t="s">
        <v>219</v>
      </c>
      <c r="H4189" t="s">
        <v>220</v>
      </c>
      <c r="I4189" t="s">
        <v>22</v>
      </c>
      <c r="J4189" s="2" t="s">
        <v>42</v>
      </c>
      <c r="K4189" s="2" t="s">
        <v>3019</v>
      </c>
      <c r="L4189" t="s">
        <v>25</v>
      </c>
      <c r="M4189" s="10" t="s">
        <v>26</v>
      </c>
      <c r="N4189" t="s">
        <v>26</v>
      </c>
      <c r="O4189" s="10" t="s">
        <v>26</v>
      </c>
      <c r="P4189" s="8" t="s">
        <v>26</v>
      </c>
      <c r="Q4189" s="8">
        <f>(2412691*100)/2623642</f>
        <v>91.959611867777696</v>
      </c>
    </row>
    <row r="4190" spans="1:17" ht="16" x14ac:dyDescent="0.2">
      <c r="A4190">
        <f>YEAR(D4190)</f>
        <v>2019</v>
      </c>
      <c r="B4190" t="s">
        <v>26</v>
      </c>
      <c r="C4190" s="2" t="s">
        <v>50</v>
      </c>
      <c r="D4190" s="1">
        <v>43711</v>
      </c>
      <c r="E4190">
        <f>MONTH(D4190)</f>
        <v>9</v>
      </c>
      <c r="F4190" s="2" t="s">
        <v>2098</v>
      </c>
      <c r="G4190" t="s">
        <v>318</v>
      </c>
      <c r="H4190" t="s">
        <v>319</v>
      </c>
      <c r="I4190" s="3" t="s">
        <v>26</v>
      </c>
      <c r="J4190" s="2" t="s">
        <v>42</v>
      </c>
      <c r="K4190" s="2" t="s">
        <v>3019</v>
      </c>
      <c r="L4190" t="s">
        <v>25</v>
      </c>
      <c r="M4190" s="10" t="s">
        <v>26</v>
      </c>
      <c r="N4190" t="s">
        <v>26</v>
      </c>
      <c r="O4190" s="8" t="s">
        <v>26</v>
      </c>
      <c r="P4190" s="8" t="s">
        <v>26</v>
      </c>
      <c r="Q4190" s="8">
        <f>(4488342*100)/4914798</f>
        <v>91.323020803703429</v>
      </c>
    </row>
    <row r="4191" spans="1:17" x14ac:dyDescent="0.2">
      <c r="A4191">
        <f>YEAR(D4191)</f>
        <v>2019</v>
      </c>
      <c r="B4191" t="s">
        <v>26</v>
      </c>
      <c r="C4191" s="2" t="s">
        <v>50</v>
      </c>
      <c r="D4191" s="1">
        <v>43711</v>
      </c>
      <c r="E4191">
        <f>MONTH(D4191)</f>
        <v>9</v>
      </c>
      <c r="F4191" s="2" t="s">
        <v>2098</v>
      </c>
      <c r="G4191" t="s">
        <v>219</v>
      </c>
      <c r="H4191" t="s">
        <v>220</v>
      </c>
      <c r="I4191" t="s">
        <v>22</v>
      </c>
      <c r="J4191" s="2" t="s">
        <v>42</v>
      </c>
      <c r="K4191" s="2" t="s">
        <v>3019</v>
      </c>
      <c r="L4191" t="s">
        <v>25</v>
      </c>
      <c r="M4191" s="10" t="s">
        <v>26</v>
      </c>
      <c r="N4191" t="s">
        <v>26</v>
      </c>
      <c r="O4191" s="10" t="s">
        <v>26</v>
      </c>
      <c r="P4191" s="8" t="s">
        <v>26</v>
      </c>
      <c r="Q4191" s="8">
        <f>(4488342*100)/4914798</f>
        <v>91.323020803703429</v>
      </c>
    </row>
    <row r="4192" spans="1:17" x14ac:dyDescent="0.2">
      <c r="A4192">
        <f>YEAR(D4192)</f>
        <v>2019</v>
      </c>
      <c r="B4192" t="s">
        <v>26</v>
      </c>
      <c r="C4192" s="2" t="s">
        <v>50</v>
      </c>
      <c r="D4192" s="1">
        <v>43711</v>
      </c>
      <c r="E4192">
        <f>MONTH(D4192)</f>
        <v>9</v>
      </c>
      <c r="F4192" s="2" t="s">
        <v>2098</v>
      </c>
      <c r="G4192" t="s">
        <v>219</v>
      </c>
      <c r="H4192" t="s">
        <v>220</v>
      </c>
      <c r="I4192" t="s">
        <v>22</v>
      </c>
      <c r="J4192" s="2" t="s">
        <v>42</v>
      </c>
      <c r="K4192" s="2" t="s">
        <v>3019</v>
      </c>
      <c r="L4192" t="s">
        <v>25</v>
      </c>
      <c r="M4192" s="10" t="s">
        <v>26</v>
      </c>
      <c r="N4192" t="s">
        <v>26</v>
      </c>
      <c r="O4192" s="10" t="s">
        <v>26</v>
      </c>
      <c r="P4192" s="8" t="s">
        <v>26</v>
      </c>
      <c r="Q4192" s="8">
        <f>(4488342*100)/4914798</f>
        <v>91.323020803703429</v>
      </c>
    </row>
    <row r="4193" spans="1:17" x14ac:dyDescent="0.2">
      <c r="A4193">
        <f>YEAR(D4193)</f>
        <v>2019</v>
      </c>
      <c r="B4193" t="s">
        <v>26</v>
      </c>
      <c r="C4193" s="2" t="s">
        <v>50</v>
      </c>
      <c r="D4193" s="1">
        <v>43711</v>
      </c>
      <c r="E4193">
        <f>MONTH(D4193)</f>
        <v>9</v>
      </c>
      <c r="F4193" s="2" t="s">
        <v>2098</v>
      </c>
      <c r="G4193" t="s">
        <v>219</v>
      </c>
      <c r="H4193" t="s">
        <v>220</v>
      </c>
      <c r="I4193" t="s">
        <v>22</v>
      </c>
      <c r="J4193" s="2" t="s">
        <v>42</v>
      </c>
      <c r="K4193" s="2" t="s">
        <v>3019</v>
      </c>
      <c r="L4193" t="s">
        <v>25</v>
      </c>
      <c r="M4193" s="10" t="s">
        <v>26</v>
      </c>
      <c r="N4193" t="s">
        <v>26</v>
      </c>
      <c r="O4193" s="10" t="s">
        <v>26</v>
      </c>
      <c r="P4193" s="8" t="s">
        <v>26</v>
      </c>
      <c r="Q4193" s="8">
        <f>(4488342*100)/4914798</f>
        <v>91.323020803703429</v>
      </c>
    </row>
    <row r="4194" spans="1:17" x14ac:dyDescent="0.2">
      <c r="A4194">
        <f>YEAR(D4194)</f>
        <v>2019</v>
      </c>
      <c r="B4194" t="s">
        <v>26</v>
      </c>
      <c r="C4194" s="2" t="s">
        <v>50</v>
      </c>
      <c r="D4194" s="1">
        <v>43711</v>
      </c>
      <c r="E4194">
        <f>MONTH(D4194)</f>
        <v>9</v>
      </c>
      <c r="F4194" s="2" t="s">
        <v>2098</v>
      </c>
      <c r="G4194" t="s">
        <v>219</v>
      </c>
      <c r="H4194" t="s">
        <v>220</v>
      </c>
      <c r="I4194" t="s">
        <v>22</v>
      </c>
      <c r="J4194" s="2" t="s">
        <v>42</v>
      </c>
      <c r="K4194" s="2" t="s">
        <v>3019</v>
      </c>
      <c r="L4194" t="s">
        <v>25</v>
      </c>
      <c r="M4194" s="10" t="s">
        <v>26</v>
      </c>
      <c r="N4194" t="s">
        <v>26</v>
      </c>
      <c r="O4194" s="10" t="s">
        <v>26</v>
      </c>
      <c r="P4194" s="8" t="s">
        <v>26</v>
      </c>
      <c r="Q4194" s="8">
        <f>(4488342*100)/4914798</f>
        <v>91.323020803703429</v>
      </c>
    </row>
    <row r="4195" spans="1:17" x14ac:dyDescent="0.2">
      <c r="A4195">
        <f>YEAR(D4195)</f>
        <v>2019</v>
      </c>
      <c r="B4195" t="s">
        <v>26</v>
      </c>
      <c r="C4195" s="2" t="s">
        <v>50</v>
      </c>
      <c r="D4195" s="1">
        <v>43711</v>
      </c>
      <c r="E4195">
        <f>MONTH(D4195)</f>
        <v>9</v>
      </c>
      <c r="F4195" s="2" t="s">
        <v>2098</v>
      </c>
      <c r="G4195" t="s">
        <v>219</v>
      </c>
      <c r="H4195" t="s">
        <v>220</v>
      </c>
      <c r="I4195" t="s">
        <v>22</v>
      </c>
      <c r="J4195" s="2" t="s">
        <v>42</v>
      </c>
      <c r="K4195" s="2" t="s">
        <v>3019</v>
      </c>
      <c r="L4195" t="s">
        <v>25</v>
      </c>
      <c r="M4195" s="10" t="s">
        <v>26</v>
      </c>
      <c r="N4195" t="s">
        <v>26</v>
      </c>
      <c r="O4195" s="10" t="s">
        <v>26</v>
      </c>
      <c r="P4195" s="8" t="s">
        <v>26</v>
      </c>
      <c r="Q4195" s="8">
        <f>(4488342*100)/4914798</f>
        <v>91.323020803703429</v>
      </c>
    </row>
    <row r="4196" spans="1:17" x14ac:dyDescent="0.2">
      <c r="A4196">
        <f>YEAR(D4196)</f>
        <v>2019</v>
      </c>
      <c r="B4196" t="s">
        <v>26</v>
      </c>
      <c r="C4196" s="2" t="s">
        <v>50</v>
      </c>
      <c r="D4196" s="1">
        <v>43711</v>
      </c>
      <c r="E4196">
        <f>MONTH(D4196)</f>
        <v>9</v>
      </c>
      <c r="F4196" s="2" t="s">
        <v>2098</v>
      </c>
      <c r="G4196" t="s">
        <v>219</v>
      </c>
      <c r="H4196" t="s">
        <v>220</v>
      </c>
      <c r="I4196" t="s">
        <v>22</v>
      </c>
      <c r="J4196" s="2" t="s">
        <v>42</v>
      </c>
      <c r="K4196" s="2" t="s">
        <v>3019</v>
      </c>
      <c r="L4196" t="s">
        <v>25</v>
      </c>
      <c r="M4196" s="10" t="s">
        <v>26</v>
      </c>
      <c r="N4196" t="s">
        <v>26</v>
      </c>
      <c r="O4196" s="10" t="s">
        <v>26</v>
      </c>
      <c r="P4196" s="8" t="s">
        <v>26</v>
      </c>
      <c r="Q4196" s="8">
        <f>(4488342*100)/4914798</f>
        <v>91.323020803703429</v>
      </c>
    </row>
    <row r="4197" spans="1:17" x14ac:dyDescent="0.2">
      <c r="A4197">
        <f>YEAR(D4197)</f>
        <v>2019</v>
      </c>
      <c r="B4197" t="s">
        <v>26</v>
      </c>
      <c r="C4197" s="2" t="s">
        <v>50</v>
      </c>
      <c r="D4197" s="1">
        <v>43711</v>
      </c>
      <c r="E4197">
        <f>MONTH(D4197)</f>
        <v>9</v>
      </c>
      <c r="F4197" s="2" t="s">
        <v>2098</v>
      </c>
      <c r="G4197" t="s">
        <v>219</v>
      </c>
      <c r="H4197" t="s">
        <v>220</v>
      </c>
      <c r="I4197" t="s">
        <v>22</v>
      </c>
      <c r="J4197" s="2" t="s">
        <v>42</v>
      </c>
      <c r="K4197" s="2" t="s">
        <v>3019</v>
      </c>
      <c r="L4197" t="s">
        <v>25</v>
      </c>
      <c r="M4197" s="10" t="s">
        <v>26</v>
      </c>
      <c r="N4197" t="s">
        <v>26</v>
      </c>
      <c r="O4197" s="10" t="s">
        <v>26</v>
      </c>
      <c r="P4197" s="8" t="s">
        <v>26</v>
      </c>
      <c r="Q4197" s="8">
        <f>(4488342*100)/4914798</f>
        <v>91.323020803703429</v>
      </c>
    </row>
    <row r="4198" spans="1:17" x14ac:dyDescent="0.2">
      <c r="A4198">
        <f>YEAR(D4198)</f>
        <v>2019</v>
      </c>
      <c r="B4198" t="s">
        <v>26</v>
      </c>
      <c r="C4198" s="2" t="s">
        <v>50</v>
      </c>
      <c r="D4198" s="1">
        <v>43711</v>
      </c>
      <c r="E4198">
        <f>MONTH(D4198)</f>
        <v>9</v>
      </c>
      <c r="F4198" s="2" t="s">
        <v>2098</v>
      </c>
      <c r="G4198" t="s">
        <v>219</v>
      </c>
      <c r="H4198" t="s">
        <v>220</v>
      </c>
      <c r="I4198" t="s">
        <v>22</v>
      </c>
      <c r="J4198" s="2" t="s">
        <v>42</v>
      </c>
      <c r="K4198" s="2" t="s">
        <v>3019</v>
      </c>
      <c r="L4198" t="s">
        <v>25</v>
      </c>
      <c r="M4198" s="10" t="s">
        <v>26</v>
      </c>
      <c r="N4198" t="s">
        <v>26</v>
      </c>
      <c r="O4198" s="10" t="s">
        <v>26</v>
      </c>
      <c r="P4198" s="8" t="s">
        <v>26</v>
      </c>
      <c r="Q4198" s="8">
        <f>(4488342*100)/4914798</f>
        <v>91.323020803703429</v>
      </c>
    </row>
    <row r="4199" spans="1:17" x14ac:dyDescent="0.2">
      <c r="A4199">
        <f>YEAR(D4199)</f>
        <v>2019</v>
      </c>
      <c r="B4199" t="s">
        <v>26</v>
      </c>
      <c r="C4199" s="2" t="s">
        <v>50</v>
      </c>
      <c r="D4199" s="1">
        <v>43711</v>
      </c>
      <c r="E4199">
        <f>MONTH(D4199)</f>
        <v>9</v>
      </c>
      <c r="F4199" s="2" t="s">
        <v>2098</v>
      </c>
      <c r="G4199" t="s">
        <v>219</v>
      </c>
      <c r="H4199" t="s">
        <v>220</v>
      </c>
      <c r="I4199" t="s">
        <v>22</v>
      </c>
      <c r="J4199" s="2" t="s">
        <v>42</v>
      </c>
      <c r="K4199" s="2" t="s">
        <v>3019</v>
      </c>
      <c r="L4199" t="s">
        <v>25</v>
      </c>
      <c r="M4199" s="10" t="s">
        <v>26</v>
      </c>
      <c r="N4199" t="s">
        <v>26</v>
      </c>
      <c r="O4199" s="10" t="s">
        <v>26</v>
      </c>
      <c r="P4199" s="8" t="s">
        <v>26</v>
      </c>
      <c r="Q4199" s="8">
        <f>(4488342*100)/4914798</f>
        <v>91.323020803703429</v>
      </c>
    </row>
    <row r="4200" spans="1:17" x14ac:dyDescent="0.2">
      <c r="A4200">
        <f>YEAR(D4200)</f>
        <v>2019</v>
      </c>
      <c r="B4200" t="s">
        <v>26</v>
      </c>
      <c r="C4200" s="2" t="s">
        <v>50</v>
      </c>
      <c r="D4200" s="1">
        <v>43711</v>
      </c>
      <c r="E4200">
        <f>MONTH(D4200)</f>
        <v>9</v>
      </c>
      <c r="F4200" s="2" t="s">
        <v>2098</v>
      </c>
      <c r="G4200" t="s">
        <v>219</v>
      </c>
      <c r="H4200" t="s">
        <v>220</v>
      </c>
      <c r="I4200" t="s">
        <v>22</v>
      </c>
      <c r="J4200" s="2" t="s">
        <v>42</v>
      </c>
      <c r="K4200" s="2" t="s">
        <v>3019</v>
      </c>
      <c r="L4200" t="s">
        <v>25</v>
      </c>
      <c r="M4200" s="10" t="s">
        <v>26</v>
      </c>
      <c r="N4200" t="s">
        <v>26</v>
      </c>
      <c r="O4200" s="10" t="s">
        <v>26</v>
      </c>
      <c r="P4200" s="8" t="s">
        <v>26</v>
      </c>
      <c r="Q4200" s="8">
        <f>(4488342*100)/4914798</f>
        <v>91.323020803703429</v>
      </c>
    </row>
    <row r="4201" spans="1:17" x14ac:dyDescent="0.2">
      <c r="A4201">
        <f>YEAR(D4201)</f>
        <v>2019</v>
      </c>
      <c r="B4201" t="s">
        <v>26</v>
      </c>
      <c r="C4201" s="2" t="s">
        <v>50</v>
      </c>
      <c r="D4201" s="1">
        <v>43711</v>
      </c>
      <c r="E4201">
        <f>MONTH(D4201)</f>
        <v>9</v>
      </c>
      <c r="F4201" s="2" t="s">
        <v>2098</v>
      </c>
      <c r="G4201" t="s">
        <v>219</v>
      </c>
      <c r="H4201" t="s">
        <v>220</v>
      </c>
      <c r="I4201" t="s">
        <v>22</v>
      </c>
      <c r="J4201" s="2" t="s">
        <v>42</v>
      </c>
      <c r="K4201" s="2" t="s">
        <v>3019</v>
      </c>
      <c r="L4201" t="s">
        <v>25</v>
      </c>
      <c r="M4201" s="10" t="s">
        <v>26</v>
      </c>
      <c r="N4201" t="s">
        <v>26</v>
      </c>
      <c r="O4201" s="10" t="s">
        <v>26</v>
      </c>
      <c r="P4201" s="8" t="s">
        <v>26</v>
      </c>
      <c r="Q4201" s="8">
        <f>(4488342*100)/4914798</f>
        <v>91.323020803703429</v>
      </c>
    </row>
    <row r="4202" spans="1:17" x14ac:dyDescent="0.2">
      <c r="A4202">
        <f>YEAR(D4202)</f>
        <v>2019</v>
      </c>
      <c r="B4202" t="s">
        <v>26</v>
      </c>
      <c r="C4202" s="2" t="s">
        <v>3024</v>
      </c>
      <c r="D4202" s="1">
        <v>43711</v>
      </c>
      <c r="E4202">
        <f>MONTH(D4202)</f>
        <v>9</v>
      </c>
      <c r="F4202" s="2" t="s">
        <v>2098</v>
      </c>
      <c r="G4202" t="s">
        <v>230</v>
      </c>
      <c r="H4202" t="s">
        <v>268</v>
      </c>
      <c r="I4202" t="s">
        <v>22</v>
      </c>
      <c r="J4202" s="2" t="s">
        <v>42</v>
      </c>
      <c r="K4202" s="2" t="s">
        <v>3019</v>
      </c>
      <c r="L4202" t="s">
        <v>25</v>
      </c>
      <c r="M4202" s="8">
        <v>3.5356666670000001</v>
      </c>
      <c r="N4202" t="s">
        <v>26</v>
      </c>
      <c r="O4202" s="8">
        <v>3.5356666670000001</v>
      </c>
      <c r="P4202" s="8">
        <f>EXP(-1.363+3.366*LOG(O4202,10))</f>
        <v>1.6211802664427075</v>
      </c>
      <c r="Q4202" s="8">
        <f>(2412691*100)/2623642</f>
        <v>91.959611867777696</v>
      </c>
    </row>
    <row r="4203" spans="1:17" x14ac:dyDescent="0.2">
      <c r="A4203">
        <f>YEAR(D4203)</f>
        <v>2019</v>
      </c>
      <c r="B4203" t="s">
        <v>26</v>
      </c>
      <c r="C4203" s="2" t="s">
        <v>3024</v>
      </c>
      <c r="D4203" s="1">
        <v>43711</v>
      </c>
      <c r="E4203">
        <f>MONTH(D4203)</f>
        <v>9</v>
      </c>
      <c r="F4203" s="2" t="s">
        <v>2098</v>
      </c>
      <c r="G4203" t="s">
        <v>230</v>
      </c>
      <c r="H4203" t="s">
        <v>268</v>
      </c>
      <c r="I4203" t="s">
        <v>22</v>
      </c>
      <c r="J4203" s="2" t="s">
        <v>42</v>
      </c>
      <c r="K4203" s="2" t="s">
        <v>3019</v>
      </c>
      <c r="L4203" t="s">
        <v>25</v>
      </c>
      <c r="M4203" s="8">
        <v>3.5356666670000001</v>
      </c>
      <c r="N4203" t="s">
        <v>26</v>
      </c>
      <c r="O4203" s="8">
        <v>3.5356666670000001</v>
      </c>
      <c r="P4203" s="8">
        <f>EXP(-1.363+3.366*LOG(O4203,10))</f>
        <v>1.6211802664427075</v>
      </c>
      <c r="Q4203" s="8">
        <f>(2412691*100)/2623642</f>
        <v>91.959611867777696</v>
      </c>
    </row>
    <row r="4204" spans="1:17" x14ac:dyDescent="0.2">
      <c r="A4204">
        <f>YEAR(D4204)</f>
        <v>2019</v>
      </c>
      <c r="B4204" t="s">
        <v>26</v>
      </c>
      <c r="C4204" s="2" t="s">
        <v>3024</v>
      </c>
      <c r="D4204" s="1">
        <v>43711</v>
      </c>
      <c r="E4204">
        <f>MONTH(D4204)</f>
        <v>9</v>
      </c>
      <c r="F4204" s="2" t="s">
        <v>2098</v>
      </c>
      <c r="G4204" t="s">
        <v>230</v>
      </c>
      <c r="H4204" t="s">
        <v>268</v>
      </c>
      <c r="I4204" t="s">
        <v>22</v>
      </c>
      <c r="J4204" s="2" t="s">
        <v>42</v>
      </c>
      <c r="K4204" s="2" t="s">
        <v>3019</v>
      </c>
      <c r="L4204" t="s">
        <v>25</v>
      </c>
      <c r="M4204" s="8">
        <v>3.5356666670000001</v>
      </c>
      <c r="N4204" t="s">
        <v>26</v>
      </c>
      <c r="O4204" s="8">
        <v>3.5356666670000001</v>
      </c>
      <c r="P4204" s="8">
        <f>EXP(-1.363+3.366*LOG(O4204,10))</f>
        <v>1.6211802664427075</v>
      </c>
      <c r="Q4204" s="8">
        <f>(2412691*100)/2623642</f>
        <v>91.959611867777696</v>
      </c>
    </row>
    <row r="4205" spans="1:17" x14ac:dyDescent="0.2">
      <c r="A4205">
        <f>YEAR(D4205)</f>
        <v>2019</v>
      </c>
      <c r="B4205" t="s">
        <v>26</v>
      </c>
      <c r="C4205" s="2" t="s">
        <v>3024</v>
      </c>
      <c r="D4205" s="1">
        <v>43711</v>
      </c>
      <c r="E4205">
        <f>MONTH(D4205)</f>
        <v>9</v>
      </c>
      <c r="F4205" s="2" t="s">
        <v>2098</v>
      </c>
      <c r="G4205" t="s">
        <v>1520</v>
      </c>
      <c r="H4205" t="s">
        <v>1521</v>
      </c>
      <c r="I4205" t="s">
        <v>22</v>
      </c>
      <c r="J4205" s="2" t="s">
        <v>42</v>
      </c>
      <c r="K4205" s="2" t="s">
        <v>3019</v>
      </c>
      <c r="L4205" t="s">
        <v>25</v>
      </c>
      <c r="M4205" s="8">
        <v>2.952</v>
      </c>
      <c r="N4205" t="s">
        <v>26</v>
      </c>
      <c r="O4205" s="8">
        <v>2.952</v>
      </c>
      <c r="P4205" s="8">
        <f>EXP(-1.363+3.366*LOG(O4205,10))</f>
        <v>1.2453438103764427</v>
      </c>
      <c r="Q4205" s="8">
        <f>(2412691*100)/2623642</f>
        <v>91.959611867777696</v>
      </c>
    </row>
    <row r="4206" spans="1:17" x14ac:dyDescent="0.2">
      <c r="A4206">
        <f>YEAR(D4206)</f>
        <v>2019</v>
      </c>
      <c r="B4206" t="s">
        <v>26</v>
      </c>
      <c r="C4206" s="2" t="s">
        <v>3024</v>
      </c>
      <c r="D4206" s="1">
        <v>43711</v>
      </c>
      <c r="E4206">
        <f>MONTH(D4206)</f>
        <v>9</v>
      </c>
      <c r="F4206" s="2" t="s">
        <v>2098</v>
      </c>
      <c r="G4206" t="s">
        <v>230</v>
      </c>
      <c r="H4206" t="s">
        <v>268</v>
      </c>
      <c r="I4206" t="s">
        <v>22</v>
      </c>
      <c r="J4206" s="2" t="s">
        <v>42</v>
      </c>
      <c r="K4206" s="2" t="s">
        <v>3019</v>
      </c>
      <c r="L4206" t="s">
        <v>25</v>
      </c>
      <c r="M4206" s="8">
        <v>3.5356666670000001</v>
      </c>
      <c r="N4206" t="s">
        <v>26</v>
      </c>
      <c r="O4206" s="8">
        <v>3.5356666670000001</v>
      </c>
      <c r="P4206" s="8">
        <f>EXP(-1.363+3.366*LOG(O4206,10))</f>
        <v>1.6211802664427075</v>
      </c>
      <c r="Q4206" s="8">
        <f>(2412691*100)/2623642</f>
        <v>91.959611867777696</v>
      </c>
    </row>
    <row r="4207" spans="1:17" x14ac:dyDescent="0.2">
      <c r="A4207">
        <f>YEAR(D4207)</f>
        <v>2019</v>
      </c>
      <c r="B4207" t="s">
        <v>26</v>
      </c>
      <c r="C4207" s="2" t="s">
        <v>3024</v>
      </c>
      <c r="D4207" s="1">
        <v>43711</v>
      </c>
      <c r="E4207">
        <f>MONTH(D4207)</f>
        <v>9</v>
      </c>
      <c r="F4207" s="2" t="s">
        <v>2098</v>
      </c>
      <c r="G4207" t="s">
        <v>230</v>
      </c>
      <c r="H4207" t="s">
        <v>268</v>
      </c>
      <c r="I4207" t="s">
        <v>22</v>
      </c>
      <c r="J4207" s="2" t="s">
        <v>42</v>
      </c>
      <c r="K4207" s="2" t="s">
        <v>3019</v>
      </c>
      <c r="L4207" t="s">
        <v>25</v>
      </c>
      <c r="M4207" s="8">
        <v>3.5356666670000001</v>
      </c>
      <c r="N4207" t="s">
        <v>26</v>
      </c>
      <c r="O4207" s="8">
        <v>3.5356666670000001</v>
      </c>
      <c r="P4207" s="8">
        <f>EXP(-1.363+3.366*LOG(O4207,10))</f>
        <v>1.6211802664427075</v>
      </c>
      <c r="Q4207" s="8">
        <f>(2412691*100)/2623642</f>
        <v>91.959611867777696</v>
      </c>
    </row>
    <row r="4208" spans="1:17" x14ac:dyDescent="0.2">
      <c r="A4208">
        <f>YEAR(D4208)</f>
        <v>2019</v>
      </c>
      <c r="B4208" t="s">
        <v>26</v>
      </c>
      <c r="C4208" s="2" t="s">
        <v>50</v>
      </c>
      <c r="D4208" s="1">
        <v>43711</v>
      </c>
      <c r="E4208">
        <f>MONTH(D4208)</f>
        <v>9</v>
      </c>
      <c r="F4208" s="2" t="s">
        <v>2098</v>
      </c>
      <c r="G4208" t="s">
        <v>352</v>
      </c>
      <c r="H4208" t="s">
        <v>1459</v>
      </c>
      <c r="I4208" t="s">
        <v>22</v>
      </c>
      <c r="J4208" s="2" t="s">
        <v>42</v>
      </c>
      <c r="K4208" s="2" t="s">
        <v>3019</v>
      </c>
      <c r="L4208" t="s">
        <v>25</v>
      </c>
      <c r="M4208" s="8">
        <v>1.1910000000000001</v>
      </c>
      <c r="N4208" t="s">
        <v>26</v>
      </c>
      <c r="O4208" s="8">
        <v>1.1910000000000001</v>
      </c>
      <c r="P4208" s="8">
        <f>EXP(-1.363+3.366*LOG(O4208,10))</f>
        <v>0.33039016297752993</v>
      </c>
      <c r="Q4208" s="8">
        <f>(4488342*100)/4914798</f>
        <v>91.323020803703429</v>
      </c>
    </row>
    <row r="4209" spans="1:17" x14ac:dyDescent="0.2">
      <c r="A4209">
        <f>YEAR(D4209)</f>
        <v>2019</v>
      </c>
      <c r="B4209" t="s">
        <v>26</v>
      </c>
      <c r="C4209" s="2" t="s">
        <v>50</v>
      </c>
      <c r="D4209" s="1">
        <v>43711</v>
      </c>
      <c r="E4209">
        <f>MONTH(D4209)</f>
        <v>9</v>
      </c>
      <c r="F4209" s="2" t="s">
        <v>2098</v>
      </c>
      <c r="G4209" t="s">
        <v>352</v>
      </c>
      <c r="H4209" t="s">
        <v>1459</v>
      </c>
      <c r="I4209" t="s">
        <v>36</v>
      </c>
      <c r="J4209" s="2" t="s">
        <v>42</v>
      </c>
      <c r="K4209" s="2" t="s">
        <v>3019</v>
      </c>
      <c r="L4209" t="s">
        <v>25</v>
      </c>
      <c r="M4209" s="8">
        <v>1.0913333329999999</v>
      </c>
      <c r="N4209" t="s">
        <v>26</v>
      </c>
      <c r="O4209" s="8">
        <v>1.0913333329999999</v>
      </c>
      <c r="P4209" s="8">
        <f>EXP(-1.363+3.366*LOG(O4209,10))</f>
        <v>0.29076633015787234</v>
      </c>
      <c r="Q4209" s="8">
        <f>(4488342*100)/4914798</f>
        <v>91.323020803703429</v>
      </c>
    </row>
    <row r="4210" spans="1:17" x14ac:dyDescent="0.2">
      <c r="A4210">
        <f>YEAR(D4210)</f>
        <v>2019</v>
      </c>
      <c r="B4210" t="s">
        <v>26</v>
      </c>
      <c r="C4210" s="2" t="s">
        <v>50</v>
      </c>
      <c r="D4210" s="1">
        <v>43711</v>
      </c>
      <c r="E4210">
        <f>MONTH(D4210)</f>
        <v>9</v>
      </c>
      <c r="F4210" s="2" t="s">
        <v>2098</v>
      </c>
      <c r="G4210" t="s">
        <v>352</v>
      </c>
      <c r="H4210" t="s">
        <v>975</v>
      </c>
      <c r="I4210" t="s">
        <v>36</v>
      </c>
      <c r="J4210" s="2" t="s">
        <v>42</v>
      </c>
      <c r="K4210" s="2" t="s">
        <v>3019</v>
      </c>
      <c r="L4210" t="s">
        <v>25</v>
      </c>
      <c r="M4210" s="8">
        <v>0.95199999999999996</v>
      </c>
      <c r="N4210" t="s">
        <v>26</v>
      </c>
      <c r="O4210" s="8">
        <v>0.95199999999999996</v>
      </c>
      <c r="P4210" s="8">
        <f>EXP(-1.363+3.366*LOG(O4210,10))</f>
        <v>0.23813726407794436</v>
      </c>
      <c r="Q4210" s="8">
        <f>(4488342*100)/4914798</f>
        <v>91.323020803703429</v>
      </c>
    </row>
    <row r="4211" spans="1:17" x14ac:dyDescent="0.2">
      <c r="A4211">
        <f>YEAR(D4211)</f>
        <v>2019</v>
      </c>
      <c r="B4211" t="s">
        <v>26</v>
      </c>
      <c r="C4211" s="2" t="s">
        <v>50</v>
      </c>
      <c r="D4211" s="1">
        <v>43711</v>
      </c>
      <c r="E4211">
        <f>MONTH(D4211)</f>
        <v>9</v>
      </c>
      <c r="F4211" s="2" t="s">
        <v>2098</v>
      </c>
      <c r="G4211" t="s">
        <v>2206</v>
      </c>
      <c r="H4211" t="s">
        <v>2207</v>
      </c>
      <c r="I4211" t="s">
        <v>36</v>
      </c>
      <c r="J4211" s="2" t="s">
        <v>42</v>
      </c>
      <c r="K4211" s="2" t="s">
        <v>3019</v>
      </c>
      <c r="L4211" t="s">
        <v>25</v>
      </c>
      <c r="M4211" s="8">
        <v>3.6386666669999999</v>
      </c>
      <c r="N4211" t="s">
        <v>26</v>
      </c>
      <c r="O4211" s="8">
        <v>3.6386666669999999</v>
      </c>
      <c r="P4211" s="8">
        <f>EXP(-1.363+3.366*LOG(O4211,10))</f>
        <v>1.6906814772344552</v>
      </c>
      <c r="Q4211" s="8">
        <f>(4488342*100)/4914798</f>
        <v>91.323020803703429</v>
      </c>
    </row>
    <row r="4212" spans="1:17" x14ac:dyDescent="0.2">
      <c r="A4212">
        <f>YEAR(D4212)</f>
        <v>2019</v>
      </c>
      <c r="B4212" t="s">
        <v>26</v>
      </c>
      <c r="C4212" s="2" t="s">
        <v>50</v>
      </c>
      <c r="D4212" s="1">
        <v>43711</v>
      </c>
      <c r="E4212">
        <f>MONTH(D4212)</f>
        <v>9</v>
      </c>
      <c r="F4212" s="2" t="s">
        <v>2098</v>
      </c>
      <c r="G4212" t="s">
        <v>230</v>
      </c>
      <c r="H4212" t="s">
        <v>268</v>
      </c>
      <c r="I4212" t="s">
        <v>22</v>
      </c>
      <c r="J4212" s="2" t="s">
        <v>42</v>
      </c>
      <c r="K4212" s="2" t="s">
        <v>3019</v>
      </c>
      <c r="L4212" t="s">
        <v>25</v>
      </c>
      <c r="M4212" s="8">
        <v>3.5356666670000001</v>
      </c>
      <c r="N4212" t="s">
        <v>26</v>
      </c>
      <c r="O4212" s="8">
        <v>3.5356666670000001</v>
      </c>
      <c r="P4212" s="8">
        <f>EXP(-1.363+3.366*LOG(O4212,10))</f>
        <v>1.6211802664427075</v>
      </c>
      <c r="Q4212" s="8">
        <f>(4488342*100)/4914798</f>
        <v>91.323020803703429</v>
      </c>
    </row>
    <row r="4213" spans="1:17" x14ac:dyDescent="0.2">
      <c r="A4213">
        <f>YEAR(D4213)</f>
        <v>2019</v>
      </c>
      <c r="B4213" t="s">
        <v>26</v>
      </c>
      <c r="C4213" s="2" t="s">
        <v>50</v>
      </c>
      <c r="D4213" s="1">
        <v>43711</v>
      </c>
      <c r="E4213">
        <f>MONTH(D4213)</f>
        <v>9</v>
      </c>
      <c r="F4213" s="2" t="s">
        <v>2098</v>
      </c>
      <c r="G4213" t="s">
        <v>2206</v>
      </c>
      <c r="H4213" t="s">
        <v>2263</v>
      </c>
      <c r="I4213" t="s">
        <v>22</v>
      </c>
      <c r="J4213" s="2" t="s">
        <v>42</v>
      </c>
      <c r="K4213" s="2" t="s">
        <v>3019</v>
      </c>
      <c r="L4213" t="s">
        <v>25</v>
      </c>
      <c r="M4213" s="8">
        <v>3.7376666670000001</v>
      </c>
      <c r="N4213" t="s">
        <v>26</v>
      </c>
      <c r="O4213" s="8">
        <v>3.7376666670000001</v>
      </c>
      <c r="P4213" s="8">
        <f>EXP(-1.363+3.366*LOG(O4213,10))</f>
        <v>1.7583458516827115</v>
      </c>
      <c r="Q4213" s="8">
        <f>(4488342*100)/4914798</f>
        <v>91.323020803703429</v>
      </c>
    </row>
    <row r="4214" spans="1:17" x14ac:dyDescent="0.2">
      <c r="A4214">
        <f>YEAR(D4214)</f>
        <v>2019</v>
      </c>
      <c r="B4214" t="s">
        <v>26</v>
      </c>
      <c r="C4214" s="2" t="s">
        <v>50</v>
      </c>
      <c r="D4214" s="1">
        <v>43711</v>
      </c>
      <c r="E4214">
        <f>MONTH(D4214)</f>
        <v>9</v>
      </c>
      <c r="F4214" s="2" t="s">
        <v>2098</v>
      </c>
      <c r="G4214" t="s">
        <v>332</v>
      </c>
      <c r="H4214" t="s">
        <v>330</v>
      </c>
      <c r="I4214" t="s">
        <v>22</v>
      </c>
      <c r="J4214" s="2" t="s">
        <v>42</v>
      </c>
      <c r="K4214" s="2" t="s">
        <v>3019</v>
      </c>
      <c r="L4214" t="s">
        <v>25</v>
      </c>
      <c r="M4214" s="8">
        <v>1.2170000000000001</v>
      </c>
      <c r="N4214" t="s">
        <v>26</v>
      </c>
      <c r="O4214" s="8">
        <v>1.2170000000000001</v>
      </c>
      <c r="P4214" s="8">
        <f>EXP(-1.363+3.366*LOG(O4214,10))</f>
        <v>0.34098666307598596</v>
      </c>
      <c r="Q4214" s="8">
        <f>(4488342*100)/4914798</f>
        <v>91.323020803703429</v>
      </c>
    </row>
    <row r="4215" spans="1:17" x14ac:dyDescent="0.2">
      <c r="A4215">
        <f>YEAR(D4215)</f>
        <v>2019</v>
      </c>
      <c r="B4215" t="s">
        <v>26</v>
      </c>
      <c r="C4215" s="2" t="s">
        <v>50</v>
      </c>
      <c r="D4215" s="1">
        <v>43711</v>
      </c>
      <c r="E4215">
        <f>MONTH(D4215)</f>
        <v>9</v>
      </c>
      <c r="F4215" s="2" t="s">
        <v>2098</v>
      </c>
      <c r="G4215" t="s">
        <v>1520</v>
      </c>
      <c r="H4215" t="s">
        <v>1521</v>
      </c>
      <c r="I4215" t="s">
        <v>22</v>
      </c>
      <c r="J4215" s="2" t="s">
        <v>42</v>
      </c>
      <c r="K4215" s="2" t="s">
        <v>3019</v>
      </c>
      <c r="L4215" t="s">
        <v>25</v>
      </c>
      <c r="M4215" s="8">
        <v>2.952</v>
      </c>
      <c r="N4215" t="s">
        <v>26</v>
      </c>
      <c r="O4215" s="8">
        <v>2.952</v>
      </c>
      <c r="P4215" s="8">
        <f>EXP(-1.363+3.366*LOG(O4215,10))</f>
        <v>1.2453438103764427</v>
      </c>
      <c r="Q4215" s="8">
        <f>(4488342*100)/4914798</f>
        <v>91.323020803703429</v>
      </c>
    </row>
    <row r="4216" spans="1:17" x14ac:dyDescent="0.2">
      <c r="A4216">
        <f>YEAR(D4216)</f>
        <v>2019</v>
      </c>
      <c r="B4216" t="s">
        <v>26</v>
      </c>
      <c r="C4216" s="2" t="s">
        <v>50</v>
      </c>
      <c r="D4216" s="1">
        <v>43711</v>
      </c>
      <c r="E4216">
        <f>MONTH(D4216)</f>
        <v>9</v>
      </c>
      <c r="F4216" s="2" t="s">
        <v>2098</v>
      </c>
      <c r="G4216" t="s">
        <v>352</v>
      </c>
      <c r="H4216" t="s">
        <v>975</v>
      </c>
      <c r="I4216" t="s">
        <v>22</v>
      </c>
      <c r="J4216" s="2" t="s">
        <v>42</v>
      </c>
      <c r="K4216" s="2" t="s">
        <v>3019</v>
      </c>
      <c r="L4216" t="s">
        <v>25</v>
      </c>
      <c r="M4216" s="8">
        <v>1.0693333330000001</v>
      </c>
      <c r="N4216" t="s">
        <v>26</v>
      </c>
      <c r="O4216" s="8">
        <v>1.0693333330000001</v>
      </c>
      <c r="P4216" s="8">
        <f>EXP(-1.363+3.366*LOG(O4216,10))</f>
        <v>0.28223780327142356</v>
      </c>
      <c r="Q4216" s="8">
        <f>(4488342*100)/4914798</f>
        <v>91.323020803703429</v>
      </c>
    </row>
    <row r="4217" spans="1:17" x14ac:dyDescent="0.2">
      <c r="A4217">
        <f>YEAR(D4217)</f>
        <v>2019</v>
      </c>
      <c r="B4217" t="s">
        <v>26</v>
      </c>
      <c r="C4217" s="2" t="s">
        <v>50</v>
      </c>
      <c r="D4217" s="1">
        <v>43711</v>
      </c>
      <c r="E4217">
        <f>MONTH(D4217)</f>
        <v>9</v>
      </c>
      <c r="F4217" s="2" t="s">
        <v>2098</v>
      </c>
      <c r="G4217" t="s">
        <v>352</v>
      </c>
      <c r="H4217" t="s">
        <v>975</v>
      </c>
      <c r="I4217" t="s">
        <v>36</v>
      </c>
      <c r="J4217" s="2" t="s">
        <v>42</v>
      </c>
      <c r="K4217" s="2" t="s">
        <v>3019</v>
      </c>
      <c r="L4217" t="s">
        <v>25</v>
      </c>
      <c r="M4217" s="8">
        <v>0.95199999999999996</v>
      </c>
      <c r="N4217" t="s">
        <v>26</v>
      </c>
      <c r="O4217" s="8">
        <v>0.95199999999999996</v>
      </c>
      <c r="P4217" s="8">
        <f>EXP(-1.363+3.366*LOG(O4217,10))</f>
        <v>0.23813726407794436</v>
      </c>
      <c r="Q4217" s="8">
        <f>(4488342*100)/4914798</f>
        <v>91.323020803703429</v>
      </c>
    </row>
    <row r="4218" spans="1:17" x14ac:dyDescent="0.2">
      <c r="A4218">
        <f>YEAR(D4218)</f>
        <v>2019</v>
      </c>
      <c r="B4218" t="s">
        <v>26</v>
      </c>
      <c r="C4218" s="2" t="s">
        <v>3020</v>
      </c>
      <c r="D4218" s="1">
        <v>43713</v>
      </c>
      <c r="E4218">
        <f>MONTH(D4218)</f>
        <v>9</v>
      </c>
      <c r="F4218" s="2" t="s">
        <v>2098</v>
      </c>
      <c r="G4218" t="s">
        <v>219</v>
      </c>
      <c r="H4218" t="s">
        <v>220</v>
      </c>
      <c r="I4218" t="s">
        <v>22</v>
      </c>
      <c r="J4218" s="2" t="s">
        <v>42</v>
      </c>
      <c r="K4218" s="2" t="s">
        <v>3019</v>
      </c>
      <c r="L4218" t="s">
        <v>25</v>
      </c>
      <c r="M4218" s="10" t="s">
        <v>26</v>
      </c>
      <c r="N4218" t="s">
        <v>26</v>
      </c>
      <c r="O4218" s="10" t="s">
        <v>26</v>
      </c>
      <c r="P4218" s="8" t="s">
        <v>26</v>
      </c>
      <c r="Q4218" s="8">
        <f>(3359412*100)/3462762</f>
        <v>97.015388294084318</v>
      </c>
    </row>
    <row r="4219" spans="1:17" x14ac:dyDescent="0.2">
      <c r="A4219">
        <f>YEAR(D4219)</f>
        <v>2019</v>
      </c>
      <c r="B4219" t="s">
        <v>26</v>
      </c>
      <c r="C4219" s="2" t="s">
        <v>3020</v>
      </c>
      <c r="D4219" s="1">
        <v>43713</v>
      </c>
      <c r="E4219">
        <f>MONTH(D4219)</f>
        <v>9</v>
      </c>
      <c r="F4219" s="2" t="s">
        <v>2098</v>
      </c>
      <c r="G4219" t="s">
        <v>219</v>
      </c>
      <c r="H4219" t="s">
        <v>220</v>
      </c>
      <c r="I4219" t="s">
        <v>22</v>
      </c>
      <c r="J4219" s="2" t="s">
        <v>42</v>
      </c>
      <c r="K4219" s="2" t="s">
        <v>3019</v>
      </c>
      <c r="L4219" t="s">
        <v>25</v>
      </c>
      <c r="M4219" s="10" t="s">
        <v>26</v>
      </c>
      <c r="N4219" t="s">
        <v>26</v>
      </c>
      <c r="O4219" s="10" t="s">
        <v>26</v>
      </c>
      <c r="P4219" s="8" t="s">
        <v>26</v>
      </c>
      <c r="Q4219" s="8">
        <f>(3359412*100)/3462762</f>
        <v>97.015388294084318</v>
      </c>
    </row>
    <row r="4220" spans="1:17" x14ac:dyDescent="0.2">
      <c r="A4220">
        <f>YEAR(D4220)</f>
        <v>2019</v>
      </c>
      <c r="B4220" t="s">
        <v>26</v>
      </c>
      <c r="C4220" s="2" t="s">
        <v>3020</v>
      </c>
      <c r="D4220" s="1">
        <v>43713</v>
      </c>
      <c r="E4220">
        <f>MONTH(D4220)</f>
        <v>9</v>
      </c>
      <c r="F4220" s="2" t="s">
        <v>2098</v>
      </c>
      <c r="G4220" t="s">
        <v>219</v>
      </c>
      <c r="H4220" t="s">
        <v>220</v>
      </c>
      <c r="I4220" t="s">
        <v>22</v>
      </c>
      <c r="J4220" s="2" t="s">
        <v>42</v>
      </c>
      <c r="K4220" s="2" t="s">
        <v>3019</v>
      </c>
      <c r="L4220" t="s">
        <v>25</v>
      </c>
      <c r="M4220" s="10" t="s">
        <v>26</v>
      </c>
      <c r="N4220" t="s">
        <v>26</v>
      </c>
      <c r="O4220" s="10" t="s">
        <v>26</v>
      </c>
      <c r="P4220" s="8" t="s">
        <v>26</v>
      </c>
      <c r="Q4220" s="8">
        <f>(3359412*100)/3462762</f>
        <v>97.015388294084318</v>
      </c>
    </row>
    <row r="4221" spans="1:17" x14ac:dyDescent="0.2">
      <c r="A4221">
        <f>YEAR(D4221)</f>
        <v>2019</v>
      </c>
      <c r="B4221" t="s">
        <v>26</v>
      </c>
      <c r="C4221" s="2" t="s">
        <v>3020</v>
      </c>
      <c r="D4221" s="1">
        <v>43713</v>
      </c>
      <c r="E4221">
        <f>MONTH(D4221)</f>
        <v>9</v>
      </c>
      <c r="F4221" s="2" t="s">
        <v>2098</v>
      </c>
      <c r="G4221" t="s">
        <v>219</v>
      </c>
      <c r="H4221" t="s">
        <v>220</v>
      </c>
      <c r="I4221" t="s">
        <v>22</v>
      </c>
      <c r="J4221" s="2" t="s">
        <v>42</v>
      </c>
      <c r="K4221" s="2" t="s">
        <v>3019</v>
      </c>
      <c r="L4221" t="s">
        <v>25</v>
      </c>
      <c r="M4221" s="10" t="s">
        <v>26</v>
      </c>
      <c r="N4221" t="s">
        <v>26</v>
      </c>
      <c r="O4221" s="10" t="s">
        <v>26</v>
      </c>
      <c r="P4221" s="8" t="s">
        <v>26</v>
      </c>
      <c r="Q4221" s="8">
        <f>(3359412*100)/3462762</f>
        <v>97.015388294084318</v>
      </c>
    </row>
    <row r="4222" spans="1:17" x14ac:dyDescent="0.2">
      <c r="A4222">
        <f>YEAR(D4222)</f>
        <v>2019</v>
      </c>
      <c r="B4222" t="s">
        <v>26</v>
      </c>
      <c r="C4222" s="2" t="s">
        <v>3020</v>
      </c>
      <c r="D4222" s="1">
        <v>43713</v>
      </c>
      <c r="E4222">
        <f>MONTH(D4222)</f>
        <v>9</v>
      </c>
      <c r="F4222" s="2" t="s">
        <v>2098</v>
      </c>
      <c r="G4222" t="s">
        <v>219</v>
      </c>
      <c r="H4222" t="s">
        <v>220</v>
      </c>
      <c r="I4222" t="s">
        <v>22</v>
      </c>
      <c r="J4222" s="2" t="s">
        <v>42</v>
      </c>
      <c r="K4222" s="2" t="s">
        <v>3019</v>
      </c>
      <c r="L4222" t="s">
        <v>25</v>
      </c>
      <c r="M4222" s="10" t="s">
        <v>26</v>
      </c>
      <c r="N4222" t="s">
        <v>26</v>
      </c>
      <c r="O4222" s="10" t="s">
        <v>26</v>
      </c>
      <c r="P4222" s="8" t="s">
        <v>26</v>
      </c>
      <c r="Q4222" s="8">
        <f>(3359412*100)/3462762</f>
        <v>97.015388294084318</v>
      </c>
    </row>
    <row r="4223" spans="1:17" x14ac:dyDescent="0.2">
      <c r="A4223">
        <f>YEAR(D4223)</f>
        <v>2019</v>
      </c>
      <c r="B4223" t="s">
        <v>26</v>
      </c>
      <c r="C4223" s="2" t="s">
        <v>3020</v>
      </c>
      <c r="D4223" s="1">
        <v>43713</v>
      </c>
      <c r="E4223">
        <f>MONTH(D4223)</f>
        <v>9</v>
      </c>
      <c r="F4223" s="2" t="s">
        <v>2098</v>
      </c>
      <c r="G4223" t="s">
        <v>219</v>
      </c>
      <c r="H4223" t="s">
        <v>220</v>
      </c>
      <c r="I4223" t="s">
        <v>22</v>
      </c>
      <c r="J4223" s="2" t="s">
        <v>42</v>
      </c>
      <c r="K4223" s="2" t="s">
        <v>3019</v>
      </c>
      <c r="L4223" t="s">
        <v>25</v>
      </c>
      <c r="M4223" s="10" t="s">
        <v>26</v>
      </c>
      <c r="N4223" t="s">
        <v>26</v>
      </c>
      <c r="O4223" s="10" t="s">
        <v>26</v>
      </c>
      <c r="P4223" s="8" t="s">
        <v>26</v>
      </c>
      <c r="Q4223" s="8">
        <f>(3359412*100)/3462762</f>
        <v>97.015388294084318</v>
      </c>
    </row>
    <row r="4224" spans="1:17" x14ac:dyDescent="0.2">
      <c r="A4224">
        <f>YEAR(D4224)</f>
        <v>2019</v>
      </c>
      <c r="B4224" t="s">
        <v>26</v>
      </c>
      <c r="C4224" s="2" t="s">
        <v>3020</v>
      </c>
      <c r="D4224" s="1">
        <v>43713</v>
      </c>
      <c r="E4224">
        <f>MONTH(D4224)</f>
        <v>9</v>
      </c>
      <c r="F4224" s="2" t="s">
        <v>2098</v>
      </c>
      <c r="G4224" t="s">
        <v>219</v>
      </c>
      <c r="H4224" t="s">
        <v>220</v>
      </c>
      <c r="I4224" t="s">
        <v>22</v>
      </c>
      <c r="J4224" s="2" t="s">
        <v>42</v>
      </c>
      <c r="K4224" s="2" t="s">
        <v>3019</v>
      </c>
      <c r="L4224" t="s">
        <v>25</v>
      </c>
      <c r="M4224" s="10" t="s">
        <v>26</v>
      </c>
      <c r="N4224" t="s">
        <v>26</v>
      </c>
      <c r="O4224" s="10" t="s">
        <v>26</v>
      </c>
      <c r="P4224" s="8" t="s">
        <v>26</v>
      </c>
      <c r="Q4224" s="8">
        <f>(3359412*100)/3462762</f>
        <v>97.015388294084318</v>
      </c>
    </row>
    <row r="4225" spans="1:17" x14ac:dyDescent="0.2">
      <c r="A4225">
        <f>YEAR(D4225)</f>
        <v>2019</v>
      </c>
      <c r="B4225" t="s">
        <v>26</v>
      </c>
      <c r="C4225" s="2" t="s">
        <v>3020</v>
      </c>
      <c r="D4225" s="1">
        <v>43713</v>
      </c>
      <c r="E4225">
        <f>MONTH(D4225)</f>
        <v>9</v>
      </c>
      <c r="F4225" s="2" t="s">
        <v>2098</v>
      </c>
      <c r="G4225" t="s">
        <v>219</v>
      </c>
      <c r="H4225" t="s">
        <v>220</v>
      </c>
      <c r="I4225" t="s">
        <v>22</v>
      </c>
      <c r="J4225" s="2" t="s">
        <v>42</v>
      </c>
      <c r="K4225" s="2" t="s">
        <v>3019</v>
      </c>
      <c r="L4225" t="s">
        <v>25</v>
      </c>
      <c r="M4225" s="10" t="s">
        <v>26</v>
      </c>
      <c r="N4225" t="s">
        <v>26</v>
      </c>
      <c r="O4225" s="10" t="s">
        <v>26</v>
      </c>
      <c r="P4225" s="8" t="s">
        <v>26</v>
      </c>
      <c r="Q4225" s="8">
        <f>(3359412*100)/3462762</f>
        <v>97.015388294084318</v>
      </c>
    </row>
    <row r="4226" spans="1:17" x14ac:dyDescent="0.2">
      <c r="A4226">
        <f>YEAR(D4226)</f>
        <v>2019</v>
      </c>
      <c r="B4226" t="s">
        <v>26</v>
      </c>
      <c r="C4226" s="2" t="s">
        <v>3020</v>
      </c>
      <c r="D4226" s="1">
        <v>43713</v>
      </c>
      <c r="E4226">
        <f>MONTH(D4226)</f>
        <v>9</v>
      </c>
      <c r="F4226" s="2" t="s">
        <v>2098</v>
      </c>
      <c r="G4226" t="s">
        <v>219</v>
      </c>
      <c r="H4226" t="s">
        <v>220</v>
      </c>
      <c r="I4226" t="s">
        <v>22</v>
      </c>
      <c r="J4226" s="2" t="s">
        <v>42</v>
      </c>
      <c r="K4226" s="2" t="s">
        <v>3019</v>
      </c>
      <c r="L4226" t="s">
        <v>25</v>
      </c>
      <c r="M4226" s="10" t="s">
        <v>26</v>
      </c>
      <c r="N4226" t="s">
        <v>26</v>
      </c>
      <c r="O4226" s="10" t="s">
        <v>26</v>
      </c>
      <c r="P4226" s="8" t="s">
        <v>26</v>
      </c>
      <c r="Q4226" s="8">
        <f>(3359412*100)/3462762</f>
        <v>97.015388294084318</v>
      </c>
    </row>
    <row r="4227" spans="1:17" x14ac:dyDescent="0.2">
      <c r="A4227">
        <f>YEAR(D4227)</f>
        <v>2019</v>
      </c>
      <c r="B4227" t="s">
        <v>26</v>
      </c>
      <c r="C4227" s="2" t="s">
        <v>3020</v>
      </c>
      <c r="D4227" s="1">
        <v>43713</v>
      </c>
      <c r="E4227">
        <f>MONTH(D4227)</f>
        <v>9</v>
      </c>
      <c r="F4227" s="2" t="s">
        <v>2098</v>
      </c>
      <c r="G4227" t="s">
        <v>219</v>
      </c>
      <c r="H4227" t="s">
        <v>220</v>
      </c>
      <c r="I4227" t="s">
        <v>22</v>
      </c>
      <c r="J4227" s="2" t="s">
        <v>42</v>
      </c>
      <c r="K4227" s="2" t="s">
        <v>3019</v>
      </c>
      <c r="L4227" t="s">
        <v>25</v>
      </c>
      <c r="M4227" s="10" t="s">
        <v>26</v>
      </c>
      <c r="N4227" t="s">
        <v>26</v>
      </c>
      <c r="O4227" s="10" t="s">
        <v>26</v>
      </c>
      <c r="P4227" s="8" t="s">
        <v>26</v>
      </c>
      <c r="Q4227" s="8">
        <f>(3359412*100)/3462762</f>
        <v>97.015388294084318</v>
      </c>
    </row>
    <row r="4228" spans="1:17" x14ac:dyDescent="0.2">
      <c r="A4228">
        <f>YEAR(D4228)</f>
        <v>2019</v>
      </c>
      <c r="B4228" t="s">
        <v>26</v>
      </c>
      <c r="C4228" s="2" t="s">
        <v>3020</v>
      </c>
      <c r="D4228" s="1">
        <v>43713</v>
      </c>
      <c r="E4228">
        <f>MONTH(D4228)</f>
        <v>9</v>
      </c>
      <c r="F4228" s="2" t="s">
        <v>2098</v>
      </c>
      <c r="G4228" t="s">
        <v>219</v>
      </c>
      <c r="H4228" t="s">
        <v>220</v>
      </c>
      <c r="I4228" t="s">
        <v>22</v>
      </c>
      <c r="J4228" s="2" t="s">
        <v>42</v>
      </c>
      <c r="K4228" s="2" t="s">
        <v>3019</v>
      </c>
      <c r="L4228" t="s">
        <v>25</v>
      </c>
      <c r="M4228" s="10" t="s">
        <v>26</v>
      </c>
      <c r="N4228" t="s">
        <v>26</v>
      </c>
      <c r="O4228" s="10" t="s">
        <v>26</v>
      </c>
      <c r="P4228" s="8" t="s">
        <v>26</v>
      </c>
      <c r="Q4228" s="8">
        <f>(3359412*100)/3462762</f>
        <v>97.015388294084318</v>
      </c>
    </row>
    <row r="4229" spans="1:17" x14ac:dyDescent="0.2">
      <c r="A4229">
        <f>YEAR(D4229)</f>
        <v>2019</v>
      </c>
      <c r="B4229" t="s">
        <v>26</v>
      </c>
      <c r="C4229" s="2" t="s">
        <v>3020</v>
      </c>
      <c r="D4229" s="1">
        <v>43713</v>
      </c>
      <c r="E4229">
        <f>MONTH(D4229)</f>
        <v>9</v>
      </c>
      <c r="F4229" s="2" t="s">
        <v>2098</v>
      </c>
      <c r="G4229" t="s">
        <v>219</v>
      </c>
      <c r="H4229" t="s">
        <v>220</v>
      </c>
      <c r="I4229" t="s">
        <v>22</v>
      </c>
      <c r="J4229" s="2" t="s">
        <v>42</v>
      </c>
      <c r="K4229" s="2" t="s">
        <v>3019</v>
      </c>
      <c r="L4229" t="s">
        <v>25</v>
      </c>
      <c r="M4229" s="10" t="s">
        <v>26</v>
      </c>
      <c r="N4229" t="s">
        <v>26</v>
      </c>
      <c r="O4229" s="10" t="s">
        <v>26</v>
      </c>
      <c r="P4229" s="8" t="s">
        <v>26</v>
      </c>
      <c r="Q4229" s="8">
        <f>(3359412*100)/3462762</f>
        <v>97.015388294084318</v>
      </c>
    </row>
    <row r="4230" spans="1:17" x14ac:dyDescent="0.2">
      <c r="A4230">
        <f>YEAR(D4230)</f>
        <v>2019</v>
      </c>
      <c r="B4230" t="s">
        <v>26</v>
      </c>
      <c r="C4230" s="2" t="s">
        <v>3020</v>
      </c>
      <c r="D4230" s="1">
        <v>43713</v>
      </c>
      <c r="E4230">
        <f>MONTH(D4230)</f>
        <v>9</v>
      </c>
      <c r="F4230" s="2" t="s">
        <v>2098</v>
      </c>
      <c r="G4230" t="s">
        <v>219</v>
      </c>
      <c r="H4230" t="s">
        <v>220</v>
      </c>
      <c r="I4230" t="s">
        <v>22</v>
      </c>
      <c r="J4230" s="2" t="s">
        <v>42</v>
      </c>
      <c r="K4230" s="2" t="s">
        <v>3019</v>
      </c>
      <c r="L4230" t="s">
        <v>25</v>
      </c>
      <c r="M4230" s="10" t="s">
        <v>26</v>
      </c>
      <c r="N4230" t="s">
        <v>26</v>
      </c>
      <c r="O4230" s="10" t="s">
        <v>26</v>
      </c>
      <c r="P4230" s="8" t="s">
        <v>26</v>
      </c>
      <c r="Q4230" s="8">
        <f>(3359412*100)/3462762</f>
        <v>97.015388294084318</v>
      </c>
    </row>
    <row r="4231" spans="1:17" x14ac:dyDescent="0.2">
      <c r="A4231">
        <f>YEAR(D4231)</f>
        <v>2019</v>
      </c>
      <c r="B4231" t="s">
        <v>26</v>
      </c>
      <c r="C4231" s="2" t="s">
        <v>3020</v>
      </c>
      <c r="D4231" s="1">
        <v>43713</v>
      </c>
      <c r="E4231">
        <f>MONTH(D4231)</f>
        <v>9</v>
      </c>
      <c r="F4231" s="2" t="s">
        <v>2098</v>
      </c>
      <c r="G4231" t="s">
        <v>230</v>
      </c>
      <c r="H4231" t="s">
        <v>268</v>
      </c>
      <c r="I4231" t="s">
        <v>22</v>
      </c>
      <c r="J4231" s="2" t="s">
        <v>42</v>
      </c>
      <c r="K4231" s="2" t="s">
        <v>3019</v>
      </c>
      <c r="L4231" t="s">
        <v>25</v>
      </c>
      <c r="M4231" s="8">
        <v>3.5356666670000001</v>
      </c>
      <c r="N4231" t="s">
        <v>26</v>
      </c>
      <c r="O4231" s="8">
        <v>3.5356666670000001</v>
      </c>
      <c r="P4231" s="8">
        <f>EXP(-1.363+3.366*LOG(O4231,10))</f>
        <v>1.6211802664427075</v>
      </c>
      <c r="Q4231" s="8">
        <f>(3359412*100)/3462762</f>
        <v>97.015388294084318</v>
      </c>
    </row>
    <row r="4232" spans="1:17" x14ac:dyDescent="0.2">
      <c r="A4232">
        <f>YEAR(D4232)</f>
        <v>2019</v>
      </c>
      <c r="B4232" t="s">
        <v>26</v>
      </c>
      <c r="C4232" s="2" t="s">
        <v>3021</v>
      </c>
      <c r="D4232" s="1">
        <v>43712</v>
      </c>
      <c r="E4232">
        <f>MONTH(D4232)</f>
        <v>9</v>
      </c>
      <c r="F4232" s="2" t="s">
        <v>2098</v>
      </c>
      <c r="G4232" t="s">
        <v>230</v>
      </c>
      <c r="H4232" t="s">
        <v>268</v>
      </c>
      <c r="I4232" t="s">
        <v>22</v>
      </c>
      <c r="J4232" s="2" t="s">
        <v>42</v>
      </c>
      <c r="K4232" s="2" t="s">
        <v>3019</v>
      </c>
      <c r="L4232" t="s">
        <v>25</v>
      </c>
      <c r="M4232" s="8">
        <v>3.5356666670000001</v>
      </c>
      <c r="N4232" t="s">
        <v>26</v>
      </c>
      <c r="O4232" s="8">
        <v>3.5356666670000001</v>
      </c>
      <c r="P4232" s="8">
        <f>EXP(-1.363+3.366*LOG(O4232,10))</f>
        <v>1.6211802664427075</v>
      </c>
      <c r="Q4232" s="8">
        <f>(1845879*100)/1946364</f>
        <v>94.837296620775973</v>
      </c>
    </row>
    <row r="4233" spans="1:17" x14ac:dyDescent="0.2">
      <c r="A4233">
        <f>YEAR(D4233)</f>
        <v>2019</v>
      </c>
      <c r="B4233" t="s">
        <v>26</v>
      </c>
      <c r="C4233" s="2" t="s">
        <v>3020</v>
      </c>
      <c r="D4233" s="1">
        <v>43713</v>
      </c>
      <c r="E4233">
        <f>MONTH(D4233)</f>
        <v>9</v>
      </c>
      <c r="F4233" s="2" t="s">
        <v>2098</v>
      </c>
      <c r="G4233" t="s">
        <v>230</v>
      </c>
      <c r="H4233" t="s">
        <v>268</v>
      </c>
      <c r="I4233" t="s">
        <v>22</v>
      </c>
      <c r="J4233" s="2" t="s">
        <v>42</v>
      </c>
      <c r="K4233" s="2" t="s">
        <v>3019</v>
      </c>
      <c r="L4233" t="s">
        <v>25</v>
      </c>
      <c r="M4233" s="8">
        <v>3.5356666670000001</v>
      </c>
      <c r="N4233" t="s">
        <v>26</v>
      </c>
      <c r="O4233" s="8">
        <v>3.5356666670000001</v>
      </c>
      <c r="P4233" s="8">
        <f>EXP(-1.363+3.366*LOG(O4233,10))</f>
        <v>1.6211802664427075</v>
      </c>
      <c r="Q4233" s="8">
        <f>(3359412*100)/3462762</f>
        <v>97.015388294084318</v>
      </c>
    </row>
    <row r="4234" spans="1:17" x14ac:dyDescent="0.2">
      <c r="A4234">
        <f>YEAR(D4234)</f>
        <v>2019</v>
      </c>
      <c r="B4234" t="s">
        <v>26</v>
      </c>
      <c r="C4234" s="2" t="s">
        <v>3020</v>
      </c>
      <c r="D4234" s="1">
        <v>43713</v>
      </c>
      <c r="E4234">
        <f>MONTH(D4234)</f>
        <v>9</v>
      </c>
      <c r="F4234" s="2" t="s">
        <v>2098</v>
      </c>
      <c r="G4234" t="s">
        <v>230</v>
      </c>
      <c r="H4234" t="s">
        <v>268</v>
      </c>
      <c r="I4234" t="s">
        <v>22</v>
      </c>
      <c r="J4234" s="2" t="s">
        <v>42</v>
      </c>
      <c r="K4234" s="2" t="s">
        <v>3019</v>
      </c>
      <c r="L4234" t="s">
        <v>25</v>
      </c>
      <c r="M4234" s="8">
        <v>3.5356666670000001</v>
      </c>
      <c r="N4234" t="s">
        <v>26</v>
      </c>
      <c r="O4234" s="8">
        <v>3.5356666670000001</v>
      </c>
      <c r="P4234" s="8">
        <f>EXP(-1.363+3.366*LOG(O4234,10))</f>
        <v>1.6211802664427075</v>
      </c>
      <c r="Q4234" s="8">
        <f>(3359412*100)/3462762</f>
        <v>97.015388294084318</v>
      </c>
    </row>
    <row r="4235" spans="1:17" x14ac:dyDescent="0.2">
      <c r="A4235">
        <f>YEAR(D4235)</f>
        <v>2019</v>
      </c>
      <c r="B4235" t="s">
        <v>26</v>
      </c>
      <c r="C4235" s="2" t="s">
        <v>3020</v>
      </c>
      <c r="D4235" s="1">
        <v>43713</v>
      </c>
      <c r="E4235">
        <f>MONTH(D4235)</f>
        <v>9</v>
      </c>
      <c r="F4235" s="2" t="s">
        <v>2098</v>
      </c>
      <c r="G4235" t="s">
        <v>230</v>
      </c>
      <c r="H4235" t="s">
        <v>268</v>
      </c>
      <c r="I4235" t="s">
        <v>22</v>
      </c>
      <c r="J4235" s="2" t="s">
        <v>42</v>
      </c>
      <c r="K4235" s="2" t="s">
        <v>3019</v>
      </c>
      <c r="L4235" t="s">
        <v>25</v>
      </c>
      <c r="M4235" s="8">
        <v>3.5356666670000001</v>
      </c>
      <c r="N4235" t="s">
        <v>26</v>
      </c>
      <c r="O4235" s="8">
        <v>3.5356666670000001</v>
      </c>
      <c r="P4235" s="8">
        <f>EXP(-1.363+3.366*LOG(O4235,10))</f>
        <v>1.6211802664427075</v>
      </c>
      <c r="Q4235" s="8">
        <f>(3359412*100)/3462762</f>
        <v>97.015388294084318</v>
      </c>
    </row>
    <row r="4236" spans="1:17" x14ac:dyDescent="0.2">
      <c r="A4236">
        <f>YEAR(D4236)</f>
        <v>2019</v>
      </c>
      <c r="B4236" t="s">
        <v>26</v>
      </c>
      <c r="C4236" s="2" t="s">
        <v>3020</v>
      </c>
      <c r="D4236" s="1">
        <v>43713</v>
      </c>
      <c r="E4236">
        <f>MONTH(D4236)</f>
        <v>9</v>
      </c>
      <c r="F4236" s="2" t="s">
        <v>2098</v>
      </c>
      <c r="G4236" t="s">
        <v>230</v>
      </c>
      <c r="H4236" t="s">
        <v>268</v>
      </c>
      <c r="I4236" t="s">
        <v>22</v>
      </c>
      <c r="J4236" s="2" t="s">
        <v>42</v>
      </c>
      <c r="K4236" s="2" t="s">
        <v>3019</v>
      </c>
      <c r="L4236" t="s">
        <v>25</v>
      </c>
      <c r="M4236" s="8">
        <v>3.5356666670000001</v>
      </c>
      <c r="N4236" t="s">
        <v>26</v>
      </c>
      <c r="O4236" s="8">
        <v>3.5356666670000001</v>
      </c>
      <c r="P4236" s="8">
        <f>EXP(-1.363+3.366*LOG(O4236,10))</f>
        <v>1.6211802664427075</v>
      </c>
      <c r="Q4236" s="8">
        <f>(3359412*100)/3462762</f>
        <v>97.015388294084318</v>
      </c>
    </row>
    <row r="4237" spans="1:17" x14ac:dyDescent="0.2">
      <c r="A4237">
        <f>YEAR(D4237)</f>
        <v>2019</v>
      </c>
      <c r="B4237" t="s">
        <v>26</v>
      </c>
      <c r="C4237" s="2" t="s">
        <v>3020</v>
      </c>
      <c r="D4237" s="1">
        <v>43713</v>
      </c>
      <c r="E4237">
        <f>MONTH(D4237)</f>
        <v>9</v>
      </c>
      <c r="F4237" s="2" t="s">
        <v>2098</v>
      </c>
      <c r="G4237" t="s">
        <v>352</v>
      </c>
      <c r="H4237" t="s">
        <v>1459</v>
      </c>
      <c r="I4237" t="s">
        <v>22</v>
      </c>
      <c r="J4237" s="2" t="s">
        <v>42</v>
      </c>
      <c r="K4237" s="2" t="s">
        <v>3019</v>
      </c>
      <c r="L4237" t="s">
        <v>25</v>
      </c>
      <c r="M4237" s="8">
        <v>1.1910000000000001</v>
      </c>
      <c r="N4237" t="s">
        <v>26</v>
      </c>
      <c r="O4237" s="8">
        <v>1.1910000000000001</v>
      </c>
      <c r="P4237" s="8">
        <f>EXP(-1.363+3.366*LOG(O4237,10))</f>
        <v>0.33039016297752993</v>
      </c>
      <c r="Q4237" s="8">
        <f>(3359412*100)/3462762</f>
        <v>97.015388294084318</v>
      </c>
    </row>
    <row r="4238" spans="1:17" x14ac:dyDescent="0.2">
      <c r="A4238">
        <f>YEAR(D4238)</f>
        <v>2019</v>
      </c>
      <c r="B4238" t="s">
        <v>26</v>
      </c>
      <c r="C4238" s="2" t="s">
        <v>3020</v>
      </c>
      <c r="D4238" s="1">
        <v>43713</v>
      </c>
      <c r="E4238">
        <f>MONTH(D4238)</f>
        <v>9</v>
      </c>
      <c r="F4238" s="2" t="s">
        <v>2098</v>
      </c>
      <c r="G4238" t="s">
        <v>230</v>
      </c>
      <c r="H4238" t="s">
        <v>268</v>
      </c>
      <c r="I4238" t="s">
        <v>22</v>
      </c>
      <c r="J4238" s="2" t="s">
        <v>42</v>
      </c>
      <c r="K4238" s="2" t="s">
        <v>3019</v>
      </c>
      <c r="L4238" t="s">
        <v>25</v>
      </c>
      <c r="M4238" s="8">
        <v>3.5356666670000001</v>
      </c>
      <c r="N4238" t="s">
        <v>26</v>
      </c>
      <c r="O4238" s="8">
        <v>3.5356666670000001</v>
      </c>
      <c r="P4238" s="8">
        <f>EXP(-1.363+3.366*LOG(O4238,10))</f>
        <v>1.6211802664427075</v>
      </c>
      <c r="Q4238" s="8">
        <f>(3359412*100)/3462762</f>
        <v>97.015388294084318</v>
      </c>
    </row>
    <row r="4239" spans="1:17" x14ac:dyDescent="0.2">
      <c r="A4239">
        <f>YEAR(D4239)</f>
        <v>2019</v>
      </c>
      <c r="B4239" t="s">
        <v>26</v>
      </c>
      <c r="C4239" s="2" t="s">
        <v>3020</v>
      </c>
      <c r="D4239" s="1">
        <v>43713</v>
      </c>
      <c r="E4239">
        <f>MONTH(D4239)</f>
        <v>9</v>
      </c>
      <c r="F4239" s="2" t="s">
        <v>2098</v>
      </c>
      <c r="G4239" t="s">
        <v>352</v>
      </c>
      <c r="H4239" t="s">
        <v>1459</v>
      </c>
      <c r="I4239" t="s">
        <v>22</v>
      </c>
      <c r="J4239" s="2" t="s">
        <v>42</v>
      </c>
      <c r="K4239" s="2" t="s">
        <v>3019</v>
      </c>
      <c r="L4239" t="s">
        <v>25</v>
      </c>
      <c r="M4239" s="8">
        <v>1.1910000000000001</v>
      </c>
      <c r="N4239" t="s">
        <v>26</v>
      </c>
      <c r="O4239" s="8">
        <v>1.1910000000000001</v>
      </c>
      <c r="P4239" s="8">
        <f>EXP(-1.363+3.366*LOG(O4239,10))</f>
        <v>0.33039016297752993</v>
      </c>
      <c r="Q4239" s="8">
        <f>(3359412*100)/3462762</f>
        <v>97.015388294084318</v>
      </c>
    </row>
    <row r="4240" spans="1:17" x14ac:dyDescent="0.2">
      <c r="A4240">
        <f>YEAR(D4240)</f>
        <v>2019</v>
      </c>
      <c r="B4240" t="s">
        <v>26</v>
      </c>
      <c r="C4240" s="2" t="s">
        <v>3020</v>
      </c>
      <c r="D4240" s="1">
        <v>43713</v>
      </c>
      <c r="E4240">
        <f>MONTH(D4240)</f>
        <v>9</v>
      </c>
      <c r="F4240" s="2" t="s">
        <v>2098</v>
      </c>
      <c r="G4240" t="s">
        <v>352</v>
      </c>
      <c r="H4240" t="s">
        <v>1459</v>
      </c>
      <c r="I4240" t="s">
        <v>22</v>
      </c>
      <c r="J4240" s="2" t="s">
        <v>42</v>
      </c>
      <c r="K4240" s="2" t="s">
        <v>3019</v>
      </c>
      <c r="L4240" t="s">
        <v>25</v>
      </c>
      <c r="M4240" s="8">
        <v>1.1910000000000001</v>
      </c>
      <c r="N4240" t="s">
        <v>26</v>
      </c>
      <c r="O4240" s="8">
        <v>1.1910000000000001</v>
      </c>
      <c r="P4240" s="8">
        <f>EXP(-1.363+3.366*LOG(O4240,10))</f>
        <v>0.33039016297752993</v>
      </c>
      <c r="Q4240" s="8">
        <f>(3359412*100)/3462762</f>
        <v>97.015388294084318</v>
      </c>
    </row>
    <row r="4241" spans="1:17" x14ac:dyDescent="0.2">
      <c r="A4241">
        <f>YEAR(D4241)</f>
        <v>2019</v>
      </c>
      <c r="B4241" t="s">
        <v>26</v>
      </c>
      <c r="C4241" s="2" t="s">
        <v>3020</v>
      </c>
      <c r="D4241" s="1">
        <v>43713</v>
      </c>
      <c r="E4241">
        <f>MONTH(D4241)</f>
        <v>9</v>
      </c>
      <c r="F4241" s="2" t="s">
        <v>2098</v>
      </c>
      <c r="G4241" t="s">
        <v>352</v>
      </c>
      <c r="H4241" t="s">
        <v>1459</v>
      </c>
      <c r="I4241" t="s">
        <v>22</v>
      </c>
      <c r="J4241" s="2" t="s">
        <v>42</v>
      </c>
      <c r="K4241" s="2" t="s">
        <v>3019</v>
      </c>
      <c r="L4241" t="s">
        <v>25</v>
      </c>
      <c r="M4241" s="8">
        <v>1.1910000000000001</v>
      </c>
      <c r="N4241" t="s">
        <v>26</v>
      </c>
      <c r="O4241" s="8">
        <v>1.1910000000000001</v>
      </c>
      <c r="P4241" s="8">
        <f>EXP(-1.363+3.366*LOG(O4241,10))</f>
        <v>0.33039016297752993</v>
      </c>
      <c r="Q4241" s="8">
        <f>(3359412*100)/3462762</f>
        <v>97.015388294084318</v>
      </c>
    </row>
    <row r="4242" spans="1:17" x14ac:dyDescent="0.2">
      <c r="A4242">
        <f>YEAR(D4242)</f>
        <v>2019</v>
      </c>
      <c r="B4242" t="s">
        <v>26</v>
      </c>
      <c r="C4242" s="2" t="s">
        <v>3020</v>
      </c>
      <c r="D4242" s="1">
        <v>43713</v>
      </c>
      <c r="E4242">
        <f>MONTH(D4242)</f>
        <v>9</v>
      </c>
      <c r="F4242" s="2" t="s">
        <v>2098</v>
      </c>
      <c r="G4242" t="s">
        <v>352</v>
      </c>
      <c r="H4242" t="s">
        <v>1459</v>
      </c>
      <c r="I4242" t="s">
        <v>22</v>
      </c>
      <c r="J4242" s="2" t="s">
        <v>42</v>
      </c>
      <c r="K4242" s="2" t="s">
        <v>3019</v>
      </c>
      <c r="L4242" t="s">
        <v>25</v>
      </c>
      <c r="M4242" s="8">
        <v>1.1910000000000001</v>
      </c>
      <c r="N4242" t="s">
        <v>26</v>
      </c>
      <c r="O4242" s="8">
        <v>1.1910000000000001</v>
      </c>
      <c r="P4242" s="8">
        <f>EXP(-1.363+3.366*LOG(O4242,10))</f>
        <v>0.33039016297752993</v>
      </c>
      <c r="Q4242" s="8">
        <f>(3359412*100)/3462762</f>
        <v>97.015388294084318</v>
      </c>
    </row>
    <row r="4243" spans="1:17" x14ac:dyDescent="0.2">
      <c r="A4243">
        <f>YEAR(D4243)</f>
        <v>2019</v>
      </c>
      <c r="B4243" t="s">
        <v>26</v>
      </c>
      <c r="C4243" s="2" t="s">
        <v>3020</v>
      </c>
      <c r="D4243" s="1">
        <v>43713</v>
      </c>
      <c r="E4243">
        <f>MONTH(D4243)</f>
        <v>9</v>
      </c>
      <c r="F4243" s="2" t="s">
        <v>2098</v>
      </c>
      <c r="G4243" t="s">
        <v>230</v>
      </c>
      <c r="H4243" t="s">
        <v>255</v>
      </c>
      <c r="I4243" t="s">
        <v>36</v>
      </c>
      <c r="J4243" s="2" t="s">
        <v>42</v>
      </c>
      <c r="K4243" s="2" t="s">
        <v>3019</v>
      </c>
      <c r="L4243" t="s">
        <v>25</v>
      </c>
      <c r="M4243" s="8">
        <v>4.1180000000000003</v>
      </c>
      <c r="N4243" t="s">
        <v>26</v>
      </c>
      <c r="O4243" s="8">
        <v>4.1180000000000003</v>
      </c>
      <c r="P4243" s="8">
        <f>EXP(-1.363+3.366*LOG(O4243,10))</f>
        <v>2.0259408868315871</v>
      </c>
      <c r="Q4243" s="8">
        <f>(3359412*100)/3462762</f>
        <v>97.015388294084318</v>
      </c>
    </row>
    <row r="4244" spans="1:17" x14ac:dyDescent="0.2">
      <c r="A4244">
        <f>YEAR(D4244)</f>
        <v>2019</v>
      </c>
      <c r="B4244" t="s">
        <v>26</v>
      </c>
      <c r="C4244" s="2" t="s">
        <v>1552</v>
      </c>
      <c r="D4244" s="1">
        <v>43714</v>
      </c>
      <c r="E4244">
        <f>MONTH(D4244)</f>
        <v>9</v>
      </c>
      <c r="F4244" s="2" t="s">
        <v>2098</v>
      </c>
      <c r="G4244" t="s">
        <v>219</v>
      </c>
      <c r="H4244" t="s">
        <v>220</v>
      </c>
      <c r="I4244" t="s">
        <v>22</v>
      </c>
      <c r="J4244" s="2" t="s">
        <v>42</v>
      </c>
      <c r="K4244" s="2" t="s">
        <v>3019</v>
      </c>
      <c r="L4244" t="s">
        <v>25</v>
      </c>
      <c r="M4244" s="10" t="s">
        <v>26</v>
      </c>
      <c r="N4244" t="s">
        <v>26</v>
      </c>
      <c r="O4244" s="10" t="s">
        <v>26</v>
      </c>
      <c r="P4244" s="8" t="s">
        <v>26</v>
      </c>
      <c r="Q4244" s="8">
        <f>(3738946*100)/3915493</f>
        <v>95.491065875995687</v>
      </c>
    </row>
    <row r="4245" spans="1:17" x14ac:dyDescent="0.2">
      <c r="A4245">
        <f>YEAR(D4245)</f>
        <v>2019</v>
      </c>
      <c r="B4245" t="s">
        <v>26</v>
      </c>
      <c r="C4245" s="2" t="s">
        <v>1552</v>
      </c>
      <c r="D4245" s="1">
        <v>43714</v>
      </c>
      <c r="E4245">
        <f>MONTH(D4245)</f>
        <v>9</v>
      </c>
      <c r="F4245" s="2" t="s">
        <v>2098</v>
      </c>
      <c r="G4245" t="s">
        <v>219</v>
      </c>
      <c r="H4245" t="s">
        <v>220</v>
      </c>
      <c r="I4245" t="s">
        <v>22</v>
      </c>
      <c r="J4245" s="2" t="s">
        <v>42</v>
      </c>
      <c r="K4245" s="2" t="s">
        <v>3019</v>
      </c>
      <c r="L4245" t="s">
        <v>25</v>
      </c>
      <c r="M4245" s="10" t="s">
        <v>26</v>
      </c>
      <c r="N4245" t="s">
        <v>26</v>
      </c>
      <c r="O4245" s="10" t="s">
        <v>26</v>
      </c>
      <c r="P4245" s="8" t="s">
        <v>26</v>
      </c>
      <c r="Q4245" s="8">
        <f>(3738946*100)/3915493</f>
        <v>95.491065875995687</v>
      </c>
    </row>
    <row r="4246" spans="1:17" x14ac:dyDescent="0.2">
      <c r="A4246">
        <f>YEAR(D4246)</f>
        <v>2019</v>
      </c>
      <c r="B4246" t="s">
        <v>26</v>
      </c>
      <c r="C4246" s="2" t="s">
        <v>1540</v>
      </c>
      <c r="D4246" s="1">
        <v>43714</v>
      </c>
      <c r="E4246">
        <f>MONTH(D4246)</f>
        <v>9</v>
      </c>
      <c r="F4246" s="2" t="s">
        <v>2098</v>
      </c>
      <c r="G4246" t="s">
        <v>219</v>
      </c>
      <c r="H4246" t="s">
        <v>220</v>
      </c>
      <c r="I4246" t="s">
        <v>22</v>
      </c>
      <c r="J4246" s="2" t="s">
        <v>42</v>
      </c>
      <c r="K4246" s="2" t="s">
        <v>3019</v>
      </c>
      <c r="L4246" t="s">
        <v>25</v>
      </c>
      <c r="M4246" s="10" t="s">
        <v>26</v>
      </c>
      <c r="N4246" t="s">
        <v>26</v>
      </c>
      <c r="O4246" s="10" t="s">
        <v>26</v>
      </c>
      <c r="P4246" s="8" t="s">
        <v>26</v>
      </c>
      <c r="Q4246" s="8">
        <f>(2618262*100)/2995732</f>
        <v>87.399740697766021</v>
      </c>
    </row>
    <row r="4247" spans="1:17" x14ac:dyDescent="0.2">
      <c r="A4247">
        <f>YEAR(D4247)</f>
        <v>2019</v>
      </c>
      <c r="B4247" t="s">
        <v>26</v>
      </c>
      <c r="C4247" s="2" t="s">
        <v>1540</v>
      </c>
      <c r="D4247" s="1">
        <v>43714</v>
      </c>
      <c r="E4247">
        <f>MONTH(D4247)</f>
        <v>9</v>
      </c>
      <c r="F4247" s="2" t="s">
        <v>2098</v>
      </c>
      <c r="G4247" t="s">
        <v>219</v>
      </c>
      <c r="H4247" t="s">
        <v>220</v>
      </c>
      <c r="I4247" t="s">
        <v>22</v>
      </c>
      <c r="J4247" s="2" t="s">
        <v>42</v>
      </c>
      <c r="K4247" s="2" t="s">
        <v>3019</v>
      </c>
      <c r="L4247" t="s">
        <v>25</v>
      </c>
      <c r="M4247" s="10" t="s">
        <v>26</v>
      </c>
      <c r="N4247" t="s">
        <v>26</v>
      </c>
      <c r="O4247" s="10" t="s">
        <v>26</v>
      </c>
      <c r="P4247" s="8" t="s">
        <v>26</v>
      </c>
      <c r="Q4247" s="8">
        <f>(2618262*100)/2995732</f>
        <v>87.399740697766021</v>
      </c>
    </row>
    <row r="4248" spans="1:17" x14ac:dyDescent="0.2">
      <c r="A4248">
        <f>YEAR(D4248)</f>
        <v>2019</v>
      </c>
      <c r="B4248" t="s">
        <v>26</v>
      </c>
      <c r="C4248" s="2" t="s">
        <v>1540</v>
      </c>
      <c r="D4248" s="1">
        <v>43714</v>
      </c>
      <c r="E4248">
        <f>MONTH(D4248)</f>
        <v>9</v>
      </c>
      <c r="F4248" s="2" t="s">
        <v>2098</v>
      </c>
      <c r="G4248" t="s">
        <v>219</v>
      </c>
      <c r="H4248" t="s">
        <v>220</v>
      </c>
      <c r="I4248" t="s">
        <v>22</v>
      </c>
      <c r="J4248" s="2" t="s">
        <v>42</v>
      </c>
      <c r="K4248" s="2" t="s">
        <v>3019</v>
      </c>
      <c r="L4248" t="s">
        <v>25</v>
      </c>
      <c r="M4248" s="10" t="s">
        <v>26</v>
      </c>
      <c r="N4248" t="s">
        <v>26</v>
      </c>
      <c r="O4248" s="10" t="s">
        <v>26</v>
      </c>
      <c r="P4248" s="8" t="s">
        <v>26</v>
      </c>
      <c r="Q4248" s="8">
        <f>(2618262*100)/2995732</f>
        <v>87.399740697766021</v>
      </c>
    </row>
    <row r="4249" spans="1:17" x14ac:dyDescent="0.2">
      <c r="A4249">
        <f>YEAR(D4249)</f>
        <v>2019</v>
      </c>
      <c r="B4249" t="s">
        <v>26</v>
      </c>
      <c r="C4249" s="2" t="s">
        <v>1540</v>
      </c>
      <c r="D4249" s="1">
        <v>43714</v>
      </c>
      <c r="E4249">
        <f>MONTH(D4249)</f>
        <v>9</v>
      </c>
      <c r="F4249" s="2" t="s">
        <v>2098</v>
      </c>
      <c r="G4249" t="s">
        <v>219</v>
      </c>
      <c r="H4249" t="s">
        <v>220</v>
      </c>
      <c r="I4249" t="s">
        <v>22</v>
      </c>
      <c r="J4249" s="2" t="s">
        <v>42</v>
      </c>
      <c r="K4249" s="2" t="s">
        <v>3019</v>
      </c>
      <c r="L4249" t="s">
        <v>25</v>
      </c>
      <c r="M4249" s="10" t="s">
        <v>26</v>
      </c>
      <c r="N4249" t="s">
        <v>26</v>
      </c>
      <c r="O4249" s="10" t="s">
        <v>26</v>
      </c>
      <c r="P4249" s="8" t="s">
        <v>26</v>
      </c>
      <c r="Q4249" s="8">
        <f>(2618262*100)/2995732</f>
        <v>87.399740697766021</v>
      </c>
    </row>
    <row r="4250" spans="1:17" x14ac:dyDescent="0.2">
      <c r="A4250">
        <f>YEAR(D4250)</f>
        <v>2019</v>
      </c>
      <c r="B4250" t="s">
        <v>26</v>
      </c>
      <c r="C4250" s="2" t="s">
        <v>1540</v>
      </c>
      <c r="D4250" s="1">
        <v>43714</v>
      </c>
      <c r="E4250">
        <f>MONTH(D4250)</f>
        <v>9</v>
      </c>
      <c r="F4250" s="2" t="s">
        <v>2098</v>
      </c>
      <c r="G4250" t="s">
        <v>219</v>
      </c>
      <c r="H4250" t="s">
        <v>220</v>
      </c>
      <c r="I4250" t="s">
        <v>22</v>
      </c>
      <c r="J4250" s="2" t="s">
        <v>42</v>
      </c>
      <c r="K4250" s="2" t="s">
        <v>3019</v>
      </c>
      <c r="L4250" t="s">
        <v>25</v>
      </c>
      <c r="M4250" s="10" t="s">
        <v>26</v>
      </c>
      <c r="N4250" t="s">
        <v>26</v>
      </c>
      <c r="O4250" s="10" t="s">
        <v>26</v>
      </c>
      <c r="P4250" s="8" t="s">
        <v>26</v>
      </c>
      <c r="Q4250" s="8">
        <f>(2618262*100)/2995732</f>
        <v>87.399740697766021</v>
      </c>
    </row>
    <row r="4251" spans="1:17" x14ac:dyDescent="0.2">
      <c r="A4251">
        <f>YEAR(D4251)</f>
        <v>2019</v>
      </c>
      <c r="B4251" t="s">
        <v>26</v>
      </c>
      <c r="C4251" s="2" t="s">
        <v>1540</v>
      </c>
      <c r="D4251" s="1">
        <v>43714</v>
      </c>
      <c r="E4251">
        <f>MONTH(D4251)</f>
        <v>9</v>
      </c>
      <c r="F4251" s="2" t="s">
        <v>2098</v>
      </c>
      <c r="G4251" t="s">
        <v>219</v>
      </c>
      <c r="H4251" t="s">
        <v>220</v>
      </c>
      <c r="I4251" t="s">
        <v>22</v>
      </c>
      <c r="J4251" s="2" t="s">
        <v>42</v>
      </c>
      <c r="K4251" s="2" t="s">
        <v>3019</v>
      </c>
      <c r="L4251" t="s">
        <v>25</v>
      </c>
      <c r="M4251" s="10" t="s">
        <v>26</v>
      </c>
      <c r="N4251" t="s">
        <v>26</v>
      </c>
      <c r="O4251" s="10" t="s">
        <v>26</v>
      </c>
      <c r="P4251" s="8" t="s">
        <v>26</v>
      </c>
      <c r="Q4251" s="8">
        <f>(2618262*100)/2995732</f>
        <v>87.399740697766021</v>
      </c>
    </row>
    <row r="4252" spans="1:17" x14ac:dyDescent="0.2">
      <c r="A4252">
        <f>YEAR(D4252)</f>
        <v>2019</v>
      </c>
      <c r="B4252" t="s">
        <v>26</v>
      </c>
      <c r="C4252" s="2" t="s">
        <v>1540</v>
      </c>
      <c r="D4252" s="1">
        <v>43714</v>
      </c>
      <c r="E4252">
        <f>MONTH(D4252)</f>
        <v>9</v>
      </c>
      <c r="F4252" s="2" t="s">
        <v>2098</v>
      </c>
      <c r="G4252" t="s">
        <v>219</v>
      </c>
      <c r="H4252" t="s">
        <v>220</v>
      </c>
      <c r="I4252" t="s">
        <v>22</v>
      </c>
      <c r="J4252" s="2" t="s">
        <v>42</v>
      </c>
      <c r="K4252" s="2" t="s">
        <v>3019</v>
      </c>
      <c r="L4252" t="s">
        <v>25</v>
      </c>
      <c r="M4252" s="10" t="s">
        <v>26</v>
      </c>
      <c r="N4252" t="s">
        <v>26</v>
      </c>
      <c r="O4252" s="10" t="s">
        <v>26</v>
      </c>
      <c r="P4252" s="8" t="s">
        <v>26</v>
      </c>
      <c r="Q4252" s="8">
        <f>(2618262*100)/2995732</f>
        <v>87.399740697766021</v>
      </c>
    </row>
    <row r="4253" spans="1:17" x14ac:dyDescent="0.2">
      <c r="A4253">
        <f>YEAR(D4253)</f>
        <v>2019</v>
      </c>
      <c r="B4253" t="s">
        <v>26</v>
      </c>
      <c r="C4253" s="2" t="s">
        <v>1540</v>
      </c>
      <c r="D4253" s="1">
        <v>43714</v>
      </c>
      <c r="E4253">
        <f>MONTH(D4253)</f>
        <v>9</v>
      </c>
      <c r="F4253" s="2" t="s">
        <v>2098</v>
      </c>
      <c r="G4253" t="s">
        <v>219</v>
      </c>
      <c r="H4253" t="s">
        <v>220</v>
      </c>
      <c r="I4253" t="s">
        <v>22</v>
      </c>
      <c r="J4253" s="2" t="s">
        <v>42</v>
      </c>
      <c r="K4253" s="2" t="s">
        <v>3019</v>
      </c>
      <c r="L4253" t="s">
        <v>25</v>
      </c>
      <c r="M4253" s="10" t="s">
        <v>26</v>
      </c>
      <c r="N4253" t="s">
        <v>26</v>
      </c>
      <c r="O4253" s="10" t="s">
        <v>26</v>
      </c>
      <c r="P4253" s="8" t="s">
        <v>26</v>
      </c>
      <c r="Q4253" s="8">
        <f>(2618262*100)/2995732</f>
        <v>87.399740697766021</v>
      </c>
    </row>
    <row r="4254" spans="1:17" x14ac:dyDescent="0.2">
      <c r="A4254">
        <f>YEAR(D4254)</f>
        <v>2019</v>
      </c>
      <c r="B4254" t="s">
        <v>26</v>
      </c>
      <c r="C4254" s="2" t="s">
        <v>1540</v>
      </c>
      <c r="D4254" s="1">
        <v>43714</v>
      </c>
      <c r="E4254">
        <f>MONTH(D4254)</f>
        <v>9</v>
      </c>
      <c r="F4254" s="2" t="s">
        <v>2098</v>
      </c>
      <c r="G4254" t="s">
        <v>219</v>
      </c>
      <c r="H4254" t="s">
        <v>220</v>
      </c>
      <c r="I4254" t="s">
        <v>22</v>
      </c>
      <c r="J4254" s="2" t="s">
        <v>42</v>
      </c>
      <c r="K4254" s="2" t="s">
        <v>3019</v>
      </c>
      <c r="L4254" t="s">
        <v>25</v>
      </c>
      <c r="M4254" s="10" t="s">
        <v>26</v>
      </c>
      <c r="N4254" t="s">
        <v>26</v>
      </c>
      <c r="O4254" s="10" t="s">
        <v>26</v>
      </c>
      <c r="P4254" s="8" t="s">
        <v>26</v>
      </c>
      <c r="Q4254" s="8">
        <f>(2618262*100)/2995732</f>
        <v>87.399740697766021</v>
      </c>
    </row>
    <row r="4255" spans="1:17" x14ac:dyDescent="0.2">
      <c r="A4255">
        <f>YEAR(D4255)</f>
        <v>2019</v>
      </c>
      <c r="B4255" t="s">
        <v>26</v>
      </c>
      <c r="C4255" s="2" t="s">
        <v>1540</v>
      </c>
      <c r="D4255" s="1">
        <v>43714</v>
      </c>
      <c r="E4255">
        <f>MONTH(D4255)</f>
        <v>9</v>
      </c>
      <c r="F4255" s="2" t="s">
        <v>2098</v>
      </c>
      <c r="G4255" t="s">
        <v>230</v>
      </c>
      <c r="H4255" t="s">
        <v>255</v>
      </c>
      <c r="I4255" t="s">
        <v>22</v>
      </c>
      <c r="J4255" s="2" t="s">
        <v>42</v>
      </c>
      <c r="K4255" s="2" t="s">
        <v>3019</v>
      </c>
      <c r="L4255" t="s">
        <v>25</v>
      </c>
      <c r="M4255" s="8">
        <v>3.1943333329999999</v>
      </c>
      <c r="N4255" t="s">
        <v>26</v>
      </c>
      <c r="O4255" s="8">
        <v>3.1943333329999999</v>
      </c>
      <c r="P4255" s="8">
        <f>EXP(-1.363+3.366*LOG(O4255,10))</f>
        <v>1.3975823704079444</v>
      </c>
      <c r="Q4255" s="8">
        <f>(2618262*100)/2995732</f>
        <v>87.399740697766021</v>
      </c>
    </row>
    <row r="4256" spans="1:17" x14ac:dyDescent="0.2">
      <c r="A4256">
        <f>YEAR(D4256)</f>
        <v>2019</v>
      </c>
      <c r="B4256" t="s">
        <v>26</v>
      </c>
      <c r="C4256" s="2" t="s">
        <v>1540</v>
      </c>
      <c r="D4256" s="1">
        <v>43714</v>
      </c>
      <c r="E4256">
        <f>MONTH(D4256)</f>
        <v>9</v>
      </c>
      <c r="F4256" s="2" t="s">
        <v>2098</v>
      </c>
      <c r="G4256" t="s">
        <v>219</v>
      </c>
      <c r="H4256" t="s">
        <v>220</v>
      </c>
      <c r="I4256" t="s">
        <v>22</v>
      </c>
      <c r="J4256" s="2" t="s">
        <v>42</v>
      </c>
      <c r="K4256" s="2" t="s">
        <v>3019</v>
      </c>
      <c r="L4256" t="s">
        <v>25</v>
      </c>
      <c r="M4256" s="10" t="s">
        <v>26</v>
      </c>
      <c r="N4256" t="s">
        <v>26</v>
      </c>
      <c r="O4256" s="10" t="s">
        <v>26</v>
      </c>
      <c r="P4256" s="8" t="s">
        <v>26</v>
      </c>
      <c r="Q4256" s="8">
        <f>(2618262*100)/2995732</f>
        <v>87.399740697766021</v>
      </c>
    </row>
    <row r="4257" spans="1:17" x14ac:dyDescent="0.2">
      <c r="A4257">
        <f>YEAR(D4257)</f>
        <v>2019</v>
      </c>
      <c r="B4257" t="s">
        <v>26</v>
      </c>
      <c r="C4257" s="2" t="s">
        <v>1540</v>
      </c>
      <c r="D4257" s="1">
        <v>43714</v>
      </c>
      <c r="E4257">
        <f>MONTH(D4257)</f>
        <v>9</v>
      </c>
      <c r="F4257" s="2" t="s">
        <v>2098</v>
      </c>
      <c r="G4257" t="s">
        <v>219</v>
      </c>
      <c r="H4257" t="s">
        <v>220</v>
      </c>
      <c r="I4257" t="s">
        <v>22</v>
      </c>
      <c r="J4257" s="2" t="s">
        <v>42</v>
      </c>
      <c r="K4257" s="2" t="s">
        <v>3019</v>
      </c>
      <c r="L4257" t="s">
        <v>25</v>
      </c>
      <c r="M4257" s="10" t="s">
        <v>26</v>
      </c>
      <c r="N4257" t="s">
        <v>26</v>
      </c>
      <c r="O4257" s="10" t="s">
        <v>26</v>
      </c>
      <c r="P4257" s="8" t="s">
        <v>26</v>
      </c>
      <c r="Q4257" s="8">
        <f>(2618262*100)/2995732</f>
        <v>87.399740697766021</v>
      </c>
    </row>
    <row r="4258" spans="1:17" x14ac:dyDescent="0.2">
      <c r="A4258">
        <f>YEAR(D4258)</f>
        <v>2019</v>
      </c>
      <c r="B4258" t="s">
        <v>26</v>
      </c>
      <c r="C4258" s="2" t="s">
        <v>1540</v>
      </c>
      <c r="D4258" s="1">
        <v>43714</v>
      </c>
      <c r="E4258">
        <f>MONTH(D4258)</f>
        <v>9</v>
      </c>
      <c r="F4258" s="2" t="s">
        <v>2098</v>
      </c>
      <c r="G4258" t="s">
        <v>230</v>
      </c>
      <c r="H4258" t="s">
        <v>255</v>
      </c>
      <c r="I4258" t="s">
        <v>22</v>
      </c>
      <c r="J4258" s="2" t="s">
        <v>42</v>
      </c>
      <c r="K4258" s="2" t="s">
        <v>3019</v>
      </c>
      <c r="L4258" t="s">
        <v>25</v>
      </c>
      <c r="M4258" s="8">
        <v>3.1943333329999999</v>
      </c>
      <c r="N4258" t="s">
        <v>26</v>
      </c>
      <c r="O4258" s="8">
        <v>3.1943333329999999</v>
      </c>
      <c r="P4258" s="8">
        <f>EXP(-1.363+3.366*LOG(O4258,10))</f>
        <v>1.3975823704079444</v>
      </c>
      <c r="Q4258" s="8">
        <f>(2618262*100)/2995732</f>
        <v>87.399740697766021</v>
      </c>
    </row>
    <row r="4259" spans="1:17" x14ac:dyDescent="0.2">
      <c r="A4259">
        <f>YEAR(D4259)</f>
        <v>2019</v>
      </c>
      <c r="B4259" t="s">
        <v>26</v>
      </c>
      <c r="C4259" s="2" t="s">
        <v>1552</v>
      </c>
      <c r="D4259" s="1">
        <v>43714</v>
      </c>
      <c r="E4259">
        <f>MONTH(D4259)</f>
        <v>9</v>
      </c>
      <c r="F4259" s="2" t="s">
        <v>2098</v>
      </c>
      <c r="G4259" t="s">
        <v>352</v>
      </c>
      <c r="H4259" t="s">
        <v>728</v>
      </c>
      <c r="I4259" t="s">
        <v>22</v>
      </c>
      <c r="J4259" s="2" t="s">
        <v>42</v>
      </c>
      <c r="K4259" s="2" t="s">
        <v>3019</v>
      </c>
      <c r="L4259" t="s">
        <v>187</v>
      </c>
      <c r="M4259" s="8">
        <v>1.8093333330000001</v>
      </c>
      <c r="N4259" t="s">
        <v>26</v>
      </c>
      <c r="O4259" s="8">
        <v>1.8093333330000001</v>
      </c>
      <c r="P4259" s="8">
        <f>EXP(-1.363+3.366*LOG(O4259,10))</f>
        <v>0.6088444603462565</v>
      </c>
      <c r="Q4259" s="8">
        <f>(3738946*100)/3915493</f>
        <v>95.491065875995687</v>
      </c>
    </row>
    <row r="4260" spans="1:17" x14ac:dyDescent="0.2">
      <c r="A4260">
        <f>YEAR(D4260)</f>
        <v>2019</v>
      </c>
      <c r="B4260" t="s">
        <v>26</v>
      </c>
      <c r="C4260" s="2" t="s">
        <v>1552</v>
      </c>
      <c r="D4260" s="1">
        <v>43714</v>
      </c>
      <c r="E4260">
        <f>MONTH(D4260)</f>
        <v>9</v>
      </c>
      <c r="F4260" s="2" t="s">
        <v>2098</v>
      </c>
      <c r="G4260" t="s">
        <v>352</v>
      </c>
      <c r="H4260" t="s">
        <v>1459</v>
      </c>
      <c r="I4260" t="s">
        <v>22</v>
      </c>
      <c r="J4260" s="2" t="s">
        <v>42</v>
      </c>
      <c r="K4260" s="2" t="s">
        <v>3019</v>
      </c>
      <c r="L4260" t="s">
        <v>25</v>
      </c>
      <c r="M4260" s="8">
        <v>1.1910000000000001</v>
      </c>
      <c r="N4260" t="s">
        <v>26</v>
      </c>
      <c r="O4260" s="8">
        <v>1.1910000000000001</v>
      </c>
      <c r="P4260" s="8">
        <f>EXP(-1.363+3.366*LOG(O4260,10))</f>
        <v>0.33039016297752993</v>
      </c>
      <c r="Q4260" s="8">
        <f>(3738946*100)/3915493</f>
        <v>95.491065875995687</v>
      </c>
    </row>
    <row r="4261" spans="1:17" x14ac:dyDescent="0.2">
      <c r="A4261">
        <f>YEAR(D4261)</f>
        <v>2019</v>
      </c>
      <c r="B4261" t="s">
        <v>26</v>
      </c>
      <c r="C4261" s="2" t="s">
        <v>1540</v>
      </c>
      <c r="D4261" s="1">
        <v>43714</v>
      </c>
      <c r="E4261">
        <f>MONTH(D4261)</f>
        <v>9</v>
      </c>
      <c r="F4261" s="2" t="s">
        <v>2098</v>
      </c>
      <c r="G4261" t="s">
        <v>230</v>
      </c>
      <c r="H4261" t="s">
        <v>268</v>
      </c>
      <c r="I4261" t="s">
        <v>22</v>
      </c>
      <c r="J4261" s="2" t="s">
        <v>42</v>
      </c>
      <c r="K4261" s="2" t="s">
        <v>3019</v>
      </c>
      <c r="L4261" t="s">
        <v>25</v>
      </c>
      <c r="M4261" s="8">
        <v>3.5356666670000001</v>
      </c>
      <c r="N4261" t="s">
        <v>26</v>
      </c>
      <c r="O4261" s="8">
        <v>3.5356666670000001</v>
      </c>
      <c r="P4261" s="8">
        <f>EXP(-1.363+3.366*LOG(O4261,10))</f>
        <v>1.6211802664427075</v>
      </c>
      <c r="Q4261" s="8">
        <f>(2618262*100)/2995732</f>
        <v>87.399740697766021</v>
      </c>
    </row>
    <row r="4262" spans="1:17" x14ac:dyDescent="0.2">
      <c r="A4262">
        <f>YEAR(D4262)</f>
        <v>2019</v>
      </c>
      <c r="B4262" t="s">
        <v>26</v>
      </c>
      <c r="C4262" s="2" t="s">
        <v>1540</v>
      </c>
      <c r="D4262" s="1">
        <v>43714</v>
      </c>
      <c r="E4262">
        <f>MONTH(D4262)</f>
        <v>9</v>
      </c>
      <c r="F4262" s="2" t="s">
        <v>2098</v>
      </c>
      <c r="G4262" t="s">
        <v>230</v>
      </c>
      <c r="H4262" t="s">
        <v>268</v>
      </c>
      <c r="I4262" t="s">
        <v>36</v>
      </c>
      <c r="J4262" s="2" t="s">
        <v>42</v>
      </c>
      <c r="K4262" s="2" t="s">
        <v>3019</v>
      </c>
      <c r="L4262" t="s">
        <v>25</v>
      </c>
      <c r="M4262" s="8">
        <v>3.3683333329999998</v>
      </c>
      <c r="N4262" t="s">
        <v>26</v>
      </c>
      <c r="O4262" s="8">
        <v>3.3683333329999998</v>
      </c>
      <c r="P4262" s="8">
        <f>EXP(-1.363+3.366*LOG(O4262,10))</f>
        <v>1.510255893489963</v>
      </c>
      <c r="Q4262" s="8">
        <f>(2618262*100)/2995732</f>
        <v>87.399740697766021</v>
      </c>
    </row>
    <row r="4263" spans="1:17" x14ac:dyDescent="0.2">
      <c r="A4263">
        <f>YEAR(D4263)</f>
        <v>2019</v>
      </c>
      <c r="B4263" t="s">
        <v>26</v>
      </c>
      <c r="C4263" s="2" t="s">
        <v>1540</v>
      </c>
      <c r="D4263" s="1">
        <v>43714</v>
      </c>
      <c r="E4263">
        <f>MONTH(D4263)</f>
        <v>9</v>
      </c>
      <c r="F4263" s="2" t="s">
        <v>2098</v>
      </c>
      <c r="G4263" t="s">
        <v>230</v>
      </c>
      <c r="H4263" t="s">
        <v>268</v>
      </c>
      <c r="I4263" t="s">
        <v>22</v>
      </c>
      <c r="J4263" s="2" t="s">
        <v>42</v>
      </c>
      <c r="K4263" s="2" t="s">
        <v>3019</v>
      </c>
      <c r="L4263" t="s">
        <v>25</v>
      </c>
      <c r="M4263" s="8">
        <v>3.5356666670000001</v>
      </c>
      <c r="N4263" t="s">
        <v>26</v>
      </c>
      <c r="O4263" s="8">
        <v>3.5356666670000001</v>
      </c>
      <c r="P4263" s="8">
        <f>EXP(-1.363+3.366*LOG(O4263,10))</f>
        <v>1.6211802664427075</v>
      </c>
      <c r="Q4263" s="8">
        <f>(2618262*100)/2995732</f>
        <v>87.399740697766021</v>
      </c>
    </row>
    <row r="4264" spans="1:17" x14ac:dyDescent="0.2">
      <c r="A4264">
        <f>YEAR(D4264)</f>
        <v>2019</v>
      </c>
      <c r="B4264" t="s">
        <v>26</v>
      </c>
      <c r="C4264" s="2" t="s">
        <v>1540</v>
      </c>
      <c r="D4264" s="1">
        <v>43714</v>
      </c>
      <c r="E4264">
        <f>MONTH(D4264)</f>
        <v>9</v>
      </c>
      <c r="F4264" s="2" t="s">
        <v>2098</v>
      </c>
      <c r="G4264" t="s">
        <v>230</v>
      </c>
      <c r="H4264" t="s">
        <v>268</v>
      </c>
      <c r="I4264" t="s">
        <v>36</v>
      </c>
      <c r="J4264" s="2" t="s">
        <v>42</v>
      </c>
      <c r="K4264" s="2" t="s">
        <v>3019</v>
      </c>
      <c r="L4264" t="s">
        <v>25</v>
      </c>
      <c r="M4264" s="8">
        <v>3.3683333329999998</v>
      </c>
      <c r="N4264" t="s">
        <v>26</v>
      </c>
      <c r="O4264" s="8">
        <v>3.3683333329999998</v>
      </c>
      <c r="P4264" s="8">
        <f>EXP(-1.363+3.366*LOG(O4264,10))</f>
        <v>1.510255893489963</v>
      </c>
      <c r="Q4264" s="8">
        <f>(2618262*100)/2995732</f>
        <v>87.399740697766021</v>
      </c>
    </row>
    <row r="4265" spans="1:17" x14ac:dyDescent="0.2">
      <c r="A4265">
        <f>YEAR(D4265)</f>
        <v>2019</v>
      </c>
      <c r="B4265" t="s">
        <v>26</v>
      </c>
      <c r="C4265" s="2" t="s">
        <v>1540</v>
      </c>
      <c r="D4265" s="1">
        <v>43714</v>
      </c>
      <c r="E4265">
        <f>MONTH(D4265)</f>
        <v>9</v>
      </c>
      <c r="F4265" s="2" t="s">
        <v>2098</v>
      </c>
      <c r="G4265" t="s">
        <v>230</v>
      </c>
      <c r="H4265" t="s">
        <v>268</v>
      </c>
      <c r="I4265" t="s">
        <v>36</v>
      </c>
      <c r="J4265" s="2" t="s">
        <v>42</v>
      </c>
      <c r="K4265" s="2" t="s">
        <v>3019</v>
      </c>
      <c r="L4265" t="s">
        <v>25</v>
      </c>
      <c r="M4265" s="8">
        <v>3.3683333329999998</v>
      </c>
      <c r="N4265" t="s">
        <v>26</v>
      </c>
      <c r="O4265" s="8">
        <v>3.3683333329999998</v>
      </c>
      <c r="P4265" s="8">
        <f>EXP(-1.363+3.366*LOG(O4265,10))</f>
        <v>1.510255893489963</v>
      </c>
      <c r="Q4265" s="8">
        <f>(2618262*100)/2995732</f>
        <v>87.399740697766021</v>
      </c>
    </row>
    <row r="4266" spans="1:17" x14ac:dyDescent="0.2">
      <c r="A4266">
        <f>YEAR(D4266)</f>
        <v>2019</v>
      </c>
      <c r="B4266" t="s">
        <v>26</v>
      </c>
      <c r="C4266" s="2" t="s">
        <v>1540</v>
      </c>
      <c r="D4266" s="1">
        <v>43714</v>
      </c>
      <c r="E4266">
        <f>MONTH(D4266)</f>
        <v>9</v>
      </c>
      <c r="F4266" s="2" t="s">
        <v>2098</v>
      </c>
      <c r="G4266" t="s">
        <v>230</v>
      </c>
      <c r="H4266" t="s">
        <v>268</v>
      </c>
      <c r="I4266" t="s">
        <v>22</v>
      </c>
      <c r="J4266" s="2" t="s">
        <v>42</v>
      </c>
      <c r="K4266" s="2" t="s">
        <v>3019</v>
      </c>
      <c r="L4266" t="s">
        <v>25</v>
      </c>
      <c r="M4266" s="8">
        <v>3.5356666670000001</v>
      </c>
      <c r="N4266" t="s">
        <v>26</v>
      </c>
      <c r="O4266" s="8">
        <v>3.5356666670000001</v>
      </c>
      <c r="P4266" s="8">
        <f>EXP(-1.363+3.366*LOG(O4266,10))</f>
        <v>1.6211802664427075</v>
      </c>
      <c r="Q4266" s="8">
        <f>(2618262*100)/2995732</f>
        <v>87.399740697766021</v>
      </c>
    </row>
    <row r="4267" spans="1:17" x14ac:dyDescent="0.2">
      <c r="A4267">
        <f>YEAR(D4267)</f>
        <v>2019</v>
      </c>
      <c r="B4267" t="s">
        <v>26</v>
      </c>
      <c r="C4267" s="2" t="s">
        <v>50</v>
      </c>
      <c r="D4267" s="1">
        <v>43711</v>
      </c>
      <c r="E4267">
        <f>MONTH(D4267)</f>
        <v>9</v>
      </c>
      <c r="F4267" s="2" t="s">
        <v>19</v>
      </c>
      <c r="G4267" t="s">
        <v>332</v>
      </c>
      <c r="H4267" t="s">
        <v>327</v>
      </c>
      <c r="I4267" t="s">
        <v>36</v>
      </c>
      <c r="J4267" s="2" t="s">
        <v>42</v>
      </c>
      <c r="K4267" s="2" t="s">
        <v>3019</v>
      </c>
      <c r="L4267" t="s">
        <v>25</v>
      </c>
      <c r="M4267" s="8">
        <v>1.0693333330000001</v>
      </c>
      <c r="N4267" t="s">
        <v>26</v>
      </c>
      <c r="O4267" s="8">
        <v>1.0693333330000001</v>
      </c>
      <c r="P4267" s="8">
        <f>EXP(-1.363+3.366*LOG(O4267,10))</f>
        <v>0.28223780327142356</v>
      </c>
      <c r="Q4267" s="8">
        <f>(4488342*100)/4914798</f>
        <v>91.323020803703429</v>
      </c>
    </row>
    <row r="4268" spans="1:17" x14ac:dyDescent="0.2">
      <c r="A4268">
        <f>YEAR(D4268)</f>
        <v>2019</v>
      </c>
      <c r="B4268" t="s">
        <v>26</v>
      </c>
      <c r="C4268" s="2" t="s">
        <v>50</v>
      </c>
      <c r="D4268" s="1">
        <v>43711</v>
      </c>
      <c r="E4268">
        <f>MONTH(D4268)</f>
        <v>9</v>
      </c>
      <c r="F4268" s="2" t="s">
        <v>19</v>
      </c>
      <c r="G4268" s="2" t="s">
        <v>352</v>
      </c>
      <c r="H4268" t="s">
        <v>3063</v>
      </c>
      <c r="I4268" t="s">
        <v>22</v>
      </c>
      <c r="J4268" s="2" t="s">
        <v>42</v>
      </c>
      <c r="K4268" s="2" t="s">
        <v>3019</v>
      </c>
      <c r="L4268" t="s">
        <v>25</v>
      </c>
      <c r="M4268" s="8">
        <v>1.242</v>
      </c>
      <c r="N4268" t="s">
        <v>26</v>
      </c>
      <c r="O4268" s="8">
        <v>1.242</v>
      </c>
      <c r="P4268" s="8">
        <f>EXP(-1.363+3.366*LOG(O4268,10))</f>
        <v>0.35127471128335414</v>
      </c>
      <c r="Q4268" s="8">
        <f>(4488342*100)/4914798</f>
        <v>91.323020803703429</v>
      </c>
    </row>
    <row r="4269" spans="1:17" x14ac:dyDescent="0.2">
      <c r="A4269">
        <f>YEAR(D4269)</f>
        <v>2019</v>
      </c>
      <c r="B4269" t="s">
        <v>26</v>
      </c>
      <c r="C4269" s="2" t="s">
        <v>50</v>
      </c>
      <c r="D4269" s="1">
        <v>43711</v>
      </c>
      <c r="E4269">
        <f>MONTH(D4269)</f>
        <v>9</v>
      </c>
      <c r="F4269" s="2" t="s">
        <v>19</v>
      </c>
      <c r="G4269" t="s">
        <v>352</v>
      </c>
      <c r="H4269" t="s">
        <v>1344</v>
      </c>
      <c r="I4269" t="s">
        <v>22</v>
      </c>
      <c r="J4269" s="2" t="s">
        <v>42</v>
      </c>
      <c r="K4269" s="2" t="s">
        <v>3019</v>
      </c>
      <c r="L4269" t="s">
        <v>25</v>
      </c>
      <c r="M4269" s="8">
        <v>0.91800000000000004</v>
      </c>
      <c r="N4269" t="s">
        <v>26</v>
      </c>
      <c r="O4269" s="8">
        <v>0.91800000000000004</v>
      </c>
      <c r="P4269" s="8">
        <f>EXP(-1.363+3.366*LOG(O4269,10))</f>
        <v>0.22580769814771504</v>
      </c>
      <c r="Q4269" s="8">
        <f>(4488342*100)/4914798</f>
        <v>91.323020803703429</v>
      </c>
    </row>
    <row r="4270" spans="1:17" x14ac:dyDescent="0.2">
      <c r="A4270">
        <f>YEAR(D4270)</f>
        <v>2019</v>
      </c>
      <c r="B4270" t="s">
        <v>26</v>
      </c>
      <c r="C4270" s="2" t="s">
        <v>3024</v>
      </c>
      <c r="D4270" s="1">
        <v>43711</v>
      </c>
      <c r="E4270">
        <f>MONTH(D4270)</f>
        <v>9</v>
      </c>
      <c r="F4270" s="2" t="s">
        <v>19</v>
      </c>
      <c r="G4270" t="s">
        <v>352</v>
      </c>
      <c r="H4270" t="s">
        <v>975</v>
      </c>
      <c r="I4270" t="s">
        <v>36</v>
      </c>
      <c r="J4270" s="2" t="s">
        <v>42</v>
      </c>
      <c r="K4270" s="2" t="s">
        <v>3019</v>
      </c>
      <c r="L4270" t="s">
        <v>25</v>
      </c>
      <c r="M4270" s="8">
        <v>0.95199999999999996</v>
      </c>
      <c r="N4270" t="s">
        <v>26</v>
      </c>
      <c r="O4270" s="8">
        <v>0.95199999999999996</v>
      </c>
      <c r="P4270" s="8">
        <f>EXP(-1.363+3.366*LOG(O4270,10))</f>
        <v>0.23813726407794436</v>
      </c>
      <c r="Q4270" s="8">
        <f>(2412691*100)/2623642</f>
        <v>91.959611867777696</v>
      </c>
    </row>
    <row r="4271" spans="1:17" x14ac:dyDescent="0.2">
      <c r="A4271">
        <f>YEAR(D4271)</f>
        <v>2019</v>
      </c>
      <c r="B4271" t="s">
        <v>26</v>
      </c>
      <c r="C4271" s="2" t="s">
        <v>3023</v>
      </c>
      <c r="D4271" s="1">
        <v>43710</v>
      </c>
      <c r="E4271">
        <f>MONTH(D4271)</f>
        <v>9</v>
      </c>
      <c r="F4271" s="2" t="s">
        <v>19</v>
      </c>
      <c r="G4271" t="s">
        <v>352</v>
      </c>
      <c r="H4271" t="s">
        <v>728</v>
      </c>
      <c r="I4271" t="s">
        <v>36</v>
      </c>
      <c r="J4271" s="2" t="s">
        <v>42</v>
      </c>
      <c r="K4271" s="2" t="s">
        <v>3019</v>
      </c>
      <c r="L4271" t="s">
        <v>187</v>
      </c>
      <c r="M4271" s="8">
        <v>1.376333333</v>
      </c>
      <c r="N4271" t="s">
        <v>26</v>
      </c>
      <c r="O4271" s="8">
        <v>1.376333333</v>
      </c>
      <c r="P4271" s="8">
        <f>EXP(-1.363+3.366*LOG(O4271,10))</f>
        <v>0.40817622737824627</v>
      </c>
      <c r="Q4271" s="8">
        <f>(8197453*100)/8541008</f>
        <v>95.977582505484136</v>
      </c>
    </row>
    <row r="4272" spans="1:17" x14ac:dyDescent="0.2">
      <c r="A4272">
        <f>YEAR(D4272)</f>
        <v>2019</v>
      </c>
      <c r="B4272" t="s">
        <v>26</v>
      </c>
      <c r="C4272" s="2" t="s">
        <v>3023</v>
      </c>
      <c r="D4272" s="1">
        <v>43710</v>
      </c>
      <c r="E4272">
        <f>MONTH(D4272)</f>
        <v>9</v>
      </c>
      <c r="F4272" s="2" t="s">
        <v>19</v>
      </c>
      <c r="G4272" t="s">
        <v>352</v>
      </c>
      <c r="H4272" t="s">
        <v>1459</v>
      </c>
      <c r="I4272" t="s">
        <v>36</v>
      </c>
      <c r="J4272" s="2" t="s">
        <v>42</v>
      </c>
      <c r="K4272" s="2" t="s">
        <v>3019</v>
      </c>
      <c r="L4272" t="s">
        <v>25</v>
      </c>
      <c r="M4272" s="8">
        <v>1.0913333329999999</v>
      </c>
      <c r="N4272" t="s">
        <v>26</v>
      </c>
      <c r="O4272" s="8">
        <v>1.0913333329999999</v>
      </c>
      <c r="P4272" s="8">
        <f>EXP(-1.363+3.366*LOG(O4272,10))</f>
        <v>0.29076633015787234</v>
      </c>
      <c r="Q4272" s="8">
        <f>(8197453*100)/8541008</f>
        <v>95.977582505484136</v>
      </c>
    </row>
    <row r="4273" spans="1:17" x14ac:dyDescent="0.2">
      <c r="A4273">
        <f>YEAR(D4273)</f>
        <v>2019</v>
      </c>
      <c r="B4273" t="s">
        <v>26</v>
      </c>
      <c r="C4273" s="2" t="s">
        <v>3022</v>
      </c>
      <c r="D4273" s="1">
        <v>43710</v>
      </c>
      <c r="E4273">
        <f>MONTH(D4273)</f>
        <v>9</v>
      </c>
      <c r="F4273" s="2" t="s">
        <v>19</v>
      </c>
      <c r="G4273" t="s">
        <v>1520</v>
      </c>
      <c r="H4273" t="s">
        <v>1521</v>
      </c>
      <c r="I4273" t="s">
        <v>22</v>
      </c>
      <c r="J4273" s="2" t="s">
        <v>42</v>
      </c>
      <c r="K4273" s="2" t="s">
        <v>3019</v>
      </c>
      <c r="L4273" t="s">
        <v>25</v>
      </c>
      <c r="M4273" s="8">
        <v>2.952</v>
      </c>
      <c r="N4273" t="s">
        <v>26</v>
      </c>
      <c r="O4273" s="8">
        <v>2.952</v>
      </c>
      <c r="P4273" s="8">
        <f>EXP(-1.363+3.366*LOG(O4273,10))</f>
        <v>1.2453438103764427</v>
      </c>
      <c r="Q4273" s="8">
        <f>(4437920*100)/4638971</f>
        <v>95.666043180696747</v>
      </c>
    </row>
    <row r="4274" spans="1:17" x14ac:dyDescent="0.2">
      <c r="A4274">
        <f>YEAR(D4274)</f>
        <v>2019</v>
      </c>
      <c r="B4274" t="s">
        <v>26</v>
      </c>
      <c r="C4274" s="2" t="s">
        <v>3022</v>
      </c>
      <c r="D4274" s="1">
        <v>43710</v>
      </c>
      <c r="E4274">
        <f>MONTH(D4274)</f>
        <v>9</v>
      </c>
      <c r="F4274" s="2" t="s">
        <v>19</v>
      </c>
      <c r="G4274" t="s">
        <v>332</v>
      </c>
      <c r="H4274" t="s">
        <v>330</v>
      </c>
      <c r="I4274" t="s">
        <v>22</v>
      </c>
      <c r="J4274" s="2" t="s">
        <v>42</v>
      </c>
      <c r="K4274" s="2" t="s">
        <v>3019</v>
      </c>
      <c r="L4274" t="s">
        <v>25</v>
      </c>
      <c r="M4274" s="8">
        <v>1.2170000000000001</v>
      </c>
      <c r="N4274" t="s">
        <v>26</v>
      </c>
      <c r="O4274" s="8">
        <v>1.2170000000000001</v>
      </c>
      <c r="P4274" s="8">
        <f>EXP(-1.363+3.366*LOG(O4274,10))</f>
        <v>0.34098666307598596</v>
      </c>
      <c r="Q4274" s="8">
        <f>(4437920*100)/4638971</f>
        <v>95.666043180696747</v>
      </c>
    </row>
    <row r="4275" spans="1:17" x14ac:dyDescent="0.2">
      <c r="A4275">
        <f>YEAR(D4275)</f>
        <v>2019</v>
      </c>
      <c r="B4275" t="s">
        <v>26</v>
      </c>
      <c r="C4275" s="2" t="s">
        <v>3020</v>
      </c>
      <c r="D4275" s="1">
        <v>43713</v>
      </c>
      <c r="E4275">
        <f>MONTH(D4275)</f>
        <v>9</v>
      </c>
      <c r="F4275" s="2" t="s">
        <v>19</v>
      </c>
      <c r="G4275" t="s">
        <v>1520</v>
      </c>
      <c r="H4275" t="s">
        <v>1521</v>
      </c>
      <c r="I4275" t="s">
        <v>22</v>
      </c>
      <c r="J4275" s="2" t="s">
        <v>42</v>
      </c>
      <c r="K4275" s="2" t="s">
        <v>3019</v>
      </c>
      <c r="L4275" t="s">
        <v>25</v>
      </c>
      <c r="M4275" s="8">
        <v>2.952</v>
      </c>
      <c r="N4275" t="s">
        <v>26</v>
      </c>
      <c r="O4275" s="8">
        <v>2.952</v>
      </c>
      <c r="P4275" s="8">
        <f>EXP(-1.363+3.366*LOG(O4275,10))</f>
        <v>1.2453438103764427</v>
      </c>
      <c r="Q4275" s="8">
        <f>(3359412*100)/3462762</f>
        <v>97.015388294084318</v>
      </c>
    </row>
    <row r="4276" spans="1:17" x14ac:dyDescent="0.2">
      <c r="A4276">
        <f>YEAR(D4276)</f>
        <v>2019</v>
      </c>
      <c r="B4276" t="s">
        <v>26</v>
      </c>
      <c r="C4276" s="2" t="s">
        <v>3020</v>
      </c>
      <c r="D4276" s="1">
        <v>43713</v>
      </c>
      <c r="E4276">
        <f>MONTH(D4276)</f>
        <v>9</v>
      </c>
      <c r="F4276" s="2" t="s">
        <v>19</v>
      </c>
      <c r="G4276" t="s">
        <v>332</v>
      </c>
      <c r="H4276" t="s">
        <v>330</v>
      </c>
      <c r="I4276" t="s">
        <v>22</v>
      </c>
      <c r="J4276" s="2" t="s">
        <v>42</v>
      </c>
      <c r="K4276" s="2" t="s">
        <v>3019</v>
      </c>
      <c r="L4276" t="s">
        <v>25</v>
      </c>
      <c r="M4276" s="8">
        <v>1.2170000000000001</v>
      </c>
      <c r="N4276" t="s">
        <v>26</v>
      </c>
      <c r="O4276" s="8">
        <v>1.2170000000000001</v>
      </c>
      <c r="P4276" s="8">
        <f>EXP(-1.363+3.366*LOG(O4276,10))</f>
        <v>0.34098666307598596</v>
      </c>
      <c r="Q4276" s="8">
        <f>(3359412*100)/3462762</f>
        <v>97.015388294084318</v>
      </c>
    </row>
    <row r="4277" spans="1:17" x14ac:dyDescent="0.2">
      <c r="A4277">
        <f>YEAR(D4277)</f>
        <v>2019</v>
      </c>
      <c r="B4277" t="s">
        <v>26</v>
      </c>
      <c r="C4277" s="2" t="s">
        <v>3020</v>
      </c>
      <c r="D4277" s="1">
        <v>43713</v>
      </c>
      <c r="E4277">
        <f>MONTH(D4277)</f>
        <v>9</v>
      </c>
      <c r="F4277" s="2" t="s">
        <v>19</v>
      </c>
      <c r="G4277" t="s">
        <v>352</v>
      </c>
      <c r="H4277" t="s">
        <v>1459</v>
      </c>
      <c r="I4277" t="s">
        <v>22</v>
      </c>
      <c r="J4277" s="2" t="s">
        <v>42</v>
      </c>
      <c r="K4277" s="2" t="s">
        <v>3019</v>
      </c>
      <c r="L4277" t="s">
        <v>25</v>
      </c>
      <c r="M4277" s="8">
        <v>1.1910000000000001</v>
      </c>
      <c r="N4277" t="s">
        <v>26</v>
      </c>
      <c r="O4277" s="8">
        <v>1.1910000000000001</v>
      </c>
      <c r="P4277" s="8">
        <f>EXP(-1.363+3.366*LOG(O4277,10))</f>
        <v>0.33039016297752993</v>
      </c>
      <c r="Q4277" s="8">
        <f>(3359412*100)/3462762</f>
        <v>97.015388294084318</v>
      </c>
    </row>
    <row r="4278" spans="1:17" x14ac:dyDescent="0.2">
      <c r="A4278">
        <f>YEAR(D4278)</f>
        <v>2019</v>
      </c>
      <c r="B4278" t="s">
        <v>26</v>
      </c>
      <c r="C4278" s="2" t="s">
        <v>3020</v>
      </c>
      <c r="D4278" s="1">
        <v>43713</v>
      </c>
      <c r="E4278">
        <f>MONTH(D4278)</f>
        <v>9</v>
      </c>
      <c r="F4278" s="2" t="s">
        <v>19</v>
      </c>
      <c r="G4278" t="s">
        <v>332</v>
      </c>
      <c r="H4278" t="s">
        <v>327</v>
      </c>
      <c r="I4278" t="s">
        <v>22</v>
      </c>
      <c r="J4278" s="2" t="s">
        <v>42</v>
      </c>
      <c r="K4278" s="2" t="s">
        <v>3019</v>
      </c>
      <c r="L4278" t="s">
        <v>25</v>
      </c>
      <c r="M4278" s="8">
        <v>1.239333333</v>
      </c>
      <c r="N4278" t="s">
        <v>26</v>
      </c>
      <c r="O4278" s="8">
        <v>1.239333333</v>
      </c>
      <c r="P4278" s="8">
        <f>EXP(-1.363+3.366*LOG(O4278,10))</f>
        <v>0.35017272283851147</v>
      </c>
      <c r="Q4278" s="8">
        <f>(3359412*100)/3462762</f>
        <v>97.015388294084318</v>
      </c>
    </row>
    <row r="4279" spans="1:17" x14ac:dyDescent="0.2">
      <c r="A4279">
        <f>YEAR(D4279)</f>
        <v>2019</v>
      </c>
      <c r="B4279" t="s">
        <v>26</v>
      </c>
      <c r="C4279" s="2" t="s">
        <v>3020</v>
      </c>
      <c r="D4279" s="1">
        <v>43713</v>
      </c>
      <c r="E4279">
        <f>MONTH(D4279)</f>
        <v>9</v>
      </c>
      <c r="F4279" s="2" t="s">
        <v>19</v>
      </c>
      <c r="G4279" t="s">
        <v>219</v>
      </c>
      <c r="H4279" t="s">
        <v>220</v>
      </c>
      <c r="I4279" t="s">
        <v>22</v>
      </c>
      <c r="J4279" s="2" t="s">
        <v>42</v>
      </c>
      <c r="K4279" s="2" t="s">
        <v>3019</v>
      </c>
      <c r="L4279" t="s">
        <v>25</v>
      </c>
      <c r="M4279" s="10" t="s">
        <v>26</v>
      </c>
      <c r="N4279" t="s">
        <v>26</v>
      </c>
      <c r="O4279" s="10" t="s">
        <v>26</v>
      </c>
      <c r="P4279" s="8" t="s">
        <v>26</v>
      </c>
      <c r="Q4279" s="8">
        <f>(3359412*100)/3462762</f>
        <v>97.015388294084318</v>
      </c>
    </row>
    <row r="4280" spans="1:17" x14ac:dyDescent="0.2">
      <c r="A4280">
        <f>YEAR(D4280)</f>
        <v>2019</v>
      </c>
      <c r="B4280" t="s">
        <v>26</v>
      </c>
      <c r="C4280" s="2" t="s">
        <v>3020</v>
      </c>
      <c r="D4280" s="1">
        <v>43713</v>
      </c>
      <c r="E4280">
        <f>MONTH(D4280)</f>
        <v>9</v>
      </c>
      <c r="F4280" s="2" t="s">
        <v>19</v>
      </c>
      <c r="G4280" t="s">
        <v>352</v>
      </c>
      <c r="H4280" t="s">
        <v>975</v>
      </c>
      <c r="I4280" t="s">
        <v>36</v>
      </c>
      <c r="J4280" s="2" t="s">
        <v>42</v>
      </c>
      <c r="K4280" s="2" t="s">
        <v>3019</v>
      </c>
      <c r="L4280" t="s">
        <v>25</v>
      </c>
      <c r="M4280" s="8">
        <v>0.95199999999999996</v>
      </c>
      <c r="N4280" t="s">
        <v>26</v>
      </c>
      <c r="O4280" s="8">
        <v>0.95199999999999996</v>
      </c>
      <c r="P4280" s="8">
        <f>EXP(-1.363+3.366*LOG(O4280,10))</f>
        <v>0.23813726407794436</v>
      </c>
      <c r="Q4280" s="8">
        <f>(3359412*100)/3462762</f>
        <v>97.015388294084318</v>
      </c>
    </row>
    <row r="4281" spans="1:17" x14ac:dyDescent="0.2">
      <c r="A4281">
        <f>YEAR(D4281)</f>
        <v>2019</v>
      </c>
      <c r="B4281" t="s">
        <v>26</v>
      </c>
      <c r="C4281" s="2" t="s">
        <v>3027</v>
      </c>
      <c r="D4281" s="1">
        <v>43718</v>
      </c>
      <c r="E4281">
        <f>MONTH(D4281)</f>
        <v>9</v>
      </c>
      <c r="F4281" s="2" t="s">
        <v>2098</v>
      </c>
      <c r="G4281" t="s">
        <v>230</v>
      </c>
      <c r="H4281" t="s">
        <v>268</v>
      </c>
      <c r="I4281" t="s">
        <v>22</v>
      </c>
      <c r="J4281" s="2" t="s">
        <v>42</v>
      </c>
      <c r="K4281" s="2" t="s">
        <v>3019</v>
      </c>
      <c r="L4281" t="s">
        <v>25</v>
      </c>
      <c r="M4281" s="8">
        <v>3.5356666670000001</v>
      </c>
      <c r="N4281" t="s">
        <v>26</v>
      </c>
      <c r="O4281" s="8">
        <v>3.5356666670000001</v>
      </c>
      <c r="P4281" s="8">
        <f>EXP(-1.363+3.366*LOG(O4281,10))</f>
        <v>1.6211802664427075</v>
      </c>
      <c r="Q4281" s="8">
        <f>(3939723*100)/4442581</f>
        <v>88.680949204977921</v>
      </c>
    </row>
    <row r="4282" spans="1:17" x14ac:dyDescent="0.2">
      <c r="A4282">
        <f>YEAR(D4282)</f>
        <v>2019</v>
      </c>
      <c r="B4282" t="s">
        <v>26</v>
      </c>
      <c r="C4282" s="2" t="s">
        <v>3027</v>
      </c>
      <c r="D4282" s="1">
        <v>43718</v>
      </c>
      <c r="E4282">
        <f>MONTH(D4282)</f>
        <v>9</v>
      </c>
      <c r="F4282" s="2" t="s">
        <v>2098</v>
      </c>
      <c r="G4282" t="s">
        <v>219</v>
      </c>
      <c r="H4282" t="s">
        <v>220</v>
      </c>
      <c r="I4282" t="s">
        <v>22</v>
      </c>
      <c r="J4282" s="2" t="s">
        <v>42</v>
      </c>
      <c r="K4282" s="2" t="s">
        <v>3019</v>
      </c>
      <c r="L4282" t="s">
        <v>25</v>
      </c>
      <c r="M4282" s="10" t="s">
        <v>26</v>
      </c>
      <c r="N4282" t="s">
        <v>26</v>
      </c>
      <c r="O4282" s="10" t="s">
        <v>26</v>
      </c>
      <c r="P4282" s="8" t="s">
        <v>26</v>
      </c>
      <c r="Q4282" s="8">
        <f>(3939723*100)/4442581</f>
        <v>88.680949204977921</v>
      </c>
    </row>
    <row r="4283" spans="1:17" x14ac:dyDescent="0.2">
      <c r="A4283">
        <f>YEAR(D4283)</f>
        <v>2019</v>
      </c>
      <c r="B4283" t="s">
        <v>26</v>
      </c>
      <c r="C4283" s="2" t="s">
        <v>3018</v>
      </c>
      <c r="D4283" s="1">
        <v>43718</v>
      </c>
      <c r="E4283">
        <f>MONTH(D4283)</f>
        <v>9</v>
      </c>
      <c r="F4283" s="2" t="s">
        <v>2098</v>
      </c>
      <c r="G4283" t="s">
        <v>219</v>
      </c>
      <c r="H4283" t="s">
        <v>220</v>
      </c>
      <c r="I4283" t="s">
        <v>22</v>
      </c>
      <c r="J4283" s="2" t="s">
        <v>42</v>
      </c>
      <c r="K4283" s="2" t="s">
        <v>3019</v>
      </c>
      <c r="L4283" t="s">
        <v>25</v>
      </c>
      <c r="M4283" s="10" t="s">
        <v>26</v>
      </c>
      <c r="N4283" t="s">
        <v>26</v>
      </c>
      <c r="O4283" s="10" t="s">
        <v>26</v>
      </c>
      <c r="P4283" s="8" t="s">
        <v>26</v>
      </c>
      <c r="Q4283" s="8">
        <f>(5996898*100)/6073515</f>
        <v>98.738506449724753</v>
      </c>
    </row>
    <row r="4284" spans="1:17" x14ac:dyDescent="0.2">
      <c r="A4284">
        <f>YEAR(D4284)</f>
        <v>2019</v>
      </c>
      <c r="B4284" t="s">
        <v>26</v>
      </c>
      <c r="C4284" s="2" t="s">
        <v>3018</v>
      </c>
      <c r="D4284" s="1">
        <v>43718</v>
      </c>
      <c r="E4284">
        <f>MONTH(D4284)</f>
        <v>9</v>
      </c>
      <c r="F4284" s="2" t="s">
        <v>2098</v>
      </c>
      <c r="G4284" t="s">
        <v>230</v>
      </c>
      <c r="H4284" t="s">
        <v>268</v>
      </c>
      <c r="I4284" t="s">
        <v>22</v>
      </c>
      <c r="J4284" s="2" t="s">
        <v>42</v>
      </c>
      <c r="K4284" s="2" t="s">
        <v>3019</v>
      </c>
      <c r="L4284" t="s">
        <v>25</v>
      </c>
      <c r="M4284" s="8">
        <v>3.5356666670000001</v>
      </c>
      <c r="N4284" t="s">
        <v>26</v>
      </c>
      <c r="O4284" s="8">
        <v>3.5356666670000001</v>
      </c>
      <c r="P4284" s="8">
        <f>EXP(-1.363+3.366*LOG(O4284,10))</f>
        <v>1.6211802664427075</v>
      </c>
      <c r="Q4284" s="8">
        <f>(5996898*100)/6073515</f>
        <v>98.738506449724753</v>
      </c>
    </row>
    <row r="4285" spans="1:17" x14ac:dyDescent="0.2">
      <c r="A4285">
        <f>YEAR(D4285)</f>
        <v>2019</v>
      </c>
      <c r="B4285" t="s">
        <v>26</v>
      </c>
      <c r="C4285" s="2" t="s">
        <v>3018</v>
      </c>
      <c r="D4285" s="1">
        <v>43718</v>
      </c>
      <c r="E4285">
        <f>MONTH(D4285)</f>
        <v>9</v>
      </c>
      <c r="F4285" s="2" t="s">
        <v>2098</v>
      </c>
      <c r="G4285" t="s">
        <v>219</v>
      </c>
      <c r="H4285" t="s">
        <v>220</v>
      </c>
      <c r="I4285" t="s">
        <v>22</v>
      </c>
      <c r="J4285" s="2" t="s">
        <v>42</v>
      </c>
      <c r="K4285" s="2" t="s">
        <v>3019</v>
      </c>
      <c r="L4285" t="s">
        <v>25</v>
      </c>
      <c r="M4285" s="10" t="s">
        <v>26</v>
      </c>
      <c r="N4285" t="s">
        <v>26</v>
      </c>
      <c r="O4285" s="10" t="s">
        <v>26</v>
      </c>
      <c r="P4285" s="8" t="s">
        <v>26</v>
      </c>
      <c r="Q4285" s="8">
        <f>(5996898*100)/6073515</f>
        <v>98.738506449724753</v>
      </c>
    </row>
    <row r="4286" spans="1:17" x14ac:dyDescent="0.2">
      <c r="A4286">
        <f>YEAR(D4286)</f>
        <v>2019</v>
      </c>
      <c r="B4286" t="s">
        <v>26</v>
      </c>
      <c r="C4286" s="2" t="s">
        <v>3018</v>
      </c>
      <c r="D4286" s="1">
        <v>43718</v>
      </c>
      <c r="E4286">
        <f>MONTH(D4286)</f>
        <v>9</v>
      </c>
      <c r="F4286" s="2" t="s">
        <v>2098</v>
      </c>
      <c r="G4286" t="s">
        <v>219</v>
      </c>
      <c r="H4286" t="s">
        <v>220</v>
      </c>
      <c r="I4286" t="s">
        <v>22</v>
      </c>
      <c r="J4286" s="2" t="s">
        <v>42</v>
      </c>
      <c r="K4286" s="2" t="s">
        <v>3019</v>
      </c>
      <c r="L4286" t="s">
        <v>25</v>
      </c>
      <c r="M4286" s="10" t="s">
        <v>26</v>
      </c>
      <c r="N4286" t="s">
        <v>26</v>
      </c>
      <c r="O4286" s="10" t="s">
        <v>26</v>
      </c>
      <c r="P4286" s="8" t="s">
        <v>26</v>
      </c>
      <c r="Q4286" s="8">
        <f>(5996898*100)/6073515</f>
        <v>98.738506449724753</v>
      </c>
    </row>
    <row r="4287" spans="1:17" x14ac:dyDescent="0.2">
      <c r="A4287">
        <f>YEAR(D4287)</f>
        <v>2019</v>
      </c>
      <c r="B4287" t="s">
        <v>26</v>
      </c>
      <c r="C4287" s="2" t="s">
        <v>3018</v>
      </c>
      <c r="D4287" s="1">
        <v>43718</v>
      </c>
      <c r="E4287">
        <f>MONTH(D4287)</f>
        <v>9</v>
      </c>
      <c r="F4287" s="2" t="s">
        <v>2098</v>
      </c>
      <c r="G4287" t="s">
        <v>219</v>
      </c>
      <c r="H4287" t="s">
        <v>220</v>
      </c>
      <c r="I4287" t="s">
        <v>22</v>
      </c>
      <c r="J4287" s="2" t="s">
        <v>42</v>
      </c>
      <c r="K4287" s="2" t="s">
        <v>3019</v>
      </c>
      <c r="L4287" t="s">
        <v>25</v>
      </c>
      <c r="M4287" s="10" t="s">
        <v>26</v>
      </c>
      <c r="N4287" t="s">
        <v>26</v>
      </c>
      <c r="O4287" s="10" t="s">
        <v>26</v>
      </c>
      <c r="P4287" s="8" t="s">
        <v>26</v>
      </c>
      <c r="Q4287" s="8">
        <f>(5996898*100)/6073515</f>
        <v>98.738506449724753</v>
      </c>
    </row>
    <row r="4288" spans="1:17" x14ac:dyDescent="0.2">
      <c r="A4288">
        <f>YEAR(D4288)</f>
        <v>2019</v>
      </c>
      <c r="B4288" t="s">
        <v>26</v>
      </c>
      <c r="C4288" s="2" t="s">
        <v>3018</v>
      </c>
      <c r="D4288" s="1">
        <v>43718</v>
      </c>
      <c r="E4288">
        <f>MONTH(D4288)</f>
        <v>9</v>
      </c>
      <c r="F4288" s="2" t="s">
        <v>2098</v>
      </c>
      <c r="G4288" t="s">
        <v>219</v>
      </c>
      <c r="H4288" t="s">
        <v>220</v>
      </c>
      <c r="I4288" t="s">
        <v>22</v>
      </c>
      <c r="J4288" s="2" t="s">
        <v>42</v>
      </c>
      <c r="K4288" s="2" t="s">
        <v>3019</v>
      </c>
      <c r="L4288" t="s">
        <v>25</v>
      </c>
      <c r="M4288" s="10" t="s">
        <v>26</v>
      </c>
      <c r="N4288" t="s">
        <v>26</v>
      </c>
      <c r="O4288" s="10" t="s">
        <v>26</v>
      </c>
      <c r="P4288" s="8" t="s">
        <v>26</v>
      </c>
      <c r="Q4288" s="8">
        <f>(5996898*100)/6073515</f>
        <v>98.738506449724753</v>
      </c>
    </row>
    <row r="4289" spans="1:17" x14ac:dyDescent="0.2">
      <c r="A4289">
        <f>YEAR(D4289)</f>
        <v>2019</v>
      </c>
      <c r="B4289" t="s">
        <v>26</v>
      </c>
      <c r="C4289" s="2" t="s">
        <v>3018</v>
      </c>
      <c r="D4289" s="1">
        <v>43718</v>
      </c>
      <c r="E4289">
        <f>MONTH(D4289)</f>
        <v>9</v>
      </c>
      <c r="F4289" s="2" t="s">
        <v>2098</v>
      </c>
      <c r="G4289" t="s">
        <v>219</v>
      </c>
      <c r="H4289" t="s">
        <v>220</v>
      </c>
      <c r="I4289" t="s">
        <v>22</v>
      </c>
      <c r="J4289" s="2" t="s">
        <v>42</v>
      </c>
      <c r="K4289" s="2" t="s">
        <v>3019</v>
      </c>
      <c r="L4289" t="s">
        <v>25</v>
      </c>
      <c r="M4289" s="10" t="s">
        <v>26</v>
      </c>
      <c r="N4289" t="s">
        <v>26</v>
      </c>
      <c r="O4289" s="10" t="s">
        <v>26</v>
      </c>
      <c r="P4289" s="8" t="s">
        <v>26</v>
      </c>
      <c r="Q4289" s="8">
        <f>(5996898*100)/6073515</f>
        <v>98.738506449724753</v>
      </c>
    </row>
    <row r="4290" spans="1:17" x14ac:dyDescent="0.2">
      <c r="A4290">
        <f>YEAR(D4290)</f>
        <v>2019</v>
      </c>
      <c r="B4290" t="s">
        <v>26</v>
      </c>
      <c r="C4290" s="2" t="s">
        <v>3018</v>
      </c>
      <c r="D4290" s="1">
        <v>43718</v>
      </c>
      <c r="E4290">
        <f>MONTH(D4290)</f>
        <v>9</v>
      </c>
      <c r="F4290" s="2" t="s">
        <v>2098</v>
      </c>
      <c r="G4290" t="s">
        <v>230</v>
      </c>
      <c r="H4290" t="s">
        <v>268</v>
      </c>
      <c r="I4290" t="s">
        <v>22</v>
      </c>
      <c r="J4290" s="2" t="s">
        <v>42</v>
      </c>
      <c r="K4290" s="2" t="s">
        <v>3019</v>
      </c>
      <c r="L4290" t="s">
        <v>25</v>
      </c>
      <c r="M4290" s="8">
        <v>3.5356666670000001</v>
      </c>
      <c r="N4290" t="s">
        <v>26</v>
      </c>
      <c r="O4290" s="8">
        <v>3.5356666670000001</v>
      </c>
      <c r="P4290" s="8">
        <f>EXP(-1.363+3.366*LOG(O4290,10))</f>
        <v>1.6211802664427075</v>
      </c>
      <c r="Q4290" s="8">
        <f>(5996898*100)/6073515</f>
        <v>98.738506449724753</v>
      </c>
    </row>
    <row r="4291" spans="1:17" x14ac:dyDescent="0.2">
      <c r="A4291">
        <f>YEAR(D4291)</f>
        <v>2019</v>
      </c>
      <c r="B4291" t="s">
        <v>26</v>
      </c>
      <c r="C4291" s="2" t="s">
        <v>3018</v>
      </c>
      <c r="D4291" s="1">
        <v>43718</v>
      </c>
      <c r="E4291">
        <f>MONTH(D4291)</f>
        <v>9</v>
      </c>
      <c r="F4291" s="2" t="s">
        <v>2098</v>
      </c>
      <c r="G4291" t="s">
        <v>219</v>
      </c>
      <c r="H4291" t="s">
        <v>220</v>
      </c>
      <c r="I4291" t="s">
        <v>22</v>
      </c>
      <c r="J4291" s="2" t="s">
        <v>42</v>
      </c>
      <c r="K4291" s="2" t="s">
        <v>3019</v>
      </c>
      <c r="L4291" t="s">
        <v>25</v>
      </c>
      <c r="M4291" s="10" t="s">
        <v>26</v>
      </c>
      <c r="N4291" t="s">
        <v>26</v>
      </c>
      <c r="O4291" s="10" t="s">
        <v>26</v>
      </c>
      <c r="P4291" s="8" t="s">
        <v>26</v>
      </c>
      <c r="Q4291" s="8">
        <f>(5996898*100)/6073515</f>
        <v>98.738506449724753</v>
      </c>
    </row>
    <row r="4292" spans="1:17" x14ac:dyDescent="0.2">
      <c r="A4292">
        <f>YEAR(D4292)</f>
        <v>2019</v>
      </c>
      <c r="B4292" t="s">
        <v>26</v>
      </c>
      <c r="C4292" s="2" t="s">
        <v>3018</v>
      </c>
      <c r="D4292" s="1">
        <v>43718</v>
      </c>
      <c r="E4292">
        <f>MONTH(D4292)</f>
        <v>9</v>
      </c>
      <c r="F4292" s="2" t="s">
        <v>2098</v>
      </c>
      <c r="G4292" t="s">
        <v>219</v>
      </c>
      <c r="H4292" t="s">
        <v>220</v>
      </c>
      <c r="I4292" t="s">
        <v>22</v>
      </c>
      <c r="J4292" s="2" t="s">
        <v>42</v>
      </c>
      <c r="K4292" s="2" t="s">
        <v>3019</v>
      </c>
      <c r="L4292" t="s">
        <v>25</v>
      </c>
      <c r="M4292" s="10" t="s">
        <v>26</v>
      </c>
      <c r="N4292" t="s">
        <v>26</v>
      </c>
      <c r="O4292" s="10" t="s">
        <v>26</v>
      </c>
      <c r="P4292" s="8" t="s">
        <v>26</v>
      </c>
      <c r="Q4292" s="8">
        <f>(5996898*100)/6073515</f>
        <v>98.738506449724753</v>
      </c>
    </row>
    <row r="4293" spans="1:17" x14ac:dyDescent="0.2">
      <c r="A4293">
        <f>YEAR(D4293)</f>
        <v>2019</v>
      </c>
      <c r="B4293" t="s">
        <v>26</v>
      </c>
      <c r="C4293" s="2" t="s">
        <v>3018</v>
      </c>
      <c r="D4293" s="1">
        <v>43718</v>
      </c>
      <c r="E4293">
        <f>MONTH(D4293)</f>
        <v>9</v>
      </c>
      <c r="F4293" s="2" t="s">
        <v>2098</v>
      </c>
      <c r="G4293" t="s">
        <v>219</v>
      </c>
      <c r="H4293" t="s">
        <v>220</v>
      </c>
      <c r="I4293" t="s">
        <v>22</v>
      </c>
      <c r="J4293" s="2" t="s">
        <v>42</v>
      </c>
      <c r="K4293" s="2" t="s">
        <v>3019</v>
      </c>
      <c r="L4293" t="s">
        <v>25</v>
      </c>
      <c r="M4293" s="10" t="s">
        <v>26</v>
      </c>
      <c r="N4293" t="s">
        <v>26</v>
      </c>
      <c r="O4293" s="10" t="s">
        <v>26</v>
      </c>
      <c r="P4293" s="8" t="s">
        <v>26</v>
      </c>
      <c r="Q4293" s="8">
        <f>(5996898*100)/6073515</f>
        <v>98.738506449724753</v>
      </c>
    </row>
    <row r="4294" spans="1:17" x14ac:dyDescent="0.2">
      <c r="A4294">
        <f>YEAR(D4294)</f>
        <v>2019</v>
      </c>
      <c r="B4294" t="s">
        <v>26</v>
      </c>
      <c r="C4294" s="2" t="s">
        <v>3018</v>
      </c>
      <c r="D4294" s="1">
        <v>43718</v>
      </c>
      <c r="E4294">
        <f>MONTH(D4294)</f>
        <v>9</v>
      </c>
      <c r="F4294" s="2" t="s">
        <v>2098</v>
      </c>
      <c r="G4294" t="s">
        <v>219</v>
      </c>
      <c r="H4294" t="s">
        <v>220</v>
      </c>
      <c r="I4294" t="s">
        <v>22</v>
      </c>
      <c r="J4294" s="2" t="s">
        <v>42</v>
      </c>
      <c r="K4294" s="2" t="s">
        <v>3019</v>
      </c>
      <c r="L4294" t="s">
        <v>25</v>
      </c>
      <c r="M4294" s="10" t="s">
        <v>26</v>
      </c>
      <c r="N4294" t="s">
        <v>26</v>
      </c>
      <c r="O4294" s="10" t="s">
        <v>26</v>
      </c>
      <c r="P4294" s="8" t="s">
        <v>26</v>
      </c>
      <c r="Q4294" s="8">
        <f>(5996898*100)/6073515</f>
        <v>98.738506449724753</v>
      </c>
    </row>
    <row r="4295" spans="1:17" x14ac:dyDescent="0.2">
      <c r="A4295">
        <f>YEAR(D4295)</f>
        <v>2019</v>
      </c>
      <c r="B4295" t="s">
        <v>26</v>
      </c>
      <c r="C4295" s="2" t="s">
        <v>3018</v>
      </c>
      <c r="D4295" s="1">
        <v>43718</v>
      </c>
      <c r="E4295">
        <f>MONTH(D4295)</f>
        <v>9</v>
      </c>
      <c r="F4295" s="2" t="s">
        <v>2098</v>
      </c>
      <c r="G4295" t="s">
        <v>219</v>
      </c>
      <c r="H4295" t="s">
        <v>220</v>
      </c>
      <c r="I4295" t="s">
        <v>22</v>
      </c>
      <c r="J4295" s="2" t="s">
        <v>42</v>
      </c>
      <c r="K4295" s="2" t="s">
        <v>3019</v>
      </c>
      <c r="L4295" t="s">
        <v>25</v>
      </c>
      <c r="M4295" s="10" t="s">
        <v>26</v>
      </c>
      <c r="N4295" t="s">
        <v>26</v>
      </c>
      <c r="O4295" s="10" t="s">
        <v>26</v>
      </c>
      <c r="P4295" s="8" t="s">
        <v>26</v>
      </c>
      <c r="Q4295" s="8">
        <f>(5996898*100)/6073515</f>
        <v>98.738506449724753</v>
      </c>
    </row>
    <row r="4296" spans="1:17" x14ac:dyDescent="0.2">
      <c r="A4296">
        <f>YEAR(D4296)</f>
        <v>2019</v>
      </c>
      <c r="B4296" t="s">
        <v>26</v>
      </c>
      <c r="C4296" s="2" t="s">
        <v>3018</v>
      </c>
      <c r="D4296" s="1">
        <v>43718</v>
      </c>
      <c r="E4296">
        <f>MONTH(D4296)</f>
        <v>9</v>
      </c>
      <c r="F4296" s="2" t="s">
        <v>2098</v>
      </c>
      <c r="G4296" t="s">
        <v>219</v>
      </c>
      <c r="H4296" t="s">
        <v>220</v>
      </c>
      <c r="I4296" t="s">
        <v>22</v>
      </c>
      <c r="J4296" s="2" t="s">
        <v>42</v>
      </c>
      <c r="K4296" s="2" t="s">
        <v>3019</v>
      </c>
      <c r="L4296" t="s">
        <v>25</v>
      </c>
      <c r="M4296" s="10" t="s">
        <v>26</v>
      </c>
      <c r="N4296" t="s">
        <v>26</v>
      </c>
      <c r="O4296" s="10" t="s">
        <v>26</v>
      </c>
      <c r="P4296" s="8" t="s">
        <v>26</v>
      </c>
      <c r="Q4296" s="8">
        <f>(5996898*100)/6073515</f>
        <v>98.738506449724753</v>
      </c>
    </row>
    <row r="4297" spans="1:17" x14ac:dyDescent="0.2">
      <c r="A4297">
        <f>YEAR(D4297)</f>
        <v>2019</v>
      </c>
      <c r="B4297" t="s">
        <v>26</v>
      </c>
      <c r="C4297" s="2" t="s">
        <v>3018</v>
      </c>
      <c r="D4297" s="1">
        <v>43718</v>
      </c>
      <c r="E4297">
        <f>MONTH(D4297)</f>
        <v>9</v>
      </c>
      <c r="F4297" s="2" t="s">
        <v>2098</v>
      </c>
      <c r="G4297" t="s">
        <v>219</v>
      </c>
      <c r="H4297" t="s">
        <v>220</v>
      </c>
      <c r="I4297" t="s">
        <v>22</v>
      </c>
      <c r="J4297" s="2" t="s">
        <v>42</v>
      </c>
      <c r="K4297" s="2" t="s">
        <v>3019</v>
      </c>
      <c r="L4297" t="s">
        <v>25</v>
      </c>
      <c r="M4297" s="10" t="s">
        <v>26</v>
      </c>
      <c r="N4297" t="s">
        <v>26</v>
      </c>
      <c r="O4297" s="10" t="s">
        <v>26</v>
      </c>
      <c r="P4297" s="8" t="s">
        <v>26</v>
      </c>
      <c r="Q4297" s="8">
        <f>(5996898*100)/6073515</f>
        <v>98.738506449724753</v>
      </c>
    </row>
    <row r="4298" spans="1:17" x14ac:dyDescent="0.2">
      <c r="A4298">
        <f>YEAR(D4298)</f>
        <v>2019</v>
      </c>
      <c r="B4298" t="s">
        <v>26</v>
      </c>
      <c r="C4298" s="2" t="s">
        <v>3018</v>
      </c>
      <c r="D4298" s="1">
        <v>43718</v>
      </c>
      <c r="E4298">
        <f>MONTH(D4298)</f>
        <v>9</v>
      </c>
      <c r="F4298" s="2" t="s">
        <v>2098</v>
      </c>
      <c r="G4298" t="s">
        <v>219</v>
      </c>
      <c r="H4298" t="s">
        <v>220</v>
      </c>
      <c r="I4298" t="s">
        <v>22</v>
      </c>
      <c r="J4298" s="2" t="s">
        <v>42</v>
      </c>
      <c r="K4298" s="2" t="s">
        <v>3019</v>
      </c>
      <c r="L4298" t="s">
        <v>25</v>
      </c>
      <c r="M4298" s="10" t="s">
        <v>26</v>
      </c>
      <c r="N4298" t="s">
        <v>26</v>
      </c>
      <c r="O4298" s="10" t="s">
        <v>26</v>
      </c>
      <c r="P4298" s="8" t="s">
        <v>26</v>
      </c>
      <c r="Q4298" s="8">
        <f>(5996898*100)/6073515</f>
        <v>98.738506449724753</v>
      </c>
    </row>
    <row r="4299" spans="1:17" x14ac:dyDescent="0.2">
      <c r="A4299">
        <f>YEAR(D4299)</f>
        <v>2019</v>
      </c>
      <c r="B4299" t="s">
        <v>26</v>
      </c>
      <c r="C4299" s="2" t="s">
        <v>3018</v>
      </c>
      <c r="D4299" s="1">
        <v>43718</v>
      </c>
      <c r="E4299">
        <f>MONTH(D4299)</f>
        <v>9</v>
      </c>
      <c r="F4299" s="2" t="s">
        <v>2098</v>
      </c>
      <c r="G4299" t="s">
        <v>219</v>
      </c>
      <c r="H4299" t="s">
        <v>220</v>
      </c>
      <c r="I4299" t="s">
        <v>22</v>
      </c>
      <c r="J4299" s="2" t="s">
        <v>42</v>
      </c>
      <c r="K4299" s="2" t="s">
        <v>3019</v>
      </c>
      <c r="L4299" t="s">
        <v>25</v>
      </c>
      <c r="M4299" s="10" t="s">
        <v>26</v>
      </c>
      <c r="N4299" t="s">
        <v>26</v>
      </c>
      <c r="O4299" s="10" t="s">
        <v>26</v>
      </c>
      <c r="P4299" s="8" t="s">
        <v>26</v>
      </c>
      <c r="Q4299" s="8">
        <f>(5996898*100)/6073515</f>
        <v>98.738506449724753</v>
      </c>
    </row>
    <row r="4300" spans="1:17" x14ac:dyDescent="0.2">
      <c r="A4300">
        <f>YEAR(D4300)</f>
        <v>2019</v>
      </c>
      <c r="B4300" t="s">
        <v>26</v>
      </c>
      <c r="C4300" s="2" t="s">
        <v>3018</v>
      </c>
      <c r="D4300" s="1">
        <v>43718</v>
      </c>
      <c r="E4300">
        <f>MONTH(D4300)</f>
        <v>9</v>
      </c>
      <c r="F4300" s="2" t="s">
        <v>2098</v>
      </c>
      <c r="G4300" t="s">
        <v>219</v>
      </c>
      <c r="H4300" t="s">
        <v>220</v>
      </c>
      <c r="I4300" t="s">
        <v>22</v>
      </c>
      <c r="J4300" s="2" t="s">
        <v>42</v>
      </c>
      <c r="K4300" s="2" t="s">
        <v>3019</v>
      </c>
      <c r="L4300" t="s">
        <v>25</v>
      </c>
      <c r="M4300" s="10" t="s">
        <v>26</v>
      </c>
      <c r="N4300" t="s">
        <v>26</v>
      </c>
      <c r="O4300" s="10" t="s">
        <v>26</v>
      </c>
      <c r="P4300" s="8" t="s">
        <v>26</v>
      </c>
      <c r="Q4300" s="8">
        <f>(5996898*100)/6073515</f>
        <v>98.738506449724753</v>
      </c>
    </row>
    <row r="4301" spans="1:17" x14ac:dyDescent="0.2">
      <c r="A4301">
        <f>YEAR(D4301)</f>
        <v>2019</v>
      </c>
      <c r="B4301" t="s">
        <v>26</v>
      </c>
      <c r="C4301" s="2" t="s">
        <v>3018</v>
      </c>
      <c r="D4301" s="1">
        <v>43718</v>
      </c>
      <c r="E4301">
        <f>MONTH(D4301)</f>
        <v>9</v>
      </c>
      <c r="F4301" s="2" t="s">
        <v>2098</v>
      </c>
      <c r="G4301" t="s">
        <v>230</v>
      </c>
      <c r="H4301" t="s">
        <v>268</v>
      </c>
      <c r="I4301" t="s">
        <v>22</v>
      </c>
      <c r="J4301" s="2" t="s">
        <v>42</v>
      </c>
      <c r="K4301" s="2" t="s">
        <v>3019</v>
      </c>
      <c r="L4301" t="s">
        <v>25</v>
      </c>
      <c r="M4301" s="8">
        <v>3.5356666670000001</v>
      </c>
      <c r="N4301" t="s">
        <v>26</v>
      </c>
      <c r="O4301" s="8">
        <v>3.5356666670000001</v>
      </c>
      <c r="P4301" s="8">
        <f>EXP(-1.363+3.366*LOG(O4301,10))</f>
        <v>1.6211802664427075</v>
      </c>
      <c r="Q4301" s="8">
        <f>(5996898*100)/6073515</f>
        <v>98.738506449724753</v>
      </c>
    </row>
    <row r="4302" spans="1:17" x14ac:dyDescent="0.2">
      <c r="A4302">
        <f>YEAR(D4302)</f>
        <v>2019</v>
      </c>
      <c r="B4302" t="s">
        <v>26</v>
      </c>
      <c r="C4302" s="2" t="s">
        <v>3018</v>
      </c>
      <c r="D4302" s="1">
        <v>43718</v>
      </c>
      <c r="E4302">
        <f>MONTH(D4302)</f>
        <v>9</v>
      </c>
      <c r="F4302" s="2" t="s">
        <v>2098</v>
      </c>
      <c r="G4302" t="s">
        <v>230</v>
      </c>
      <c r="H4302" t="s">
        <v>268</v>
      </c>
      <c r="I4302" t="s">
        <v>22</v>
      </c>
      <c r="J4302" s="2" t="s">
        <v>42</v>
      </c>
      <c r="K4302" s="2" t="s">
        <v>3019</v>
      </c>
      <c r="L4302" t="s">
        <v>25</v>
      </c>
      <c r="M4302" s="8">
        <v>3.5356666670000001</v>
      </c>
      <c r="N4302" t="s">
        <v>26</v>
      </c>
      <c r="O4302" s="8">
        <v>3.5356666670000001</v>
      </c>
      <c r="P4302" s="8">
        <f>EXP(-1.363+3.366*LOG(O4302,10))</f>
        <v>1.6211802664427075</v>
      </c>
      <c r="Q4302" s="8">
        <f>(5996898*100)/6073515</f>
        <v>98.738506449724753</v>
      </c>
    </row>
    <row r="4303" spans="1:17" x14ac:dyDescent="0.2">
      <c r="A4303">
        <f>YEAR(D4303)</f>
        <v>2019</v>
      </c>
      <c r="B4303" t="s">
        <v>26</v>
      </c>
      <c r="C4303" s="2" t="s">
        <v>3018</v>
      </c>
      <c r="D4303" s="1">
        <v>43718</v>
      </c>
      <c r="E4303">
        <f>MONTH(D4303)</f>
        <v>9</v>
      </c>
      <c r="F4303" s="2" t="s">
        <v>2098</v>
      </c>
      <c r="G4303" t="s">
        <v>230</v>
      </c>
      <c r="H4303" t="s">
        <v>268</v>
      </c>
      <c r="I4303" t="s">
        <v>22</v>
      </c>
      <c r="J4303" s="2" t="s">
        <v>42</v>
      </c>
      <c r="K4303" s="2" t="s">
        <v>3019</v>
      </c>
      <c r="L4303" t="s">
        <v>25</v>
      </c>
      <c r="M4303" s="8">
        <v>3.5356666670000001</v>
      </c>
      <c r="N4303" t="s">
        <v>26</v>
      </c>
      <c r="O4303" s="8">
        <v>3.5356666670000001</v>
      </c>
      <c r="P4303" s="8">
        <f>EXP(-1.363+3.366*LOG(O4303,10))</f>
        <v>1.6211802664427075</v>
      </c>
      <c r="Q4303" s="8">
        <f>(5996898*100)/6073515</f>
        <v>98.738506449724753</v>
      </c>
    </row>
    <row r="4304" spans="1:17" x14ac:dyDescent="0.2">
      <c r="A4304">
        <f>YEAR(D4304)</f>
        <v>2019</v>
      </c>
      <c r="B4304" t="s">
        <v>26</v>
      </c>
      <c r="C4304" s="2" t="s">
        <v>3027</v>
      </c>
      <c r="D4304" s="1">
        <v>43718</v>
      </c>
      <c r="E4304">
        <f>MONTH(D4304)</f>
        <v>9</v>
      </c>
      <c r="F4304" s="2" t="s">
        <v>2098</v>
      </c>
      <c r="G4304" t="s">
        <v>352</v>
      </c>
      <c r="H4304" t="s">
        <v>494</v>
      </c>
      <c r="I4304" t="s">
        <v>36</v>
      </c>
      <c r="J4304" s="2" t="s">
        <v>42</v>
      </c>
      <c r="K4304" s="2" t="s">
        <v>3019</v>
      </c>
      <c r="L4304" t="s">
        <v>25</v>
      </c>
      <c r="M4304" s="8">
        <v>1.5556666666666665</v>
      </c>
      <c r="N4304" t="s">
        <v>26</v>
      </c>
      <c r="O4304" s="8">
        <v>1.5556666666666665</v>
      </c>
      <c r="P4304" s="8">
        <f>EXP(-1.363+3.366*LOG(O4304,10))</f>
        <v>0.48821035747612018</v>
      </c>
      <c r="Q4304" s="8">
        <f>(3939723*100)/4442581</f>
        <v>88.680949204977921</v>
      </c>
    </row>
    <row r="4305" spans="1:17" x14ac:dyDescent="0.2">
      <c r="A4305">
        <f>YEAR(D4305)</f>
        <v>2019</v>
      </c>
      <c r="B4305" t="s">
        <v>26</v>
      </c>
      <c r="C4305" s="2" t="s">
        <v>3027</v>
      </c>
      <c r="D4305" s="1">
        <v>43718</v>
      </c>
      <c r="E4305">
        <f>MONTH(D4305)</f>
        <v>9</v>
      </c>
      <c r="F4305" s="2" t="s">
        <v>2098</v>
      </c>
      <c r="G4305" t="s">
        <v>1520</v>
      </c>
      <c r="H4305" t="s">
        <v>1521</v>
      </c>
      <c r="I4305" t="s">
        <v>22</v>
      </c>
      <c r="J4305" s="2" t="s">
        <v>42</v>
      </c>
      <c r="K4305" s="2" t="s">
        <v>3019</v>
      </c>
      <c r="L4305" t="s">
        <v>25</v>
      </c>
      <c r="M4305" s="8">
        <v>2.952</v>
      </c>
      <c r="N4305" t="s">
        <v>26</v>
      </c>
      <c r="O4305" s="8">
        <v>2.952</v>
      </c>
      <c r="P4305" s="8">
        <f>EXP(-1.363+3.366*LOG(O4305,10))</f>
        <v>1.2453438103764427</v>
      </c>
      <c r="Q4305" s="8">
        <f>(3939723*100)/4442581</f>
        <v>88.680949204977921</v>
      </c>
    </row>
    <row r="4306" spans="1:17" x14ac:dyDescent="0.2">
      <c r="A4306">
        <f>YEAR(D4306)</f>
        <v>2019</v>
      </c>
      <c r="B4306" t="s">
        <v>26</v>
      </c>
      <c r="C4306" s="2" t="s">
        <v>3027</v>
      </c>
      <c r="D4306" s="1">
        <v>43718</v>
      </c>
      <c r="E4306">
        <f>MONTH(D4306)</f>
        <v>9</v>
      </c>
      <c r="F4306" s="2" t="s">
        <v>2098</v>
      </c>
      <c r="G4306" t="s">
        <v>230</v>
      </c>
      <c r="H4306" t="s">
        <v>268</v>
      </c>
      <c r="I4306" t="s">
        <v>22</v>
      </c>
      <c r="J4306" s="2" t="s">
        <v>42</v>
      </c>
      <c r="K4306" s="2" t="s">
        <v>3019</v>
      </c>
      <c r="L4306" t="s">
        <v>25</v>
      </c>
      <c r="M4306" s="8">
        <v>3.5356666670000001</v>
      </c>
      <c r="N4306" t="s">
        <v>26</v>
      </c>
      <c r="O4306" s="8">
        <v>3.5356666670000001</v>
      </c>
      <c r="P4306" s="8">
        <f>EXP(-1.363+3.366*LOG(O4306,10))</f>
        <v>1.6211802664427075</v>
      </c>
      <c r="Q4306" s="8">
        <f>(3939723*100)/4442581</f>
        <v>88.680949204977921</v>
      </c>
    </row>
    <row r="4307" spans="1:17" x14ac:dyDescent="0.2">
      <c r="A4307">
        <f>YEAR(D4307)</f>
        <v>2019</v>
      </c>
      <c r="B4307" t="s">
        <v>26</v>
      </c>
      <c r="C4307" s="2" t="s">
        <v>3025</v>
      </c>
      <c r="D4307" s="1">
        <v>43719</v>
      </c>
      <c r="E4307">
        <f>MONTH(D4307)</f>
        <v>9</v>
      </c>
      <c r="F4307" s="2" t="s">
        <v>2098</v>
      </c>
      <c r="G4307" t="s">
        <v>219</v>
      </c>
      <c r="H4307" t="s">
        <v>220</v>
      </c>
      <c r="I4307" t="s">
        <v>22</v>
      </c>
      <c r="J4307" s="2" t="s">
        <v>42</v>
      </c>
      <c r="K4307" s="2" t="s">
        <v>3019</v>
      </c>
      <c r="L4307" t="s">
        <v>25</v>
      </c>
      <c r="M4307" s="10" t="s">
        <v>26</v>
      </c>
      <c r="N4307" t="s">
        <v>26</v>
      </c>
      <c r="O4307" s="10" t="s">
        <v>26</v>
      </c>
      <c r="P4307" s="8" t="s">
        <v>26</v>
      </c>
      <c r="Q4307" s="8">
        <f>(1955155*100)/2180255</f>
        <v>89.67551960665152</v>
      </c>
    </row>
    <row r="4308" spans="1:17" x14ac:dyDescent="0.2">
      <c r="A4308">
        <f>YEAR(D4308)</f>
        <v>2019</v>
      </c>
      <c r="B4308" t="s">
        <v>26</v>
      </c>
      <c r="C4308" s="2" t="s">
        <v>3025</v>
      </c>
      <c r="D4308" s="1">
        <v>43719</v>
      </c>
      <c r="E4308">
        <f>MONTH(D4308)</f>
        <v>9</v>
      </c>
      <c r="F4308" s="2" t="s">
        <v>2098</v>
      </c>
      <c r="G4308" t="s">
        <v>219</v>
      </c>
      <c r="H4308" t="s">
        <v>220</v>
      </c>
      <c r="I4308" t="s">
        <v>22</v>
      </c>
      <c r="J4308" s="2" t="s">
        <v>42</v>
      </c>
      <c r="K4308" s="2" t="s">
        <v>3019</v>
      </c>
      <c r="L4308" t="s">
        <v>25</v>
      </c>
      <c r="M4308" s="10" t="s">
        <v>26</v>
      </c>
      <c r="N4308" t="s">
        <v>26</v>
      </c>
      <c r="O4308" s="10" t="s">
        <v>26</v>
      </c>
      <c r="P4308" s="8" t="s">
        <v>26</v>
      </c>
      <c r="Q4308" s="8">
        <f>(1955155*100)/2180255</f>
        <v>89.67551960665152</v>
      </c>
    </row>
    <row r="4309" spans="1:17" x14ac:dyDescent="0.2">
      <c r="A4309">
        <f>YEAR(D4309)</f>
        <v>2019</v>
      </c>
      <c r="B4309" t="s">
        <v>26</v>
      </c>
      <c r="C4309" s="2" t="s">
        <v>3025</v>
      </c>
      <c r="D4309" s="1">
        <v>43719</v>
      </c>
      <c r="E4309">
        <f>MONTH(D4309)</f>
        <v>9</v>
      </c>
      <c r="F4309" s="2" t="s">
        <v>2098</v>
      </c>
      <c r="G4309" t="s">
        <v>219</v>
      </c>
      <c r="H4309" t="s">
        <v>220</v>
      </c>
      <c r="I4309" t="s">
        <v>22</v>
      </c>
      <c r="J4309" s="2" t="s">
        <v>42</v>
      </c>
      <c r="K4309" s="2" t="s">
        <v>3019</v>
      </c>
      <c r="L4309" t="s">
        <v>25</v>
      </c>
      <c r="M4309" s="10" t="s">
        <v>26</v>
      </c>
      <c r="N4309" t="s">
        <v>26</v>
      </c>
      <c r="O4309" s="10" t="s">
        <v>26</v>
      </c>
      <c r="P4309" s="8" t="s">
        <v>26</v>
      </c>
      <c r="Q4309" s="8">
        <f>(1955155*100)/2180255</f>
        <v>89.67551960665152</v>
      </c>
    </row>
    <row r="4310" spans="1:17" x14ac:dyDescent="0.2">
      <c r="A4310">
        <f>YEAR(D4310)</f>
        <v>2019</v>
      </c>
      <c r="B4310" t="s">
        <v>26</v>
      </c>
      <c r="C4310" s="2" t="s">
        <v>3025</v>
      </c>
      <c r="D4310" s="1">
        <v>43719</v>
      </c>
      <c r="E4310">
        <f>MONTH(D4310)</f>
        <v>9</v>
      </c>
      <c r="F4310" s="2" t="s">
        <v>2098</v>
      </c>
      <c r="G4310" t="s">
        <v>219</v>
      </c>
      <c r="H4310" t="s">
        <v>220</v>
      </c>
      <c r="I4310" t="s">
        <v>22</v>
      </c>
      <c r="J4310" s="2" t="s">
        <v>42</v>
      </c>
      <c r="K4310" s="2" t="s">
        <v>3019</v>
      </c>
      <c r="L4310" t="s">
        <v>25</v>
      </c>
      <c r="M4310" s="10" t="s">
        <v>26</v>
      </c>
      <c r="N4310" t="s">
        <v>26</v>
      </c>
      <c r="O4310" s="10" t="s">
        <v>26</v>
      </c>
      <c r="P4310" s="8" t="s">
        <v>26</v>
      </c>
      <c r="Q4310" s="8">
        <f>(1955155*100)/2180255</f>
        <v>89.67551960665152</v>
      </c>
    </row>
    <row r="4311" spans="1:17" x14ac:dyDescent="0.2">
      <c r="A4311">
        <f>YEAR(D4311)</f>
        <v>2019</v>
      </c>
      <c r="B4311" t="s">
        <v>26</v>
      </c>
      <c r="C4311" s="2" t="s">
        <v>3025</v>
      </c>
      <c r="D4311" s="1">
        <v>43719</v>
      </c>
      <c r="E4311">
        <f>MONTH(D4311)</f>
        <v>9</v>
      </c>
      <c r="F4311" s="2" t="s">
        <v>2098</v>
      </c>
      <c r="G4311" t="s">
        <v>219</v>
      </c>
      <c r="H4311" t="s">
        <v>220</v>
      </c>
      <c r="I4311" t="s">
        <v>22</v>
      </c>
      <c r="J4311" s="2" t="s">
        <v>42</v>
      </c>
      <c r="K4311" s="2" t="s">
        <v>3019</v>
      </c>
      <c r="L4311" t="s">
        <v>25</v>
      </c>
      <c r="M4311" s="10" t="s">
        <v>26</v>
      </c>
      <c r="N4311" t="s">
        <v>26</v>
      </c>
      <c r="O4311" s="10" t="s">
        <v>26</v>
      </c>
      <c r="P4311" s="8" t="s">
        <v>26</v>
      </c>
      <c r="Q4311" s="8">
        <f>(1955155*100)/2180255</f>
        <v>89.67551960665152</v>
      </c>
    </row>
    <row r="4312" spans="1:17" x14ac:dyDescent="0.2">
      <c r="A4312">
        <f>YEAR(D4312)</f>
        <v>2019</v>
      </c>
      <c r="B4312" t="s">
        <v>26</v>
      </c>
      <c r="C4312" s="2" t="s">
        <v>3025</v>
      </c>
      <c r="D4312" s="1">
        <v>43719</v>
      </c>
      <c r="E4312">
        <f>MONTH(D4312)</f>
        <v>9</v>
      </c>
      <c r="F4312" s="2" t="s">
        <v>2098</v>
      </c>
      <c r="G4312" t="s">
        <v>219</v>
      </c>
      <c r="H4312" t="s">
        <v>220</v>
      </c>
      <c r="I4312" t="s">
        <v>22</v>
      </c>
      <c r="J4312" s="2" t="s">
        <v>42</v>
      </c>
      <c r="K4312" s="2" t="s">
        <v>3019</v>
      </c>
      <c r="L4312" t="s">
        <v>25</v>
      </c>
      <c r="M4312" s="10" t="s">
        <v>26</v>
      </c>
      <c r="N4312" t="s">
        <v>26</v>
      </c>
      <c r="O4312" s="10" t="s">
        <v>26</v>
      </c>
      <c r="P4312" s="8" t="s">
        <v>26</v>
      </c>
      <c r="Q4312" s="8">
        <f>(1955155*100)/2180255</f>
        <v>89.67551960665152</v>
      </c>
    </row>
    <row r="4313" spans="1:17" x14ac:dyDescent="0.2">
      <c r="A4313">
        <f>YEAR(D4313)</f>
        <v>2019</v>
      </c>
      <c r="B4313" t="s">
        <v>26</v>
      </c>
      <c r="C4313" s="2" t="s">
        <v>3025</v>
      </c>
      <c r="D4313" s="1">
        <v>43719</v>
      </c>
      <c r="E4313">
        <f>MONTH(D4313)</f>
        <v>9</v>
      </c>
      <c r="F4313" s="2" t="s">
        <v>2098</v>
      </c>
      <c r="G4313" t="s">
        <v>362</v>
      </c>
      <c r="H4313" t="s">
        <v>393</v>
      </c>
      <c r="I4313" t="s">
        <v>36</v>
      </c>
      <c r="J4313" s="2" t="s">
        <v>42</v>
      </c>
      <c r="K4313" s="2" t="s">
        <v>3019</v>
      </c>
      <c r="L4313" t="s">
        <v>25</v>
      </c>
      <c r="M4313" s="8">
        <v>2.2189999999999999</v>
      </c>
      <c r="N4313" t="s">
        <v>26</v>
      </c>
      <c r="O4313" s="8">
        <v>2.2189999999999999</v>
      </c>
      <c r="P4313" s="8">
        <f>EXP(-1.363+3.366*LOG(O4313,10))</f>
        <v>0.82050561861036375</v>
      </c>
      <c r="Q4313" s="8">
        <f>(1955155*100)/2180255</f>
        <v>89.67551960665152</v>
      </c>
    </row>
    <row r="4314" spans="1:17" x14ac:dyDescent="0.2">
      <c r="A4314">
        <f>YEAR(D4314)</f>
        <v>2019</v>
      </c>
      <c r="B4314" t="s">
        <v>26</v>
      </c>
      <c r="C4314" s="2" t="s">
        <v>3025</v>
      </c>
      <c r="D4314" s="1">
        <v>43719</v>
      </c>
      <c r="E4314">
        <f>MONTH(D4314)</f>
        <v>9</v>
      </c>
      <c r="F4314" s="2" t="s">
        <v>2098</v>
      </c>
      <c r="G4314" t="s">
        <v>352</v>
      </c>
      <c r="H4314" t="s">
        <v>1459</v>
      </c>
      <c r="I4314" t="s">
        <v>22</v>
      </c>
      <c r="J4314" s="2" t="s">
        <v>42</v>
      </c>
      <c r="K4314" s="2" t="s">
        <v>3019</v>
      </c>
      <c r="L4314" t="s">
        <v>25</v>
      </c>
      <c r="M4314" s="8">
        <v>1.1910000000000001</v>
      </c>
      <c r="N4314" t="s">
        <v>26</v>
      </c>
      <c r="O4314" s="8">
        <v>1.1910000000000001</v>
      </c>
      <c r="P4314" s="8">
        <f>EXP(-1.363+3.366*LOG(O4314,10))</f>
        <v>0.33039016297752993</v>
      </c>
      <c r="Q4314" s="8">
        <f>(1955155*100)/2180255</f>
        <v>89.67551960665152</v>
      </c>
    </row>
    <row r="4315" spans="1:17" x14ac:dyDescent="0.2">
      <c r="A4315">
        <f>YEAR(D4315)</f>
        <v>2019</v>
      </c>
      <c r="B4315" t="s">
        <v>26</v>
      </c>
      <c r="C4315" s="2" t="s">
        <v>3025</v>
      </c>
      <c r="D4315" s="1">
        <v>43719</v>
      </c>
      <c r="E4315">
        <f>MONTH(D4315)</f>
        <v>9</v>
      </c>
      <c r="F4315" s="2" t="s">
        <v>2098</v>
      </c>
      <c r="G4315" t="s">
        <v>230</v>
      </c>
      <c r="H4315" t="s">
        <v>268</v>
      </c>
      <c r="I4315" t="s">
        <v>22</v>
      </c>
      <c r="J4315" s="2" t="s">
        <v>42</v>
      </c>
      <c r="K4315" s="2" t="s">
        <v>3019</v>
      </c>
      <c r="L4315" t="s">
        <v>25</v>
      </c>
      <c r="M4315" s="8">
        <v>3.5356666670000001</v>
      </c>
      <c r="N4315" t="s">
        <v>26</v>
      </c>
      <c r="O4315" s="8">
        <v>3.5356666670000001</v>
      </c>
      <c r="P4315" s="8">
        <f>EXP(-1.363+3.366*LOG(O4315,10))</f>
        <v>1.6211802664427075</v>
      </c>
      <c r="Q4315" s="8">
        <f>(1955155*100)/2180255</f>
        <v>89.67551960665152</v>
      </c>
    </row>
    <row r="4316" spans="1:17" x14ac:dyDescent="0.2">
      <c r="A4316">
        <f>YEAR(D4316)</f>
        <v>2019</v>
      </c>
      <c r="B4316" t="s">
        <v>26</v>
      </c>
      <c r="C4316" s="2" t="s">
        <v>3018</v>
      </c>
      <c r="D4316" s="1">
        <v>43718</v>
      </c>
      <c r="E4316">
        <f>MONTH(D4316)</f>
        <v>9</v>
      </c>
      <c r="F4316" s="2" t="s">
        <v>2098</v>
      </c>
      <c r="G4316" t="s">
        <v>230</v>
      </c>
      <c r="H4316" t="s">
        <v>268</v>
      </c>
      <c r="I4316" t="s">
        <v>22</v>
      </c>
      <c r="J4316" s="2" t="s">
        <v>42</v>
      </c>
      <c r="K4316" s="2" t="s">
        <v>3019</v>
      </c>
      <c r="L4316" t="s">
        <v>25</v>
      </c>
      <c r="M4316" s="8">
        <v>3.5356666670000001</v>
      </c>
      <c r="N4316" t="s">
        <v>26</v>
      </c>
      <c r="O4316" s="8">
        <v>3.5356666670000001</v>
      </c>
      <c r="P4316" s="8">
        <f>EXP(-1.363+3.366*LOG(O4316,10))</f>
        <v>1.6211802664427075</v>
      </c>
      <c r="Q4316" s="8">
        <f>(5996898*100)/6073515</f>
        <v>98.738506449724753</v>
      </c>
    </row>
    <row r="4317" spans="1:17" x14ac:dyDescent="0.2">
      <c r="A4317">
        <f>YEAR(D4317)</f>
        <v>2019</v>
      </c>
      <c r="B4317" t="s">
        <v>26</v>
      </c>
      <c r="C4317" s="2" t="s">
        <v>3018</v>
      </c>
      <c r="D4317" s="1">
        <v>43718</v>
      </c>
      <c r="E4317">
        <f>MONTH(D4317)</f>
        <v>9</v>
      </c>
      <c r="F4317" s="2" t="s">
        <v>2098</v>
      </c>
      <c r="G4317" t="s">
        <v>230</v>
      </c>
      <c r="H4317" t="s">
        <v>268</v>
      </c>
      <c r="I4317" t="s">
        <v>22</v>
      </c>
      <c r="J4317" s="2" t="s">
        <v>42</v>
      </c>
      <c r="K4317" s="2" t="s">
        <v>3019</v>
      </c>
      <c r="L4317" t="s">
        <v>25</v>
      </c>
      <c r="M4317" s="8">
        <v>3.5356666670000001</v>
      </c>
      <c r="N4317" t="s">
        <v>26</v>
      </c>
      <c r="O4317" s="8">
        <v>3.5356666670000001</v>
      </c>
      <c r="P4317" s="8">
        <f>EXP(-1.363+3.366*LOG(O4317,10))</f>
        <v>1.6211802664427075</v>
      </c>
      <c r="Q4317" s="8">
        <f>(5996898*100)/6073515</f>
        <v>98.738506449724753</v>
      </c>
    </row>
    <row r="4318" spans="1:17" x14ac:dyDescent="0.2">
      <c r="A4318">
        <f>YEAR(D4318)</f>
        <v>2019</v>
      </c>
      <c r="B4318" t="s">
        <v>26</v>
      </c>
      <c r="C4318" s="2" t="s">
        <v>3018</v>
      </c>
      <c r="D4318" s="1">
        <v>43718</v>
      </c>
      <c r="E4318">
        <f>MONTH(D4318)</f>
        <v>9</v>
      </c>
      <c r="F4318" s="2" t="s">
        <v>2098</v>
      </c>
      <c r="G4318" t="s">
        <v>230</v>
      </c>
      <c r="H4318" t="s">
        <v>268</v>
      </c>
      <c r="I4318" t="s">
        <v>22</v>
      </c>
      <c r="J4318" s="2" t="s">
        <v>42</v>
      </c>
      <c r="K4318" s="2" t="s">
        <v>3019</v>
      </c>
      <c r="L4318" t="s">
        <v>25</v>
      </c>
      <c r="M4318" s="8">
        <v>3.5356666670000001</v>
      </c>
      <c r="N4318" t="s">
        <v>26</v>
      </c>
      <c r="O4318" s="8">
        <v>3.5356666670000001</v>
      </c>
      <c r="P4318" s="8">
        <f>EXP(-1.363+3.366*LOG(O4318,10))</f>
        <v>1.6211802664427075</v>
      </c>
      <c r="Q4318" s="8">
        <f>(5996898*100)/6073515</f>
        <v>98.738506449724753</v>
      </c>
    </row>
    <row r="4319" spans="1:17" x14ac:dyDescent="0.2">
      <c r="A4319">
        <f>YEAR(D4319)</f>
        <v>2019</v>
      </c>
      <c r="B4319" t="s">
        <v>26</v>
      </c>
      <c r="C4319" s="2" t="s">
        <v>3018</v>
      </c>
      <c r="D4319" s="1">
        <v>43718</v>
      </c>
      <c r="E4319">
        <f>MONTH(D4319)</f>
        <v>9</v>
      </c>
      <c r="F4319" s="2" t="s">
        <v>2098</v>
      </c>
      <c r="G4319" t="s">
        <v>1520</v>
      </c>
      <c r="H4319" t="s">
        <v>1521</v>
      </c>
      <c r="I4319" t="s">
        <v>22</v>
      </c>
      <c r="J4319" s="2" t="s">
        <v>42</v>
      </c>
      <c r="K4319" s="2" t="s">
        <v>3019</v>
      </c>
      <c r="L4319" t="s">
        <v>25</v>
      </c>
      <c r="M4319" s="8">
        <v>2.952</v>
      </c>
      <c r="N4319" t="s">
        <v>26</v>
      </c>
      <c r="O4319" s="8">
        <v>2.952</v>
      </c>
      <c r="P4319" s="8">
        <f>EXP(-1.363+3.366*LOG(O4319,10))</f>
        <v>1.2453438103764427</v>
      </c>
      <c r="Q4319" s="8">
        <f>(5996898*100)/6073515</f>
        <v>98.738506449724753</v>
      </c>
    </row>
    <row r="4320" spans="1:17" x14ac:dyDescent="0.2">
      <c r="A4320">
        <f>YEAR(D4320)</f>
        <v>2019</v>
      </c>
      <c r="B4320" t="s">
        <v>26</v>
      </c>
      <c r="C4320" s="2" t="s">
        <v>3018</v>
      </c>
      <c r="D4320" s="1">
        <v>43718</v>
      </c>
      <c r="E4320">
        <f>MONTH(D4320)</f>
        <v>9</v>
      </c>
      <c r="F4320" s="2" t="s">
        <v>2098</v>
      </c>
      <c r="G4320" t="s">
        <v>2206</v>
      </c>
      <c r="H4320" t="s">
        <v>2263</v>
      </c>
      <c r="I4320" t="s">
        <v>22</v>
      </c>
      <c r="J4320" s="2" t="s">
        <v>42</v>
      </c>
      <c r="K4320" s="2" t="s">
        <v>3019</v>
      </c>
      <c r="L4320" t="s">
        <v>25</v>
      </c>
      <c r="M4320" s="8">
        <v>3.7376666670000001</v>
      </c>
      <c r="N4320" t="s">
        <v>26</v>
      </c>
      <c r="O4320" s="8">
        <v>3.7376666670000001</v>
      </c>
      <c r="P4320" s="8">
        <f>EXP(-1.363+3.366*LOG(O4320,10))</f>
        <v>1.7583458516827115</v>
      </c>
      <c r="Q4320" s="8">
        <f>(5996898*100)/6073515</f>
        <v>98.738506449724753</v>
      </c>
    </row>
    <row r="4321" spans="1:17" x14ac:dyDescent="0.2">
      <c r="A4321">
        <f>YEAR(D4321)</f>
        <v>2019</v>
      </c>
      <c r="B4321" t="s">
        <v>26</v>
      </c>
      <c r="C4321" s="2" t="s">
        <v>3018</v>
      </c>
      <c r="D4321" s="1">
        <v>43718</v>
      </c>
      <c r="E4321">
        <f>MONTH(D4321)</f>
        <v>9</v>
      </c>
      <c r="F4321" s="2" t="s">
        <v>2098</v>
      </c>
      <c r="G4321" t="s">
        <v>2206</v>
      </c>
      <c r="H4321" t="s">
        <v>2263</v>
      </c>
      <c r="I4321" t="s">
        <v>22</v>
      </c>
      <c r="J4321" s="2" t="s">
        <v>42</v>
      </c>
      <c r="K4321" s="2" t="s">
        <v>3019</v>
      </c>
      <c r="L4321" t="s">
        <v>25</v>
      </c>
      <c r="M4321" s="8">
        <v>3.7376666670000001</v>
      </c>
      <c r="N4321" t="s">
        <v>26</v>
      </c>
      <c r="O4321" s="8">
        <v>3.7376666670000001</v>
      </c>
      <c r="P4321" s="8">
        <f>EXP(-1.363+3.366*LOG(O4321,10))</f>
        <v>1.7583458516827115</v>
      </c>
      <c r="Q4321" s="8">
        <f>(5996898*100)/6073515</f>
        <v>98.738506449724753</v>
      </c>
    </row>
    <row r="4322" spans="1:17" x14ac:dyDescent="0.2">
      <c r="A4322">
        <f>YEAR(D4322)</f>
        <v>2019</v>
      </c>
      <c r="B4322" t="s">
        <v>26</v>
      </c>
      <c r="C4322" s="2" t="s">
        <v>3018</v>
      </c>
      <c r="D4322" s="1">
        <v>43718</v>
      </c>
      <c r="E4322">
        <f>MONTH(D4322)</f>
        <v>9</v>
      </c>
      <c r="F4322" s="2" t="s">
        <v>2098</v>
      </c>
      <c r="G4322" t="s">
        <v>230</v>
      </c>
      <c r="H4322" t="s">
        <v>268</v>
      </c>
      <c r="I4322" t="s">
        <v>36</v>
      </c>
      <c r="J4322" s="2" t="s">
        <v>42</v>
      </c>
      <c r="K4322" s="2" t="s">
        <v>3019</v>
      </c>
      <c r="L4322" t="s">
        <v>25</v>
      </c>
      <c r="M4322" s="8">
        <v>3.3683333329999998</v>
      </c>
      <c r="N4322" t="s">
        <v>26</v>
      </c>
      <c r="O4322" s="8">
        <v>3.3683333329999998</v>
      </c>
      <c r="P4322" s="8">
        <f>EXP(-1.363+3.366*LOG(O4322,10))</f>
        <v>1.510255893489963</v>
      </c>
      <c r="Q4322" s="8">
        <f>(5996898*100)/6073515</f>
        <v>98.738506449724753</v>
      </c>
    </row>
    <row r="4323" spans="1:17" x14ac:dyDescent="0.2">
      <c r="A4323">
        <f>YEAR(D4323)</f>
        <v>2019</v>
      </c>
      <c r="B4323" t="s">
        <v>26</v>
      </c>
      <c r="C4323" s="2" t="s">
        <v>3018</v>
      </c>
      <c r="D4323" s="1">
        <v>43718</v>
      </c>
      <c r="E4323">
        <f>MONTH(D4323)</f>
        <v>9</v>
      </c>
      <c r="F4323" s="2" t="s">
        <v>2098</v>
      </c>
      <c r="G4323" t="s">
        <v>1520</v>
      </c>
      <c r="H4323" t="s">
        <v>1521</v>
      </c>
      <c r="I4323" t="s">
        <v>22</v>
      </c>
      <c r="J4323" s="2" t="s">
        <v>42</v>
      </c>
      <c r="K4323" s="2" t="s">
        <v>3019</v>
      </c>
      <c r="L4323" t="s">
        <v>25</v>
      </c>
      <c r="M4323" s="8">
        <v>2.952</v>
      </c>
      <c r="N4323" t="s">
        <v>26</v>
      </c>
      <c r="O4323" s="8">
        <v>2.952</v>
      </c>
      <c r="P4323" s="8">
        <f>EXP(-1.363+3.366*LOG(O4323,10))</f>
        <v>1.2453438103764427</v>
      </c>
      <c r="Q4323" s="8">
        <f>(5996898*100)/6073515</f>
        <v>98.738506449724753</v>
      </c>
    </row>
    <row r="4324" spans="1:17" x14ac:dyDescent="0.2">
      <c r="A4324">
        <f>YEAR(D4324)</f>
        <v>2019</v>
      </c>
      <c r="B4324" t="s">
        <v>26</v>
      </c>
      <c r="C4324" s="2" t="s">
        <v>3018</v>
      </c>
      <c r="D4324" s="1">
        <v>43718</v>
      </c>
      <c r="E4324">
        <f>MONTH(D4324)</f>
        <v>9</v>
      </c>
      <c r="F4324" s="2" t="s">
        <v>2098</v>
      </c>
      <c r="G4324" t="s">
        <v>1520</v>
      </c>
      <c r="H4324" t="s">
        <v>1528</v>
      </c>
      <c r="I4324" t="s">
        <v>36</v>
      </c>
      <c r="J4324" s="2" t="s">
        <v>42</v>
      </c>
      <c r="K4324" s="2" t="s">
        <v>3019</v>
      </c>
      <c r="L4324" t="s">
        <v>25</v>
      </c>
      <c r="M4324" s="8">
        <v>3.3860000000000001</v>
      </c>
      <c r="N4324" t="s">
        <v>26</v>
      </c>
      <c r="O4324" s="8">
        <v>3.3860000000000001</v>
      </c>
      <c r="P4324" s="8">
        <f>EXP(-1.363+3.366*LOG(O4324,10))</f>
        <v>1.5218493704875904</v>
      </c>
      <c r="Q4324" s="8">
        <f>(5996898*100)/6073515</f>
        <v>98.738506449724753</v>
      </c>
    </row>
    <row r="4325" spans="1:17" x14ac:dyDescent="0.2">
      <c r="A4325">
        <f>YEAR(D4325)</f>
        <v>2019</v>
      </c>
      <c r="B4325" t="s">
        <v>26</v>
      </c>
      <c r="C4325" s="2" t="s">
        <v>3018</v>
      </c>
      <c r="D4325" s="1">
        <v>43718</v>
      </c>
      <c r="E4325">
        <f>MONTH(D4325)</f>
        <v>9</v>
      </c>
      <c r="F4325" s="2" t="s">
        <v>2098</v>
      </c>
      <c r="G4325" t="s">
        <v>1520</v>
      </c>
      <c r="H4325" t="s">
        <v>1521</v>
      </c>
      <c r="I4325" t="s">
        <v>22</v>
      </c>
      <c r="J4325" s="2" t="s">
        <v>42</v>
      </c>
      <c r="K4325" s="2" t="s">
        <v>3019</v>
      </c>
      <c r="L4325" t="s">
        <v>25</v>
      </c>
      <c r="M4325" s="8">
        <v>2.952</v>
      </c>
      <c r="N4325" t="s">
        <v>26</v>
      </c>
      <c r="O4325" s="8">
        <v>2.952</v>
      </c>
      <c r="P4325" s="8">
        <f>EXP(-1.363+3.366*LOG(O4325,10))</f>
        <v>1.2453438103764427</v>
      </c>
      <c r="Q4325" s="8">
        <f>(5996898*100)/6073515</f>
        <v>98.738506449724753</v>
      </c>
    </row>
    <row r="4326" spans="1:17" x14ac:dyDescent="0.2">
      <c r="A4326">
        <f>YEAR(D4326)</f>
        <v>2019</v>
      </c>
      <c r="B4326" t="s">
        <v>26</v>
      </c>
      <c r="C4326" s="2" t="s">
        <v>3018</v>
      </c>
      <c r="D4326" s="1">
        <v>43718</v>
      </c>
      <c r="E4326">
        <f>MONTH(D4326)</f>
        <v>9</v>
      </c>
      <c r="F4326" s="2" t="s">
        <v>2098</v>
      </c>
      <c r="G4326" t="s">
        <v>362</v>
      </c>
      <c r="H4326" t="s">
        <v>393</v>
      </c>
      <c r="I4326" t="s">
        <v>36</v>
      </c>
      <c r="J4326" s="2" t="s">
        <v>42</v>
      </c>
      <c r="K4326" s="2" t="s">
        <v>3019</v>
      </c>
      <c r="L4326" t="s">
        <v>25</v>
      </c>
      <c r="M4326" s="8">
        <v>2.2189999999999999</v>
      </c>
      <c r="N4326" t="s">
        <v>26</v>
      </c>
      <c r="O4326" s="8">
        <v>2.2189999999999999</v>
      </c>
      <c r="P4326" s="8">
        <f>EXP(-1.363+3.366*LOG(O4326,10))</f>
        <v>0.82050561861036375</v>
      </c>
      <c r="Q4326" s="8">
        <f>(5996898*100)/6073515</f>
        <v>98.738506449724753</v>
      </c>
    </row>
    <row r="4327" spans="1:17" x14ac:dyDescent="0.2">
      <c r="A4327">
        <f>YEAR(D4327)</f>
        <v>2019</v>
      </c>
      <c r="B4327" t="s">
        <v>26</v>
      </c>
      <c r="C4327" s="2" t="s">
        <v>3026</v>
      </c>
      <c r="D4327" s="1">
        <v>43720</v>
      </c>
      <c r="E4327">
        <f>MONTH(D4327)</f>
        <v>9</v>
      </c>
      <c r="F4327" s="2" t="s">
        <v>2098</v>
      </c>
      <c r="G4327" t="s">
        <v>219</v>
      </c>
      <c r="H4327" t="s">
        <v>220</v>
      </c>
      <c r="I4327" t="s">
        <v>22</v>
      </c>
      <c r="J4327" s="2" t="s">
        <v>42</v>
      </c>
      <c r="K4327" s="2" t="s">
        <v>3019</v>
      </c>
      <c r="L4327" t="s">
        <v>25</v>
      </c>
      <c r="M4327" s="10" t="s">
        <v>26</v>
      </c>
      <c r="N4327" t="s">
        <v>26</v>
      </c>
      <c r="O4327" s="10" t="s">
        <v>26</v>
      </c>
      <c r="P4327" s="8" t="s">
        <v>26</v>
      </c>
      <c r="Q4327" s="8">
        <f>(2317420*100)/2442061</f>
        <v>94.896073439606951</v>
      </c>
    </row>
    <row r="4328" spans="1:17" x14ac:dyDescent="0.2">
      <c r="A4328">
        <f>YEAR(D4328)</f>
        <v>2019</v>
      </c>
      <c r="B4328" t="s">
        <v>26</v>
      </c>
      <c r="C4328" s="2" t="s">
        <v>3026</v>
      </c>
      <c r="D4328" s="1">
        <v>43720</v>
      </c>
      <c r="E4328">
        <f>MONTH(D4328)</f>
        <v>9</v>
      </c>
      <c r="F4328" s="2" t="s">
        <v>2098</v>
      </c>
      <c r="G4328" t="s">
        <v>219</v>
      </c>
      <c r="H4328" t="s">
        <v>220</v>
      </c>
      <c r="I4328" t="s">
        <v>22</v>
      </c>
      <c r="J4328" s="2" t="s">
        <v>42</v>
      </c>
      <c r="K4328" s="2" t="s">
        <v>3019</v>
      </c>
      <c r="L4328" t="s">
        <v>25</v>
      </c>
      <c r="M4328" s="10" t="s">
        <v>26</v>
      </c>
      <c r="N4328" t="s">
        <v>26</v>
      </c>
      <c r="O4328" s="10" t="s">
        <v>26</v>
      </c>
      <c r="P4328" s="8" t="s">
        <v>26</v>
      </c>
      <c r="Q4328" s="8">
        <f>(2317420*100)/2442061</f>
        <v>94.896073439606951</v>
      </c>
    </row>
    <row r="4329" spans="1:17" x14ac:dyDescent="0.2">
      <c r="A4329">
        <f>YEAR(D4329)</f>
        <v>2019</v>
      </c>
      <c r="B4329" t="s">
        <v>26</v>
      </c>
      <c r="C4329" s="2" t="s">
        <v>3026</v>
      </c>
      <c r="D4329" s="1">
        <v>43720</v>
      </c>
      <c r="E4329">
        <f>MONTH(D4329)</f>
        <v>9</v>
      </c>
      <c r="F4329" s="2" t="s">
        <v>2098</v>
      </c>
      <c r="G4329" t="s">
        <v>219</v>
      </c>
      <c r="H4329" t="s">
        <v>220</v>
      </c>
      <c r="I4329" t="s">
        <v>22</v>
      </c>
      <c r="J4329" s="2" t="s">
        <v>42</v>
      </c>
      <c r="K4329" s="2" t="s">
        <v>3019</v>
      </c>
      <c r="L4329" t="s">
        <v>25</v>
      </c>
      <c r="M4329" s="10" t="s">
        <v>26</v>
      </c>
      <c r="N4329" t="s">
        <v>26</v>
      </c>
      <c r="O4329" s="10" t="s">
        <v>26</v>
      </c>
      <c r="P4329" s="8" t="s">
        <v>26</v>
      </c>
      <c r="Q4329" s="8">
        <f>(2317420*100)/2442061</f>
        <v>94.896073439606951</v>
      </c>
    </row>
    <row r="4330" spans="1:17" x14ac:dyDescent="0.2">
      <c r="A4330">
        <f>YEAR(D4330)</f>
        <v>2019</v>
      </c>
      <c r="B4330" t="s">
        <v>26</v>
      </c>
      <c r="C4330" s="2" t="s">
        <v>3026</v>
      </c>
      <c r="D4330" s="1">
        <v>43720</v>
      </c>
      <c r="E4330">
        <f>MONTH(D4330)</f>
        <v>9</v>
      </c>
      <c r="F4330" s="2" t="s">
        <v>2098</v>
      </c>
      <c r="G4330" t="s">
        <v>318</v>
      </c>
      <c r="H4330" t="s">
        <v>319</v>
      </c>
      <c r="I4330" t="s">
        <v>22</v>
      </c>
      <c r="J4330" s="2" t="s">
        <v>42</v>
      </c>
      <c r="K4330" s="2" t="s">
        <v>3019</v>
      </c>
      <c r="L4330" t="s">
        <v>25</v>
      </c>
      <c r="M4330" s="8">
        <v>5.71</v>
      </c>
      <c r="N4330" t="s">
        <v>26</v>
      </c>
      <c r="O4330" s="8">
        <v>5.71</v>
      </c>
      <c r="P4330" s="8">
        <f>EXP(-1.363+3.366*LOG(O4330,10))</f>
        <v>3.2668856822755741</v>
      </c>
      <c r="Q4330" s="8">
        <f>(2317420*100)/2442061</f>
        <v>94.896073439606951</v>
      </c>
    </row>
    <row r="4331" spans="1:17" x14ac:dyDescent="0.2">
      <c r="A4331">
        <f>YEAR(D4331)</f>
        <v>2019</v>
      </c>
      <c r="B4331" t="s">
        <v>26</v>
      </c>
      <c r="C4331" s="2" t="s">
        <v>3026</v>
      </c>
      <c r="D4331" s="1">
        <v>43720</v>
      </c>
      <c r="E4331">
        <f>MONTH(D4331)</f>
        <v>9</v>
      </c>
      <c r="F4331" s="2" t="s">
        <v>2098</v>
      </c>
      <c r="G4331" t="s">
        <v>230</v>
      </c>
      <c r="H4331" t="s">
        <v>268</v>
      </c>
      <c r="I4331" t="s">
        <v>22</v>
      </c>
      <c r="J4331" s="2" t="s">
        <v>42</v>
      </c>
      <c r="K4331" s="2" t="s">
        <v>3019</v>
      </c>
      <c r="L4331" t="s">
        <v>25</v>
      </c>
      <c r="M4331" s="8">
        <v>3.5356666670000001</v>
      </c>
      <c r="N4331" t="s">
        <v>26</v>
      </c>
      <c r="O4331" s="8">
        <v>3.5356666670000001</v>
      </c>
      <c r="P4331" s="8">
        <f>EXP(-1.363+3.366*LOG(O4331,10))</f>
        <v>1.6211802664427075</v>
      </c>
      <c r="Q4331" s="8">
        <f>(2317420*100)/2442061</f>
        <v>94.896073439606951</v>
      </c>
    </row>
    <row r="4332" spans="1:17" x14ac:dyDescent="0.2">
      <c r="A4332">
        <f>YEAR(D4332)</f>
        <v>2019</v>
      </c>
      <c r="B4332" t="s">
        <v>26</v>
      </c>
      <c r="C4332" s="2" t="s">
        <v>3026</v>
      </c>
      <c r="D4332" s="1">
        <v>43720</v>
      </c>
      <c r="E4332">
        <f>MONTH(D4332)</f>
        <v>9</v>
      </c>
      <c r="F4332" s="2" t="s">
        <v>2098</v>
      </c>
      <c r="G4332" t="s">
        <v>230</v>
      </c>
      <c r="H4332" t="s">
        <v>268</v>
      </c>
      <c r="I4332" t="s">
        <v>22</v>
      </c>
      <c r="J4332" s="2" t="s">
        <v>42</v>
      </c>
      <c r="K4332" s="2" t="s">
        <v>3019</v>
      </c>
      <c r="L4332" t="s">
        <v>25</v>
      </c>
      <c r="M4332" s="8">
        <v>3.5356666670000001</v>
      </c>
      <c r="N4332" t="s">
        <v>26</v>
      </c>
      <c r="O4332" s="8">
        <v>3.5356666670000001</v>
      </c>
      <c r="P4332" s="8">
        <f>EXP(-1.363+3.366*LOG(O4332,10))</f>
        <v>1.6211802664427075</v>
      </c>
      <c r="Q4332" s="8">
        <f>(2317420*100)/2442061</f>
        <v>94.896073439606951</v>
      </c>
    </row>
    <row r="4333" spans="1:17" x14ac:dyDescent="0.2">
      <c r="A4333">
        <f>YEAR(D4333)</f>
        <v>2019</v>
      </c>
      <c r="B4333" t="s">
        <v>26</v>
      </c>
      <c r="C4333" s="2" t="s">
        <v>3026</v>
      </c>
      <c r="D4333" s="1">
        <v>43720</v>
      </c>
      <c r="E4333">
        <f>MONTH(D4333)</f>
        <v>9</v>
      </c>
      <c r="F4333" s="2" t="s">
        <v>2098</v>
      </c>
      <c r="G4333" t="s">
        <v>230</v>
      </c>
      <c r="H4333" t="s">
        <v>268</v>
      </c>
      <c r="I4333" t="s">
        <v>22</v>
      </c>
      <c r="J4333" s="2" t="s">
        <v>42</v>
      </c>
      <c r="K4333" s="2" t="s">
        <v>3019</v>
      </c>
      <c r="L4333" t="s">
        <v>25</v>
      </c>
      <c r="M4333" s="8">
        <v>3.5356666670000001</v>
      </c>
      <c r="N4333" t="s">
        <v>26</v>
      </c>
      <c r="O4333" s="8">
        <v>3.5356666670000001</v>
      </c>
      <c r="P4333" s="8">
        <f>EXP(-1.363+3.366*LOG(O4333,10))</f>
        <v>1.6211802664427075</v>
      </c>
      <c r="Q4333" s="8">
        <f>(2317420*100)/2442061</f>
        <v>94.896073439606951</v>
      </c>
    </row>
    <row r="4334" spans="1:17" x14ac:dyDescent="0.2">
      <c r="A4334">
        <f>YEAR(D4334)</f>
        <v>2019</v>
      </c>
      <c r="B4334" t="s">
        <v>26</v>
      </c>
      <c r="C4334" s="2" t="s">
        <v>3026</v>
      </c>
      <c r="D4334" s="1">
        <v>43720</v>
      </c>
      <c r="E4334">
        <f>MONTH(D4334)</f>
        <v>9</v>
      </c>
      <c r="F4334" s="2" t="s">
        <v>2098</v>
      </c>
      <c r="G4334" t="s">
        <v>230</v>
      </c>
      <c r="H4334" t="s">
        <v>268</v>
      </c>
      <c r="I4334" t="s">
        <v>36</v>
      </c>
      <c r="J4334" s="2" t="s">
        <v>42</v>
      </c>
      <c r="K4334" s="2" t="s">
        <v>3019</v>
      </c>
      <c r="L4334" t="s">
        <v>25</v>
      </c>
      <c r="M4334" s="8">
        <v>3.3683333329999998</v>
      </c>
      <c r="N4334" t="s">
        <v>26</v>
      </c>
      <c r="O4334" s="8">
        <v>3.3683333329999998</v>
      </c>
      <c r="P4334" s="8">
        <f>EXP(-1.363+3.366*LOG(O4334,10))</f>
        <v>1.510255893489963</v>
      </c>
      <c r="Q4334" s="8">
        <f>(2317420*100)/2442061</f>
        <v>94.896073439606951</v>
      </c>
    </row>
    <row r="4335" spans="1:17" x14ac:dyDescent="0.2">
      <c r="A4335">
        <f>YEAR(D4335)</f>
        <v>2019</v>
      </c>
      <c r="B4335" t="s">
        <v>26</v>
      </c>
      <c r="C4335" s="2" t="s">
        <v>3026</v>
      </c>
      <c r="D4335" s="1">
        <v>43720</v>
      </c>
      <c r="E4335">
        <f>MONTH(D4335)</f>
        <v>9</v>
      </c>
      <c r="F4335" s="2" t="s">
        <v>2098</v>
      </c>
      <c r="G4335" t="s">
        <v>332</v>
      </c>
      <c r="H4335" t="s">
        <v>327</v>
      </c>
      <c r="I4335" t="s">
        <v>22</v>
      </c>
      <c r="J4335" s="2" t="s">
        <v>42</v>
      </c>
      <c r="K4335" s="2" t="s">
        <v>3019</v>
      </c>
      <c r="L4335" t="s">
        <v>25</v>
      </c>
      <c r="M4335" s="8">
        <v>1.239333333</v>
      </c>
      <c r="N4335" t="s">
        <v>26</v>
      </c>
      <c r="O4335" s="8">
        <v>1.239333333</v>
      </c>
      <c r="P4335" s="8">
        <f>EXP(-1.363+3.366*LOG(O4335,10))</f>
        <v>0.35017272283851147</v>
      </c>
      <c r="Q4335" s="8">
        <f>(2317420*100)/2442061</f>
        <v>94.896073439606951</v>
      </c>
    </row>
    <row r="4336" spans="1:17" x14ac:dyDescent="0.2">
      <c r="A4336">
        <f>YEAR(D4336)</f>
        <v>2019</v>
      </c>
      <c r="B4336" t="s">
        <v>26</v>
      </c>
      <c r="C4336" s="2" t="s">
        <v>3026</v>
      </c>
      <c r="D4336" s="1">
        <v>43720</v>
      </c>
      <c r="E4336">
        <f>MONTH(D4336)</f>
        <v>9</v>
      </c>
      <c r="F4336" s="2" t="s">
        <v>2098</v>
      </c>
      <c r="G4336" t="s">
        <v>2206</v>
      </c>
      <c r="H4336" t="s">
        <v>2263</v>
      </c>
      <c r="I4336" t="s">
        <v>22</v>
      </c>
      <c r="J4336" s="2" t="s">
        <v>42</v>
      </c>
      <c r="K4336" s="2" t="s">
        <v>3019</v>
      </c>
      <c r="L4336" t="s">
        <v>25</v>
      </c>
      <c r="M4336" s="8">
        <v>3.7376666670000001</v>
      </c>
      <c r="N4336" t="s">
        <v>26</v>
      </c>
      <c r="O4336" s="8">
        <v>3.7376666670000001</v>
      </c>
      <c r="P4336" s="8">
        <f>EXP(-1.363+3.366*LOG(O4336,10))</f>
        <v>1.7583458516827115</v>
      </c>
      <c r="Q4336" s="8">
        <f>(2317420*100)/2442061</f>
        <v>94.896073439606951</v>
      </c>
    </row>
    <row r="4337" spans="1:17" x14ac:dyDescent="0.2">
      <c r="A4337">
        <f>YEAR(D4337)</f>
        <v>2019</v>
      </c>
      <c r="B4337" t="s">
        <v>26</v>
      </c>
      <c r="C4337" s="2" t="s">
        <v>3026</v>
      </c>
      <c r="D4337" s="1">
        <v>43720</v>
      </c>
      <c r="E4337">
        <f>MONTH(D4337)</f>
        <v>9</v>
      </c>
      <c r="F4337" s="2" t="s">
        <v>2098</v>
      </c>
      <c r="G4337" t="s">
        <v>332</v>
      </c>
      <c r="H4337" t="s">
        <v>327</v>
      </c>
      <c r="I4337" t="s">
        <v>22</v>
      </c>
      <c r="J4337" s="2" t="s">
        <v>42</v>
      </c>
      <c r="K4337" s="2" t="s">
        <v>3019</v>
      </c>
      <c r="L4337" t="s">
        <v>25</v>
      </c>
      <c r="M4337" s="8">
        <v>1.239333333</v>
      </c>
      <c r="N4337" t="s">
        <v>26</v>
      </c>
      <c r="O4337" s="8">
        <v>1.239333333</v>
      </c>
      <c r="P4337" s="8">
        <f>EXP(-1.363+3.366*LOG(O4337,10))</f>
        <v>0.35017272283851147</v>
      </c>
      <c r="Q4337" s="8">
        <f>(2317420*100)/2442061</f>
        <v>94.896073439606951</v>
      </c>
    </row>
    <row r="4338" spans="1:17" x14ac:dyDescent="0.2">
      <c r="A4338">
        <f>YEAR(D4338)</f>
        <v>2019</v>
      </c>
      <c r="B4338" t="s">
        <v>26</v>
      </c>
      <c r="C4338" s="2" t="s">
        <v>3026</v>
      </c>
      <c r="D4338" s="1">
        <v>43720</v>
      </c>
      <c r="E4338">
        <f>MONTH(D4338)</f>
        <v>9</v>
      </c>
      <c r="F4338" s="2" t="s">
        <v>2098</v>
      </c>
      <c r="G4338" t="s">
        <v>2206</v>
      </c>
      <c r="H4338" t="s">
        <v>2263</v>
      </c>
      <c r="I4338" t="s">
        <v>22</v>
      </c>
      <c r="J4338" s="2" t="s">
        <v>42</v>
      </c>
      <c r="K4338" s="2" t="s">
        <v>3019</v>
      </c>
      <c r="L4338" t="s">
        <v>25</v>
      </c>
      <c r="M4338" s="8">
        <v>3.7376666670000001</v>
      </c>
      <c r="N4338" t="s">
        <v>26</v>
      </c>
      <c r="O4338" s="8">
        <v>3.7376666670000001</v>
      </c>
      <c r="P4338" s="8">
        <f>EXP(-1.363+3.366*LOG(O4338,10))</f>
        <v>1.7583458516827115</v>
      </c>
      <c r="Q4338" s="8">
        <f>(2317420*100)/2442061</f>
        <v>94.896073439606951</v>
      </c>
    </row>
    <row r="4339" spans="1:17" x14ac:dyDescent="0.2">
      <c r="A4339">
        <f>YEAR(D4339)</f>
        <v>2019</v>
      </c>
      <c r="B4339" t="s">
        <v>26</v>
      </c>
      <c r="C4339" s="2" t="s">
        <v>3026</v>
      </c>
      <c r="D4339" s="1">
        <v>43720</v>
      </c>
      <c r="E4339">
        <f>MONTH(D4339)</f>
        <v>9</v>
      </c>
      <c r="F4339" s="2" t="s">
        <v>2098</v>
      </c>
      <c r="G4339" t="s">
        <v>332</v>
      </c>
      <c r="H4339" t="s">
        <v>327</v>
      </c>
      <c r="I4339" t="s">
        <v>22</v>
      </c>
      <c r="J4339" s="2" t="s">
        <v>42</v>
      </c>
      <c r="K4339" s="2" t="s">
        <v>3019</v>
      </c>
      <c r="L4339" t="s">
        <v>25</v>
      </c>
      <c r="M4339" s="8">
        <v>1.239333333</v>
      </c>
      <c r="N4339" t="s">
        <v>26</v>
      </c>
      <c r="O4339" s="8">
        <v>1.239333333</v>
      </c>
      <c r="P4339" s="8">
        <f>EXP(-1.363+3.366*LOG(O4339,10))</f>
        <v>0.35017272283851147</v>
      </c>
      <c r="Q4339" s="8">
        <f>(2317420*100)/2442061</f>
        <v>94.896073439606951</v>
      </c>
    </row>
    <row r="4340" spans="1:17" x14ac:dyDescent="0.2">
      <c r="A4340">
        <f>YEAR(D4340)</f>
        <v>2019</v>
      </c>
      <c r="B4340" t="s">
        <v>26</v>
      </c>
      <c r="C4340" s="2" t="s">
        <v>3026</v>
      </c>
      <c r="D4340" s="1">
        <v>43720</v>
      </c>
      <c r="E4340">
        <f>MONTH(D4340)</f>
        <v>9</v>
      </c>
      <c r="F4340" s="2" t="s">
        <v>2098</v>
      </c>
      <c r="G4340" t="s">
        <v>230</v>
      </c>
      <c r="H4340" t="s">
        <v>268</v>
      </c>
      <c r="I4340" t="s">
        <v>22</v>
      </c>
      <c r="J4340" s="2" t="s">
        <v>42</v>
      </c>
      <c r="K4340" s="2" t="s">
        <v>3019</v>
      </c>
      <c r="L4340" t="s">
        <v>25</v>
      </c>
      <c r="M4340" s="8">
        <v>3.5356666670000001</v>
      </c>
      <c r="N4340" t="s">
        <v>26</v>
      </c>
      <c r="O4340" s="8">
        <v>3.5356666670000001</v>
      </c>
      <c r="P4340" s="8">
        <f>EXP(-1.363+3.366*LOG(O4340,10))</f>
        <v>1.6211802664427075</v>
      </c>
      <c r="Q4340" s="8">
        <f>(2317420*100)/2442061</f>
        <v>94.896073439606951</v>
      </c>
    </row>
    <row r="4341" spans="1:17" x14ac:dyDescent="0.2">
      <c r="A4341">
        <f>YEAR(D4341)</f>
        <v>2019</v>
      </c>
      <c r="B4341" t="s">
        <v>26</v>
      </c>
      <c r="C4341" s="2" t="s">
        <v>3026</v>
      </c>
      <c r="D4341" s="1">
        <v>43720</v>
      </c>
      <c r="E4341">
        <f>MONTH(D4341)</f>
        <v>9</v>
      </c>
      <c r="F4341" s="2" t="s">
        <v>2098</v>
      </c>
      <c r="G4341" t="s">
        <v>230</v>
      </c>
      <c r="H4341" t="s">
        <v>268</v>
      </c>
      <c r="I4341" t="s">
        <v>36</v>
      </c>
      <c r="J4341" s="2" t="s">
        <v>42</v>
      </c>
      <c r="K4341" s="2" t="s">
        <v>3019</v>
      </c>
      <c r="L4341" t="s">
        <v>25</v>
      </c>
      <c r="M4341" s="8">
        <v>3.3683333329999998</v>
      </c>
      <c r="N4341" t="s">
        <v>26</v>
      </c>
      <c r="O4341" s="8">
        <v>3.3683333329999998</v>
      </c>
      <c r="P4341" s="8">
        <f>EXP(-1.363+3.366*LOG(O4341,10))</f>
        <v>1.510255893489963</v>
      </c>
      <c r="Q4341" s="8">
        <f>(2317420*100)/2442061</f>
        <v>94.896073439606951</v>
      </c>
    </row>
    <row r="4342" spans="1:17" x14ac:dyDescent="0.2">
      <c r="A4342">
        <f>YEAR(D4342)</f>
        <v>2019</v>
      </c>
      <c r="B4342" t="s">
        <v>26</v>
      </c>
      <c r="C4342" s="2" t="s">
        <v>3026</v>
      </c>
      <c r="D4342" s="1">
        <v>43720</v>
      </c>
      <c r="E4342">
        <f>MONTH(D4342)</f>
        <v>9</v>
      </c>
      <c r="F4342" s="2" t="s">
        <v>2098</v>
      </c>
      <c r="G4342" t="s">
        <v>1520</v>
      </c>
      <c r="H4342" t="s">
        <v>1521</v>
      </c>
      <c r="I4342" t="s">
        <v>36</v>
      </c>
      <c r="J4342" s="2" t="s">
        <v>42</v>
      </c>
      <c r="K4342" s="2" t="s">
        <v>3019</v>
      </c>
      <c r="L4342" t="s">
        <v>25</v>
      </c>
      <c r="M4342" s="8">
        <v>2.3340000000000001</v>
      </c>
      <c r="N4342" t="s">
        <v>26</v>
      </c>
      <c r="O4342" s="8">
        <v>2.3340000000000001</v>
      </c>
      <c r="P4342" s="8">
        <f>EXP(-1.363+3.366*LOG(O4342,10))</f>
        <v>0.88340410488080767</v>
      </c>
      <c r="Q4342" s="8">
        <f>(2317420*100)/2442061</f>
        <v>94.896073439606951</v>
      </c>
    </row>
    <row r="4343" spans="1:17" x14ac:dyDescent="0.2">
      <c r="A4343">
        <f>YEAR(D4343)</f>
        <v>2019</v>
      </c>
      <c r="B4343" t="s">
        <v>26</v>
      </c>
      <c r="C4343" s="2" t="s">
        <v>3026</v>
      </c>
      <c r="D4343" s="1">
        <v>43720</v>
      </c>
      <c r="E4343">
        <f>MONTH(D4343)</f>
        <v>9</v>
      </c>
      <c r="F4343" s="2" t="s">
        <v>2098</v>
      </c>
      <c r="G4343" t="s">
        <v>1520</v>
      </c>
      <c r="H4343" t="s">
        <v>2268</v>
      </c>
      <c r="I4343" t="s">
        <v>22</v>
      </c>
      <c r="J4343" s="2" t="s">
        <v>42</v>
      </c>
      <c r="K4343" s="2" t="s">
        <v>3019</v>
      </c>
      <c r="L4343" t="s">
        <v>25</v>
      </c>
      <c r="M4343" s="8">
        <v>4.3073333329999999</v>
      </c>
      <c r="N4343" t="s">
        <v>26</v>
      </c>
      <c r="O4343" s="8">
        <v>4.3073333329999999</v>
      </c>
      <c r="P4343" s="8">
        <f>EXP(-1.363+3.366*LOG(O4343,10))</f>
        <v>2.1635399592704152</v>
      </c>
      <c r="Q4343" s="8">
        <f>(2317420*100)/2442061</f>
        <v>94.896073439606951</v>
      </c>
    </row>
    <row r="4344" spans="1:17" x14ac:dyDescent="0.2">
      <c r="A4344">
        <f>YEAR(D4344)</f>
        <v>2019</v>
      </c>
      <c r="B4344" t="s">
        <v>26</v>
      </c>
      <c r="C4344" s="2" t="s">
        <v>3026</v>
      </c>
      <c r="D4344" s="1">
        <v>43720</v>
      </c>
      <c r="E4344">
        <f>MONTH(D4344)</f>
        <v>9</v>
      </c>
      <c r="F4344" s="2" t="s">
        <v>2098</v>
      </c>
      <c r="G4344" t="s">
        <v>230</v>
      </c>
      <c r="H4344" t="s">
        <v>268</v>
      </c>
      <c r="I4344" t="s">
        <v>22</v>
      </c>
      <c r="J4344" s="2" t="s">
        <v>42</v>
      </c>
      <c r="K4344" s="2" t="s">
        <v>3019</v>
      </c>
      <c r="L4344" t="s">
        <v>25</v>
      </c>
      <c r="M4344" s="8">
        <v>3.5356666670000001</v>
      </c>
      <c r="N4344" t="s">
        <v>26</v>
      </c>
      <c r="O4344" s="8">
        <v>3.5356666670000001</v>
      </c>
      <c r="P4344" s="8">
        <f>EXP(-1.363+3.366*LOG(O4344,10))</f>
        <v>1.6211802664427075</v>
      </c>
      <c r="Q4344" s="8">
        <f>(2317420*100)/2442061</f>
        <v>94.896073439606951</v>
      </c>
    </row>
    <row r="4345" spans="1:17" x14ac:dyDescent="0.2">
      <c r="A4345">
        <f>YEAR(D4345)</f>
        <v>2019</v>
      </c>
      <c r="B4345" t="s">
        <v>26</v>
      </c>
      <c r="C4345" s="2" t="s">
        <v>3026</v>
      </c>
      <c r="D4345" s="1">
        <v>43720</v>
      </c>
      <c r="E4345">
        <f>MONTH(D4345)</f>
        <v>9</v>
      </c>
      <c r="F4345" s="2" t="s">
        <v>2098</v>
      </c>
      <c r="G4345" t="s">
        <v>230</v>
      </c>
      <c r="H4345" t="s">
        <v>268</v>
      </c>
      <c r="I4345" t="s">
        <v>22</v>
      </c>
      <c r="J4345" s="2" t="s">
        <v>42</v>
      </c>
      <c r="K4345" s="2" t="s">
        <v>3019</v>
      </c>
      <c r="L4345" t="s">
        <v>25</v>
      </c>
      <c r="M4345" s="8">
        <v>3.5356666670000001</v>
      </c>
      <c r="N4345" t="s">
        <v>26</v>
      </c>
      <c r="O4345" s="8">
        <v>3.5356666670000001</v>
      </c>
      <c r="P4345" s="8">
        <f>EXP(-1.363+3.366*LOG(O4345,10))</f>
        <v>1.6211802664427075</v>
      </c>
      <c r="Q4345" s="8">
        <f>(2317420*100)/2442061</f>
        <v>94.896073439606951</v>
      </c>
    </row>
    <row r="4346" spans="1:17" x14ac:dyDescent="0.2">
      <c r="A4346">
        <f>YEAR(D4346)</f>
        <v>2019</v>
      </c>
      <c r="B4346" t="s">
        <v>26</v>
      </c>
      <c r="C4346" s="2" t="s">
        <v>1540</v>
      </c>
      <c r="D4346" s="1">
        <v>43714</v>
      </c>
      <c r="E4346">
        <f>MONTH(D4346)</f>
        <v>9</v>
      </c>
      <c r="F4346" s="2" t="s">
        <v>19</v>
      </c>
      <c r="G4346" t="s">
        <v>219</v>
      </c>
      <c r="H4346" t="s">
        <v>220</v>
      </c>
      <c r="I4346" t="s">
        <v>22</v>
      </c>
      <c r="J4346" s="2" t="s">
        <v>42</v>
      </c>
      <c r="K4346" s="2" t="s">
        <v>3019</v>
      </c>
      <c r="L4346" t="s">
        <v>25</v>
      </c>
      <c r="M4346" s="10" t="s">
        <v>26</v>
      </c>
      <c r="N4346" t="s">
        <v>26</v>
      </c>
      <c r="O4346" s="10" t="s">
        <v>26</v>
      </c>
      <c r="P4346" s="8" t="s">
        <v>26</v>
      </c>
      <c r="Q4346" s="8">
        <f>(2618262*100)/2995732</f>
        <v>87.399740697766021</v>
      </c>
    </row>
    <row r="4347" spans="1:17" x14ac:dyDescent="0.2">
      <c r="A4347">
        <f>YEAR(D4347)</f>
        <v>2019</v>
      </c>
      <c r="B4347" t="s">
        <v>26</v>
      </c>
      <c r="C4347" s="2" t="s">
        <v>1540</v>
      </c>
      <c r="D4347" s="1">
        <v>43714</v>
      </c>
      <c r="E4347">
        <f>MONTH(D4347)</f>
        <v>9</v>
      </c>
      <c r="F4347" s="2" t="s">
        <v>19</v>
      </c>
      <c r="G4347" t="s">
        <v>352</v>
      </c>
      <c r="H4347" t="s">
        <v>610</v>
      </c>
      <c r="I4347" t="s">
        <v>36</v>
      </c>
      <c r="J4347" s="2" t="s">
        <v>42</v>
      </c>
      <c r="K4347" s="2" t="s">
        <v>3019</v>
      </c>
      <c r="L4347" t="s">
        <v>25</v>
      </c>
      <c r="M4347" s="8">
        <v>0.878</v>
      </c>
      <c r="N4347" t="s">
        <v>26</v>
      </c>
      <c r="O4347" s="8">
        <v>0.878</v>
      </c>
      <c r="P4347" s="8">
        <f>EXP(-1.363+3.366*LOG(O4347,10))</f>
        <v>0.2115704033642706</v>
      </c>
      <c r="Q4347" s="8">
        <f>(2618262*100)/2995732</f>
        <v>87.399740697766021</v>
      </c>
    </row>
    <row r="4348" spans="1:17" x14ac:dyDescent="0.2">
      <c r="A4348">
        <f>YEAR(D4348)</f>
        <v>2019</v>
      </c>
      <c r="B4348" t="s">
        <v>26</v>
      </c>
      <c r="C4348" s="2" t="s">
        <v>1540</v>
      </c>
      <c r="D4348" s="1">
        <v>43714</v>
      </c>
      <c r="E4348">
        <f>MONTH(D4348)</f>
        <v>9</v>
      </c>
      <c r="F4348" s="2" t="s">
        <v>19</v>
      </c>
      <c r="G4348" t="s">
        <v>230</v>
      </c>
      <c r="H4348" t="s">
        <v>268</v>
      </c>
      <c r="I4348" t="s">
        <v>22</v>
      </c>
      <c r="J4348" s="2" t="s">
        <v>42</v>
      </c>
      <c r="K4348" s="2" t="s">
        <v>3019</v>
      </c>
      <c r="L4348" t="s">
        <v>25</v>
      </c>
      <c r="M4348" s="8">
        <v>3.5356666670000001</v>
      </c>
      <c r="N4348" t="s">
        <v>26</v>
      </c>
      <c r="O4348" s="8">
        <v>3.5356666670000001</v>
      </c>
      <c r="P4348" s="8">
        <f>EXP(-1.363+3.366*LOG(O4348,10))</f>
        <v>1.6211802664427075</v>
      </c>
      <c r="Q4348" s="8">
        <f>(2618262*100)/2995732</f>
        <v>87.399740697766021</v>
      </c>
    </row>
    <row r="4349" spans="1:17" x14ac:dyDescent="0.2">
      <c r="A4349">
        <f>YEAR(D4349)</f>
        <v>2019</v>
      </c>
      <c r="B4349" t="s">
        <v>26</v>
      </c>
      <c r="C4349" s="2" t="s">
        <v>1540</v>
      </c>
      <c r="D4349" s="1">
        <v>43714</v>
      </c>
      <c r="E4349">
        <f>MONTH(D4349)</f>
        <v>9</v>
      </c>
      <c r="F4349" s="2" t="s">
        <v>19</v>
      </c>
      <c r="G4349" t="s">
        <v>219</v>
      </c>
      <c r="H4349" t="s">
        <v>220</v>
      </c>
      <c r="I4349" t="s">
        <v>22</v>
      </c>
      <c r="J4349" s="2" t="s">
        <v>42</v>
      </c>
      <c r="K4349" s="2" t="s">
        <v>3019</v>
      </c>
      <c r="L4349" t="s">
        <v>25</v>
      </c>
      <c r="M4349" s="10" t="s">
        <v>26</v>
      </c>
      <c r="N4349" t="s">
        <v>26</v>
      </c>
      <c r="O4349" s="10" t="s">
        <v>26</v>
      </c>
      <c r="P4349" s="8" t="s">
        <v>26</v>
      </c>
      <c r="Q4349" s="8">
        <f>(2618262*100)/2995732</f>
        <v>87.399740697766021</v>
      </c>
    </row>
    <row r="4350" spans="1:17" x14ac:dyDescent="0.2">
      <c r="A4350">
        <f>YEAR(D4350)</f>
        <v>2019</v>
      </c>
      <c r="B4350" t="s">
        <v>26</v>
      </c>
      <c r="C4350" s="2" t="s">
        <v>1540</v>
      </c>
      <c r="D4350" s="1">
        <v>43714</v>
      </c>
      <c r="E4350">
        <f>MONTH(D4350)</f>
        <v>9</v>
      </c>
      <c r="F4350" s="2" t="s">
        <v>19</v>
      </c>
      <c r="G4350" t="s">
        <v>332</v>
      </c>
      <c r="H4350" t="s">
        <v>327</v>
      </c>
      <c r="I4350" t="s">
        <v>22</v>
      </c>
      <c r="J4350" s="2" t="s">
        <v>42</v>
      </c>
      <c r="K4350" s="2" t="s">
        <v>3019</v>
      </c>
      <c r="L4350" t="s">
        <v>25</v>
      </c>
      <c r="M4350" s="8">
        <v>1.239333333</v>
      </c>
      <c r="N4350" t="s">
        <v>26</v>
      </c>
      <c r="O4350" s="8">
        <v>1.239333333</v>
      </c>
      <c r="P4350" s="8">
        <f>EXP(-1.363+3.366*LOG(O4350,10))</f>
        <v>0.35017272283851147</v>
      </c>
      <c r="Q4350" s="8">
        <f>(2618262*100)/2995732</f>
        <v>87.399740697766021</v>
      </c>
    </row>
    <row r="4351" spans="1:17" x14ac:dyDescent="0.2">
      <c r="A4351">
        <f>YEAR(D4351)</f>
        <v>2019</v>
      </c>
      <c r="B4351" t="s">
        <v>26</v>
      </c>
      <c r="C4351" s="2" t="s">
        <v>1552</v>
      </c>
      <c r="D4351" s="1">
        <v>43714</v>
      </c>
      <c r="E4351">
        <f>MONTH(D4351)</f>
        <v>9</v>
      </c>
      <c r="F4351" s="2" t="s">
        <v>19</v>
      </c>
      <c r="G4351" t="s">
        <v>219</v>
      </c>
      <c r="H4351" t="s">
        <v>220</v>
      </c>
      <c r="I4351" t="s">
        <v>22</v>
      </c>
      <c r="J4351" s="2" t="s">
        <v>42</v>
      </c>
      <c r="K4351" s="2" t="s">
        <v>3019</v>
      </c>
      <c r="L4351" t="s">
        <v>25</v>
      </c>
      <c r="M4351" s="10" t="s">
        <v>26</v>
      </c>
      <c r="N4351" t="s">
        <v>26</v>
      </c>
      <c r="O4351" s="10" t="s">
        <v>26</v>
      </c>
      <c r="P4351" s="8" t="s">
        <v>26</v>
      </c>
      <c r="Q4351" s="8">
        <f>(3738946*100)/3915493</f>
        <v>95.491065875995687</v>
      </c>
    </row>
    <row r="4352" spans="1:17" x14ac:dyDescent="0.2">
      <c r="A4352">
        <f>YEAR(D4352)</f>
        <v>2019</v>
      </c>
      <c r="B4352" t="s">
        <v>26</v>
      </c>
      <c r="C4352" s="2" t="s">
        <v>1552</v>
      </c>
      <c r="D4352" s="1">
        <v>43714</v>
      </c>
      <c r="E4352">
        <f>MONTH(D4352)</f>
        <v>9</v>
      </c>
      <c r="F4352" s="2" t="s">
        <v>19</v>
      </c>
      <c r="G4352" t="s">
        <v>219</v>
      </c>
      <c r="H4352" t="s">
        <v>220</v>
      </c>
      <c r="I4352" t="s">
        <v>22</v>
      </c>
      <c r="J4352" s="2" t="s">
        <v>42</v>
      </c>
      <c r="K4352" s="2" t="s">
        <v>3019</v>
      </c>
      <c r="L4352" t="s">
        <v>25</v>
      </c>
      <c r="M4352" s="10" t="s">
        <v>26</v>
      </c>
      <c r="N4352" t="s">
        <v>26</v>
      </c>
      <c r="O4352" s="10" t="s">
        <v>26</v>
      </c>
      <c r="P4352" s="8" t="s">
        <v>26</v>
      </c>
      <c r="Q4352" s="8">
        <f>(3738946*100)/3915493</f>
        <v>95.491065875995687</v>
      </c>
    </row>
    <row r="4353" spans="1:17" x14ac:dyDescent="0.2">
      <c r="A4353">
        <f>YEAR(D4353)</f>
        <v>2019</v>
      </c>
      <c r="B4353" t="s">
        <v>26</v>
      </c>
      <c r="C4353" s="2" t="s">
        <v>1552</v>
      </c>
      <c r="D4353" s="1">
        <v>43714</v>
      </c>
      <c r="E4353">
        <f>MONTH(D4353)</f>
        <v>9</v>
      </c>
      <c r="F4353" s="2" t="s">
        <v>19</v>
      </c>
      <c r="G4353" t="s">
        <v>332</v>
      </c>
      <c r="H4353" t="s">
        <v>330</v>
      </c>
      <c r="I4353" t="s">
        <v>36</v>
      </c>
      <c r="J4353" s="2" t="s">
        <v>42</v>
      </c>
      <c r="K4353" s="2" t="s">
        <v>3019</v>
      </c>
      <c r="L4353" t="s">
        <v>25</v>
      </c>
      <c r="M4353" s="8">
        <v>1.100666667</v>
      </c>
      <c r="N4353" t="s">
        <v>26</v>
      </c>
      <c r="O4353" s="8">
        <v>1.100666667</v>
      </c>
      <c r="P4353" s="8">
        <f>EXP(-1.363+3.366*LOG(O4353,10))</f>
        <v>0.29440864465042604</v>
      </c>
      <c r="Q4353" s="8">
        <f>(3738946*100)/3915493</f>
        <v>95.491065875995687</v>
      </c>
    </row>
    <row r="4354" spans="1:17" x14ac:dyDescent="0.2">
      <c r="A4354">
        <f>YEAR(D4354)</f>
        <v>2019</v>
      </c>
      <c r="B4354" t="s">
        <v>26</v>
      </c>
      <c r="C4354" s="2" t="s">
        <v>1552</v>
      </c>
      <c r="D4354" s="1">
        <v>43714</v>
      </c>
      <c r="E4354">
        <f>MONTH(D4354)</f>
        <v>9</v>
      </c>
      <c r="F4354" s="2" t="s">
        <v>19</v>
      </c>
      <c r="G4354" t="s">
        <v>352</v>
      </c>
      <c r="H4354" t="s">
        <v>975</v>
      </c>
      <c r="I4354" t="s">
        <v>36</v>
      </c>
      <c r="J4354" s="2" t="s">
        <v>42</v>
      </c>
      <c r="K4354" s="2" t="s">
        <v>3019</v>
      </c>
      <c r="L4354" t="s">
        <v>25</v>
      </c>
      <c r="M4354" s="8">
        <v>0.95199999999999996</v>
      </c>
      <c r="N4354" t="s">
        <v>26</v>
      </c>
      <c r="O4354" s="8">
        <v>0.95199999999999996</v>
      </c>
      <c r="P4354" s="8">
        <f>EXP(-1.363+3.366*LOG(O4354,10))</f>
        <v>0.23813726407794436</v>
      </c>
      <c r="Q4354" s="8">
        <f>(3738946*100)/3915493</f>
        <v>95.491065875995687</v>
      </c>
    </row>
    <row r="4355" spans="1:17" x14ac:dyDescent="0.2">
      <c r="A4355">
        <f>YEAR(D4355)</f>
        <v>2019</v>
      </c>
      <c r="B4355" t="s">
        <v>26</v>
      </c>
      <c r="C4355" s="2" t="s">
        <v>1552</v>
      </c>
      <c r="D4355" s="1">
        <v>43714</v>
      </c>
      <c r="E4355">
        <f>MONTH(D4355)</f>
        <v>9</v>
      </c>
      <c r="F4355" s="2" t="s">
        <v>19</v>
      </c>
      <c r="G4355" t="s">
        <v>230</v>
      </c>
      <c r="H4355" t="s">
        <v>268</v>
      </c>
      <c r="I4355" t="s">
        <v>22</v>
      </c>
      <c r="J4355" s="2" t="s">
        <v>42</v>
      </c>
      <c r="K4355" s="2" t="s">
        <v>3019</v>
      </c>
      <c r="L4355" t="s">
        <v>25</v>
      </c>
      <c r="M4355" s="8">
        <v>3.5356666670000001</v>
      </c>
      <c r="N4355" t="s">
        <v>26</v>
      </c>
      <c r="O4355" s="8">
        <v>3.5356666670000001</v>
      </c>
      <c r="P4355" s="8">
        <f>EXP(-1.363+3.366*LOG(O4355,10))</f>
        <v>1.6211802664427075</v>
      </c>
      <c r="Q4355" s="8">
        <f>(3738946*100)/3915493</f>
        <v>95.491065875995687</v>
      </c>
    </row>
    <row r="4356" spans="1:17" x14ac:dyDescent="0.2">
      <c r="A4356">
        <f>YEAR(D4356)</f>
        <v>2019</v>
      </c>
      <c r="B4356" t="s">
        <v>26</v>
      </c>
      <c r="C4356" s="2" t="s">
        <v>3018</v>
      </c>
      <c r="D4356" s="1">
        <v>43718</v>
      </c>
      <c r="E4356">
        <f>MONTH(D4356)</f>
        <v>9</v>
      </c>
      <c r="F4356" s="2" t="s">
        <v>19</v>
      </c>
      <c r="G4356" t="s">
        <v>332</v>
      </c>
      <c r="H4356" t="s">
        <v>330</v>
      </c>
      <c r="I4356" t="s">
        <v>22</v>
      </c>
      <c r="J4356" s="2" t="s">
        <v>42</v>
      </c>
      <c r="K4356" s="2" t="s">
        <v>3019</v>
      </c>
      <c r="L4356" t="s">
        <v>25</v>
      </c>
      <c r="M4356" s="8">
        <v>1.2170000000000001</v>
      </c>
      <c r="N4356" t="s">
        <v>26</v>
      </c>
      <c r="O4356" s="8">
        <v>1.2170000000000001</v>
      </c>
      <c r="P4356" s="8">
        <f>EXP(-1.363+3.366*LOG(O4356,10))</f>
        <v>0.34098666307598596</v>
      </c>
      <c r="Q4356" s="8">
        <f>(5996898*100)/6073515</f>
        <v>98.738506449724753</v>
      </c>
    </row>
    <row r="4357" spans="1:17" x14ac:dyDescent="0.2">
      <c r="A4357">
        <f>YEAR(D4357)</f>
        <v>2019</v>
      </c>
      <c r="B4357" t="s">
        <v>26</v>
      </c>
      <c r="C4357" s="2" t="s">
        <v>3018</v>
      </c>
      <c r="D4357" s="1">
        <v>43718</v>
      </c>
      <c r="E4357">
        <f>MONTH(D4357)</f>
        <v>9</v>
      </c>
      <c r="F4357" s="2" t="s">
        <v>19</v>
      </c>
      <c r="G4357" t="s">
        <v>352</v>
      </c>
      <c r="H4357" t="s">
        <v>1344</v>
      </c>
      <c r="I4357" t="s">
        <v>22</v>
      </c>
      <c r="J4357" s="2" t="s">
        <v>42</v>
      </c>
      <c r="K4357" s="2" t="s">
        <v>3019</v>
      </c>
      <c r="L4357" t="s">
        <v>25</v>
      </c>
      <c r="M4357" s="8">
        <v>0.91800000000000004</v>
      </c>
      <c r="N4357" t="s">
        <v>26</v>
      </c>
      <c r="O4357" s="8">
        <v>0.91800000000000004</v>
      </c>
      <c r="P4357" s="8">
        <f>EXP(-1.363+3.366*LOG(O4357,10))</f>
        <v>0.22580769814771504</v>
      </c>
      <c r="Q4357" s="8">
        <f>(5996898*100)/6073515</f>
        <v>98.738506449724753</v>
      </c>
    </row>
    <row r="4358" spans="1:17" x14ac:dyDescent="0.2">
      <c r="A4358">
        <f>YEAR(D4358)</f>
        <v>2019</v>
      </c>
      <c r="B4358" t="s">
        <v>26</v>
      </c>
      <c r="C4358" s="2" t="s">
        <v>3018</v>
      </c>
      <c r="D4358" s="1">
        <v>43718</v>
      </c>
      <c r="E4358">
        <f>MONTH(D4358)</f>
        <v>9</v>
      </c>
      <c r="F4358" s="2" t="s">
        <v>19</v>
      </c>
      <c r="G4358" t="s">
        <v>352</v>
      </c>
      <c r="H4358" t="s">
        <v>975</v>
      </c>
      <c r="I4358" t="s">
        <v>22</v>
      </c>
      <c r="J4358" s="2" t="s">
        <v>42</v>
      </c>
      <c r="K4358" s="2" t="s">
        <v>3019</v>
      </c>
      <c r="L4358" t="s">
        <v>25</v>
      </c>
      <c r="M4358" s="8">
        <v>1.0693333330000001</v>
      </c>
      <c r="N4358" t="s">
        <v>26</v>
      </c>
      <c r="O4358" s="8">
        <v>1.0693333330000001</v>
      </c>
      <c r="P4358" s="8">
        <f>EXP(-1.363+3.366*LOG(O4358,10))</f>
        <v>0.28223780327142356</v>
      </c>
      <c r="Q4358" s="8">
        <f>(5996898*100)/6073515</f>
        <v>98.738506449724753</v>
      </c>
    </row>
    <row r="4359" spans="1:17" x14ac:dyDescent="0.2">
      <c r="A4359">
        <f>YEAR(D4359)</f>
        <v>2019</v>
      </c>
      <c r="B4359" t="s">
        <v>26</v>
      </c>
      <c r="C4359" s="2" t="s">
        <v>3018</v>
      </c>
      <c r="D4359" s="1">
        <v>43718</v>
      </c>
      <c r="E4359">
        <f>MONTH(D4359)</f>
        <v>9</v>
      </c>
      <c r="F4359" s="2" t="s">
        <v>19</v>
      </c>
      <c r="G4359" t="s">
        <v>1520</v>
      </c>
      <c r="H4359" t="s">
        <v>1521</v>
      </c>
      <c r="I4359" t="s">
        <v>22</v>
      </c>
      <c r="J4359" s="2" t="s">
        <v>42</v>
      </c>
      <c r="K4359" s="2" t="s">
        <v>3019</v>
      </c>
      <c r="L4359" t="s">
        <v>25</v>
      </c>
      <c r="M4359" s="8">
        <v>2.952</v>
      </c>
      <c r="N4359" t="s">
        <v>26</v>
      </c>
      <c r="O4359" s="8">
        <v>2.952</v>
      </c>
      <c r="P4359" s="8">
        <f>EXP(-1.363+3.366*LOG(O4359,10))</f>
        <v>1.2453438103764427</v>
      </c>
      <c r="Q4359" s="8">
        <f>(5996898*100)/6073515</f>
        <v>98.738506449724753</v>
      </c>
    </row>
    <row r="4360" spans="1:17" x14ac:dyDescent="0.2">
      <c r="A4360">
        <f>YEAR(D4360)</f>
        <v>2019</v>
      </c>
      <c r="B4360" t="s">
        <v>26</v>
      </c>
      <c r="C4360" s="2" t="s">
        <v>3018</v>
      </c>
      <c r="D4360" s="1">
        <v>43718</v>
      </c>
      <c r="E4360">
        <f>MONTH(D4360)</f>
        <v>9</v>
      </c>
      <c r="F4360" s="2" t="s">
        <v>19</v>
      </c>
      <c r="G4360" t="s">
        <v>230</v>
      </c>
      <c r="H4360" t="s">
        <v>268</v>
      </c>
      <c r="I4360" t="s">
        <v>22</v>
      </c>
      <c r="J4360" s="2" t="s">
        <v>42</v>
      </c>
      <c r="K4360" s="2" t="s">
        <v>3019</v>
      </c>
      <c r="L4360" t="s">
        <v>25</v>
      </c>
      <c r="M4360" s="8">
        <v>3.5356666670000001</v>
      </c>
      <c r="N4360" t="s">
        <v>26</v>
      </c>
      <c r="O4360" s="8">
        <v>3.5356666670000001</v>
      </c>
      <c r="P4360" s="8">
        <f>EXP(-1.363+3.366*LOG(O4360,10))</f>
        <v>1.6211802664427075</v>
      </c>
      <c r="Q4360" s="8">
        <f>(5996898*100)/6073515</f>
        <v>98.738506449724753</v>
      </c>
    </row>
    <row r="4361" spans="1:17" x14ac:dyDescent="0.2">
      <c r="A4361">
        <f>YEAR(D4361)</f>
        <v>2019</v>
      </c>
      <c r="B4361" t="s">
        <v>26</v>
      </c>
      <c r="C4361" s="2" t="s">
        <v>3018</v>
      </c>
      <c r="D4361" s="1">
        <v>43718</v>
      </c>
      <c r="E4361">
        <f>MONTH(D4361)</f>
        <v>9</v>
      </c>
      <c r="F4361" s="2" t="s">
        <v>19</v>
      </c>
      <c r="G4361" t="s">
        <v>352</v>
      </c>
      <c r="H4361" t="s">
        <v>1344</v>
      </c>
      <c r="I4361" t="s">
        <v>22</v>
      </c>
      <c r="J4361" s="2" t="s">
        <v>42</v>
      </c>
      <c r="K4361" s="2" t="s">
        <v>3019</v>
      </c>
      <c r="L4361" t="s">
        <v>25</v>
      </c>
      <c r="M4361" s="8">
        <v>0.91800000000000004</v>
      </c>
      <c r="N4361" t="s">
        <v>26</v>
      </c>
      <c r="O4361" s="8">
        <v>0.91800000000000004</v>
      </c>
      <c r="P4361" s="8">
        <f>EXP(-1.363+3.366*LOG(O4361,10))</f>
        <v>0.22580769814771504</v>
      </c>
      <c r="Q4361" s="8">
        <f>(5996898*100)/6073515</f>
        <v>98.738506449724753</v>
      </c>
    </row>
    <row r="4362" spans="1:17" x14ac:dyDescent="0.2">
      <c r="A4362">
        <f>YEAR(D4362)</f>
        <v>2019</v>
      </c>
      <c r="B4362" t="s">
        <v>26</v>
      </c>
      <c r="C4362" s="2" t="s">
        <v>3018</v>
      </c>
      <c r="D4362" s="1">
        <v>43718</v>
      </c>
      <c r="E4362">
        <f>MONTH(D4362)</f>
        <v>9</v>
      </c>
      <c r="F4362" s="2" t="s">
        <v>19</v>
      </c>
      <c r="G4362" t="s">
        <v>362</v>
      </c>
      <c r="H4362" t="s">
        <v>2030</v>
      </c>
      <c r="I4362" t="s">
        <v>22</v>
      </c>
      <c r="J4362" s="2" t="s">
        <v>42</v>
      </c>
      <c r="K4362" s="2" t="s">
        <v>3019</v>
      </c>
      <c r="L4362" t="s">
        <v>25</v>
      </c>
      <c r="M4362" s="8">
        <v>1.4923333329999999</v>
      </c>
      <c r="N4362" t="s">
        <v>26</v>
      </c>
      <c r="O4362" s="8">
        <v>1.4923333329999999</v>
      </c>
      <c r="P4362" s="8">
        <f>EXP(-1.363+3.366*LOG(O4362,10))</f>
        <v>0.45943050733617752</v>
      </c>
      <c r="Q4362" s="8">
        <f>(5996898*100)/6073515</f>
        <v>98.738506449724753</v>
      </c>
    </row>
    <row r="4363" spans="1:17" x14ac:dyDescent="0.2">
      <c r="A4363">
        <f>YEAR(D4363)</f>
        <v>2019</v>
      </c>
      <c r="B4363" t="s">
        <v>26</v>
      </c>
      <c r="C4363" s="2" t="s">
        <v>3025</v>
      </c>
      <c r="D4363" s="1">
        <v>43719</v>
      </c>
      <c r="E4363">
        <f>MONTH(D4363)</f>
        <v>9</v>
      </c>
      <c r="F4363" s="2" t="s">
        <v>19</v>
      </c>
      <c r="G4363" t="s">
        <v>332</v>
      </c>
      <c r="H4363" t="s">
        <v>330</v>
      </c>
      <c r="I4363" t="s">
        <v>22</v>
      </c>
      <c r="J4363" s="2" t="s">
        <v>42</v>
      </c>
      <c r="K4363" s="2" t="s">
        <v>3019</v>
      </c>
      <c r="L4363" t="s">
        <v>25</v>
      </c>
      <c r="M4363" s="8">
        <v>1.2170000000000001</v>
      </c>
      <c r="N4363" t="s">
        <v>26</v>
      </c>
      <c r="O4363" s="8">
        <v>1.2170000000000001</v>
      </c>
      <c r="P4363" s="8">
        <f>EXP(-1.363+3.366*LOG(O4363,10))</f>
        <v>0.34098666307598596</v>
      </c>
      <c r="Q4363" s="8">
        <f>(1955155*100)/2180255</f>
        <v>89.67551960665152</v>
      </c>
    </row>
    <row r="4364" spans="1:17" x14ac:dyDescent="0.2">
      <c r="A4364">
        <f>YEAR(D4364)</f>
        <v>2019</v>
      </c>
      <c r="B4364" t="s">
        <v>26</v>
      </c>
      <c r="C4364" s="2" t="s">
        <v>3025</v>
      </c>
      <c r="D4364" s="1">
        <v>43719</v>
      </c>
      <c r="E4364">
        <f>MONTH(D4364)</f>
        <v>9</v>
      </c>
      <c r="F4364" s="2" t="s">
        <v>19</v>
      </c>
      <c r="G4364" t="s">
        <v>352</v>
      </c>
      <c r="H4364" t="s">
        <v>623</v>
      </c>
      <c r="I4364" t="s">
        <v>22</v>
      </c>
      <c r="J4364" s="2" t="s">
        <v>42</v>
      </c>
      <c r="K4364" s="2" t="s">
        <v>3019</v>
      </c>
      <c r="L4364" t="s">
        <v>25</v>
      </c>
      <c r="M4364" s="8">
        <v>1.387</v>
      </c>
      <c r="N4364" t="s">
        <v>26</v>
      </c>
      <c r="O4364" s="8">
        <v>1.387</v>
      </c>
      <c r="P4364" s="8">
        <f>EXP(-1.363+3.366*LOG(O4364,10))</f>
        <v>0.41280884754947733</v>
      </c>
      <c r="Q4364" s="8">
        <f>(1955155*100)/2180255</f>
        <v>89.67551960665152</v>
      </c>
    </row>
    <row r="4365" spans="1:17" x14ac:dyDescent="0.2">
      <c r="A4365">
        <f>YEAR(D4365)</f>
        <v>2019</v>
      </c>
      <c r="B4365" t="s">
        <v>26</v>
      </c>
      <c r="C4365" s="2" t="s">
        <v>50</v>
      </c>
      <c r="D4365" s="1">
        <v>43739</v>
      </c>
      <c r="E4365">
        <f>MONTH(D4365)</f>
        <v>10</v>
      </c>
      <c r="F4365" s="2" t="s">
        <v>2098</v>
      </c>
      <c r="G4365" t="s">
        <v>219</v>
      </c>
      <c r="H4365" t="s">
        <v>220</v>
      </c>
      <c r="I4365" t="s">
        <v>22</v>
      </c>
      <c r="J4365" s="2" t="s">
        <v>42</v>
      </c>
      <c r="K4365" s="2" t="s">
        <v>3019</v>
      </c>
      <c r="L4365" t="s">
        <v>25</v>
      </c>
      <c r="M4365" s="10" t="s">
        <v>26</v>
      </c>
      <c r="N4365" t="s">
        <v>26</v>
      </c>
      <c r="O4365" s="10" t="s">
        <v>26</v>
      </c>
      <c r="P4365" s="8" t="s">
        <v>26</v>
      </c>
      <c r="Q4365" s="8">
        <f>(4488342*100)/4914798</f>
        <v>91.323020803703429</v>
      </c>
    </row>
    <row r="4366" spans="1:17" x14ac:dyDescent="0.2">
      <c r="A4366">
        <f>YEAR(D4366)</f>
        <v>2019</v>
      </c>
      <c r="B4366" t="s">
        <v>26</v>
      </c>
      <c r="C4366" s="2" t="s">
        <v>50</v>
      </c>
      <c r="D4366" s="1">
        <v>43739</v>
      </c>
      <c r="E4366">
        <f>MONTH(D4366)</f>
        <v>10</v>
      </c>
      <c r="F4366" s="2" t="s">
        <v>2098</v>
      </c>
      <c r="G4366" t="s">
        <v>219</v>
      </c>
      <c r="H4366" t="s">
        <v>220</v>
      </c>
      <c r="I4366" t="s">
        <v>22</v>
      </c>
      <c r="J4366" s="2" t="s">
        <v>42</v>
      </c>
      <c r="K4366" s="2" t="s">
        <v>3019</v>
      </c>
      <c r="L4366" t="s">
        <v>25</v>
      </c>
      <c r="M4366" s="10" t="s">
        <v>26</v>
      </c>
      <c r="N4366" t="s">
        <v>26</v>
      </c>
      <c r="O4366" s="10" t="s">
        <v>26</v>
      </c>
      <c r="P4366" s="8" t="s">
        <v>26</v>
      </c>
      <c r="Q4366" s="8">
        <f>(4488342*100)/4914798</f>
        <v>91.323020803703429</v>
      </c>
    </row>
    <row r="4367" spans="1:17" x14ac:dyDescent="0.2">
      <c r="A4367">
        <f>YEAR(D4367)</f>
        <v>2019</v>
      </c>
      <c r="B4367" t="s">
        <v>26</v>
      </c>
      <c r="C4367" s="2" t="s">
        <v>50</v>
      </c>
      <c r="D4367" s="1">
        <v>43739</v>
      </c>
      <c r="E4367">
        <f>MONTH(D4367)</f>
        <v>10</v>
      </c>
      <c r="F4367" s="2" t="s">
        <v>2098</v>
      </c>
      <c r="G4367" t="s">
        <v>219</v>
      </c>
      <c r="H4367" t="s">
        <v>220</v>
      </c>
      <c r="I4367" t="s">
        <v>22</v>
      </c>
      <c r="J4367" s="2" t="s">
        <v>42</v>
      </c>
      <c r="K4367" s="2" t="s">
        <v>3019</v>
      </c>
      <c r="L4367" t="s">
        <v>25</v>
      </c>
      <c r="M4367" s="10" t="s">
        <v>26</v>
      </c>
      <c r="N4367" t="s">
        <v>26</v>
      </c>
      <c r="O4367" s="10" t="s">
        <v>26</v>
      </c>
      <c r="P4367" s="8" t="s">
        <v>26</v>
      </c>
      <c r="Q4367" s="8">
        <f>(4488342*100)/4914798</f>
        <v>91.323020803703429</v>
      </c>
    </row>
    <row r="4368" spans="1:17" x14ac:dyDescent="0.2">
      <c r="A4368">
        <f>YEAR(D4368)</f>
        <v>2019</v>
      </c>
      <c r="B4368" t="s">
        <v>26</v>
      </c>
      <c r="C4368" s="2" t="s">
        <v>50</v>
      </c>
      <c r="D4368" s="1">
        <v>43739</v>
      </c>
      <c r="E4368">
        <f>MONTH(D4368)</f>
        <v>10</v>
      </c>
      <c r="F4368" s="2" t="s">
        <v>2098</v>
      </c>
      <c r="G4368" t="s">
        <v>219</v>
      </c>
      <c r="H4368" t="s">
        <v>220</v>
      </c>
      <c r="I4368" t="s">
        <v>22</v>
      </c>
      <c r="J4368" s="2" t="s">
        <v>42</v>
      </c>
      <c r="K4368" s="2" t="s">
        <v>3019</v>
      </c>
      <c r="L4368" t="s">
        <v>25</v>
      </c>
      <c r="M4368" s="10" t="s">
        <v>26</v>
      </c>
      <c r="N4368" t="s">
        <v>26</v>
      </c>
      <c r="O4368" s="10" t="s">
        <v>26</v>
      </c>
      <c r="P4368" s="8" t="s">
        <v>26</v>
      </c>
      <c r="Q4368" s="8">
        <f>(4488342*100)/4914798</f>
        <v>91.323020803703429</v>
      </c>
    </row>
    <row r="4369" spans="1:17" x14ac:dyDescent="0.2">
      <c r="A4369">
        <f>YEAR(D4369)</f>
        <v>2019</v>
      </c>
      <c r="B4369" t="s">
        <v>26</v>
      </c>
      <c r="C4369" s="2" t="s">
        <v>50</v>
      </c>
      <c r="D4369" s="1">
        <v>43739</v>
      </c>
      <c r="E4369">
        <f>MONTH(D4369)</f>
        <v>10</v>
      </c>
      <c r="F4369" s="2" t="s">
        <v>2098</v>
      </c>
      <c r="G4369" t="s">
        <v>362</v>
      </c>
      <c r="H4369" t="s">
        <v>447</v>
      </c>
      <c r="I4369" t="s">
        <v>22</v>
      </c>
      <c r="J4369" s="2" t="s">
        <v>42</v>
      </c>
      <c r="K4369" s="2" t="s">
        <v>3019</v>
      </c>
      <c r="L4369" t="s">
        <v>25</v>
      </c>
      <c r="M4369" s="8">
        <v>1.421</v>
      </c>
      <c r="N4369" t="s">
        <v>26</v>
      </c>
      <c r="O4369" s="8">
        <v>1.421</v>
      </c>
      <c r="P4369" s="8">
        <f>EXP(-1.363+3.366*LOG(O4369,10))</f>
        <v>0.42768500084673816</v>
      </c>
      <c r="Q4369" s="8">
        <f>(4488342*100)/4914798</f>
        <v>91.323020803703429</v>
      </c>
    </row>
    <row r="4370" spans="1:17" x14ac:dyDescent="0.2">
      <c r="A4370">
        <f>YEAR(D4370)</f>
        <v>2019</v>
      </c>
      <c r="B4370" t="s">
        <v>26</v>
      </c>
      <c r="C4370" s="2" t="s">
        <v>50</v>
      </c>
      <c r="D4370" s="1">
        <v>43739</v>
      </c>
      <c r="E4370">
        <f>MONTH(D4370)</f>
        <v>10</v>
      </c>
      <c r="F4370" s="2" t="s">
        <v>2098</v>
      </c>
      <c r="G4370" t="s">
        <v>352</v>
      </c>
      <c r="H4370" t="s">
        <v>1459</v>
      </c>
      <c r="I4370" t="s">
        <v>36</v>
      </c>
      <c r="J4370" s="2" t="s">
        <v>42</v>
      </c>
      <c r="K4370" s="2" t="s">
        <v>3019</v>
      </c>
      <c r="L4370" t="s">
        <v>25</v>
      </c>
      <c r="M4370" s="8">
        <v>1.0913333329999999</v>
      </c>
      <c r="N4370" t="s">
        <v>26</v>
      </c>
      <c r="O4370" s="8">
        <v>1.0913333329999999</v>
      </c>
      <c r="P4370" s="8">
        <f>EXP(-1.363+3.366*LOG(O4370,10))</f>
        <v>0.29076633015787234</v>
      </c>
      <c r="Q4370" s="8">
        <f>(4488342*100)/4914798</f>
        <v>91.323020803703429</v>
      </c>
    </row>
    <row r="4371" spans="1:17" x14ac:dyDescent="0.2">
      <c r="A4371">
        <f>YEAR(D4371)</f>
        <v>2019</v>
      </c>
      <c r="B4371" t="s">
        <v>26</v>
      </c>
      <c r="C4371" s="2" t="s">
        <v>50</v>
      </c>
      <c r="D4371" s="1">
        <v>43739</v>
      </c>
      <c r="E4371">
        <f>MONTH(D4371)</f>
        <v>10</v>
      </c>
      <c r="F4371" s="2" t="s">
        <v>2098</v>
      </c>
      <c r="G4371" t="s">
        <v>352</v>
      </c>
      <c r="H4371" t="s">
        <v>1459</v>
      </c>
      <c r="I4371" t="s">
        <v>36</v>
      </c>
      <c r="J4371" s="2" t="s">
        <v>42</v>
      </c>
      <c r="K4371" s="2" t="s">
        <v>3019</v>
      </c>
      <c r="L4371" t="s">
        <v>25</v>
      </c>
      <c r="M4371" s="8">
        <v>1.0913333329999999</v>
      </c>
      <c r="N4371" t="s">
        <v>26</v>
      </c>
      <c r="O4371" s="8">
        <v>1.0913333329999999</v>
      </c>
      <c r="P4371" s="8">
        <f>EXP(-1.363+3.366*LOG(O4371,10))</f>
        <v>0.29076633015787234</v>
      </c>
      <c r="Q4371" s="8">
        <f>(4488342*100)/4914798</f>
        <v>91.323020803703429</v>
      </c>
    </row>
    <row r="4372" spans="1:17" x14ac:dyDescent="0.2">
      <c r="A4372">
        <f>YEAR(D4372)</f>
        <v>2019</v>
      </c>
      <c r="B4372" t="s">
        <v>26</v>
      </c>
      <c r="C4372" s="2" t="s">
        <v>50</v>
      </c>
      <c r="D4372" s="1">
        <v>43739</v>
      </c>
      <c r="E4372">
        <f>MONTH(D4372)</f>
        <v>10</v>
      </c>
      <c r="F4372" s="2" t="s">
        <v>2098</v>
      </c>
      <c r="G4372" t="s">
        <v>230</v>
      </c>
      <c r="H4372" t="s">
        <v>268</v>
      </c>
      <c r="I4372" t="s">
        <v>22</v>
      </c>
      <c r="J4372" s="2" t="s">
        <v>42</v>
      </c>
      <c r="K4372" s="2" t="s">
        <v>3019</v>
      </c>
      <c r="L4372" t="s">
        <v>25</v>
      </c>
      <c r="M4372" s="8">
        <v>3.5356666670000001</v>
      </c>
      <c r="N4372" t="s">
        <v>26</v>
      </c>
      <c r="O4372" s="8">
        <v>3.5356666670000001</v>
      </c>
      <c r="P4372" s="8">
        <f>EXP(-1.363+3.366*LOG(O4372,10))</f>
        <v>1.6211802664427075</v>
      </c>
      <c r="Q4372" s="8">
        <f>(4488342*100)/4914798</f>
        <v>91.323020803703429</v>
      </c>
    </row>
    <row r="4373" spans="1:17" x14ac:dyDescent="0.2">
      <c r="A4373">
        <f>YEAR(D4373)</f>
        <v>2019</v>
      </c>
      <c r="B4373" t="s">
        <v>26</v>
      </c>
      <c r="C4373" s="2" t="s">
        <v>50</v>
      </c>
      <c r="D4373" s="1">
        <v>43739</v>
      </c>
      <c r="E4373">
        <f>MONTH(D4373)</f>
        <v>10</v>
      </c>
      <c r="F4373" s="2" t="s">
        <v>2098</v>
      </c>
      <c r="G4373" t="s">
        <v>230</v>
      </c>
      <c r="H4373" t="s">
        <v>268</v>
      </c>
      <c r="I4373" t="s">
        <v>22</v>
      </c>
      <c r="J4373" s="2" t="s">
        <v>42</v>
      </c>
      <c r="K4373" s="2" t="s">
        <v>3019</v>
      </c>
      <c r="L4373" t="s">
        <v>25</v>
      </c>
      <c r="M4373" s="8">
        <v>3.5356666670000001</v>
      </c>
      <c r="N4373" t="s">
        <v>26</v>
      </c>
      <c r="O4373" s="8">
        <v>3.5356666670000001</v>
      </c>
      <c r="P4373" s="8">
        <f>EXP(-1.363+3.366*LOG(O4373,10))</f>
        <v>1.6211802664427075</v>
      </c>
      <c r="Q4373" s="8">
        <f>(4488342*100)/4914798</f>
        <v>91.323020803703429</v>
      </c>
    </row>
    <row r="4374" spans="1:17" x14ac:dyDescent="0.2">
      <c r="A4374">
        <f>YEAR(D4374)</f>
        <v>2019</v>
      </c>
      <c r="B4374" t="s">
        <v>26</v>
      </c>
      <c r="C4374" s="2" t="s">
        <v>3026</v>
      </c>
      <c r="D4374" s="1">
        <v>43740</v>
      </c>
      <c r="E4374">
        <f>MONTH(D4374)</f>
        <v>10</v>
      </c>
      <c r="F4374" s="2" t="s">
        <v>2098</v>
      </c>
      <c r="G4374" t="s">
        <v>219</v>
      </c>
      <c r="H4374" t="s">
        <v>220</v>
      </c>
      <c r="I4374" t="s">
        <v>22</v>
      </c>
      <c r="J4374" s="2" t="s">
        <v>42</v>
      </c>
      <c r="K4374" s="2" t="s">
        <v>3019</v>
      </c>
      <c r="L4374" t="s">
        <v>25</v>
      </c>
      <c r="M4374" s="10" t="s">
        <v>26</v>
      </c>
      <c r="N4374" t="s">
        <v>26</v>
      </c>
      <c r="O4374" s="10" t="s">
        <v>26</v>
      </c>
      <c r="P4374" s="8" t="s">
        <v>26</v>
      </c>
      <c r="Q4374" s="8">
        <f>(2317420*100)/2442061</f>
        <v>94.896073439606951</v>
      </c>
    </row>
    <row r="4375" spans="1:17" x14ac:dyDescent="0.2">
      <c r="A4375">
        <f>YEAR(D4375)</f>
        <v>2019</v>
      </c>
      <c r="B4375" t="s">
        <v>26</v>
      </c>
      <c r="C4375" s="2" t="s">
        <v>3026</v>
      </c>
      <c r="D4375" s="1">
        <v>43740</v>
      </c>
      <c r="E4375">
        <f>MONTH(D4375)</f>
        <v>10</v>
      </c>
      <c r="F4375" s="2" t="s">
        <v>2098</v>
      </c>
      <c r="G4375" t="s">
        <v>219</v>
      </c>
      <c r="H4375" t="s">
        <v>220</v>
      </c>
      <c r="I4375" t="s">
        <v>22</v>
      </c>
      <c r="J4375" s="2" t="s">
        <v>42</v>
      </c>
      <c r="K4375" s="2" t="s">
        <v>3019</v>
      </c>
      <c r="L4375" t="s">
        <v>25</v>
      </c>
      <c r="M4375" s="10" t="s">
        <v>26</v>
      </c>
      <c r="N4375" t="s">
        <v>26</v>
      </c>
      <c r="O4375" s="10" t="s">
        <v>26</v>
      </c>
      <c r="P4375" s="8" t="s">
        <v>26</v>
      </c>
      <c r="Q4375" s="8">
        <f>(2317420*100)/2442061</f>
        <v>94.896073439606951</v>
      </c>
    </row>
    <row r="4376" spans="1:17" x14ac:dyDescent="0.2">
      <c r="A4376">
        <f>YEAR(D4376)</f>
        <v>2019</v>
      </c>
      <c r="B4376" t="s">
        <v>26</v>
      </c>
      <c r="C4376" s="2" t="s">
        <v>3026</v>
      </c>
      <c r="D4376" s="1">
        <v>43740</v>
      </c>
      <c r="E4376">
        <f>MONTH(D4376)</f>
        <v>10</v>
      </c>
      <c r="F4376" s="2" t="s">
        <v>2098</v>
      </c>
      <c r="G4376" t="s">
        <v>230</v>
      </c>
      <c r="H4376" t="s">
        <v>268</v>
      </c>
      <c r="I4376" t="s">
        <v>22</v>
      </c>
      <c r="J4376" s="2" t="s">
        <v>42</v>
      </c>
      <c r="K4376" s="2" t="s">
        <v>3019</v>
      </c>
      <c r="L4376" t="s">
        <v>25</v>
      </c>
      <c r="M4376" s="8">
        <v>3.5356666670000001</v>
      </c>
      <c r="N4376" t="s">
        <v>26</v>
      </c>
      <c r="O4376" s="8">
        <v>3.5356666670000001</v>
      </c>
      <c r="P4376" s="8">
        <f>EXP(-1.363+3.366*LOG(O4376,10))</f>
        <v>1.6211802664427075</v>
      </c>
      <c r="Q4376" s="8">
        <f>(2317420*100)/2442061</f>
        <v>94.896073439606951</v>
      </c>
    </row>
    <row r="4377" spans="1:17" x14ac:dyDescent="0.2">
      <c r="A4377">
        <f>YEAR(D4377)</f>
        <v>2019</v>
      </c>
      <c r="B4377" t="s">
        <v>26</v>
      </c>
      <c r="C4377" s="2" t="s">
        <v>3026</v>
      </c>
      <c r="D4377" s="1">
        <v>43740</v>
      </c>
      <c r="E4377">
        <f>MONTH(D4377)</f>
        <v>10</v>
      </c>
      <c r="F4377" s="2" t="s">
        <v>2098</v>
      </c>
      <c r="G4377" t="s">
        <v>230</v>
      </c>
      <c r="H4377" t="s">
        <v>268</v>
      </c>
      <c r="I4377" t="s">
        <v>22</v>
      </c>
      <c r="J4377" s="2" t="s">
        <v>42</v>
      </c>
      <c r="K4377" s="2" t="s">
        <v>3019</v>
      </c>
      <c r="L4377" t="s">
        <v>25</v>
      </c>
      <c r="M4377" s="8">
        <v>3.5356666670000001</v>
      </c>
      <c r="N4377" t="s">
        <v>26</v>
      </c>
      <c r="O4377" s="8">
        <v>3.5356666670000001</v>
      </c>
      <c r="P4377" s="8">
        <f>EXP(-1.363+3.366*LOG(O4377,10))</f>
        <v>1.6211802664427075</v>
      </c>
      <c r="Q4377" s="8">
        <f>(2317420*100)/2442061</f>
        <v>94.896073439606951</v>
      </c>
    </row>
    <row r="4378" spans="1:17" x14ac:dyDescent="0.2">
      <c r="A4378">
        <f>YEAR(D4378)</f>
        <v>2019</v>
      </c>
      <c r="B4378" t="s">
        <v>26</v>
      </c>
      <c r="C4378" s="2" t="s">
        <v>3026</v>
      </c>
      <c r="D4378" s="1">
        <v>43740</v>
      </c>
      <c r="E4378">
        <f>MONTH(D4378)</f>
        <v>10</v>
      </c>
      <c r="F4378" s="2" t="s">
        <v>2098</v>
      </c>
      <c r="G4378" t="s">
        <v>230</v>
      </c>
      <c r="H4378" t="s">
        <v>268</v>
      </c>
      <c r="I4378" t="s">
        <v>36</v>
      </c>
      <c r="J4378" s="2" t="s">
        <v>42</v>
      </c>
      <c r="K4378" s="2" t="s">
        <v>3019</v>
      </c>
      <c r="L4378" t="s">
        <v>25</v>
      </c>
      <c r="M4378" s="8">
        <v>3.3683333329999998</v>
      </c>
      <c r="N4378" t="s">
        <v>26</v>
      </c>
      <c r="O4378" s="8">
        <v>3.3683333329999998</v>
      </c>
      <c r="P4378" s="8">
        <f>EXP(-1.363+3.366*LOG(O4378,10))</f>
        <v>1.510255893489963</v>
      </c>
      <c r="Q4378" s="8">
        <f>(2317420*100)/2442061</f>
        <v>94.896073439606951</v>
      </c>
    </row>
    <row r="4379" spans="1:17" x14ac:dyDescent="0.2">
      <c r="A4379">
        <f>YEAR(D4379)</f>
        <v>2019</v>
      </c>
      <c r="B4379" t="s">
        <v>26</v>
      </c>
      <c r="C4379" s="2" t="s">
        <v>3025</v>
      </c>
      <c r="D4379" s="1">
        <v>43740</v>
      </c>
      <c r="E4379">
        <f>MONTH(D4379)</f>
        <v>10</v>
      </c>
      <c r="F4379" s="2" t="s">
        <v>2098</v>
      </c>
      <c r="G4379" t="s">
        <v>219</v>
      </c>
      <c r="H4379" t="s">
        <v>220</v>
      </c>
      <c r="I4379" t="s">
        <v>22</v>
      </c>
      <c r="J4379" s="2" t="s">
        <v>42</v>
      </c>
      <c r="K4379" s="2" t="s">
        <v>3019</v>
      </c>
      <c r="L4379" t="s">
        <v>25</v>
      </c>
      <c r="M4379" s="10" t="s">
        <v>26</v>
      </c>
      <c r="N4379" t="s">
        <v>26</v>
      </c>
      <c r="O4379" s="10" t="s">
        <v>26</v>
      </c>
      <c r="P4379" s="8" t="s">
        <v>26</v>
      </c>
      <c r="Q4379" s="8">
        <f>(1955155*100)/2180255</f>
        <v>89.67551960665152</v>
      </c>
    </row>
    <row r="4380" spans="1:17" x14ac:dyDescent="0.2">
      <c r="A4380">
        <f>YEAR(D4380)</f>
        <v>2019</v>
      </c>
      <c r="B4380" t="s">
        <v>26</v>
      </c>
      <c r="C4380" s="2" t="s">
        <v>3026</v>
      </c>
      <c r="D4380" s="1">
        <v>43740</v>
      </c>
      <c r="E4380">
        <f>MONTH(D4380)</f>
        <v>10</v>
      </c>
      <c r="F4380" s="2" t="s">
        <v>2098</v>
      </c>
      <c r="G4380" t="s">
        <v>230</v>
      </c>
      <c r="H4380" t="s">
        <v>268</v>
      </c>
      <c r="I4380" t="s">
        <v>36</v>
      </c>
      <c r="J4380" s="2" t="s">
        <v>42</v>
      </c>
      <c r="K4380" s="2" t="s">
        <v>3019</v>
      </c>
      <c r="L4380" t="s">
        <v>25</v>
      </c>
      <c r="M4380" s="8">
        <v>3.3683333329999998</v>
      </c>
      <c r="N4380" t="s">
        <v>26</v>
      </c>
      <c r="O4380" s="8">
        <v>3.3683333329999998</v>
      </c>
      <c r="P4380" s="8">
        <f>EXP(-1.363+3.366*LOG(O4380,10))</f>
        <v>1.510255893489963</v>
      </c>
      <c r="Q4380" s="8">
        <f>(2317420*100)/2442061</f>
        <v>94.896073439606951</v>
      </c>
    </row>
    <row r="4381" spans="1:17" x14ac:dyDescent="0.2">
      <c r="A4381">
        <f>YEAR(D4381)</f>
        <v>2019</v>
      </c>
      <c r="B4381" t="s">
        <v>26</v>
      </c>
      <c r="C4381" s="2" t="s">
        <v>3026</v>
      </c>
      <c r="D4381" s="1">
        <v>43740</v>
      </c>
      <c r="E4381">
        <f>MONTH(D4381)</f>
        <v>10</v>
      </c>
      <c r="F4381" s="2" t="s">
        <v>2098</v>
      </c>
      <c r="G4381" t="s">
        <v>230</v>
      </c>
      <c r="H4381" t="s">
        <v>268</v>
      </c>
      <c r="I4381" t="s">
        <v>22</v>
      </c>
      <c r="J4381" s="2" t="s">
        <v>42</v>
      </c>
      <c r="K4381" s="2" t="s">
        <v>3019</v>
      </c>
      <c r="L4381" t="s">
        <v>25</v>
      </c>
      <c r="M4381" s="8">
        <v>3.5356666670000001</v>
      </c>
      <c r="N4381" t="s">
        <v>26</v>
      </c>
      <c r="O4381" s="8">
        <v>3.5356666670000001</v>
      </c>
      <c r="P4381" s="8">
        <f>EXP(-1.363+3.366*LOG(O4381,10))</f>
        <v>1.6211802664427075</v>
      </c>
      <c r="Q4381" s="8">
        <f>(2317420*100)/2442061</f>
        <v>94.896073439606951</v>
      </c>
    </row>
    <row r="4382" spans="1:17" x14ac:dyDescent="0.2">
      <c r="A4382">
        <f>YEAR(D4382)</f>
        <v>2019</v>
      </c>
      <c r="B4382" t="s">
        <v>26</v>
      </c>
      <c r="C4382" s="2" t="s">
        <v>3026</v>
      </c>
      <c r="D4382" s="1">
        <v>43740</v>
      </c>
      <c r="E4382">
        <f>MONTH(D4382)</f>
        <v>10</v>
      </c>
      <c r="F4382" s="2" t="s">
        <v>2098</v>
      </c>
      <c r="G4382" t="s">
        <v>230</v>
      </c>
      <c r="H4382" t="s">
        <v>268</v>
      </c>
      <c r="I4382" t="s">
        <v>36</v>
      </c>
      <c r="J4382" s="2" t="s">
        <v>42</v>
      </c>
      <c r="K4382" s="2" t="s">
        <v>3019</v>
      </c>
      <c r="L4382" t="s">
        <v>25</v>
      </c>
      <c r="M4382" s="8">
        <v>3.3683333329999998</v>
      </c>
      <c r="N4382" t="s">
        <v>26</v>
      </c>
      <c r="O4382" s="8">
        <v>3.3683333329999998</v>
      </c>
      <c r="P4382" s="8">
        <f>EXP(-1.363+3.366*LOG(O4382,10))</f>
        <v>1.510255893489963</v>
      </c>
      <c r="Q4382" s="8">
        <f>(2317420*100)/2442061</f>
        <v>94.896073439606951</v>
      </c>
    </row>
    <row r="4383" spans="1:17" x14ac:dyDescent="0.2">
      <c r="A4383">
        <f>YEAR(D4383)</f>
        <v>2019</v>
      </c>
      <c r="B4383" t="s">
        <v>26</v>
      </c>
      <c r="C4383" s="2" t="s">
        <v>3026</v>
      </c>
      <c r="D4383" s="1">
        <v>43740</v>
      </c>
      <c r="E4383">
        <f>MONTH(D4383)</f>
        <v>10</v>
      </c>
      <c r="F4383" s="2" t="s">
        <v>2098</v>
      </c>
      <c r="G4383" t="s">
        <v>230</v>
      </c>
      <c r="H4383" t="s">
        <v>268</v>
      </c>
      <c r="I4383" t="s">
        <v>22</v>
      </c>
      <c r="J4383" s="2" t="s">
        <v>42</v>
      </c>
      <c r="K4383" s="2" t="s">
        <v>3019</v>
      </c>
      <c r="L4383" t="s">
        <v>25</v>
      </c>
      <c r="M4383" s="8">
        <v>3.5356666670000001</v>
      </c>
      <c r="N4383" t="s">
        <v>26</v>
      </c>
      <c r="O4383" s="8">
        <v>3.5356666670000001</v>
      </c>
      <c r="P4383" s="8">
        <f>EXP(-1.363+3.366*LOG(O4383,10))</f>
        <v>1.6211802664427075</v>
      </c>
      <c r="Q4383" s="8">
        <f>(2317420*100)/2442061</f>
        <v>94.896073439606951</v>
      </c>
    </row>
    <row r="4384" spans="1:17" x14ac:dyDescent="0.2">
      <c r="A4384">
        <f>YEAR(D4384)</f>
        <v>2019</v>
      </c>
      <c r="B4384" t="s">
        <v>26</v>
      </c>
      <c r="C4384" s="2" t="s">
        <v>3026</v>
      </c>
      <c r="D4384" s="1">
        <v>43740</v>
      </c>
      <c r="E4384">
        <f>MONTH(D4384)</f>
        <v>10</v>
      </c>
      <c r="F4384" s="2" t="s">
        <v>2098</v>
      </c>
      <c r="G4384" t="s">
        <v>230</v>
      </c>
      <c r="H4384" t="s">
        <v>268</v>
      </c>
      <c r="I4384" t="s">
        <v>22</v>
      </c>
      <c r="J4384" s="2" t="s">
        <v>42</v>
      </c>
      <c r="K4384" s="2" t="s">
        <v>3019</v>
      </c>
      <c r="L4384" t="s">
        <v>25</v>
      </c>
      <c r="M4384" s="8">
        <v>3.5356666670000001</v>
      </c>
      <c r="N4384" t="s">
        <v>26</v>
      </c>
      <c r="O4384" s="8">
        <v>3.5356666670000001</v>
      </c>
      <c r="P4384" s="8">
        <f>EXP(-1.363+3.366*LOG(O4384,10))</f>
        <v>1.6211802664427075</v>
      </c>
      <c r="Q4384" s="8">
        <f>(2317420*100)/2442061</f>
        <v>94.896073439606951</v>
      </c>
    </row>
    <row r="4385" spans="1:17" x14ac:dyDescent="0.2">
      <c r="A4385">
        <f>YEAR(D4385)</f>
        <v>2019</v>
      </c>
      <c r="B4385" t="s">
        <v>26</v>
      </c>
      <c r="C4385" s="2" t="s">
        <v>3026</v>
      </c>
      <c r="D4385" s="1">
        <v>43740</v>
      </c>
      <c r="E4385">
        <f>MONTH(D4385)</f>
        <v>10</v>
      </c>
      <c r="F4385" s="2" t="s">
        <v>2098</v>
      </c>
      <c r="G4385" t="s">
        <v>230</v>
      </c>
      <c r="H4385" t="s">
        <v>268</v>
      </c>
      <c r="I4385" t="s">
        <v>22</v>
      </c>
      <c r="J4385" s="2" t="s">
        <v>42</v>
      </c>
      <c r="K4385" s="2" t="s">
        <v>3019</v>
      </c>
      <c r="L4385" t="s">
        <v>25</v>
      </c>
      <c r="M4385" s="8">
        <v>3.5356666670000001</v>
      </c>
      <c r="N4385" t="s">
        <v>26</v>
      </c>
      <c r="O4385" s="8">
        <v>3.5356666670000001</v>
      </c>
      <c r="P4385" s="8">
        <f>EXP(-1.363+3.366*LOG(O4385,10))</f>
        <v>1.6211802664427075</v>
      </c>
      <c r="Q4385" s="8">
        <f>(2317420*100)/2442061</f>
        <v>94.896073439606951</v>
      </c>
    </row>
    <row r="4386" spans="1:17" x14ac:dyDescent="0.2">
      <c r="A4386">
        <f>YEAR(D4386)</f>
        <v>2019</v>
      </c>
      <c r="B4386" t="s">
        <v>26</v>
      </c>
      <c r="C4386" s="2" t="s">
        <v>3025</v>
      </c>
      <c r="D4386" s="1">
        <v>43740</v>
      </c>
      <c r="E4386">
        <f>MONTH(D4386)</f>
        <v>10</v>
      </c>
      <c r="F4386" s="2" t="s">
        <v>2098</v>
      </c>
      <c r="G4386" t="s">
        <v>352</v>
      </c>
      <c r="H4386" t="s">
        <v>1459</v>
      </c>
      <c r="I4386" t="s">
        <v>22</v>
      </c>
      <c r="J4386" s="2" t="s">
        <v>42</v>
      </c>
      <c r="K4386" s="2" t="s">
        <v>3019</v>
      </c>
      <c r="L4386" t="s">
        <v>25</v>
      </c>
      <c r="M4386" s="8">
        <v>1.1910000000000001</v>
      </c>
      <c r="N4386" t="s">
        <v>26</v>
      </c>
      <c r="O4386" s="8">
        <v>1.1910000000000001</v>
      </c>
      <c r="P4386" s="8">
        <f>EXP(-1.363+3.366*LOG(O4386,10))</f>
        <v>0.33039016297752993</v>
      </c>
      <c r="Q4386" s="8">
        <f>(1955155*100)/2180255</f>
        <v>89.67551960665152</v>
      </c>
    </row>
    <row r="4387" spans="1:17" x14ac:dyDescent="0.2">
      <c r="A4387">
        <f>YEAR(D4387)</f>
        <v>2019</v>
      </c>
      <c r="B4387" t="s">
        <v>26</v>
      </c>
      <c r="C4387" s="2" t="s">
        <v>3022</v>
      </c>
      <c r="D4387" s="1">
        <v>43741</v>
      </c>
      <c r="E4387">
        <f>MONTH(D4387)</f>
        <v>10</v>
      </c>
      <c r="F4387" s="2" t="s">
        <v>2098</v>
      </c>
      <c r="G4387" t="s">
        <v>219</v>
      </c>
      <c r="H4387" t="s">
        <v>220</v>
      </c>
      <c r="I4387" t="s">
        <v>22</v>
      </c>
      <c r="J4387" s="2" t="s">
        <v>42</v>
      </c>
      <c r="K4387" s="2" t="s">
        <v>3019</v>
      </c>
      <c r="L4387" t="s">
        <v>25</v>
      </c>
      <c r="M4387" s="10" t="s">
        <v>26</v>
      </c>
      <c r="N4387" t="s">
        <v>26</v>
      </c>
      <c r="O4387" s="10" t="s">
        <v>26</v>
      </c>
      <c r="P4387" s="8" t="s">
        <v>26</v>
      </c>
      <c r="Q4387" s="8">
        <f>(4437920*100)/4638971</f>
        <v>95.666043180696747</v>
      </c>
    </row>
    <row r="4388" spans="1:17" x14ac:dyDescent="0.2">
      <c r="A4388">
        <f>YEAR(D4388)</f>
        <v>2019</v>
      </c>
      <c r="B4388" t="s">
        <v>26</v>
      </c>
      <c r="C4388" s="2" t="s">
        <v>3022</v>
      </c>
      <c r="D4388" s="1">
        <v>43741</v>
      </c>
      <c r="E4388">
        <f>MONTH(D4388)</f>
        <v>10</v>
      </c>
      <c r="F4388" s="2" t="s">
        <v>2098</v>
      </c>
      <c r="G4388" t="s">
        <v>219</v>
      </c>
      <c r="H4388" t="s">
        <v>220</v>
      </c>
      <c r="I4388" t="s">
        <v>22</v>
      </c>
      <c r="J4388" s="2" t="s">
        <v>42</v>
      </c>
      <c r="K4388" s="2" t="s">
        <v>3019</v>
      </c>
      <c r="L4388" t="s">
        <v>25</v>
      </c>
      <c r="M4388" s="10" t="s">
        <v>26</v>
      </c>
      <c r="N4388" t="s">
        <v>26</v>
      </c>
      <c r="O4388" s="10" t="s">
        <v>26</v>
      </c>
      <c r="P4388" s="8" t="s">
        <v>26</v>
      </c>
      <c r="Q4388" s="8">
        <f>(4437920*100)/4638971</f>
        <v>95.666043180696747</v>
      </c>
    </row>
    <row r="4389" spans="1:17" x14ac:dyDescent="0.2">
      <c r="A4389">
        <f>YEAR(D4389)</f>
        <v>2019</v>
      </c>
      <c r="B4389" t="s">
        <v>26</v>
      </c>
      <c r="C4389" s="2" t="s">
        <v>3022</v>
      </c>
      <c r="D4389" s="1">
        <v>43741</v>
      </c>
      <c r="E4389">
        <f>MONTH(D4389)</f>
        <v>10</v>
      </c>
      <c r="F4389" s="2" t="s">
        <v>2098</v>
      </c>
      <c r="G4389" t="s">
        <v>230</v>
      </c>
      <c r="H4389" t="s">
        <v>268</v>
      </c>
      <c r="I4389" t="s">
        <v>22</v>
      </c>
      <c r="J4389" s="2" t="s">
        <v>42</v>
      </c>
      <c r="K4389" s="2" t="s">
        <v>3019</v>
      </c>
      <c r="L4389" t="s">
        <v>25</v>
      </c>
      <c r="M4389" s="8">
        <v>3.5356666670000001</v>
      </c>
      <c r="N4389" t="s">
        <v>26</v>
      </c>
      <c r="O4389" s="8">
        <v>3.5356666670000001</v>
      </c>
      <c r="P4389" s="8">
        <f>EXP(-1.363+3.366*LOG(O4389,10))</f>
        <v>1.6211802664427075</v>
      </c>
      <c r="Q4389" s="8">
        <f>(4437920*100)/4638971</f>
        <v>95.666043180696747</v>
      </c>
    </row>
    <row r="4390" spans="1:17" x14ac:dyDescent="0.2">
      <c r="A4390">
        <f>YEAR(D4390)</f>
        <v>2019</v>
      </c>
      <c r="B4390" t="s">
        <v>26</v>
      </c>
      <c r="C4390" s="2" t="s">
        <v>3022</v>
      </c>
      <c r="D4390" s="1">
        <v>43741</v>
      </c>
      <c r="E4390">
        <f>MONTH(D4390)</f>
        <v>10</v>
      </c>
      <c r="F4390" s="2" t="s">
        <v>2098</v>
      </c>
      <c r="G4390" t="s">
        <v>230</v>
      </c>
      <c r="H4390" t="s">
        <v>268</v>
      </c>
      <c r="I4390" t="s">
        <v>36</v>
      </c>
      <c r="J4390" s="2" t="s">
        <v>42</v>
      </c>
      <c r="K4390" s="2" t="s">
        <v>3019</v>
      </c>
      <c r="L4390" t="s">
        <v>25</v>
      </c>
      <c r="M4390" s="8">
        <v>3.3683333329999998</v>
      </c>
      <c r="N4390" t="s">
        <v>26</v>
      </c>
      <c r="O4390" s="8">
        <v>3.3683333329999998</v>
      </c>
      <c r="P4390" s="8">
        <f>EXP(-1.363+3.366*LOG(O4390,10))</f>
        <v>1.510255893489963</v>
      </c>
      <c r="Q4390" s="8">
        <f>(4437920*100)/4638971</f>
        <v>95.666043180696747</v>
      </c>
    </row>
    <row r="4391" spans="1:17" x14ac:dyDescent="0.2">
      <c r="A4391">
        <f>YEAR(D4391)</f>
        <v>2019</v>
      </c>
      <c r="B4391" t="s">
        <v>26</v>
      </c>
      <c r="C4391" s="2" t="s">
        <v>3022</v>
      </c>
      <c r="D4391" s="1">
        <v>43741</v>
      </c>
      <c r="E4391">
        <f>MONTH(D4391)</f>
        <v>10</v>
      </c>
      <c r="F4391" s="2" t="s">
        <v>2098</v>
      </c>
      <c r="G4391" t="s">
        <v>219</v>
      </c>
      <c r="H4391" t="s">
        <v>220</v>
      </c>
      <c r="I4391" t="s">
        <v>22</v>
      </c>
      <c r="J4391" s="2" t="s">
        <v>42</v>
      </c>
      <c r="K4391" s="2" t="s">
        <v>3019</v>
      </c>
      <c r="L4391" t="s">
        <v>25</v>
      </c>
      <c r="M4391" s="10" t="s">
        <v>26</v>
      </c>
      <c r="N4391" t="s">
        <v>26</v>
      </c>
      <c r="O4391" s="10" t="s">
        <v>26</v>
      </c>
      <c r="P4391" s="8" t="s">
        <v>26</v>
      </c>
      <c r="Q4391" s="8">
        <f>(4437920*100)/4638971</f>
        <v>95.666043180696747</v>
      </c>
    </row>
    <row r="4392" spans="1:17" x14ac:dyDescent="0.2">
      <c r="A4392">
        <f>YEAR(D4392)</f>
        <v>2019</v>
      </c>
      <c r="B4392" t="s">
        <v>26</v>
      </c>
      <c r="C4392" s="2" t="s">
        <v>3022</v>
      </c>
      <c r="D4392" s="1">
        <v>43741</v>
      </c>
      <c r="E4392">
        <f>MONTH(D4392)</f>
        <v>10</v>
      </c>
      <c r="F4392" s="2" t="s">
        <v>2098</v>
      </c>
      <c r="G4392" t="s">
        <v>230</v>
      </c>
      <c r="H4392" t="s">
        <v>268</v>
      </c>
      <c r="I4392" t="s">
        <v>22</v>
      </c>
      <c r="J4392" s="2" t="s">
        <v>42</v>
      </c>
      <c r="K4392" s="2" t="s">
        <v>3019</v>
      </c>
      <c r="L4392" t="s">
        <v>25</v>
      </c>
      <c r="M4392" s="8">
        <v>3.5356666670000001</v>
      </c>
      <c r="N4392" t="s">
        <v>26</v>
      </c>
      <c r="O4392" s="8">
        <v>3.5356666670000001</v>
      </c>
      <c r="P4392" s="8">
        <f>EXP(-1.363+3.366*LOG(O4392,10))</f>
        <v>1.6211802664427075</v>
      </c>
      <c r="Q4392" s="8">
        <f>(4437920*100)/4638971</f>
        <v>95.666043180696747</v>
      </c>
    </row>
    <row r="4393" spans="1:17" x14ac:dyDescent="0.2">
      <c r="A4393">
        <f>YEAR(D4393)</f>
        <v>2019</v>
      </c>
      <c r="B4393" t="s">
        <v>26</v>
      </c>
      <c r="C4393" s="2" t="s">
        <v>3022</v>
      </c>
      <c r="D4393" s="1">
        <v>43741</v>
      </c>
      <c r="E4393">
        <f>MONTH(D4393)</f>
        <v>10</v>
      </c>
      <c r="F4393" s="2" t="s">
        <v>2098</v>
      </c>
      <c r="G4393" t="s">
        <v>230</v>
      </c>
      <c r="H4393" t="s">
        <v>259</v>
      </c>
      <c r="I4393" t="s">
        <v>36</v>
      </c>
      <c r="J4393" s="2" t="s">
        <v>42</v>
      </c>
      <c r="K4393" s="2" t="s">
        <v>3019</v>
      </c>
      <c r="L4393" t="s">
        <v>25</v>
      </c>
      <c r="M4393" s="8">
        <v>4.745333333333333</v>
      </c>
      <c r="N4393" t="s">
        <v>26</v>
      </c>
      <c r="O4393" s="8">
        <v>4.745333333333333</v>
      </c>
      <c r="P4393" s="8">
        <f>EXP(-1.363+3.366*LOG(O4393,10))</f>
        <v>2.4925687246325761</v>
      </c>
      <c r="Q4393" s="8">
        <f>(4437920*100)/4638971</f>
        <v>95.666043180696747</v>
      </c>
    </row>
    <row r="4394" spans="1:17" x14ac:dyDescent="0.2">
      <c r="A4394">
        <f>YEAR(D4394)</f>
        <v>2019</v>
      </c>
      <c r="B4394" t="s">
        <v>26</v>
      </c>
      <c r="C4394" s="2" t="s">
        <v>3022</v>
      </c>
      <c r="D4394" s="1">
        <v>43741</v>
      </c>
      <c r="E4394">
        <f>MONTH(D4394)</f>
        <v>10</v>
      </c>
      <c r="F4394" s="2" t="s">
        <v>2098</v>
      </c>
      <c r="G4394" t="s">
        <v>230</v>
      </c>
      <c r="H4394" t="s">
        <v>259</v>
      </c>
      <c r="I4394" t="s">
        <v>36</v>
      </c>
      <c r="J4394" s="2" t="s">
        <v>42</v>
      </c>
      <c r="K4394" s="2" t="s">
        <v>3019</v>
      </c>
      <c r="L4394" t="s">
        <v>25</v>
      </c>
      <c r="M4394" s="8">
        <v>4.745333333333333</v>
      </c>
      <c r="N4394" t="s">
        <v>26</v>
      </c>
      <c r="O4394" s="8">
        <v>4.745333333333333</v>
      </c>
      <c r="P4394" s="8">
        <f>EXP(-1.363+3.366*LOG(O4394,10))</f>
        <v>2.4925687246325761</v>
      </c>
      <c r="Q4394" s="8">
        <f>(4437920*100)/4638971</f>
        <v>95.666043180696747</v>
      </c>
    </row>
    <row r="4395" spans="1:17" x14ac:dyDescent="0.2">
      <c r="A4395">
        <f>YEAR(D4395)</f>
        <v>2019</v>
      </c>
      <c r="B4395" t="s">
        <v>26</v>
      </c>
      <c r="C4395" s="2" t="s">
        <v>3022</v>
      </c>
      <c r="D4395" s="1">
        <v>43741</v>
      </c>
      <c r="E4395">
        <f>MONTH(D4395)</f>
        <v>10</v>
      </c>
      <c r="F4395" s="2" t="s">
        <v>2098</v>
      </c>
      <c r="G4395" t="s">
        <v>230</v>
      </c>
      <c r="H4395" t="s">
        <v>259</v>
      </c>
      <c r="I4395" t="s">
        <v>36</v>
      </c>
      <c r="J4395" s="2" t="s">
        <v>42</v>
      </c>
      <c r="K4395" s="2" t="s">
        <v>3019</v>
      </c>
      <c r="L4395" t="s">
        <v>25</v>
      </c>
      <c r="M4395" s="8">
        <v>4.745333333333333</v>
      </c>
      <c r="N4395" t="s">
        <v>26</v>
      </c>
      <c r="O4395" s="8">
        <v>4.745333333333333</v>
      </c>
      <c r="P4395" s="8">
        <f>EXP(-1.363+3.366*LOG(O4395,10))</f>
        <v>2.4925687246325761</v>
      </c>
      <c r="Q4395" s="8">
        <f>(4437920*100)/4638971</f>
        <v>95.666043180696747</v>
      </c>
    </row>
    <row r="4396" spans="1:17" x14ac:dyDescent="0.2">
      <c r="A4396">
        <f>YEAR(D4396)</f>
        <v>2019</v>
      </c>
      <c r="B4396" t="s">
        <v>26</v>
      </c>
      <c r="C4396" s="2" t="s">
        <v>3022</v>
      </c>
      <c r="D4396" s="1">
        <v>43741</v>
      </c>
      <c r="E4396">
        <f>MONTH(D4396)</f>
        <v>10</v>
      </c>
      <c r="F4396" s="2" t="s">
        <v>2098</v>
      </c>
      <c r="G4396" t="s">
        <v>230</v>
      </c>
      <c r="H4396" t="s">
        <v>268</v>
      </c>
      <c r="I4396" t="s">
        <v>36</v>
      </c>
      <c r="J4396" s="2" t="s">
        <v>42</v>
      </c>
      <c r="K4396" s="2" t="s">
        <v>3019</v>
      </c>
      <c r="L4396" t="s">
        <v>25</v>
      </c>
      <c r="M4396" s="8">
        <v>3.3683333329999998</v>
      </c>
      <c r="N4396" t="s">
        <v>26</v>
      </c>
      <c r="O4396" s="8">
        <v>3.3683333329999998</v>
      </c>
      <c r="P4396" s="8">
        <f>EXP(-1.363+3.366*LOG(O4396,10))</f>
        <v>1.510255893489963</v>
      </c>
      <c r="Q4396" s="8">
        <f>(4437920*100)/4638971</f>
        <v>95.666043180696747</v>
      </c>
    </row>
    <row r="4397" spans="1:17" x14ac:dyDescent="0.2">
      <c r="A4397">
        <f>YEAR(D4397)</f>
        <v>2019</v>
      </c>
      <c r="B4397" t="s">
        <v>26</v>
      </c>
      <c r="C4397" s="2" t="s">
        <v>3018</v>
      </c>
      <c r="D4397" s="1">
        <v>43745</v>
      </c>
      <c r="E4397">
        <f>MONTH(D4397)</f>
        <v>10</v>
      </c>
      <c r="F4397" s="2" t="s">
        <v>2098</v>
      </c>
      <c r="G4397" t="s">
        <v>219</v>
      </c>
      <c r="H4397" t="s">
        <v>220</v>
      </c>
      <c r="I4397" t="s">
        <v>22</v>
      </c>
      <c r="J4397" s="2" t="s">
        <v>42</v>
      </c>
      <c r="K4397" s="2" t="s">
        <v>3019</v>
      </c>
      <c r="L4397" t="s">
        <v>25</v>
      </c>
      <c r="M4397" s="10" t="s">
        <v>26</v>
      </c>
      <c r="N4397" t="s">
        <v>26</v>
      </c>
      <c r="O4397" s="10" t="s">
        <v>26</v>
      </c>
      <c r="P4397" s="8" t="s">
        <v>26</v>
      </c>
      <c r="Q4397" s="8">
        <f>(5996898*100)/6073515</f>
        <v>98.738506449724753</v>
      </c>
    </row>
    <row r="4398" spans="1:17" x14ac:dyDescent="0.2">
      <c r="A4398">
        <f>YEAR(D4398)</f>
        <v>2019</v>
      </c>
      <c r="B4398" t="s">
        <v>26</v>
      </c>
      <c r="C4398" s="2" t="s">
        <v>3018</v>
      </c>
      <c r="D4398" s="1">
        <v>43745</v>
      </c>
      <c r="E4398">
        <f>MONTH(D4398)</f>
        <v>10</v>
      </c>
      <c r="F4398" s="2" t="s">
        <v>2098</v>
      </c>
      <c r="G4398" t="s">
        <v>230</v>
      </c>
      <c r="H4398" t="s">
        <v>255</v>
      </c>
      <c r="I4398" t="s">
        <v>22</v>
      </c>
      <c r="J4398" s="2" t="s">
        <v>42</v>
      </c>
      <c r="K4398" s="2" t="s">
        <v>3019</v>
      </c>
      <c r="L4398" t="s">
        <v>25</v>
      </c>
      <c r="M4398" s="8">
        <v>3.1943333329999999</v>
      </c>
      <c r="N4398" t="s">
        <v>26</v>
      </c>
      <c r="O4398" s="8">
        <v>3.1943333329999999</v>
      </c>
      <c r="P4398" s="8">
        <f>EXP(-1.363+3.366*LOG(O4398,10))</f>
        <v>1.3975823704079444</v>
      </c>
      <c r="Q4398" s="8">
        <f>(5996898*100)/6073515</f>
        <v>98.738506449724753</v>
      </c>
    </row>
    <row r="4399" spans="1:17" x14ac:dyDescent="0.2">
      <c r="A4399">
        <f>YEAR(D4399)</f>
        <v>2019</v>
      </c>
      <c r="B4399" t="s">
        <v>26</v>
      </c>
      <c r="C4399" s="2" t="s">
        <v>3018</v>
      </c>
      <c r="D4399" s="1">
        <v>43745</v>
      </c>
      <c r="E4399">
        <f>MONTH(D4399)</f>
        <v>10</v>
      </c>
      <c r="F4399" s="2" t="s">
        <v>2098</v>
      </c>
      <c r="G4399" t="s">
        <v>219</v>
      </c>
      <c r="H4399" t="s">
        <v>220</v>
      </c>
      <c r="I4399" t="s">
        <v>22</v>
      </c>
      <c r="J4399" s="2" t="s">
        <v>42</v>
      </c>
      <c r="K4399" s="2" t="s">
        <v>3019</v>
      </c>
      <c r="L4399" t="s">
        <v>25</v>
      </c>
      <c r="M4399" s="10" t="s">
        <v>26</v>
      </c>
      <c r="N4399" t="s">
        <v>26</v>
      </c>
      <c r="O4399" s="10" t="s">
        <v>26</v>
      </c>
      <c r="P4399" s="8" t="s">
        <v>26</v>
      </c>
      <c r="Q4399" s="8">
        <f>(5996898*100)/6073515</f>
        <v>98.738506449724753</v>
      </c>
    </row>
    <row r="4400" spans="1:17" x14ac:dyDescent="0.2">
      <c r="A4400">
        <f>YEAR(D4400)</f>
        <v>2019</v>
      </c>
      <c r="B4400" t="s">
        <v>26</v>
      </c>
      <c r="C4400" s="2" t="s">
        <v>3018</v>
      </c>
      <c r="D4400" s="1">
        <v>43745</v>
      </c>
      <c r="E4400">
        <f>MONTH(D4400)</f>
        <v>10</v>
      </c>
      <c r="F4400" s="2" t="s">
        <v>2098</v>
      </c>
      <c r="G4400" t="s">
        <v>219</v>
      </c>
      <c r="H4400" t="s">
        <v>220</v>
      </c>
      <c r="I4400" t="s">
        <v>22</v>
      </c>
      <c r="J4400" s="2" t="s">
        <v>42</v>
      </c>
      <c r="K4400" s="2" t="s">
        <v>3019</v>
      </c>
      <c r="L4400" t="s">
        <v>25</v>
      </c>
      <c r="M4400" s="10" t="s">
        <v>26</v>
      </c>
      <c r="N4400" t="s">
        <v>26</v>
      </c>
      <c r="O4400" s="10" t="s">
        <v>26</v>
      </c>
      <c r="P4400" s="8" t="s">
        <v>26</v>
      </c>
      <c r="Q4400" s="8">
        <f>(5996898*100)/6073515</f>
        <v>98.738506449724753</v>
      </c>
    </row>
    <row r="4401" spans="1:17" x14ac:dyDescent="0.2">
      <c r="A4401">
        <f>YEAR(D4401)</f>
        <v>2019</v>
      </c>
      <c r="B4401" t="s">
        <v>26</v>
      </c>
      <c r="C4401" s="2" t="s">
        <v>3018</v>
      </c>
      <c r="D4401" s="1">
        <v>43745</v>
      </c>
      <c r="E4401">
        <f>MONTH(D4401)</f>
        <v>10</v>
      </c>
      <c r="F4401" s="2" t="s">
        <v>2098</v>
      </c>
      <c r="G4401" t="s">
        <v>219</v>
      </c>
      <c r="H4401" t="s">
        <v>220</v>
      </c>
      <c r="I4401" t="s">
        <v>22</v>
      </c>
      <c r="J4401" s="2" t="s">
        <v>42</v>
      </c>
      <c r="K4401" s="2" t="s">
        <v>3019</v>
      </c>
      <c r="L4401" t="s">
        <v>25</v>
      </c>
      <c r="M4401" s="10" t="s">
        <v>26</v>
      </c>
      <c r="N4401" t="s">
        <v>26</v>
      </c>
      <c r="O4401" s="10" t="s">
        <v>26</v>
      </c>
      <c r="P4401" s="8" t="s">
        <v>26</v>
      </c>
      <c r="Q4401" s="8">
        <f>(5996898*100)/6073515</f>
        <v>98.738506449724753</v>
      </c>
    </row>
    <row r="4402" spans="1:17" x14ac:dyDescent="0.2">
      <c r="A4402">
        <f>YEAR(D4402)</f>
        <v>2019</v>
      </c>
      <c r="B4402" t="s">
        <v>26</v>
      </c>
      <c r="C4402" s="2" t="s">
        <v>3018</v>
      </c>
      <c r="D4402" s="1">
        <v>43745</v>
      </c>
      <c r="E4402">
        <f>MONTH(D4402)</f>
        <v>10</v>
      </c>
      <c r="F4402" s="2" t="s">
        <v>2098</v>
      </c>
      <c r="G4402" t="s">
        <v>230</v>
      </c>
      <c r="H4402" t="s">
        <v>268</v>
      </c>
      <c r="I4402" t="s">
        <v>36</v>
      </c>
      <c r="J4402" s="2" t="s">
        <v>42</v>
      </c>
      <c r="K4402" s="2" t="s">
        <v>3019</v>
      </c>
      <c r="L4402" t="s">
        <v>25</v>
      </c>
      <c r="M4402" s="8">
        <v>3.3683333329999998</v>
      </c>
      <c r="N4402" t="s">
        <v>26</v>
      </c>
      <c r="O4402" s="8">
        <v>3.3683333329999998</v>
      </c>
      <c r="P4402" s="8">
        <f>EXP(-1.363+3.366*LOG(O4402,10))</f>
        <v>1.510255893489963</v>
      </c>
      <c r="Q4402" s="8">
        <f>(5996898*100)/6073515</f>
        <v>98.738506449724753</v>
      </c>
    </row>
    <row r="4403" spans="1:17" x14ac:dyDescent="0.2">
      <c r="A4403">
        <f>YEAR(D4403)</f>
        <v>2019</v>
      </c>
      <c r="B4403" t="s">
        <v>26</v>
      </c>
      <c r="C4403" s="2" t="s">
        <v>3018</v>
      </c>
      <c r="D4403" s="1">
        <v>43745</v>
      </c>
      <c r="E4403">
        <f>MONTH(D4403)</f>
        <v>10</v>
      </c>
      <c r="F4403" s="2" t="s">
        <v>2098</v>
      </c>
      <c r="G4403" t="s">
        <v>230</v>
      </c>
      <c r="H4403" t="s">
        <v>268</v>
      </c>
      <c r="I4403" t="s">
        <v>36</v>
      </c>
      <c r="J4403" s="2" t="s">
        <v>42</v>
      </c>
      <c r="K4403" s="2" t="s">
        <v>3019</v>
      </c>
      <c r="L4403" t="s">
        <v>25</v>
      </c>
      <c r="M4403" s="8">
        <v>3.3683333329999998</v>
      </c>
      <c r="N4403" t="s">
        <v>26</v>
      </c>
      <c r="O4403" s="8">
        <v>3.3683333329999998</v>
      </c>
      <c r="P4403" s="8">
        <f>EXP(-1.363+3.366*LOG(O4403,10))</f>
        <v>1.510255893489963</v>
      </c>
      <c r="Q4403" s="8">
        <f>(5996898*100)/6073515</f>
        <v>98.738506449724753</v>
      </c>
    </row>
    <row r="4404" spans="1:17" x14ac:dyDescent="0.2">
      <c r="A4404">
        <f>YEAR(D4404)</f>
        <v>2019</v>
      </c>
      <c r="B4404" t="s">
        <v>26</v>
      </c>
      <c r="C4404" s="2" t="s">
        <v>3027</v>
      </c>
      <c r="D4404" s="1">
        <v>43745</v>
      </c>
      <c r="E4404">
        <f>MONTH(D4404)</f>
        <v>10</v>
      </c>
      <c r="F4404" s="2" t="s">
        <v>2098</v>
      </c>
      <c r="G4404" t="s">
        <v>230</v>
      </c>
      <c r="H4404" t="s">
        <v>268</v>
      </c>
      <c r="I4404" t="s">
        <v>22</v>
      </c>
      <c r="J4404" s="2" t="s">
        <v>42</v>
      </c>
      <c r="K4404" s="2" t="s">
        <v>3019</v>
      </c>
      <c r="L4404" t="s">
        <v>25</v>
      </c>
      <c r="M4404" s="8">
        <v>3.5356666670000001</v>
      </c>
      <c r="N4404" t="s">
        <v>26</v>
      </c>
      <c r="O4404" s="8">
        <v>3.5356666670000001</v>
      </c>
      <c r="P4404" s="8">
        <f>EXP(-1.363+3.366*LOG(O4404,10))</f>
        <v>1.6211802664427075</v>
      </c>
      <c r="Q4404" s="8">
        <f>(3939723*100)/4442581</f>
        <v>88.680949204977921</v>
      </c>
    </row>
    <row r="4405" spans="1:17" x14ac:dyDescent="0.2">
      <c r="A4405">
        <f>YEAR(D4405)</f>
        <v>2019</v>
      </c>
      <c r="B4405" t="s">
        <v>26</v>
      </c>
      <c r="C4405" s="2" t="s">
        <v>1552</v>
      </c>
      <c r="D4405" s="1">
        <v>43745</v>
      </c>
      <c r="E4405">
        <f>MONTH(D4405)</f>
        <v>10</v>
      </c>
      <c r="F4405" s="2" t="s">
        <v>2098</v>
      </c>
      <c r="G4405" t="s">
        <v>352</v>
      </c>
      <c r="H4405" t="s">
        <v>1459</v>
      </c>
      <c r="I4405" t="s">
        <v>36</v>
      </c>
      <c r="J4405" s="2" t="s">
        <v>42</v>
      </c>
      <c r="K4405" s="2" t="s">
        <v>3019</v>
      </c>
      <c r="L4405" t="s">
        <v>25</v>
      </c>
      <c r="M4405" s="8">
        <v>1.0913333329999999</v>
      </c>
      <c r="N4405" t="s">
        <v>26</v>
      </c>
      <c r="O4405" s="8">
        <v>1.0913333329999999</v>
      </c>
      <c r="P4405" s="8">
        <f>EXP(-1.363+3.366*LOG(O4405,10))</f>
        <v>0.29076633015787234</v>
      </c>
      <c r="Q4405" s="8">
        <f>(3738946*100)/3915493</f>
        <v>95.491065875995687</v>
      </c>
    </row>
    <row r="4406" spans="1:17" x14ac:dyDescent="0.2">
      <c r="A4406">
        <f>YEAR(D4406)</f>
        <v>2019</v>
      </c>
      <c r="B4406" t="s">
        <v>26</v>
      </c>
      <c r="C4406" s="2" t="s">
        <v>1552</v>
      </c>
      <c r="D4406" s="1">
        <v>43745</v>
      </c>
      <c r="E4406">
        <f>MONTH(D4406)</f>
        <v>10</v>
      </c>
      <c r="F4406" s="2" t="s">
        <v>2098</v>
      </c>
      <c r="G4406" t="s">
        <v>352</v>
      </c>
      <c r="H4406" t="s">
        <v>1585</v>
      </c>
      <c r="I4406" t="s">
        <v>36</v>
      </c>
      <c r="J4406" s="2" t="s">
        <v>42</v>
      </c>
      <c r="K4406" s="2" t="s">
        <v>3019</v>
      </c>
      <c r="L4406" t="s">
        <v>25</v>
      </c>
      <c r="M4406" s="8">
        <v>0.73566666700000005</v>
      </c>
      <c r="N4406" t="s">
        <v>26</v>
      </c>
      <c r="O4406" s="8">
        <v>0.73566666700000005</v>
      </c>
      <c r="P4406" s="8">
        <f>EXP(-1.363+3.366*LOG(O4406,10))</f>
        <v>0.16336774920850081</v>
      </c>
      <c r="Q4406" s="8">
        <f>(3738946*100)/3915493</f>
        <v>95.491065875995687</v>
      </c>
    </row>
    <row r="4407" spans="1:17" x14ac:dyDescent="0.2">
      <c r="A4407">
        <f>YEAR(D4407)</f>
        <v>2019</v>
      </c>
      <c r="B4407" t="s">
        <v>26</v>
      </c>
      <c r="C4407" s="2" t="s">
        <v>50</v>
      </c>
      <c r="D4407" s="1">
        <v>43739</v>
      </c>
      <c r="E4407">
        <f>MONTH(D4407)</f>
        <v>10</v>
      </c>
      <c r="F4407" s="2" t="s">
        <v>19</v>
      </c>
      <c r="G4407" t="s">
        <v>352</v>
      </c>
      <c r="H4407" t="s">
        <v>623</v>
      </c>
      <c r="I4407" t="s">
        <v>22</v>
      </c>
      <c r="J4407" s="2" t="s">
        <v>42</v>
      </c>
      <c r="K4407" s="2" t="s">
        <v>3019</v>
      </c>
      <c r="L4407" t="s">
        <v>25</v>
      </c>
      <c r="M4407" s="8">
        <v>1.387</v>
      </c>
      <c r="N4407" t="s">
        <v>26</v>
      </c>
      <c r="O4407" s="8">
        <v>1.387</v>
      </c>
      <c r="P4407" s="8">
        <f>EXP(-1.363+3.366*LOG(O4407,10))</f>
        <v>0.41280884754947733</v>
      </c>
      <c r="Q4407" s="8">
        <f>(4488342*100)/4914798</f>
        <v>91.323020803703429</v>
      </c>
    </row>
    <row r="4408" spans="1:17" x14ac:dyDescent="0.2">
      <c r="A4408">
        <f>YEAR(D4408)</f>
        <v>2019</v>
      </c>
      <c r="B4408" t="s">
        <v>26</v>
      </c>
      <c r="C4408" s="2" t="s">
        <v>50</v>
      </c>
      <c r="D4408" s="1">
        <v>43739</v>
      </c>
      <c r="E4408">
        <f>MONTH(D4408)</f>
        <v>10</v>
      </c>
      <c r="F4408" s="2" t="s">
        <v>19</v>
      </c>
      <c r="G4408" t="s">
        <v>352</v>
      </c>
      <c r="H4408" t="s">
        <v>975</v>
      </c>
      <c r="I4408" t="s">
        <v>36</v>
      </c>
      <c r="J4408" s="2" t="s">
        <v>42</v>
      </c>
      <c r="K4408" s="2" t="s">
        <v>3019</v>
      </c>
      <c r="L4408" t="s">
        <v>25</v>
      </c>
      <c r="M4408" s="8">
        <v>0.95199999999999996</v>
      </c>
      <c r="N4408" t="s">
        <v>26</v>
      </c>
      <c r="O4408" s="8">
        <v>0.95199999999999996</v>
      </c>
      <c r="P4408" s="8">
        <f>EXP(-1.363+3.366*LOG(O4408,10))</f>
        <v>0.23813726407794436</v>
      </c>
      <c r="Q4408" s="8">
        <f>(4488342*100)/4914798</f>
        <v>91.323020803703429</v>
      </c>
    </row>
    <row r="4409" spans="1:17" x14ac:dyDescent="0.2">
      <c r="A4409">
        <f>YEAR(D4409)</f>
        <v>2019</v>
      </c>
      <c r="B4409" t="s">
        <v>26</v>
      </c>
      <c r="C4409" s="2" t="s">
        <v>50</v>
      </c>
      <c r="D4409" s="1">
        <v>43739</v>
      </c>
      <c r="E4409">
        <f>MONTH(D4409)</f>
        <v>10</v>
      </c>
      <c r="F4409" s="2" t="s">
        <v>19</v>
      </c>
      <c r="G4409" t="s">
        <v>352</v>
      </c>
      <c r="H4409" t="s">
        <v>2167</v>
      </c>
      <c r="I4409" t="s">
        <v>22</v>
      </c>
      <c r="J4409" s="2" t="s">
        <v>42</v>
      </c>
      <c r="K4409" s="2" t="s">
        <v>3019</v>
      </c>
      <c r="L4409" t="s">
        <v>25</v>
      </c>
      <c r="M4409" s="8">
        <v>1.2443333329999999</v>
      </c>
      <c r="N4409" t="s">
        <v>26</v>
      </c>
      <c r="O4409" s="8">
        <v>1.2443333329999999</v>
      </c>
      <c r="P4409" s="8">
        <f>EXP(-1.363+3.366*LOG(O4409,10))</f>
        <v>0.35223984777902306</v>
      </c>
      <c r="Q4409" s="8">
        <f>(4488342*100)/4914798</f>
        <v>91.323020803703429</v>
      </c>
    </row>
    <row r="4410" spans="1:17" x14ac:dyDescent="0.2">
      <c r="A4410">
        <f>YEAR(D4410)</f>
        <v>2019</v>
      </c>
      <c r="B4410" t="s">
        <v>26</v>
      </c>
      <c r="C4410" s="2" t="s">
        <v>50</v>
      </c>
      <c r="D4410" s="1">
        <v>43739</v>
      </c>
      <c r="E4410">
        <f>MONTH(D4410)</f>
        <v>10</v>
      </c>
      <c r="F4410" s="2" t="s">
        <v>19</v>
      </c>
      <c r="G4410" t="s">
        <v>219</v>
      </c>
      <c r="H4410" t="s">
        <v>220</v>
      </c>
      <c r="I4410" t="s">
        <v>22</v>
      </c>
      <c r="J4410" s="2" t="s">
        <v>42</v>
      </c>
      <c r="K4410" s="2" t="s">
        <v>3019</v>
      </c>
      <c r="L4410" t="s">
        <v>25</v>
      </c>
      <c r="M4410" s="10" t="s">
        <v>26</v>
      </c>
      <c r="N4410" t="s">
        <v>26</v>
      </c>
      <c r="O4410" s="10" t="s">
        <v>26</v>
      </c>
      <c r="P4410" s="8" t="s">
        <v>26</v>
      </c>
      <c r="Q4410" s="8">
        <f>(4488342*100)/4914798</f>
        <v>91.323020803703429</v>
      </c>
    </row>
    <row r="4411" spans="1:17" x14ac:dyDescent="0.2">
      <c r="A4411">
        <f>YEAR(D4411)</f>
        <v>2019</v>
      </c>
      <c r="B4411" t="s">
        <v>26</v>
      </c>
      <c r="C4411" s="2" t="s">
        <v>50</v>
      </c>
      <c r="D4411" s="1">
        <v>43739</v>
      </c>
      <c r="E4411">
        <f>MONTH(D4411)</f>
        <v>10</v>
      </c>
      <c r="F4411" s="2" t="s">
        <v>19</v>
      </c>
      <c r="G4411" t="s">
        <v>230</v>
      </c>
      <c r="H4411" t="s">
        <v>268</v>
      </c>
      <c r="I4411" t="s">
        <v>22</v>
      </c>
      <c r="J4411" s="2" t="s">
        <v>42</v>
      </c>
      <c r="K4411" s="2" t="s">
        <v>3019</v>
      </c>
      <c r="L4411" t="s">
        <v>25</v>
      </c>
      <c r="M4411" s="8">
        <v>3.5356666670000001</v>
      </c>
      <c r="N4411" t="s">
        <v>26</v>
      </c>
      <c r="O4411" s="8">
        <v>3.5356666670000001</v>
      </c>
      <c r="P4411" s="8">
        <f>EXP(-1.363+3.366*LOG(O4411,10))</f>
        <v>1.6211802664427075</v>
      </c>
      <c r="Q4411" s="8">
        <f>(4488342*100)/4914798</f>
        <v>91.323020803703429</v>
      </c>
    </row>
    <row r="4412" spans="1:17" x14ac:dyDescent="0.2">
      <c r="A4412">
        <f>YEAR(D4412)</f>
        <v>2019</v>
      </c>
      <c r="B4412" t="s">
        <v>26</v>
      </c>
      <c r="C4412" s="2" t="s">
        <v>50</v>
      </c>
      <c r="D4412" s="1">
        <v>43739</v>
      </c>
      <c r="E4412">
        <f>MONTH(D4412)</f>
        <v>10</v>
      </c>
      <c r="F4412" s="2" t="s">
        <v>19</v>
      </c>
      <c r="G4412" t="s">
        <v>352</v>
      </c>
      <c r="H4412" t="s">
        <v>975</v>
      </c>
      <c r="I4412" t="s">
        <v>36</v>
      </c>
      <c r="J4412" s="2" t="s">
        <v>42</v>
      </c>
      <c r="K4412" s="2" t="s">
        <v>3019</v>
      </c>
      <c r="L4412" t="s">
        <v>25</v>
      </c>
      <c r="M4412" s="8">
        <v>0.95199999999999996</v>
      </c>
      <c r="N4412" t="s">
        <v>26</v>
      </c>
      <c r="O4412" s="8">
        <v>0.95199999999999996</v>
      </c>
      <c r="P4412" s="8">
        <f>EXP(-1.363+3.366*LOG(O4412,10))</f>
        <v>0.23813726407794436</v>
      </c>
      <c r="Q4412" s="8">
        <f>(4488342*100)/4914798</f>
        <v>91.323020803703429</v>
      </c>
    </row>
    <row r="4413" spans="1:17" x14ac:dyDescent="0.2">
      <c r="A4413">
        <f>YEAR(D4413)</f>
        <v>2019</v>
      </c>
      <c r="B4413" t="s">
        <v>26</v>
      </c>
      <c r="C4413" s="2" t="s">
        <v>1552</v>
      </c>
      <c r="D4413" s="1">
        <v>43745</v>
      </c>
      <c r="E4413">
        <f>MONTH(D4413)</f>
        <v>10</v>
      </c>
      <c r="F4413" s="2" t="s">
        <v>19</v>
      </c>
      <c r="G4413" t="s">
        <v>219</v>
      </c>
      <c r="H4413" t="s">
        <v>220</v>
      </c>
      <c r="I4413" t="s">
        <v>22</v>
      </c>
      <c r="J4413" s="2" t="s">
        <v>42</v>
      </c>
      <c r="K4413" s="2" t="s">
        <v>3019</v>
      </c>
      <c r="L4413" t="s">
        <v>25</v>
      </c>
      <c r="M4413" s="10" t="s">
        <v>26</v>
      </c>
      <c r="N4413" t="s">
        <v>26</v>
      </c>
      <c r="O4413" s="10" t="s">
        <v>26</v>
      </c>
      <c r="P4413" s="8" t="s">
        <v>26</v>
      </c>
      <c r="Q4413" s="8">
        <f>(3738946*100)/3915493</f>
        <v>95.491065875995687</v>
      </c>
    </row>
    <row r="4414" spans="1:17" x14ac:dyDescent="0.2">
      <c r="A4414">
        <f>YEAR(D4414)</f>
        <v>2019</v>
      </c>
      <c r="B4414" t="s">
        <v>26</v>
      </c>
      <c r="C4414" s="2" t="s">
        <v>1552</v>
      </c>
      <c r="D4414" s="1">
        <v>43745</v>
      </c>
      <c r="E4414">
        <f>MONTH(D4414)</f>
        <v>10</v>
      </c>
      <c r="F4414" s="2" t="s">
        <v>19</v>
      </c>
      <c r="G4414" t="s">
        <v>352</v>
      </c>
      <c r="H4414" t="s">
        <v>975</v>
      </c>
      <c r="I4414" t="s">
        <v>36</v>
      </c>
      <c r="J4414" s="2" t="s">
        <v>42</v>
      </c>
      <c r="K4414" s="2" t="s">
        <v>3019</v>
      </c>
      <c r="L4414" t="s">
        <v>25</v>
      </c>
      <c r="M4414" s="8">
        <v>0.95199999999999996</v>
      </c>
      <c r="N4414" t="s">
        <v>26</v>
      </c>
      <c r="O4414" s="8">
        <v>0.95199999999999996</v>
      </c>
      <c r="P4414" s="8">
        <f>EXP(-1.363+3.366*LOG(O4414,10))</f>
        <v>0.23813726407794436</v>
      </c>
      <c r="Q4414" s="8">
        <f>(3738946*100)/3915493</f>
        <v>95.491065875995687</v>
      </c>
    </row>
    <row r="4415" spans="1:17" x14ac:dyDescent="0.2">
      <c r="A4415">
        <f>YEAR(D4415)</f>
        <v>2019</v>
      </c>
      <c r="B4415" t="s">
        <v>26</v>
      </c>
      <c r="C4415" s="2" t="s">
        <v>3021</v>
      </c>
      <c r="D4415" s="1">
        <v>43748</v>
      </c>
      <c r="E4415">
        <f>MONTH(D4415)</f>
        <v>10</v>
      </c>
      <c r="F4415" s="2" t="s">
        <v>2098</v>
      </c>
      <c r="G4415" t="s">
        <v>230</v>
      </c>
      <c r="H4415" t="s">
        <v>259</v>
      </c>
      <c r="I4415" t="s">
        <v>22</v>
      </c>
      <c r="J4415" s="2" t="s">
        <v>42</v>
      </c>
      <c r="K4415" s="2" t="s">
        <v>3019</v>
      </c>
      <c r="L4415" t="s">
        <v>25</v>
      </c>
      <c r="M4415" s="8">
        <v>4.2283333330000001</v>
      </c>
      <c r="N4415" t="s">
        <v>26</v>
      </c>
      <c r="O4415" s="8">
        <v>4.2283333330000001</v>
      </c>
      <c r="P4415" s="8">
        <f>EXP(-1.363+3.366*LOG(O4415,10))</f>
        <v>2.1057792396965977</v>
      </c>
      <c r="Q4415" s="8">
        <f>(1845879*100)/1946364</f>
        <v>94.837296620775973</v>
      </c>
    </row>
    <row r="4416" spans="1:17" x14ac:dyDescent="0.2">
      <c r="A4416">
        <f>YEAR(D4416)</f>
        <v>2019</v>
      </c>
      <c r="B4416" t="s">
        <v>26</v>
      </c>
      <c r="C4416" s="2" t="s">
        <v>3021</v>
      </c>
      <c r="D4416" s="1">
        <v>43748</v>
      </c>
      <c r="E4416">
        <f>MONTH(D4416)</f>
        <v>10</v>
      </c>
      <c r="F4416" s="2" t="s">
        <v>2098</v>
      </c>
      <c r="G4416" t="s">
        <v>219</v>
      </c>
      <c r="H4416" t="s">
        <v>220</v>
      </c>
      <c r="I4416" t="s">
        <v>22</v>
      </c>
      <c r="J4416" s="2" t="s">
        <v>42</v>
      </c>
      <c r="K4416" s="2" t="s">
        <v>3019</v>
      </c>
      <c r="L4416" t="s">
        <v>25</v>
      </c>
      <c r="M4416" s="10" t="s">
        <v>26</v>
      </c>
      <c r="N4416" t="s">
        <v>26</v>
      </c>
      <c r="O4416" s="10" t="s">
        <v>26</v>
      </c>
      <c r="P4416" s="8" t="s">
        <v>26</v>
      </c>
      <c r="Q4416" s="8">
        <f>(1845879*100)/1946364</f>
        <v>94.837296620775973</v>
      </c>
    </row>
    <row r="4417" spans="1:17" x14ac:dyDescent="0.2">
      <c r="A4417">
        <f>YEAR(D4417)</f>
        <v>2019</v>
      </c>
      <c r="B4417" t="s">
        <v>26</v>
      </c>
      <c r="C4417" s="2" t="s">
        <v>3021</v>
      </c>
      <c r="D4417" s="1">
        <v>43748</v>
      </c>
      <c r="E4417">
        <f>MONTH(D4417)</f>
        <v>10</v>
      </c>
      <c r="F4417" s="2" t="s">
        <v>2098</v>
      </c>
      <c r="G4417" t="s">
        <v>219</v>
      </c>
      <c r="H4417" t="s">
        <v>220</v>
      </c>
      <c r="I4417" t="s">
        <v>22</v>
      </c>
      <c r="J4417" s="2" t="s">
        <v>42</v>
      </c>
      <c r="K4417" s="2" t="s">
        <v>3019</v>
      </c>
      <c r="L4417" t="s">
        <v>25</v>
      </c>
      <c r="M4417" s="10" t="s">
        <v>26</v>
      </c>
      <c r="N4417" t="s">
        <v>26</v>
      </c>
      <c r="O4417" s="10" t="s">
        <v>26</v>
      </c>
      <c r="P4417" s="8" t="s">
        <v>26</v>
      </c>
      <c r="Q4417" s="8">
        <f>(1845879*100)/1946364</f>
        <v>94.837296620775973</v>
      </c>
    </row>
    <row r="4418" spans="1:17" x14ac:dyDescent="0.2">
      <c r="A4418">
        <f>YEAR(D4418)</f>
        <v>2019</v>
      </c>
      <c r="B4418" t="s">
        <v>26</v>
      </c>
      <c r="C4418" s="2" t="s">
        <v>3021</v>
      </c>
      <c r="D4418" s="1">
        <v>43748</v>
      </c>
      <c r="E4418">
        <f>MONTH(D4418)</f>
        <v>10</v>
      </c>
      <c r="F4418" s="2" t="s">
        <v>2098</v>
      </c>
      <c r="G4418" t="s">
        <v>219</v>
      </c>
      <c r="H4418" t="s">
        <v>220</v>
      </c>
      <c r="I4418" t="s">
        <v>22</v>
      </c>
      <c r="J4418" s="2" t="s">
        <v>42</v>
      </c>
      <c r="K4418" s="2" t="s">
        <v>3019</v>
      </c>
      <c r="L4418" t="s">
        <v>25</v>
      </c>
      <c r="M4418" s="10" t="s">
        <v>26</v>
      </c>
      <c r="N4418" t="s">
        <v>26</v>
      </c>
      <c r="O4418" s="10" t="s">
        <v>26</v>
      </c>
      <c r="P4418" s="8" t="s">
        <v>26</v>
      </c>
      <c r="Q4418" s="8">
        <f>(1845879*100)/1946364</f>
        <v>94.837296620775973</v>
      </c>
    </row>
    <row r="4419" spans="1:17" x14ac:dyDescent="0.2">
      <c r="A4419">
        <f>YEAR(D4419)</f>
        <v>2019</v>
      </c>
      <c r="B4419" t="s">
        <v>26</v>
      </c>
      <c r="C4419" s="2" t="s">
        <v>3021</v>
      </c>
      <c r="D4419" s="1">
        <v>43748</v>
      </c>
      <c r="E4419">
        <f>MONTH(D4419)</f>
        <v>10</v>
      </c>
      <c r="F4419" s="2" t="s">
        <v>2098</v>
      </c>
      <c r="G4419" t="s">
        <v>219</v>
      </c>
      <c r="H4419" t="s">
        <v>220</v>
      </c>
      <c r="I4419" t="s">
        <v>22</v>
      </c>
      <c r="J4419" s="2" t="s">
        <v>42</v>
      </c>
      <c r="K4419" s="2" t="s">
        <v>3019</v>
      </c>
      <c r="L4419" t="s">
        <v>25</v>
      </c>
      <c r="M4419" s="10" t="s">
        <v>26</v>
      </c>
      <c r="N4419" t="s">
        <v>26</v>
      </c>
      <c r="O4419" s="10" t="s">
        <v>26</v>
      </c>
      <c r="P4419" s="8" t="s">
        <v>26</v>
      </c>
      <c r="Q4419" s="8">
        <f>(1845879*100)/1946364</f>
        <v>94.837296620775973</v>
      </c>
    </row>
    <row r="4420" spans="1:17" x14ac:dyDescent="0.2">
      <c r="A4420">
        <f>YEAR(D4420)</f>
        <v>2019</v>
      </c>
      <c r="B4420" t="s">
        <v>26</v>
      </c>
      <c r="C4420" s="2" t="s">
        <v>3020</v>
      </c>
      <c r="D4420" s="1">
        <v>43748</v>
      </c>
      <c r="E4420">
        <f>MONTH(D4420)</f>
        <v>10</v>
      </c>
      <c r="F4420" s="2" t="s">
        <v>2098</v>
      </c>
      <c r="G4420" t="s">
        <v>219</v>
      </c>
      <c r="H4420" t="s">
        <v>220</v>
      </c>
      <c r="I4420" t="s">
        <v>22</v>
      </c>
      <c r="J4420" s="2" t="s">
        <v>42</v>
      </c>
      <c r="K4420" s="2" t="s">
        <v>3019</v>
      </c>
      <c r="L4420" t="s">
        <v>25</v>
      </c>
      <c r="M4420" s="10" t="s">
        <v>26</v>
      </c>
      <c r="N4420" t="s">
        <v>26</v>
      </c>
      <c r="O4420" s="10" t="s">
        <v>26</v>
      </c>
      <c r="P4420" s="8" t="s">
        <v>26</v>
      </c>
      <c r="Q4420" s="8">
        <f>(3359412*100)/3462762</f>
        <v>97.015388294084318</v>
      </c>
    </row>
    <row r="4421" spans="1:17" x14ac:dyDescent="0.2">
      <c r="A4421">
        <f>YEAR(D4421)</f>
        <v>2019</v>
      </c>
      <c r="B4421" t="s">
        <v>26</v>
      </c>
      <c r="C4421" s="2" t="s">
        <v>3020</v>
      </c>
      <c r="D4421" s="1">
        <v>43748</v>
      </c>
      <c r="E4421">
        <f>MONTH(D4421)</f>
        <v>10</v>
      </c>
      <c r="F4421" s="2" t="s">
        <v>2098</v>
      </c>
      <c r="G4421" t="s">
        <v>219</v>
      </c>
      <c r="H4421" t="s">
        <v>220</v>
      </c>
      <c r="I4421" t="s">
        <v>22</v>
      </c>
      <c r="J4421" s="2" t="s">
        <v>42</v>
      </c>
      <c r="K4421" s="2" t="s">
        <v>3019</v>
      </c>
      <c r="L4421" t="s">
        <v>25</v>
      </c>
      <c r="M4421" s="10" t="s">
        <v>26</v>
      </c>
      <c r="N4421" t="s">
        <v>26</v>
      </c>
      <c r="O4421" s="10" t="s">
        <v>26</v>
      </c>
      <c r="P4421" s="8" t="s">
        <v>26</v>
      </c>
      <c r="Q4421" s="8">
        <f>(3359412*100)/3462762</f>
        <v>97.015388294084318</v>
      </c>
    </row>
    <row r="4422" spans="1:17" x14ac:dyDescent="0.2">
      <c r="A4422">
        <f>YEAR(D4422)</f>
        <v>2019</v>
      </c>
      <c r="B4422" t="s">
        <v>26</v>
      </c>
      <c r="C4422" s="2" t="s">
        <v>3020</v>
      </c>
      <c r="D4422" s="1">
        <v>43748</v>
      </c>
      <c r="E4422">
        <f>MONTH(D4422)</f>
        <v>10</v>
      </c>
      <c r="F4422" s="2" t="s">
        <v>2098</v>
      </c>
      <c r="G4422" t="s">
        <v>219</v>
      </c>
      <c r="H4422" t="s">
        <v>220</v>
      </c>
      <c r="I4422" t="s">
        <v>22</v>
      </c>
      <c r="J4422" s="2" t="s">
        <v>42</v>
      </c>
      <c r="K4422" s="2" t="s">
        <v>3019</v>
      </c>
      <c r="L4422" t="s">
        <v>25</v>
      </c>
      <c r="M4422" s="10" t="s">
        <v>26</v>
      </c>
      <c r="N4422" t="s">
        <v>26</v>
      </c>
      <c r="O4422" s="10" t="s">
        <v>26</v>
      </c>
      <c r="P4422" s="8" t="s">
        <v>26</v>
      </c>
      <c r="Q4422" s="8">
        <f>(3359412*100)/3462762</f>
        <v>97.015388294084318</v>
      </c>
    </row>
    <row r="4423" spans="1:17" x14ac:dyDescent="0.2">
      <c r="A4423">
        <f>YEAR(D4423)</f>
        <v>2019</v>
      </c>
      <c r="B4423" t="s">
        <v>26</v>
      </c>
      <c r="C4423" s="2" t="s">
        <v>3020</v>
      </c>
      <c r="D4423" s="1">
        <v>43748</v>
      </c>
      <c r="E4423">
        <f>MONTH(D4423)</f>
        <v>10</v>
      </c>
      <c r="F4423" s="2" t="s">
        <v>2098</v>
      </c>
      <c r="G4423" t="s">
        <v>219</v>
      </c>
      <c r="H4423" t="s">
        <v>220</v>
      </c>
      <c r="I4423" t="s">
        <v>22</v>
      </c>
      <c r="J4423" s="2" t="s">
        <v>42</v>
      </c>
      <c r="K4423" s="2" t="s">
        <v>3019</v>
      </c>
      <c r="L4423" t="s">
        <v>25</v>
      </c>
      <c r="M4423" s="10" t="s">
        <v>26</v>
      </c>
      <c r="N4423" t="s">
        <v>26</v>
      </c>
      <c r="O4423" s="10" t="s">
        <v>26</v>
      </c>
      <c r="P4423" s="8" t="s">
        <v>26</v>
      </c>
      <c r="Q4423" s="8">
        <f>(3359412*100)/3462762</f>
        <v>97.015388294084318</v>
      </c>
    </row>
    <row r="4424" spans="1:17" x14ac:dyDescent="0.2">
      <c r="A4424">
        <f>YEAR(D4424)</f>
        <v>2019</v>
      </c>
      <c r="B4424" t="s">
        <v>26</v>
      </c>
      <c r="C4424" s="2" t="s">
        <v>3020</v>
      </c>
      <c r="D4424" s="1">
        <v>43748</v>
      </c>
      <c r="E4424">
        <f>MONTH(D4424)</f>
        <v>10</v>
      </c>
      <c r="F4424" s="2" t="s">
        <v>2098</v>
      </c>
      <c r="G4424" t="s">
        <v>219</v>
      </c>
      <c r="H4424" t="s">
        <v>220</v>
      </c>
      <c r="I4424" t="s">
        <v>22</v>
      </c>
      <c r="J4424" s="2" t="s">
        <v>42</v>
      </c>
      <c r="K4424" s="2" t="s">
        <v>3019</v>
      </c>
      <c r="L4424" t="s">
        <v>25</v>
      </c>
      <c r="M4424" s="10" t="s">
        <v>26</v>
      </c>
      <c r="N4424" t="s">
        <v>26</v>
      </c>
      <c r="O4424" s="10" t="s">
        <v>26</v>
      </c>
      <c r="P4424" s="8" t="s">
        <v>26</v>
      </c>
      <c r="Q4424" s="8">
        <f>(3359412*100)/3462762</f>
        <v>97.015388294084318</v>
      </c>
    </row>
    <row r="4425" spans="1:17" x14ac:dyDescent="0.2">
      <c r="A4425">
        <f>YEAR(D4425)</f>
        <v>2019</v>
      </c>
      <c r="B4425" t="s">
        <v>26</v>
      </c>
      <c r="C4425" s="2" t="s">
        <v>3020</v>
      </c>
      <c r="D4425" s="1">
        <v>43748</v>
      </c>
      <c r="E4425">
        <f>MONTH(D4425)</f>
        <v>10</v>
      </c>
      <c r="F4425" s="2" t="s">
        <v>2098</v>
      </c>
      <c r="G4425" t="s">
        <v>219</v>
      </c>
      <c r="H4425" t="s">
        <v>220</v>
      </c>
      <c r="I4425" t="s">
        <v>22</v>
      </c>
      <c r="J4425" s="2" t="s">
        <v>42</v>
      </c>
      <c r="K4425" s="2" t="s">
        <v>3019</v>
      </c>
      <c r="L4425" t="s">
        <v>25</v>
      </c>
      <c r="M4425" s="10" t="s">
        <v>26</v>
      </c>
      <c r="N4425" t="s">
        <v>26</v>
      </c>
      <c r="O4425" s="10" t="s">
        <v>26</v>
      </c>
      <c r="P4425" s="8" t="s">
        <v>26</v>
      </c>
      <c r="Q4425" s="8">
        <f>(3359412*100)/3462762</f>
        <v>97.015388294084318</v>
      </c>
    </row>
    <row r="4426" spans="1:17" x14ac:dyDescent="0.2">
      <c r="A4426">
        <f>YEAR(D4426)</f>
        <v>2019</v>
      </c>
      <c r="B4426" t="s">
        <v>26</v>
      </c>
      <c r="C4426" s="2" t="s">
        <v>3020</v>
      </c>
      <c r="D4426" s="1">
        <v>43748</v>
      </c>
      <c r="E4426">
        <f>MONTH(D4426)</f>
        <v>10</v>
      </c>
      <c r="F4426" s="2" t="s">
        <v>2098</v>
      </c>
      <c r="G4426" t="s">
        <v>219</v>
      </c>
      <c r="H4426" t="s">
        <v>220</v>
      </c>
      <c r="I4426" t="s">
        <v>22</v>
      </c>
      <c r="J4426" s="2" t="s">
        <v>42</v>
      </c>
      <c r="K4426" s="2" t="s">
        <v>3019</v>
      </c>
      <c r="L4426" t="s">
        <v>25</v>
      </c>
      <c r="M4426" s="10" t="s">
        <v>26</v>
      </c>
      <c r="N4426" t="s">
        <v>26</v>
      </c>
      <c r="O4426" s="10" t="s">
        <v>26</v>
      </c>
      <c r="P4426" s="8" t="s">
        <v>26</v>
      </c>
      <c r="Q4426" s="8">
        <f>(3359412*100)/3462762</f>
        <v>97.015388294084318</v>
      </c>
    </row>
    <row r="4427" spans="1:17" x14ac:dyDescent="0.2">
      <c r="A4427">
        <f>YEAR(D4427)</f>
        <v>2019</v>
      </c>
      <c r="B4427" t="s">
        <v>26</v>
      </c>
      <c r="C4427" s="2" t="s">
        <v>3020</v>
      </c>
      <c r="D4427" s="1">
        <v>43748</v>
      </c>
      <c r="E4427">
        <f>MONTH(D4427)</f>
        <v>10</v>
      </c>
      <c r="F4427" s="2" t="s">
        <v>2098</v>
      </c>
      <c r="G4427" t="s">
        <v>219</v>
      </c>
      <c r="H4427" t="s">
        <v>220</v>
      </c>
      <c r="I4427" t="s">
        <v>22</v>
      </c>
      <c r="J4427" s="2" t="s">
        <v>42</v>
      </c>
      <c r="K4427" s="2" t="s">
        <v>3019</v>
      </c>
      <c r="L4427" t="s">
        <v>25</v>
      </c>
      <c r="M4427" s="10" t="s">
        <v>26</v>
      </c>
      <c r="N4427" t="s">
        <v>26</v>
      </c>
      <c r="O4427" s="10" t="s">
        <v>26</v>
      </c>
      <c r="P4427" s="8" t="s">
        <v>26</v>
      </c>
      <c r="Q4427" s="8">
        <f>(3359412*100)/3462762</f>
        <v>97.015388294084318</v>
      </c>
    </row>
    <row r="4428" spans="1:17" x14ac:dyDescent="0.2">
      <c r="A4428">
        <f>YEAR(D4428)</f>
        <v>2019</v>
      </c>
      <c r="B4428" t="s">
        <v>26</v>
      </c>
      <c r="C4428" s="2" t="s">
        <v>3020</v>
      </c>
      <c r="D4428" s="1">
        <v>43748</v>
      </c>
      <c r="E4428">
        <f>MONTH(D4428)</f>
        <v>10</v>
      </c>
      <c r="F4428" s="2" t="s">
        <v>2098</v>
      </c>
      <c r="G4428" t="s">
        <v>219</v>
      </c>
      <c r="H4428" t="s">
        <v>220</v>
      </c>
      <c r="I4428" t="s">
        <v>22</v>
      </c>
      <c r="J4428" s="2" t="s">
        <v>42</v>
      </c>
      <c r="K4428" s="2" t="s">
        <v>3019</v>
      </c>
      <c r="L4428" t="s">
        <v>25</v>
      </c>
      <c r="M4428" s="10" t="s">
        <v>26</v>
      </c>
      <c r="N4428" t="s">
        <v>26</v>
      </c>
      <c r="O4428" s="10" t="s">
        <v>26</v>
      </c>
      <c r="P4428" s="8" t="s">
        <v>26</v>
      </c>
      <c r="Q4428" s="8">
        <f>(3359412*100)/3462762</f>
        <v>97.015388294084318</v>
      </c>
    </row>
    <row r="4429" spans="1:17" x14ac:dyDescent="0.2">
      <c r="A4429">
        <f>YEAR(D4429)</f>
        <v>2019</v>
      </c>
      <c r="B4429" t="s">
        <v>26</v>
      </c>
      <c r="C4429" s="2" t="s">
        <v>3020</v>
      </c>
      <c r="D4429" s="1">
        <v>43748</v>
      </c>
      <c r="E4429">
        <f>MONTH(D4429)</f>
        <v>10</v>
      </c>
      <c r="F4429" s="2" t="s">
        <v>2098</v>
      </c>
      <c r="G4429" t="s">
        <v>219</v>
      </c>
      <c r="H4429" t="s">
        <v>220</v>
      </c>
      <c r="I4429" t="s">
        <v>22</v>
      </c>
      <c r="J4429" s="2" t="s">
        <v>42</v>
      </c>
      <c r="K4429" s="2" t="s">
        <v>3019</v>
      </c>
      <c r="L4429" t="s">
        <v>25</v>
      </c>
      <c r="M4429" s="10" t="s">
        <v>26</v>
      </c>
      <c r="N4429" t="s">
        <v>26</v>
      </c>
      <c r="O4429" s="10" t="s">
        <v>26</v>
      </c>
      <c r="P4429" s="8" t="s">
        <v>26</v>
      </c>
      <c r="Q4429" s="8">
        <f>(3359412*100)/3462762</f>
        <v>97.015388294084318</v>
      </c>
    </row>
    <row r="4430" spans="1:17" x14ac:dyDescent="0.2">
      <c r="A4430">
        <f>YEAR(D4430)</f>
        <v>2019</v>
      </c>
      <c r="B4430" t="s">
        <v>26</v>
      </c>
      <c r="C4430" s="2" t="s">
        <v>3020</v>
      </c>
      <c r="D4430" s="1">
        <v>43748</v>
      </c>
      <c r="E4430">
        <f>MONTH(D4430)</f>
        <v>10</v>
      </c>
      <c r="F4430" s="2" t="s">
        <v>2098</v>
      </c>
      <c r="G4430" t="s">
        <v>219</v>
      </c>
      <c r="H4430" t="s">
        <v>220</v>
      </c>
      <c r="I4430" t="s">
        <v>22</v>
      </c>
      <c r="J4430" s="2" t="s">
        <v>42</v>
      </c>
      <c r="K4430" s="2" t="s">
        <v>3019</v>
      </c>
      <c r="L4430" t="s">
        <v>25</v>
      </c>
      <c r="M4430" s="10" t="s">
        <v>26</v>
      </c>
      <c r="N4430" t="s">
        <v>26</v>
      </c>
      <c r="O4430" s="10" t="s">
        <v>26</v>
      </c>
      <c r="P4430" s="8" t="s">
        <v>26</v>
      </c>
      <c r="Q4430" s="8">
        <f>(3359412*100)/3462762</f>
        <v>97.015388294084318</v>
      </c>
    </row>
    <row r="4431" spans="1:17" x14ac:dyDescent="0.2">
      <c r="A4431">
        <f>YEAR(D4431)</f>
        <v>2019</v>
      </c>
      <c r="B4431" t="s">
        <v>26</v>
      </c>
      <c r="C4431" s="2" t="s">
        <v>3020</v>
      </c>
      <c r="D4431" s="1">
        <v>43748</v>
      </c>
      <c r="E4431">
        <f>MONTH(D4431)</f>
        <v>10</v>
      </c>
      <c r="F4431" s="2" t="s">
        <v>2098</v>
      </c>
      <c r="G4431" t="s">
        <v>219</v>
      </c>
      <c r="H4431" t="s">
        <v>220</v>
      </c>
      <c r="I4431" t="s">
        <v>22</v>
      </c>
      <c r="J4431" s="2" t="s">
        <v>42</v>
      </c>
      <c r="K4431" s="2" t="s">
        <v>3019</v>
      </c>
      <c r="L4431" t="s">
        <v>25</v>
      </c>
      <c r="M4431" s="10" t="s">
        <v>26</v>
      </c>
      <c r="N4431" t="s">
        <v>26</v>
      </c>
      <c r="O4431" s="10" t="s">
        <v>26</v>
      </c>
      <c r="P4431" s="8" t="s">
        <v>26</v>
      </c>
      <c r="Q4431" s="8">
        <f>(3359412*100)/3462762</f>
        <v>97.015388294084318</v>
      </c>
    </row>
    <row r="4432" spans="1:17" x14ac:dyDescent="0.2">
      <c r="A4432">
        <f>YEAR(D4432)</f>
        <v>2019</v>
      </c>
      <c r="B4432" t="s">
        <v>26</v>
      </c>
      <c r="C4432" s="2" t="s">
        <v>3020</v>
      </c>
      <c r="D4432" s="1">
        <v>43748</v>
      </c>
      <c r="E4432">
        <f>MONTH(D4432)</f>
        <v>10</v>
      </c>
      <c r="F4432" s="2" t="s">
        <v>2098</v>
      </c>
      <c r="G4432" t="s">
        <v>362</v>
      </c>
      <c r="H4432" t="s">
        <v>447</v>
      </c>
      <c r="I4432" t="s">
        <v>36</v>
      </c>
      <c r="J4432" s="2" t="s">
        <v>42</v>
      </c>
      <c r="K4432" s="2" t="s">
        <v>3019</v>
      </c>
      <c r="L4432" t="s">
        <v>25</v>
      </c>
      <c r="M4432" s="8">
        <v>1.0956666669999999</v>
      </c>
      <c r="N4432" t="s">
        <v>26</v>
      </c>
      <c r="O4432" s="8">
        <v>1.0956666669999999</v>
      </c>
      <c r="P4432" s="8">
        <f>EXP(-1.363+3.366*LOG(O4432,10))</f>
        <v>0.29245562330904107</v>
      </c>
      <c r="Q4432" s="8">
        <f>(3359412*100)/3462762</f>
        <v>97.015388294084318</v>
      </c>
    </row>
    <row r="4433" spans="1:17" x14ac:dyDescent="0.2">
      <c r="A4433">
        <f>YEAR(D4433)</f>
        <v>2019</v>
      </c>
      <c r="B4433" t="s">
        <v>26</v>
      </c>
      <c r="C4433" s="2" t="s">
        <v>3020</v>
      </c>
      <c r="D4433" s="1">
        <v>43748</v>
      </c>
      <c r="E4433">
        <f>MONTH(D4433)</f>
        <v>10</v>
      </c>
      <c r="F4433" s="2" t="s">
        <v>2098</v>
      </c>
      <c r="G4433" t="s">
        <v>352</v>
      </c>
      <c r="H4433" t="s">
        <v>1459</v>
      </c>
      <c r="I4433" t="s">
        <v>36</v>
      </c>
      <c r="J4433" s="2" t="s">
        <v>42</v>
      </c>
      <c r="K4433" s="2" t="s">
        <v>3019</v>
      </c>
      <c r="L4433" t="s">
        <v>25</v>
      </c>
      <c r="M4433" s="8">
        <v>1.0913333329999999</v>
      </c>
      <c r="N4433" t="s">
        <v>26</v>
      </c>
      <c r="O4433" s="8">
        <v>1.0913333329999999</v>
      </c>
      <c r="P4433" s="8">
        <f>EXP(-1.363+3.366*LOG(O4433,10))</f>
        <v>0.29076633015787234</v>
      </c>
      <c r="Q4433" s="8">
        <f>(3359412*100)/3462762</f>
        <v>97.015388294084318</v>
      </c>
    </row>
    <row r="4434" spans="1:17" x14ac:dyDescent="0.2">
      <c r="A4434">
        <f>YEAR(D4434)</f>
        <v>2019</v>
      </c>
      <c r="B4434" t="s">
        <v>26</v>
      </c>
      <c r="C4434" s="2" t="s">
        <v>3020</v>
      </c>
      <c r="D4434" s="1">
        <v>43748</v>
      </c>
      <c r="E4434">
        <f>MONTH(D4434)</f>
        <v>10</v>
      </c>
      <c r="F4434" s="2" t="s">
        <v>2098</v>
      </c>
      <c r="G4434" t="s">
        <v>352</v>
      </c>
      <c r="H4434" t="s">
        <v>1459</v>
      </c>
      <c r="I4434" t="s">
        <v>22</v>
      </c>
      <c r="J4434" s="2" t="s">
        <v>42</v>
      </c>
      <c r="K4434" s="2" t="s">
        <v>3019</v>
      </c>
      <c r="L4434" t="s">
        <v>25</v>
      </c>
      <c r="M4434" s="8">
        <v>1.1910000000000001</v>
      </c>
      <c r="N4434" t="s">
        <v>26</v>
      </c>
      <c r="O4434" s="8">
        <v>1.1910000000000001</v>
      </c>
      <c r="P4434" s="8">
        <f>EXP(-1.363+3.366*LOG(O4434,10))</f>
        <v>0.33039016297752993</v>
      </c>
      <c r="Q4434" s="8">
        <f>(3359412*100)/3462762</f>
        <v>97.015388294084318</v>
      </c>
    </row>
    <row r="4435" spans="1:17" x14ac:dyDescent="0.2">
      <c r="A4435">
        <f>YEAR(D4435)</f>
        <v>2019</v>
      </c>
      <c r="B4435" t="s">
        <v>26</v>
      </c>
      <c r="C4435" s="2" t="s">
        <v>3020</v>
      </c>
      <c r="D4435" s="1">
        <v>43748</v>
      </c>
      <c r="E4435">
        <f>MONTH(D4435)</f>
        <v>10</v>
      </c>
      <c r="F4435" s="2" t="s">
        <v>2098</v>
      </c>
      <c r="G4435" t="s">
        <v>352</v>
      </c>
      <c r="H4435" t="s">
        <v>1459</v>
      </c>
      <c r="I4435" t="s">
        <v>22</v>
      </c>
      <c r="J4435" s="2" t="s">
        <v>42</v>
      </c>
      <c r="K4435" s="2" t="s">
        <v>3019</v>
      </c>
      <c r="L4435" t="s">
        <v>25</v>
      </c>
      <c r="M4435" s="8">
        <v>1.1910000000000001</v>
      </c>
      <c r="N4435" t="s">
        <v>26</v>
      </c>
      <c r="O4435" s="8">
        <v>1.1910000000000001</v>
      </c>
      <c r="P4435" s="8">
        <f>EXP(-1.363+3.366*LOG(O4435,10))</f>
        <v>0.33039016297752993</v>
      </c>
      <c r="Q4435" s="8">
        <f>(3359412*100)/3462762</f>
        <v>97.015388294084318</v>
      </c>
    </row>
    <row r="4436" spans="1:17" x14ac:dyDescent="0.2">
      <c r="A4436">
        <f>YEAR(D4436)</f>
        <v>2019</v>
      </c>
      <c r="B4436" t="s">
        <v>26</v>
      </c>
      <c r="C4436" s="2" t="s">
        <v>3020</v>
      </c>
      <c r="D4436" s="1">
        <v>43748</v>
      </c>
      <c r="E4436">
        <f>MONTH(D4436)</f>
        <v>10</v>
      </c>
      <c r="F4436" s="2" t="s">
        <v>2098</v>
      </c>
      <c r="G4436" t="s">
        <v>352</v>
      </c>
      <c r="H4436" t="s">
        <v>1459</v>
      </c>
      <c r="I4436" t="s">
        <v>36</v>
      </c>
      <c r="J4436" s="2" t="s">
        <v>42</v>
      </c>
      <c r="K4436" s="2" t="s">
        <v>3019</v>
      </c>
      <c r="L4436" t="s">
        <v>25</v>
      </c>
      <c r="M4436" s="8">
        <v>1.0913333329999999</v>
      </c>
      <c r="N4436" t="s">
        <v>26</v>
      </c>
      <c r="O4436" s="8">
        <v>1.0913333329999999</v>
      </c>
      <c r="P4436" s="8">
        <f>EXP(-1.363+3.366*LOG(O4436,10))</f>
        <v>0.29076633015787234</v>
      </c>
      <c r="Q4436" s="8">
        <f>(3359412*100)/3462762</f>
        <v>97.015388294084318</v>
      </c>
    </row>
    <row r="4437" spans="1:17" x14ac:dyDescent="0.2">
      <c r="A4437">
        <f>YEAR(D4437)</f>
        <v>2019</v>
      </c>
      <c r="B4437" t="s">
        <v>26</v>
      </c>
      <c r="C4437" s="2" t="s">
        <v>3020</v>
      </c>
      <c r="D4437" s="1">
        <v>43748</v>
      </c>
      <c r="E4437">
        <f>MONTH(D4437)</f>
        <v>10</v>
      </c>
      <c r="F4437" s="2" t="s">
        <v>2098</v>
      </c>
      <c r="G4437" t="s">
        <v>352</v>
      </c>
      <c r="H4437" t="s">
        <v>728</v>
      </c>
      <c r="I4437" t="s">
        <v>36</v>
      </c>
      <c r="J4437" s="2" t="s">
        <v>42</v>
      </c>
      <c r="K4437" s="2" t="s">
        <v>3019</v>
      </c>
      <c r="L4437" t="s">
        <v>187</v>
      </c>
      <c r="M4437" s="8">
        <v>1.376333333</v>
      </c>
      <c r="N4437" t="s">
        <v>26</v>
      </c>
      <c r="O4437" s="8">
        <v>1.376333333</v>
      </c>
      <c r="P4437" s="8">
        <f>EXP(-1.363+3.366*LOG(O4437,10))</f>
        <v>0.40817622737824627</v>
      </c>
      <c r="Q4437" s="8">
        <f>(3359412*100)/3462762</f>
        <v>97.015388294084318</v>
      </c>
    </row>
    <row r="4438" spans="1:17" x14ac:dyDescent="0.2">
      <c r="A4438">
        <f>YEAR(D4438)</f>
        <v>2019</v>
      </c>
      <c r="B4438" t="s">
        <v>26</v>
      </c>
      <c r="C4438" s="2" t="s">
        <v>3020</v>
      </c>
      <c r="D4438" s="1">
        <v>43748</v>
      </c>
      <c r="E4438">
        <f>MONTH(D4438)</f>
        <v>10</v>
      </c>
      <c r="F4438" s="2" t="s">
        <v>2098</v>
      </c>
      <c r="G4438" t="s">
        <v>352</v>
      </c>
      <c r="H4438" t="s">
        <v>1459</v>
      </c>
      <c r="I4438" t="s">
        <v>22</v>
      </c>
      <c r="J4438" s="2" t="s">
        <v>42</v>
      </c>
      <c r="K4438" s="2" t="s">
        <v>3019</v>
      </c>
      <c r="L4438" t="s">
        <v>25</v>
      </c>
      <c r="M4438" s="8">
        <v>1.1910000000000001</v>
      </c>
      <c r="N4438" t="s">
        <v>26</v>
      </c>
      <c r="O4438" s="8">
        <v>1.1910000000000001</v>
      </c>
      <c r="P4438" s="8">
        <f>EXP(-1.363+3.366*LOG(O4438,10))</f>
        <v>0.33039016297752993</v>
      </c>
      <c r="Q4438" s="8">
        <f>(3359412*100)/3462762</f>
        <v>97.015388294084318</v>
      </c>
    </row>
    <row r="4439" spans="1:17" x14ac:dyDescent="0.2">
      <c r="A4439">
        <f>YEAR(D4439)</f>
        <v>2019</v>
      </c>
      <c r="B4439" t="s">
        <v>26</v>
      </c>
      <c r="C4439" s="2" t="s">
        <v>3020</v>
      </c>
      <c r="D4439" s="1">
        <v>43748</v>
      </c>
      <c r="E4439">
        <f>MONTH(D4439)</f>
        <v>10</v>
      </c>
      <c r="F4439" s="2" t="s">
        <v>2098</v>
      </c>
      <c r="G4439" t="s">
        <v>352</v>
      </c>
      <c r="H4439" t="s">
        <v>1459</v>
      </c>
      <c r="I4439" t="s">
        <v>22</v>
      </c>
      <c r="J4439" s="2" t="s">
        <v>42</v>
      </c>
      <c r="K4439" s="2" t="s">
        <v>3019</v>
      </c>
      <c r="L4439" t="s">
        <v>25</v>
      </c>
      <c r="M4439" s="8">
        <v>1.1910000000000001</v>
      </c>
      <c r="N4439" t="s">
        <v>26</v>
      </c>
      <c r="O4439" s="8">
        <v>1.1910000000000001</v>
      </c>
      <c r="P4439" s="8">
        <f>EXP(-1.363+3.366*LOG(O4439,10))</f>
        <v>0.33039016297752993</v>
      </c>
      <c r="Q4439" s="8">
        <f>(3359412*100)/3462762</f>
        <v>97.015388294084318</v>
      </c>
    </row>
    <row r="4440" spans="1:17" x14ac:dyDescent="0.2">
      <c r="A4440">
        <f>YEAR(D4440)</f>
        <v>2019</v>
      </c>
      <c r="B4440" t="s">
        <v>26</v>
      </c>
      <c r="C4440" s="2" t="s">
        <v>3020</v>
      </c>
      <c r="D4440" s="1">
        <v>43748</v>
      </c>
      <c r="E4440">
        <f>MONTH(D4440)</f>
        <v>10</v>
      </c>
      <c r="F4440" s="2" t="s">
        <v>2098</v>
      </c>
      <c r="G4440" t="s">
        <v>352</v>
      </c>
      <c r="H4440" t="s">
        <v>1459</v>
      </c>
      <c r="I4440" t="s">
        <v>22</v>
      </c>
      <c r="J4440" s="2" t="s">
        <v>42</v>
      </c>
      <c r="K4440" s="2" t="s">
        <v>3019</v>
      </c>
      <c r="L4440" t="s">
        <v>25</v>
      </c>
      <c r="M4440" s="8">
        <v>1.1910000000000001</v>
      </c>
      <c r="N4440" t="s">
        <v>26</v>
      </c>
      <c r="O4440" s="8">
        <v>1.1910000000000001</v>
      </c>
      <c r="P4440" s="8">
        <f>EXP(-1.363+3.366*LOG(O4440,10))</f>
        <v>0.33039016297752993</v>
      </c>
      <c r="Q4440" s="8">
        <f>(3359412*100)/3462762</f>
        <v>97.015388294084318</v>
      </c>
    </row>
    <row r="4441" spans="1:17" x14ac:dyDescent="0.2">
      <c r="A4441">
        <f>YEAR(D4441)</f>
        <v>2019</v>
      </c>
      <c r="B4441" t="s">
        <v>26</v>
      </c>
      <c r="C4441" s="2" t="s">
        <v>3020</v>
      </c>
      <c r="D4441" s="1">
        <v>43748</v>
      </c>
      <c r="E4441">
        <f>MONTH(D4441)</f>
        <v>10</v>
      </c>
      <c r="F4441" s="2" t="s">
        <v>2098</v>
      </c>
      <c r="G4441" t="s">
        <v>352</v>
      </c>
      <c r="H4441" t="s">
        <v>1459</v>
      </c>
      <c r="I4441" t="s">
        <v>22</v>
      </c>
      <c r="J4441" s="2" t="s">
        <v>42</v>
      </c>
      <c r="K4441" s="2" t="s">
        <v>3019</v>
      </c>
      <c r="L4441" t="s">
        <v>25</v>
      </c>
      <c r="M4441" s="8">
        <v>1.1910000000000001</v>
      </c>
      <c r="N4441" t="s">
        <v>26</v>
      </c>
      <c r="O4441" s="8">
        <v>1.1910000000000001</v>
      </c>
      <c r="P4441" s="8">
        <f>EXP(-1.363+3.366*LOG(O4441,10))</f>
        <v>0.33039016297752993</v>
      </c>
      <c r="Q4441" s="8">
        <f>(3359412*100)/3462762</f>
        <v>97.015388294084318</v>
      </c>
    </row>
    <row r="4442" spans="1:17" x14ac:dyDescent="0.2">
      <c r="A4442">
        <f>YEAR(D4442)</f>
        <v>2019</v>
      </c>
      <c r="B4442" t="s">
        <v>26</v>
      </c>
      <c r="C4442" s="2" t="s">
        <v>3020</v>
      </c>
      <c r="D4442" s="1">
        <v>43748</v>
      </c>
      <c r="E4442">
        <f>MONTH(D4442)</f>
        <v>10</v>
      </c>
      <c r="F4442" s="2" t="s">
        <v>2098</v>
      </c>
      <c r="G4442" t="s">
        <v>352</v>
      </c>
      <c r="H4442" t="s">
        <v>1459</v>
      </c>
      <c r="I4442" t="s">
        <v>22</v>
      </c>
      <c r="J4442" s="2" t="s">
        <v>42</v>
      </c>
      <c r="K4442" s="2" t="s">
        <v>3019</v>
      </c>
      <c r="L4442" t="s">
        <v>25</v>
      </c>
      <c r="M4442" s="8">
        <v>1.1910000000000001</v>
      </c>
      <c r="N4442" t="s">
        <v>26</v>
      </c>
      <c r="O4442" s="8">
        <v>1.1910000000000001</v>
      </c>
      <c r="P4442" s="8">
        <f>EXP(-1.363+3.366*LOG(O4442,10))</f>
        <v>0.33039016297752993</v>
      </c>
      <c r="Q4442" s="8">
        <f>(3359412*100)/3462762</f>
        <v>97.015388294084318</v>
      </c>
    </row>
    <row r="4443" spans="1:17" x14ac:dyDescent="0.2">
      <c r="A4443">
        <f>YEAR(D4443)</f>
        <v>2019</v>
      </c>
      <c r="B4443" t="s">
        <v>26</v>
      </c>
      <c r="C4443" s="2" t="s">
        <v>1540</v>
      </c>
      <c r="D4443" s="1">
        <v>43752</v>
      </c>
      <c r="E4443">
        <f>MONTH(D4443)</f>
        <v>10</v>
      </c>
      <c r="F4443" s="2" t="s">
        <v>2098</v>
      </c>
      <c r="G4443" t="s">
        <v>230</v>
      </c>
      <c r="H4443" t="s">
        <v>231</v>
      </c>
      <c r="I4443" t="s">
        <v>22</v>
      </c>
      <c r="J4443" s="2" t="s">
        <v>42</v>
      </c>
      <c r="K4443" s="2" t="s">
        <v>3019</v>
      </c>
      <c r="L4443" t="s">
        <v>25</v>
      </c>
      <c r="M4443" s="8" t="s">
        <v>26</v>
      </c>
      <c r="N4443" t="s">
        <v>26</v>
      </c>
      <c r="O4443" s="8" t="s">
        <v>26</v>
      </c>
      <c r="P4443" s="8" t="s">
        <v>26</v>
      </c>
      <c r="Q4443" s="8">
        <f>(2618262*100)/2995732</f>
        <v>87.399740697766021</v>
      </c>
    </row>
    <row r="4444" spans="1:17" x14ac:dyDescent="0.2">
      <c r="A4444">
        <f>YEAR(D4444)</f>
        <v>2019</v>
      </c>
      <c r="B4444" t="s">
        <v>26</v>
      </c>
      <c r="C4444" s="2" t="s">
        <v>3023</v>
      </c>
      <c r="D4444" s="1">
        <v>43752</v>
      </c>
      <c r="E4444">
        <f>MONTH(D4444)</f>
        <v>10</v>
      </c>
      <c r="F4444" s="2" t="s">
        <v>2098</v>
      </c>
      <c r="G4444" t="s">
        <v>219</v>
      </c>
      <c r="H4444" t="s">
        <v>220</v>
      </c>
      <c r="I4444" t="s">
        <v>22</v>
      </c>
      <c r="J4444" s="2" t="s">
        <v>42</v>
      </c>
      <c r="K4444" s="2" t="s">
        <v>3019</v>
      </c>
      <c r="L4444" t="s">
        <v>25</v>
      </c>
      <c r="M4444" s="10" t="s">
        <v>26</v>
      </c>
      <c r="N4444" t="s">
        <v>26</v>
      </c>
      <c r="O4444" s="10" t="s">
        <v>26</v>
      </c>
      <c r="P4444" s="8" t="s">
        <v>26</v>
      </c>
      <c r="Q4444" s="8">
        <f>(8197453*100)/8541008</f>
        <v>95.977582505484136</v>
      </c>
    </row>
    <row r="4445" spans="1:17" x14ac:dyDescent="0.2">
      <c r="A4445">
        <f>YEAR(D4445)</f>
        <v>2019</v>
      </c>
      <c r="B4445" t="s">
        <v>26</v>
      </c>
      <c r="C4445" s="2" t="s">
        <v>3023</v>
      </c>
      <c r="D4445" s="1">
        <v>43752</v>
      </c>
      <c r="E4445">
        <f>MONTH(D4445)</f>
        <v>10</v>
      </c>
      <c r="F4445" s="2" t="s">
        <v>2098</v>
      </c>
      <c r="G4445" t="s">
        <v>219</v>
      </c>
      <c r="H4445" t="s">
        <v>220</v>
      </c>
      <c r="I4445" t="s">
        <v>22</v>
      </c>
      <c r="J4445" s="2" t="s">
        <v>42</v>
      </c>
      <c r="K4445" s="2" t="s">
        <v>3019</v>
      </c>
      <c r="L4445" t="s">
        <v>25</v>
      </c>
      <c r="M4445" s="10" t="s">
        <v>26</v>
      </c>
      <c r="N4445" t="s">
        <v>26</v>
      </c>
      <c r="O4445" s="10" t="s">
        <v>26</v>
      </c>
      <c r="P4445" s="8" t="s">
        <v>26</v>
      </c>
      <c r="Q4445" s="8">
        <f>(8197453*100)/8541008</f>
        <v>95.977582505484136</v>
      </c>
    </row>
    <row r="4446" spans="1:17" x14ac:dyDescent="0.2">
      <c r="A4446">
        <f>YEAR(D4446)</f>
        <v>2019</v>
      </c>
      <c r="B4446" t="s">
        <v>26</v>
      </c>
      <c r="C4446" s="2" t="s">
        <v>3023</v>
      </c>
      <c r="D4446" s="1">
        <v>43752</v>
      </c>
      <c r="E4446">
        <f>MONTH(D4446)</f>
        <v>10</v>
      </c>
      <c r="F4446" s="2" t="s">
        <v>2098</v>
      </c>
      <c r="G4446" t="s">
        <v>219</v>
      </c>
      <c r="H4446" t="s">
        <v>220</v>
      </c>
      <c r="I4446" t="s">
        <v>22</v>
      </c>
      <c r="J4446" s="2" t="s">
        <v>42</v>
      </c>
      <c r="K4446" s="2" t="s">
        <v>3019</v>
      </c>
      <c r="L4446" t="s">
        <v>25</v>
      </c>
      <c r="M4446" s="10" t="s">
        <v>26</v>
      </c>
      <c r="N4446" t="s">
        <v>26</v>
      </c>
      <c r="O4446" s="10" t="s">
        <v>26</v>
      </c>
      <c r="P4446" s="8" t="s">
        <v>26</v>
      </c>
      <c r="Q4446" s="8">
        <f>(8197453*100)/8541008</f>
        <v>95.977582505484136</v>
      </c>
    </row>
    <row r="4447" spans="1:17" x14ac:dyDescent="0.2">
      <c r="A4447">
        <f>YEAR(D4447)</f>
        <v>2019</v>
      </c>
      <c r="B4447" t="s">
        <v>26</v>
      </c>
      <c r="C4447" s="2" t="s">
        <v>3023</v>
      </c>
      <c r="D4447" s="1">
        <v>43752</v>
      </c>
      <c r="E4447">
        <f>MONTH(D4447)</f>
        <v>10</v>
      </c>
      <c r="F4447" s="2" t="s">
        <v>2098</v>
      </c>
      <c r="G4447" t="s">
        <v>219</v>
      </c>
      <c r="H4447" t="s">
        <v>220</v>
      </c>
      <c r="I4447" t="s">
        <v>22</v>
      </c>
      <c r="J4447" s="2" t="s">
        <v>42</v>
      </c>
      <c r="K4447" s="2" t="s">
        <v>3019</v>
      </c>
      <c r="L4447" t="s">
        <v>25</v>
      </c>
      <c r="M4447" s="10" t="s">
        <v>26</v>
      </c>
      <c r="N4447" t="s">
        <v>26</v>
      </c>
      <c r="O4447" s="10" t="s">
        <v>26</v>
      </c>
      <c r="P4447" s="8" t="s">
        <v>26</v>
      </c>
      <c r="Q4447" s="8">
        <f>(8197453*100)/8541008</f>
        <v>95.977582505484136</v>
      </c>
    </row>
    <row r="4448" spans="1:17" x14ac:dyDescent="0.2">
      <c r="A4448">
        <f>YEAR(D4448)</f>
        <v>2019</v>
      </c>
      <c r="B4448" t="s">
        <v>26</v>
      </c>
      <c r="C4448" s="2" t="s">
        <v>3023</v>
      </c>
      <c r="D4448" s="1">
        <v>43752</v>
      </c>
      <c r="E4448">
        <f>MONTH(D4448)</f>
        <v>10</v>
      </c>
      <c r="F4448" s="2" t="s">
        <v>2098</v>
      </c>
      <c r="G4448" t="s">
        <v>219</v>
      </c>
      <c r="H4448" t="s">
        <v>220</v>
      </c>
      <c r="I4448" t="s">
        <v>22</v>
      </c>
      <c r="J4448" s="2" t="s">
        <v>42</v>
      </c>
      <c r="K4448" s="2" t="s">
        <v>3019</v>
      </c>
      <c r="L4448" t="s">
        <v>25</v>
      </c>
      <c r="M4448" s="10" t="s">
        <v>26</v>
      </c>
      <c r="N4448" t="s">
        <v>26</v>
      </c>
      <c r="O4448" s="10" t="s">
        <v>26</v>
      </c>
      <c r="P4448" s="8" t="s">
        <v>26</v>
      </c>
      <c r="Q4448" s="8">
        <f>(8197453*100)/8541008</f>
        <v>95.977582505484136</v>
      </c>
    </row>
    <row r="4449" spans="1:17" x14ac:dyDescent="0.2">
      <c r="A4449">
        <f>YEAR(D4449)</f>
        <v>2019</v>
      </c>
      <c r="B4449" t="s">
        <v>26</v>
      </c>
      <c r="C4449" s="2" t="s">
        <v>3024</v>
      </c>
      <c r="D4449" s="1">
        <v>43753</v>
      </c>
      <c r="E4449">
        <f>MONTH(D4449)</f>
        <v>10</v>
      </c>
      <c r="F4449" s="2" t="s">
        <v>2098</v>
      </c>
      <c r="G4449" t="s">
        <v>219</v>
      </c>
      <c r="H4449" t="s">
        <v>220</v>
      </c>
      <c r="I4449" t="s">
        <v>22</v>
      </c>
      <c r="J4449" s="2" t="s">
        <v>42</v>
      </c>
      <c r="K4449" s="2" t="s">
        <v>3019</v>
      </c>
      <c r="L4449" t="s">
        <v>25</v>
      </c>
      <c r="M4449" s="10" t="s">
        <v>26</v>
      </c>
      <c r="N4449" t="s">
        <v>26</v>
      </c>
      <c r="O4449" s="10" t="s">
        <v>26</v>
      </c>
      <c r="P4449" s="8" t="s">
        <v>26</v>
      </c>
      <c r="Q4449" s="8">
        <f>(2412691*100)/2623642</f>
        <v>91.959611867777696</v>
      </c>
    </row>
    <row r="4450" spans="1:17" x14ac:dyDescent="0.2">
      <c r="A4450">
        <f>YEAR(D4450)</f>
        <v>2019</v>
      </c>
      <c r="B4450" t="s">
        <v>26</v>
      </c>
      <c r="C4450" s="2" t="s">
        <v>3024</v>
      </c>
      <c r="D4450" s="1">
        <v>43753</v>
      </c>
      <c r="E4450">
        <f>MONTH(D4450)</f>
        <v>10</v>
      </c>
      <c r="F4450" s="2" t="s">
        <v>2098</v>
      </c>
      <c r="G4450" t="s">
        <v>219</v>
      </c>
      <c r="H4450" t="s">
        <v>220</v>
      </c>
      <c r="I4450" t="s">
        <v>22</v>
      </c>
      <c r="J4450" s="2" t="s">
        <v>42</v>
      </c>
      <c r="K4450" s="2" t="s">
        <v>3019</v>
      </c>
      <c r="L4450" t="s">
        <v>25</v>
      </c>
      <c r="M4450" s="10" t="s">
        <v>26</v>
      </c>
      <c r="N4450" t="s">
        <v>26</v>
      </c>
      <c r="O4450" s="10" t="s">
        <v>26</v>
      </c>
      <c r="P4450" s="8" t="s">
        <v>26</v>
      </c>
      <c r="Q4450" s="8">
        <f>(2412691*100)/2623642</f>
        <v>91.959611867777696</v>
      </c>
    </row>
    <row r="4451" spans="1:17" x14ac:dyDescent="0.2">
      <c r="A4451">
        <f>YEAR(D4451)</f>
        <v>2019</v>
      </c>
      <c r="B4451" t="s">
        <v>26</v>
      </c>
      <c r="C4451" s="2" t="s">
        <v>3024</v>
      </c>
      <c r="D4451" s="1">
        <v>43753</v>
      </c>
      <c r="E4451">
        <f>MONTH(D4451)</f>
        <v>10</v>
      </c>
      <c r="F4451" s="2" t="s">
        <v>2098</v>
      </c>
      <c r="G4451" t="s">
        <v>219</v>
      </c>
      <c r="H4451" t="s">
        <v>220</v>
      </c>
      <c r="I4451" t="s">
        <v>22</v>
      </c>
      <c r="J4451" s="2" t="s">
        <v>42</v>
      </c>
      <c r="K4451" s="2" t="s">
        <v>3019</v>
      </c>
      <c r="L4451" t="s">
        <v>25</v>
      </c>
      <c r="M4451" s="10" t="s">
        <v>26</v>
      </c>
      <c r="N4451" t="s">
        <v>26</v>
      </c>
      <c r="O4451" s="10" t="s">
        <v>26</v>
      </c>
      <c r="P4451" s="8" t="s">
        <v>26</v>
      </c>
      <c r="Q4451" s="8">
        <f>(2412691*100)/2623642</f>
        <v>91.959611867777696</v>
      </c>
    </row>
    <row r="4452" spans="1:17" x14ac:dyDescent="0.2">
      <c r="A4452">
        <f>YEAR(D4452)</f>
        <v>2019</v>
      </c>
      <c r="B4452" t="s">
        <v>26</v>
      </c>
      <c r="C4452" s="2" t="s">
        <v>3024</v>
      </c>
      <c r="D4452" s="1">
        <v>43753</v>
      </c>
      <c r="E4452">
        <f>MONTH(D4452)</f>
        <v>10</v>
      </c>
      <c r="F4452" s="2" t="s">
        <v>2098</v>
      </c>
      <c r="G4452" t="s">
        <v>219</v>
      </c>
      <c r="H4452" t="s">
        <v>220</v>
      </c>
      <c r="I4452" t="s">
        <v>22</v>
      </c>
      <c r="J4452" s="2" t="s">
        <v>42</v>
      </c>
      <c r="K4452" s="2" t="s">
        <v>3019</v>
      </c>
      <c r="L4452" t="s">
        <v>25</v>
      </c>
      <c r="M4452" s="10" t="s">
        <v>26</v>
      </c>
      <c r="N4452" t="s">
        <v>26</v>
      </c>
      <c r="O4452" s="10" t="s">
        <v>26</v>
      </c>
      <c r="P4452" s="8" t="s">
        <v>26</v>
      </c>
      <c r="Q4452" s="8">
        <f>(2412691*100)/2623642</f>
        <v>91.959611867777696</v>
      </c>
    </row>
    <row r="4453" spans="1:17" x14ac:dyDescent="0.2">
      <c r="A4453">
        <f>YEAR(D4453)</f>
        <v>2019</v>
      </c>
      <c r="B4453" t="s">
        <v>26</v>
      </c>
      <c r="C4453" s="2" t="s">
        <v>3024</v>
      </c>
      <c r="D4453" s="1">
        <v>43753</v>
      </c>
      <c r="E4453">
        <f>MONTH(D4453)</f>
        <v>10</v>
      </c>
      <c r="F4453" s="2" t="s">
        <v>2098</v>
      </c>
      <c r="G4453" t="s">
        <v>219</v>
      </c>
      <c r="H4453" t="s">
        <v>220</v>
      </c>
      <c r="I4453" t="s">
        <v>22</v>
      </c>
      <c r="J4453" s="2" t="s">
        <v>42</v>
      </c>
      <c r="K4453" s="2" t="s">
        <v>3019</v>
      </c>
      <c r="L4453" t="s">
        <v>25</v>
      </c>
      <c r="M4453" s="10" t="s">
        <v>26</v>
      </c>
      <c r="N4453" t="s">
        <v>26</v>
      </c>
      <c r="O4453" s="10" t="s">
        <v>26</v>
      </c>
      <c r="P4453" s="8" t="s">
        <v>26</v>
      </c>
      <c r="Q4453" s="8">
        <f>(2412691*100)/2623642</f>
        <v>91.959611867777696</v>
      </c>
    </row>
    <row r="4454" spans="1:17" x14ac:dyDescent="0.2">
      <c r="A4454">
        <f>YEAR(D4454)</f>
        <v>2019</v>
      </c>
      <c r="B4454" t="s">
        <v>26</v>
      </c>
      <c r="C4454" s="2" t="s">
        <v>3024</v>
      </c>
      <c r="D4454" s="1">
        <v>43753</v>
      </c>
      <c r="E4454">
        <f>MONTH(D4454)</f>
        <v>10</v>
      </c>
      <c r="F4454" s="2" t="s">
        <v>2098</v>
      </c>
      <c r="G4454" t="s">
        <v>219</v>
      </c>
      <c r="H4454" t="s">
        <v>220</v>
      </c>
      <c r="I4454" t="s">
        <v>22</v>
      </c>
      <c r="J4454" s="2" t="s">
        <v>42</v>
      </c>
      <c r="K4454" s="2" t="s">
        <v>3019</v>
      </c>
      <c r="L4454" t="s">
        <v>25</v>
      </c>
      <c r="M4454" s="10" t="s">
        <v>26</v>
      </c>
      <c r="N4454" t="s">
        <v>26</v>
      </c>
      <c r="O4454" s="10" t="s">
        <v>26</v>
      </c>
      <c r="P4454" s="8" t="s">
        <v>26</v>
      </c>
      <c r="Q4454" s="8">
        <f>(2412691*100)/2623642</f>
        <v>91.959611867777696</v>
      </c>
    </row>
    <row r="4455" spans="1:17" x14ac:dyDescent="0.2">
      <c r="A4455">
        <f>YEAR(D4455)</f>
        <v>2019</v>
      </c>
      <c r="B4455" t="s">
        <v>26</v>
      </c>
      <c r="C4455" s="2" t="s">
        <v>3024</v>
      </c>
      <c r="D4455" s="1">
        <v>43753</v>
      </c>
      <c r="E4455">
        <f>MONTH(D4455)</f>
        <v>10</v>
      </c>
      <c r="F4455" s="2" t="s">
        <v>2098</v>
      </c>
      <c r="G4455" t="s">
        <v>219</v>
      </c>
      <c r="H4455" t="s">
        <v>220</v>
      </c>
      <c r="I4455" t="s">
        <v>22</v>
      </c>
      <c r="J4455" s="2" t="s">
        <v>42</v>
      </c>
      <c r="K4455" s="2" t="s">
        <v>3019</v>
      </c>
      <c r="L4455" t="s">
        <v>25</v>
      </c>
      <c r="M4455" s="10" t="s">
        <v>26</v>
      </c>
      <c r="N4455" t="s">
        <v>26</v>
      </c>
      <c r="O4455" s="10" t="s">
        <v>26</v>
      </c>
      <c r="P4455" s="8" t="s">
        <v>26</v>
      </c>
      <c r="Q4455" s="8">
        <f>(2412691*100)/2623642</f>
        <v>91.959611867777696</v>
      </c>
    </row>
    <row r="4456" spans="1:17" x14ac:dyDescent="0.2">
      <c r="A4456">
        <f>YEAR(D4456)</f>
        <v>2019</v>
      </c>
      <c r="B4456" t="s">
        <v>26</v>
      </c>
      <c r="C4456" s="2" t="s">
        <v>3024</v>
      </c>
      <c r="D4456" s="1">
        <v>43753</v>
      </c>
      <c r="E4456">
        <f>MONTH(D4456)</f>
        <v>10</v>
      </c>
      <c r="F4456" s="2" t="s">
        <v>2098</v>
      </c>
      <c r="G4456" t="s">
        <v>219</v>
      </c>
      <c r="H4456" t="s">
        <v>220</v>
      </c>
      <c r="I4456" t="s">
        <v>22</v>
      </c>
      <c r="J4456" s="2" t="s">
        <v>42</v>
      </c>
      <c r="K4456" s="2" t="s">
        <v>3019</v>
      </c>
      <c r="L4456" t="s">
        <v>25</v>
      </c>
      <c r="M4456" s="10" t="s">
        <v>26</v>
      </c>
      <c r="N4456" t="s">
        <v>26</v>
      </c>
      <c r="O4456" s="10" t="s">
        <v>26</v>
      </c>
      <c r="P4456" s="8" t="s">
        <v>26</v>
      </c>
      <c r="Q4456" s="8">
        <f>(2412691*100)/2623642</f>
        <v>91.959611867777696</v>
      </c>
    </row>
    <row r="4457" spans="1:17" x14ac:dyDescent="0.2">
      <c r="A4457">
        <f>YEAR(D4457)</f>
        <v>2019</v>
      </c>
      <c r="B4457" t="s">
        <v>26</v>
      </c>
      <c r="C4457" s="2" t="s">
        <v>3024</v>
      </c>
      <c r="D4457" s="1">
        <v>43753</v>
      </c>
      <c r="E4457">
        <f>MONTH(D4457)</f>
        <v>10</v>
      </c>
      <c r="F4457" s="2" t="s">
        <v>2098</v>
      </c>
      <c r="G4457" t="s">
        <v>219</v>
      </c>
      <c r="H4457" t="s">
        <v>220</v>
      </c>
      <c r="I4457" t="s">
        <v>22</v>
      </c>
      <c r="J4457" s="2" t="s">
        <v>42</v>
      </c>
      <c r="K4457" s="2" t="s">
        <v>3019</v>
      </c>
      <c r="L4457" t="s">
        <v>25</v>
      </c>
      <c r="M4457" s="10" t="s">
        <v>26</v>
      </c>
      <c r="N4457" t="s">
        <v>26</v>
      </c>
      <c r="O4457" s="10" t="s">
        <v>26</v>
      </c>
      <c r="P4457" s="8" t="s">
        <v>26</v>
      </c>
      <c r="Q4457" s="8">
        <f>(2412691*100)/2623642</f>
        <v>91.959611867777696</v>
      </c>
    </row>
    <row r="4458" spans="1:17" x14ac:dyDescent="0.2">
      <c r="A4458">
        <f>YEAR(D4458)</f>
        <v>2019</v>
      </c>
      <c r="B4458" t="s">
        <v>26</v>
      </c>
      <c r="C4458" s="2" t="s">
        <v>3024</v>
      </c>
      <c r="D4458" s="1">
        <v>43753</v>
      </c>
      <c r="E4458">
        <f>MONTH(D4458)</f>
        <v>10</v>
      </c>
      <c r="F4458" s="2" t="s">
        <v>2098</v>
      </c>
      <c r="G4458" t="s">
        <v>219</v>
      </c>
      <c r="H4458" t="s">
        <v>220</v>
      </c>
      <c r="I4458" t="s">
        <v>22</v>
      </c>
      <c r="J4458" s="2" t="s">
        <v>42</v>
      </c>
      <c r="K4458" s="2" t="s">
        <v>3019</v>
      </c>
      <c r="L4458" t="s">
        <v>25</v>
      </c>
      <c r="M4458" s="10" t="s">
        <v>26</v>
      </c>
      <c r="N4458" t="s">
        <v>26</v>
      </c>
      <c r="O4458" s="10" t="s">
        <v>26</v>
      </c>
      <c r="P4458" s="8" t="s">
        <v>26</v>
      </c>
      <c r="Q4458" s="8">
        <f>(2412691*100)/2623642</f>
        <v>91.959611867777696</v>
      </c>
    </row>
    <row r="4459" spans="1:17" x14ac:dyDescent="0.2">
      <c r="A4459">
        <f>YEAR(D4459)</f>
        <v>2019</v>
      </c>
      <c r="B4459" t="s">
        <v>26</v>
      </c>
      <c r="C4459" s="2" t="s">
        <v>1540</v>
      </c>
      <c r="D4459" s="1">
        <v>43752</v>
      </c>
      <c r="E4459">
        <f>MONTH(D4459)</f>
        <v>10</v>
      </c>
      <c r="F4459" s="2" t="s">
        <v>2098</v>
      </c>
      <c r="G4459" t="s">
        <v>230</v>
      </c>
      <c r="H4459" t="s">
        <v>268</v>
      </c>
      <c r="I4459" t="s">
        <v>22</v>
      </c>
      <c r="J4459" s="2" t="s">
        <v>42</v>
      </c>
      <c r="K4459" s="2" t="s">
        <v>3019</v>
      </c>
      <c r="L4459" t="s">
        <v>25</v>
      </c>
      <c r="M4459" s="8">
        <v>3.5356666670000001</v>
      </c>
      <c r="N4459" t="s">
        <v>26</v>
      </c>
      <c r="O4459" s="8">
        <v>3.5356666670000001</v>
      </c>
      <c r="P4459" s="8">
        <f>EXP(-1.363+3.366*LOG(O4459,10))</f>
        <v>1.6211802664427075</v>
      </c>
      <c r="Q4459" s="8">
        <f>(2618262*100)/2995732</f>
        <v>87.399740697766021</v>
      </c>
    </row>
    <row r="4460" spans="1:17" x14ac:dyDescent="0.2">
      <c r="A4460">
        <f>YEAR(D4460)</f>
        <v>2019</v>
      </c>
      <c r="B4460" t="s">
        <v>26</v>
      </c>
      <c r="C4460" s="2" t="s">
        <v>1540</v>
      </c>
      <c r="D4460" s="1">
        <v>43752</v>
      </c>
      <c r="E4460">
        <f>MONTH(D4460)</f>
        <v>10</v>
      </c>
      <c r="F4460" s="2" t="s">
        <v>2098</v>
      </c>
      <c r="G4460" t="s">
        <v>230</v>
      </c>
      <c r="H4460" t="s">
        <v>268</v>
      </c>
      <c r="I4460" t="s">
        <v>22</v>
      </c>
      <c r="J4460" s="2" t="s">
        <v>42</v>
      </c>
      <c r="K4460" s="2" t="s">
        <v>3019</v>
      </c>
      <c r="L4460" t="s">
        <v>25</v>
      </c>
      <c r="M4460" s="8">
        <v>3.5356666670000001</v>
      </c>
      <c r="N4460" t="s">
        <v>26</v>
      </c>
      <c r="O4460" s="8">
        <v>3.5356666670000001</v>
      </c>
      <c r="P4460" s="8">
        <f>EXP(-1.363+3.366*LOG(O4460,10))</f>
        <v>1.6211802664427075</v>
      </c>
      <c r="Q4460" s="8">
        <f>(2618262*100)/2995732</f>
        <v>87.399740697766021</v>
      </c>
    </row>
    <row r="4461" spans="1:17" x14ac:dyDescent="0.2">
      <c r="A4461">
        <f>YEAR(D4461)</f>
        <v>2019</v>
      </c>
      <c r="B4461" t="s">
        <v>26</v>
      </c>
      <c r="C4461" s="2" t="s">
        <v>1540</v>
      </c>
      <c r="D4461" s="1">
        <v>43752</v>
      </c>
      <c r="E4461">
        <f>MONTH(D4461)</f>
        <v>10</v>
      </c>
      <c r="F4461" s="2" t="s">
        <v>2098</v>
      </c>
      <c r="G4461" t="s">
        <v>230</v>
      </c>
      <c r="H4461" t="s">
        <v>268</v>
      </c>
      <c r="I4461" t="s">
        <v>22</v>
      </c>
      <c r="J4461" s="2" t="s">
        <v>42</v>
      </c>
      <c r="K4461" s="2" t="s">
        <v>3019</v>
      </c>
      <c r="L4461" t="s">
        <v>25</v>
      </c>
      <c r="M4461" s="8">
        <v>3.5356666670000001</v>
      </c>
      <c r="N4461" t="s">
        <v>26</v>
      </c>
      <c r="O4461" s="8">
        <v>3.5356666670000001</v>
      </c>
      <c r="P4461" s="8">
        <f>EXP(-1.363+3.366*LOG(O4461,10))</f>
        <v>1.6211802664427075</v>
      </c>
      <c r="Q4461" s="8">
        <f>(2618262*100)/2995732</f>
        <v>87.399740697766021</v>
      </c>
    </row>
    <row r="4462" spans="1:17" x14ac:dyDescent="0.2">
      <c r="A4462">
        <f>YEAR(D4462)</f>
        <v>2019</v>
      </c>
      <c r="B4462" t="s">
        <v>26</v>
      </c>
      <c r="C4462" s="2" t="s">
        <v>1540</v>
      </c>
      <c r="D4462" s="1">
        <v>43752</v>
      </c>
      <c r="E4462">
        <f>MONTH(D4462)</f>
        <v>10</v>
      </c>
      <c r="F4462" s="2" t="s">
        <v>2098</v>
      </c>
      <c r="G4462" t="s">
        <v>230</v>
      </c>
      <c r="H4462" t="s">
        <v>255</v>
      </c>
      <c r="I4462" t="s">
        <v>36</v>
      </c>
      <c r="J4462" s="2" t="s">
        <v>42</v>
      </c>
      <c r="K4462" s="2" t="s">
        <v>3019</v>
      </c>
      <c r="L4462" t="s">
        <v>25</v>
      </c>
      <c r="M4462" s="8">
        <v>4.1180000000000003</v>
      </c>
      <c r="N4462" t="s">
        <v>26</v>
      </c>
      <c r="O4462" s="8">
        <v>4.1180000000000003</v>
      </c>
      <c r="P4462" s="8">
        <f>EXP(-1.363+3.366*LOG(O4462,10))</f>
        <v>2.0259408868315871</v>
      </c>
      <c r="Q4462" s="8">
        <f>(2618262*100)/2995732</f>
        <v>87.399740697766021</v>
      </c>
    </row>
    <row r="4463" spans="1:17" x14ac:dyDescent="0.2">
      <c r="A4463">
        <f>YEAR(D4463)</f>
        <v>2019</v>
      </c>
      <c r="B4463" t="s">
        <v>26</v>
      </c>
      <c r="C4463" s="2" t="s">
        <v>3023</v>
      </c>
      <c r="D4463" s="1">
        <v>43752</v>
      </c>
      <c r="E4463">
        <f>MONTH(D4463)</f>
        <v>10</v>
      </c>
      <c r="F4463" s="2" t="s">
        <v>2098</v>
      </c>
      <c r="G4463" t="s">
        <v>362</v>
      </c>
      <c r="H4463" t="s">
        <v>447</v>
      </c>
      <c r="I4463" t="s">
        <v>22</v>
      </c>
      <c r="J4463" s="2" t="s">
        <v>42</v>
      </c>
      <c r="K4463" s="2" t="s">
        <v>3019</v>
      </c>
      <c r="L4463" t="s">
        <v>25</v>
      </c>
      <c r="M4463" s="8">
        <v>1.421</v>
      </c>
      <c r="N4463" t="s">
        <v>26</v>
      </c>
      <c r="O4463" s="8">
        <v>1.421</v>
      </c>
      <c r="P4463" s="8">
        <f>EXP(-1.363+3.366*LOG(O4463,10))</f>
        <v>0.42768500084673816</v>
      </c>
      <c r="Q4463" s="8">
        <f>(8197453*100)/8541008</f>
        <v>95.977582505484136</v>
      </c>
    </row>
    <row r="4464" spans="1:17" x14ac:dyDescent="0.2">
      <c r="A4464">
        <f>YEAR(D4464)</f>
        <v>2019</v>
      </c>
      <c r="B4464" t="s">
        <v>26</v>
      </c>
      <c r="C4464" s="2" t="s">
        <v>3023</v>
      </c>
      <c r="D4464" s="1">
        <v>43752</v>
      </c>
      <c r="E4464">
        <f>MONTH(D4464)</f>
        <v>10</v>
      </c>
      <c r="F4464" s="2" t="s">
        <v>2098</v>
      </c>
      <c r="G4464" t="s">
        <v>352</v>
      </c>
      <c r="H4464" t="s">
        <v>1344</v>
      </c>
      <c r="I4464" t="s">
        <v>22</v>
      </c>
      <c r="J4464" s="2" t="s">
        <v>42</v>
      </c>
      <c r="K4464" s="2" t="s">
        <v>3019</v>
      </c>
      <c r="L4464" t="s">
        <v>25</v>
      </c>
      <c r="M4464" s="8">
        <v>0.91800000000000004</v>
      </c>
      <c r="N4464" t="s">
        <v>26</v>
      </c>
      <c r="O4464" s="8">
        <v>0.91800000000000004</v>
      </c>
      <c r="P4464" s="8">
        <f>EXP(-1.363+3.366*LOG(O4464,10))</f>
        <v>0.22580769814771504</v>
      </c>
      <c r="Q4464" s="8">
        <f>(8197453*100)/8541008</f>
        <v>95.977582505484136</v>
      </c>
    </row>
    <row r="4465" spans="1:17" x14ac:dyDescent="0.2">
      <c r="A4465">
        <f>YEAR(D4465)</f>
        <v>2019</v>
      </c>
      <c r="B4465" t="s">
        <v>26</v>
      </c>
      <c r="C4465" s="2" t="s">
        <v>3023</v>
      </c>
      <c r="D4465" s="1">
        <v>43752</v>
      </c>
      <c r="E4465">
        <f>MONTH(D4465)</f>
        <v>10</v>
      </c>
      <c r="F4465" s="2" t="s">
        <v>2098</v>
      </c>
      <c r="G4465" t="s">
        <v>352</v>
      </c>
      <c r="H4465" t="s">
        <v>1459</v>
      </c>
      <c r="I4465" t="s">
        <v>36</v>
      </c>
      <c r="J4465" s="2" t="s">
        <v>42</v>
      </c>
      <c r="K4465" s="2" t="s">
        <v>3019</v>
      </c>
      <c r="L4465" t="s">
        <v>25</v>
      </c>
      <c r="M4465" s="8">
        <v>1.0913333329999999</v>
      </c>
      <c r="N4465" t="s">
        <v>26</v>
      </c>
      <c r="O4465" s="8">
        <v>1.0913333329999999</v>
      </c>
      <c r="P4465" s="8">
        <f>EXP(-1.363+3.366*LOG(O4465,10))</f>
        <v>0.29076633015787234</v>
      </c>
      <c r="Q4465" s="8">
        <f>(8197453*100)/8541008</f>
        <v>95.977582505484136</v>
      </c>
    </row>
    <row r="4466" spans="1:17" x14ac:dyDescent="0.2">
      <c r="A4466">
        <f>YEAR(D4466)</f>
        <v>2019</v>
      </c>
      <c r="B4466" t="s">
        <v>26</v>
      </c>
      <c r="C4466" s="2" t="s">
        <v>3023</v>
      </c>
      <c r="D4466" s="1">
        <v>43752</v>
      </c>
      <c r="E4466">
        <f>MONTH(D4466)</f>
        <v>10</v>
      </c>
      <c r="F4466" s="2" t="s">
        <v>2098</v>
      </c>
      <c r="G4466" t="s">
        <v>352</v>
      </c>
      <c r="H4466" t="s">
        <v>1459</v>
      </c>
      <c r="I4466" t="s">
        <v>36</v>
      </c>
      <c r="J4466" s="2" t="s">
        <v>42</v>
      </c>
      <c r="K4466" s="2" t="s">
        <v>3019</v>
      </c>
      <c r="L4466" t="s">
        <v>25</v>
      </c>
      <c r="M4466" s="8">
        <v>1.0913333329999999</v>
      </c>
      <c r="N4466" t="s">
        <v>26</v>
      </c>
      <c r="O4466" s="8">
        <v>1.0913333329999999</v>
      </c>
      <c r="P4466" s="8">
        <f>EXP(-1.363+3.366*LOG(O4466,10))</f>
        <v>0.29076633015787234</v>
      </c>
      <c r="Q4466" s="8">
        <f>(8197453*100)/8541008</f>
        <v>95.977582505484136</v>
      </c>
    </row>
    <row r="4467" spans="1:17" x14ac:dyDescent="0.2">
      <c r="A4467">
        <f>YEAR(D4467)</f>
        <v>2019</v>
      </c>
      <c r="B4467" t="s">
        <v>26</v>
      </c>
      <c r="C4467" s="2" t="s">
        <v>3023</v>
      </c>
      <c r="D4467" s="1">
        <v>43752</v>
      </c>
      <c r="E4467">
        <f>MONTH(D4467)</f>
        <v>10</v>
      </c>
      <c r="F4467" s="2" t="s">
        <v>2098</v>
      </c>
      <c r="G4467" t="s">
        <v>352</v>
      </c>
      <c r="H4467" t="s">
        <v>1459</v>
      </c>
      <c r="I4467" t="s">
        <v>36</v>
      </c>
      <c r="J4467" s="2" t="s">
        <v>42</v>
      </c>
      <c r="K4467" s="2" t="s">
        <v>3019</v>
      </c>
      <c r="L4467" t="s">
        <v>25</v>
      </c>
      <c r="M4467" s="8">
        <v>1.0913333329999999</v>
      </c>
      <c r="N4467" t="s">
        <v>26</v>
      </c>
      <c r="O4467" s="8">
        <v>1.0913333329999999</v>
      </c>
      <c r="P4467" s="8">
        <f>EXP(-1.363+3.366*LOG(O4467,10))</f>
        <v>0.29076633015787234</v>
      </c>
      <c r="Q4467" s="8">
        <f>(8197453*100)/8541008</f>
        <v>95.977582505484136</v>
      </c>
    </row>
    <row r="4468" spans="1:17" x14ac:dyDescent="0.2">
      <c r="A4468">
        <f>YEAR(D4468)</f>
        <v>2019</v>
      </c>
      <c r="B4468" t="s">
        <v>26</v>
      </c>
      <c r="C4468" s="2" t="s">
        <v>3023</v>
      </c>
      <c r="D4468" s="1">
        <v>43752</v>
      </c>
      <c r="E4468">
        <f>MONTH(D4468)</f>
        <v>10</v>
      </c>
      <c r="F4468" s="2" t="s">
        <v>2098</v>
      </c>
      <c r="G4468" t="s">
        <v>352</v>
      </c>
      <c r="H4468" t="s">
        <v>728</v>
      </c>
      <c r="I4468" t="s">
        <v>22</v>
      </c>
      <c r="J4468" s="2" t="s">
        <v>42</v>
      </c>
      <c r="K4468" s="2" t="s">
        <v>3019</v>
      </c>
      <c r="L4468" t="s">
        <v>187</v>
      </c>
      <c r="M4468" s="8">
        <v>1.8093333330000001</v>
      </c>
      <c r="N4468" t="s">
        <v>26</v>
      </c>
      <c r="O4468" s="8">
        <v>1.8093333330000001</v>
      </c>
      <c r="P4468" s="8">
        <f>EXP(-1.363+3.366*LOG(O4468,10))</f>
        <v>0.6088444603462565</v>
      </c>
      <c r="Q4468" s="8">
        <f>(8197453*100)/8541008</f>
        <v>95.977582505484136</v>
      </c>
    </row>
    <row r="4469" spans="1:17" x14ac:dyDescent="0.2">
      <c r="A4469">
        <f>YEAR(D4469)</f>
        <v>2019</v>
      </c>
      <c r="B4469" t="s">
        <v>26</v>
      </c>
      <c r="C4469" s="2" t="s">
        <v>3024</v>
      </c>
      <c r="D4469" s="1">
        <v>43753</v>
      </c>
      <c r="E4469">
        <f>MONTH(D4469)</f>
        <v>10</v>
      </c>
      <c r="F4469" s="2" t="s">
        <v>2098</v>
      </c>
      <c r="G4469" t="s">
        <v>230</v>
      </c>
      <c r="H4469" t="s">
        <v>268</v>
      </c>
      <c r="I4469" t="s">
        <v>22</v>
      </c>
      <c r="J4469" s="2" t="s">
        <v>42</v>
      </c>
      <c r="K4469" s="2" t="s">
        <v>3019</v>
      </c>
      <c r="L4469" t="s">
        <v>25</v>
      </c>
      <c r="M4469" s="8">
        <v>3.5356666670000001</v>
      </c>
      <c r="N4469" t="s">
        <v>26</v>
      </c>
      <c r="O4469" s="8">
        <v>3.5356666670000001</v>
      </c>
      <c r="P4469" s="8">
        <f>EXP(-1.363+3.366*LOG(O4469,10))</f>
        <v>1.6211802664427075</v>
      </c>
      <c r="Q4469" s="8">
        <f>(2412691*100)/2623642</f>
        <v>91.959611867777696</v>
      </c>
    </row>
    <row r="4470" spans="1:17" x14ac:dyDescent="0.2">
      <c r="A4470">
        <f>YEAR(D4470)</f>
        <v>2019</v>
      </c>
      <c r="B4470" t="s">
        <v>26</v>
      </c>
      <c r="C4470" s="2" t="s">
        <v>3023</v>
      </c>
      <c r="D4470" s="1">
        <v>43752</v>
      </c>
      <c r="E4470">
        <f>MONTH(D4470)</f>
        <v>10</v>
      </c>
      <c r="F4470" s="2" t="s">
        <v>19</v>
      </c>
      <c r="G4470" t="s">
        <v>352</v>
      </c>
      <c r="H4470" t="s">
        <v>975</v>
      </c>
      <c r="I4470" t="s">
        <v>22</v>
      </c>
      <c r="J4470" s="2" t="s">
        <v>42</v>
      </c>
      <c r="K4470" s="2" t="s">
        <v>3019</v>
      </c>
      <c r="L4470" t="s">
        <v>25</v>
      </c>
      <c r="M4470" s="8">
        <v>1.0693333330000001</v>
      </c>
      <c r="N4470" t="s">
        <v>26</v>
      </c>
      <c r="O4470" s="8">
        <v>1.0693333330000001</v>
      </c>
      <c r="P4470" s="8">
        <f>EXP(-1.363+3.366*LOG(O4470,10))</f>
        <v>0.28223780327142356</v>
      </c>
      <c r="Q4470" s="8">
        <f>(8197453*100)/8541008</f>
        <v>95.977582505484136</v>
      </c>
    </row>
    <row r="4471" spans="1:17" x14ac:dyDescent="0.2">
      <c r="A4471">
        <f>YEAR(D4471)</f>
        <v>2019</v>
      </c>
      <c r="B4471" t="s">
        <v>26</v>
      </c>
      <c r="C4471" s="2" t="s">
        <v>3020</v>
      </c>
      <c r="D4471" s="1">
        <v>43748</v>
      </c>
      <c r="E4471">
        <f>MONTH(D4471)</f>
        <v>10</v>
      </c>
      <c r="F4471" s="2" t="s">
        <v>19</v>
      </c>
      <c r="G4471" t="s">
        <v>219</v>
      </c>
      <c r="H4471" t="s">
        <v>220</v>
      </c>
      <c r="I4471" t="s">
        <v>22</v>
      </c>
      <c r="J4471" s="2" t="s">
        <v>42</v>
      </c>
      <c r="K4471" s="2" t="s">
        <v>3019</v>
      </c>
      <c r="L4471" t="s">
        <v>25</v>
      </c>
      <c r="M4471" s="10" t="s">
        <v>26</v>
      </c>
      <c r="N4471" t="s">
        <v>26</v>
      </c>
      <c r="O4471" s="10" t="s">
        <v>26</v>
      </c>
      <c r="P4471" s="8" t="s">
        <v>26</v>
      </c>
      <c r="Q4471" s="8">
        <f>(3359412*100)/3462762</f>
        <v>97.015388294084318</v>
      </c>
    </row>
    <row r="4472" spans="1:17" x14ac:dyDescent="0.2">
      <c r="A4472">
        <f>YEAR(D4472)</f>
        <v>2019</v>
      </c>
      <c r="B4472" t="s">
        <v>26</v>
      </c>
      <c r="C4472" s="2" t="s">
        <v>3020</v>
      </c>
      <c r="D4472" s="1">
        <v>43748</v>
      </c>
      <c r="E4472">
        <f>MONTH(D4472)</f>
        <v>10</v>
      </c>
      <c r="F4472" s="2" t="s">
        <v>19</v>
      </c>
      <c r="G4472" t="s">
        <v>352</v>
      </c>
      <c r="H4472" t="s">
        <v>494</v>
      </c>
      <c r="I4472" t="s">
        <v>36</v>
      </c>
      <c r="J4472" s="2" t="s">
        <v>42</v>
      </c>
      <c r="K4472" s="2" t="s">
        <v>3019</v>
      </c>
      <c r="L4472" t="s">
        <v>25</v>
      </c>
      <c r="M4472" s="8">
        <v>1.5556666666666665</v>
      </c>
      <c r="N4472" t="s">
        <v>26</v>
      </c>
      <c r="O4472" s="8">
        <v>1.5556666666666665</v>
      </c>
      <c r="P4472" s="8">
        <f>EXP(-1.363+3.366*LOG(O4472,10))</f>
        <v>0.48821035747612018</v>
      </c>
      <c r="Q4472" s="8">
        <f>(3359412*100)/3462762</f>
        <v>97.015388294084318</v>
      </c>
    </row>
    <row r="4473" spans="1:17" x14ac:dyDescent="0.2">
      <c r="A4473">
        <f>YEAR(D4473)</f>
        <v>2019</v>
      </c>
      <c r="B4473" t="s">
        <v>26</v>
      </c>
      <c r="C4473" s="2" t="s">
        <v>3020</v>
      </c>
      <c r="D4473" s="1">
        <v>43748</v>
      </c>
      <c r="E4473">
        <f>MONTH(D4473)</f>
        <v>10</v>
      </c>
      <c r="F4473" s="2" t="s">
        <v>19</v>
      </c>
      <c r="G4473" t="s">
        <v>352</v>
      </c>
      <c r="H4473" t="s">
        <v>975</v>
      </c>
      <c r="I4473" t="s">
        <v>36</v>
      </c>
      <c r="J4473" s="2" t="s">
        <v>42</v>
      </c>
      <c r="K4473" s="2" t="s">
        <v>3019</v>
      </c>
      <c r="L4473" t="s">
        <v>25</v>
      </c>
      <c r="M4473" s="8">
        <v>0.95199999999999996</v>
      </c>
      <c r="N4473" t="s">
        <v>26</v>
      </c>
      <c r="O4473" s="8">
        <v>0.95199999999999996</v>
      </c>
      <c r="P4473" s="8">
        <f>EXP(-1.363+3.366*LOG(O4473,10))</f>
        <v>0.23813726407794436</v>
      </c>
      <c r="Q4473" s="8">
        <f>(3359412*100)/3462762</f>
        <v>97.015388294084318</v>
      </c>
    </row>
    <row r="4474" spans="1:17" x14ac:dyDescent="0.2">
      <c r="A4474">
        <f>YEAR(D4474)</f>
        <v>2019</v>
      </c>
      <c r="B4474" t="s">
        <v>26</v>
      </c>
      <c r="C4474" s="2" t="s">
        <v>3020</v>
      </c>
      <c r="D4474" s="1">
        <v>43748</v>
      </c>
      <c r="E4474">
        <f>MONTH(D4474)</f>
        <v>10</v>
      </c>
      <c r="F4474" s="2" t="s">
        <v>19</v>
      </c>
      <c r="G4474" t="s">
        <v>352</v>
      </c>
      <c r="H4474" t="s">
        <v>975</v>
      </c>
      <c r="I4474" t="s">
        <v>36</v>
      </c>
      <c r="J4474" s="2" t="s">
        <v>42</v>
      </c>
      <c r="K4474" s="2" t="s">
        <v>3019</v>
      </c>
      <c r="L4474" t="s">
        <v>25</v>
      </c>
      <c r="M4474" s="8">
        <v>0.95199999999999996</v>
      </c>
      <c r="N4474" t="s">
        <v>26</v>
      </c>
      <c r="O4474" s="8">
        <v>0.95199999999999996</v>
      </c>
      <c r="P4474" s="8">
        <f>EXP(-1.363+3.366*LOG(O4474,10))</f>
        <v>0.23813726407794436</v>
      </c>
      <c r="Q4474" s="8">
        <f>(3359412*100)/3462762</f>
        <v>97.015388294084318</v>
      </c>
    </row>
    <row r="4475" spans="1:17" x14ac:dyDescent="0.2">
      <c r="A4475">
        <f>YEAR(D4475)</f>
        <v>2019</v>
      </c>
      <c r="B4475" t="s">
        <v>26</v>
      </c>
      <c r="C4475" s="2" t="s">
        <v>3020</v>
      </c>
      <c r="D4475" s="1">
        <v>43748</v>
      </c>
      <c r="E4475">
        <f>MONTH(D4475)</f>
        <v>10</v>
      </c>
      <c r="F4475" s="2" t="s">
        <v>19</v>
      </c>
      <c r="G4475" t="s">
        <v>352</v>
      </c>
      <c r="H4475" t="s">
        <v>975</v>
      </c>
      <c r="I4475" t="s">
        <v>36</v>
      </c>
      <c r="J4475" s="2" t="s">
        <v>42</v>
      </c>
      <c r="K4475" s="2" t="s">
        <v>3019</v>
      </c>
      <c r="L4475" t="s">
        <v>25</v>
      </c>
      <c r="M4475" s="8">
        <v>0.95199999999999996</v>
      </c>
      <c r="N4475" t="s">
        <v>26</v>
      </c>
      <c r="O4475" s="8">
        <v>0.95199999999999996</v>
      </c>
      <c r="P4475" s="8">
        <f>EXP(-1.363+3.366*LOG(O4475,10))</f>
        <v>0.23813726407794436</v>
      </c>
      <c r="Q4475" s="8">
        <f>(3359412*100)/3462762</f>
        <v>97.015388294084318</v>
      </c>
    </row>
    <row r="4476" spans="1:17" x14ac:dyDescent="0.2">
      <c r="A4476">
        <f>YEAR(D4476)</f>
        <v>2019</v>
      </c>
      <c r="B4476" t="s">
        <v>26</v>
      </c>
      <c r="C4476" s="2" t="s">
        <v>3020</v>
      </c>
      <c r="D4476" s="1">
        <v>43748</v>
      </c>
      <c r="E4476">
        <f>MONTH(D4476)</f>
        <v>10</v>
      </c>
      <c r="F4476" s="2" t="s">
        <v>19</v>
      </c>
      <c r="G4476" t="s">
        <v>352</v>
      </c>
      <c r="H4476" t="s">
        <v>1585</v>
      </c>
      <c r="I4476" t="s">
        <v>22</v>
      </c>
      <c r="J4476" s="2" t="s">
        <v>42</v>
      </c>
      <c r="K4476" s="2" t="s">
        <v>3019</v>
      </c>
      <c r="L4476" t="s">
        <v>25</v>
      </c>
      <c r="M4476" s="8">
        <v>0.77266666699999997</v>
      </c>
      <c r="N4476" t="s">
        <v>26</v>
      </c>
      <c r="O4476" s="8">
        <v>0.77266666699999997</v>
      </c>
      <c r="P4476" s="8">
        <f>EXP(-1.363+3.366*LOG(O4476,10))</f>
        <v>0.17551718302452865</v>
      </c>
      <c r="Q4476" s="8">
        <f>(3359412*100)/3462762</f>
        <v>97.015388294084318</v>
      </c>
    </row>
    <row r="4477" spans="1:17" x14ac:dyDescent="0.2">
      <c r="A4477">
        <f>YEAR(D4477)</f>
        <v>2019</v>
      </c>
      <c r="B4477" t="s">
        <v>26</v>
      </c>
      <c r="C4477" s="2" t="s">
        <v>3020</v>
      </c>
      <c r="D4477" s="1">
        <v>43748</v>
      </c>
      <c r="E4477">
        <f>MONTH(D4477)</f>
        <v>10</v>
      </c>
      <c r="F4477" s="2" t="s">
        <v>19</v>
      </c>
      <c r="G4477" t="s">
        <v>352</v>
      </c>
      <c r="H4477" t="s">
        <v>975</v>
      </c>
      <c r="I4477" t="s">
        <v>22</v>
      </c>
      <c r="J4477" s="2" t="s">
        <v>42</v>
      </c>
      <c r="K4477" s="2" t="s">
        <v>3019</v>
      </c>
      <c r="L4477" t="s">
        <v>25</v>
      </c>
      <c r="M4477" s="8">
        <v>1.0693333330000001</v>
      </c>
      <c r="N4477" t="s">
        <v>26</v>
      </c>
      <c r="O4477" s="8">
        <v>1.0693333330000001</v>
      </c>
      <c r="P4477" s="8">
        <f>EXP(-1.363+3.366*LOG(O4477,10))</f>
        <v>0.28223780327142356</v>
      </c>
      <c r="Q4477" s="8">
        <f>(3359412*100)/3462762</f>
        <v>97.015388294084318</v>
      </c>
    </row>
    <row r="4478" spans="1:17" x14ac:dyDescent="0.2">
      <c r="A4478">
        <f>YEAR(D4478)</f>
        <v>2019</v>
      </c>
      <c r="B4478" t="s">
        <v>26</v>
      </c>
      <c r="C4478" s="2" t="s">
        <v>3020</v>
      </c>
      <c r="D4478" s="1">
        <v>43748</v>
      </c>
      <c r="E4478">
        <f>MONTH(D4478)</f>
        <v>10</v>
      </c>
      <c r="F4478" s="2" t="s">
        <v>19</v>
      </c>
      <c r="G4478" t="s">
        <v>352</v>
      </c>
      <c r="H4478" t="s">
        <v>1459</v>
      </c>
      <c r="I4478" t="s">
        <v>22</v>
      </c>
      <c r="J4478" s="2" t="s">
        <v>42</v>
      </c>
      <c r="K4478" s="2" t="s">
        <v>3019</v>
      </c>
      <c r="L4478" t="s">
        <v>25</v>
      </c>
      <c r="M4478" s="8">
        <v>1.1910000000000001</v>
      </c>
      <c r="N4478" t="s">
        <v>26</v>
      </c>
      <c r="O4478" s="8">
        <v>1.1910000000000001</v>
      </c>
      <c r="P4478" s="8">
        <f>EXP(-1.363+3.366*LOG(O4478,10))</f>
        <v>0.33039016297752993</v>
      </c>
      <c r="Q4478" s="8">
        <f>(3359412*100)/3462762</f>
        <v>97.015388294084318</v>
      </c>
    </row>
    <row r="4479" spans="1:17" x14ac:dyDescent="0.2">
      <c r="A4479">
        <f>YEAR(D4479)</f>
        <v>2019</v>
      </c>
      <c r="B4479" t="s">
        <v>26</v>
      </c>
      <c r="C4479" s="2" t="s">
        <v>3020</v>
      </c>
      <c r="D4479" s="1">
        <v>43748</v>
      </c>
      <c r="E4479">
        <f>MONTH(D4479)</f>
        <v>10</v>
      </c>
      <c r="F4479" s="2" t="s">
        <v>19</v>
      </c>
      <c r="G4479" t="s">
        <v>230</v>
      </c>
      <c r="H4479" t="s">
        <v>268</v>
      </c>
      <c r="I4479" t="s">
        <v>22</v>
      </c>
      <c r="J4479" s="2" t="s">
        <v>42</v>
      </c>
      <c r="K4479" s="2" t="s">
        <v>3019</v>
      </c>
      <c r="L4479" t="s">
        <v>25</v>
      </c>
      <c r="M4479" s="8">
        <v>3.5356666670000001</v>
      </c>
      <c r="N4479" t="s">
        <v>26</v>
      </c>
      <c r="O4479" s="8">
        <v>3.5356666670000001</v>
      </c>
      <c r="P4479" s="8">
        <f>EXP(-1.363+3.366*LOG(O4479,10))</f>
        <v>1.6211802664427075</v>
      </c>
      <c r="Q4479" s="8">
        <f>(3359412*100)/3462762</f>
        <v>97.015388294084318</v>
      </c>
    </row>
    <row r="4480" spans="1:17" x14ac:dyDescent="0.2">
      <c r="A4480">
        <f>YEAR(D4480)</f>
        <v>2019</v>
      </c>
      <c r="B4480" t="s">
        <v>26</v>
      </c>
      <c r="C4480" s="2" t="s">
        <v>3018</v>
      </c>
      <c r="D4480" s="1">
        <v>43745</v>
      </c>
      <c r="E4480">
        <f>MONTH(D4480)</f>
        <v>10</v>
      </c>
      <c r="F4480" s="2" t="s">
        <v>19</v>
      </c>
      <c r="G4480" t="s">
        <v>352</v>
      </c>
      <c r="H4480" t="s">
        <v>1344</v>
      </c>
      <c r="I4480" t="s">
        <v>22</v>
      </c>
      <c r="J4480" s="2" t="s">
        <v>42</v>
      </c>
      <c r="K4480" s="2" t="s">
        <v>3019</v>
      </c>
      <c r="L4480" t="s">
        <v>25</v>
      </c>
      <c r="M4480" s="8">
        <v>0.91800000000000004</v>
      </c>
      <c r="N4480" t="s">
        <v>26</v>
      </c>
      <c r="O4480" s="8">
        <v>0.91800000000000004</v>
      </c>
      <c r="P4480" s="8">
        <f>EXP(-1.363+3.366*LOG(O4480,10))</f>
        <v>0.22580769814771504</v>
      </c>
      <c r="Q4480" s="8">
        <f>(5996898*100)/6073515</f>
        <v>98.738506449724753</v>
      </c>
    </row>
    <row r="4481" spans="1:17" x14ac:dyDescent="0.2">
      <c r="A4481">
        <f>YEAR(D4481)</f>
        <v>2019</v>
      </c>
      <c r="B4481" t="s">
        <v>26</v>
      </c>
      <c r="C4481" s="2" t="s">
        <v>3027</v>
      </c>
      <c r="D4481" s="1">
        <v>43745</v>
      </c>
      <c r="E4481">
        <f>MONTH(D4481)</f>
        <v>10</v>
      </c>
      <c r="F4481" s="2" t="s">
        <v>19</v>
      </c>
      <c r="G4481" t="s">
        <v>352</v>
      </c>
      <c r="H4481" t="s">
        <v>1459</v>
      </c>
      <c r="I4481" t="s">
        <v>22</v>
      </c>
      <c r="J4481" s="2" t="s">
        <v>42</v>
      </c>
      <c r="K4481" s="2" t="s">
        <v>3019</v>
      </c>
      <c r="L4481" t="s">
        <v>25</v>
      </c>
      <c r="M4481" s="8">
        <v>1.1910000000000001</v>
      </c>
      <c r="N4481" t="s">
        <v>26</v>
      </c>
      <c r="O4481" s="8">
        <v>1.1910000000000001</v>
      </c>
      <c r="P4481" s="8">
        <f>EXP(-1.363+3.366*LOG(O4481,10))</f>
        <v>0.33039016297752993</v>
      </c>
      <c r="Q4481" s="8">
        <f>(3939723*100)/4442581</f>
        <v>88.680949204977921</v>
      </c>
    </row>
    <row r="4482" spans="1:17" x14ac:dyDescent="0.2">
      <c r="A4482">
        <f>YEAR(D4482)</f>
        <v>2020</v>
      </c>
      <c r="B4482" t="s">
        <v>26</v>
      </c>
      <c r="C4482" s="2" t="s">
        <v>3018</v>
      </c>
      <c r="D4482" s="1">
        <v>43893</v>
      </c>
      <c r="E4482">
        <f>MONTH(D4482)</f>
        <v>3</v>
      </c>
      <c r="F4482" s="2" t="s">
        <v>19</v>
      </c>
      <c r="G4482" t="s">
        <v>20</v>
      </c>
      <c r="H4482" t="s">
        <v>2295</v>
      </c>
      <c r="I4482" t="s">
        <v>36</v>
      </c>
      <c r="J4482" s="2" t="s">
        <v>42</v>
      </c>
      <c r="K4482" s="2" t="s">
        <v>3019</v>
      </c>
      <c r="L4482" t="s">
        <v>25</v>
      </c>
      <c r="M4482" s="8">
        <v>1.0436666670000001</v>
      </c>
      <c r="N4482" t="s">
        <v>26</v>
      </c>
      <c r="O4482" s="8">
        <v>1.0436666670000001</v>
      </c>
      <c r="P4482" s="8">
        <f>EXP(-1.363+3.366*LOG(O4482,10))</f>
        <v>0.27238985802470567</v>
      </c>
      <c r="Q4482" s="8">
        <f>(5996898*100)/6073515</f>
        <v>98.738506449724753</v>
      </c>
    </row>
    <row r="4483" spans="1:17" x14ac:dyDescent="0.2">
      <c r="A4483">
        <f>YEAR(D4483)</f>
        <v>2020</v>
      </c>
      <c r="B4483" t="s">
        <v>26</v>
      </c>
      <c r="C4483" s="2" t="s">
        <v>3027</v>
      </c>
      <c r="D4483" s="1">
        <v>43893</v>
      </c>
      <c r="E4483">
        <f>MONTH(D4483)</f>
        <v>3</v>
      </c>
      <c r="F4483" s="2" t="s">
        <v>2098</v>
      </c>
      <c r="G4483" t="s">
        <v>219</v>
      </c>
      <c r="H4483" t="s">
        <v>220</v>
      </c>
      <c r="I4483" t="s">
        <v>22</v>
      </c>
      <c r="J4483" s="2" t="s">
        <v>42</v>
      </c>
      <c r="K4483" s="2" t="s">
        <v>3019</v>
      </c>
      <c r="L4483" t="s">
        <v>25</v>
      </c>
      <c r="M4483" s="10" t="s">
        <v>26</v>
      </c>
      <c r="N4483" t="s">
        <v>26</v>
      </c>
      <c r="O4483" s="10" t="s">
        <v>26</v>
      </c>
      <c r="P4483" s="8" t="s">
        <v>26</v>
      </c>
      <c r="Q4483" s="8">
        <f>(3939723*100)/4442581</f>
        <v>88.680949204977921</v>
      </c>
    </row>
    <row r="4484" spans="1:17" x14ac:dyDescent="0.2">
      <c r="A4484">
        <f>YEAR(D4484)</f>
        <v>2020</v>
      </c>
      <c r="B4484" t="s">
        <v>26</v>
      </c>
      <c r="C4484" s="2" t="s">
        <v>3027</v>
      </c>
      <c r="D4484" s="1">
        <v>43893</v>
      </c>
      <c r="E4484">
        <f>MONTH(D4484)</f>
        <v>3</v>
      </c>
      <c r="F4484" s="2" t="s">
        <v>2098</v>
      </c>
      <c r="G4484" t="s">
        <v>219</v>
      </c>
      <c r="H4484" t="s">
        <v>220</v>
      </c>
      <c r="I4484" t="s">
        <v>22</v>
      </c>
      <c r="J4484" s="2" t="s">
        <v>42</v>
      </c>
      <c r="K4484" s="2" t="s">
        <v>3019</v>
      </c>
      <c r="L4484" t="s">
        <v>25</v>
      </c>
      <c r="M4484" s="10" t="s">
        <v>26</v>
      </c>
      <c r="N4484" t="s">
        <v>26</v>
      </c>
      <c r="O4484" s="10" t="s">
        <v>26</v>
      </c>
      <c r="P4484" s="8" t="s">
        <v>26</v>
      </c>
      <c r="Q4484" s="8">
        <f>(3939723*100)/4442581</f>
        <v>88.680949204977921</v>
      </c>
    </row>
    <row r="4485" spans="1:17" x14ac:dyDescent="0.2">
      <c r="A4485">
        <f>YEAR(D4485)</f>
        <v>2020</v>
      </c>
      <c r="B4485" t="s">
        <v>26</v>
      </c>
      <c r="C4485" s="2" t="s">
        <v>3027</v>
      </c>
      <c r="D4485" s="1">
        <v>43893</v>
      </c>
      <c r="E4485">
        <f>MONTH(D4485)</f>
        <v>3</v>
      </c>
      <c r="F4485" s="2" t="s">
        <v>2098</v>
      </c>
      <c r="G4485" t="s">
        <v>219</v>
      </c>
      <c r="H4485" t="s">
        <v>220</v>
      </c>
      <c r="I4485" t="s">
        <v>22</v>
      </c>
      <c r="J4485" s="2" t="s">
        <v>42</v>
      </c>
      <c r="K4485" s="2" t="s">
        <v>3019</v>
      </c>
      <c r="L4485" t="s">
        <v>25</v>
      </c>
      <c r="M4485" s="10" t="s">
        <v>26</v>
      </c>
      <c r="N4485" t="s">
        <v>26</v>
      </c>
      <c r="O4485" s="10" t="s">
        <v>26</v>
      </c>
      <c r="P4485" s="8" t="s">
        <v>26</v>
      </c>
      <c r="Q4485" s="8">
        <f>(3939723*100)/4442581</f>
        <v>88.680949204977921</v>
      </c>
    </row>
    <row r="4486" spans="1:17" x14ac:dyDescent="0.2">
      <c r="A4486">
        <f>YEAR(D4486)</f>
        <v>2020</v>
      </c>
      <c r="B4486" t="s">
        <v>26</v>
      </c>
      <c r="C4486" s="2" t="s">
        <v>3027</v>
      </c>
      <c r="D4486" s="1">
        <v>43893</v>
      </c>
      <c r="E4486">
        <f>MONTH(D4486)</f>
        <v>3</v>
      </c>
      <c r="F4486" s="2" t="s">
        <v>2098</v>
      </c>
      <c r="G4486" t="s">
        <v>219</v>
      </c>
      <c r="H4486" t="s">
        <v>220</v>
      </c>
      <c r="I4486" t="s">
        <v>22</v>
      </c>
      <c r="J4486" s="2" t="s">
        <v>42</v>
      </c>
      <c r="K4486" s="2" t="s">
        <v>3019</v>
      </c>
      <c r="L4486" t="s">
        <v>25</v>
      </c>
      <c r="M4486" s="10" t="s">
        <v>26</v>
      </c>
      <c r="N4486" t="s">
        <v>26</v>
      </c>
      <c r="O4486" s="10" t="s">
        <v>26</v>
      </c>
      <c r="P4486" s="8" t="s">
        <v>26</v>
      </c>
      <c r="Q4486" s="8">
        <f>(3939723*100)/4442581</f>
        <v>88.680949204977921</v>
      </c>
    </row>
    <row r="4487" spans="1:17" x14ac:dyDescent="0.2">
      <c r="A4487">
        <f>YEAR(D4487)</f>
        <v>2020</v>
      </c>
      <c r="B4487" t="s">
        <v>26</v>
      </c>
      <c r="C4487" s="2" t="s">
        <v>3027</v>
      </c>
      <c r="D4487" s="1">
        <v>43893</v>
      </c>
      <c r="E4487">
        <f>MONTH(D4487)</f>
        <v>3</v>
      </c>
      <c r="F4487" s="2" t="s">
        <v>2098</v>
      </c>
      <c r="G4487" t="s">
        <v>1532</v>
      </c>
      <c r="H4487" t="s">
        <v>1944</v>
      </c>
      <c r="I4487" t="s">
        <v>36</v>
      </c>
      <c r="J4487" s="2" t="s">
        <v>42</v>
      </c>
      <c r="K4487" s="2" t="s">
        <v>3019</v>
      </c>
      <c r="L4487" t="s">
        <v>25</v>
      </c>
      <c r="M4487" s="8">
        <v>3.3290000000000002</v>
      </c>
      <c r="N4487" t="s">
        <v>26</v>
      </c>
      <c r="O4487" s="8">
        <v>3.3290000000000002</v>
      </c>
      <c r="P4487" s="8">
        <f>EXP(-1.363+3.366*LOG(O4487,10))</f>
        <v>1.484544861192558</v>
      </c>
      <c r="Q4487" s="8">
        <f>(3939723*100)/4442581</f>
        <v>88.680949204977921</v>
      </c>
    </row>
    <row r="4488" spans="1:17" x14ac:dyDescent="0.2">
      <c r="A4488">
        <f>YEAR(D4488)</f>
        <v>2020</v>
      </c>
      <c r="B4488" t="s">
        <v>26</v>
      </c>
      <c r="C4488" s="2" t="s">
        <v>3027</v>
      </c>
      <c r="D4488" s="1">
        <v>43893</v>
      </c>
      <c r="E4488">
        <f>MONTH(D4488)</f>
        <v>3</v>
      </c>
      <c r="F4488" s="2" t="s">
        <v>19</v>
      </c>
      <c r="G4488" t="s">
        <v>20</v>
      </c>
      <c r="H4488" t="s">
        <v>149</v>
      </c>
      <c r="I4488" t="s">
        <v>36</v>
      </c>
      <c r="J4488" s="2" t="s">
        <v>42</v>
      </c>
      <c r="K4488" s="2" t="s">
        <v>3019</v>
      </c>
      <c r="L4488" t="s">
        <v>25</v>
      </c>
      <c r="M4488" s="8">
        <v>1.032666667</v>
      </c>
      <c r="N4488" t="s">
        <v>26</v>
      </c>
      <c r="O4488" s="8">
        <v>1.032666667</v>
      </c>
      <c r="P4488" s="8">
        <f>EXP(-1.363+3.366*LOG(O4488,10))</f>
        <v>0.26820327281159584</v>
      </c>
      <c r="Q4488" s="8">
        <f>(3939723*100)/4442581</f>
        <v>88.680949204977921</v>
      </c>
    </row>
    <row r="4489" spans="1:17" x14ac:dyDescent="0.2">
      <c r="A4489">
        <f>YEAR(D4489)</f>
        <v>2020</v>
      </c>
      <c r="B4489" t="s">
        <v>26</v>
      </c>
      <c r="C4489" s="2" t="s">
        <v>3027</v>
      </c>
      <c r="D4489" s="1">
        <v>43893</v>
      </c>
      <c r="E4489">
        <f>MONTH(D4489)</f>
        <v>3</v>
      </c>
      <c r="F4489" s="2" t="s">
        <v>19</v>
      </c>
      <c r="G4489" t="s">
        <v>20</v>
      </c>
      <c r="H4489" t="s">
        <v>149</v>
      </c>
      <c r="I4489" t="s">
        <v>36</v>
      </c>
      <c r="J4489" s="2" t="s">
        <v>42</v>
      </c>
      <c r="K4489" s="2" t="s">
        <v>3019</v>
      </c>
      <c r="L4489" t="s">
        <v>25</v>
      </c>
      <c r="M4489" s="8">
        <v>1.032666667</v>
      </c>
      <c r="N4489" t="s">
        <v>26</v>
      </c>
      <c r="O4489" s="8">
        <v>1.032666667</v>
      </c>
      <c r="P4489" s="8">
        <f>EXP(-1.363+3.366*LOG(O4489,10))</f>
        <v>0.26820327281159584</v>
      </c>
      <c r="Q4489" s="8">
        <f>(3939723*100)/4442581</f>
        <v>88.680949204977921</v>
      </c>
    </row>
    <row r="4490" spans="1:17" x14ac:dyDescent="0.2">
      <c r="A4490">
        <f>YEAR(D4490)</f>
        <v>2020</v>
      </c>
      <c r="B4490" t="s">
        <v>26</v>
      </c>
      <c r="C4490" s="2" t="s">
        <v>3027</v>
      </c>
      <c r="D4490" s="1">
        <v>43893</v>
      </c>
      <c r="E4490">
        <f>MONTH(D4490)</f>
        <v>3</v>
      </c>
      <c r="F4490" s="2" t="s">
        <v>19</v>
      </c>
      <c r="G4490" t="s">
        <v>352</v>
      </c>
      <c r="H4490" t="s">
        <v>623</v>
      </c>
      <c r="I4490" t="s">
        <v>22</v>
      </c>
      <c r="J4490" s="2" t="s">
        <v>42</v>
      </c>
      <c r="K4490" s="2" t="s">
        <v>3019</v>
      </c>
      <c r="L4490" t="s">
        <v>25</v>
      </c>
      <c r="M4490" s="8">
        <v>1.387</v>
      </c>
      <c r="N4490" t="s">
        <v>26</v>
      </c>
      <c r="O4490" s="8">
        <v>1.387</v>
      </c>
      <c r="P4490" s="8">
        <f>EXP(-1.363+3.366*LOG(O4490,10))</f>
        <v>0.41280884754947733</v>
      </c>
      <c r="Q4490" s="8">
        <f>(3939723*100)/4442581</f>
        <v>88.680949204977921</v>
      </c>
    </row>
    <row r="4491" spans="1:17" x14ac:dyDescent="0.2">
      <c r="A4491">
        <f>YEAR(D4491)</f>
        <v>2020</v>
      </c>
      <c r="B4491" t="s">
        <v>26</v>
      </c>
      <c r="C4491" s="2" t="s">
        <v>3027</v>
      </c>
      <c r="D4491" s="1">
        <v>43893</v>
      </c>
      <c r="E4491">
        <f>MONTH(D4491)</f>
        <v>3</v>
      </c>
      <c r="F4491" s="2" t="s">
        <v>19</v>
      </c>
      <c r="G4491" t="s">
        <v>1532</v>
      </c>
      <c r="H4491" t="s">
        <v>1944</v>
      </c>
      <c r="I4491" t="s">
        <v>36</v>
      </c>
      <c r="J4491" s="2" t="s">
        <v>42</v>
      </c>
      <c r="K4491" s="2" t="s">
        <v>3019</v>
      </c>
      <c r="L4491" t="s">
        <v>25</v>
      </c>
      <c r="M4491" s="8">
        <v>3.3290000000000002</v>
      </c>
      <c r="N4491" t="s">
        <v>26</v>
      </c>
      <c r="O4491" s="8">
        <v>3.3290000000000002</v>
      </c>
      <c r="P4491" s="8">
        <f>EXP(-1.363+3.366*LOG(O4491,10))</f>
        <v>1.484544861192558</v>
      </c>
      <c r="Q4491" s="8">
        <f>(3939723*100)/4442581</f>
        <v>88.680949204977921</v>
      </c>
    </row>
    <row r="4492" spans="1:17" x14ac:dyDescent="0.2">
      <c r="A4492">
        <f>YEAR(D4492)</f>
        <v>2020</v>
      </c>
      <c r="B4492" t="s">
        <v>26</v>
      </c>
      <c r="C4492" s="2" t="s">
        <v>3027</v>
      </c>
      <c r="D4492" s="1">
        <v>43893</v>
      </c>
      <c r="E4492">
        <f>MONTH(D4492)</f>
        <v>3</v>
      </c>
      <c r="F4492" s="2" t="s">
        <v>19</v>
      </c>
      <c r="G4492" t="s">
        <v>20</v>
      </c>
      <c r="H4492" t="s">
        <v>149</v>
      </c>
      <c r="I4492" t="s">
        <v>36</v>
      </c>
      <c r="J4492" s="2" t="s">
        <v>42</v>
      </c>
      <c r="K4492" s="2" t="s">
        <v>3019</v>
      </c>
      <c r="L4492" t="s">
        <v>25</v>
      </c>
      <c r="M4492" s="8">
        <v>1.032666667</v>
      </c>
      <c r="N4492" t="s">
        <v>26</v>
      </c>
      <c r="O4492" s="8">
        <v>1.032666667</v>
      </c>
      <c r="P4492" s="8">
        <f>EXP(-1.363+3.366*LOG(O4492,10))</f>
        <v>0.26820327281159584</v>
      </c>
      <c r="Q4492" s="8">
        <f>(3939723*100)/4442581</f>
        <v>88.680949204977921</v>
      </c>
    </row>
    <row r="4493" spans="1:17" x14ac:dyDescent="0.2">
      <c r="A4493">
        <f>YEAR(D4493)</f>
        <v>2020</v>
      </c>
      <c r="B4493" t="s">
        <v>26</v>
      </c>
      <c r="C4493" s="2" t="s">
        <v>50</v>
      </c>
      <c r="D4493" s="1">
        <v>43894</v>
      </c>
      <c r="E4493">
        <f>MONTH(D4493)</f>
        <v>3</v>
      </c>
      <c r="F4493" s="2" t="s">
        <v>2098</v>
      </c>
      <c r="G4493" t="s">
        <v>230</v>
      </c>
      <c r="H4493" t="s">
        <v>259</v>
      </c>
      <c r="I4493" t="s">
        <v>22</v>
      </c>
      <c r="J4493" s="2" t="s">
        <v>42</v>
      </c>
      <c r="K4493" s="2" t="s">
        <v>3019</v>
      </c>
      <c r="L4493" t="s">
        <v>25</v>
      </c>
      <c r="M4493" s="8">
        <v>4.2283333330000001</v>
      </c>
      <c r="N4493" t="s">
        <v>26</v>
      </c>
      <c r="O4493" s="8">
        <v>4.2283333330000001</v>
      </c>
      <c r="P4493" s="8">
        <f>EXP(-1.363+3.366*LOG(O4493,10))</f>
        <v>2.1057792396965977</v>
      </c>
      <c r="Q4493" s="8">
        <f>(4488342*100)/4914798</f>
        <v>91.323020803703429</v>
      </c>
    </row>
    <row r="4494" spans="1:17" x14ac:dyDescent="0.2">
      <c r="A4494">
        <f>YEAR(D4494)</f>
        <v>2020</v>
      </c>
      <c r="B4494" t="s">
        <v>26</v>
      </c>
      <c r="C4494" s="2" t="s">
        <v>50</v>
      </c>
      <c r="D4494" s="1">
        <v>43894</v>
      </c>
      <c r="E4494">
        <f>MONTH(D4494)</f>
        <v>3</v>
      </c>
      <c r="F4494" s="2" t="s">
        <v>2098</v>
      </c>
      <c r="G4494" t="s">
        <v>230</v>
      </c>
      <c r="H4494" t="s">
        <v>259</v>
      </c>
      <c r="I4494" t="s">
        <v>22</v>
      </c>
      <c r="J4494" s="2" t="s">
        <v>42</v>
      </c>
      <c r="K4494" s="2" t="s">
        <v>3019</v>
      </c>
      <c r="L4494" t="s">
        <v>25</v>
      </c>
      <c r="M4494" s="8">
        <v>4.2283333330000001</v>
      </c>
      <c r="N4494" t="s">
        <v>26</v>
      </c>
      <c r="O4494" s="8">
        <v>4.2283333330000001</v>
      </c>
      <c r="P4494" s="8">
        <f>EXP(-1.363+3.366*LOG(O4494,10))</f>
        <v>2.1057792396965977</v>
      </c>
      <c r="Q4494" s="8">
        <f>(4488342*100)/4914798</f>
        <v>91.323020803703429</v>
      </c>
    </row>
    <row r="4495" spans="1:17" x14ac:dyDescent="0.2">
      <c r="A4495">
        <f>YEAR(D4495)</f>
        <v>2020</v>
      </c>
      <c r="B4495" t="s">
        <v>26</v>
      </c>
      <c r="C4495" s="2" t="s">
        <v>3020</v>
      </c>
      <c r="D4495" s="1">
        <v>43896</v>
      </c>
      <c r="E4495">
        <f>MONTH(D4495)</f>
        <v>3</v>
      </c>
      <c r="F4495" s="2" t="s">
        <v>2098</v>
      </c>
      <c r="G4495" t="s">
        <v>20</v>
      </c>
      <c r="H4495" t="s">
        <v>149</v>
      </c>
      <c r="I4495" t="s">
        <v>36</v>
      </c>
      <c r="J4495" s="2" t="s">
        <v>42</v>
      </c>
      <c r="K4495" s="2" t="s">
        <v>3019</v>
      </c>
      <c r="L4495" t="s">
        <v>25</v>
      </c>
      <c r="M4495" s="8">
        <v>1.032666667</v>
      </c>
      <c r="N4495" t="s">
        <v>26</v>
      </c>
      <c r="O4495" s="8">
        <v>1.032666667</v>
      </c>
      <c r="P4495" s="8">
        <f>EXP(-1.363+3.366*LOG(O4495,10))</f>
        <v>0.26820327281159584</v>
      </c>
      <c r="Q4495" s="8">
        <f>(3359412*100)/3462762</f>
        <v>97.015388294084318</v>
      </c>
    </row>
    <row r="4496" spans="1:17" x14ac:dyDescent="0.2">
      <c r="A4496">
        <f>YEAR(D4496)</f>
        <v>2020</v>
      </c>
      <c r="B4496" t="s">
        <v>26</v>
      </c>
      <c r="C4496" s="2" t="s">
        <v>3020</v>
      </c>
      <c r="D4496" s="1">
        <v>43896</v>
      </c>
      <c r="E4496">
        <f>MONTH(D4496)</f>
        <v>3</v>
      </c>
      <c r="F4496" s="2" t="s">
        <v>2098</v>
      </c>
      <c r="G4496" t="s">
        <v>20</v>
      </c>
      <c r="H4496" t="s">
        <v>149</v>
      </c>
      <c r="I4496" t="s">
        <v>36</v>
      </c>
      <c r="J4496" s="2" t="s">
        <v>42</v>
      </c>
      <c r="K4496" s="2" t="s">
        <v>3019</v>
      </c>
      <c r="L4496" t="s">
        <v>25</v>
      </c>
      <c r="M4496" s="8">
        <v>1.032666667</v>
      </c>
      <c r="N4496" t="s">
        <v>26</v>
      </c>
      <c r="O4496" s="8">
        <v>1.032666667</v>
      </c>
      <c r="P4496" s="8">
        <f>EXP(-1.363+3.366*LOG(O4496,10))</f>
        <v>0.26820327281159584</v>
      </c>
      <c r="Q4496" s="8">
        <f>(3359412*100)/3462762</f>
        <v>97.015388294084318</v>
      </c>
    </row>
    <row r="4497" spans="1:17" x14ac:dyDescent="0.2">
      <c r="A4497">
        <f>YEAR(D4497)</f>
        <v>2020</v>
      </c>
      <c r="B4497" t="s">
        <v>26</v>
      </c>
      <c r="C4497" s="2" t="s">
        <v>3020</v>
      </c>
      <c r="D4497" s="1">
        <v>43896</v>
      </c>
      <c r="E4497">
        <f>MONTH(D4497)</f>
        <v>3</v>
      </c>
      <c r="F4497" s="2" t="s">
        <v>19</v>
      </c>
      <c r="G4497" t="s">
        <v>20</v>
      </c>
      <c r="H4497" t="s">
        <v>149</v>
      </c>
      <c r="I4497" t="s">
        <v>36</v>
      </c>
      <c r="J4497" s="2" t="s">
        <v>42</v>
      </c>
      <c r="K4497" s="2" t="s">
        <v>3019</v>
      </c>
      <c r="L4497" t="s">
        <v>25</v>
      </c>
      <c r="M4497" s="8">
        <v>1.032666667</v>
      </c>
      <c r="N4497" t="s">
        <v>26</v>
      </c>
      <c r="O4497" s="8">
        <v>1.032666667</v>
      </c>
      <c r="P4497" s="8">
        <f>EXP(-1.363+3.366*LOG(O4497,10))</f>
        <v>0.26820327281159584</v>
      </c>
      <c r="Q4497" s="8">
        <f>(3359412*100)/3462762</f>
        <v>97.015388294084318</v>
      </c>
    </row>
    <row r="4498" spans="1:17" x14ac:dyDescent="0.2">
      <c r="A4498">
        <f>YEAR(D4498)</f>
        <v>2020</v>
      </c>
      <c r="B4498" t="s">
        <v>26</v>
      </c>
      <c r="C4498" s="2" t="s">
        <v>3020</v>
      </c>
      <c r="D4498" s="1">
        <v>43896</v>
      </c>
      <c r="E4498">
        <f>MONTH(D4498)</f>
        <v>3</v>
      </c>
      <c r="F4498" s="2" t="s">
        <v>19</v>
      </c>
      <c r="G4498" t="s">
        <v>20</v>
      </c>
      <c r="H4498" t="s">
        <v>149</v>
      </c>
      <c r="I4498" t="s">
        <v>36</v>
      </c>
      <c r="J4498" s="2" t="s">
        <v>42</v>
      </c>
      <c r="K4498" s="2" t="s">
        <v>3019</v>
      </c>
      <c r="L4498" t="s">
        <v>25</v>
      </c>
      <c r="M4498" s="8">
        <v>1.032666667</v>
      </c>
      <c r="N4498" t="s">
        <v>26</v>
      </c>
      <c r="O4498" s="8">
        <v>1.032666667</v>
      </c>
      <c r="P4498" s="8">
        <f>EXP(-1.363+3.366*LOG(O4498,10))</f>
        <v>0.26820327281159584</v>
      </c>
      <c r="Q4498" s="8">
        <f>(3359412*100)/3462762</f>
        <v>97.015388294084318</v>
      </c>
    </row>
    <row r="4499" spans="1:17" x14ac:dyDescent="0.2">
      <c r="A4499">
        <f>YEAR(D4499)</f>
        <v>2020</v>
      </c>
      <c r="B4499" t="s">
        <v>26</v>
      </c>
      <c r="C4499" s="2" t="s">
        <v>1540</v>
      </c>
      <c r="D4499" s="1">
        <v>43899</v>
      </c>
      <c r="E4499">
        <f>MONTH(D4499)</f>
        <v>3</v>
      </c>
      <c r="F4499" s="2" t="s">
        <v>2098</v>
      </c>
      <c r="G4499" t="s">
        <v>20</v>
      </c>
      <c r="H4499" t="s">
        <v>149</v>
      </c>
      <c r="I4499" t="s">
        <v>22</v>
      </c>
      <c r="J4499" s="2" t="s">
        <v>42</v>
      </c>
      <c r="K4499" s="2" t="s">
        <v>3019</v>
      </c>
      <c r="L4499" t="s">
        <v>25</v>
      </c>
      <c r="M4499" s="8">
        <v>1.45</v>
      </c>
      <c r="N4499" t="s">
        <v>26</v>
      </c>
      <c r="O4499" s="8">
        <v>1.45</v>
      </c>
      <c r="P4499" s="8">
        <f>EXP(-1.363+3.366*LOG(O4499,10))</f>
        <v>0.44050419760124854</v>
      </c>
      <c r="Q4499" s="8">
        <f>(2618262*100)/2995732</f>
        <v>87.399740697766021</v>
      </c>
    </row>
    <row r="4500" spans="1:17" x14ac:dyDescent="0.2">
      <c r="A4500">
        <f>YEAR(D4500)</f>
        <v>2020</v>
      </c>
      <c r="B4500" t="s">
        <v>26</v>
      </c>
      <c r="C4500" s="2" t="s">
        <v>1540</v>
      </c>
      <c r="D4500" s="1">
        <v>43899</v>
      </c>
      <c r="E4500">
        <f>MONTH(D4500)</f>
        <v>3</v>
      </c>
      <c r="F4500" s="2" t="s">
        <v>2098</v>
      </c>
      <c r="G4500" t="s">
        <v>20</v>
      </c>
      <c r="H4500" t="s">
        <v>149</v>
      </c>
      <c r="I4500" t="s">
        <v>36</v>
      </c>
      <c r="J4500" s="2" t="s">
        <v>42</v>
      </c>
      <c r="K4500" s="2" t="s">
        <v>3019</v>
      </c>
      <c r="L4500" t="s">
        <v>25</v>
      </c>
      <c r="M4500" s="8">
        <v>1.032666667</v>
      </c>
      <c r="N4500" t="s">
        <v>26</v>
      </c>
      <c r="O4500" s="8">
        <v>1.032666667</v>
      </c>
      <c r="P4500" s="8">
        <f>EXP(-1.363+3.366*LOG(O4500,10))</f>
        <v>0.26820327281159584</v>
      </c>
      <c r="Q4500" s="8">
        <f>(2618262*100)/2995732</f>
        <v>87.399740697766021</v>
      </c>
    </row>
    <row r="4501" spans="1:17" x14ac:dyDescent="0.2">
      <c r="A4501">
        <f>YEAR(D4501)</f>
        <v>2020</v>
      </c>
      <c r="B4501" t="s">
        <v>26</v>
      </c>
      <c r="C4501" s="2" t="s">
        <v>1552</v>
      </c>
      <c r="D4501" s="1">
        <v>43899</v>
      </c>
      <c r="E4501">
        <f>MONTH(D4501)</f>
        <v>3</v>
      </c>
      <c r="F4501" s="2" t="s">
        <v>2098</v>
      </c>
      <c r="G4501" t="s">
        <v>219</v>
      </c>
      <c r="H4501" t="s">
        <v>220</v>
      </c>
      <c r="I4501" t="s">
        <v>22</v>
      </c>
      <c r="J4501" s="2" t="s">
        <v>42</v>
      </c>
      <c r="K4501" s="2" t="s">
        <v>3019</v>
      </c>
      <c r="L4501" t="s">
        <v>25</v>
      </c>
      <c r="M4501" s="10" t="s">
        <v>26</v>
      </c>
      <c r="N4501" t="s">
        <v>26</v>
      </c>
      <c r="O4501" s="10" t="s">
        <v>26</v>
      </c>
      <c r="P4501" s="8" t="s">
        <v>26</v>
      </c>
      <c r="Q4501" s="8">
        <f>(3738946*100)/3915493</f>
        <v>95.491065875995687</v>
      </c>
    </row>
    <row r="4502" spans="1:17" x14ac:dyDescent="0.2">
      <c r="A4502">
        <f>YEAR(D4502)</f>
        <v>2020</v>
      </c>
      <c r="B4502" t="s">
        <v>26</v>
      </c>
      <c r="C4502" s="2" t="s">
        <v>1552</v>
      </c>
      <c r="D4502" s="1">
        <v>43899</v>
      </c>
      <c r="E4502">
        <f>MONTH(D4502)</f>
        <v>3</v>
      </c>
      <c r="F4502" s="2" t="s">
        <v>2098</v>
      </c>
      <c r="G4502" t="s">
        <v>1532</v>
      </c>
      <c r="H4502" t="s">
        <v>1944</v>
      </c>
      <c r="I4502" t="s">
        <v>22</v>
      </c>
      <c r="J4502" s="2" t="s">
        <v>42</v>
      </c>
      <c r="K4502" s="2" t="s">
        <v>3019</v>
      </c>
      <c r="L4502" t="s">
        <v>25</v>
      </c>
      <c r="M4502" s="8">
        <v>3.7026666669999999</v>
      </c>
      <c r="N4502" t="s">
        <v>26</v>
      </c>
      <c r="O4502" s="8">
        <v>3.7026666669999999</v>
      </c>
      <c r="P4502" s="8">
        <f>EXP(-1.363+3.366*LOG(O4502,10))</f>
        <v>1.7343283127134672</v>
      </c>
      <c r="Q4502" s="8">
        <f>(3738946*100)/3915493</f>
        <v>95.491065875995687</v>
      </c>
    </row>
    <row r="4503" spans="1:17" x14ac:dyDescent="0.2">
      <c r="A4503">
        <f>YEAR(D4503)</f>
        <v>2020</v>
      </c>
      <c r="B4503" t="s">
        <v>26</v>
      </c>
      <c r="C4503" s="2" t="s">
        <v>1552</v>
      </c>
      <c r="D4503" s="1">
        <v>43899</v>
      </c>
      <c r="E4503">
        <f>MONTH(D4503)</f>
        <v>3</v>
      </c>
      <c r="F4503" s="2" t="s">
        <v>2098</v>
      </c>
      <c r="G4503" t="s">
        <v>1532</v>
      </c>
      <c r="H4503" t="s">
        <v>1944</v>
      </c>
      <c r="I4503" t="s">
        <v>36</v>
      </c>
      <c r="J4503" s="2" t="s">
        <v>42</v>
      </c>
      <c r="K4503" s="2" t="s">
        <v>3019</v>
      </c>
      <c r="L4503" t="s">
        <v>25</v>
      </c>
      <c r="M4503" s="8">
        <v>3.3290000000000002</v>
      </c>
      <c r="N4503" t="s">
        <v>26</v>
      </c>
      <c r="O4503" s="8">
        <v>3.3290000000000002</v>
      </c>
      <c r="P4503" s="8">
        <f>EXP(-1.363+3.366*LOG(O4503,10))</f>
        <v>1.484544861192558</v>
      </c>
      <c r="Q4503" s="8">
        <f>(3738946*100)/3915493</f>
        <v>95.491065875995687</v>
      </c>
    </row>
    <row r="4504" spans="1:17" x14ac:dyDescent="0.2">
      <c r="A4504">
        <f>YEAR(D4504)</f>
        <v>2020</v>
      </c>
      <c r="B4504" t="s">
        <v>26</v>
      </c>
      <c r="C4504" s="2" t="s">
        <v>1552</v>
      </c>
      <c r="D4504" s="1">
        <v>43899</v>
      </c>
      <c r="E4504">
        <f>MONTH(D4504)</f>
        <v>3</v>
      </c>
      <c r="F4504" s="2" t="s">
        <v>2098</v>
      </c>
      <c r="G4504" t="s">
        <v>352</v>
      </c>
      <c r="H4504" t="s">
        <v>623</v>
      </c>
      <c r="I4504" t="s">
        <v>22</v>
      </c>
      <c r="J4504" s="2" t="s">
        <v>42</v>
      </c>
      <c r="K4504" s="2" t="s">
        <v>3019</v>
      </c>
      <c r="L4504" t="s">
        <v>25</v>
      </c>
      <c r="M4504" s="8">
        <v>1.387</v>
      </c>
      <c r="N4504" t="s">
        <v>26</v>
      </c>
      <c r="O4504" s="8">
        <v>1.387</v>
      </c>
      <c r="P4504" s="8">
        <f>EXP(-1.363+3.366*LOG(O4504,10))</f>
        <v>0.41280884754947733</v>
      </c>
      <c r="Q4504" s="8">
        <f>(3738946*100)/3915493</f>
        <v>95.491065875995687</v>
      </c>
    </row>
    <row r="4505" spans="1:17" x14ac:dyDescent="0.2">
      <c r="A4505">
        <f>YEAR(D4505)</f>
        <v>2020</v>
      </c>
      <c r="B4505" t="s">
        <v>26</v>
      </c>
      <c r="C4505" s="2" t="s">
        <v>1552</v>
      </c>
      <c r="D4505" s="1">
        <v>43899</v>
      </c>
      <c r="E4505">
        <f>MONTH(D4505)</f>
        <v>3</v>
      </c>
      <c r="F4505" s="2" t="s">
        <v>2098</v>
      </c>
      <c r="G4505" t="s">
        <v>352</v>
      </c>
      <c r="H4505" t="s">
        <v>747</v>
      </c>
      <c r="I4505" t="s">
        <v>22</v>
      </c>
      <c r="J4505" s="2" t="s">
        <v>42</v>
      </c>
      <c r="K4505" s="2" t="s">
        <v>3019</v>
      </c>
      <c r="L4505" t="s">
        <v>25</v>
      </c>
      <c r="M4505" s="8">
        <v>1.3726666670000001</v>
      </c>
      <c r="N4505" t="s">
        <v>26</v>
      </c>
      <c r="O4505" s="8">
        <v>1.3726666670000001</v>
      </c>
      <c r="P4505" s="8">
        <f>EXP(-1.363+3.366*LOG(O4505,10))</f>
        <v>0.40658758379567089</v>
      </c>
      <c r="Q4505" s="8">
        <f>(3738946*100)/3915493</f>
        <v>95.491065875995687</v>
      </c>
    </row>
    <row r="4506" spans="1:17" x14ac:dyDescent="0.2">
      <c r="A4506">
        <f>YEAR(D4506)</f>
        <v>2020</v>
      </c>
      <c r="B4506" t="s">
        <v>26</v>
      </c>
      <c r="C4506" s="2" t="s">
        <v>1552</v>
      </c>
      <c r="D4506" s="1">
        <v>43899</v>
      </c>
      <c r="E4506">
        <f>MONTH(D4506)</f>
        <v>3</v>
      </c>
      <c r="F4506" s="2" t="s">
        <v>2098</v>
      </c>
      <c r="G4506" t="s">
        <v>352</v>
      </c>
      <c r="H4506" t="s">
        <v>623</v>
      </c>
      <c r="I4506" t="s">
        <v>22</v>
      </c>
      <c r="J4506" s="2" t="s">
        <v>42</v>
      </c>
      <c r="K4506" s="2" t="s">
        <v>3019</v>
      </c>
      <c r="L4506" t="s">
        <v>25</v>
      </c>
      <c r="M4506" s="8">
        <v>1.387</v>
      </c>
      <c r="N4506" t="s">
        <v>26</v>
      </c>
      <c r="O4506" s="8">
        <v>1.387</v>
      </c>
      <c r="P4506" s="8">
        <f>EXP(-1.363+3.366*LOG(O4506,10))</f>
        <v>0.41280884754947733</v>
      </c>
      <c r="Q4506" s="8">
        <f>(3738946*100)/3915493</f>
        <v>95.491065875995687</v>
      </c>
    </row>
    <row r="4507" spans="1:17" x14ac:dyDescent="0.2">
      <c r="A4507">
        <f>YEAR(D4507)</f>
        <v>2020</v>
      </c>
      <c r="B4507" t="s">
        <v>26</v>
      </c>
      <c r="C4507" s="2" t="s">
        <v>1552</v>
      </c>
      <c r="D4507" s="1">
        <v>43899</v>
      </c>
      <c r="E4507">
        <f>MONTH(D4507)</f>
        <v>3</v>
      </c>
      <c r="F4507" s="2" t="s">
        <v>2098</v>
      </c>
      <c r="G4507" s="2" t="s">
        <v>20</v>
      </c>
      <c r="H4507" t="s">
        <v>91</v>
      </c>
      <c r="I4507" t="s">
        <v>36</v>
      </c>
      <c r="J4507" s="2" t="s">
        <v>42</v>
      </c>
      <c r="K4507" s="2" t="s">
        <v>3019</v>
      </c>
      <c r="L4507" t="s">
        <v>25</v>
      </c>
      <c r="M4507" s="8">
        <v>1.5753333329999999</v>
      </c>
      <c r="N4507" t="s">
        <v>26</v>
      </c>
      <c r="O4507" s="8">
        <v>1.5753333329999999</v>
      </c>
      <c r="P4507" s="8">
        <f>EXP(-1.363+3.366*LOG(O4507,10))</f>
        <v>0.49725898537469421</v>
      </c>
      <c r="Q4507" s="8">
        <f>(3738946*100)/3915493</f>
        <v>95.491065875995687</v>
      </c>
    </row>
    <row r="4508" spans="1:17" x14ac:dyDescent="0.2">
      <c r="A4508">
        <f>YEAR(D4508)</f>
        <v>2020</v>
      </c>
      <c r="B4508" t="s">
        <v>26</v>
      </c>
      <c r="C4508" s="2" t="s">
        <v>1540</v>
      </c>
      <c r="D4508" s="1">
        <v>43899</v>
      </c>
      <c r="E4508">
        <f>MONTH(D4508)</f>
        <v>3</v>
      </c>
      <c r="F4508" s="2" t="s">
        <v>19</v>
      </c>
      <c r="G4508" t="s">
        <v>20</v>
      </c>
      <c r="H4508" t="s">
        <v>207</v>
      </c>
      <c r="I4508" t="s">
        <v>36</v>
      </c>
      <c r="J4508" s="2" t="s">
        <v>42</v>
      </c>
      <c r="K4508" s="2" t="s">
        <v>3019</v>
      </c>
      <c r="L4508" t="s">
        <v>25</v>
      </c>
      <c r="M4508" s="8">
        <v>1.08</v>
      </c>
      <c r="N4508" t="s">
        <v>26</v>
      </c>
      <c r="O4508" s="8">
        <v>1.08</v>
      </c>
      <c r="P4508" s="8">
        <f>EXP(-1.363+3.366*LOG(O4508,10))</f>
        <v>0.28636282908560973</v>
      </c>
      <c r="Q4508" s="8">
        <f>(2618262*100)/2995732</f>
        <v>87.399740697766021</v>
      </c>
    </row>
    <row r="4509" spans="1:17" x14ac:dyDescent="0.2">
      <c r="A4509">
        <f>YEAR(D4509)</f>
        <v>2020</v>
      </c>
      <c r="B4509" t="s">
        <v>26</v>
      </c>
      <c r="C4509" s="2" t="s">
        <v>1540</v>
      </c>
      <c r="D4509" s="1">
        <v>43899</v>
      </c>
      <c r="E4509">
        <f>MONTH(D4509)</f>
        <v>3</v>
      </c>
      <c r="F4509" s="2" t="s">
        <v>19</v>
      </c>
      <c r="G4509" t="s">
        <v>20</v>
      </c>
      <c r="H4509" t="s">
        <v>207</v>
      </c>
      <c r="I4509" t="s">
        <v>36</v>
      </c>
      <c r="J4509" s="2" t="s">
        <v>42</v>
      </c>
      <c r="K4509" s="2" t="s">
        <v>3019</v>
      </c>
      <c r="L4509" t="s">
        <v>25</v>
      </c>
      <c r="M4509" s="8">
        <v>1.08</v>
      </c>
      <c r="N4509" t="s">
        <v>26</v>
      </c>
      <c r="O4509" s="8">
        <v>1.08</v>
      </c>
      <c r="P4509" s="8">
        <f>EXP(-1.363+3.366*LOG(O4509,10))</f>
        <v>0.28636282908560973</v>
      </c>
      <c r="Q4509" s="8">
        <f>(2618262*100)/2995732</f>
        <v>87.399740697766021</v>
      </c>
    </row>
    <row r="4510" spans="1:17" x14ac:dyDescent="0.2">
      <c r="A4510">
        <f>YEAR(D4510)</f>
        <v>2020</v>
      </c>
      <c r="B4510" t="s">
        <v>26</v>
      </c>
      <c r="C4510" s="2" t="s">
        <v>1540</v>
      </c>
      <c r="D4510" s="1">
        <v>43899</v>
      </c>
      <c r="E4510">
        <f>MONTH(D4510)</f>
        <v>3</v>
      </c>
      <c r="F4510" s="2" t="s">
        <v>19</v>
      </c>
      <c r="G4510" t="s">
        <v>20</v>
      </c>
      <c r="H4510" t="s">
        <v>149</v>
      </c>
      <c r="I4510" t="s">
        <v>22</v>
      </c>
      <c r="J4510" s="2" t="s">
        <v>42</v>
      </c>
      <c r="K4510" s="2" t="s">
        <v>3019</v>
      </c>
      <c r="L4510" t="s">
        <v>25</v>
      </c>
      <c r="M4510" s="8">
        <v>1.45</v>
      </c>
      <c r="N4510" t="s">
        <v>26</v>
      </c>
      <c r="O4510" s="8">
        <v>1.45</v>
      </c>
      <c r="P4510" s="8">
        <f>EXP(-1.363+3.366*LOG(O4510,10))</f>
        <v>0.44050419760124854</v>
      </c>
      <c r="Q4510" s="8">
        <f>(2618262*100)/2995732</f>
        <v>87.399740697766021</v>
      </c>
    </row>
    <row r="4511" spans="1:17" x14ac:dyDescent="0.2">
      <c r="A4511">
        <f>YEAR(D4511)</f>
        <v>2020</v>
      </c>
      <c r="B4511" t="s">
        <v>26</v>
      </c>
      <c r="C4511" s="2" t="s">
        <v>1540</v>
      </c>
      <c r="D4511" s="1">
        <v>43899</v>
      </c>
      <c r="E4511">
        <f>MONTH(D4511)</f>
        <v>3</v>
      </c>
      <c r="F4511" s="2" t="s">
        <v>19</v>
      </c>
      <c r="G4511" s="2" t="s">
        <v>20</v>
      </c>
      <c r="H4511" t="s">
        <v>45</v>
      </c>
      <c r="I4511" t="s">
        <v>22</v>
      </c>
      <c r="J4511" s="2" t="s">
        <v>42</v>
      </c>
      <c r="K4511" s="2" t="s">
        <v>3019</v>
      </c>
      <c r="L4511" t="s">
        <v>25</v>
      </c>
      <c r="M4511" s="8">
        <v>1.903333333</v>
      </c>
      <c r="N4511" t="s">
        <v>26</v>
      </c>
      <c r="O4511" s="8">
        <v>1.903333333</v>
      </c>
      <c r="P4511" s="8">
        <f>EXP(-1.363+3.366*LOG(O4511,10))</f>
        <v>0.65563371760507783</v>
      </c>
      <c r="Q4511" s="8">
        <f>(2618262*100)/2995732</f>
        <v>87.399740697766021</v>
      </c>
    </row>
    <row r="4512" spans="1:17" x14ac:dyDescent="0.2">
      <c r="A4512">
        <f>YEAR(D4512)</f>
        <v>2020</v>
      </c>
      <c r="B4512" t="s">
        <v>26</v>
      </c>
      <c r="C4512" s="2" t="s">
        <v>1540</v>
      </c>
      <c r="D4512" s="1">
        <v>43899</v>
      </c>
      <c r="E4512">
        <f>MONTH(D4512)</f>
        <v>3</v>
      </c>
      <c r="F4512" s="2" t="s">
        <v>19</v>
      </c>
      <c r="G4512" t="s">
        <v>20</v>
      </c>
      <c r="H4512" t="s">
        <v>149</v>
      </c>
      <c r="I4512" t="s">
        <v>22</v>
      </c>
      <c r="J4512" s="2" t="s">
        <v>42</v>
      </c>
      <c r="K4512" s="2" t="s">
        <v>3019</v>
      </c>
      <c r="L4512" t="s">
        <v>25</v>
      </c>
      <c r="M4512" s="8">
        <v>1.45</v>
      </c>
      <c r="N4512" t="s">
        <v>26</v>
      </c>
      <c r="O4512" s="8">
        <v>1.45</v>
      </c>
      <c r="P4512" s="8">
        <f>EXP(-1.363+3.366*LOG(O4512,10))</f>
        <v>0.44050419760124854</v>
      </c>
      <c r="Q4512" s="8">
        <f>(2618262*100)/2995732</f>
        <v>87.399740697766021</v>
      </c>
    </row>
    <row r="4513" spans="1:17" x14ac:dyDescent="0.2">
      <c r="A4513">
        <f>YEAR(D4513)</f>
        <v>2020</v>
      </c>
      <c r="B4513" t="s">
        <v>26</v>
      </c>
      <c r="C4513" s="2" t="s">
        <v>1540</v>
      </c>
      <c r="D4513" s="1">
        <v>43899</v>
      </c>
      <c r="E4513">
        <f>MONTH(D4513)</f>
        <v>3</v>
      </c>
      <c r="F4513" s="2" t="s">
        <v>19</v>
      </c>
      <c r="G4513" s="2" t="s">
        <v>20</v>
      </c>
      <c r="H4513" t="s">
        <v>45</v>
      </c>
      <c r="I4513" t="s">
        <v>36</v>
      </c>
      <c r="J4513" s="2" t="s">
        <v>42</v>
      </c>
      <c r="K4513" s="2" t="s">
        <v>3019</v>
      </c>
      <c r="L4513" t="s">
        <v>25</v>
      </c>
      <c r="M4513" s="8">
        <v>1.5053333330000001</v>
      </c>
      <c r="N4513" t="s">
        <v>26</v>
      </c>
      <c r="O4513" s="8">
        <v>1.5053333330000001</v>
      </c>
      <c r="P4513" s="8">
        <f>EXP(-1.363+3.366*LOG(O4513,10))</f>
        <v>0.46529279523463329</v>
      </c>
      <c r="Q4513" s="8">
        <f>(2618262*100)/2995732</f>
        <v>87.399740697766021</v>
      </c>
    </row>
    <row r="4514" spans="1:17" x14ac:dyDescent="0.2">
      <c r="A4514">
        <f>YEAR(D4514)</f>
        <v>2020</v>
      </c>
      <c r="B4514" t="s">
        <v>26</v>
      </c>
      <c r="C4514" s="2" t="s">
        <v>1540</v>
      </c>
      <c r="D4514" s="1">
        <v>43899</v>
      </c>
      <c r="E4514">
        <f>MONTH(D4514)</f>
        <v>3</v>
      </c>
      <c r="F4514" s="2" t="s">
        <v>19</v>
      </c>
      <c r="G4514" s="2" t="s">
        <v>20</v>
      </c>
      <c r="H4514" t="s">
        <v>91</v>
      </c>
      <c r="I4514" t="s">
        <v>36</v>
      </c>
      <c r="J4514" s="2" t="s">
        <v>42</v>
      </c>
      <c r="K4514" s="2" t="s">
        <v>3019</v>
      </c>
      <c r="L4514" t="s">
        <v>25</v>
      </c>
      <c r="M4514" s="8">
        <v>1.5753333329999999</v>
      </c>
      <c r="N4514" t="s">
        <v>26</v>
      </c>
      <c r="O4514" s="8">
        <v>1.5753333329999999</v>
      </c>
      <c r="P4514" s="8">
        <f>EXP(-1.363+3.366*LOG(O4514,10))</f>
        <v>0.49725898537469421</v>
      </c>
      <c r="Q4514" s="8">
        <f>(2618262*100)/2995732</f>
        <v>87.399740697766021</v>
      </c>
    </row>
    <row r="4515" spans="1:17" x14ac:dyDescent="0.2">
      <c r="A4515">
        <f>YEAR(D4515)</f>
        <v>2020</v>
      </c>
      <c r="B4515" t="s">
        <v>26</v>
      </c>
      <c r="C4515" s="2" t="s">
        <v>1540</v>
      </c>
      <c r="D4515" s="1">
        <v>43899</v>
      </c>
      <c r="E4515">
        <f>MONTH(D4515)</f>
        <v>3</v>
      </c>
      <c r="F4515" s="2" t="s">
        <v>19</v>
      </c>
      <c r="G4515" t="s">
        <v>352</v>
      </c>
      <c r="H4515" t="s">
        <v>494</v>
      </c>
      <c r="I4515" t="s">
        <v>22</v>
      </c>
      <c r="J4515" s="2" t="s">
        <v>42</v>
      </c>
      <c r="K4515" s="2" t="s">
        <v>3019</v>
      </c>
      <c r="L4515" t="s">
        <v>25</v>
      </c>
      <c r="M4515" s="8">
        <v>1.7226666669999999</v>
      </c>
      <c r="N4515" t="s">
        <v>26</v>
      </c>
      <c r="O4515" s="8">
        <v>1.7226666669999999</v>
      </c>
      <c r="P4515" s="8">
        <f>EXP(-1.363+3.366*LOG(O4515,10))</f>
        <v>0.56668788662759551</v>
      </c>
      <c r="Q4515" s="8">
        <f>(2618262*100)/2995732</f>
        <v>87.399740697766021</v>
      </c>
    </row>
    <row r="4516" spans="1:17" x14ac:dyDescent="0.2">
      <c r="A4516">
        <f>YEAR(D4516)</f>
        <v>2020</v>
      </c>
      <c r="B4516" t="s">
        <v>26</v>
      </c>
      <c r="C4516" s="2" t="s">
        <v>1540</v>
      </c>
      <c r="D4516" s="1">
        <v>43899</v>
      </c>
      <c r="E4516">
        <f>MONTH(D4516)</f>
        <v>3</v>
      </c>
      <c r="F4516" s="2" t="s">
        <v>19</v>
      </c>
      <c r="G4516" t="s">
        <v>303</v>
      </c>
      <c r="H4516" t="s">
        <v>307</v>
      </c>
      <c r="I4516" t="s">
        <v>36</v>
      </c>
      <c r="J4516" s="2" t="s">
        <v>42</v>
      </c>
      <c r="K4516" s="2" t="s">
        <v>3019</v>
      </c>
      <c r="L4516" t="s">
        <v>305</v>
      </c>
      <c r="M4516" s="8">
        <v>1.01</v>
      </c>
      <c r="N4516" t="s">
        <v>26</v>
      </c>
      <c r="O4516" s="8">
        <v>1.01</v>
      </c>
      <c r="P4516" s="8">
        <f>EXP(-1.363+3.366*LOG(O4516,10))</f>
        <v>0.25964128962709732</v>
      </c>
      <c r="Q4516" s="8">
        <f>(2618262*100)/2995732</f>
        <v>87.399740697766021</v>
      </c>
    </row>
    <row r="4517" spans="1:17" x14ac:dyDescent="0.2">
      <c r="A4517">
        <f>YEAR(D4517)</f>
        <v>2020</v>
      </c>
      <c r="B4517" t="s">
        <v>26</v>
      </c>
      <c r="C4517" s="2" t="s">
        <v>1540</v>
      </c>
      <c r="D4517" s="1">
        <v>43899</v>
      </c>
      <c r="E4517">
        <f>MONTH(D4517)</f>
        <v>3</v>
      </c>
      <c r="F4517" s="2" t="s">
        <v>19</v>
      </c>
      <c r="G4517" t="s">
        <v>20</v>
      </c>
      <c r="H4517" t="s">
        <v>149</v>
      </c>
      <c r="I4517" t="s">
        <v>36</v>
      </c>
      <c r="J4517" s="2" t="s">
        <v>42</v>
      </c>
      <c r="K4517" s="2" t="s">
        <v>3019</v>
      </c>
      <c r="L4517" t="s">
        <v>25</v>
      </c>
      <c r="M4517" s="8">
        <v>1.032666667</v>
      </c>
      <c r="N4517" t="s">
        <v>26</v>
      </c>
      <c r="O4517" s="8">
        <v>1.032666667</v>
      </c>
      <c r="P4517" s="8">
        <f>EXP(-1.363+3.366*LOG(O4517,10))</f>
        <v>0.26820327281159584</v>
      </c>
      <c r="Q4517" s="8">
        <f>(2618262*100)/2995732</f>
        <v>87.399740697766021</v>
      </c>
    </row>
    <row r="4518" spans="1:17" x14ac:dyDescent="0.2">
      <c r="A4518">
        <f>YEAR(D4518)</f>
        <v>2020</v>
      </c>
      <c r="B4518" t="s">
        <v>26</v>
      </c>
      <c r="C4518" s="2" t="s">
        <v>1540</v>
      </c>
      <c r="D4518" s="1">
        <v>43899</v>
      </c>
      <c r="E4518">
        <f>MONTH(D4518)</f>
        <v>3</v>
      </c>
      <c r="F4518" s="2" t="s">
        <v>19</v>
      </c>
      <c r="G4518" t="s">
        <v>20</v>
      </c>
      <c r="H4518" t="s">
        <v>149</v>
      </c>
      <c r="I4518" t="s">
        <v>36</v>
      </c>
      <c r="J4518" s="2" t="s">
        <v>42</v>
      </c>
      <c r="K4518" s="2" t="s">
        <v>3019</v>
      </c>
      <c r="L4518" t="s">
        <v>25</v>
      </c>
      <c r="M4518" s="8">
        <v>1.032666667</v>
      </c>
      <c r="N4518" t="s">
        <v>26</v>
      </c>
      <c r="O4518" s="8">
        <v>1.032666667</v>
      </c>
      <c r="P4518" s="8">
        <f>EXP(-1.363+3.366*LOG(O4518,10))</f>
        <v>0.26820327281159584</v>
      </c>
      <c r="Q4518" s="8">
        <f>(2618262*100)/2995732</f>
        <v>87.399740697766021</v>
      </c>
    </row>
    <row r="4519" spans="1:17" x14ac:dyDescent="0.2">
      <c r="A4519">
        <f>YEAR(D4519)</f>
        <v>2020</v>
      </c>
      <c r="B4519" t="s">
        <v>26</v>
      </c>
      <c r="C4519" s="2" t="s">
        <v>1540</v>
      </c>
      <c r="D4519" s="1">
        <v>43899</v>
      </c>
      <c r="E4519">
        <f>MONTH(D4519)</f>
        <v>3</v>
      </c>
      <c r="F4519" s="2" t="s">
        <v>19</v>
      </c>
      <c r="G4519" t="s">
        <v>20</v>
      </c>
      <c r="H4519" t="s">
        <v>149</v>
      </c>
      <c r="I4519" t="s">
        <v>36</v>
      </c>
      <c r="J4519" s="2" t="s">
        <v>42</v>
      </c>
      <c r="K4519" s="2" t="s">
        <v>3019</v>
      </c>
      <c r="L4519" t="s">
        <v>25</v>
      </c>
      <c r="M4519" s="8">
        <v>1.032666667</v>
      </c>
      <c r="N4519" t="s">
        <v>26</v>
      </c>
      <c r="O4519" s="8">
        <v>1.032666667</v>
      </c>
      <c r="P4519" s="8">
        <f>EXP(-1.363+3.366*LOG(O4519,10))</f>
        <v>0.26820327281159584</v>
      </c>
      <c r="Q4519" s="8">
        <f>(2618262*100)/2995732</f>
        <v>87.399740697766021</v>
      </c>
    </row>
    <row r="4520" spans="1:17" x14ac:dyDescent="0.2">
      <c r="A4520">
        <f>YEAR(D4520)</f>
        <v>2020</v>
      </c>
      <c r="B4520" t="s">
        <v>26</v>
      </c>
      <c r="C4520" s="2" t="s">
        <v>1540</v>
      </c>
      <c r="D4520" s="1">
        <v>43899</v>
      </c>
      <c r="E4520">
        <f>MONTH(D4520)</f>
        <v>3</v>
      </c>
      <c r="F4520" s="2" t="s">
        <v>19</v>
      </c>
      <c r="G4520" t="s">
        <v>20</v>
      </c>
      <c r="H4520" t="s">
        <v>149</v>
      </c>
      <c r="I4520" t="s">
        <v>36</v>
      </c>
      <c r="J4520" s="2" t="s">
        <v>42</v>
      </c>
      <c r="K4520" s="2" t="s">
        <v>3019</v>
      </c>
      <c r="L4520" t="s">
        <v>25</v>
      </c>
      <c r="M4520" s="8">
        <v>1.032666667</v>
      </c>
      <c r="N4520" t="s">
        <v>26</v>
      </c>
      <c r="O4520" s="8">
        <v>1.032666667</v>
      </c>
      <c r="P4520" s="8">
        <f>EXP(-1.363+3.366*LOG(O4520,10))</f>
        <v>0.26820327281159584</v>
      </c>
      <c r="Q4520" s="8">
        <f>(2618262*100)/2995732</f>
        <v>87.399740697766021</v>
      </c>
    </row>
    <row r="4521" spans="1:17" x14ac:dyDescent="0.2">
      <c r="A4521">
        <f>YEAR(D4521)</f>
        <v>2020</v>
      </c>
      <c r="B4521" t="s">
        <v>26</v>
      </c>
      <c r="C4521" s="2" t="s">
        <v>1540</v>
      </c>
      <c r="D4521" s="1">
        <v>43899</v>
      </c>
      <c r="E4521">
        <f>MONTH(D4521)</f>
        <v>3</v>
      </c>
      <c r="F4521" s="2" t="s">
        <v>19</v>
      </c>
      <c r="G4521" t="s">
        <v>20</v>
      </c>
      <c r="H4521" t="s">
        <v>149</v>
      </c>
      <c r="I4521" t="s">
        <v>36</v>
      </c>
      <c r="J4521" s="2" t="s">
        <v>42</v>
      </c>
      <c r="K4521" s="2" t="s">
        <v>3019</v>
      </c>
      <c r="L4521" t="s">
        <v>25</v>
      </c>
      <c r="M4521" s="8">
        <v>1.032666667</v>
      </c>
      <c r="N4521" t="s">
        <v>26</v>
      </c>
      <c r="O4521" s="8">
        <v>1.032666667</v>
      </c>
      <c r="P4521" s="8">
        <f>EXP(-1.363+3.366*LOG(O4521,10))</f>
        <v>0.26820327281159584</v>
      </c>
      <c r="Q4521" s="8">
        <f>(2618262*100)/2995732</f>
        <v>87.399740697766021</v>
      </c>
    </row>
    <row r="4522" spans="1:17" x14ac:dyDescent="0.2">
      <c r="A4522">
        <f>YEAR(D4522)</f>
        <v>2020</v>
      </c>
      <c r="B4522" t="s">
        <v>26</v>
      </c>
      <c r="C4522" s="2" t="s">
        <v>1540</v>
      </c>
      <c r="D4522" s="1">
        <v>43899</v>
      </c>
      <c r="E4522">
        <f>MONTH(D4522)</f>
        <v>3</v>
      </c>
      <c r="F4522" s="2" t="s">
        <v>19</v>
      </c>
      <c r="G4522" t="s">
        <v>20</v>
      </c>
      <c r="H4522" t="s">
        <v>149</v>
      </c>
      <c r="I4522" t="s">
        <v>36</v>
      </c>
      <c r="J4522" s="2" t="s">
        <v>42</v>
      </c>
      <c r="K4522" s="2" t="s">
        <v>3019</v>
      </c>
      <c r="L4522" t="s">
        <v>25</v>
      </c>
      <c r="M4522" s="8">
        <v>1.032666667</v>
      </c>
      <c r="N4522" t="s">
        <v>26</v>
      </c>
      <c r="O4522" s="8">
        <v>1.032666667</v>
      </c>
      <c r="P4522" s="8">
        <f>EXP(-1.363+3.366*LOG(O4522,10))</f>
        <v>0.26820327281159584</v>
      </c>
      <c r="Q4522" s="8">
        <f>(2618262*100)/2995732</f>
        <v>87.399740697766021</v>
      </c>
    </row>
    <row r="4523" spans="1:17" x14ac:dyDescent="0.2">
      <c r="A4523">
        <f>YEAR(D4523)</f>
        <v>2020</v>
      </c>
      <c r="B4523" t="s">
        <v>26</v>
      </c>
      <c r="C4523" s="2" t="s">
        <v>1540</v>
      </c>
      <c r="D4523" s="1">
        <v>43899</v>
      </c>
      <c r="E4523">
        <f>MONTH(D4523)</f>
        <v>3</v>
      </c>
      <c r="F4523" s="2" t="s">
        <v>19</v>
      </c>
      <c r="G4523" s="2" t="s">
        <v>20</v>
      </c>
      <c r="H4523" t="s">
        <v>45</v>
      </c>
      <c r="I4523" t="s">
        <v>36</v>
      </c>
      <c r="J4523" s="2" t="s">
        <v>42</v>
      </c>
      <c r="K4523" s="2" t="s">
        <v>3019</v>
      </c>
      <c r="L4523" t="s">
        <v>25</v>
      </c>
      <c r="M4523" s="8">
        <v>1.5053333330000001</v>
      </c>
      <c r="N4523" t="s">
        <v>26</v>
      </c>
      <c r="O4523" s="8">
        <v>1.5053333330000001</v>
      </c>
      <c r="P4523" s="8">
        <f>EXP(-1.363+3.366*LOG(O4523,10))</f>
        <v>0.46529279523463329</v>
      </c>
      <c r="Q4523" s="8">
        <f>(2618262*100)/2995732</f>
        <v>87.399740697766021</v>
      </c>
    </row>
    <row r="4524" spans="1:17" x14ac:dyDescent="0.2">
      <c r="A4524">
        <f>YEAR(D4524)</f>
        <v>2020</v>
      </c>
      <c r="B4524" t="s">
        <v>26</v>
      </c>
      <c r="C4524" s="2" t="s">
        <v>1552</v>
      </c>
      <c r="D4524" s="1">
        <v>43899</v>
      </c>
      <c r="E4524">
        <f>MONTH(D4524)</f>
        <v>3</v>
      </c>
      <c r="F4524" s="2" t="s">
        <v>19</v>
      </c>
      <c r="G4524" t="s">
        <v>20</v>
      </c>
      <c r="H4524" t="s">
        <v>149</v>
      </c>
      <c r="I4524" t="s">
        <v>36</v>
      </c>
      <c r="J4524" s="2" t="s">
        <v>42</v>
      </c>
      <c r="K4524" s="2" t="s">
        <v>3019</v>
      </c>
      <c r="L4524" t="s">
        <v>25</v>
      </c>
      <c r="M4524" s="8">
        <v>1.032666667</v>
      </c>
      <c r="N4524" t="s">
        <v>26</v>
      </c>
      <c r="O4524" s="8">
        <v>1.032666667</v>
      </c>
      <c r="P4524" s="8">
        <f>EXP(-1.363+3.366*LOG(O4524,10))</f>
        <v>0.26820327281159584</v>
      </c>
      <c r="Q4524" s="8">
        <f>(3738946*100)/3915493</f>
        <v>95.491065875995687</v>
      </c>
    </row>
    <row r="4525" spans="1:17" x14ac:dyDescent="0.2">
      <c r="A4525">
        <f>YEAR(D4525)</f>
        <v>2020</v>
      </c>
      <c r="B4525" t="s">
        <v>26</v>
      </c>
      <c r="C4525" s="2" t="s">
        <v>1552</v>
      </c>
      <c r="D4525" s="1">
        <v>43899</v>
      </c>
      <c r="E4525">
        <f>MONTH(D4525)</f>
        <v>3</v>
      </c>
      <c r="F4525" s="2" t="s">
        <v>19</v>
      </c>
      <c r="G4525" t="s">
        <v>20</v>
      </c>
      <c r="H4525" t="s">
        <v>149</v>
      </c>
      <c r="I4525" t="s">
        <v>22</v>
      </c>
      <c r="J4525" s="2" t="s">
        <v>42</v>
      </c>
      <c r="K4525" s="2" t="s">
        <v>3019</v>
      </c>
      <c r="L4525" t="s">
        <v>25</v>
      </c>
      <c r="M4525" s="8">
        <v>1.45</v>
      </c>
      <c r="N4525" t="s">
        <v>26</v>
      </c>
      <c r="O4525" s="8">
        <v>1.45</v>
      </c>
      <c r="P4525" s="8">
        <f>EXP(-1.363+3.366*LOG(O4525,10))</f>
        <v>0.44050419760124854</v>
      </c>
      <c r="Q4525" s="8">
        <f>(3738946*100)/3915493</f>
        <v>95.491065875995687</v>
      </c>
    </row>
    <row r="4526" spans="1:17" x14ac:dyDescent="0.2">
      <c r="A4526">
        <f>YEAR(D4526)</f>
        <v>2020</v>
      </c>
      <c r="B4526" t="s">
        <v>26</v>
      </c>
      <c r="C4526" s="2" t="s">
        <v>1552</v>
      </c>
      <c r="D4526" s="1">
        <v>43899</v>
      </c>
      <c r="E4526">
        <f>MONTH(D4526)</f>
        <v>3</v>
      </c>
      <c r="F4526" s="2" t="s">
        <v>19</v>
      </c>
      <c r="G4526" t="s">
        <v>20</v>
      </c>
      <c r="H4526" t="s">
        <v>149</v>
      </c>
      <c r="I4526" t="s">
        <v>36</v>
      </c>
      <c r="J4526" s="2" t="s">
        <v>42</v>
      </c>
      <c r="K4526" s="2" t="s">
        <v>3019</v>
      </c>
      <c r="L4526" t="s">
        <v>25</v>
      </c>
      <c r="M4526" s="8">
        <v>1.032666667</v>
      </c>
      <c r="N4526" t="s">
        <v>26</v>
      </c>
      <c r="O4526" s="8">
        <v>1.032666667</v>
      </c>
      <c r="P4526" s="8">
        <f>EXP(-1.363+3.366*LOG(O4526,10))</f>
        <v>0.26820327281159584</v>
      </c>
      <c r="Q4526" s="8">
        <f>(3738946*100)/3915493</f>
        <v>95.491065875995687</v>
      </c>
    </row>
    <row r="4527" spans="1:17" x14ac:dyDescent="0.2">
      <c r="A4527">
        <f>YEAR(D4527)</f>
        <v>2020</v>
      </c>
      <c r="B4527" t="s">
        <v>26</v>
      </c>
      <c r="C4527" s="2" t="s">
        <v>1552</v>
      </c>
      <c r="D4527" s="1">
        <v>43899</v>
      </c>
      <c r="E4527">
        <f>MONTH(D4527)</f>
        <v>3</v>
      </c>
      <c r="F4527" s="2" t="s">
        <v>19</v>
      </c>
      <c r="G4527" t="s">
        <v>20</v>
      </c>
      <c r="H4527" t="s">
        <v>149</v>
      </c>
      <c r="I4527" t="s">
        <v>36</v>
      </c>
      <c r="J4527" s="2" t="s">
        <v>42</v>
      </c>
      <c r="K4527" s="2" t="s">
        <v>3019</v>
      </c>
      <c r="L4527" t="s">
        <v>25</v>
      </c>
      <c r="M4527" s="8">
        <v>1.032666667</v>
      </c>
      <c r="N4527" t="s">
        <v>26</v>
      </c>
      <c r="O4527" s="8">
        <v>1.032666667</v>
      </c>
      <c r="P4527" s="8">
        <f>EXP(-1.363+3.366*LOG(O4527,10))</f>
        <v>0.26820327281159584</v>
      </c>
      <c r="Q4527" s="8">
        <f>(3738946*100)/3915493</f>
        <v>95.491065875995687</v>
      </c>
    </row>
    <row r="4528" spans="1:17" x14ac:dyDescent="0.2">
      <c r="A4528">
        <f>YEAR(D4528)</f>
        <v>2020</v>
      </c>
      <c r="B4528" t="s">
        <v>26</v>
      </c>
      <c r="C4528" s="2" t="s">
        <v>1540</v>
      </c>
      <c r="D4528" s="1">
        <v>43899</v>
      </c>
      <c r="E4528">
        <f>MONTH(D4528)</f>
        <v>3</v>
      </c>
      <c r="F4528" s="2" t="s">
        <v>19</v>
      </c>
      <c r="G4528" t="s">
        <v>303</v>
      </c>
      <c r="H4528" t="s">
        <v>307</v>
      </c>
      <c r="I4528" t="s">
        <v>36</v>
      </c>
      <c r="J4528" s="2" t="s">
        <v>42</v>
      </c>
      <c r="K4528" s="2" t="s">
        <v>3019</v>
      </c>
      <c r="L4528" t="s">
        <v>305</v>
      </c>
      <c r="M4528" s="8">
        <v>1.01</v>
      </c>
      <c r="N4528" t="s">
        <v>26</v>
      </c>
      <c r="O4528" s="8">
        <v>1.01</v>
      </c>
      <c r="P4528" s="8">
        <f>EXP(-1.363+3.366*LOG(O4528,10))</f>
        <v>0.25964128962709732</v>
      </c>
      <c r="Q4528" s="8">
        <f>(2618262*100)/2995732</f>
        <v>87.399740697766021</v>
      </c>
    </row>
    <row r="4529" spans="1:17" x14ac:dyDescent="0.2">
      <c r="A4529">
        <f>YEAR(D4529)</f>
        <v>2020</v>
      </c>
      <c r="B4529" t="s">
        <v>26</v>
      </c>
      <c r="C4529" s="2" t="s">
        <v>1540</v>
      </c>
      <c r="D4529" s="1">
        <v>43899</v>
      </c>
      <c r="E4529">
        <f>MONTH(D4529)</f>
        <v>3</v>
      </c>
      <c r="F4529" s="2" t="s">
        <v>19</v>
      </c>
      <c r="G4529" t="s">
        <v>20</v>
      </c>
      <c r="H4529" t="s">
        <v>149</v>
      </c>
      <c r="I4529" t="s">
        <v>36</v>
      </c>
      <c r="J4529" s="2" t="s">
        <v>42</v>
      </c>
      <c r="K4529" s="2" t="s">
        <v>3019</v>
      </c>
      <c r="L4529" t="s">
        <v>25</v>
      </c>
      <c r="M4529" s="8">
        <v>1.032666667</v>
      </c>
      <c r="N4529" t="s">
        <v>26</v>
      </c>
      <c r="O4529" s="8">
        <v>1.032666667</v>
      </c>
      <c r="P4529" s="8">
        <f>EXP(-1.363+3.366*LOG(O4529,10))</f>
        <v>0.26820327281159584</v>
      </c>
      <c r="Q4529" s="8">
        <f>(2618262*100)/2995732</f>
        <v>87.399740697766021</v>
      </c>
    </row>
    <row r="4530" spans="1:17" x14ac:dyDescent="0.2">
      <c r="A4530">
        <f>YEAR(D4530)</f>
        <v>2020</v>
      </c>
      <c r="B4530" t="s">
        <v>26</v>
      </c>
      <c r="C4530" s="2" t="s">
        <v>3024</v>
      </c>
      <c r="D4530" s="1">
        <v>43902</v>
      </c>
      <c r="E4530">
        <f>MONTH(D4530)</f>
        <v>3</v>
      </c>
      <c r="F4530" s="2" t="s">
        <v>2098</v>
      </c>
      <c r="G4530" t="s">
        <v>219</v>
      </c>
      <c r="H4530" t="s">
        <v>220</v>
      </c>
      <c r="I4530" t="s">
        <v>22</v>
      </c>
      <c r="J4530" s="2" t="s">
        <v>42</v>
      </c>
      <c r="K4530" s="2" t="s">
        <v>3019</v>
      </c>
      <c r="L4530" t="s">
        <v>25</v>
      </c>
      <c r="M4530" s="10" t="s">
        <v>26</v>
      </c>
      <c r="N4530" t="s">
        <v>26</v>
      </c>
      <c r="O4530" s="10" t="s">
        <v>26</v>
      </c>
      <c r="P4530" s="8" t="s">
        <v>26</v>
      </c>
      <c r="Q4530" s="8">
        <f>(2412691*100)/2623642</f>
        <v>91.959611867777696</v>
      </c>
    </row>
    <row r="4531" spans="1:17" x14ac:dyDescent="0.2">
      <c r="A4531">
        <f>YEAR(D4531)</f>
        <v>2020</v>
      </c>
      <c r="B4531" t="s">
        <v>26</v>
      </c>
      <c r="C4531" s="2" t="s">
        <v>3023</v>
      </c>
      <c r="D4531" s="1">
        <v>43903</v>
      </c>
      <c r="E4531">
        <f>MONTH(D4531)</f>
        <v>3</v>
      </c>
      <c r="F4531" s="2" t="s">
        <v>2098</v>
      </c>
      <c r="G4531" t="s">
        <v>219</v>
      </c>
      <c r="H4531" t="s">
        <v>220</v>
      </c>
      <c r="I4531" t="s">
        <v>22</v>
      </c>
      <c r="J4531" s="2" t="s">
        <v>42</v>
      </c>
      <c r="K4531" s="2" t="s">
        <v>3019</v>
      </c>
      <c r="L4531" t="s">
        <v>25</v>
      </c>
      <c r="M4531" s="10" t="s">
        <v>26</v>
      </c>
      <c r="N4531" t="s">
        <v>26</v>
      </c>
      <c r="O4531" s="10" t="s">
        <v>26</v>
      </c>
      <c r="P4531" s="8" t="s">
        <v>26</v>
      </c>
      <c r="Q4531" s="8">
        <f>(8197453*100)/8541008</f>
        <v>95.977582505484136</v>
      </c>
    </row>
    <row r="4532" spans="1:17" x14ac:dyDescent="0.2">
      <c r="A4532">
        <f>YEAR(D4532)</f>
        <v>2020</v>
      </c>
      <c r="B4532" t="s">
        <v>26</v>
      </c>
      <c r="C4532" s="2" t="s">
        <v>3023</v>
      </c>
      <c r="D4532" s="1">
        <v>43903</v>
      </c>
      <c r="E4532">
        <f>MONTH(D4532)</f>
        <v>3</v>
      </c>
      <c r="F4532" s="2" t="s">
        <v>2098</v>
      </c>
      <c r="G4532" t="s">
        <v>219</v>
      </c>
      <c r="H4532" t="s">
        <v>220</v>
      </c>
      <c r="I4532" t="s">
        <v>22</v>
      </c>
      <c r="J4532" s="2" t="s">
        <v>42</v>
      </c>
      <c r="K4532" s="2" t="s">
        <v>3019</v>
      </c>
      <c r="L4532" t="s">
        <v>25</v>
      </c>
      <c r="M4532" s="10" t="s">
        <v>26</v>
      </c>
      <c r="N4532" t="s">
        <v>26</v>
      </c>
      <c r="O4532" s="10" t="s">
        <v>26</v>
      </c>
      <c r="P4532" s="8" t="s">
        <v>26</v>
      </c>
      <c r="Q4532" s="8">
        <f>(8197453*100)/8541008</f>
        <v>95.977582505484136</v>
      </c>
    </row>
    <row r="4533" spans="1:17" x14ac:dyDescent="0.2">
      <c r="A4533">
        <f>YEAR(D4533)</f>
        <v>2020</v>
      </c>
      <c r="B4533" t="s">
        <v>26</v>
      </c>
      <c r="C4533" s="2" t="s">
        <v>3022</v>
      </c>
      <c r="D4533" s="1">
        <v>43903</v>
      </c>
      <c r="E4533">
        <f>MONTH(D4533)</f>
        <v>3</v>
      </c>
      <c r="F4533" s="2" t="s">
        <v>2098</v>
      </c>
      <c r="G4533" s="2" t="s">
        <v>20</v>
      </c>
      <c r="H4533" t="s">
        <v>45</v>
      </c>
      <c r="I4533" t="s">
        <v>22</v>
      </c>
      <c r="J4533" s="2" t="s">
        <v>42</v>
      </c>
      <c r="K4533" s="2" t="s">
        <v>3019</v>
      </c>
      <c r="L4533" t="s">
        <v>25</v>
      </c>
      <c r="M4533" s="8">
        <v>1.903333333</v>
      </c>
      <c r="N4533" t="s">
        <v>26</v>
      </c>
      <c r="O4533" s="8">
        <v>1.903333333</v>
      </c>
      <c r="P4533" s="8">
        <f>EXP(-1.363+3.366*LOG(O4533,10))</f>
        <v>0.65563371760507783</v>
      </c>
      <c r="Q4533" s="8">
        <f>(4437920*100)/4638971</f>
        <v>95.666043180696747</v>
      </c>
    </row>
    <row r="4534" spans="1:17" x14ac:dyDescent="0.2">
      <c r="A4534">
        <f>YEAR(D4534)</f>
        <v>2020</v>
      </c>
      <c r="B4534" t="s">
        <v>26</v>
      </c>
      <c r="C4534" s="2" t="s">
        <v>3022</v>
      </c>
      <c r="D4534" s="1">
        <v>43903</v>
      </c>
      <c r="E4534">
        <f>MONTH(D4534)</f>
        <v>3</v>
      </c>
      <c r="F4534" s="2" t="s">
        <v>2098</v>
      </c>
      <c r="G4534" t="s">
        <v>1735</v>
      </c>
      <c r="H4534" t="s">
        <v>1736</v>
      </c>
      <c r="I4534" t="s">
        <v>36</v>
      </c>
      <c r="J4534" s="2" t="s">
        <v>42</v>
      </c>
      <c r="K4534" s="2" t="s">
        <v>3019</v>
      </c>
      <c r="L4534" t="s">
        <v>25</v>
      </c>
      <c r="M4534" s="8">
        <v>3.8633333329999999</v>
      </c>
      <c r="N4534" t="s">
        <v>26</v>
      </c>
      <c r="O4534" s="8">
        <v>3.8633333329999999</v>
      </c>
      <c r="P4534" s="8">
        <f>EXP(-1.363+3.366*LOG(O4534,10))</f>
        <v>1.8454344092406809</v>
      </c>
      <c r="Q4534" s="8">
        <f>(4437920*100)/4638971</f>
        <v>95.666043180696747</v>
      </c>
    </row>
    <row r="4535" spans="1:17" x14ac:dyDescent="0.2">
      <c r="A4535">
        <f>YEAR(D4535)</f>
        <v>2020</v>
      </c>
      <c r="B4535" t="s">
        <v>26</v>
      </c>
      <c r="C4535" s="2" t="s">
        <v>3022</v>
      </c>
      <c r="D4535" s="1">
        <v>43903</v>
      </c>
      <c r="E4535">
        <f>MONTH(D4535)</f>
        <v>3</v>
      </c>
      <c r="F4535" s="2" t="s">
        <v>2098</v>
      </c>
      <c r="G4535" t="s">
        <v>1735</v>
      </c>
      <c r="H4535" t="s">
        <v>1736</v>
      </c>
      <c r="I4535" t="s">
        <v>36</v>
      </c>
      <c r="J4535" s="2" t="s">
        <v>42</v>
      </c>
      <c r="K4535" s="2" t="s">
        <v>3019</v>
      </c>
      <c r="L4535" t="s">
        <v>25</v>
      </c>
      <c r="M4535" s="8">
        <v>3.8633333329999999</v>
      </c>
      <c r="N4535" t="s">
        <v>26</v>
      </c>
      <c r="O4535" s="8">
        <v>3.8633333329999999</v>
      </c>
      <c r="P4535" s="8">
        <f>EXP(-1.363+3.366*LOG(O4535,10))</f>
        <v>1.8454344092406809</v>
      </c>
      <c r="Q4535" s="8">
        <f>(4437920*100)/4638971</f>
        <v>95.666043180696747</v>
      </c>
    </row>
    <row r="4536" spans="1:17" x14ac:dyDescent="0.2">
      <c r="A4536">
        <f>YEAR(D4536)</f>
        <v>2020</v>
      </c>
      <c r="B4536" t="s">
        <v>26</v>
      </c>
      <c r="C4536" s="2" t="s">
        <v>3022</v>
      </c>
      <c r="D4536" s="1">
        <v>43903</v>
      </c>
      <c r="E4536">
        <f>MONTH(D4536)</f>
        <v>3</v>
      </c>
      <c r="F4536" s="2" t="s">
        <v>2098</v>
      </c>
      <c r="G4536" t="s">
        <v>1735</v>
      </c>
      <c r="H4536" t="s">
        <v>1736</v>
      </c>
      <c r="I4536" t="s">
        <v>36</v>
      </c>
      <c r="J4536" s="2" t="s">
        <v>42</v>
      </c>
      <c r="K4536" s="2" t="s">
        <v>3019</v>
      </c>
      <c r="L4536" t="s">
        <v>25</v>
      </c>
      <c r="M4536" s="8">
        <v>3.8633333329999999</v>
      </c>
      <c r="N4536" t="s">
        <v>26</v>
      </c>
      <c r="O4536" s="8">
        <v>3.8633333329999999</v>
      </c>
      <c r="P4536" s="8">
        <f>EXP(-1.363+3.366*LOG(O4536,10))</f>
        <v>1.8454344092406809</v>
      </c>
      <c r="Q4536" s="8">
        <f>(4437920*100)/4638971</f>
        <v>95.666043180696747</v>
      </c>
    </row>
    <row r="4537" spans="1:17" x14ac:dyDescent="0.2">
      <c r="A4537">
        <f>YEAR(D4537)</f>
        <v>2020</v>
      </c>
      <c r="B4537" t="s">
        <v>26</v>
      </c>
      <c r="C4537" s="2" t="s">
        <v>3022</v>
      </c>
      <c r="D4537" s="1">
        <v>43903</v>
      </c>
      <c r="E4537">
        <f>MONTH(D4537)</f>
        <v>3</v>
      </c>
      <c r="F4537" s="2" t="s">
        <v>2098</v>
      </c>
      <c r="G4537" t="s">
        <v>230</v>
      </c>
      <c r="H4537" t="s">
        <v>255</v>
      </c>
      <c r="I4537" t="s">
        <v>22</v>
      </c>
      <c r="J4537" s="2" t="s">
        <v>42</v>
      </c>
      <c r="K4537" s="2" t="s">
        <v>3019</v>
      </c>
      <c r="L4537" t="s">
        <v>25</v>
      </c>
      <c r="M4537" s="8">
        <v>3.1943333329999999</v>
      </c>
      <c r="N4537" t="s">
        <v>26</v>
      </c>
      <c r="O4537" s="8">
        <v>3.1943333329999999</v>
      </c>
      <c r="P4537" s="8">
        <f>EXP(-1.363+3.366*LOG(O4537,10))</f>
        <v>1.3975823704079444</v>
      </c>
      <c r="Q4537" s="8">
        <f>(4437920*100)/4638971</f>
        <v>95.666043180696747</v>
      </c>
    </row>
    <row r="4538" spans="1:17" x14ac:dyDescent="0.2">
      <c r="A4538">
        <f>YEAR(D4538)</f>
        <v>2020</v>
      </c>
      <c r="B4538" t="s">
        <v>26</v>
      </c>
      <c r="C4538" s="2" t="s">
        <v>3022</v>
      </c>
      <c r="D4538" s="1">
        <v>43903</v>
      </c>
      <c r="E4538">
        <f>MONTH(D4538)</f>
        <v>3</v>
      </c>
      <c r="F4538" s="2" t="s">
        <v>2098</v>
      </c>
      <c r="G4538" t="s">
        <v>20</v>
      </c>
      <c r="H4538" t="s">
        <v>149</v>
      </c>
      <c r="I4538" t="s">
        <v>36</v>
      </c>
      <c r="J4538" s="2" t="s">
        <v>42</v>
      </c>
      <c r="K4538" s="2" t="s">
        <v>3019</v>
      </c>
      <c r="L4538" t="s">
        <v>25</v>
      </c>
      <c r="M4538" s="8">
        <v>1.032666667</v>
      </c>
      <c r="N4538" t="s">
        <v>26</v>
      </c>
      <c r="O4538" s="8">
        <v>1.032666667</v>
      </c>
      <c r="P4538" s="8">
        <f>EXP(-1.363+3.366*LOG(O4538,10))</f>
        <v>0.26820327281159584</v>
      </c>
      <c r="Q4538" s="8">
        <f>(4437920*100)/4638971</f>
        <v>95.666043180696747</v>
      </c>
    </row>
    <row r="4539" spans="1:17" x14ac:dyDescent="0.2">
      <c r="A4539">
        <f>YEAR(D4539)</f>
        <v>2020</v>
      </c>
      <c r="B4539" t="s">
        <v>26</v>
      </c>
      <c r="C4539" s="2" t="s">
        <v>3022</v>
      </c>
      <c r="D4539" s="1">
        <v>43903</v>
      </c>
      <c r="E4539">
        <f>MONTH(D4539)</f>
        <v>3</v>
      </c>
      <c r="F4539" s="2" t="s">
        <v>2098</v>
      </c>
      <c r="G4539" t="s">
        <v>20</v>
      </c>
      <c r="H4539" t="s">
        <v>149</v>
      </c>
      <c r="I4539" t="s">
        <v>22</v>
      </c>
      <c r="J4539" s="2" t="s">
        <v>42</v>
      </c>
      <c r="K4539" s="2" t="s">
        <v>3019</v>
      </c>
      <c r="L4539" t="s">
        <v>25</v>
      </c>
      <c r="M4539" s="8">
        <v>1.45</v>
      </c>
      <c r="N4539" t="s">
        <v>26</v>
      </c>
      <c r="O4539" s="8">
        <v>1.45</v>
      </c>
      <c r="P4539" s="8">
        <f>EXP(-1.363+3.366*LOG(O4539,10))</f>
        <v>0.44050419760124854</v>
      </c>
      <c r="Q4539" s="8">
        <f>(4437920*100)/4638971</f>
        <v>95.666043180696747</v>
      </c>
    </row>
    <row r="4540" spans="1:17" x14ac:dyDescent="0.2">
      <c r="A4540">
        <f>YEAR(D4540)</f>
        <v>2020</v>
      </c>
      <c r="B4540" t="s">
        <v>26</v>
      </c>
      <c r="C4540" s="2" t="s">
        <v>3022</v>
      </c>
      <c r="D4540" s="1">
        <v>43903</v>
      </c>
      <c r="E4540">
        <f>MONTH(D4540)</f>
        <v>3</v>
      </c>
      <c r="F4540" s="2" t="s">
        <v>2098</v>
      </c>
      <c r="G4540" t="s">
        <v>352</v>
      </c>
      <c r="H4540" t="s">
        <v>623</v>
      </c>
      <c r="I4540" t="s">
        <v>22</v>
      </c>
      <c r="J4540" s="2" t="s">
        <v>42</v>
      </c>
      <c r="K4540" s="2" t="s">
        <v>3019</v>
      </c>
      <c r="L4540" t="s">
        <v>25</v>
      </c>
      <c r="M4540" s="8">
        <v>1.387</v>
      </c>
      <c r="N4540" t="s">
        <v>26</v>
      </c>
      <c r="O4540" s="8">
        <v>1.387</v>
      </c>
      <c r="P4540" s="8">
        <f>EXP(-1.363+3.366*LOG(O4540,10))</f>
        <v>0.41280884754947733</v>
      </c>
      <c r="Q4540" s="8">
        <f>(4437920*100)/4638971</f>
        <v>95.666043180696747</v>
      </c>
    </row>
    <row r="4541" spans="1:17" x14ac:dyDescent="0.2">
      <c r="A4541">
        <f>YEAR(D4541)</f>
        <v>2020</v>
      </c>
      <c r="B4541" t="s">
        <v>26</v>
      </c>
      <c r="C4541" s="2" t="s">
        <v>3022</v>
      </c>
      <c r="D4541" s="1">
        <v>43903</v>
      </c>
      <c r="E4541">
        <f>MONTH(D4541)</f>
        <v>3</v>
      </c>
      <c r="F4541" s="2" t="s">
        <v>2098</v>
      </c>
      <c r="G4541" t="s">
        <v>219</v>
      </c>
      <c r="H4541" t="s">
        <v>220</v>
      </c>
      <c r="I4541" t="s">
        <v>22</v>
      </c>
      <c r="J4541" s="2" t="s">
        <v>42</v>
      </c>
      <c r="K4541" s="2" t="s">
        <v>3019</v>
      </c>
      <c r="L4541" t="s">
        <v>25</v>
      </c>
      <c r="M4541" s="10" t="s">
        <v>26</v>
      </c>
      <c r="N4541" t="s">
        <v>26</v>
      </c>
      <c r="O4541" s="10" t="s">
        <v>26</v>
      </c>
      <c r="P4541" s="8" t="s">
        <v>26</v>
      </c>
      <c r="Q4541" s="8">
        <f>(4437920*100)/4638971</f>
        <v>95.666043180696747</v>
      </c>
    </row>
    <row r="4542" spans="1:17" x14ac:dyDescent="0.2">
      <c r="A4542">
        <f>YEAR(D4542)</f>
        <v>2020</v>
      </c>
      <c r="B4542" t="s">
        <v>26</v>
      </c>
      <c r="C4542" s="2" t="s">
        <v>3022</v>
      </c>
      <c r="D4542" s="1">
        <v>43903</v>
      </c>
      <c r="E4542">
        <f>MONTH(D4542)</f>
        <v>3</v>
      </c>
      <c r="F4542" s="2" t="s">
        <v>2098</v>
      </c>
      <c r="G4542" t="s">
        <v>219</v>
      </c>
      <c r="H4542" t="s">
        <v>220</v>
      </c>
      <c r="I4542" t="s">
        <v>22</v>
      </c>
      <c r="J4542" s="2" t="s">
        <v>42</v>
      </c>
      <c r="K4542" s="2" t="s">
        <v>3019</v>
      </c>
      <c r="L4542" t="s">
        <v>25</v>
      </c>
      <c r="M4542" s="10" t="s">
        <v>26</v>
      </c>
      <c r="N4542" t="s">
        <v>26</v>
      </c>
      <c r="O4542" s="10" t="s">
        <v>26</v>
      </c>
      <c r="P4542" s="8" t="s">
        <v>26</v>
      </c>
      <c r="Q4542" s="8">
        <f>(4437920*100)/4638971</f>
        <v>95.666043180696747</v>
      </c>
    </row>
    <row r="4543" spans="1:17" x14ac:dyDescent="0.2">
      <c r="A4543">
        <f>YEAR(D4543)</f>
        <v>2020</v>
      </c>
      <c r="B4543" t="s">
        <v>26</v>
      </c>
      <c r="C4543" s="2" t="s">
        <v>3022</v>
      </c>
      <c r="D4543" s="1">
        <v>43903</v>
      </c>
      <c r="E4543">
        <f>MONTH(D4543)</f>
        <v>3</v>
      </c>
      <c r="F4543" s="2" t="s">
        <v>2098</v>
      </c>
      <c r="G4543" t="s">
        <v>219</v>
      </c>
      <c r="H4543" t="s">
        <v>220</v>
      </c>
      <c r="I4543" t="s">
        <v>22</v>
      </c>
      <c r="J4543" s="2" t="s">
        <v>42</v>
      </c>
      <c r="K4543" s="2" t="s">
        <v>3019</v>
      </c>
      <c r="L4543" t="s">
        <v>25</v>
      </c>
      <c r="M4543" s="10" t="s">
        <v>26</v>
      </c>
      <c r="N4543" t="s">
        <v>26</v>
      </c>
      <c r="O4543" s="10" t="s">
        <v>26</v>
      </c>
      <c r="P4543" s="8" t="s">
        <v>26</v>
      </c>
      <c r="Q4543" s="8">
        <f>(4437920*100)/4638971</f>
        <v>95.666043180696747</v>
      </c>
    </row>
    <row r="4544" spans="1:17" x14ac:dyDescent="0.2">
      <c r="A4544">
        <f>YEAR(D4544)</f>
        <v>2020</v>
      </c>
      <c r="B4544" t="s">
        <v>26</v>
      </c>
      <c r="C4544" s="2" t="s">
        <v>3022</v>
      </c>
      <c r="D4544" s="1">
        <v>43903</v>
      </c>
      <c r="E4544">
        <f>MONTH(D4544)</f>
        <v>3</v>
      </c>
      <c r="F4544" s="2" t="s">
        <v>2098</v>
      </c>
      <c r="G4544" t="s">
        <v>230</v>
      </c>
      <c r="H4544" t="s">
        <v>268</v>
      </c>
      <c r="I4544" t="s">
        <v>22</v>
      </c>
      <c r="J4544" s="2" t="s">
        <v>42</v>
      </c>
      <c r="K4544" s="2" t="s">
        <v>3019</v>
      </c>
      <c r="L4544" t="s">
        <v>25</v>
      </c>
      <c r="M4544" s="8">
        <v>3.5356666670000001</v>
      </c>
      <c r="N4544" t="s">
        <v>26</v>
      </c>
      <c r="O4544" s="8">
        <v>3.5356666670000001</v>
      </c>
      <c r="P4544" s="8">
        <f>EXP(-1.363+3.366*LOG(O4544,10))</f>
        <v>1.6211802664427075</v>
      </c>
      <c r="Q4544" s="8">
        <f>(4437920*100)/4638971</f>
        <v>95.666043180696747</v>
      </c>
    </row>
    <row r="4545" spans="1:17" x14ac:dyDescent="0.2">
      <c r="A4545">
        <f>YEAR(D4545)</f>
        <v>2020</v>
      </c>
      <c r="B4545" t="s">
        <v>26</v>
      </c>
      <c r="C4545" s="2" t="s">
        <v>3025</v>
      </c>
      <c r="D4545" s="1">
        <v>43902</v>
      </c>
      <c r="E4545">
        <f>MONTH(D4545)</f>
        <v>3</v>
      </c>
      <c r="F4545" s="2" t="s">
        <v>19</v>
      </c>
      <c r="G4545" t="s">
        <v>352</v>
      </c>
      <c r="H4545" t="s">
        <v>623</v>
      </c>
      <c r="I4545" t="s">
        <v>22</v>
      </c>
      <c r="J4545" s="2" t="s">
        <v>42</v>
      </c>
      <c r="K4545" s="2" t="s">
        <v>3019</v>
      </c>
      <c r="L4545" t="s">
        <v>25</v>
      </c>
      <c r="M4545" s="8">
        <v>1.387</v>
      </c>
      <c r="N4545" t="s">
        <v>26</v>
      </c>
      <c r="O4545" s="8">
        <v>1.387</v>
      </c>
      <c r="P4545" s="8">
        <f>EXP(-1.363+3.366*LOG(O4545,10))</f>
        <v>0.41280884754947733</v>
      </c>
      <c r="Q4545" s="8">
        <f>(1955155*100)/2180255</f>
        <v>89.67551960665152</v>
      </c>
    </row>
    <row r="4546" spans="1:17" x14ac:dyDescent="0.2">
      <c r="A4546">
        <f>YEAR(D4546)</f>
        <v>2020</v>
      </c>
      <c r="B4546" t="s">
        <v>26</v>
      </c>
      <c r="C4546" s="2" t="s">
        <v>3022</v>
      </c>
      <c r="D4546" s="1">
        <v>43903</v>
      </c>
      <c r="E4546">
        <f>MONTH(D4546)</f>
        <v>3</v>
      </c>
      <c r="F4546" s="2" t="s">
        <v>19</v>
      </c>
      <c r="G4546" t="s">
        <v>219</v>
      </c>
      <c r="H4546" t="s">
        <v>220</v>
      </c>
      <c r="I4546" t="s">
        <v>22</v>
      </c>
      <c r="J4546" s="2" t="s">
        <v>42</v>
      </c>
      <c r="K4546" s="2" t="s">
        <v>3019</v>
      </c>
      <c r="L4546" t="s">
        <v>25</v>
      </c>
      <c r="M4546" s="10" t="s">
        <v>26</v>
      </c>
      <c r="N4546" t="s">
        <v>26</v>
      </c>
      <c r="O4546" s="10" t="s">
        <v>26</v>
      </c>
      <c r="P4546" s="8" t="s">
        <v>26</v>
      </c>
      <c r="Q4546" s="8">
        <f>(4437920*100)/4638971</f>
        <v>95.666043180696747</v>
      </c>
    </row>
    <row r="4547" spans="1:17" x14ac:dyDescent="0.2">
      <c r="A4547">
        <f>YEAR(D4547)</f>
        <v>2020</v>
      </c>
      <c r="B4547" t="s">
        <v>26</v>
      </c>
      <c r="C4547" s="2" t="s">
        <v>3022</v>
      </c>
      <c r="D4547" s="1">
        <v>43903</v>
      </c>
      <c r="E4547">
        <f>MONTH(D4547)</f>
        <v>3</v>
      </c>
      <c r="F4547" s="2" t="s">
        <v>19</v>
      </c>
      <c r="G4547" t="s">
        <v>219</v>
      </c>
      <c r="H4547" t="s">
        <v>220</v>
      </c>
      <c r="I4547" t="s">
        <v>22</v>
      </c>
      <c r="J4547" s="2" t="s">
        <v>42</v>
      </c>
      <c r="K4547" s="2" t="s">
        <v>3019</v>
      </c>
      <c r="L4547" t="s">
        <v>25</v>
      </c>
      <c r="M4547" s="10" t="s">
        <v>26</v>
      </c>
      <c r="N4547" t="s">
        <v>26</v>
      </c>
      <c r="O4547" s="10" t="s">
        <v>26</v>
      </c>
      <c r="P4547" s="8" t="s">
        <v>26</v>
      </c>
      <c r="Q4547" s="8">
        <f>(4437920*100)/4638971</f>
        <v>95.666043180696747</v>
      </c>
    </row>
    <row r="4548" spans="1:17" x14ac:dyDescent="0.2">
      <c r="A4548">
        <f>YEAR(D4548)</f>
        <v>2020</v>
      </c>
      <c r="B4548" t="s">
        <v>26</v>
      </c>
      <c r="C4548" s="2" t="s">
        <v>3023</v>
      </c>
      <c r="D4548" s="1">
        <v>43903</v>
      </c>
      <c r="E4548">
        <f>MONTH(D4548)</f>
        <v>3</v>
      </c>
      <c r="F4548" s="2" t="s">
        <v>19</v>
      </c>
      <c r="G4548" t="s">
        <v>20</v>
      </c>
      <c r="H4548" t="s">
        <v>2295</v>
      </c>
      <c r="I4548" t="s">
        <v>36</v>
      </c>
      <c r="J4548" s="2" t="s">
        <v>42</v>
      </c>
      <c r="K4548" s="2" t="s">
        <v>3019</v>
      </c>
      <c r="L4548" t="s">
        <v>25</v>
      </c>
      <c r="M4548" s="8">
        <v>1.0436666670000001</v>
      </c>
      <c r="N4548" t="s">
        <v>26</v>
      </c>
      <c r="O4548" s="8">
        <v>1.0436666670000001</v>
      </c>
      <c r="P4548" s="8">
        <f>EXP(-1.363+3.366*LOG(O4548,10))</f>
        <v>0.27238985802470567</v>
      </c>
      <c r="Q4548" s="8">
        <f>(8197453*100)/8541008</f>
        <v>95.977582505484136</v>
      </c>
    </row>
    <row r="4549" spans="1:17" x14ac:dyDescent="0.2">
      <c r="A4549">
        <f>YEAR(D4549)</f>
        <v>2020</v>
      </c>
      <c r="B4549" t="s">
        <v>26</v>
      </c>
      <c r="C4549" s="2" t="s">
        <v>3025</v>
      </c>
      <c r="D4549" s="1">
        <v>43902</v>
      </c>
      <c r="E4549">
        <f>MONTH(D4549)</f>
        <v>3</v>
      </c>
      <c r="F4549" s="2" t="s">
        <v>19</v>
      </c>
      <c r="G4549" t="s">
        <v>352</v>
      </c>
      <c r="H4549" t="s">
        <v>623</v>
      </c>
      <c r="I4549" t="s">
        <v>22</v>
      </c>
      <c r="J4549" s="2" t="s">
        <v>42</v>
      </c>
      <c r="K4549" s="2" t="s">
        <v>3019</v>
      </c>
      <c r="L4549" t="s">
        <v>25</v>
      </c>
      <c r="M4549" s="8">
        <v>1.387</v>
      </c>
      <c r="N4549" t="s">
        <v>26</v>
      </c>
      <c r="O4549" s="8">
        <v>1.387</v>
      </c>
      <c r="P4549" s="8">
        <f>EXP(-1.363+3.366*LOG(O4549,10))</f>
        <v>0.41280884754947733</v>
      </c>
      <c r="Q4549" s="8">
        <f>(1955155*100)/2180255</f>
        <v>89.67551960665152</v>
      </c>
    </row>
    <row r="4550" spans="1:17" x14ac:dyDescent="0.2">
      <c r="A4550">
        <f>YEAR(D4550)</f>
        <v>2020</v>
      </c>
      <c r="B4550" t="s">
        <v>26</v>
      </c>
      <c r="C4550" s="2" t="s">
        <v>3023</v>
      </c>
      <c r="D4550" s="1">
        <v>43903</v>
      </c>
      <c r="E4550">
        <f>MONTH(D4550)</f>
        <v>3</v>
      </c>
      <c r="F4550" s="2" t="s">
        <v>19</v>
      </c>
      <c r="G4550" t="s">
        <v>20</v>
      </c>
      <c r="H4550" t="s">
        <v>149</v>
      </c>
      <c r="I4550" t="s">
        <v>36</v>
      </c>
      <c r="J4550" s="2" t="s">
        <v>42</v>
      </c>
      <c r="K4550" s="2" t="s">
        <v>3019</v>
      </c>
      <c r="L4550" t="s">
        <v>25</v>
      </c>
      <c r="M4550" s="8">
        <v>1.032666667</v>
      </c>
      <c r="N4550" t="s">
        <v>26</v>
      </c>
      <c r="O4550" s="8">
        <v>1.032666667</v>
      </c>
      <c r="P4550" s="8">
        <f>EXP(-1.363+3.366*LOG(O4550,10))</f>
        <v>0.26820327281159584</v>
      </c>
      <c r="Q4550" s="8">
        <f>(8197453*100)/8541008</f>
        <v>95.977582505484136</v>
      </c>
    </row>
    <row r="4551" spans="1:17" x14ac:dyDescent="0.2">
      <c r="A4551">
        <f>YEAR(D4551)</f>
        <v>2020</v>
      </c>
      <c r="B4551" t="s">
        <v>26</v>
      </c>
      <c r="C4551" s="2" t="s">
        <v>3023</v>
      </c>
      <c r="D4551" s="1">
        <v>43903</v>
      </c>
      <c r="E4551">
        <f>MONTH(D4551)</f>
        <v>3</v>
      </c>
      <c r="F4551" s="2" t="s">
        <v>19</v>
      </c>
      <c r="G4551" t="s">
        <v>20</v>
      </c>
      <c r="H4551" t="s">
        <v>149</v>
      </c>
      <c r="I4551" t="s">
        <v>36</v>
      </c>
      <c r="J4551" s="2" t="s">
        <v>42</v>
      </c>
      <c r="K4551" s="2" t="s">
        <v>3019</v>
      </c>
      <c r="L4551" t="s">
        <v>25</v>
      </c>
      <c r="M4551" s="8">
        <v>1.032666667</v>
      </c>
      <c r="N4551" t="s">
        <v>26</v>
      </c>
      <c r="O4551" s="8">
        <v>1.032666667</v>
      </c>
      <c r="P4551" s="8">
        <f>EXP(-1.363+3.366*LOG(O4551,10))</f>
        <v>0.26820327281159584</v>
      </c>
      <c r="Q4551" s="8">
        <f>(8197453*100)/8541008</f>
        <v>95.977582505484136</v>
      </c>
    </row>
    <row r="4552" spans="1:17" x14ac:dyDescent="0.2">
      <c r="A4552">
        <f>YEAR(D4552)</f>
        <v>2020</v>
      </c>
      <c r="B4552" t="s">
        <v>26</v>
      </c>
      <c r="C4552" s="2" t="s">
        <v>3023</v>
      </c>
      <c r="D4552" s="1">
        <v>43903</v>
      </c>
      <c r="E4552">
        <f>MONTH(D4552)</f>
        <v>3</v>
      </c>
      <c r="F4552" s="2" t="s">
        <v>19</v>
      </c>
      <c r="G4552" t="s">
        <v>20</v>
      </c>
      <c r="H4552" t="s">
        <v>149</v>
      </c>
      <c r="I4552" t="s">
        <v>36</v>
      </c>
      <c r="J4552" s="2" t="s">
        <v>42</v>
      </c>
      <c r="K4552" s="2" t="s">
        <v>3019</v>
      </c>
      <c r="L4552" t="s">
        <v>25</v>
      </c>
      <c r="M4552" s="8">
        <v>1.032666667</v>
      </c>
      <c r="N4552" t="s">
        <v>26</v>
      </c>
      <c r="O4552" s="8">
        <v>1.032666667</v>
      </c>
      <c r="P4552" s="8">
        <f>EXP(-1.363+3.366*LOG(O4552,10))</f>
        <v>0.26820327281159584</v>
      </c>
      <c r="Q4552" s="8">
        <f>(8197453*100)/8541008</f>
        <v>95.977582505484136</v>
      </c>
    </row>
    <row r="4553" spans="1:17" x14ac:dyDescent="0.2">
      <c r="A4553">
        <f>YEAR(D4553)</f>
        <v>2020</v>
      </c>
      <c r="B4553" t="s">
        <v>26</v>
      </c>
      <c r="C4553" s="2" t="s">
        <v>3023</v>
      </c>
      <c r="D4553" s="1">
        <v>43903</v>
      </c>
      <c r="E4553">
        <f>MONTH(D4553)</f>
        <v>3</v>
      </c>
      <c r="F4553" s="2" t="s">
        <v>19</v>
      </c>
      <c r="G4553" t="s">
        <v>20</v>
      </c>
      <c r="H4553" t="s">
        <v>2295</v>
      </c>
      <c r="I4553" t="s">
        <v>22</v>
      </c>
      <c r="J4553" s="2" t="s">
        <v>42</v>
      </c>
      <c r="K4553" s="2" t="s">
        <v>3019</v>
      </c>
      <c r="L4553" t="s">
        <v>25</v>
      </c>
      <c r="M4553" s="8">
        <v>1.1566666670000001</v>
      </c>
      <c r="N4553" t="s">
        <v>26</v>
      </c>
      <c r="O4553" s="8">
        <v>1.1566666670000001</v>
      </c>
      <c r="P4553" s="8">
        <f>EXP(-1.363+3.366*LOG(O4553,10))</f>
        <v>0.31656042770005527</v>
      </c>
      <c r="Q4553" s="8">
        <f>(8197453*100)/8541008</f>
        <v>95.977582505484136</v>
      </c>
    </row>
    <row r="4554" spans="1:17" x14ac:dyDescent="0.2">
      <c r="A4554">
        <f>YEAR(D4554)</f>
        <v>2020</v>
      </c>
      <c r="B4554" t="s">
        <v>26</v>
      </c>
      <c r="C4554" s="2" t="s">
        <v>3023</v>
      </c>
      <c r="D4554" s="1">
        <v>43903</v>
      </c>
      <c r="E4554">
        <f>MONTH(D4554)</f>
        <v>3</v>
      </c>
      <c r="F4554" s="2" t="s">
        <v>19</v>
      </c>
      <c r="G4554" t="s">
        <v>20</v>
      </c>
      <c r="H4554" t="s">
        <v>149</v>
      </c>
      <c r="I4554" t="s">
        <v>22</v>
      </c>
      <c r="J4554" s="2" t="s">
        <v>42</v>
      </c>
      <c r="K4554" s="2" t="s">
        <v>3019</v>
      </c>
      <c r="L4554" t="s">
        <v>25</v>
      </c>
      <c r="M4554" s="8">
        <v>1.45</v>
      </c>
      <c r="N4554" t="s">
        <v>26</v>
      </c>
      <c r="O4554" s="8">
        <v>1.45</v>
      </c>
      <c r="P4554" s="8">
        <f>EXP(-1.363+3.366*LOG(O4554,10))</f>
        <v>0.44050419760124854</v>
      </c>
      <c r="Q4554" s="8">
        <f>(8197453*100)/8541008</f>
        <v>95.977582505484136</v>
      </c>
    </row>
    <row r="4555" spans="1:17" x14ac:dyDescent="0.2">
      <c r="A4555">
        <f>YEAR(D4555)</f>
        <v>2020</v>
      </c>
      <c r="B4555" t="s">
        <v>26</v>
      </c>
      <c r="C4555" s="2" t="s">
        <v>3023</v>
      </c>
      <c r="D4555" s="1">
        <v>43903</v>
      </c>
      <c r="E4555">
        <f>MONTH(D4555)</f>
        <v>3</v>
      </c>
      <c r="F4555" s="2" t="s">
        <v>19</v>
      </c>
      <c r="G4555" s="2" t="s">
        <v>20</v>
      </c>
      <c r="H4555" t="s">
        <v>45</v>
      </c>
      <c r="I4555" t="s">
        <v>36</v>
      </c>
      <c r="J4555" s="2" t="s">
        <v>42</v>
      </c>
      <c r="K4555" s="2" t="s">
        <v>3019</v>
      </c>
      <c r="L4555" t="s">
        <v>25</v>
      </c>
      <c r="M4555" s="8">
        <v>1.5053333330000001</v>
      </c>
      <c r="N4555" t="s">
        <v>26</v>
      </c>
      <c r="O4555" s="8">
        <v>1.5053333330000001</v>
      </c>
      <c r="P4555" s="8">
        <f>EXP(-1.363+3.366*LOG(O4555,10))</f>
        <v>0.46529279523463329</v>
      </c>
      <c r="Q4555" s="8">
        <f>(8197453*100)/8541008</f>
        <v>95.977582505484136</v>
      </c>
    </row>
    <row r="4556" spans="1:17" x14ac:dyDescent="0.2">
      <c r="A4556">
        <f>YEAR(D4556)</f>
        <v>2020</v>
      </c>
      <c r="B4556" t="s">
        <v>26</v>
      </c>
      <c r="C4556" s="2" t="s">
        <v>3023</v>
      </c>
      <c r="D4556" s="1">
        <v>43903</v>
      </c>
      <c r="E4556">
        <f>MONTH(D4556)</f>
        <v>3</v>
      </c>
      <c r="F4556" s="2" t="s">
        <v>19</v>
      </c>
      <c r="G4556" t="s">
        <v>20</v>
      </c>
      <c r="H4556" t="s">
        <v>2295</v>
      </c>
      <c r="I4556" t="s">
        <v>36</v>
      </c>
      <c r="J4556" s="2" t="s">
        <v>42</v>
      </c>
      <c r="K4556" s="2" t="s">
        <v>3019</v>
      </c>
      <c r="L4556" t="s">
        <v>25</v>
      </c>
      <c r="M4556" s="8">
        <v>1.0436666670000001</v>
      </c>
      <c r="N4556" t="s">
        <v>26</v>
      </c>
      <c r="O4556" s="8">
        <v>1.0436666670000001</v>
      </c>
      <c r="P4556" s="8">
        <f>EXP(-1.363+3.366*LOG(O4556,10))</f>
        <v>0.27238985802470567</v>
      </c>
      <c r="Q4556" s="8">
        <f>(8197453*100)/8541008</f>
        <v>95.977582505484136</v>
      </c>
    </row>
    <row r="4557" spans="1:17" x14ac:dyDescent="0.2">
      <c r="A4557">
        <f>YEAR(D4557)</f>
        <v>2020</v>
      </c>
      <c r="B4557" t="s">
        <v>26</v>
      </c>
      <c r="C4557" s="2" t="s">
        <v>3023</v>
      </c>
      <c r="D4557" s="1">
        <v>43903</v>
      </c>
      <c r="E4557">
        <f>MONTH(D4557)</f>
        <v>3</v>
      </c>
      <c r="F4557" s="2" t="s">
        <v>19</v>
      </c>
      <c r="G4557" t="s">
        <v>20</v>
      </c>
      <c r="H4557" t="s">
        <v>149</v>
      </c>
      <c r="I4557" t="s">
        <v>36</v>
      </c>
      <c r="J4557" s="2" t="s">
        <v>42</v>
      </c>
      <c r="K4557" s="2" t="s">
        <v>3019</v>
      </c>
      <c r="L4557" t="s">
        <v>25</v>
      </c>
      <c r="M4557" s="8">
        <v>1.032666667</v>
      </c>
      <c r="N4557" t="s">
        <v>26</v>
      </c>
      <c r="O4557" s="8">
        <v>1.032666667</v>
      </c>
      <c r="P4557" s="8">
        <f>EXP(-1.363+3.366*LOG(O4557,10))</f>
        <v>0.26820327281159584</v>
      </c>
      <c r="Q4557" s="8">
        <f>(8197453*100)/8541008</f>
        <v>95.977582505484136</v>
      </c>
    </row>
    <row r="4558" spans="1:17" x14ac:dyDescent="0.2">
      <c r="A4558">
        <f>YEAR(D4558)</f>
        <v>2020</v>
      </c>
      <c r="B4558" t="s">
        <v>26</v>
      </c>
      <c r="C4558" s="2" t="s">
        <v>3023</v>
      </c>
      <c r="D4558" s="1">
        <v>43903</v>
      </c>
      <c r="E4558">
        <f>MONTH(D4558)</f>
        <v>3</v>
      </c>
      <c r="F4558" s="2" t="s">
        <v>19</v>
      </c>
      <c r="G4558" t="s">
        <v>20</v>
      </c>
      <c r="H4558" t="s">
        <v>149</v>
      </c>
      <c r="I4558" t="s">
        <v>22</v>
      </c>
      <c r="J4558" s="2" t="s">
        <v>42</v>
      </c>
      <c r="K4558" s="2" t="s">
        <v>3019</v>
      </c>
      <c r="L4558" t="s">
        <v>25</v>
      </c>
      <c r="M4558" s="8">
        <v>1.45</v>
      </c>
      <c r="N4558" t="s">
        <v>26</v>
      </c>
      <c r="O4558" s="8">
        <v>1.45</v>
      </c>
      <c r="P4558" s="8">
        <f>EXP(-1.363+3.366*LOG(O4558,10))</f>
        <v>0.44050419760124854</v>
      </c>
      <c r="Q4558" s="8">
        <f>(8197453*100)/8541008</f>
        <v>95.977582505484136</v>
      </c>
    </row>
    <row r="4559" spans="1:17" x14ac:dyDescent="0.2">
      <c r="A4559">
        <f>YEAR(D4559)</f>
        <v>2020</v>
      </c>
      <c r="B4559" t="s">
        <v>26</v>
      </c>
      <c r="C4559" s="2" t="s">
        <v>3023</v>
      </c>
      <c r="D4559" s="1">
        <v>43903</v>
      </c>
      <c r="E4559">
        <f>MONTH(D4559)</f>
        <v>3</v>
      </c>
      <c r="F4559" s="2" t="s">
        <v>19</v>
      </c>
      <c r="G4559" t="s">
        <v>20</v>
      </c>
      <c r="H4559" t="s">
        <v>2295</v>
      </c>
      <c r="I4559" t="s">
        <v>22</v>
      </c>
      <c r="J4559" s="2" t="s">
        <v>42</v>
      </c>
      <c r="K4559" s="2" t="s">
        <v>3019</v>
      </c>
      <c r="L4559" t="s">
        <v>25</v>
      </c>
      <c r="M4559" s="8">
        <v>1.1566666670000001</v>
      </c>
      <c r="N4559" t="s">
        <v>26</v>
      </c>
      <c r="O4559" s="8">
        <v>1.1566666670000001</v>
      </c>
      <c r="P4559" s="8">
        <f>EXP(-1.363+3.366*LOG(O4559,10))</f>
        <v>0.31656042770005527</v>
      </c>
      <c r="Q4559" s="8">
        <f>(8197453*100)/8541008</f>
        <v>95.977582505484136</v>
      </c>
    </row>
    <row r="4560" spans="1:17" x14ac:dyDescent="0.2">
      <c r="A4560">
        <f>YEAR(D4560)</f>
        <v>2020</v>
      </c>
      <c r="B4560" t="s">
        <v>26</v>
      </c>
      <c r="C4560" s="2" t="s">
        <v>3023</v>
      </c>
      <c r="D4560" s="1">
        <v>43903</v>
      </c>
      <c r="E4560">
        <f>MONTH(D4560)</f>
        <v>3</v>
      </c>
      <c r="F4560" s="2" t="s">
        <v>19</v>
      </c>
      <c r="G4560" s="2" t="s">
        <v>20</v>
      </c>
      <c r="H4560" t="s">
        <v>45</v>
      </c>
      <c r="I4560" t="s">
        <v>22</v>
      </c>
      <c r="J4560" s="2" t="s">
        <v>42</v>
      </c>
      <c r="K4560" s="2" t="s">
        <v>3019</v>
      </c>
      <c r="L4560" t="s">
        <v>25</v>
      </c>
      <c r="M4560" s="8">
        <v>1.903333333</v>
      </c>
      <c r="N4560" t="s">
        <v>26</v>
      </c>
      <c r="O4560" s="8">
        <v>1.903333333</v>
      </c>
      <c r="P4560" s="8">
        <f>EXP(-1.363+3.366*LOG(O4560,10))</f>
        <v>0.65563371760507783</v>
      </c>
      <c r="Q4560" s="8">
        <f>(8197453*100)/8541008</f>
        <v>95.977582505484136</v>
      </c>
    </row>
    <row r="4561" spans="1:17" x14ac:dyDescent="0.2">
      <c r="A4561">
        <f>YEAR(D4561)</f>
        <v>2020</v>
      </c>
      <c r="B4561" t="s">
        <v>26</v>
      </c>
      <c r="C4561" s="2" t="s">
        <v>3023</v>
      </c>
      <c r="D4561" s="1">
        <v>43957</v>
      </c>
      <c r="E4561">
        <f>MONTH(D4561)</f>
        <v>5</v>
      </c>
      <c r="F4561" s="2" t="s">
        <v>2098</v>
      </c>
      <c r="G4561" t="s">
        <v>318</v>
      </c>
      <c r="H4561" t="s">
        <v>319</v>
      </c>
      <c r="I4561" t="s">
        <v>22</v>
      </c>
      <c r="J4561" s="2" t="s">
        <v>42</v>
      </c>
      <c r="K4561" s="2" t="s">
        <v>3019</v>
      </c>
      <c r="L4561" t="s">
        <v>25</v>
      </c>
      <c r="M4561" s="8">
        <v>5.71</v>
      </c>
      <c r="N4561" t="s">
        <v>26</v>
      </c>
      <c r="O4561" s="8">
        <v>5.71</v>
      </c>
      <c r="P4561" s="8">
        <f>EXP(-1.363+3.366*LOG(O4561,10))</f>
        <v>3.2668856822755741</v>
      </c>
      <c r="Q4561" s="8">
        <f>(8197453*100)/8541008</f>
        <v>95.977582505484136</v>
      </c>
    </row>
    <row r="4562" spans="1:17" x14ac:dyDescent="0.2">
      <c r="A4562">
        <f>YEAR(D4562)</f>
        <v>2020</v>
      </c>
      <c r="B4562" t="s">
        <v>26</v>
      </c>
      <c r="C4562" s="2" t="s">
        <v>3023</v>
      </c>
      <c r="D4562" s="1">
        <v>43957</v>
      </c>
      <c r="E4562">
        <f>MONTH(D4562)</f>
        <v>5</v>
      </c>
      <c r="F4562" s="2" t="s">
        <v>2098</v>
      </c>
      <c r="G4562" t="s">
        <v>1735</v>
      </c>
      <c r="H4562" t="s">
        <v>1736</v>
      </c>
      <c r="I4562" t="s">
        <v>22</v>
      </c>
      <c r="J4562" s="2" t="s">
        <v>42</v>
      </c>
      <c r="K4562" s="2" t="s">
        <v>3019</v>
      </c>
      <c r="L4562" t="s">
        <v>25</v>
      </c>
      <c r="M4562" s="8">
        <v>4.1156666670000002</v>
      </c>
      <c r="N4562" t="s">
        <v>26</v>
      </c>
      <c r="O4562" s="8">
        <v>4.1156666670000002</v>
      </c>
      <c r="P4562" s="8">
        <f>EXP(-1.363+3.366*LOG(O4562,10))</f>
        <v>2.0242630151675414</v>
      </c>
      <c r="Q4562" s="8">
        <f>(8197453*100)/8541008</f>
        <v>95.977582505484136</v>
      </c>
    </row>
    <row r="4563" spans="1:17" x14ac:dyDescent="0.2">
      <c r="A4563">
        <f>YEAR(D4563)</f>
        <v>2020</v>
      </c>
      <c r="B4563" t="s">
        <v>26</v>
      </c>
      <c r="C4563" s="2" t="s">
        <v>3022</v>
      </c>
      <c r="D4563" s="1">
        <v>43957</v>
      </c>
      <c r="E4563">
        <f>MONTH(D4563)</f>
        <v>5</v>
      </c>
      <c r="F4563" s="2" t="s">
        <v>2098</v>
      </c>
      <c r="G4563" t="s">
        <v>219</v>
      </c>
      <c r="H4563" t="s">
        <v>220</v>
      </c>
      <c r="I4563" t="s">
        <v>22</v>
      </c>
      <c r="J4563" s="2" t="s">
        <v>42</v>
      </c>
      <c r="K4563" s="2" t="s">
        <v>3019</v>
      </c>
      <c r="L4563" t="s">
        <v>25</v>
      </c>
      <c r="M4563" s="10" t="s">
        <v>26</v>
      </c>
      <c r="N4563" t="s">
        <v>26</v>
      </c>
      <c r="O4563" s="10" t="s">
        <v>26</v>
      </c>
      <c r="P4563" s="8" t="s">
        <v>26</v>
      </c>
      <c r="Q4563" s="8">
        <f>(4437920*100)/4638971</f>
        <v>95.666043180696747</v>
      </c>
    </row>
    <row r="4564" spans="1:17" x14ac:dyDescent="0.2">
      <c r="A4564">
        <f>YEAR(D4564)</f>
        <v>2020</v>
      </c>
      <c r="B4564" t="s">
        <v>26</v>
      </c>
      <c r="C4564" s="2" t="s">
        <v>3022</v>
      </c>
      <c r="D4564" s="1">
        <v>43957</v>
      </c>
      <c r="E4564">
        <f>MONTH(D4564)</f>
        <v>5</v>
      </c>
      <c r="F4564" s="2" t="s">
        <v>2098</v>
      </c>
      <c r="G4564" t="s">
        <v>219</v>
      </c>
      <c r="H4564" t="s">
        <v>220</v>
      </c>
      <c r="I4564" t="s">
        <v>22</v>
      </c>
      <c r="J4564" s="2" t="s">
        <v>42</v>
      </c>
      <c r="K4564" s="2" t="s">
        <v>3019</v>
      </c>
      <c r="L4564" t="s">
        <v>25</v>
      </c>
      <c r="M4564" s="10" t="s">
        <v>26</v>
      </c>
      <c r="N4564" t="s">
        <v>26</v>
      </c>
      <c r="O4564" s="10" t="s">
        <v>26</v>
      </c>
      <c r="P4564" s="8" t="s">
        <v>26</v>
      </c>
      <c r="Q4564" s="8">
        <f>(4437920*100)/4638971</f>
        <v>95.666043180696747</v>
      </c>
    </row>
    <row r="4565" spans="1:17" x14ac:dyDescent="0.2">
      <c r="A4565">
        <f>YEAR(D4565)</f>
        <v>2020</v>
      </c>
      <c r="B4565" t="s">
        <v>26</v>
      </c>
      <c r="C4565" s="2" t="s">
        <v>3022</v>
      </c>
      <c r="D4565" s="1">
        <v>43957</v>
      </c>
      <c r="E4565">
        <f>MONTH(D4565)</f>
        <v>5</v>
      </c>
      <c r="F4565" s="2" t="s">
        <v>2098</v>
      </c>
      <c r="G4565" t="s">
        <v>219</v>
      </c>
      <c r="H4565" t="s">
        <v>220</v>
      </c>
      <c r="I4565" t="s">
        <v>22</v>
      </c>
      <c r="J4565" s="2" t="s">
        <v>42</v>
      </c>
      <c r="K4565" s="2" t="s">
        <v>3019</v>
      </c>
      <c r="L4565" t="s">
        <v>25</v>
      </c>
      <c r="M4565" s="10" t="s">
        <v>26</v>
      </c>
      <c r="N4565" t="s">
        <v>26</v>
      </c>
      <c r="O4565" s="10" t="s">
        <v>26</v>
      </c>
      <c r="P4565" s="8" t="s">
        <v>26</v>
      </c>
      <c r="Q4565" s="8">
        <f>(4437920*100)/4638971</f>
        <v>95.666043180696747</v>
      </c>
    </row>
    <row r="4566" spans="1:17" x14ac:dyDescent="0.2">
      <c r="A4566">
        <f>YEAR(D4566)</f>
        <v>2020</v>
      </c>
      <c r="B4566" t="s">
        <v>26</v>
      </c>
      <c r="C4566" s="2" t="s">
        <v>3022</v>
      </c>
      <c r="D4566" s="1">
        <v>43957</v>
      </c>
      <c r="E4566">
        <f>MONTH(D4566)</f>
        <v>5</v>
      </c>
      <c r="F4566" s="2" t="s">
        <v>2098</v>
      </c>
      <c r="G4566" t="s">
        <v>219</v>
      </c>
      <c r="H4566" t="s">
        <v>220</v>
      </c>
      <c r="I4566" t="s">
        <v>22</v>
      </c>
      <c r="J4566" s="2" t="s">
        <v>42</v>
      </c>
      <c r="K4566" s="2" t="s">
        <v>3019</v>
      </c>
      <c r="L4566" t="s">
        <v>25</v>
      </c>
      <c r="M4566" s="10" t="s">
        <v>26</v>
      </c>
      <c r="N4566" t="s">
        <v>26</v>
      </c>
      <c r="O4566" s="10" t="s">
        <v>26</v>
      </c>
      <c r="P4566" s="8" t="s">
        <v>26</v>
      </c>
      <c r="Q4566" s="8">
        <f>(4437920*100)/4638971</f>
        <v>95.666043180696747</v>
      </c>
    </row>
    <row r="4567" spans="1:17" x14ac:dyDescent="0.2">
      <c r="A4567">
        <f>YEAR(D4567)</f>
        <v>2020</v>
      </c>
      <c r="B4567" t="s">
        <v>26</v>
      </c>
      <c r="C4567" s="2" t="s">
        <v>3022</v>
      </c>
      <c r="D4567" s="1">
        <v>43957</v>
      </c>
      <c r="E4567">
        <f>MONTH(D4567)</f>
        <v>5</v>
      </c>
      <c r="F4567" s="2" t="s">
        <v>2098</v>
      </c>
      <c r="G4567" t="s">
        <v>219</v>
      </c>
      <c r="H4567" t="s">
        <v>220</v>
      </c>
      <c r="I4567" t="s">
        <v>22</v>
      </c>
      <c r="J4567" s="2" t="s">
        <v>42</v>
      </c>
      <c r="K4567" s="2" t="s">
        <v>3019</v>
      </c>
      <c r="L4567" t="s">
        <v>25</v>
      </c>
      <c r="M4567" s="10" t="s">
        <v>26</v>
      </c>
      <c r="N4567" t="s">
        <v>26</v>
      </c>
      <c r="O4567" s="10" t="s">
        <v>26</v>
      </c>
      <c r="P4567" s="8" t="s">
        <v>26</v>
      </c>
      <c r="Q4567" s="8">
        <f>(4437920*100)/4638971</f>
        <v>95.666043180696747</v>
      </c>
    </row>
    <row r="4568" spans="1:17" x14ac:dyDescent="0.2">
      <c r="A4568">
        <f>YEAR(D4568)</f>
        <v>2020</v>
      </c>
      <c r="B4568" t="s">
        <v>26</v>
      </c>
      <c r="C4568" s="2" t="s">
        <v>3022</v>
      </c>
      <c r="D4568" s="1">
        <v>43957</v>
      </c>
      <c r="E4568">
        <f>MONTH(D4568)</f>
        <v>5</v>
      </c>
      <c r="F4568" s="2" t="s">
        <v>2098</v>
      </c>
      <c r="G4568" t="s">
        <v>219</v>
      </c>
      <c r="H4568" t="s">
        <v>220</v>
      </c>
      <c r="I4568" t="s">
        <v>22</v>
      </c>
      <c r="J4568" s="2" t="s">
        <v>42</v>
      </c>
      <c r="K4568" s="2" t="s">
        <v>3019</v>
      </c>
      <c r="L4568" t="s">
        <v>25</v>
      </c>
      <c r="M4568" s="10" t="s">
        <v>26</v>
      </c>
      <c r="N4568" t="s">
        <v>26</v>
      </c>
      <c r="O4568" s="10" t="s">
        <v>26</v>
      </c>
      <c r="P4568" s="8" t="s">
        <v>26</v>
      </c>
      <c r="Q4568" s="8">
        <f>(4437920*100)/4638971</f>
        <v>95.666043180696747</v>
      </c>
    </row>
    <row r="4569" spans="1:17" x14ac:dyDescent="0.2">
      <c r="A4569">
        <f>YEAR(D4569)</f>
        <v>2020</v>
      </c>
      <c r="B4569" t="s">
        <v>26</v>
      </c>
      <c r="C4569" s="2" t="s">
        <v>3022</v>
      </c>
      <c r="D4569" s="1">
        <v>43957</v>
      </c>
      <c r="E4569">
        <f>MONTH(D4569)</f>
        <v>5</v>
      </c>
      <c r="F4569" s="2" t="s">
        <v>2098</v>
      </c>
      <c r="G4569" t="s">
        <v>219</v>
      </c>
      <c r="H4569" t="s">
        <v>220</v>
      </c>
      <c r="I4569" t="s">
        <v>22</v>
      </c>
      <c r="J4569" s="2" t="s">
        <v>42</v>
      </c>
      <c r="K4569" s="2" t="s">
        <v>3019</v>
      </c>
      <c r="L4569" t="s">
        <v>25</v>
      </c>
      <c r="M4569" s="10" t="s">
        <v>26</v>
      </c>
      <c r="N4569" t="s">
        <v>26</v>
      </c>
      <c r="O4569" s="10" t="s">
        <v>26</v>
      </c>
      <c r="P4569" s="8" t="s">
        <v>26</v>
      </c>
      <c r="Q4569" s="8">
        <f>(4437920*100)/4638971</f>
        <v>95.666043180696747</v>
      </c>
    </row>
    <row r="4570" spans="1:17" x14ac:dyDescent="0.2">
      <c r="A4570">
        <f>YEAR(D4570)</f>
        <v>2020</v>
      </c>
      <c r="B4570" t="s">
        <v>26</v>
      </c>
      <c r="C4570" s="2" t="s">
        <v>3022</v>
      </c>
      <c r="D4570" s="1">
        <v>43957</v>
      </c>
      <c r="E4570">
        <f>MONTH(D4570)</f>
        <v>5</v>
      </c>
      <c r="F4570" s="2" t="s">
        <v>2098</v>
      </c>
      <c r="G4570" t="s">
        <v>219</v>
      </c>
      <c r="H4570" t="s">
        <v>220</v>
      </c>
      <c r="I4570" t="s">
        <v>22</v>
      </c>
      <c r="J4570" s="2" t="s">
        <v>42</v>
      </c>
      <c r="K4570" s="2" t="s">
        <v>3019</v>
      </c>
      <c r="L4570" t="s">
        <v>25</v>
      </c>
      <c r="M4570" s="10" t="s">
        <v>26</v>
      </c>
      <c r="N4570" t="s">
        <v>26</v>
      </c>
      <c r="O4570" s="10" t="s">
        <v>26</v>
      </c>
      <c r="P4570" s="8" t="s">
        <v>26</v>
      </c>
      <c r="Q4570" s="8">
        <f>(4437920*100)/4638971</f>
        <v>95.666043180696747</v>
      </c>
    </row>
    <row r="4571" spans="1:17" x14ac:dyDescent="0.2">
      <c r="A4571">
        <f>YEAR(D4571)</f>
        <v>2020</v>
      </c>
      <c r="B4571" t="s">
        <v>26</v>
      </c>
      <c r="C4571" s="2" t="s">
        <v>3022</v>
      </c>
      <c r="D4571" s="1">
        <v>43957</v>
      </c>
      <c r="E4571">
        <f>MONTH(D4571)</f>
        <v>5</v>
      </c>
      <c r="F4571" s="2" t="s">
        <v>2098</v>
      </c>
      <c r="G4571" t="s">
        <v>219</v>
      </c>
      <c r="H4571" t="s">
        <v>220</v>
      </c>
      <c r="I4571" t="s">
        <v>22</v>
      </c>
      <c r="J4571" s="2" t="s">
        <v>42</v>
      </c>
      <c r="K4571" s="2" t="s">
        <v>3019</v>
      </c>
      <c r="L4571" t="s">
        <v>25</v>
      </c>
      <c r="M4571" s="10" t="s">
        <v>26</v>
      </c>
      <c r="N4571" t="s">
        <v>26</v>
      </c>
      <c r="O4571" s="10" t="s">
        <v>26</v>
      </c>
      <c r="P4571" s="8" t="s">
        <v>26</v>
      </c>
      <c r="Q4571" s="8">
        <f>(4437920*100)/4638971</f>
        <v>95.666043180696747</v>
      </c>
    </row>
    <row r="4572" spans="1:17" x14ac:dyDescent="0.2">
      <c r="A4572">
        <f>YEAR(D4572)</f>
        <v>2020</v>
      </c>
      <c r="B4572" t="s">
        <v>26</v>
      </c>
      <c r="C4572" s="2" t="s">
        <v>3023</v>
      </c>
      <c r="D4572" s="1">
        <v>43957</v>
      </c>
      <c r="E4572">
        <f>MONTH(D4572)</f>
        <v>5</v>
      </c>
      <c r="F4572" s="2" t="s">
        <v>2098</v>
      </c>
      <c r="G4572" t="s">
        <v>352</v>
      </c>
      <c r="H4572" t="s">
        <v>1585</v>
      </c>
      <c r="I4572" t="s">
        <v>22</v>
      </c>
      <c r="J4572" s="2" t="s">
        <v>42</v>
      </c>
      <c r="K4572" s="2" t="s">
        <v>3019</v>
      </c>
      <c r="L4572" t="s">
        <v>25</v>
      </c>
      <c r="M4572" s="8">
        <v>0.77266666699999997</v>
      </c>
      <c r="N4572" t="s">
        <v>26</v>
      </c>
      <c r="O4572" s="8">
        <v>0.77266666699999997</v>
      </c>
      <c r="P4572" s="8">
        <f>EXP(-1.363+3.366*LOG(O4572,10))</f>
        <v>0.17551718302452865</v>
      </c>
      <c r="Q4572" s="8">
        <f>(8197453*100)/8541008</f>
        <v>95.977582505484136</v>
      </c>
    </row>
    <row r="4573" spans="1:17" x14ac:dyDescent="0.2">
      <c r="A4573">
        <f>YEAR(D4573)</f>
        <v>2020</v>
      </c>
      <c r="B4573" t="s">
        <v>26</v>
      </c>
      <c r="C4573" s="2" t="s">
        <v>3023</v>
      </c>
      <c r="D4573" s="1">
        <v>43957</v>
      </c>
      <c r="E4573">
        <f>MONTH(D4573)</f>
        <v>5</v>
      </c>
      <c r="F4573" s="2" t="s">
        <v>2098</v>
      </c>
      <c r="G4573" t="s">
        <v>352</v>
      </c>
      <c r="H4573" t="s">
        <v>1459</v>
      </c>
      <c r="I4573" t="s">
        <v>22</v>
      </c>
      <c r="J4573" s="2" t="s">
        <v>42</v>
      </c>
      <c r="K4573" s="2" t="s">
        <v>3019</v>
      </c>
      <c r="L4573" t="s">
        <v>25</v>
      </c>
      <c r="M4573" s="8">
        <v>1.1910000000000001</v>
      </c>
      <c r="N4573" t="s">
        <v>26</v>
      </c>
      <c r="O4573" s="8">
        <v>1.1910000000000001</v>
      </c>
      <c r="P4573" s="8">
        <f>EXP(-1.363+3.366*LOG(O4573,10))</f>
        <v>0.33039016297752993</v>
      </c>
      <c r="Q4573" s="8">
        <f>(8197453*100)/8541008</f>
        <v>95.977582505484136</v>
      </c>
    </row>
    <row r="4574" spans="1:17" x14ac:dyDescent="0.2">
      <c r="A4574">
        <f>YEAR(D4574)</f>
        <v>2020</v>
      </c>
      <c r="B4574" t="s">
        <v>26</v>
      </c>
      <c r="C4574" s="2" t="s">
        <v>3023</v>
      </c>
      <c r="D4574" s="1">
        <v>43957</v>
      </c>
      <c r="E4574">
        <f>MONTH(D4574)</f>
        <v>5</v>
      </c>
      <c r="F4574" s="2" t="s">
        <v>2098</v>
      </c>
      <c r="G4574" t="s">
        <v>1520</v>
      </c>
      <c r="H4574" t="s">
        <v>1528</v>
      </c>
      <c r="I4574" t="s">
        <v>22</v>
      </c>
      <c r="J4574" s="2" t="s">
        <v>42</v>
      </c>
      <c r="K4574" s="2" t="s">
        <v>3019</v>
      </c>
      <c r="L4574" t="s">
        <v>25</v>
      </c>
      <c r="M4574" s="8">
        <v>3.624333333</v>
      </c>
      <c r="N4574" t="s">
        <v>26</v>
      </c>
      <c r="O4574" s="8">
        <v>3.624333333</v>
      </c>
      <c r="P4574" s="8">
        <f>EXP(-1.363+3.366*LOG(O4574,10))</f>
        <v>1.6809546844949765</v>
      </c>
      <c r="Q4574" s="8">
        <f>(8197453*100)/8541008</f>
        <v>95.977582505484136</v>
      </c>
    </row>
    <row r="4575" spans="1:17" x14ac:dyDescent="0.2">
      <c r="A4575">
        <f>YEAR(D4575)</f>
        <v>2020</v>
      </c>
      <c r="B4575" t="s">
        <v>26</v>
      </c>
      <c r="C4575" s="2" t="s">
        <v>3023</v>
      </c>
      <c r="D4575" s="1">
        <v>43957</v>
      </c>
      <c r="E4575">
        <f>MONTH(D4575)</f>
        <v>5</v>
      </c>
      <c r="F4575" s="2" t="s">
        <v>2098</v>
      </c>
      <c r="G4575" t="s">
        <v>1532</v>
      </c>
      <c r="H4575" t="s">
        <v>1533</v>
      </c>
      <c r="I4575" t="s">
        <v>36</v>
      </c>
      <c r="J4575" s="2" t="s">
        <v>42</v>
      </c>
      <c r="K4575" s="2" t="s">
        <v>3019</v>
      </c>
      <c r="L4575" t="s">
        <v>25</v>
      </c>
      <c r="M4575" s="8">
        <v>2.63</v>
      </c>
      <c r="N4575" t="s">
        <v>26</v>
      </c>
      <c r="O4575" s="8">
        <v>2.63</v>
      </c>
      <c r="P4575" s="8">
        <f>EXP(-1.363+3.366*LOG(O4575,10))</f>
        <v>1.0518715955632558</v>
      </c>
      <c r="Q4575" s="8">
        <f>(8197453*100)/8541008</f>
        <v>95.977582505484136</v>
      </c>
    </row>
    <row r="4576" spans="1:17" x14ac:dyDescent="0.2">
      <c r="A4576">
        <f>YEAR(D4576)</f>
        <v>2020</v>
      </c>
      <c r="B4576" t="s">
        <v>26</v>
      </c>
      <c r="C4576" s="2" t="s">
        <v>3022</v>
      </c>
      <c r="D4576" s="1">
        <v>43957</v>
      </c>
      <c r="E4576">
        <f>MONTH(D4576)</f>
        <v>5</v>
      </c>
      <c r="F4576" s="2" t="s">
        <v>2098</v>
      </c>
      <c r="G4576" t="s">
        <v>352</v>
      </c>
      <c r="H4576" t="s">
        <v>353</v>
      </c>
      <c r="I4576" t="s">
        <v>22</v>
      </c>
      <c r="J4576" s="2" t="s">
        <v>42</v>
      </c>
      <c r="K4576" s="2" t="s">
        <v>3019</v>
      </c>
      <c r="L4576" t="s">
        <v>25</v>
      </c>
      <c r="M4576" s="8">
        <v>1.1623333330000001</v>
      </c>
      <c r="N4576" t="s">
        <v>26</v>
      </c>
      <c r="O4576" s="8">
        <v>1.1623333330000001</v>
      </c>
      <c r="P4576" s="8">
        <f>EXP(-1.363+3.366*LOG(O4576,10))</f>
        <v>0.31883010989102206</v>
      </c>
      <c r="Q4576" s="8">
        <f>(4437920*100)/4638971</f>
        <v>95.666043180696747</v>
      </c>
    </row>
    <row r="4577" spans="1:17" x14ac:dyDescent="0.2">
      <c r="A4577">
        <f>YEAR(D4577)</f>
        <v>2020</v>
      </c>
      <c r="B4577" t="s">
        <v>26</v>
      </c>
      <c r="C4577" s="2" t="s">
        <v>3022</v>
      </c>
      <c r="D4577" s="1">
        <v>43957</v>
      </c>
      <c r="E4577">
        <f>MONTH(D4577)</f>
        <v>5</v>
      </c>
      <c r="F4577" s="2" t="s">
        <v>2098</v>
      </c>
      <c r="G4577" t="s">
        <v>362</v>
      </c>
      <c r="H4577" t="s">
        <v>421</v>
      </c>
      <c r="I4577" t="s">
        <v>22</v>
      </c>
      <c r="J4577" s="2" t="s">
        <v>42</v>
      </c>
      <c r="K4577" s="2" t="s">
        <v>3019</v>
      </c>
      <c r="L4577" t="s">
        <v>25</v>
      </c>
      <c r="M4577" s="8">
        <v>1.921333333</v>
      </c>
      <c r="N4577" t="s">
        <v>26</v>
      </c>
      <c r="O4577" s="8">
        <v>1.921333333</v>
      </c>
      <c r="P4577" s="8">
        <f>EXP(-1.363+3.366*LOG(O4577,10))</f>
        <v>0.66471742502276976</v>
      </c>
      <c r="Q4577" s="8">
        <f>(4437920*100)/4638971</f>
        <v>95.666043180696747</v>
      </c>
    </row>
    <row r="4578" spans="1:17" x14ac:dyDescent="0.2">
      <c r="A4578">
        <f>YEAR(D4578)</f>
        <v>2020</v>
      </c>
      <c r="B4578" t="s">
        <v>26</v>
      </c>
      <c r="C4578" s="2" t="s">
        <v>3022</v>
      </c>
      <c r="D4578" s="1">
        <v>43957</v>
      </c>
      <c r="E4578">
        <f>MONTH(D4578)</f>
        <v>5</v>
      </c>
      <c r="F4578" s="2" t="s">
        <v>2098</v>
      </c>
      <c r="G4578" t="s">
        <v>1735</v>
      </c>
      <c r="H4578" t="s">
        <v>1736</v>
      </c>
      <c r="I4578" t="s">
        <v>22</v>
      </c>
      <c r="J4578" s="2" t="s">
        <v>42</v>
      </c>
      <c r="K4578" s="2" t="s">
        <v>3019</v>
      </c>
      <c r="L4578" t="s">
        <v>25</v>
      </c>
      <c r="M4578" s="8">
        <v>4.1156666670000002</v>
      </c>
      <c r="N4578" t="s">
        <v>26</v>
      </c>
      <c r="O4578" s="8">
        <v>4.1156666670000002</v>
      </c>
      <c r="P4578" s="8">
        <f>EXP(-1.363+3.366*LOG(O4578,10))</f>
        <v>2.0242630151675414</v>
      </c>
      <c r="Q4578" s="8">
        <f>(4437920*100)/4638971</f>
        <v>95.666043180696747</v>
      </c>
    </row>
    <row r="4579" spans="1:17" x14ac:dyDescent="0.2">
      <c r="A4579">
        <f>YEAR(D4579)</f>
        <v>2020</v>
      </c>
      <c r="B4579" t="s">
        <v>26</v>
      </c>
      <c r="C4579" s="2" t="s">
        <v>3025</v>
      </c>
      <c r="D4579" s="1">
        <v>43902</v>
      </c>
      <c r="E4579">
        <f>MONTH(D4579)</f>
        <v>3</v>
      </c>
      <c r="F4579" s="2" t="s">
        <v>19</v>
      </c>
      <c r="G4579" t="s">
        <v>303</v>
      </c>
      <c r="H4579" t="s">
        <v>1931</v>
      </c>
      <c r="I4579" t="s">
        <v>22</v>
      </c>
      <c r="J4579" s="2" t="s">
        <v>42</v>
      </c>
      <c r="K4579" s="2" t="s">
        <v>3019</v>
      </c>
      <c r="L4579" t="s">
        <v>305</v>
      </c>
      <c r="M4579" s="8">
        <v>1.4026666670000001</v>
      </c>
      <c r="N4579" t="s">
        <v>26</v>
      </c>
      <c r="O4579" s="8">
        <v>1.4026666670000001</v>
      </c>
      <c r="P4579" s="8">
        <f>EXP(-1.363+3.366*LOG(O4579,10))</f>
        <v>0.41964287291404917</v>
      </c>
      <c r="Q4579" s="8">
        <f>(1955155*100)/2180255</f>
        <v>89.67551960665152</v>
      </c>
    </row>
    <row r="4580" spans="1:17" x14ac:dyDescent="0.2">
      <c r="A4580">
        <f>YEAR(D4580)</f>
        <v>2020</v>
      </c>
      <c r="B4580" t="s">
        <v>26</v>
      </c>
      <c r="C4580" s="2" t="s">
        <v>3023</v>
      </c>
      <c r="D4580" s="1">
        <v>43903</v>
      </c>
      <c r="E4580">
        <f>MONTH(D4580)</f>
        <v>3</v>
      </c>
      <c r="F4580" s="2" t="s">
        <v>19</v>
      </c>
      <c r="G4580" t="s">
        <v>303</v>
      </c>
      <c r="H4580" t="s">
        <v>307</v>
      </c>
      <c r="I4580" t="s">
        <v>36</v>
      </c>
      <c r="J4580" s="2" t="s">
        <v>42</v>
      </c>
      <c r="K4580" s="2" t="s">
        <v>3019</v>
      </c>
      <c r="L4580" t="s">
        <v>305</v>
      </c>
      <c r="M4580" s="8">
        <v>1.01</v>
      </c>
      <c r="N4580" t="s">
        <v>26</v>
      </c>
      <c r="O4580" s="8">
        <v>1.01</v>
      </c>
      <c r="P4580" s="8">
        <f>EXP(-1.363+3.366*LOG(O4580,10))</f>
        <v>0.25964128962709732</v>
      </c>
      <c r="Q4580" s="8">
        <f>(8197453*100)/8541008</f>
        <v>95.977582505484136</v>
      </c>
    </row>
    <row r="4581" spans="1:17" x14ac:dyDescent="0.2">
      <c r="A4581">
        <f>YEAR(D4581)</f>
        <v>2020</v>
      </c>
      <c r="B4581" t="s">
        <v>26</v>
      </c>
      <c r="C4581" s="2" t="s">
        <v>3023</v>
      </c>
      <c r="D4581" s="1">
        <v>43903</v>
      </c>
      <c r="E4581">
        <f>MONTH(D4581)</f>
        <v>3</v>
      </c>
      <c r="F4581" s="2" t="s">
        <v>19</v>
      </c>
      <c r="G4581" t="s">
        <v>303</v>
      </c>
      <c r="H4581" t="s">
        <v>307</v>
      </c>
      <c r="I4581" t="s">
        <v>22</v>
      </c>
      <c r="J4581" s="2" t="s">
        <v>42</v>
      </c>
      <c r="K4581" s="2" t="s">
        <v>3019</v>
      </c>
      <c r="L4581" t="s">
        <v>305</v>
      </c>
      <c r="M4581" s="8">
        <v>1.1000000000000001</v>
      </c>
      <c r="N4581" t="s">
        <v>26</v>
      </c>
      <c r="O4581" s="8">
        <v>1.1000000000000001</v>
      </c>
      <c r="P4581" s="8">
        <f>EXP(-1.363+3.366*LOG(O4581,10))</f>
        <v>0.29414800446794787</v>
      </c>
      <c r="Q4581" s="8">
        <f>(8197453*100)/8541008</f>
        <v>95.977582505484136</v>
      </c>
    </row>
    <row r="4582" spans="1:17" x14ac:dyDescent="0.2">
      <c r="A4582">
        <f>YEAR(D4582)</f>
        <v>2020</v>
      </c>
      <c r="B4582" t="s">
        <v>26</v>
      </c>
      <c r="C4582" s="2" t="s">
        <v>3023</v>
      </c>
      <c r="D4582" s="1">
        <v>43903</v>
      </c>
      <c r="E4582">
        <f>MONTH(D4582)</f>
        <v>3</v>
      </c>
      <c r="F4582" s="2" t="s">
        <v>19</v>
      </c>
      <c r="G4582" t="s">
        <v>20</v>
      </c>
      <c r="H4582" t="s">
        <v>149</v>
      </c>
      <c r="I4582" t="s">
        <v>36</v>
      </c>
      <c r="J4582" s="2" t="s">
        <v>42</v>
      </c>
      <c r="K4582" s="2" t="s">
        <v>3019</v>
      </c>
      <c r="L4582" t="s">
        <v>25</v>
      </c>
      <c r="M4582" s="8">
        <v>1.032666667</v>
      </c>
      <c r="N4582" t="s">
        <v>26</v>
      </c>
      <c r="O4582" s="8">
        <v>1.032666667</v>
      </c>
      <c r="P4582" s="8">
        <f>EXP(-1.363+3.366*LOG(O4582,10))</f>
        <v>0.26820327281159584</v>
      </c>
      <c r="Q4582" s="8">
        <f>(8197453*100)/8541008</f>
        <v>95.977582505484136</v>
      </c>
    </row>
    <row r="4583" spans="1:17" x14ac:dyDescent="0.2">
      <c r="A4583">
        <f>YEAR(D4583)</f>
        <v>2020</v>
      </c>
      <c r="B4583" t="s">
        <v>26</v>
      </c>
      <c r="C4583" s="2" t="s">
        <v>3023</v>
      </c>
      <c r="D4583" s="1">
        <v>43903</v>
      </c>
      <c r="E4583">
        <f>MONTH(D4583)</f>
        <v>3</v>
      </c>
      <c r="F4583" s="2" t="s">
        <v>19</v>
      </c>
      <c r="G4583" t="s">
        <v>303</v>
      </c>
      <c r="H4583" t="s">
        <v>312</v>
      </c>
      <c r="I4583" t="s">
        <v>36</v>
      </c>
      <c r="J4583" s="2" t="s">
        <v>42</v>
      </c>
      <c r="K4583" s="2" t="s">
        <v>3019</v>
      </c>
      <c r="L4583" t="s">
        <v>305</v>
      </c>
      <c r="M4583" s="8">
        <v>1.601</v>
      </c>
      <c r="N4583" t="s">
        <v>26</v>
      </c>
      <c r="O4583" s="8">
        <v>1.601</v>
      </c>
      <c r="P4583" s="8">
        <f>EXP(-1.363+3.366*LOG(O4583,10))</f>
        <v>0.50914686038957691</v>
      </c>
      <c r="Q4583" s="8">
        <f>(8197453*100)/8541008</f>
        <v>95.977582505484136</v>
      </c>
    </row>
    <row r="4584" spans="1:17" x14ac:dyDescent="0.2">
      <c r="A4584">
        <f>YEAR(D4584)</f>
        <v>2020</v>
      </c>
      <c r="B4584" t="s">
        <v>26</v>
      </c>
      <c r="C4584" s="2" t="s">
        <v>3023</v>
      </c>
      <c r="D4584" s="1">
        <v>43903</v>
      </c>
      <c r="E4584">
        <f>MONTH(D4584)</f>
        <v>3</v>
      </c>
      <c r="F4584" s="2" t="s">
        <v>19</v>
      </c>
      <c r="G4584" t="s">
        <v>352</v>
      </c>
      <c r="H4584" t="s">
        <v>623</v>
      </c>
      <c r="I4584" t="s">
        <v>22</v>
      </c>
      <c r="J4584" s="2" t="s">
        <v>42</v>
      </c>
      <c r="K4584" s="2" t="s">
        <v>3019</v>
      </c>
      <c r="L4584" t="s">
        <v>25</v>
      </c>
      <c r="M4584" s="8">
        <v>1.387</v>
      </c>
      <c r="N4584" t="s">
        <v>26</v>
      </c>
      <c r="O4584" s="8">
        <v>1.387</v>
      </c>
      <c r="P4584" s="8">
        <f>EXP(-1.363+3.366*LOG(O4584,10))</f>
        <v>0.41280884754947733</v>
      </c>
      <c r="Q4584" s="8">
        <f>(8197453*100)/8541008</f>
        <v>95.977582505484136</v>
      </c>
    </row>
    <row r="4585" spans="1:17" x14ac:dyDescent="0.2">
      <c r="A4585">
        <f>YEAR(D4585)</f>
        <v>2020</v>
      </c>
      <c r="B4585" t="e">
        <f>CONCATENATE(K4585,#REF!)</f>
        <v>#REF!</v>
      </c>
      <c r="C4585" s="2" t="s">
        <v>3023</v>
      </c>
      <c r="D4585" s="1">
        <v>43903</v>
      </c>
      <c r="E4585">
        <f>MONTH(D4585)</f>
        <v>3</v>
      </c>
      <c r="F4585" s="2" t="s">
        <v>19</v>
      </c>
      <c r="G4585" s="2" t="s">
        <v>20</v>
      </c>
      <c r="H4585" t="s">
        <v>103</v>
      </c>
      <c r="I4585" t="s">
        <v>36</v>
      </c>
      <c r="J4585" s="2" t="s">
        <v>42</v>
      </c>
      <c r="K4585" s="2" t="s">
        <v>3019</v>
      </c>
      <c r="L4585" t="s">
        <v>25</v>
      </c>
      <c r="M4585" s="8">
        <v>1.856666667</v>
      </c>
      <c r="N4585" t="s">
        <v>26</v>
      </c>
      <c r="O4585" s="8">
        <v>1.856666667</v>
      </c>
      <c r="P4585" s="8">
        <f>EXP(-1.363+3.366*LOG(O4585,10))</f>
        <v>0.63226823262235543</v>
      </c>
      <c r="Q4585" s="8">
        <f>(8197453*100)/8541008</f>
        <v>95.977582505484136</v>
      </c>
    </row>
    <row r="4586" spans="1:17" x14ac:dyDescent="0.2">
      <c r="A4586">
        <f>YEAR(D4586)</f>
        <v>2020</v>
      </c>
      <c r="B4586" t="s">
        <v>26</v>
      </c>
      <c r="C4586" s="2" t="s">
        <v>3023</v>
      </c>
      <c r="D4586" s="1">
        <v>43903</v>
      </c>
      <c r="E4586">
        <f>MONTH(D4586)</f>
        <v>3</v>
      </c>
      <c r="F4586" s="2" t="s">
        <v>19</v>
      </c>
      <c r="G4586" s="2" t="s">
        <v>20</v>
      </c>
      <c r="H4586" t="s">
        <v>45</v>
      </c>
      <c r="I4586" t="s">
        <v>22</v>
      </c>
      <c r="J4586" s="2" t="s">
        <v>42</v>
      </c>
      <c r="K4586" s="2" t="s">
        <v>3019</v>
      </c>
      <c r="L4586" t="s">
        <v>25</v>
      </c>
      <c r="M4586" s="8">
        <v>1.903333333</v>
      </c>
      <c r="N4586" t="s">
        <v>26</v>
      </c>
      <c r="O4586" s="8">
        <v>1.903333333</v>
      </c>
      <c r="P4586" s="8">
        <f>EXP(-1.363+3.366*LOG(O4586,10))</f>
        <v>0.65563371760507783</v>
      </c>
      <c r="Q4586" s="8">
        <f>(8197453*100)/8541008</f>
        <v>95.977582505484136</v>
      </c>
    </row>
    <row r="4587" spans="1:17" x14ac:dyDescent="0.2">
      <c r="A4587">
        <f>YEAR(D4587)</f>
        <v>2020</v>
      </c>
      <c r="B4587" t="s">
        <v>26</v>
      </c>
      <c r="C4587" s="2" t="s">
        <v>3022</v>
      </c>
      <c r="D4587" s="1">
        <v>43903</v>
      </c>
      <c r="E4587">
        <f>MONTH(D4587)</f>
        <v>3</v>
      </c>
      <c r="F4587" s="2" t="s">
        <v>19</v>
      </c>
      <c r="G4587" t="s">
        <v>20</v>
      </c>
      <c r="H4587" t="s">
        <v>2295</v>
      </c>
      <c r="I4587" t="s">
        <v>36</v>
      </c>
      <c r="J4587" s="2" t="s">
        <v>42</v>
      </c>
      <c r="K4587" s="2" t="s">
        <v>3019</v>
      </c>
      <c r="L4587" t="s">
        <v>25</v>
      </c>
      <c r="M4587" s="8">
        <v>1.0436666670000001</v>
      </c>
      <c r="N4587" t="s">
        <v>26</v>
      </c>
      <c r="O4587" s="8">
        <v>1.0436666670000001</v>
      </c>
      <c r="P4587" s="8">
        <f>EXP(-1.363+3.366*LOG(O4587,10))</f>
        <v>0.27238985802470567</v>
      </c>
      <c r="Q4587" s="8">
        <f>(4437920*100)/4638971</f>
        <v>95.666043180696747</v>
      </c>
    </row>
    <row r="4588" spans="1:17" x14ac:dyDescent="0.2">
      <c r="A4588">
        <f>YEAR(D4588)</f>
        <v>2020</v>
      </c>
      <c r="B4588" t="s">
        <v>26</v>
      </c>
      <c r="C4588" s="2" t="s">
        <v>3022</v>
      </c>
      <c r="D4588" s="1">
        <v>43903</v>
      </c>
      <c r="E4588">
        <f>MONTH(D4588)</f>
        <v>3</v>
      </c>
      <c r="F4588" s="2" t="s">
        <v>19</v>
      </c>
      <c r="G4588" s="2" t="s">
        <v>20</v>
      </c>
      <c r="H4588" t="s">
        <v>45</v>
      </c>
      <c r="I4588" t="s">
        <v>36</v>
      </c>
      <c r="J4588" s="2" t="s">
        <v>42</v>
      </c>
      <c r="K4588" s="2" t="s">
        <v>3019</v>
      </c>
      <c r="L4588" t="s">
        <v>25</v>
      </c>
      <c r="M4588" s="8">
        <v>1.5053333330000001</v>
      </c>
      <c r="N4588" t="s">
        <v>26</v>
      </c>
      <c r="O4588" s="8">
        <v>1.5053333330000001</v>
      </c>
      <c r="P4588" s="8">
        <f>EXP(-1.363+3.366*LOG(O4588,10))</f>
        <v>0.46529279523463329</v>
      </c>
      <c r="Q4588" s="8">
        <f>(4437920*100)/4638971</f>
        <v>95.666043180696747</v>
      </c>
    </row>
    <row r="4589" spans="1:17" x14ac:dyDescent="0.2">
      <c r="A4589">
        <f>YEAR(D4589)</f>
        <v>2020</v>
      </c>
      <c r="B4589" t="s">
        <v>26</v>
      </c>
      <c r="C4589" s="2" t="s">
        <v>3022</v>
      </c>
      <c r="D4589" s="1">
        <v>43903</v>
      </c>
      <c r="E4589">
        <f>MONTH(D4589)</f>
        <v>3</v>
      </c>
      <c r="F4589" s="2" t="s">
        <v>19</v>
      </c>
      <c r="G4589" s="2" t="s">
        <v>20</v>
      </c>
      <c r="H4589" t="s">
        <v>45</v>
      </c>
      <c r="I4589" t="s">
        <v>36</v>
      </c>
      <c r="J4589" s="2" t="s">
        <v>42</v>
      </c>
      <c r="K4589" s="2" t="s">
        <v>3019</v>
      </c>
      <c r="L4589" t="s">
        <v>25</v>
      </c>
      <c r="M4589" s="8">
        <v>1.5053333330000001</v>
      </c>
      <c r="N4589" t="s">
        <v>26</v>
      </c>
      <c r="O4589" s="8">
        <v>1.5053333330000001</v>
      </c>
      <c r="P4589" s="8">
        <f>EXP(-1.363+3.366*LOG(O4589,10))</f>
        <v>0.46529279523463329</v>
      </c>
      <c r="Q4589" s="8">
        <f>(4437920*100)/4638971</f>
        <v>95.666043180696747</v>
      </c>
    </row>
    <row r="4590" spans="1:17" x14ac:dyDescent="0.2">
      <c r="A4590">
        <f>YEAR(D4590)</f>
        <v>2020</v>
      </c>
      <c r="B4590" t="s">
        <v>26</v>
      </c>
      <c r="C4590" s="2" t="s">
        <v>3022</v>
      </c>
      <c r="D4590" s="1">
        <v>43903</v>
      </c>
      <c r="E4590">
        <f>MONTH(D4590)</f>
        <v>3</v>
      </c>
      <c r="F4590" s="2" t="s">
        <v>19</v>
      </c>
      <c r="G4590" s="2" t="s">
        <v>20</v>
      </c>
      <c r="H4590" t="s">
        <v>45</v>
      </c>
      <c r="I4590" t="s">
        <v>36</v>
      </c>
      <c r="J4590" s="2" t="s">
        <v>42</v>
      </c>
      <c r="K4590" s="2" t="s">
        <v>3019</v>
      </c>
      <c r="L4590" t="s">
        <v>25</v>
      </c>
      <c r="M4590" s="8">
        <v>1.5053333330000001</v>
      </c>
      <c r="N4590" t="s">
        <v>26</v>
      </c>
      <c r="O4590" s="8">
        <v>1.5053333330000001</v>
      </c>
      <c r="P4590" s="8">
        <f>EXP(-1.363+3.366*LOG(O4590,10))</f>
        <v>0.46529279523463329</v>
      </c>
      <c r="Q4590" s="8">
        <f>(4437920*100)/4638971</f>
        <v>95.666043180696747</v>
      </c>
    </row>
    <row r="4591" spans="1:17" x14ac:dyDescent="0.2">
      <c r="A4591">
        <f>YEAR(D4591)</f>
        <v>2020</v>
      </c>
      <c r="B4591" t="s">
        <v>26</v>
      </c>
      <c r="C4591" s="2" t="s">
        <v>3022</v>
      </c>
      <c r="D4591" s="1">
        <v>43903</v>
      </c>
      <c r="E4591">
        <f>MONTH(D4591)</f>
        <v>3</v>
      </c>
      <c r="F4591" s="2" t="s">
        <v>19</v>
      </c>
      <c r="G4591" s="2" t="s">
        <v>20</v>
      </c>
      <c r="H4591" t="s">
        <v>45</v>
      </c>
      <c r="I4591" t="s">
        <v>22</v>
      </c>
      <c r="J4591" s="2" t="s">
        <v>42</v>
      </c>
      <c r="K4591" s="2" t="s">
        <v>3019</v>
      </c>
      <c r="L4591" t="s">
        <v>25</v>
      </c>
      <c r="M4591" s="8">
        <v>1.903333333</v>
      </c>
      <c r="N4591" t="s">
        <v>26</v>
      </c>
      <c r="O4591" s="8">
        <v>1.903333333</v>
      </c>
      <c r="P4591" s="8">
        <f>EXP(-1.363+3.366*LOG(O4591,10))</f>
        <v>0.65563371760507783</v>
      </c>
      <c r="Q4591" s="8">
        <f>(4437920*100)/4638971</f>
        <v>95.666043180696747</v>
      </c>
    </row>
    <row r="4592" spans="1:17" x14ac:dyDescent="0.2">
      <c r="A4592">
        <f>YEAR(D4592)</f>
        <v>2020</v>
      </c>
      <c r="B4592" t="s">
        <v>26</v>
      </c>
      <c r="C4592" s="2" t="s">
        <v>3022</v>
      </c>
      <c r="D4592" s="1">
        <v>43903</v>
      </c>
      <c r="E4592">
        <f>MONTH(D4592)</f>
        <v>3</v>
      </c>
      <c r="F4592" s="2" t="s">
        <v>19</v>
      </c>
      <c r="G4592" t="s">
        <v>20</v>
      </c>
      <c r="H4592" t="s">
        <v>149</v>
      </c>
      <c r="I4592" t="s">
        <v>36</v>
      </c>
      <c r="J4592" s="2" t="s">
        <v>42</v>
      </c>
      <c r="K4592" s="2" t="s">
        <v>3019</v>
      </c>
      <c r="L4592" t="s">
        <v>25</v>
      </c>
      <c r="M4592" s="8">
        <v>1.032666667</v>
      </c>
      <c r="N4592" t="s">
        <v>26</v>
      </c>
      <c r="O4592" s="8">
        <v>1.032666667</v>
      </c>
      <c r="P4592" s="8">
        <f>EXP(-1.363+3.366*LOG(O4592,10))</f>
        <v>0.26820327281159584</v>
      </c>
      <c r="Q4592" s="8">
        <f>(4437920*100)/4638971</f>
        <v>95.666043180696747</v>
      </c>
    </row>
    <row r="4593" spans="1:17" x14ac:dyDescent="0.2">
      <c r="A4593">
        <f>YEAR(D4593)</f>
        <v>2020</v>
      </c>
      <c r="B4593" t="s">
        <v>26</v>
      </c>
      <c r="C4593" s="2" t="s">
        <v>3022</v>
      </c>
      <c r="D4593" s="1">
        <v>43903</v>
      </c>
      <c r="E4593">
        <f>MONTH(D4593)</f>
        <v>3</v>
      </c>
      <c r="F4593" s="2" t="s">
        <v>19</v>
      </c>
      <c r="G4593" s="2" t="s">
        <v>20</v>
      </c>
      <c r="H4593" t="s">
        <v>45</v>
      </c>
      <c r="I4593" t="s">
        <v>36</v>
      </c>
      <c r="J4593" s="2" t="s">
        <v>42</v>
      </c>
      <c r="K4593" s="2" t="s">
        <v>3019</v>
      </c>
      <c r="L4593" t="s">
        <v>25</v>
      </c>
      <c r="M4593" s="8">
        <v>1.5053333330000001</v>
      </c>
      <c r="N4593" t="s">
        <v>26</v>
      </c>
      <c r="O4593" s="8">
        <v>1.5053333330000001</v>
      </c>
      <c r="P4593" s="8">
        <f>EXP(-1.363+3.366*LOG(O4593,10))</f>
        <v>0.46529279523463329</v>
      </c>
      <c r="Q4593" s="8">
        <f>(4437920*100)/4638971</f>
        <v>95.666043180696747</v>
      </c>
    </row>
    <row r="4594" spans="1:17" x14ac:dyDescent="0.2">
      <c r="A4594">
        <f>YEAR(D4594)</f>
        <v>2020</v>
      </c>
      <c r="B4594" t="s">
        <v>26</v>
      </c>
      <c r="C4594" s="2" t="s">
        <v>1540</v>
      </c>
      <c r="D4594" s="1">
        <v>43958</v>
      </c>
      <c r="E4594">
        <f>MONTH(D4594)</f>
        <v>5</v>
      </c>
      <c r="F4594" s="2" t="s">
        <v>2098</v>
      </c>
      <c r="G4594" t="s">
        <v>219</v>
      </c>
      <c r="H4594" t="s">
        <v>220</v>
      </c>
      <c r="I4594" t="s">
        <v>22</v>
      </c>
      <c r="J4594" s="2" t="s">
        <v>42</v>
      </c>
      <c r="K4594" s="2" t="s">
        <v>3019</v>
      </c>
      <c r="L4594" t="s">
        <v>25</v>
      </c>
      <c r="M4594" s="10" t="s">
        <v>26</v>
      </c>
      <c r="N4594" t="s">
        <v>26</v>
      </c>
      <c r="O4594" s="10" t="s">
        <v>26</v>
      </c>
      <c r="P4594" s="8" t="s">
        <v>26</v>
      </c>
      <c r="Q4594" s="8">
        <f>(2618262*100)/2995732</f>
        <v>87.399740697766021</v>
      </c>
    </row>
    <row r="4595" spans="1:17" x14ac:dyDescent="0.2">
      <c r="A4595">
        <f>YEAR(D4595)</f>
        <v>2020</v>
      </c>
      <c r="B4595" t="s">
        <v>26</v>
      </c>
      <c r="C4595" s="2" t="s">
        <v>1540</v>
      </c>
      <c r="D4595" s="1">
        <v>43958</v>
      </c>
      <c r="E4595">
        <f>MONTH(D4595)</f>
        <v>5</v>
      </c>
      <c r="F4595" s="2" t="s">
        <v>2098</v>
      </c>
      <c r="G4595" t="s">
        <v>230</v>
      </c>
      <c r="H4595" t="s">
        <v>268</v>
      </c>
      <c r="I4595" t="s">
        <v>22</v>
      </c>
      <c r="J4595" s="2" t="s">
        <v>42</v>
      </c>
      <c r="K4595" s="2" t="s">
        <v>3019</v>
      </c>
      <c r="L4595" t="s">
        <v>25</v>
      </c>
      <c r="M4595" s="8">
        <v>3.5356666670000001</v>
      </c>
      <c r="N4595" t="s">
        <v>26</v>
      </c>
      <c r="O4595" s="8">
        <v>3.5356666670000001</v>
      </c>
      <c r="P4595" s="8">
        <f>EXP(-1.363+3.366*LOG(O4595,10))</f>
        <v>1.6211802664427075</v>
      </c>
      <c r="Q4595" s="8">
        <f>(2618262*100)/2995732</f>
        <v>87.399740697766021</v>
      </c>
    </row>
    <row r="4596" spans="1:17" x14ac:dyDescent="0.2">
      <c r="A4596">
        <f>YEAR(D4596)</f>
        <v>2020</v>
      </c>
      <c r="B4596" t="s">
        <v>26</v>
      </c>
      <c r="C4596" s="2" t="s">
        <v>1540</v>
      </c>
      <c r="D4596" s="1">
        <v>43958</v>
      </c>
      <c r="E4596">
        <f>MONTH(D4596)</f>
        <v>5</v>
      </c>
      <c r="F4596" s="2" t="s">
        <v>2098</v>
      </c>
      <c r="G4596" t="s">
        <v>219</v>
      </c>
      <c r="H4596" t="s">
        <v>220</v>
      </c>
      <c r="I4596" t="s">
        <v>22</v>
      </c>
      <c r="J4596" s="2" t="s">
        <v>42</v>
      </c>
      <c r="K4596" s="2" t="s">
        <v>3019</v>
      </c>
      <c r="L4596" t="s">
        <v>25</v>
      </c>
      <c r="M4596" s="10" t="s">
        <v>26</v>
      </c>
      <c r="N4596" t="s">
        <v>26</v>
      </c>
      <c r="O4596" s="10" t="s">
        <v>26</v>
      </c>
      <c r="P4596" s="8" t="s">
        <v>26</v>
      </c>
      <c r="Q4596" s="8">
        <f>(2618262*100)/2995732</f>
        <v>87.399740697766021</v>
      </c>
    </row>
    <row r="4597" spans="1:17" x14ac:dyDescent="0.2">
      <c r="A4597">
        <f>YEAR(D4597)</f>
        <v>2020</v>
      </c>
      <c r="B4597" t="s">
        <v>26</v>
      </c>
      <c r="C4597" s="2" t="s">
        <v>1552</v>
      </c>
      <c r="D4597" s="1">
        <v>43958</v>
      </c>
      <c r="E4597">
        <f>MONTH(D4597)</f>
        <v>5</v>
      </c>
      <c r="F4597" s="2" t="s">
        <v>2098</v>
      </c>
      <c r="G4597" t="s">
        <v>219</v>
      </c>
      <c r="H4597" t="s">
        <v>220</v>
      </c>
      <c r="I4597" t="s">
        <v>22</v>
      </c>
      <c r="J4597" s="2" t="s">
        <v>42</v>
      </c>
      <c r="K4597" s="2" t="s">
        <v>3019</v>
      </c>
      <c r="L4597" t="s">
        <v>25</v>
      </c>
      <c r="M4597" s="10" t="s">
        <v>26</v>
      </c>
      <c r="N4597" t="s">
        <v>26</v>
      </c>
      <c r="O4597" s="10" t="s">
        <v>26</v>
      </c>
      <c r="P4597" s="8" t="s">
        <v>26</v>
      </c>
      <c r="Q4597" s="8">
        <f>(3738946*100)/3915493</f>
        <v>95.491065875995687</v>
      </c>
    </row>
    <row r="4598" spans="1:17" x14ac:dyDescent="0.2">
      <c r="A4598">
        <f>YEAR(D4598)</f>
        <v>2020</v>
      </c>
      <c r="B4598" t="s">
        <v>26</v>
      </c>
      <c r="C4598" s="2" t="s">
        <v>1552</v>
      </c>
      <c r="D4598" s="1">
        <v>43958</v>
      </c>
      <c r="E4598">
        <f>MONTH(D4598)</f>
        <v>5</v>
      </c>
      <c r="F4598" s="2" t="s">
        <v>2098</v>
      </c>
      <c r="G4598" t="s">
        <v>219</v>
      </c>
      <c r="H4598" t="s">
        <v>220</v>
      </c>
      <c r="I4598" t="s">
        <v>22</v>
      </c>
      <c r="J4598" s="2" t="s">
        <v>42</v>
      </c>
      <c r="K4598" s="2" t="s">
        <v>3019</v>
      </c>
      <c r="L4598" t="s">
        <v>25</v>
      </c>
      <c r="M4598" s="10" t="s">
        <v>26</v>
      </c>
      <c r="N4598" t="s">
        <v>26</v>
      </c>
      <c r="O4598" s="10" t="s">
        <v>26</v>
      </c>
      <c r="P4598" s="8" t="s">
        <v>26</v>
      </c>
      <c r="Q4598" s="8">
        <f>(3738946*100)/3915493</f>
        <v>95.491065875995687</v>
      </c>
    </row>
    <row r="4599" spans="1:17" x14ac:dyDescent="0.2">
      <c r="A4599">
        <f>YEAR(D4599)</f>
        <v>2020</v>
      </c>
      <c r="B4599" t="s">
        <v>26</v>
      </c>
      <c r="C4599" s="2" t="s">
        <v>1552</v>
      </c>
      <c r="D4599" s="1">
        <v>43958</v>
      </c>
      <c r="E4599">
        <f>MONTH(D4599)</f>
        <v>5</v>
      </c>
      <c r="F4599" s="2" t="s">
        <v>2098</v>
      </c>
      <c r="G4599" t="s">
        <v>219</v>
      </c>
      <c r="H4599" t="s">
        <v>220</v>
      </c>
      <c r="I4599" t="s">
        <v>22</v>
      </c>
      <c r="J4599" s="2" t="s">
        <v>42</v>
      </c>
      <c r="K4599" s="2" t="s">
        <v>3019</v>
      </c>
      <c r="L4599" t="s">
        <v>25</v>
      </c>
      <c r="M4599" s="10" t="s">
        <v>26</v>
      </c>
      <c r="N4599" t="s">
        <v>26</v>
      </c>
      <c r="O4599" s="10" t="s">
        <v>26</v>
      </c>
      <c r="P4599" s="8" t="s">
        <v>26</v>
      </c>
      <c r="Q4599" s="8">
        <f>(3738946*100)/3915493</f>
        <v>95.491065875995687</v>
      </c>
    </row>
    <row r="4600" spans="1:17" x14ac:dyDescent="0.2">
      <c r="A4600">
        <f>YEAR(D4600)</f>
        <v>2020</v>
      </c>
      <c r="B4600" t="s">
        <v>26</v>
      </c>
      <c r="C4600" s="2" t="s">
        <v>1552</v>
      </c>
      <c r="D4600" s="1">
        <v>43958</v>
      </c>
      <c r="E4600">
        <f>MONTH(D4600)</f>
        <v>5</v>
      </c>
      <c r="F4600" s="2" t="s">
        <v>2098</v>
      </c>
      <c r="G4600" t="s">
        <v>219</v>
      </c>
      <c r="H4600" t="s">
        <v>220</v>
      </c>
      <c r="I4600" t="s">
        <v>22</v>
      </c>
      <c r="J4600" s="2" t="s">
        <v>42</v>
      </c>
      <c r="K4600" s="2" t="s">
        <v>3019</v>
      </c>
      <c r="L4600" t="s">
        <v>25</v>
      </c>
      <c r="M4600" s="10" t="s">
        <v>26</v>
      </c>
      <c r="N4600" t="s">
        <v>26</v>
      </c>
      <c r="O4600" s="10" t="s">
        <v>26</v>
      </c>
      <c r="P4600" s="8" t="s">
        <v>26</v>
      </c>
      <c r="Q4600" s="8">
        <f>(3738946*100)/3915493</f>
        <v>95.491065875995687</v>
      </c>
    </row>
    <row r="4601" spans="1:17" x14ac:dyDescent="0.2">
      <c r="A4601">
        <f>YEAR(D4601)</f>
        <v>2020</v>
      </c>
      <c r="B4601" t="s">
        <v>26</v>
      </c>
      <c r="C4601" s="2" t="s">
        <v>1552</v>
      </c>
      <c r="D4601" s="1">
        <v>43958</v>
      </c>
      <c r="E4601">
        <f>MONTH(D4601)</f>
        <v>5</v>
      </c>
      <c r="F4601" s="2" t="s">
        <v>2098</v>
      </c>
      <c r="G4601" t="s">
        <v>219</v>
      </c>
      <c r="H4601" t="s">
        <v>220</v>
      </c>
      <c r="I4601" t="s">
        <v>22</v>
      </c>
      <c r="J4601" s="2" t="s">
        <v>42</v>
      </c>
      <c r="K4601" s="2" t="s">
        <v>3019</v>
      </c>
      <c r="L4601" t="s">
        <v>25</v>
      </c>
      <c r="M4601" s="10" t="s">
        <v>26</v>
      </c>
      <c r="N4601" t="s">
        <v>26</v>
      </c>
      <c r="O4601" s="10" t="s">
        <v>26</v>
      </c>
      <c r="P4601" s="8" t="s">
        <v>26</v>
      </c>
      <c r="Q4601" s="8">
        <f>(3738946*100)/3915493</f>
        <v>95.491065875995687</v>
      </c>
    </row>
    <row r="4602" spans="1:17" x14ac:dyDescent="0.2">
      <c r="A4602">
        <f>YEAR(D4602)</f>
        <v>2020</v>
      </c>
      <c r="B4602" t="s">
        <v>26</v>
      </c>
      <c r="C4602" s="2" t="s">
        <v>1552</v>
      </c>
      <c r="D4602" s="1">
        <v>43958</v>
      </c>
      <c r="E4602">
        <f>MONTH(D4602)</f>
        <v>5</v>
      </c>
      <c r="F4602" s="2" t="s">
        <v>2098</v>
      </c>
      <c r="G4602" t="s">
        <v>219</v>
      </c>
      <c r="H4602" t="s">
        <v>220</v>
      </c>
      <c r="I4602" t="s">
        <v>22</v>
      </c>
      <c r="J4602" s="2" t="s">
        <v>42</v>
      </c>
      <c r="K4602" s="2" t="s">
        <v>3019</v>
      </c>
      <c r="L4602" t="s">
        <v>25</v>
      </c>
      <c r="M4602" s="10" t="s">
        <v>26</v>
      </c>
      <c r="N4602" t="s">
        <v>26</v>
      </c>
      <c r="O4602" s="10" t="s">
        <v>26</v>
      </c>
      <c r="P4602" s="8" t="s">
        <v>26</v>
      </c>
      <c r="Q4602" s="8">
        <f>(3738946*100)/3915493</f>
        <v>95.491065875995687</v>
      </c>
    </row>
    <row r="4603" spans="1:17" x14ac:dyDescent="0.2">
      <c r="A4603">
        <f>YEAR(D4603)</f>
        <v>2020</v>
      </c>
      <c r="B4603" t="s">
        <v>26</v>
      </c>
      <c r="C4603" s="2" t="s">
        <v>1552</v>
      </c>
      <c r="D4603" s="1">
        <v>43958</v>
      </c>
      <c r="E4603">
        <f>MONTH(D4603)</f>
        <v>5</v>
      </c>
      <c r="F4603" s="2" t="s">
        <v>2098</v>
      </c>
      <c r="G4603" t="s">
        <v>219</v>
      </c>
      <c r="H4603" t="s">
        <v>220</v>
      </c>
      <c r="I4603" t="s">
        <v>22</v>
      </c>
      <c r="J4603" s="2" t="s">
        <v>42</v>
      </c>
      <c r="K4603" s="2" t="s">
        <v>3019</v>
      </c>
      <c r="L4603" t="s">
        <v>25</v>
      </c>
      <c r="M4603" s="10" t="s">
        <v>26</v>
      </c>
      <c r="N4603" t="s">
        <v>26</v>
      </c>
      <c r="O4603" s="10" t="s">
        <v>26</v>
      </c>
      <c r="P4603" s="8" t="s">
        <v>26</v>
      </c>
      <c r="Q4603" s="8">
        <f>(3738946*100)/3915493</f>
        <v>95.491065875995687</v>
      </c>
    </row>
    <row r="4604" spans="1:17" x14ac:dyDescent="0.2">
      <c r="A4604">
        <f>YEAR(D4604)</f>
        <v>2020</v>
      </c>
      <c r="B4604" t="s">
        <v>26</v>
      </c>
      <c r="C4604" s="2" t="s">
        <v>1552</v>
      </c>
      <c r="D4604" s="1">
        <v>43958</v>
      </c>
      <c r="E4604">
        <f>MONTH(D4604)</f>
        <v>5</v>
      </c>
      <c r="F4604" s="2" t="s">
        <v>2098</v>
      </c>
      <c r="G4604" t="s">
        <v>219</v>
      </c>
      <c r="H4604" t="s">
        <v>220</v>
      </c>
      <c r="I4604" t="s">
        <v>22</v>
      </c>
      <c r="J4604" s="2" t="s">
        <v>42</v>
      </c>
      <c r="K4604" s="2" t="s">
        <v>3019</v>
      </c>
      <c r="L4604" t="s">
        <v>25</v>
      </c>
      <c r="M4604" s="10" t="s">
        <v>26</v>
      </c>
      <c r="N4604" t="s">
        <v>26</v>
      </c>
      <c r="O4604" s="10" t="s">
        <v>26</v>
      </c>
      <c r="P4604" s="8" t="s">
        <v>26</v>
      </c>
      <c r="Q4604" s="8">
        <f>(3738946*100)/3915493</f>
        <v>95.491065875995687</v>
      </c>
    </row>
    <row r="4605" spans="1:17" x14ac:dyDescent="0.2">
      <c r="A4605">
        <f>YEAR(D4605)</f>
        <v>2020</v>
      </c>
      <c r="B4605" t="s">
        <v>26</v>
      </c>
      <c r="C4605" s="2" t="s">
        <v>1540</v>
      </c>
      <c r="D4605" s="1">
        <v>43958</v>
      </c>
      <c r="E4605">
        <f>MONTH(D4605)</f>
        <v>5</v>
      </c>
      <c r="F4605" s="2" t="s">
        <v>2098</v>
      </c>
      <c r="G4605" t="s">
        <v>1735</v>
      </c>
      <c r="H4605" t="s">
        <v>1736</v>
      </c>
      <c r="I4605" t="s">
        <v>22</v>
      </c>
      <c r="J4605" s="2" t="s">
        <v>42</v>
      </c>
      <c r="K4605" s="2" t="s">
        <v>3019</v>
      </c>
      <c r="L4605" t="s">
        <v>25</v>
      </c>
      <c r="M4605" s="8">
        <v>4.1156666670000002</v>
      </c>
      <c r="N4605" t="s">
        <v>26</v>
      </c>
      <c r="O4605" s="8">
        <v>4.1156666670000002</v>
      </c>
      <c r="P4605" s="8">
        <f>EXP(-1.363+3.366*LOG(O4605,10))</f>
        <v>2.0242630151675414</v>
      </c>
      <c r="Q4605" s="8">
        <f>(2618262*100)/2995732</f>
        <v>87.399740697766021</v>
      </c>
    </row>
    <row r="4606" spans="1:17" x14ac:dyDescent="0.2">
      <c r="A4606">
        <f>YEAR(D4606)</f>
        <v>2020</v>
      </c>
      <c r="B4606" t="s">
        <v>26</v>
      </c>
      <c r="C4606" s="2" t="s">
        <v>1540</v>
      </c>
      <c r="D4606" s="1">
        <v>43958</v>
      </c>
      <c r="E4606">
        <f>MONTH(D4606)</f>
        <v>5</v>
      </c>
      <c r="F4606" s="2" t="s">
        <v>2098</v>
      </c>
      <c r="G4606" t="s">
        <v>352</v>
      </c>
      <c r="H4606" t="s">
        <v>975</v>
      </c>
      <c r="I4606" t="s">
        <v>22</v>
      </c>
      <c r="J4606" s="2" t="s">
        <v>42</v>
      </c>
      <c r="K4606" s="2" t="s">
        <v>3019</v>
      </c>
      <c r="L4606" t="s">
        <v>25</v>
      </c>
      <c r="M4606" s="8">
        <v>1.0693333330000001</v>
      </c>
      <c r="N4606" t="s">
        <v>26</v>
      </c>
      <c r="O4606" s="8">
        <v>1.0693333330000001</v>
      </c>
      <c r="P4606" s="8">
        <f>EXP(-1.363+3.366*LOG(O4606,10))</f>
        <v>0.28223780327142356</v>
      </c>
      <c r="Q4606" s="8">
        <f>(2618262*100)/2995732</f>
        <v>87.399740697766021</v>
      </c>
    </row>
    <row r="4607" spans="1:17" x14ac:dyDescent="0.2">
      <c r="A4607">
        <f>YEAR(D4607)</f>
        <v>2020</v>
      </c>
      <c r="B4607" t="s">
        <v>26</v>
      </c>
      <c r="C4607" s="2" t="s">
        <v>1540</v>
      </c>
      <c r="D4607" s="1">
        <v>43958</v>
      </c>
      <c r="E4607">
        <f>MONTH(D4607)</f>
        <v>5</v>
      </c>
      <c r="F4607" s="2" t="s">
        <v>2098</v>
      </c>
      <c r="G4607" t="s">
        <v>352</v>
      </c>
      <c r="H4607" t="s">
        <v>1459</v>
      </c>
      <c r="I4607" t="s">
        <v>22</v>
      </c>
      <c r="J4607" s="2" t="s">
        <v>42</v>
      </c>
      <c r="K4607" s="2" t="s">
        <v>3019</v>
      </c>
      <c r="L4607" t="s">
        <v>25</v>
      </c>
      <c r="M4607" s="8">
        <v>1.1910000000000001</v>
      </c>
      <c r="N4607" t="s">
        <v>26</v>
      </c>
      <c r="O4607" s="8">
        <v>1.1910000000000001</v>
      </c>
      <c r="P4607" s="8">
        <f>EXP(-1.363+3.366*LOG(O4607,10))</f>
        <v>0.33039016297752993</v>
      </c>
      <c r="Q4607" s="8">
        <f>(2618262*100)/2995732</f>
        <v>87.399740697766021</v>
      </c>
    </row>
    <row r="4608" spans="1:17" x14ac:dyDescent="0.2">
      <c r="A4608">
        <f>YEAR(D4608)</f>
        <v>2020</v>
      </c>
      <c r="B4608" t="s">
        <v>26</v>
      </c>
      <c r="C4608" s="2" t="s">
        <v>1540</v>
      </c>
      <c r="D4608" s="1">
        <v>43958</v>
      </c>
      <c r="E4608">
        <f>MONTH(D4608)</f>
        <v>5</v>
      </c>
      <c r="F4608" s="2" t="s">
        <v>2098</v>
      </c>
      <c r="G4608" t="s">
        <v>352</v>
      </c>
      <c r="H4608" t="s">
        <v>1459</v>
      </c>
      <c r="I4608" t="s">
        <v>22</v>
      </c>
      <c r="J4608" s="2" t="s">
        <v>42</v>
      </c>
      <c r="K4608" s="2" t="s">
        <v>3019</v>
      </c>
      <c r="L4608" t="s">
        <v>25</v>
      </c>
      <c r="M4608" s="8">
        <v>1.1910000000000001</v>
      </c>
      <c r="N4608" t="s">
        <v>26</v>
      </c>
      <c r="O4608" s="8">
        <v>1.1910000000000001</v>
      </c>
      <c r="P4608" s="8">
        <f>EXP(-1.363+3.366*LOG(O4608,10))</f>
        <v>0.33039016297752993</v>
      </c>
      <c r="Q4608" s="8">
        <f>(2618262*100)/2995732</f>
        <v>87.399740697766021</v>
      </c>
    </row>
    <row r="4609" spans="1:17" x14ac:dyDescent="0.2">
      <c r="A4609">
        <f>YEAR(D4609)</f>
        <v>2020</v>
      </c>
      <c r="B4609" t="s">
        <v>26</v>
      </c>
      <c r="C4609" s="2" t="s">
        <v>1540</v>
      </c>
      <c r="D4609" s="1">
        <v>43958</v>
      </c>
      <c r="E4609">
        <f>MONTH(D4609)</f>
        <v>5</v>
      </c>
      <c r="F4609" s="2" t="s">
        <v>2098</v>
      </c>
      <c r="G4609" t="s">
        <v>1520</v>
      </c>
      <c r="H4609" t="s">
        <v>1528</v>
      </c>
      <c r="I4609" t="s">
        <v>22</v>
      </c>
      <c r="J4609" s="2" t="s">
        <v>42</v>
      </c>
      <c r="K4609" s="2" t="s">
        <v>3019</v>
      </c>
      <c r="L4609" t="s">
        <v>25</v>
      </c>
      <c r="M4609" s="8">
        <v>3.624333333</v>
      </c>
      <c r="N4609" t="s">
        <v>26</v>
      </c>
      <c r="O4609" s="8">
        <v>3.624333333</v>
      </c>
      <c r="P4609" s="8">
        <f>EXP(-1.363+3.366*LOG(O4609,10))</f>
        <v>1.6809546844949765</v>
      </c>
      <c r="Q4609" s="8">
        <f>(2618262*100)/2995732</f>
        <v>87.399740697766021</v>
      </c>
    </row>
    <row r="4610" spans="1:17" x14ac:dyDescent="0.2">
      <c r="A4610">
        <f>YEAR(D4610)</f>
        <v>2020</v>
      </c>
      <c r="B4610" t="s">
        <v>26</v>
      </c>
      <c r="C4610" s="2" t="s">
        <v>1540</v>
      </c>
      <c r="D4610" s="1">
        <v>43958</v>
      </c>
      <c r="E4610">
        <f>MONTH(D4610)</f>
        <v>5</v>
      </c>
      <c r="F4610" s="2" t="s">
        <v>2098</v>
      </c>
      <c r="G4610" t="s">
        <v>1520</v>
      </c>
      <c r="H4610" t="s">
        <v>1521</v>
      </c>
      <c r="I4610" t="s">
        <v>36</v>
      </c>
      <c r="J4610" s="2" t="s">
        <v>42</v>
      </c>
      <c r="K4610" s="2" t="s">
        <v>3019</v>
      </c>
      <c r="L4610" t="s">
        <v>25</v>
      </c>
      <c r="M4610" s="8">
        <v>2.3340000000000001</v>
      </c>
      <c r="N4610" t="s">
        <v>26</v>
      </c>
      <c r="O4610" s="8">
        <v>2.3340000000000001</v>
      </c>
      <c r="P4610" s="8">
        <f>EXP(-1.363+3.366*LOG(O4610,10))</f>
        <v>0.88340410488080767</v>
      </c>
      <c r="Q4610" s="8">
        <f>(2618262*100)/2995732</f>
        <v>87.399740697766021</v>
      </c>
    </row>
    <row r="4611" spans="1:17" x14ac:dyDescent="0.2">
      <c r="A4611">
        <f>YEAR(D4611)</f>
        <v>2020</v>
      </c>
      <c r="B4611" t="s">
        <v>26</v>
      </c>
      <c r="C4611" s="2" t="s">
        <v>1540</v>
      </c>
      <c r="D4611" s="1">
        <v>43958</v>
      </c>
      <c r="E4611">
        <f>MONTH(D4611)</f>
        <v>5</v>
      </c>
      <c r="F4611" s="2" t="s">
        <v>2098</v>
      </c>
      <c r="G4611" t="s">
        <v>230</v>
      </c>
      <c r="H4611" t="s">
        <v>235</v>
      </c>
      <c r="I4611" t="s">
        <v>36</v>
      </c>
      <c r="J4611" s="2" t="s">
        <v>42</v>
      </c>
      <c r="K4611" s="2" t="s">
        <v>3019</v>
      </c>
      <c r="L4611" t="s">
        <v>25</v>
      </c>
      <c r="M4611" s="8">
        <v>3.6166666666666667</v>
      </c>
      <c r="N4611" t="s">
        <v>26</v>
      </c>
      <c r="O4611" s="8">
        <v>3.6166666666666667</v>
      </c>
      <c r="P4611" s="8">
        <f>EXP(-1.363+3.366*LOG(O4611,10))</f>
        <v>1.6757592653929465</v>
      </c>
      <c r="Q4611" s="8">
        <f>(2618262*100)/2995732</f>
        <v>87.399740697766021</v>
      </c>
    </row>
    <row r="4612" spans="1:17" x14ac:dyDescent="0.2">
      <c r="A4612">
        <f>YEAR(D4612)</f>
        <v>2020</v>
      </c>
      <c r="B4612" t="s">
        <v>26</v>
      </c>
      <c r="C4612" s="2" t="s">
        <v>1540</v>
      </c>
      <c r="D4612" s="1">
        <v>43958</v>
      </c>
      <c r="E4612">
        <f>MONTH(D4612)</f>
        <v>5</v>
      </c>
      <c r="F4612" s="2" t="s">
        <v>2098</v>
      </c>
      <c r="G4612" t="s">
        <v>230</v>
      </c>
      <c r="H4612" t="s">
        <v>268</v>
      </c>
      <c r="I4612" t="s">
        <v>22</v>
      </c>
      <c r="J4612" s="2" t="s">
        <v>42</v>
      </c>
      <c r="K4612" s="2" t="s">
        <v>3019</v>
      </c>
      <c r="L4612" t="s">
        <v>25</v>
      </c>
      <c r="M4612" s="8">
        <v>3.5356666670000001</v>
      </c>
      <c r="N4612" t="s">
        <v>26</v>
      </c>
      <c r="O4612" s="8">
        <v>3.5356666670000001</v>
      </c>
      <c r="P4612" s="8">
        <f>EXP(-1.363+3.366*LOG(O4612,10))</f>
        <v>1.6211802664427075</v>
      </c>
      <c r="Q4612" s="8">
        <f>(2618262*100)/2995732</f>
        <v>87.399740697766021</v>
      </c>
    </row>
    <row r="4613" spans="1:17" x14ac:dyDescent="0.2">
      <c r="A4613">
        <f>YEAR(D4613)</f>
        <v>2020</v>
      </c>
      <c r="B4613" t="s">
        <v>26</v>
      </c>
      <c r="C4613" s="2" t="s">
        <v>1540</v>
      </c>
      <c r="D4613" s="1">
        <v>43958</v>
      </c>
      <c r="E4613">
        <f>MONTH(D4613)</f>
        <v>5</v>
      </c>
      <c r="F4613" s="2" t="s">
        <v>2098</v>
      </c>
      <c r="G4613" t="s">
        <v>230</v>
      </c>
      <c r="H4613" t="s">
        <v>268</v>
      </c>
      <c r="I4613" t="s">
        <v>22</v>
      </c>
      <c r="J4613" s="2" t="s">
        <v>42</v>
      </c>
      <c r="K4613" s="2" t="s">
        <v>3019</v>
      </c>
      <c r="L4613" t="s">
        <v>25</v>
      </c>
      <c r="M4613" s="8">
        <v>3.5356666670000001</v>
      </c>
      <c r="N4613" t="s">
        <v>26</v>
      </c>
      <c r="O4613" s="8">
        <v>3.5356666670000001</v>
      </c>
      <c r="P4613" s="8">
        <f>EXP(-1.363+3.366*LOG(O4613,10))</f>
        <v>1.6211802664427075</v>
      </c>
      <c r="Q4613" s="8">
        <f>(2618262*100)/2995732</f>
        <v>87.399740697766021</v>
      </c>
    </row>
    <row r="4614" spans="1:17" x14ac:dyDescent="0.2">
      <c r="A4614">
        <f>YEAR(D4614)</f>
        <v>2020</v>
      </c>
      <c r="B4614" t="s">
        <v>26</v>
      </c>
      <c r="C4614" s="2" t="s">
        <v>1540</v>
      </c>
      <c r="D4614" s="1">
        <v>43958</v>
      </c>
      <c r="E4614">
        <f>MONTH(D4614)</f>
        <v>5</v>
      </c>
      <c r="F4614" s="2" t="s">
        <v>2098</v>
      </c>
      <c r="G4614" t="s">
        <v>230</v>
      </c>
      <c r="H4614" t="s">
        <v>268</v>
      </c>
      <c r="I4614" t="s">
        <v>22</v>
      </c>
      <c r="J4614" s="2" t="s">
        <v>42</v>
      </c>
      <c r="K4614" s="2" t="s">
        <v>3019</v>
      </c>
      <c r="L4614" t="s">
        <v>25</v>
      </c>
      <c r="M4614" s="8">
        <v>3.5356666670000001</v>
      </c>
      <c r="N4614" t="s">
        <v>26</v>
      </c>
      <c r="O4614" s="8">
        <v>3.5356666670000001</v>
      </c>
      <c r="P4614" s="8">
        <f>EXP(-1.363+3.366*LOG(O4614,10))</f>
        <v>1.6211802664427075</v>
      </c>
      <c r="Q4614" s="8">
        <f>(2618262*100)/2995732</f>
        <v>87.399740697766021</v>
      </c>
    </row>
    <row r="4615" spans="1:17" x14ac:dyDescent="0.2">
      <c r="A4615">
        <f>YEAR(D4615)</f>
        <v>2020</v>
      </c>
      <c r="B4615" t="s">
        <v>26</v>
      </c>
      <c r="C4615" s="2" t="s">
        <v>1552</v>
      </c>
      <c r="D4615" s="1">
        <v>43958</v>
      </c>
      <c r="E4615">
        <f>MONTH(D4615)</f>
        <v>5</v>
      </c>
      <c r="F4615" s="2" t="s">
        <v>2098</v>
      </c>
      <c r="G4615" t="s">
        <v>352</v>
      </c>
      <c r="H4615" t="s">
        <v>1459</v>
      </c>
      <c r="I4615" t="s">
        <v>22</v>
      </c>
      <c r="J4615" s="2" t="s">
        <v>42</v>
      </c>
      <c r="K4615" s="2" t="s">
        <v>3019</v>
      </c>
      <c r="L4615" t="s">
        <v>25</v>
      </c>
      <c r="M4615" s="8">
        <v>1.1910000000000001</v>
      </c>
      <c r="N4615" t="s">
        <v>26</v>
      </c>
      <c r="O4615" s="8">
        <v>1.1910000000000001</v>
      </c>
      <c r="P4615" s="8">
        <f>EXP(-1.363+3.366*LOG(O4615,10))</f>
        <v>0.33039016297752993</v>
      </c>
      <c r="Q4615" s="8">
        <f>(3738946*100)/3915493</f>
        <v>95.491065875995687</v>
      </c>
    </row>
    <row r="4616" spans="1:17" x14ac:dyDescent="0.2">
      <c r="A4616">
        <f>YEAR(D4616)</f>
        <v>2020</v>
      </c>
      <c r="B4616" t="s">
        <v>26</v>
      </c>
      <c r="C4616" s="2" t="s">
        <v>1552</v>
      </c>
      <c r="D4616" s="1">
        <v>43958</v>
      </c>
      <c r="E4616">
        <f>MONTH(D4616)</f>
        <v>5</v>
      </c>
      <c r="F4616" s="2" t="s">
        <v>2098</v>
      </c>
      <c r="G4616" t="s">
        <v>352</v>
      </c>
      <c r="H4616" t="s">
        <v>1459</v>
      </c>
      <c r="I4616" t="s">
        <v>22</v>
      </c>
      <c r="J4616" s="2" t="s">
        <v>42</v>
      </c>
      <c r="K4616" s="2" t="s">
        <v>3019</v>
      </c>
      <c r="L4616" t="s">
        <v>25</v>
      </c>
      <c r="M4616" s="8">
        <v>1.1910000000000001</v>
      </c>
      <c r="N4616" t="s">
        <v>26</v>
      </c>
      <c r="O4616" s="8">
        <v>1.1910000000000001</v>
      </c>
      <c r="P4616" s="8">
        <f>EXP(-1.363+3.366*LOG(O4616,10))</f>
        <v>0.33039016297752993</v>
      </c>
      <c r="Q4616" s="8">
        <f>(3738946*100)/3915493</f>
        <v>95.491065875995687</v>
      </c>
    </row>
    <row r="4617" spans="1:17" x14ac:dyDescent="0.2">
      <c r="A4617">
        <f>YEAR(D4617)</f>
        <v>2020</v>
      </c>
      <c r="B4617" t="s">
        <v>26</v>
      </c>
      <c r="C4617" s="2" t="s">
        <v>1552</v>
      </c>
      <c r="D4617" s="1">
        <v>43958</v>
      </c>
      <c r="E4617">
        <f>MONTH(D4617)</f>
        <v>5</v>
      </c>
      <c r="F4617" s="2" t="s">
        <v>2098</v>
      </c>
      <c r="G4617" t="s">
        <v>1520</v>
      </c>
      <c r="H4617" t="s">
        <v>1521</v>
      </c>
      <c r="I4617" t="s">
        <v>36</v>
      </c>
      <c r="J4617" s="2" t="s">
        <v>42</v>
      </c>
      <c r="K4617" s="2" t="s">
        <v>3019</v>
      </c>
      <c r="L4617" t="s">
        <v>25</v>
      </c>
      <c r="M4617" s="8">
        <v>2.3340000000000001</v>
      </c>
      <c r="N4617" t="s">
        <v>26</v>
      </c>
      <c r="O4617" s="8">
        <v>2.3340000000000001</v>
      </c>
      <c r="P4617" s="8">
        <f>EXP(-1.363+3.366*LOG(O4617,10))</f>
        <v>0.88340410488080767</v>
      </c>
      <c r="Q4617" s="8">
        <f>(3738946*100)/3915493</f>
        <v>95.491065875995687</v>
      </c>
    </row>
    <row r="4618" spans="1:17" x14ac:dyDescent="0.2">
      <c r="A4618">
        <f>YEAR(D4618)</f>
        <v>2020</v>
      </c>
      <c r="B4618" t="s">
        <v>26</v>
      </c>
      <c r="C4618" s="2" t="s">
        <v>3023</v>
      </c>
      <c r="D4618" s="1">
        <v>43903</v>
      </c>
      <c r="E4618">
        <f>MONTH(D4618)</f>
        <v>3</v>
      </c>
      <c r="F4618" s="2" t="s">
        <v>19</v>
      </c>
      <c r="G4618" t="s">
        <v>20</v>
      </c>
      <c r="H4618" t="s">
        <v>2295</v>
      </c>
      <c r="I4618" t="s">
        <v>36</v>
      </c>
      <c r="J4618" s="2" t="s">
        <v>42</v>
      </c>
      <c r="K4618" s="2" t="s">
        <v>3019</v>
      </c>
      <c r="L4618" t="s">
        <v>25</v>
      </c>
      <c r="M4618" s="8">
        <v>1.0436666670000001</v>
      </c>
      <c r="N4618" t="s">
        <v>26</v>
      </c>
      <c r="O4618" s="8">
        <v>1.0436666670000001</v>
      </c>
      <c r="P4618" s="8">
        <f>EXP(-1.363+3.366*LOG(O4618,10))</f>
        <v>0.27238985802470567</v>
      </c>
      <c r="Q4618" s="8">
        <f>(8197453*100)/8541008</f>
        <v>95.977582505484136</v>
      </c>
    </row>
    <row r="4619" spans="1:17" x14ac:dyDescent="0.2">
      <c r="A4619">
        <f>YEAR(D4619)</f>
        <v>2020</v>
      </c>
      <c r="B4619" t="s">
        <v>26</v>
      </c>
      <c r="C4619" s="2" t="s">
        <v>3023</v>
      </c>
      <c r="D4619" s="1">
        <v>43903</v>
      </c>
      <c r="E4619">
        <f>MONTH(D4619)</f>
        <v>3</v>
      </c>
      <c r="F4619" s="2" t="s">
        <v>19</v>
      </c>
      <c r="G4619" t="s">
        <v>20</v>
      </c>
      <c r="H4619" t="s">
        <v>2295</v>
      </c>
      <c r="I4619" t="s">
        <v>36</v>
      </c>
      <c r="J4619" s="2" t="s">
        <v>42</v>
      </c>
      <c r="K4619" s="2" t="s">
        <v>3019</v>
      </c>
      <c r="L4619" t="s">
        <v>25</v>
      </c>
      <c r="M4619" s="8">
        <v>1.0436666670000001</v>
      </c>
      <c r="N4619" t="s">
        <v>26</v>
      </c>
      <c r="O4619" s="8">
        <v>1.0436666670000001</v>
      </c>
      <c r="P4619" s="8">
        <f>EXP(-1.363+3.366*LOG(O4619,10))</f>
        <v>0.27238985802470567</v>
      </c>
      <c r="Q4619" s="8">
        <f>(8197453*100)/8541008</f>
        <v>95.977582505484136</v>
      </c>
    </row>
    <row r="4620" spans="1:17" x14ac:dyDescent="0.2">
      <c r="A4620">
        <f>YEAR(D4620)</f>
        <v>2020</v>
      </c>
      <c r="B4620" t="s">
        <v>26</v>
      </c>
      <c r="C4620" s="2" t="s">
        <v>3023</v>
      </c>
      <c r="D4620" s="1">
        <v>43903</v>
      </c>
      <c r="E4620">
        <f>MONTH(D4620)</f>
        <v>3</v>
      </c>
      <c r="F4620" s="2" t="s">
        <v>19</v>
      </c>
      <c r="G4620" t="s">
        <v>20</v>
      </c>
      <c r="H4620" t="s">
        <v>2295</v>
      </c>
      <c r="I4620" t="s">
        <v>22</v>
      </c>
      <c r="J4620" s="2" t="s">
        <v>42</v>
      </c>
      <c r="K4620" s="2" t="s">
        <v>3019</v>
      </c>
      <c r="L4620" t="s">
        <v>25</v>
      </c>
      <c r="M4620" s="8">
        <v>1.1566666670000001</v>
      </c>
      <c r="N4620" t="s">
        <v>26</v>
      </c>
      <c r="O4620" s="8">
        <v>1.1566666670000001</v>
      </c>
      <c r="P4620" s="8">
        <f>EXP(-1.363+3.366*LOG(O4620,10))</f>
        <v>0.31656042770005527</v>
      </c>
      <c r="Q4620" s="8">
        <f>(8197453*100)/8541008</f>
        <v>95.977582505484136</v>
      </c>
    </row>
    <row r="4621" spans="1:17" x14ac:dyDescent="0.2">
      <c r="A4621">
        <f>YEAR(D4621)</f>
        <v>2020</v>
      </c>
      <c r="B4621" t="s">
        <v>26</v>
      </c>
      <c r="C4621" s="2" t="s">
        <v>3023</v>
      </c>
      <c r="D4621" s="1">
        <v>43903</v>
      </c>
      <c r="E4621">
        <f>MONTH(D4621)</f>
        <v>3</v>
      </c>
      <c r="F4621" s="2" t="s">
        <v>19</v>
      </c>
      <c r="G4621" t="s">
        <v>303</v>
      </c>
      <c r="H4621" t="s">
        <v>2305</v>
      </c>
      <c r="I4621" t="s">
        <v>36</v>
      </c>
      <c r="J4621" s="2" t="s">
        <v>42</v>
      </c>
      <c r="K4621" s="2" t="s">
        <v>3019</v>
      </c>
      <c r="L4621" t="s">
        <v>305</v>
      </c>
      <c r="M4621" s="8">
        <v>1.6180000000000001</v>
      </c>
      <c r="N4621" t="s">
        <v>26</v>
      </c>
      <c r="O4621" s="8">
        <v>1.6180000000000001</v>
      </c>
      <c r="P4621" s="8">
        <f>EXP(-1.363+3.366*LOG(O4621,10))</f>
        <v>0.51706933105274577</v>
      </c>
      <c r="Q4621" s="8">
        <f>(8197453*100)/8541008</f>
        <v>95.977582505484136</v>
      </c>
    </row>
    <row r="4622" spans="1:17" x14ac:dyDescent="0.2">
      <c r="A4622">
        <f>YEAR(D4622)</f>
        <v>2020</v>
      </c>
      <c r="B4622" t="s">
        <v>26</v>
      </c>
      <c r="C4622" s="2" t="s">
        <v>3023</v>
      </c>
      <c r="D4622" s="1">
        <v>43903</v>
      </c>
      <c r="E4622">
        <f>MONTH(D4622)</f>
        <v>3</v>
      </c>
      <c r="F4622" s="2" t="s">
        <v>19</v>
      </c>
      <c r="G4622" t="s">
        <v>303</v>
      </c>
      <c r="H4622" t="s">
        <v>304</v>
      </c>
      <c r="I4622" t="s">
        <v>36</v>
      </c>
      <c r="J4622" s="2" t="s">
        <v>42</v>
      </c>
      <c r="K4622" s="2" t="s">
        <v>3019</v>
      </c>
      <c r="L4622" t="s">
        <v>305</v>
      </c>
      <c r="M4622" s="8">
        <v>1.365</v>
      </c>
      <c r="N4622" t="s">
        <v>26</v>
      </c>
      <c r="O4622" s="8">
        <v>1.365</v>
      </c>
      <c r="P4622" s="8">
        <f>EXP(-1.363+3.366*LOG(O4622,10))</f>
        <v>0.40327220618198095</v>
      </c>
      <c r="Q4622" s="8">
        <f>(8197453*100)/8541008</f>
        <v>95.977582505484136</v>
      </c>
    </row>
    <row r="4623" spans="1:17" x14ac:dyDescent="0.2">
      <c r="A4623">
        <f>YEAR(D4623)</f>
        <v>2020</v>
      </c>
      <c r="B4623" t="s">
        <v>26</v>
      </c>
      <c r="C4623" s="2" t="s">
        <v>3023</v>
      </c>
      <c r="D4623" s="1">
        <v>43903</v>
      </c>
      <c r="E4623">
        <f>MONTH(D4623)</f>
        <v>3</v>
      </c>
      <c r="F4623" s="2" t="s">
        <v>19</v>
      </c>
      <c r="G4623" s="2" t="s">
        <v>20</v>
      </c>
      <c r="H4623" t="s">
        <v>45</v>
      </c>
      <c r="I4623" t="s">
        <v>22</v>
      </c>
      <c r="J4623" s="2" t="s">
        <v>42</v>
      </c>
      <c r="K4623" s="2" t="s">
        <v>3019</v>
      </c>
      <c r="L4623" t="s">
        <v>25</v>
      </c>
      <c r="M4623" s="8">
        <v>1.903333333</v>
      </c>
      <c r="N4623" t="s">
        <v>26</v>
      </c>
      <c r="O4623" s="8">
        <v>1.903333333</v>
      </c>
      <c r="P4623" s="8">
        <f>EXP(-1.363+3.366*LOG(O4623,10))</f>
        <v>0.65563371760507783</v>
      </c>
      <c r="Q4623" s="8">
        <f>(8197453*100)/8541008</f>
        <v>95.977582505484136</v>
      </c>
    </row>
    <row r="4624" spans="1:17" x14ac:dyDescent="0.2">
      <c r="A4624">
        <f>YEAR(D4624)</f>
        <v>2020</v>
      </c>
      <c r="B4624" t="s">
        <v>26</v>
      </c>
      <c r="C4624" s="2" t="s">
        <v>3023</v>
      </c>
      <c r="D4624" s="1">
        <v>43903</v>
      </c>
      <c r="E4624">
        <f>MONTH(D4624)</f>
        <v>3</v>
      </c>
      <c r="F4624" s="2" t="s">
        <v>19</v>
      </c>
      <c r="G4624" t="s">
        <v>352</v>
      </c>
      <c r="H4624" t="s">
        <v>623</v>
      </c>
      <c r="I4624" t="s">
        <v>22</v>
      </c>
      <c r="J4624" s="2" t="s">
        <v>42</v>
      </c>
      <c r="K4624" s="2" t="s">
        <v>3019</v>
      </c>
      <c r="L4624" t="s">
        <v>25</v>
      </c>
      <c r="M4624" s="8">
        <v>1.387</v>
      </c>
      <c r="N4624" t="s">
        <v>26</v>
      </c>
      <c r="O4624" s="8">
        <v>1.387</v>
      </c>
      <c r="P4624" s="8">
        <f>EXP(-1.363+3.366*LOG(O4624,10))</f>
        <v>0.41280884754947733</v>
      </c>
      <c r="Q4624" s="8">
        <f>(8197453*100)/8541008</f>
        <v>95.977582505484136</v>
      </c>
    </row>
    <row r="4625" spans="1:17" x14ac:dyDescent="0.2">
      <c r="A4625">
        <f>YEAR(D4625)</f>
        <v>2020</v>
      </c>
      <c r="B4625" t="s">
        <v>26</v>
      </c>
      <c r="C4625" s="2" t="s">
        <v>3023</v>
      </c>
      <c r="D4625" s="1">
        <v>43903</v>
      </c>
      <c r="E4625">
        <f>MONTH(D4625)</f>
        <v>3</v>
      </c>
      <c r="F4625" s="2" t="s">
        <v>19</v>
      </c>
      <c r="G4625" t="s">
        <v>20</v>
      </c>
      <c r="H4625" t="s">
        <v>149</v>
      </c>
      <c r="I4625" t="s">
        <v>36</v>
      </c>
      <c r="J4625" s="2" t="s">
        <v>42</v>
      </c>
      <c r="K4625" s="2" t="s">
        <v>3019</v>
      </c>
      <c r="L4625" t="s">
        <v>25</v>
      </c>
      <c r="M4625" s="8">
        <v>1.032666667</v>
      </c>
      <c r="N4625" t="s">
        <v>26</v>
      </c>
      <c r="O4625" s="8">
        <v>1.032666667</v>
      </c>
      <c r="P4625" s="8">
        <f>EXP(-1.363+3.366*LOG(O4625,10))</f>
        <v>0.26820327281159584</v>
      </c>
      <c r="Q4625" s="8">
        <f>(8197453*100)/8541008</f>
        <v>95.977582505484136</v>
      </c>
    </row>
    <row r="4626" spans="1:17" x14ac:dyDescent="0.2">
      <c r="A4626">
        <f>YEAR(D4626)</f>
        <v>2020</v>
      </c>
      <c r="B4626" t="s">
        <v>26</v>
      </c>
      <c r="C4626" s="2" t="s">
        <v>3023</v>
      </c>
      <c r="D4626" s="1">
        <v>43903</v>
      </c>
      <c r="E4626">
        <f>MONTH(D4626)</f>
        <v>3</v>
      </c>
      <c r="F4626" s="2" t="s">
        <v>19</v>
      </c>
      <c r="G4626" t="s">
        <v>20</v>
      </c>
      <c r="H4626" t="s">
        <v>149</v>
      </c>
      <c r="I4626" t="s">
        <v>22</v>
      </c>
      <c r="J4626" s="2" t="s">
        <v>42</v>
      </c>
      <c r="K4626" s="2" t="s">
        <v>3019</v>
      </c>
      <c r="L4626" t="s">
        <v>25</v>
      </c>
      <c r="M4626" s="8">
        <v>1.45</v>
      </c>
      <c r="N4626" t="s">
        <v>26</v>
      </c>
      <c r="O4626" s="8">
        <v>1.45</v>
      </c>
      <c r="P4626" s="8">
        <f>EXP(-1.363+3.366*LOG(O4626,10))</f>
        <v>0.44050419760124854</v>
      </c>
      <c r="Q4626" s="8">
        <f>(8197453*100)/8541008</f>
        <v>95.977582505484136</v>
      </c>
    </row>
    <row r="4627" spans="1:17" x14ac:dyDescent="0.2">
      <c r="A4627">
        <f>YEAR(D4627)</f>
        <v>2020</v>
      </c>
      <c r="B4627" t="s">
        <v>26</v>
      </c>
      <c r="C4627" s="2" t="s">
        <v>3023</v>
      </c>
      <c r="D4627" s="1">
        <v>43957</v>
      </c>
      <c r="E4627">
        <f>MONTH(D4627)</f>
        <v>5</v>
      </c>
      <c r="F4627" s="2" t="s">
        <v>19</v>
      </c>
      <c r="G4627" t="s">
        <v>352</v>
      </c>
      <c r="H4627" t="s">
        <v>1344</v>
      </c>
      <c r="I4627" t="s">
        <v>22</v>
      </c>
      <c r="J4627" s="2" t="s">
        <v>42</v>
      </c>
      <c r="K4627" s="2" t="s">
        <v>3019</v>
      </c>
      <c r="L4627" t="s">
        <v>25</v>
      </c>
      <c r="M4627" s="8">
        <v>0.91800000000000004</v>
      </c>
      <c r="N4627" t="s">
        <v>26</v>
      </c>
      <c r="O4627" s="8">
        <v>0.91800000000000004</v>
      </c>
      <c r="P4627" s="8">
        <f>EXP(-1.363+3.366*LOG(O4627,10))</f>
        <v>0.22580769814771504</v>
      </c>
      <c r="Q4627" s="8">
        <f>(8197453*100)/8541008</f>
        <v>95.977582505484136</v>
      </c>
    </row>
    <row r="4628" spans="1:17" x14ac:dyDescent="0.2">
      <c r="A4628">
        <f>YEAR(D4628)</f>
        <v>2020</v>
      </c>
      <c r="B4628" t="s">
        <v>26</v>
      </c>
      <c r="C4628" s="2" t="s">
        <v>3023</v>
      </c>
      <c r="D4628" s="1">
        <v>43957</v>
      </c>
      <c r="E4628">
        <f>MONTH(D4628)</f>
        <v>5</v>
      </c>
      <c r="F4628" s="2" t="s">
        <v>19</v>
      </c>
      <c r="G4628" t="s">
        <v>352</v>
      </c>
      <c r="H4628" t="s">
        <v>353</v>
      </c>
      <c r="I4628" t="s">
        <v>22</v>
      </c>
      <c r="J4628" s="2" t="s">
        <v>42</v>
      </c>
      <c r="K4628" s="2" t="s">
        <v>3019</v>
      </c>
      <c r="L4628" t="s">
        <v>25</v>
      </c>
      <c r="M4628" s="8">
        <v>1.1623333330000001</v>
      </c>
      <c r="N4628" t="s">
        <v>26</v>
      </c>
      <c r="O4628" s="8">
        <v>1.1623333330000001</v>
      </c>
      <c r="P4628" s="8">
        <f>EXP(-1.363+3.366*LOG(O4628,10))</f>
        <v>0.31883010989102206</v>
      </c>
      <c r="Q4628" s="8">
        <f>(8197453*100)/8541008</f>
        <v>95.977582505484136</v>
      </c>
    </row>
    <row r="4629" spans="1:17" x14ac:dyDescent="0.2">
      <c r="A4629">
        <f>YEAR(D4629)</f>
        <v>2020</v>
      </c>
      <c r="B4629" t="s">
        <v>26</v>
      </c>
      <c r="C4629" s="2" t="s">
        <v>3022</v>
      </c>
      <c r="D4629" s="1">
        <v>43957</v>
      </c>
      <c r="E4629">
        <f>MONTH(D4629)</f>
        <v>5</v>
      </c>
      <c r="F4629" s="2" t="s">
        <v>19</v>
      </c>
      <c r="G4629" t="s">
        <v>352</v>
      </c>
      <c r="H4629" t="s">
        <v>975</v>
      </c>
      <c r="I4629" t="s">
        <v>22</v>
      </c>
      <c r="J4629" s="2" t="s">
        <v>42</v>
      </c>
      <c r="K4629" s="2" t="s">
        <v>3019</v>
      </c>
      <c r="L4629" t="s">
        <v>25</v>
      </c>
      <c r="M4629" s="8">
        <v>1.0693333330000001</v>
      </c>
      <c r="N4629" t="s">
        <v>26</v>
      </c>
      <c r="O4629" s="8">
        <v>1.0693333330000001</v>
      </c>
      <c r="P4629" s="8">
        <f>EXP(-1.363+3.366*LOG(O4629,10))</f>
        <v>0.28223780327142356</v>
      </c>
      <c r="Q4629" s="8">
        <f>(4437920*100)/4638971</f>
        <v>95.666043180696747</v>
      </c>
    </row>
    <row r="4630" spans="1:17" x14ac:dyDescent="0.2">
      <c r="A4630">
        <f>YEAR(D4630)</f>
        <v>2020</v>
      </c>
      <c r="B4630" t="s">
        <v>26</v>
      </c>
      <c r="C4630" s="2" t="s">
        <v>3022</v>
      </c>
      <c r="D4630" s="1">
        <v>43957</v>
      </c>
      <c r="E4630">
        <f>MONTH(D4630)</f>
        <v>5</v>
      </c>
      <c r="F4630" s="2" t="s">
        <v>19</v>
      </c>
      <c r="G4630" t="s">
        <v>352</v>
      </c>
      <c r="H4630" t="s">
        <v>975</v>
      </c>
      <c r="I4630" t="s">
        <v>22</v>
      </c>
      <c r="J4630" s="2" t="s">
        <v>42</v>
      </c>
      <c r="K4630" s="2" t="s">
        <v>3019</v>
      </c>
      <c r="L4630" t="s">
        <v>25</v>
      </c>
      <c r="M4630" s="8">
        <v>1.0693333330000001</v>
      </c>
      <c r="N4630" t="s">
        <v>26</v>
      </c>
      <c r="O4630" s="8">
        <v>1.0693333330000001</v>
      </c>
      <c r="P4630" s="8">
        <f>EXP(-1.363+3.366*LOG(O4630,10))</f>
        <v>0.28223780327142356</v>
      </c>
      <c r="Q4630" s="8">
        <f>(4437920*100)/4638971</f>
        <v>95.666043180696747</v>
      </c>
    </row>
    <row r="4631" spans="1:17" x14ac:dyDescent="0.2">
      <c r="A4631">
        <f>YEAR(D4631)</f>
        <v>2020</v>
      </c>
      <c r="B4631" t="s">
        <v>26</v>
      </c>
      <c r="C4631" s="2" t="s">
        <v>1540</v>
      </c>
      <c r="D4631" s="1">
        <v>43958</v>
      </c>
      <c r="E4631">
        <f>MONTH(D4631)</f>
        <v>5</v>
      </c>
      <c r="F4631" s="2" t="s">
        <v>19</v>
      </c>
      <c r="G4631" t="s">
        <v>352</v>
      </c>
      <c r="H4631" t="s">
        <v>353</v>
      </c>
      <c r="I4631" t="s">
        <v>22</v>
      </c>
      <c r="J4631" s="2" t="s">
        <v>42</v>
      </c>
      <c r="K4631" s="2" t="s">
        <v>3019</v>
      </c>
      <c r="L4631" t="s">
        <v>25</v>
      </c>
      <c r="M4631" s="8">
        <v>1.1623333330000001</v>
      </c>
      <c r="N4631" t="s">
        <v>26</v>
      </c>
      <c r="O4631" s="8">
        <v>1.1623333330000001</v>
      </c>
      <c r="P4631" s="8">
        <f>EXP(-1.363+3.366*LOG(O4631,10))</f>
        <v>0.31883010989102206</v>
      </c>
      <c r="Q4631" s="8">
        <f>(2618262*100)/2995732</f>
        <v>87.399740697766021</v>
      </c>
    </row>
    <row r="4632" spans="1:17" x14ac:dyDescent="0.2">
      <c r="A4632">
        <f>YEAR(D4632)</f>
        <v>2020</v>
      </c>
      <c r="B4632" t="s">
        <v>26</v>
      </c>
      <c r="C4632" s="2" t="s">
        <v>1540</v>
      </c>
      <c r="D4632" s="1">
        <v>43958</v>
      </c>
      <c r="E4632">
        <f>MONTH(D4632)</f>
        <v>5</v>
      </c>
      <c r="F4632" s="2" t="s">
        <v>19</v>
      </c>
      <c r="G4632" t="s">
        <v>362</v>
      </c>
      <c r="H4632" t="s">
        <v>447</v>
      </c>
      <c r="I4632" t="s">
        <v>22</v>
      </c>
      <c r="J4632" s="2" t="s">
        <v>42</v>
      </c>
      <c r="K4632" s="2" t="s">
        <v>3019</v>
      </c>
      <c r="L4632" t="s">
        <v>25</v>
      </c>
      <c r="M4632" s="8">
        <v>1.421</v>
      </c>
      <c r="N4632" t="s">
        <v>26</v>
      </c>
      <c r="O4632" s="8">
        <v>1.421</v>
      </c>
      <c r="P4632" s="8">
        <f>EXP(-1.363+3.366*LOG(O4632,10))</f>
        <v>0.42768500084673816</v>
      </c>
      <c r="Q4632" s="8">
        <f>(2618262*100)/2995732</f>
        <v>87.399740697766021</v>
      </c>
    </row>
    <row r="4633" spans="1:17" x14ac:dyDescent="0.2">
      <c r="A4633">
        <f>YEAR(D4633)</f>
        <v>2020</v>
      </c>
      <c r="B4633" t="s">
        <v>26</v>
      </c>
      <c r="C4633" s="2" t="s">
        <v>1540</v>
      </c>
      <c r="D4633" s="1">
        <v>43958</v>
      </c>
      <c r="E4633">
        <f>MONTH(D4633)</f>
        <v>5</v>
      </c>
      <c r="F4633" s="2" t="s">
        <v>19</v>
      </c>
      <c r="G4633" t="s">
        <v>352</v>
      </c>
      <c r="H4633" t="s">
        <v>975</v>
      </c>
      <c r="I4633" t="s">
        <v>22</v>
      </c>
      <c r="J4633" s="2" t="s">
        <v>42</v>
      </c>
      <c r="K4633" s="2" t="s">
        <v>3019</v>
      </c>
      <c r="L4633" t="s">
        <v>25</v>
      </c>
      <c r="M4633" s="8">
        <v>1.0693333330000001</v>
      </c>
      <c r="N4633" t="s">
        <v>26</v>
      </c>
      <c r="O4633" s="8">
        <v>1.0693333330000001</v>
      </c>
      <c r="P4633" s="8">
        <f>EXP(-1.363+3.366*LOG(O4633,10))</f>
        <v>0.28223780327142356</v>
      </c>
      <c r="Q4633" s="8">
        <f>(2618262*100)/2995732</f>
        <v>87.399740697766021</v>
      </c>
    </row>
    <row r="4634" spans="1:17" x14ac:dyDescent="0.2">
      <c r="A4634">
        <f>YEAR(D4634)</f>
        <v>2020</v>
      </c>
      <c r="B4634" t="s">
        <v>26</v>
      </c>
      <c r="C4634" s="2" t="s">
        <v>1540</v>
      </c>
      <c r="D4634" s="1">
        <v>43958</v>
      </c>
      <c r="E4634">
        <f>MONTH(D4634)</f>
        <v>5</v>
      </c>
      <c r="F4634" s="2" t="s">
        <v>19</v>
      </c>
      <c r="G4634" t="s">
        <v>352</v>
      </c>
      <c r="H4634" t="s">
        <v>975</v>
      </c>
      <c r="I4634" t="s">
        <v>22</v>
      </c>
      <c r="J4634" s="2" t="s">
        <v>42</v>
      </c>
      <c r="K4634" s="2" t="s">
        <v>3019</v>
      </c>
      <c r="L4634" t="s">
        <v>25</v>
      </c>
      <c r="M4634" s="8">
        <v>1.0693333330000001</v>
      </c>
      <c r="N4634" t="s">
        <v>26</v>
      </c>
      <c r="O4634" s="8">
        <v>1.0693333330000001</v>
      </c>
      <c r="P4634" s="8">
        <f>EXP(-1.363+3.366*LOG(O4634,10))</f>
        <v>0.28223780327142356</v>
      </c>
      <c r="Q4634" s="8">
        <f>(2618262*100)/2995732</f>
        <v>87.399740697766021</v>
      </c>
    </row>
    <row r="4635" spans="1:17" x14ac:dyDescent="0.2">
      <c r="A4635">
        <f>YEAR(D4635)</f>
        <v>2020</v>
      </c>
      <c r="B4635" t="s">
        <v>26</v>
      </c>
      <c r="C4635" s="2" t="s">
        <v>1540</v>
      </c>
      <c r="D4635" s="1">
        <v>43958</v>
      </c>
      <c r="E4635">
        <f>MONTH(D4635)</f>
        <v>5</v>
      </c>
      <c r="F4635" s="2" t="s">
        <v>19</v>
      </c>
      <c r="G4635" t="s">
        <v>352</v>
      </c>
      <c r="H4635" t="s">
        <v>975</v>
      </c>
      <c r="I4635" t="s">
        <v>22</v>
      </c>
      <c r="J4635" s="2" t="s">
        <v>42</v>
      </c>
      <c r="K4635" s="2" t="s">
        <v>3019</v>
      </c>
      <c r="L4635" t="s">
        <v>25</v>
      </c>
      <c r="M4635" s="8">
        <v>1.0693333330000001</v>
      </c>
      <c r="N4635" t="s">
        <v>26</v>
      </c>
      <c r="O4635" s="8">
        <v>1.0693333330000001</v>
      </c>
      <c r="P4635" s="8">
        <f>EXP(-1.363+3.366*LOG(O4635,10))</f>
        <v>0.28223780327142356</v>
      </c>
      <c r="Q4635" s="8">
        <f>(2618262*100)/2995732</f>
        <v>87.399740697766021</v>
      </c>
    </row>
    <row r="4636" spans="1:17" x14ac:dyDescent="0.2">
      <c r="A4636">
        <f>YEAR(D4636)</f>
        <v>2020</v>
      </c>
      <c r="B4636" t="s">
        <v>26</v>
      </c>
      <c r="C4636" s="2" t="s">
        <v>1540</v>
      </c>
      <c r="D4636" s="1">
        <v>43958</v>
      </c>
      <c r="E4636">
        <f>MONTH(D4636)</f>
        <v>5</v>
      </c>
      <c r="F4636" s="2" t="s">
        <v>19</v>
      </c>
      <c r="G4636" t="s">
        <v>352</v>
      </c>
      <c r="H4636" t="s">
        <v>610</v>
      </c>
      <c r="I4636" t="s">
        <v>22</v>
      </c>
      <c r="J4636" s="2" t="s">
        <v>42</v>
      </c>
      <c r="K4636" s="2" t="s">
        <v>3019</v>
      </c>
      <c r="L4636" t="s">
        <v>25</v>
      </c>
      <c r="M4636" s="8">
        <v>0.86499999999999999</v>
      </c>
      <c r="N4636" t="s">
        <v>26</v>
      </c>
      <c r="O4636" s="8">
        <v>0.86499999999999999</v>
      </c>
      <c r="P4636" s="8">
        <f>EXP(-1.363+3.366*LOG(O4636,10))</f>
        <v>0.20700676972346591</v>
      </c>
      <c r="Q4636" s="8">
        <f>(2618262*100)/2995732</f>
        <v>87.399740697766021</v>
      </c>
    </row>
    <row r="4637" spans="1:17" x14ac:dyDescent="0.2">
      <c r="A4637">
        <f>YEAR(D4637)</f>
        <v>2020</v>
      </c>
      <c r="B4637" t="s">
        <v>26</v>
      </c>
      <c r="C4637" s="2" t="s">
        <v>1540</v>
      </c>
      <c r="D4637" s="1">
        <v>43958</v>
      </c>
      <c r="E4637">
        <f>MONTH(D4637)</f>
        <v>5</v>
      </c>
      <c r="F4637" s="2" t="s">
        <v>19</v>
      </c>
      <c r="G4637" t="s">
        <v>352</v>
      </c>
      <c r="H4637" t="s">
        <v>975</v>
      </c>
      <c r="I4637" t="s">
        <v>22</v>
      </c>
      <c r="J4637" s="2" t="s">
        <v>42</v>
      </c>
      <c r="K4637" s="2" t="s">
        <v>3019</v>
      </c>
      <c r="L4637" t="s">
        <v>25</v>
      </c>
      <c r="M4637" s="8">
        <v>1.0693333330000001</v>
      </c>
      <c r="N4637" t="s">
        <v>26</v>
      </c>
      <c r="O4637" s="8">
        <v>1.0693333330000001</v>
      </c>
      <c r="P4637" s="8">
        <f>EXP(-1.363+3.366*LOG(O4637,10))</f>
        <v>0.28223780327142356</v>
      </c>
      <c r="Q4637" s="8">
        <f>(2618262*100)/2995732</f>
        <v>87.399740697766021</v>
      </c>
    </row>
    <row r="4638" spans="1:17" x14ac:dyDescent="0.2">
      <c r="A4638">
        <f>YEAR(D4638)</f>
        <v>2020</v>
      </c>
      <c r="B4638" t="s">
        <v>26</v>
      </c>
      <c r="C4638" s="2" t="s">
        <v>1552</v>
      </c>
      <c r="D4638" s="1">
        <v>43958</v>
      </c>
      <c r="E4638">
        <f>MONTH(D4638)</f>
        <v>5</v>
      </c>
      <c r="F4638" s="2" t="s">
        <v>19</v>
      </c>
      <c r="G4638" t="s">
        <v>352</v>
      </c>
      <c r="H4638" t="s">
        <v>975</v>
      </c>
      <c r="I4638" t="s">
        <v>22</v>
      </c>
      <c r="J4638" s="2" t="s">
        <v>42</v>
      </c>
      <c r="K4638" s="2" t="s">
        <v>3019</v>
      </c>
      <c r="L4638" t="s">
        <v>25</v>
      </c>
      <c r="M4638" s="8">
        <v>1.0693333330000001</v>
      </c>
      <c r="N4638" t="s">
        <v>26</v>
      </c>
      <c r="O4638" s="8">
        <v>1.0693333330000001</v>
      </c>
      <c r="P4638" s="8">
        <f>EXP(-1.363+3.366*LOG(O4638,10))</f>
        <v>0.28223780327142356</v>
      </c>
      <c r="Q4638" s="8">
        <f>(3738946*100)/3915493</f>
        <v>95.491065875995687</v>
      </c>
    </row>
    <row r="4639" spans="1:17" x14ac:dyDescent="0.2">
      <c r="A4639">
        <f>YEAR(D4639)</f>
        <v>2020</v>
      </c>
      <c r="B4639" t="s">
        <v>26</v>
      </c>
      <c r="C4639" s="2" t="s">
        <v>1552</v>
      </c>
      <c r="D4639" s="1">
        <v>43958</v>
      </c>
      <c r="E4639">
        <f>MONTH(D4639)</f>
        <v>5</v>
      </c>
      <c r="F4639" s="2" t="s">
        <v>19</v>
      </c>
      <c r="G4639" t="s">
        <v>1532</v>
      </c>
      <c r="H4639" t="s">
        <v>1995</v>
      </c>
      <c r="I4639" t="s">
        <v>36</v>
      </c>
      <c r="J4639" s="2" t="s">
        <v>42</v>
      </c>
      <c r="K4639" s="2" t="s">
        <v>3019</v>
      </c>
      <c r="L4639" t="s">
        <v>25</v>
      </c>
      <c r="M4639" s="8">
        <v>1.8935</v>
      </c>
      <c r="N4639" t="s">
        <v>26</v>
      </c>
      <c r="O4639" s="8">
        <v>1.8935</v>
      </c>
      <c r="P4639" s="8">
        <f>EXP(-1.363+3.366*LOG(O4639,10))</f>
        <v>0.65068802990639008</v>
      </c>
      <c r="Q4639" s="8">
        <f>(3738946*100)/3915493</f>
        <v>95.491065875995687</v>
      </c>
    </row>
    <row r="4640" spans="1:17" x14ac:dyDescent="0.2">
      <c r="A4640">
        <f>YEAR(D4640)</f>
        <v>2020</v>
      </c>
      <c r="B4640" t="s">
        <v>26</v>
      </c>
      <c r="C4640" s="2" t="s">
        <v>3026</v>
      </c>
      <c r="D4640" s="1">
        <v>43963</v>
      </c>
      <c r="E4640">
        <f>MONTH(D4640)</f>
        <v>5</v>
      </c>
      <c r="F4640" s="2" t="s">
        <v>2098</v>
      </c>
      <c r="G4640" t="s">
        <v>219</v>
      </c>
      <c r="H4640" t="s">
        <v>220</v>
      </c>
      <c r="I4640" t="s">
        <v>22</v>
      </c>
      <c r="J4640" s="2" t="s">
        <v>42</v>
      </c>
      <c r="K4640" s="2" t="s">
        <v>3019</v>
      </c>
      <c r="L4640" t="s">
        <v>25</v>
      </c>
      <c r="M4640" s="10" t="s">
        <v>26</v>
      </c>
      <c r="N4640" t="s">
        <v>26</v>
      </c>
      <c r="O4640" s="10" t="s">
        <v>26</v>
      </c>
      <c r="P4640" s="8" t="s">
        <v>26</v>
      </c>
      <c r="Q4640" s="8">
        <f>(2317420*100)/2442061</f>
        <v>94.896073439606951</v>
      </c>
    </row>
    <row r="4641" spans="1:17" x14ac:dyDescent="0.2">
      <c r="A4641">
        <f>YEAR(D4641)</f>
        <v>2020</v>
      </c>
      <c r="B4641" t="s">
        <v>26</v>
      </c>
      <c r="C4641" s="2" t="s">
        <v>3026</v>
      </c>
      <c r="D4641" s="1">
        <v>43963</v>
      </c>
      <c r="E4641">
        <f>MONTH(D4641)</f>
        <v>5</v>
      </c>
      <c r="F4641" s="2" t="s">
        <v>2098</v>
      </c>
      <c r="G4641" t="s">
        <v>219</v>
      </c>
      <c r="H4641" t="s">
        <v>220</v>
      </c>
      <c r="I4641" t="s">
        <v>22</v>
      </c>
      <c r="J4641" s="2" t="s">
        <v>42</v>
      </c>
      <c r="K4641" s="2" t="s">
        <v>3019</v>
      </c>
      <c r="L4641" t="s">
        <v>25</v>
      </c>
      <c r="M4641" s="10" t="s">
        <v>26</v>
      </c>
      <c r="N4641" t="s">
        <v>26</v>
      </c>
      <c r="O4641" s="10" t="s">
        <v>26</v>
      </c>
      <c r="P4641" s="8" t="s">
        <v>26</v>
      </c>
      <c r="Q4641" s="8">
        <f>(2317420*100)/2442061</f>
        <v>94.896073439606951</v>
      </c>
    </row>
    <row r="4642" spans="1:17" x14ac:dyDescent="0.2">
      <c r="A4642">
        <f>YEAR(D4642)</f>
        <v>2020</v>
      </c>
      <c r="B4642" t="s">
        <v>26</v>
      </c>
      <c r="C4642" s="2" t="s">
        <v>3026</v>
      </c>
      <c r="D4642" s="1">
        <v>43963</v>
      </c>
      <c r="E4642">
        <f>MONTH(D4642)</f>
        <v>5</v>
      </c>
      <c r="F4642" s="2" t="s">
        <v>2098</v>
      </c>
      <c r="G4642" t="s">
        <v>219</v>
      </c>
      <c r="H4642" t="s">
        <v>220</v>
      </c>
      <c r="I4642" t="s">
        <v>22</v>
      </c>
      <c r="J4642" s="2" t="s">
        <v>42</v>
      </c>
      <c r="K4642" s="2" t="s">
        <v>3019</v>
      </c>
      <c r="L4642" t="s">
        <v>25</v>
      </c>
      <c r="M4642" s="10" t="s">
        <v>26</v>
      </c>
      <c r="N4642" t="s">
        <v>26</v>
      </c>
      <c r="O4642" s="10" t="s">
        <v>26</v>
      </c>
      <c r="P4642" s="8" t="s">
        <v>26</v>
      </c>
      <c r="Q4642" s="8">
        <f>(2317420*100)/2442061</f>
        <v>94.896073439606951</v>
      </c>
    </row>
    <row r="4643" spans="1:17" x14ac:dyDescent="0.2">
      <c r="A4643">
        <f>YEAR(D4643)</f>
        <v>2020</v>
      </c>
      <c r="B4643" t="s">
        <v>26</v>
      </c>
      <c r="C4643" s="2" t="s">
        <v>3026</v>
      </c>
      <c r="D4643" s="1">
        <v>43963</v>
      </c>
      <c r="E4643">
        <f>MONTH(D4643)</f>
        <v>5</v>
      </c>
      <c r="F4643" s="2" t="s">
        <v>2098</v>
      </c>
      <c r="G4643" t="s">
        <v>230</v>
      </c>
      <c r="H4643" t="s">
        <v>268</v>
      </c>
      <c r="I4643" t="s">
        <v>22</v>
      </c>
      <c r="J4643" s="2" t="s">
        <v>42</v>
      </c>
      <c r="K4643" s="2" t="s">
        <v>3019</v>
      </c>
      <c r="L4643" t="s">
        <v>25</v>
      </c>
      <c r="M4643" s="8">
        <v>3.5356666670000001</v>
      </c>
      <c r="N4643" t="s">
        <v>26</v>
      </c>
      <c r="O4643" s="8">
        <v>3.5356666670000001</v>
      </c>
      <c r="P4643" s="8">
        <f>EXP(-1.363+3.366*LOG(O4643,10))</f>
        <v>1.6211802664427075</v>
      </c>
      <c r="Q4643" s="8">
        <f>(2317420*100)/2442061</f>
        <v>94.896073439606951</v>
      </c>
    </row>
    <row r="4644" spans="1:17" x14ac:dyDescent="0.2">
      <c r="A4644">
        <f>YEAR(D4644)</f>
        <v>2020</v>
      </c>
      <c r="B4644" t="s">
        <v>26</v>
      </c>
      <c r="C4644" s="2" t="s">
        <v>3026</v>
      </c>
      <c r="D4644" s="1">
        <v>43963</v>
      </c>
      <c r="E4644">
        <f>MONTH(D4644)</f>
        <v>5</v>
      </c>
      <c r="F4644" s="2" t="s">
        <v>2098</v>
      </c>
      <c r="G4644" t="s">
        <v>230</v>
      </c>
      <c r="H4644" t="s">
        <v>268</v>
      </c>
      <c r="I4644" t="s">
        <v>22</v>
      </c>
      <c r="J4644" s="2" t="s">
        <v>42</v>
      </c>
      <c r="K4644" s="2" t="s">
        <v>3019</v>
      </c>
      <c r="L4644" t="s">
        <v>25</v>
      </c>
      <c r="M4644" s="8">
        <v>3.5356666670000001</v>
      </c>
      <c r="N4644" t="s">
        <v>26</v>
      </c>
      <c r="O4644" s="8">
        <v>3.5356666670000001</v>
      </c>
      <c r="P4644" s="8">
        <f>EXP(-1.363+3.366*LOG(O4644,10))</f>
        <v>1.6211802664427075</v>
      </c>
      <c r="Q4644" s="8">
        <f>(2317420*100)/2442061</f>
        <v>94.896073439606951</v>
      </c>
    </row>
    <row r="4645" spans="1:17" x14ac:dyDescent="0.2">
      <c r="A4645">
        <f>YEAR(D4645)</f>
        <v>2020</v>
      </c>
      <c r="B4645" t="s">
        <v>26</v>
      </c>
      <c r="C4645" s="2" t="s">
        <v>3026</v>
      </c>
      <c r="D4645" s="1">
        <v>43963</v>
      </c>
      <c r="E4645">
        <f>MONTH(D4645)</f>
        <v>5</v>
      </c>
      <c r="F4645" s="2" t="s">
        <v>19</v>
      </c>
      <c r="G4645" t="s">
        <v>352</v>
      </c>
      <c r="H4645" t="s">
        <v>1459</v>
      </c>
      <c r="I4645" t="s">
        <v>22</v>
      </c>
      <c r="J4645" s="2" t="s">
        <v>42</v>
      </c>
      <c r="K4645" s="2" t="s">
        <v>3019</v>
      </c>
      <c r="L4645" t="s">
        <v>25</v>
      </c>
      <c r="M4645" s="8">
        <v>1.1910000000000001</v>
      </c>
      <c r="N4645" t="s">
        <v>26</v>
      </c>
      <c r="O4645" s="8">
        <v>1.1910000000000001</v>
      </c>
      <c r="P4645" s="8">
        <f>EXP(-1.363+3.366*LOG(O4645,10))</f>
        <v>0.33039016297752993</v>
      </c>
      <c r="Q4645" s="8">
        <f>(2317420*100)/2442061</f>
        <v>94.896073439606951</v>
      </c>
    </row>
    <row r="4646" spans="1:17" x14ac:dyDescent="0.2">
      <c r="A4646">
        <f>YEAR(D4646)</f>
        <v>2020</v>
      </c>
      <c r="B4646" t="s">
        <v>26</v>
      </c>
      <c r="C4646" s="2" t="s">
        <v>3026</v>
      </c>
      <c r="D4646" s="1">
        <v>43963</v>
      </c>
      <c r="E4646">
        <f>MONTH(D4646)</f>
        <v>5</v>
      </c>
      <c r="F4646" s="2" t="s">
        <v>19</v>
      </c>
      <c r="G4646" t="s">
        <v>352</v>
      </c>
      <c r="H4646" t="s">
        <v>1459</v>
      </c>
      <c r="I4646" t="s">
        <v>22</v>
      </c>
      <c r="J4646" s="2" t="s">
        <v>42</v>
      </c>
      <c r="K4646" s="2" t="s">
        <v>3019</v>
      </c>
      <c r="L4646" t="s">
        <v>25</v>
      </c>
      <c r="M4646" s="8">
        <v>1.1910000000000001</v>
      </c>
      <c r="N4646" t="s">
        <v>26</v>
      </c>
      <c r="O4646" s="8">
        <v>1.1910000000000001</v>
      </c>
      <c r="P4646" s="8">
        <f>EXP(-1.363+3.366*LOG(O4646,10))</f>
        <v>0.33039016297752993</v>
      </c>
      <c r="Q4646" s="8">
        <f>(2317420*100)/2442061</f>
        <v>94.896073439606951</v>
      </c>
    </row>
    <row r="4647" spans="1:17" x14ac:dyDescent="0.2">
      <c r="A4647">
        <f>YEAR(D4647)</f>
        <v>2020</v>
      </c>
      <c r="B4647" t="s">
        <v>26</v>
      </c>
      <c r="C4647" s="2" t="s">
        <v>3026</v>
      </c>
      <c r="D4647" s="1">
        <v>43963</v>
      </c>
      <c r="E4647">
        <f>MONTH(D4647)</f>
        <v>5</v>
      </c>
      <c r="F4647" s="2" t="s">
        <v>2098</v>
      </c>
      <c r="G4647" t="s">
        <v>352</v>
      </c>
      <c r="H4647" t="s">
        <v>1459</v>
      </c>
      <c r="I4647" t="s">
        <v>22</v>
      </c>
      <c r="J4647" s="2" t="s">
        <v>42</v>
      </c>
      <c r="K4647" s="2" t="s">
        <v>3019</v>
      </c>
      <c r="L4647" t="s">
        <v>25</v>
      </c>
      <c r="M4647" s="8">
        <v>1.1910000000000001</v>
      </c>
      <c r="N4647" t="s">
        <v>26</v>
      </c>
      <c r="O4647" s="8">
        <v>1.1910000000000001</v>
      </c>
      <c r="P4647" s="8">
        <f>EXP(-1.363+3.366*LOG(O4647,10))</f>
        <v>0.33039016297752993</v>
      </c>
      <c r="Q4647" s="8">
        <f>(2317420*100)/2442061</f>
        <v>94.896073439606951</v>
      </c>
    </row>
    <row r="4648" spans="1:17" x14ac:dyDescent="0.2">
      <c r="A4648">
        <f>YEAR(D4648)</f>
        <v>2020</v>
      </c>
      <c r="B4648" t="s">
        <v>26</v>
      </c>
      <c r="C4648" s="2" t="s">
        <v>3026</v>
      </c>
      <c r="D4648" s="1">
        <v>43963</v>
      </c>
      <c r="E4648">
        <f>MONTH(D4648)</f>
        <v>5</v>
      </c>
      <c r="F4648" s="2" t="s">
        <v>2098</v>
      </c>
      <c r="G4648" t="s">
        <v>352</v>
      </c>
      <c r="H4648" t="s">
        <v>1459</v>
      </c>
      <c r="I4648" t="s">
        <v>22</v>
      </c>
      <c r="J4648" s="2" t="s">
        <v>42</v>
      </c>
      <c r="K4648" s="2" t="s">
        <v>3019</v>
      </c>
      <c r="L4648" t="s">
        <v>25</v>
      </c>
      <c r="M4648" s="8">
        <v>1.1910000000000001</v>
      </c>
      <c r="N4648" t="s">
        <v>26</v>
      </c>
      <c r="O4648" s="8">
        <v>1.1910000000000001</v>
      </c>
      <c r="P4648" s="8">
        <f>EXP(-1.363+3.366*LOG(O4648,10))</f>
        <v>0.33039016297752993</v>
      </c>
      <c r="Q4648" s="8">
        <f>(2317420*100)/2442061</f>
        <v>94.896073439606951</v>
      </c>
    </row>
    <row r="4649" spans="1:17" x14ac:dyDescent="0.2">
      <c r="A4649">
        <f>YEAR(D4649)</f>
        <v>2020</v>
      </c>
      <c r="B4649" t="s">
        <v>26</v>
      </c>
      <c r="C4649" s="2" t="s">
        <v>3026</v>
      </c>
      <c r="D4649" s="1">
        <v>43963</v>
      </c>
      <c r="E4649">
        <f>MONTH(D4649)</f>
        <v>5</v>
      </c>
      <c r="F4649" s="2" t="s">
        <v>2098</v>
      </c>
      <c r="G4649" t="s">
        <v>230</v>
      </c>
      <c r="H4649" t="s">
        <v>259</v>
      </c>
      <c r="I4649" t="s">
        <v>22</v>
      </c>
      <c r="J4649" s="2" t="s">
        <v>42</v>
      </c>
      <c r="K4649" s="2" t="s">
        <v>3019</v>
      </c>
      <c r="L4649" t="s">
        <v>25</v>
      </c>
      <c r="M4649" s="8">
        <v>4.2283333330000001</v>
      </c>
      <c r="N4649" t="s">
        <v>26</v>
      </c>
      <c r="O4649" s="8">
        <v>4.2283333330000001</v>
      </c>
      <c r="P4649" s="8">
        <f>EXP(-1.363+3.366*LOG(O4649,10))</f>
        <v>2.1057792396965977</v>
      </c>
      <c r="Q4649" s="8">
        <f>(2317420*100)/2442061</f>
        <v>94.896073439606951</v>
      </c>
    </row>
    <row r="4650" spans="1:17" x14ac:dyDescent="0.2">
      <c r="A4650">
        <f>YEAR(D4650)</f>
        <v>2020</v>
      </c>
      <c r="B4650" t="s">
        <v>26</v>
      </c>
      <c r="C4650" s="2" t="s">
        <v>3026</v>
      </c>
      <c r="D4650" s="1">
        <v>43963</v>
      </c>
      <c r="E4650">
        <f>MONTH(D4650)</f>
        <v>5</v>
      </c>
      <c r="F4650" s="2" t="s">
        <v>2098</v>
      </c>
      <c r="G4650" t="s">
        <v>20</v>
      </c>
      <c r="H4650" t="s">
        <v>183</v>
      </c>
      <c r="I4650" t="s">
        <v>22</v>
      </c>
      <c r="J4650" s="2" t="s">
        <v>42</v>
      </c>
      <c r="K4650" s="2" t="s">
        <v>3019</v>
      </c>
      <c r="L4650" t="s">
        <v>25</v>
      </c>
      <c r="M4650" s="8">
        <v>2.7893333330000001</v>
      </c>
      <c r="N4650" t="s">
        <v>26</v>
      </c>
      <c r="O4650" s="8">
        <v>2.7893333330000001</v>
      </c>
      <c r="P4650" s="8">
        <f>EXP(-1.363+3.366*LOG(O4650,10))</f>
        <v>1.1463172389308915</v>
      </c>
      <c r="Q4650" s="8">
        <f>(2317420*100)/2442061</f>
        <v>94.896073439606951</v>
      </c>
    </row>
    <row r="4651" spans="1:17" x14ac:dyDescent="0.2">
      <c r="A4651">
        <f>YEAR(D4651)</f>
        <v>2020</v>
      </c>
      <c r="B4651" t="s">
        <v>26</v>
      </c>
      <c r="C4651" s="2" t="s">
        <v>3026</v>
      </c>
      <c r="D4651" s="1">
        <v>43963</v>
      </c>
      <c r="E4651">
        <f>MONTH(D4651)</f>
        <v>5</v>
      </c>
      <c r="F4651" s="2" t="s">
        <v>2098</v>
      </c>
      <c r="G4651" t="s">
        <v>230</v>
      </c>
      <c r="H4651" t="s">
        <v>259</v>
      </c>
      <c r="I4651" t="s">
        <v>22</v>
      </c>
      <c r="J4651" s="2" t="s">
        <v>42</v>
      </c>
      <c r="K4651" s="2" t="s">
        <v>3019</v>
      </c>
      <c r="L4651" t="s">
        <v>25</v>
      </c>
      <c r="M4651" s="8">
        <v>4.2283333330000001</v>
      </c>
      <c r="N4651" t="s">
        <v>26</v>
      </c>
      <c r="O4651" s="8">
        <v>4.2283333330000001</v>
      </c>
      <c r="P4651" s="8">
        <f>EXP(-1.363+3.366*LOG(O4651,10))</f>
        <v>2.1057792396965977</v>
      </c>
      <c r="Q4651" s="8">
        <f>(2317420*100)/2442061</f>
        <v>94.896073439606951</v>
      </c>
    </row>
    <row r="4652" spans="1:17" x14ac:dyDescent="0.2">
      <c r="A4652">
        <f>YEAR(D4652)</f>
        <v>2020</v>
      </c>
      <c r="B4652" t="s">
        <v>26</v>
      </c>
      <c r="C4652" s="2" t="s">
        <v>3026</v>
      </c>
      <c r="D4652" s="1">
        <v>43963</v>
      </c>
      <c r="E4652">
        <f>MONTH(D4652)</f>
        <v>5</v>
      </c>
      <c r="F4652" s="2" t="s">
        <v>2098</v>
      </c>
      <c r="G4652" t="s">
        <v>230</v>
      </c>
      <c r="H4652" t="s">
        <v>259</v>
      </c>
      <c r="I4652" t="s">
        <v>22</v>
      </c>
      <c r="J4652" s="2" t="s">
        <v>42</v>
      </c>
      <c r="K4652" s="2" t="s">
        <v>3019</v>
      </c>
      <c r="L4652" t="s">
        <v>25</v>
      </c>
      <c r="M4652" s="8">
        <v>4.2283333330000001</v>
      </c>
      <c r="N4652" t="s">
        <v>26</v>
      </c>
      <c r="O4652" s="8">
        <v>4.2283333330000001</v>
      </c>
      <c r="P4652" s="8">
        <f>EXP(-1.363+3.366*LOG(O4652,10))</f>
        <v>2.1057792396965977</v>
      </c>
      <c r="Q4652" s="8">
        <f>(2317420*100)/2442061</f>
        <v>94.896073439606951</v>
      </c>
    </row>
    <row r="4653" spans="1:17" x14ac:dyDescent="0.2">
      <c r="A4653">
        <f>YEAR(D4653)</f>
        <v>2020</v>
      </c>
      <c r="B4653" t="s">
        <v>26</v>
      </c>
      <c r="C4653" s="2" t="s">
        <v>3026</v>
      </c>
      <c r="D4653" s="1">
        <v>43963</v>
      </c>
      <c r="E4653">
        <f>MONTH(D4653)</f>
        <v>5</v>
      </c>
      <c r="F4653" s="2" t="s">
        <v>2098</v>
      </c>
      <c r="G4653" t="s">
        <v>230</v>
      </c>
      <c r="H4653" t="s">
        <v>268</v>
      </c>
      <c r="I4653" t="s">
        <v>22</v>
      </c>
      <c r="J4653" s="2" t="s">
        <v>42</v>
      </c>
      <c r="K4653" s="2" t="s">
        <v>3019</v>
      </c>
      <c r="L4653" t="s">
        <v>25</v>
      </c>
      <c r="M4653" s="8">
        <v>3.5356666670000001</v>
      </c>
      <c r="N4653" t="s">
        <v>26</v>
      </c>
      <c r="O4653" s="8">
        <v>3.5356666670000001</v>
      </c>
      <c r="P4653" s="8">
        <f>EXP(-1.363+3.366*LOG(O4653,10))</f>
        <v>1.6211802664427075</v>
      </c>
      <c r="Q4653" s="8">
        <f>(2317420*100)/2442061</f>
        <v>94.896073439606951</v>
      </c>
    </row>
    <row r="4654" spans="1:17" x14ac:dyDescent="0.2">
      <c r="A4654">
        <f>YEAR(D4654)</f>
        <v>2020</v>
      </c>
      <c r="B4654" t="s">
        <v>26</v>
      </c>
      <c r="C4654" s="2" t="s">
        <v>3026</v>
      </c>
      <c r="D4654" s="1">
        <v>43963</v>
      </c>
      <c r="E4654">
        <f>MONTH(D4654)</f>
        <v>5</v>
      </c>
      <c r="F4654" s="2" t="s">
        <v>2098</v>
      </c>
      <c r="G4654" t="s">
        <v>230</v>
      </c>
      <c r="H4654" t="s">
        <v>268</v>
      </c>
      <c r="I4654" t="s">
        <v>22</v>
      </c>
      <c r="J4654" s="2" t="s">
        <v>42</v>
      </c>
      <c r="K4654" s="2" t="s">
        <v>3019</v>
      </c>
      <c r="L4654" t="s">
        <v>25</v>
      </c>
      <c r="M4654" s="8">
        <v>3.5356666670000001</v>
      </c>
      <c r="N4654" t="s">
        <v>26</v>
      </c>
      <c r="O4654" s="8">
        <v>3.5356666670000001</v>
      </c>
      <c r="P4654" s="8">
        <f>EXP(-1.363+3.366*LOG(O4654,10))</f>
        <v>1.6211802664427075</v>
      </c>
      <c r="Q4654" s="8">
        <f>(2317420*100)/2442061</f>
        <v>94.896073439606951</v>
      </c>
    </row>
    <row r="4655" spans="1:17" x14ac:dyDescent="0.2">
      <c r="A4655">
        <f>YEAR(D4655)</f>
        <v>2020</v>
      </c>
      <c r="B4655" t="s">
        <v>26</v>
      </c>
      <c r="C4655" s="2" t="s">
        <v>3026</v>
      </c>
      <c r="D4655" s="1">
        <v>43963</v>
      </c>
      <c r="E4655">
        <f>MONTH(D4655)</f>
        <v>5</v>
      </c>
      <c r="F4655" s="2" t="s">
        <v>2098</v>
      </c>
      <c r="G4655" t="s">
        <v>230</v>
      </c>
      <c r="H4655" t="s">
        <v>268</v>
      </c>
      <c r="I4655" t="s">
        <v>22</v>
      </c>
      <c r="J4655" s="2" t="s">
        <v>42</v>
      </c>
      <c r="K4655" s="2" t="s">
        <v>3019</v>
      </c>
      <c r="L4655" t="s">
        <v>25</v>
      </c>
      <c r="M4655" s="8">
        <v>3.5356666670000001</v>
      </c>
      <c r="N4655" t="s">
        <v>26</v>
      </c>
      <c r="O4655" s="8">
        <v>3.5356666670000001</v>
      </c>
      <c r="P4655" s="8">
        <f>EXP(-1.363+3.366*LOG(O4655,10))</f>
        <v>1.6211802664427075</v>
      </c>
      <c r="Q4655" s="8">
        <f>(2317420*100)/2442061</f>
        <v>94.896073439606951</v>
      </c>
    </row>
    <row r="4656" spans="1:17" x14ac:dyDescent="0.2">
      <c r="A4656">
        <f>YEAR(D4656)</f>
        <v>2020</v>
      </c>
      <c r="B4656" t="s">
        <v>26</v>
      </c>
      <c r="C4656" s="2" t="s">
        <v>3018</v>
      </c>
      <c r="D4656" s="1">
        <v>43964</v>
      </c>
      <c r="E4656">
        <f>MONTH(D4656)</f>
        <v>5</v>
      </c>
      <c r="F4656" s="2" t="s">
        <v>2098</v>
      </c>
      <c r="G4656" t="s">
        <v>1735</v>
      </c>
      <c r="H4656" t="s">
        <v>1736</v>
      </c>
      <c r="I4656" t="s">
        <v>22</v>
      </c>
      <c r="J4656" s="2" t="s">
        <v>42</v>
      </c>
      <c r="K4656" s="2" t="s">
        <v>3019</v>
      </c>
      <c r="L4656" t="s">
        <v>25</v>
      </c>
      <c r="M4656" s="8">
        <v>4.1156666670000002</v>
      </c>
      <c r="N4656" t="s">
        <v>26</v>
      </c>
      <c r="O4656" s="8">
        <v>4.1156666670000002</v>
      </c>
      <c r="P4656" s="8">
        <f>EXP(-1.363+3.366*LOG(O4656,10))</f>
        <v>2.0242630151675414</v>
      </c>
      <c r="Q4656" s="8">
        <f>(5996898*100)/6073515</f>
        <v>98.738506449724753</v>
      </c>
    </row>
    <row r="4657" spans="1:17" x14ac:dyDescent="0.2">
      <c r="A4657">
        <f>YEAR(D4657)</f>
        <v>2020</v>
      </c>
      <c r="B4657" t="s">
        <v>26</v>
      </c>
      <c r="C4657" s="2" t="s">
        <v>3018</v>
      </c>
      <c r="D4657" s="1">
        <v>43964</v>
      </c>
      <c r="E4657">
        <f>MONTH(D4657)</f>
        <v>5</v>
      </c>
      <c r="F4657" s="2" t="s">
        <v>2098</v>
      </c>
      <c r="G4657" t="s">
        <v>1735</v>
      </c>
      <c r="H4657" t="s">
        <v>1736</v>
      </c>
      <c r="I4657" t="s">
        <v>22</v>
      </c>
      <c r="J4657" s="2" t="s">
        <v>42</v>
      </c>
      <c r="K4657" s="2" t="s">
        <v>3019</v>
      </c>
      <c r="L4657" t="s">
        <v>25</v>
      </c>
      <c r="M4657" s="8">
        <v>4.1156666670000002</v>
      </c>
      <c r="N4657" t="s">
        <v>26</v>
      </c>
      <c r="O4657" s="8">
        <v>4.1156666670000002</v>
      </c>
      <c r="P4657" s="8">
        <f>EXP(-1.363+3.366*LOG(O4657,10))</f>
        <v>2.0242630151675414</v>
      </c>
      <c r="Q4657" s="8">
        <f>(5996898*100)/6073515</f>
        <v>98.738506449724753</v>
      </c>
    </row>
    <row r="4658" spans="1:17" x14ac:dyDescent="0.2">
      <c r="A4658">
        <f>YEAR(D4658)</f>
        <v>2020</v>
      </c>
      <c r="B4658" t="s">
        <v>26</v>
      </c>
      <c r="C4658" s="2" t="s">
        <v>3018</v>
      </c>
      <c r="D4658" s="1">
        <v>43964</v>
      </c>
      <c r="E4658">
        <f>MONTH(D4658)</f>
        <v>5</v>
      </c>
      <c r="F4658" s="2" t="s">
        <v>2098</v>
      </c>
      <c r="G4658" t="s">
        <v>1735</v>
      </c>
      <c r="H4658" t="s">
        <v>1736</v>
      </c>
      <c r="I4658" t="s">
        <v>22</v>
      </c>
      <c r="J4658" s="2" t="s">
        <v>42</v>
      </c>
      <c r="K4658" s="2" t="s">
        <v>3019</v>
      </c>
      <c r="L4658" t="s">
        <v>25</v>
      </c>
      <c r="M4658" s="8">
        <v>4.1156666670000002</v>
      </c>
      <c r="N4658" t="s">
        <v>26</v>
      </c>
      <c r="O4658" s="8">
        <v>4.1156666670000002</v>
      </c>
      <c r="P4658" s="8">
        <f>EXP(-1.363+3.366*LOG(O4658,10))</f>
        <v>2.0242630151675414</v>
      </c>
      <c r="Q4658" s="8">
        <f>(5996898*100)/6073515</f>
        <v>98.738506449724753</v>
      </c>
    </row>
    <row r="4659" spans="1:17" x14ac:dyDescent="0.2">
      <c r="A4659">
        <f>YEAR(D4659)</f>
        <v>2020</v>
      </c>
      <c r="B4659" t="s">
        <v>26</v>
      </c>
      <c r="C4659" s="2" t="s">
        <v>3018</v>
      </c>
      <c r="D4659" s="1">
        <v>43964</v>
      </c>
      <c r="E4659">
        <f>MONTH(D4659)</f>
        <v>5</v>
      </c>
      <c r="F4659" s="2" t="s">
        <v>2098</v>
      </c>
      <c r="G4659" t="s">
        <v>219</v>
      </c>
      <c r="H4659" t="s">
        <v>220</v>
      </c>
      <c r="I4659" t="s">
        <v>22</v>
      </c>
      <c r="J4659" s="2" t="s">
        <v>42</v>
      </c>
      <c r="K4659" s="2" t="s">
        <v>3019</v>
      </c>
      <c r="L4659" t="s">
        <v>25</v>
      </c>
      <c r="M4659" s="10" t="s">
        <v>26</v>
      </c>
      <c r="N4659" t="s">
        <v>26</v>
      </c>
      <c r="O4659" s="10" t="s">
        <v>26</v>
      </c>
      <c r="P4659" s="8" t="s">
        <v>26</v>
      </c>
      <c r="Q4659" s="8">
        <f>(5996898*100)/6073515</f>
        <v>98.738506449724753</v>
      </c>
    </row>
    <row r="4660" spans="1:17" x14ac:dyDescent="0.2">
      <c r="A4660">
        <f>YEAR(D4660)</f>
        <v>2020</v>
      </c>
      <c r="B4660" t="s">
        <v>26</v>
      </c>
      <c r="C4660" s="2" t="s">
        <v>3018</v>
      </c>
      <c r="D4660" s="1">
        <v>43964</v>
      </c>
      <c r="E4660">
        <f>MONTH(D4660)</f>
        <v>5</v>
      </c>
      <c r="F4660" s="2" t="s">
        <v>2098</v>
      </c>
      <c r="G4660" t="s">
        <v>219</v>
      </c>
      <c r="H4660" t="s">
        <v>220</v>
      </c>
      <c r="I4660" t="s">
        <v>22</v>
      </c>
      <c r="J4660" s="2" t="s">
        <v>42</v>
      </c>
      <c r="K4660" s="2" t="s">
        <v>3019</v>
      </c>
      <c r="L4660" t="s">
        <v>25</v>
      </c>
      <c r="M4660" s="10" t="s">
        <v>26</v>
      </c>
      <c r="N4660" t="s">
        <v>26</v>
      </c>
      <c r="O4660" s="10" t="s">
        <v>26</v>
      </c>
      <c r="P4660" s="8" t="s">
        <v>26</v>
      </c>
      <c r="Q4660" s="8">
        <f>(5996898*100)/6073515</f>
        <v>98.738506449724753</v>
      </c>
    </row>
    <row r="4661" spans="1:17" x14ac:dyDescent="0.2">
      <c r="A4661">
        <f>YEAR(D4661)</f>
        <v>2020</v>
      </c>
      <c r="B4661" t="s">
        <v>26</v>
      </c>
      <c r="C4661" s="2" t="s">
        <v>3018</v>
      </c>
      <c r="D4661" s="1">
        <v>43964</v>
      </c>
      <c r="E4661">
        <f>MONTH(D4661)</f>
        <v>5</v>
      </c>
      <c r="F4661" s="2" t="s">
        <v>2098</v>
      </c>
      <c r="G4661" t="s">
        <v>219</v>
      </c>
      <c r="H4661" t="s">
        <v>220</v>
      </c>
      <c r="I4661" t="s">
        <v>22</v>
      </c>
      <c r="J4661" s="2" t="s">
        <v>42</v>
      </c>
      <c r="K4661" s="2" t="s">
        <v>3019</v>
      </c>
      <c r="L4661" t="s">
        <v>25</v>
      </c>
      <c r="M4661" s="10" t="s">
        <v>26</v>
      </c>
      <c r="N4661" t="s">
        <v>26</v>
      </c>
      <c r="O4661" s="10" t="s">
        <v>26</v>
      </c>
      <c r="P4661" s="8" t="s">
        <v>26</v>
      </c>
      <c r="Q4661" s="8">
        <f>(5996898*100)/6073515</f>
        <v>98.738506449724753</v>
      </c>
    </row>
    <row r="4662" spans="1:17" x14ac:dyDescent="0.2">
      <c r="A4662">
        <f>YEAR(D4662)</f>
        <v>2020</v>
      </c>
      <c r="B4662" t="s">
        <v>26</v>
      </c>
      <c r="C4662" s="2" t="s">
        <v>3027</v>
      </c>
      <c r="D4662" s="1">
        <v>43964</v>
      </c>
      <c r="E4662">
        <f>MONTH(D4662)</f>
        <v>5</v>
      </c>
      <c r="F4662" s="2" t="s">
        <v>2098</v>
      </c>
      <c r="G4662" t="s">
        <v>219</v>
      </c>
      <c r="H4662" t="s">
        <v>220</v>
      </c>
      <c r="I4662" t="s">
        <v>22</v>
      </c>
      <c r="J4662" s="2" t="s">
        <v>42</v>
      </c>
      <c r="K4662" s="2" t="s">
        <v>3019</v>
      </c>
      <c r="L4662" t="s">
        <v>25</v>
      </c>
      <c r="M4662" s="10" t="s">
        <v>26</v>
      </c>
      <c r="N4662" t="s">
        <v>26</v>
      </c>
      <c r="O4662" s="10" t="s">
        <v>26</v>
      </c>
      <c r="P4662" s="8" t="s">
        <v>26</v>
      </c>
      <c r="Q4662" s="8">
        <f>(3939723*100)/4442581</f>
        <v>88.680949204977921</v>
      </c>
    </row>
    <row r="4663" spans="1:17" x14ac:dyDescent="0.2">
      <c r="A4663">
        <f>YEAR(D4663)</f>
        <v>2020</v>
      </c>
      <c r="B4663" t="s">
        <v>26</v>
      </c>
      <c r="C4663" s="2" t="s">
        <v>3027</v>
      </c>
      <c r="D4663" s="1">
        <v>43964</v>
      </c>
      <c r="E4663">
        <f>MONTH(D4663)</f>
        <v>5</v>
      </c>
      <c r="F4663" s="2" t="s">
        <v>2098</v>
      </c>
      <c r="G4663" t="s">
        <v>219</v>
      </c>
      <c r="H4663" t="s">
        <v>220</v>
      </c>
      <c r="I4663" t="s">
        <v>22</v>
      </c>
      <c r="J4663" s="2" t="s">
        <v>42</v>
      </c>
      <c r="K4663" s="2" t="s">
        <v>3019</v>
      </c>
      <c r="L4663" t="s">
        <v>25</v>
      </c>
      <c r="M4663" s="10" t="s">
        <v>26</v>
      </c>
      <c r="N4663" t="s">
        <v>26</v>
      </c>
      <c r="O4663" s="10" t="s">
        <v>26</v>
      </c>
      <c r="P4663" s="8" t="s">
        <v>26</v>
      </c>
      <c r="Q4663" s="8">
        <f>(3939723*100)/4442581</f>
        <v>88.680949204977921</v>
      </c>
    </row>
    <row r="4664" spans="1:17" x14ac:dyDescent="0.2">
      <c r="A4664">
        <f>YEAR(D4664)</f>
        <v>2020</v>
      </c>
      <c r="B4664" t="s">
        <v>26</v>
      </c>
      <c r="C4664" s="2" t="s">
        <v>3027</v>
      </c>
      <c r="D4664" s="1">
        <v>43964</v>
      </c>
      <c r="E4664">
        <f>MONTH(D4664)</f>
        <v>5</v>
      </c>
      <c r="F4664" s="2" t="s">
        <v>2098</v>
      </c>
      <c r="G4664" t="s">
        <v>230</v>
      </c>
      <c r="H4664" t="s">
        <v>259</v>
      </c>
      <c r="I4664" t="s">
        <v>22</v>
      </c>
      <c r="J4664" s="2" t="s">
        <v>42</v>
      </c>
      <c r="K4664" s="2" t="s">
        <v>3019</v>
      </c>
      <c r="L4664" t="s">
        <v>25</v>
      </c>
      <c r="M4664" s="8">
        <v>4.2283333330000001</v>
      </c>
      <c r="N4664" t="s">
        <v>26</v>
      </c>
      <c r="O4664" s="8">
        <v>4.2283333330000001</v>
      </c>
      <c r="P4664" s="8">
        <f>EXP(-1.363+3.366*LOG(O4664,10))</f>
        <v>2.1057792396965977</v>
      </c>
      <c r="Q4664" s="8">
        <f>(3939723*100)/4442581</f>
        <v>88.680949204977921</v>
      </c>
    </row>
    <row r="4665" spans="1:17" x14ac:dyDescent="0.2">
      <c r="A4665">
        <f>YEAR(D4665)</f>
        <v>2020</v>
      </c>
      <c r="B4665" t="s">
        <v>26</v>
      </c>
      <c r="C4665" s="2" t="s">
        <v>3027</v>
      </c>
      <c r="D4665" s="1">
        <v>43964</v>
      </c>
      <c r="E4665">
        <f>MONTH(D4665)</f>
        <v>5</v>
      </c>
      <c r="F4665" s="2" t="s">
        <v>2098</v>
      </c>
      <c r="G4665" t="s">
        <v>219</v>
      </c>
      <c r="H4665" t="s">
        <v>220</v>
      </c>
      <c r="I4665" t="s">
        <v>22</v>
      </c>
      <c r="J4665" s="2" t="s">
        <v>42</v>
      </c>
      <c r="K4665" s="2" t="s">
        <v>3019</v>
      </c>
      <c r="L4665" t="s">
        <v>25</v>
      </c>
      <c r="M4665" s="10" t="s">
        <v>26</v>
      </c>
      <c r="N4665" t="s">
        <v>26</v>
      </c>
      <c r="O4665" s="10" t="s">
        <v>26</v>
      </c>
      <c r="P4665" s="8" t="s">
        <v>26</v>
      </c>
      <c r="Q4665" s="8">
        <f>(3939723*100)/4442581</f>
        <v>88.680949204977921</v>
      </c>
    </row>
    <row r="4666" spans="1:17" x14ac:dyDescent="0.2">
      <c r="A4666">
        <f>YEAR(D4666)</f>
        <v>2020</v>
      </c>
      <c r="B4666" t="s">
        <v>26</v>
      </c>
      <c r="C4666" s="2" t="s">
        <v>3027</v>
      </c>
      <c r="D4666" s="1">
        <v>43964</v>
      </c>
      <c r="E4666">
        <f>MONTH(D4666)</f>
        <v>5</v>
      </c>
      <c r="F4666" s="2" t="s">
        <v>2098</v>
      </c>
      <c r="G4666" t="s">
        <v>219</v>
      </c>
      <c r="H4666" t="s">
        <v>220</v>
      </c>
      <c r="I4666" t="s">
        <v>22</v>
      </c>
      <c r="J4666" s="2" t="s">
        <v>42</v>
      </c>
      <c r="K4666" s="2" t="s">
        <v>3019</v>
      </c>
      <c r="L4666" t="s">
        <v>25</v>
      </c>
      <c r="M4666" s="10" t="s">
        <v>26</v>
      </c>
      <c r="N4666" t="s">
        <v>26</v>
      </c>
      <c r="O4666" s="10" t="s">
        <v>26</v>
      </c>
      <c r="P4666" s="8" t="s">
        <v>26</v>
      </c>
      <c r="Q4666" s="8">
        <f>(3939723*100)/4442581</f>
        <v>88.680949204977921</v>
      </c>
    </row>
    <row r="4667" spans="1:17" x14ac:dyDescent="0.2">
      <c r="A4667">
        <f>YEAR(D4667)</f>
        <v>2020</v>
      </c>
      <c r="B4667" t="s">
        <v>26</v>
      </c>
      <c r="C4667" s="2" t="s">
        <v>3027</v>
      </c>
      <c r="D4667" s="1">
        <v>43964</v>
      </c>
      <c r="E4667">
        <f>MONTH(D4667)</f>
        <v>5</v>
      </c>
      <c r="F4667" s="2" t="s">
        <v>2098</v>
      </c>
      <c r="G4667" t="s">
        <v>219</v>
      </c>
      <c r="H4667" t="s">
        <v>220</v>
      </c>
      <c r="I4667" t="s">
        <v>22</v>
      </c>
      <c r="J4667" s="2" t="s">
        <v>42</v>
      </c>
      <c r="K4667" s="2" t="s">
        <v>3019</v>
      </c>
      <c r="L4667" t="s">
        <v>25</v>
      </c>
      <c r="M4667" s="10" t="s">
        <v>26</v>
      </c>
      <c r="N4667" t="s">
        <v>26</v>
      </c>
      <c r="O4667" s="10" t="s">
        <v>26</v>
      </c>
      <c r="P4667" s="8" t="s">
        <v>26</v>
      </c>
      <c r="Q4667" s="8">
        <f>(3939723*100)/4442581</f>
        <v>88.680949204977921</v>
      </c>
    </row>
    <row r="4668" spans="1:17" x14ac:dyDescent="0.2">
      <c r="A4668">
        <f>YEAR(D4668)</f>
        <v>2020</v>
      </c>
      <c r="B4668" t="s">
        <v>26</v>
      </c>
      <c r="C4668" s="2" t="s">
        <v>3027</v>
      </c>
      <c r="D4668" s="1">
        <v>43964</v>
      </c>
      <c r="E4668">
        <f>MONTH(D4668)</f>
        <v>5</v>
      </c>
      <c r="F4668" s="2" t="s">
        <v>2098</v>
      </c>
      <c r="G4668" t="s">
        <v>219</v>
      </c>
      <c r="H4668" t="s">
        <v>220</v>
      </c>
      <c r="I4668" t="s">
        <v>22</v>
      </c>
      <c r="J4668" s="2" t="s">
        <v>42</v>
      </c>
      <c r="K4668" s="2" t="s">
        <v>3019</v>
      </c>
      <c r="L4668" t="s">
        <v>25</v>
      </c>
      <c r="M4668" s="10" t="s">
        <v>26</v>
      </c>
      <c r="N4668" t="s">
        <v>26</v>
      </c>
      <c r="O4668" s="10" t="s">
        <v>26</v>
      </c>
      <c r="P4668" s="8" t="s">
        <v>26</v>
      </c>
      <c r="Q4668" s="8">
        <f>(3939723*100)/4442581</f>
        <v>88.680949204977921</v>
      </c>
    </row>
    <row r="4669" spans="1:17" x14ac:dyDescent="0.2">
      <c r="A4669">
        <f>YEAR(D4669)</f>
        <v>2020</v>
      </c>
      <c r="B4669" t="s">
        <v>26</v>
      </c>
      <c r="C4669" s="2" t="s">
        <v>3027</v>
      </c>
      <c r="D4669" s="1">
        <v>43964</v>
      </c>
      <c r="E4669">
        <f>MONTH(D4669)</f>
        <v>5</v>
      </c>
      <c r="F4669" s="2" t="s">
        <v>2098</v>
      </c>
      <c r="G4669" t="s">
        <v>219</v>
      </c>
      <c r="H4669" t="s">
        <v>220</v>
      </c>
      <c r="I4669" t="s">
        <v>22</v>
      </c>
      <c r="J4669" s="2" t="s">
        <v>42</v>
      </c>
      <c r="K4669" s="2" t="s">
        <v>3019</v>
      </c>
      <c r="L4669" t="s">
        <v>25</v>
      </c>
      <c r="M4669" s="10" t="s">
        <v>26</v>
      </c>
      <c r="N4669" t="s">
        <v>26</v>
      </c>
      <c r="O4669" s="10" t="s">
        <v>26</v>
      </c>
      <c r="P4669" s="8" t="s">
        <v>26</v>
      </c>
      <c r="Q4669" s="8">
        <f>(3939723*100)/4442581</f>
        <v>88.680949204977921</v>
      </c>
    </row>
    <row r="4670" spans="1:17" x14ac:dyDescent="0.2">
      <c r="A4670">
        <f>YEAR(D4670)</f>
        <v>2020</v>
      </c>
      <c r="B4670" t="s">
        <v>26</v>
      </c>
      <c r="C4670" s="2" t="s">
        <v>3027</v>
      </c>
      <c r="D4670" s="1">
        <v>43964</v>
      </c>
      <c r="E4670">
        <f>MONTH(D4670)</f>
        <v>5</v>
      </c>
      <c r="F4670" s="2" t="s">
        <v>2098</v>
      </c>
      <c r="G4670" t="s">
        <v>219</v>
      </c>
      <c r="H4670" t="s">
        <v>220</v>
      </c>
      <c r="I4670" t="s">
        <v>22</v>
      </c>
      <c r="J4670" s="2" t="s">
        <v>42</v>
      </c>
      <c r="K4670" s="2" t="s">
        <v>3019</v>
      </c>
      <c r="L4670" t="s">
        <v>25</v>
      </c>
      <c r="M4670" s="10" t="s">
        <v>26</v>
      </c>
      <c r="N4670" t="s">
        <v>26</v>
      </c>
      <c r="O4670" s="10" t="s">
        <v>26</v>
      </c>
      <c r="P4670" s="8" t="s">
        <v>26</v>
      </c>
      <c r="Q4670" s="8">
        <f>(3939723*100)/4442581</f>
        <v>88.680949204977921</v>
      </c>
    </row>
    <row r="4671" spans="1:17" x14ac:dyDescent="0.2">
      <c r="A4671">
        <f>YEAR(D4671)</f>
        <v>2020</v>
      </c>
      <c r="B4671" t="s">
        <v>26</v>
      </c>
      <c r="C4671" s="2" t="s">
        <v>3027</v>
      </c>
      <c r="D4671" s="1">
        <v>43964</v>
      </c>
      <c r="E4671">
        <f>MONTH(D4671)</f>
        <v>5</v>
      </c>
      <c r="F4671" s="2" t="s">
        <v>2098</v>
      </c>
      <c r="G4671" t="s">
        <v>230</v>
      </c>
      <c r="H4671" t="s">
        <v>268</v>
      </c>
      <c r="I4671" t="s">
        <v>22</v>
      </c>
      <c r="J4671" s="2" t="s">
        <v>42</v>
      </c>
      <c r="K4671" s="2" t="s">
        <v>3019</v>
      </c>
      <c r="L4671" t="s">
        <v>25</v>
      </c>
      <c r="M4671" s="8">
        <v>3.5356666670000001</v>
      </c>
      <c r="N4671" t="s">
        <v>26</v>
      </c>
      <c r="O4671" s="8">
        <v>3.5356666670000001</v>
      </c>
      <c r="P4671" s="8">
        <f>EXP(-1.363+3.366*LOG(O4671,10))</f>
        <v>1.6211802664427075</v>
      </c>
      <c r="Q4671" s="8">
        <f>(3939723*100)/4442581</f>
        <v>88.680949204977921</v>
      </c>
    </row>
    <row r="4672" spans="1:17" x14ac:dyDescent="0.2">
      <c r="A4672">
        <f>YEAR(D4672)</f>
        <v>2020</v>
      </c>
      <c r="B4672" t="s">
        <v>26</v>
      </c>
      <c r="C4672" s="2" t="s">
        <v>3027</v>
      </c>
      <c r="D4672" s="1">
        <v>43964</v>
      </c>
      <c r="E4672">
        <f>MONTH(D4672)</f>
        <v>5</v>
      </c>
      <c r="F4672" s="2" t="s">
        <v>2098</v>
      </c>
      <c r="G4672" t="s">
        <v>230</v>
      </c>
      <c r="H4672" t="s">
        <v>268</v>
      </c>
      <c r="I4672" t="s">
        <v>22</v>
      </c>
      <c r="J4672" s="2" t="s">
        <v>42</v>
      </c>
      <c r="K4672" s="2" t="s">
        <v>3019</v>
      </c>
      <c r="L4672" t="s">
        <v>25</v>
      </c>
      <c r="M4672" s="8">
        <v>3.5356666670000001</v>
      </c>
      <c r="N4672" t="s">
        <v>26</v>
      </c>
      <c r="O4672" s="8">
        <v>3.5356666670000001</v>
      </c>
      <c r="P4672" s="8">
        <f>EXP(-1.363+3.366*LOG(O4672,10))</f>
        <v>1.6211802664427075</v>
      </c>
      <c r="Q4672" s="8">
        <f>(3939723*100)/4442581</f>
        <v>88.680949204977921</v>
      </c>
    </row>
    <row r="4673" spans="1:17" x14ac:dyDescent="0.2">
      <c r="A4673">
        <f>YEAR(D4673)</f>
        <v>2020</v>
      </c>
      <c r="B4673" t="s">
        <v>26</v>
      </c>
      <c r="C4673" s="2" t="s">
        <v>3018</v>
      </c>
      <c r="D4673" s="1">
        <v>43964</v>
      </c>
      <c r="E4673">
        <f>MONTH(D4673)</f>
        <v>5</v>
      </c>
      <c r="F4673" s="2" t="s">
        <v>2098</v>
      </c>
      <c r="G4673" t="s">
        <v>352</v>
      </c>
      <c r="H4673" t="s">
        <v>353</v>
      </c>
      <c r="I4673" t="s">
        <v>22</v>
      </c>
      <c r="J4673" s="2" t="s">
        <v>42</v>
      </c>
      <c r="K4673" s="2" t="s">
        <v>3019</v>
      </c>
      <c r="L4673" t="s">
        <v>25</v>
      </c>
      <c r="M4673" s="8">
        <v>1.1623333330000001</v>
      </c>
      <c r="N4673" t="s">
        <v>26</v>
      </c>
      <c r="O4673" s="8">
        <v>1.1623333330000001</v>
      </c>
      <c r="P4673" s="8">
        <f>EXP(-1.363+3.366*LOG(O4673,10))</f>
        <v>0.31883010989102206</v>
      </c>
      <c r="Q4673" s="8">
        <f>(5996898*100)/6073515</f>
        <v>98.738506449724753</v>
      </c>
    </row>
    <row r="4674" spans="1:17" x14ac:dyDescent="0.2">
      <c r="A4674">
        <f>YEAR(D4674)</f>
        <v>2020</v>
      </c>
      <c r="B4674" t="s">
        <v>26</v>
      </c>
      <c r="C4674" s="2" t="s">
        <v>3018</v>
      </c>
      <c r="D4674" s="1">
        <v>43964</v>
      </c>
      <c r="E4674">
        <f>MONTH(D4674)</f>
        <v>5</v>
      </c>
      <c r="F4674" s="2" t="s">
        <v>2098</v>
      </c>
      <c r="G4674" t="s">
        <v>352</v>
      </c>
      <c r="H4674" t="s">
        <v>353</v>
      </c>
      <c r="I4674" t="s">
        <v>22</v>
      </c>
      <c r="J4674" s="2" t="s">
        <v>42</v>
      </c>
      <c r="K4674" s="2" t="s">
        <v>3019</v>
      </c>
      <c r="L4674" t="s">
        <v>25</v>
      </c>
      <c r="M4674" s="8">
        <v>1.1623333330000001</v>
      </c>
      <c r="N4674" t="s">
        <v>26</v>
      </c>
      <c r="O4674" s="8">
        <v>1.1623333330000001</v>
      </c>
      <c r="P4674" s="8">
        <f>EXP(-1.363+3.366*LOG(O4674,10))</f>
        <v>0.31883010989102206</v>
      </c>
      <c r="Q4674" s="8">
        <f>(5996898*100)/6073515</f>
        <v>98.738506449724753</v>
      </c>
    </row>
    <row r="4675" spans="1:17" x14ac:dyDescent="0.2">
      <c r="A4675">
        <f>YEAR(D4675)</f>
        <v>2020</v>
      </c>
      <c r="B4675" t="s">
        <v>26</v>
      </c>
      <c r="C4675" s="2" t="s">
        <v>3018</v>
      </c>
      <c r="D4675" s="1">
        <v>43964</v>
      </c>
      <c r="E4675">
        <f>MONTH(D4675)</f>
        <v>5</v>
      </c>
      <c r="F4675" s="2" t="s">
        <v>2098</v>
      </c>
      <c r="G4675" t="s">
        <v>1532</v>
      </c>
      <c r="H4675" t="s">
        <v>1533</v>
      </c>
      <c r="I4675" t="s">
        <v>22</v>
      </c>
      <c r="J4675" s="2" t="s">
        <v>42</v>
      </c>
      <c r="K4675" s="2" t="s">
        <v>3019</v>
      </c>
      <c r="L4675" t="s">
        <v>25</v>
      </c>
      <c r="M4675" s="8">
        <v>3.08</v>
      </c>
      <c r="N4675" t="s">
        <v>26</v>
      </c>
      <c r="O4675" s="8">
        <v>3.08</v>
      </c>
      <c r="P4675" s="8">
        <f>EXP(-1.363+3.366*LOG(O4675,10))</f>
        <v>1.3250652609076723</v>
      </c>
      <c r="Q4675" s="8">
        <f>(5996898*100)/6073515</f>
        <v>98.738506449724753</v>
      </c>
    </row>
    <row r="4676" spans="1:17" x14ac:dyDescent="0.2">
      <c r="A4676">
        <f>YEAR(D4676)</f>
        <v>2020</v>
      </c>
      <c r="B4676" t="s">
        <v>26</v>
      </c>
      <c r="C4676" s="2" t="s">
        <v>3018</v>
      </c>
      <c r="D4676" s="1">
        <v>43964</v>
      </c>
      <c r="E4676">
        <f>MONTH(D4676)</f>
        <v>5</v>
      </c>
      <c r="F4676" s="2" t="s">
        <v>2098</v>
      </c>
      <c r="G4676" t="s">
        <v>230</v>
      </c>
      <c r="H4676" t="s">
        <v>268</v>
      </c>
      <c r="I4676" t="s">
        <v>22</v>
      </c>
      <c r="J4676" s="2" t="s">
        <v>42</v>
      </c>
      <c r="K4676" s="2" t="s">
        <v>3019</v>
      </c>
      <c r="L4676" t="s">
        <v>25</v>
      </c>
      <c r="M4676" s="8">
        <v>3.5356666670000001</v>
      </c>
      <c r="N4676" t="s">
        <v>26</v>
      </c>
      <c r="O4676" s="8">
        <v>3.5356666670000001</v>
      </c>
      <c r="P4676" s="8">
        <f>EXP(-1.363+3.366*LOG(O4676,10))</f>
        <v>1.6211802664427075</v>
      </c>
      <c r="Q4676" s="8">
        <f>(5996898*100)/6073515</f>
        <v>98.738506449724753</v>
      </c>
    </row>
    <row r="4677" spans="1:17" x14ac:dyDescent="0.2">
      <c r="A4677">
        <f>YEAR(D4677)</f>
        <v>2020</v>
      </c>
      <c r="B4677" t="s">
        <v>26</v>
      </c>
      <c r="C4677" s="2" t="s">
        <v>3018</v>
      </c>
      <c r="D4677" s="1">
        <v>43964</v>
      </c>
      <c r="E4677">
        <f>MONTH(D4677)</f>
        <v>5</v>
      </c>
      <c r="F4677" s="2" t="s">
        <v>2098</v>
      </c>
      <c r="G4677" t="s">
        <v>230</v>
      </c>
      <c r="H4677" t="s">
        <v>268</v>
      </c>
      <c r="I4677" t="s">
        <v>22</v>
      </c>
      <c r="J4677" s="2" t="s">
        <v>42</v>
      </c>
      <c r="K4677" s="2" t="s">
        <v>3019</v>
      </c>
      <c r="L4677" t="s">
        <v>25</v>
      </c>
      <c r="M4677" s="8">
        <v>3.5356666670000001</v>
      </c>
      <c r="N4677" t="s">
        <v>26</v>
      </c>
      <c r="O4677" s="8">
        <v>3.5356666670000001</v>
      </c>
      <c r="P4677" s="8">
        <f>EXP(-1.363+3.366*LOG(O4677,10))</f>
        <v>1.6211802664427075</v>
      </c>
      <c r="Q4677" s="8">
        <f>(5996898*100)/6073515</f>
        <v>98.738506449724753</v>
      </c>
    </row>
    <row r="4678" spans="1:17" x14ac:dyDescent="0.2">
      <c r="A4678">
        <f>YEAR(D4678)</f>
        <v>2020</v>
      </c>
      <c r="B4678" t="s">
        <v>26</v>
      </c>
      <c r="C4678" s="2" t="s">
        <v>3018</v>
      </c>
      <c r="D4678" s="1">
        <v>43964</v>
      </c>
      <c r="E4678">
        <f>MONTH(D4678)</f>
        <v>5</v>
      </c>
      <c r="F4678" s="2" t="s">
        <v>2098</v>
      </c>
      <c r="G4678" t="s">
        <v>230</v>
      </c>
      <c r="H4678" t="s">
        <v>259</v>
      </c>
      <c r="I4678" t="s">
        <v>22</v>
      </c>
      <c r="J4678" s="2" t="s">
        <v>42</v>
      </c>
      <c r="K4678" s="2" t="s">
        <v>3019</v>
      </c>
      <c r="L4678" t="s">
        <v>25</v>
      </c>
      <c r="M4678" s="8">
        <v>4.2283333330000001</v>
      </c>
      <c r="N4678" t="s">
        <v>26</v>
      </c>
      <c r="O4678" s="8">
        <v>4.2283333330000001</v>
      </c>
      <c r="P4678" s="8">
        <f>EXP(-1.363+3.366*LOG(O4678,10))</f>
        <v>2.1057792396965977</v>
      </c>
      <c r="Q4678" s="8">
        <f>(5996898*100)/6073515</f>
        <v>98.738506449724753</v>
      </c>
    </row>
    <row r="4679" spans="1:17" x14ac:dyDescent="0.2">
      <c r="A4679">
        <f>YEAR(D4679)</f>
        <v>2020</v>
      </c>
      <c r="B4679" t="s">
        <v>26</v>
      </c>
      <c r="C4679" s="2" t="s">
        <v>3018</v>
      </c>
      <c r="D4679" s="1">
        <v>43964</v>
      </c>
      <c r="E4679">
        <f>MONTH(D4679)</f>
        <v>5</v>
      </c>
      <c r="F4679" s="2" t="s">
        <v>2098</v>
      </c>
      <c r="G4679" t="s">
        <v>230</v>
      </c>
      <c r="H4679" t="s">
        <v>268</v>
      </c>
      <c r="I4679" t="s">
        <v>22</v>
      </c>
      <c r="J4679" s="2" t="s">
        <v>42</v>
      </c>
      <c r="K4679" s="2" t="s">
        <v>3019</v>
      </c>
      <c r="L4679" t="s">
        <v>25</v>
      </c>
      <c r="M4679" s="8">
        <v>3.5356666670000001</v>
      </c>
      <c r="N4679" t="s">
        <v>26</v>
      </c>
      <c r="O4679" s="8">
        <v>3.5356666670000001</v>
      </c>
      <c r="P4679" s="8">
        <f>EXP(-1.363+3.366*LOG(O4679,10))</f>
        <v>1.6211802664427075</v>
      </c>
      <c r="Q4679" s="8">
        <f>(5996898*100)/6073515</f>
        <v>98.738506449724753</v>
      </c>
    </row>
    <row r="4680" spans="1:17" x14ac:dyDescent="0.2">
      <c r="A4680">
        <f>YEAR(D4680)</f>
        <v>2020</v>
      </c>
      <c r="B4680" t="s">
        <v>26</v>
      </c>
      <c r="C4680" s="2" t="s">
        <v>3018</v>
      </c>
      <c r="D4680" s="1">
        <v>43964</v>
      </c>
      <c r="E4680">
        <f>MONTH(D4680)</f>
        <v>5</v>
      </c>
      <c r="F4680" s="2" t="s">
        <v>2098</v>
      </c>
      <c r="G4680" t="s">
        <v>1735</v>
      </c>
      <c r="H4680" t="s">
        <v>1736</v>
      </c>
      <c r="I4680" t="s">
        <v>36</v>
      </c>
      <c r="J4680" s="2" t="s">
        <v>42</v>
      </c>
      <c r="K4680" s="2" t="s">
        <v>3019</v>
      </c>
      <c r="L4680" t="s">
        <v>25</v>
      </c>
      <c r="M4680" s="8">
        <v>3.8633333329999999</v>
      </c>
      <c r="N4680" t="s">
        <v>26</v>
      </c>
      <c r="O4680" s="8">
        <v>3.8633333329999999</v>
      </c>
      <c r="P4680" s="8">
        <f>EXP(-1.363+3.366*LOG(O4680,10))</f>
        <v>1.8454344092406809</v>
      </c>
      <c r="Q4680" s="8">
        <f>(5996898*100)/6073515</f>
        <v>98.738506449724753</v>
      </c>
    </row>
    <row r="4681" spans="1:17" x14ac:dyDescent="0.2">
      <c r="A4681">
        <f>YEAR(D4681)</f>
        <v>2020</v>
      </c>
      <c r="B4681" t="s">
        <v>26</v>
      </c>
      <c r="C4681" s="2" t="s">
        <v>3018</v>
      </c>
      <c r="D4681" s="1">
        <v>43964</v>
      </c>
      <c r="E4681">
        <f>MONTH(D4681)</f>
        <v>5</v>
      </c>
      <c r="F4681" s="2" t="s">
        <v>2098</v>
      </c>
      <c r="G4681" t="s">
        <v>1735</v>
      </c>
      <c r="H4681" t="s">
        <v>1736</v>
      </c>
      <c r="I4681" t="s">
        <v>22</v>
      </c>
      <c r="J4681" s="2" t="s">
        <v>42</v>
      </c>
      <c r="K4681" s="2" t="s">
        <v>3019</v>
      </c>
      <c r="L4681" t="s">
        <v>25</v>
      </c>
      <c r="M4681" s="8">
        <v>4.1156666670000002</v>
      </c>
      <c r="N4681" t="s">
        <v>26</v>
      </c>
      <c r="O4681" s="8">
        <v>4.1156666670000002</v>
      </c>
      <c r="P4681" s="8">
        <f>EXP(-1.363+3.366*LOG(O4681,10))</f>
        <v>2.0242630151675414</v>
      </c>
      <c r="Q4681" s="8">
        <f>(5996898*100)/6073515</f>
        <v>98.738506449724753</v>
      </c>
    </row>
    <row r="4682" spans="1:17" x14ac:dyDescent="0.2">
      <c r="A4682">
        <f>YEAR(D4682)</f>
        <v>2020</v>
      </c>
      <c r="B4682" t="s">
        <v>26</v>
      </c>
      <c r="C4682" s="2" t="s">
        <v>3018</v>
      </c>
      <c r="D4682" s="1">
        <v>43964</v>
      </c>
      <c r="E4682">
        <f>MONTH(D4682)</f>
        <v>5</v>
      </c>
      <c r="F4682" s="2" t="s">
        <v>2098</v>
      </c>
      <c r="G4682" t="s">
        <v>1735</v>
      </c>
      <c r="H4682" t="s">
        <v>1736</v>
      </c>
      <c r="I4682" t="s">
        <v>22</v>
      </c>
      <c r="J4682" s="2" t="s">
        <v>42</v>
      </c>
      <c r="K4682" s="2" t="s">
        <v>3019</v>
      </c>
      <c r="L4682" t="s">
        <v>25</v>
      </c>
      <c r="M4682" s="8">
        <v>4.1156666670000002</v>
      </c>
      <c r="N4682" t="s">
        <v>26</v>
      </c>
      <c r="O4682" s="8">
        <v>4.1156666670000002</v>
      </c>
      <c r="P4682" s="8">
        <f>EXP(-1.363+3.366*LOG(O4682,10))</f>
        <v>2.0242630151675414</v>
      </c>
      <c r="Q4682" s="8">
        <f>(5996898*100)/6073515</f>
        <v>98.738506449724753</v>
      </c>
    </row>
    <row r="4683" spans="1:17" x14ac:dyDescent="0.2">
      <c r="A4683">
        <f>YEAR(D4683)</f>
        <v>2020</v>
      </c>
      <c r="B4683" t="s">
        <v>26</v>
      </c>
      <c r="C4683" s="2" t="s">
        <v>3027</v>
      </c>
      <c r="D4683" s="1">
        <v>43964</v>
      </c>
      <c r="E4683">
        <f>MONTH(D4683)</f>
        <v>5</v>
      </c>
      <c r="F4683" s="2" t="s">
        <v>2098</v>
      </c>
      <c r="G4683" t="s">
        <v>1532</v>
      </c>
      <c r="H4683" t="s">
        <v>1533</v>
      </c>
      <c r="I4683" t="s">
        <v>22</v>
      </c>
      <c r="J4683" s="2" t="s">
        <v>42</v>
      </c>
      <c r="K4683" s="2" t="s">
        <v>3019</v>
      </c>
      <c r="L4683" t="s">
        <v>25</v>
      </c>
      <c r="M4683" s="8">
        <v>3.08</v>
      </c>
      <c r="N4683" t="s">
        <v>26</v>
      </c>
      <c r="O4683" s="8">
        <v>3.08</v>
      </c>
      <c r="P4683" s="8">
        <f>EXP(-1.363+3.366*LOG(O4683,10))</f>
        <v>1.3250652609076723</v>
      </c>
      <c r="Q4683" s="8">
        <f>(3939723*100)/4442581</f>
        <v>88.680949204977921</v>
      </c>
    </row>
    <row r="4684" spans="1:17" x14ac:dyDescent="0.2">
      <c r="A4684">
        <f>YEAR(D4684)</f>
        <v>2020</v>
      </c>
      <c r="B4684" t="s">
        <v>26</v>
      </c>
      <c r="C4684" s="2" t="s">
        <v>3027</v>
      </c>
      <c r="D4684" s="1">
        <v>43964</v>
      </c>
      <c r="E4684">
        <f>MONTH(D4684)</f>
        <v>5</v>
      </c>
      <c r="F4684" s="2" t="s">
        <v>2098</v>
      </c>
      <c r="G4684" s="2" t="s">
        <v>3078</v>
      </c>
      <c r="H4684" t="s">
        <v>3064</v>
      </c>
      <c r="I4684" t="s">
        <v>36</v>
      </c>
      <c r="J4684" s="2" t="s">
        <v>42</v>
      </c>
      <c r="K4684" s="2" t="s">
        <v>3019</v>
      </c>
      <c r="L4684" t="s">
        <v>305</v>
      </c>
      <c r="M4684" s="8">
        <v>2.2103333333333333</v>
      </c>
      <c r="N4684" t="s">
        <v>26</v>
      </c>
      <c r="O4684" s="8">
        <v>2.2103333333333333</v>
      </c>
      <c r="P4684" s="8">
        <f>EXP(-1.363+3.366*LOG(O4684,10))</f>
        <v>0.81582522220447784</v>
      </c>
      <c r="Q4684" s="8">
        <f>(3939723*100)/4442581</f>
        <v>88.680949204977921</v>
      </c>
    </row>
    <row r="4685" spans="1:17" x14ac:dyDescent="0.2">
      <c r="A4685">
        <f>YEAR(D4685)</f>
        <v>2020</v>
      </c>
      <c r="B4685" t="s">
        <v>26</v>
      </c>
      <c r="C4685" s="2" t="s">
        <v>3027</v>
      </c>
      <c r="D4685" s="1">
        <v>43964</v>
      </c>
      <c r="E4685">
        <f>MONTH(D4685)</f>
        <v>5</v>
      </c>
      <c r="F4685" s="2" t="s">
        <v>2098</v>
      </c>
      <c r="G4685" t="s">
        <v>352</v>
      </c>
      <c r="H4685" t="s">
        <v>1459</v>
      </c>
      <c r="I4685" t="s">
        <v>22</v>
      </c>
      <c r="J4685" s="2" t="s">
        <v>42</v>
      </c>
      <c r="K4685" s="2" t="s">
        <v>3019</v>
      </c>
      <c r="L4685" t="s">
        <v>25</v>
      </c>
      <c r="M4685" s="8">
        <v>1.1910000000000001</v>
      </c>
      <c r="N4685" t="s">
        <v>26</v>
      </c>
      <c r="O4685" s="8">
        <v>1.1910000000000001</v>
      </c>
      <c r="P4685" s="8">
        <f>EXP(-1.363+3.366*LOG(O4685,10))</f>
        <v>0.33039016297752993</v>
      </c>
      <c r="Q4685" s="8">
        <f>(3939723*100)/4442581</f>
        <v>88.680949204977921</v>
      </c>
    </row>
    <row r="4686" spans="1:17" x14ac:dyDescent="0.2">
      <c r="A4686">
        <f>YEAR(D4686)</f>
        <v>2020</v>
      </c>
      <c r="B4686" t="s">
        <v>26</v>
      </c>
      <c r="C4686" s="2" t="s">
        <v>3027</v>
      </c>
      <c r="D4686" s="1">
        <v>43964</v>
      </c>
      <c r="E4686">
        <f>MONTH(D4686)</f>
        <v>5</v>
      </c>
      <c r="F4686" s="2" t="s">
        <v>2098</v>
      </c>
      <c r="G4686" t="s">
        <v>352</v>
      </c>
      <c r="H4686" t="s">
        <v>1459</v>
      </c>
      <c r="I4686" t="s">
        <v>22</v>
      </c>
      <c r="J4686" s="2" t="s">
        <v>42</v>
      </c>
      <c r="K4686" s="2" t="s">
        <v>3019</v>
      </c>
      <c r="L4686" t="s">
        <v>25</v>
      </c>
      <c r="M4686" s="8">
        <v>1.1910000000000001</v>
      </c>
      <c r="N4686" t="s">
        <v>26</v>
      </c>
      <c r="O4686" s="8">
        <v>1.1910000000000001</v>
      </c>
      <c r="P4686" s="8">
        <f>EXP(-1.363+3.366*LOG(O4686,10))</f>
        <v>0.33039016297752993</v>
      </c>
      <c r="Q4686" s="8">
        <f>(3939723*100)/4442581</f>
        <v>88.680949204977921</v>
      </c>
    </row>
    <row r="4687" spans="1:17" x14ac:dyDescent="0.2">
      <c r="A4687">
        <f>YEAR(D4687)</f>
        <v>2020</v>
      </c>
      <c r="B4687" t="s">
        <v>26</v>
      </c>
      <c r="C4687" s="2" t="s">
        <v>3027</v>
      </c>
      <c r="D4687" s="1">
        <v>43964</v>
      </c>
      <c r="E4687">
        <f>MONTH(D4687)</f>
        <v>5</v>
      </c>
      <c r="F4687" s="2" t="s">
        <v>2098</v>
      </c>
      <c r="G4687" t="s">
        <v>20</v>
      </c>
      <c r="H4687" t="s">
        <v>183</v>
      </c>
      <c r="I4687" t="s">
        <v>22</v>
      </c>
      <c r="J4687" s="2" t="s">
        <v>42</v>
      </c>
      <c r="K4687" s="2" t="s">
        <v>3019</v>
      </c>
      <c r="L4687" t="s">
        <v>25</v>
      </c>
      <c r="M4687" s="8">
        <v>2.7893333330000001</v>
      </c>
      <c r="N4687" t="s">
        <v>26</v>
      </c>
      <c r="O4687" s="8">
        <v>2.7893333330000001</v>
      </c>
      <c r="P4687" s="8">
        <f>EXP(-1.363+3.366*LOG(O4687,10))</f>
        <v>1.1463172389308915</v>
      </c>
      <c r="Q4687" s="8">
        <f>(3939723*100)/4442581</f>
        <v>88.680949204977921</v>
      </c>
    </row>
    <row r="4688" spans="1:17" x14ac:dyDescent="0.2">
      <c r="A4688">
        <f>YEAR(D4688)</f>
        <v>2020</v>
      </c>
      <c r="B4688" t="s">
        <v>26</v>
      </c>
      <c r="C4688" s="2" t="s">
        <v>3021</v>
      </c>
      <c r="D4688" s="1">
        <v>43965</v>
      </c>
      <c r="E4688">
        <f>MONTH(D4688)</f>
        <v>5</v>
      </c>
      <c r="F4688" s="2" t="s">
        <v>2098</v>
      </c>
      <c r="G4688" t="s">
        <v>219</v>
      </c>
      <c r="H4688" t="s">
        <v>220</v>
      </c>
      <c r="I4688" t="s">
        <v>22</v>
      </c>
      <c r="J4688" s="2" t="s">
        <v>42</v>
      </c>
      <c r="K4688" s="2" t="s">
        <v>3019</v>
      </c>
      <c r="L4688" t="s">
        <v>25</v>
      </c>
      <c r="M4688" s="10" t="s">
        <v>26</v>
      </c>
      <c r="N4688" t="s">
        <v>26</v>
      </c>
      <c r="O4688" s="10" t="s">
        <v>26</v>
      </c>
      <c r="P4688" s="8" t="s">
        <v>26</v>
      </c>
      <c r="Q4688" s="8">
        <f>(1845879*100)/1946364</f>
        <v>94.837296620775973</v>
      </c>
    </row>
    <row r="4689" spans="1:17" ht="16" x14ac:dyDescent="0.2">
      <c r="A4689">
        <f>YEAR(D4689)</f>
        <v>2020</v>
      </c>
      <c r="B4689" t="s">
        <v>26</v>
      </c>
      <c r="C4689" s="2" t="s">
        <v>3021</v>
      </c>
      <c r="D4689" s="1">
        <v>43965</v>
      </c>
      <c r="E4689">
        <f>MONTH(D4689)</f>
        <v>5</v>
      </c>
      <c r="F4689" s="2" t="s">
        <v>2098</v>
      </c>
      <c r="G4689" t="s">
        <v>230</v>
      </c>
      <c r="H4689" t="s">
        <v>2260</v>
      </c>
      <c r="I4689" s="3" t="s">
        <v>26</v>
      </c>
      <c r="J4689" s="2" t="s">
        <v>42</v>
      </c>
      <c r="K4689" s="2" t="s">
        <v>3019</v>
      </c>
      <c r="L4689" t="s">
        <v>305</v>
      </c>
      <c r="M4689" s="10" t="s">
        <v>26</v>
      </c>
      <c r="N4689" t="s">
        <v>26</v>
      </c>
      <c r="O4689" s="8" t="s">
        <v>26</v>
      </c>
      <c r="P4689" s="8" t="s">
        <v>26</v>
      </c>
      <c r="Q4689" s="8">
        <f>(1845879*100)/1946364</f>
        <v>94.837296620775973</v>
      </c>
    </row>
    <row r="4690" spans="1:17" ht="16" x14ac:dyDescent="0.2">
      <c r="A4690">
        <f>YEAR(D4690)</f>
        <v>2020</v>
      </c>
      <c r="B4690" t="s">
        <v>26</v>
      </c>
      <c r="C4690" s="2" t="s">
        <v>3021</v>
      </c>
      <c r="D4690" s="1">
        <v>43965</v>
      </c>
      <c r="E4690">
        <f>MONTH(D4690)</f>
        <v>5</v>
      </c>
      <c r="F4690" s="2" t="s">
        <v>2098</v>
      </c>
      <c r="G4690" t="s">
        <v>230</v>
      </c>
      <c r="H4690" t="s">
        <v>2260</v>
      </c>
      <c r="I4690" s="3" t="s">
        <v>26</v>
      </c>
      <c r="J4690" s="2" t="s">
        <v>42</v>
      </c>
      <c r="K4690" s="2" t="s">
        <v>3019</v>
      </c>
      <c r="L4690" t="s">
        <v>305</v>
      </c>
      <c r="M4690" s="10" t="s">
        <v>26</v>
      </c>
      <c r="N4690" t="s">
        <v>26</v>
      </c>
      <c r="O4690" s="8" t="s">
        <v>26</v>
      </c>
      <c r="P4690" s="8" t="s">
        <v>26</v>
      </c>
      <c r="Q4690" s="8">
        <f>(1845879*100)/1946364</f>
        <v>94.837296620775973</v>
      </c>
    </row>
    <row r="4691" spans="1:17" x14ac:dyDescent="0.2">
      <c r="A4691">
        <f>YEAR(D4691)</f>
        <v>2020</v>
      </c>
      <c r="B4691" t="s">
        <v>26</v>
      </c>
      <c r="C4691" s="2" t="s">
        <v>3020</v>
      </c>
      <c r="D4691" s="1">
        <v>43965</v>
      </c>
      <c r="E4691">
        <f>MONTH(D4691)</f>
        <v>5</v>
      </c>
      <c r="F4691" s="2" t="s">
        <v>2098</v>
      </c>
      <c r="G4691" t="s">
        <v>219</v>
      </c>
      <c r="H4691" t="s">
        <v>220</v>
      </c>
      <c r="I4691" t="s">
        <v>22</v>
      </c>
      <c r="J4691" s="2" t="s">
        <v>42</v>
      </c>
      <c r="K4691" s="2" t="s">
        <v>3019</v>
      </c>
      <c r="L4691" t="s">
        <v>25</v>
      </c>
      <c r="M4691" s="10" t="s">
        <v>26</v>
      </c>
      <c r="N4691" t="s">
        <v>26</v>
      </c>
      <c r="O4691" s="10" t="s">
        <v>26</v>
      </c>
      <c r="P4691" s="8" t="s">
        <v>26</v>
      </c>
      <c r="Q4691" s="8">
        <f>(3359412*100)/3462762</f>
        <v>97.015388294084318</v>
      </c>
    </row>
    <row r="4692" spans="1:17" x14ac:dyDescent="0.2">
      <c r="A4692">
        <f>YEAR(D4692)</f>
        <v>2020</v>
      </c>
      <c r="B4692" t="s">
        <v>26</v>
      </c>
      <c r="C4692" s="2" t="s">
        <v>3020</v>
      </c>
      <c r="D4692" s="1">
        <v>43965</v>
      </c>
      <c r="E4692">
        <f>MONTH(D4692)</f>
        <v>5</v>
      </c>
      <c r="F4692" s="2" t="s">
        <v>2098</v>
      </c>
      <c r="G4692" t="s">
        <v>219</v>
      </c>
      <c r="H4692" t="s">
        <v>220</v>
      </c>
      <c r="I4692" t="s">
        <v>22</v>
      </c>
      <c r="J4692" s="2" t="s">
        <v>42</v>
      </c>
      <c r="K4692" s="2" t="s">
        <v>3019</v>
      </c>
      <c r="L4692" t="s">
        <v>25</v>
      </c>
      <c r="M4692" s="10" t="s">
        <v>26</v>
      </c>
      <c r="N4692" t="s">
        <v>26</v>
      </c>
      <c r="O4692" s="10" t="s">
        <v>26</v>
      </c>
      <c r="P4692" s="8" t="s">
        <v>26</v>
      </c>
      <c r="Q4692" s="8">
        <f>(3359412*100)/3462762</f>
        <v>97.015388294084318</v>
      </c>
    </row>
    <row r="4693" spans="1:17" x14ac:dyDescent="0.2">
      <c r="A4693">
        <f>YEAR(D4693)</f>
        <v>2020</v>
      </c>
      <c r="B4693" t="s">
        <v>26</v>
      </c>
      <c r="C4693" s="2" t="s">
        <v>3020</v>
      </c>
      <c r="D4693" s="1">
        <v>43965</v>
      </c>
      <c r="E4693">
        <f>MONTH(D4693)</f>
        <v>5</v>
      </c>
      <c r="F4693" s="2" t="s">
        <v>2098</v>
      </c>
      <c r="G4693" t="s">
        <v>219</v>
      </c>
      <c r="H4693" t="s">
        <v>220</v>
      </c>
      <c r="I4693" t="s">
        <v>22</v>
      </c>
      <c r="J4693" s="2" t="s">
        <v>42</v>
      </c>
      <c r="K4693" s="2" t="s">
        <v>3019</v>
      </c>
      <c r="L4693" t="s">
        <v>25</v>
      </c>
      <c r="M4693" s="10" t="s">
        <v>26</v>
      </c>
      <c r="N4693" t="s">
        <v>26</v>
      </c>
      <c r="O4693" s="10" t="s">
        <v>26</v>
      </c>
      <c r="P4693" s="8" t="s">
        <v>26</v>
      </c>
      <c r="Q4693" s="8">
        <f>(3359412*100)/3462762</f>
        <v>97.015388294084318</v>
      </c>
    </row>
    <row r="4694" spans="1:17" x14ac:dyDescent="0.2">
      <c r="A4694">
        <f>YEAR(D4694)</f>
        <v>2020</v>
      </c>
      <c r="B4694" t="s">
        <v>26</v>
      </c>
      <c r="C4694" s="2" t="s">
        <v>3020</v>
      </c>
      <c r="D4694" s="1">
        <v>43965</v>
      </c>
      <c r="E4694">
        <f>MONTH(D4694)</f>
        <v>5</v>
      </c>
      <c r="F4694" s="2" t="s">
        <v>2098</v>
      </c>
      <c r="G4694" t="s">
        <v>219</v>
      </c>
      <c r="H4694" t="s">
        <v>220</v>
      </c>
      <c r="I4694" t="s">
        <v>22</v>
      </c>
      <c r="J4694" s="2" t="s">
        <v>42</v>
      </c>
      <c r="K4694" s="2" t="s">
        <v>3019</v>
      </c>
      <c r="L4694" t="s">
        <v>25</v>
      </c>
      <c r="M4694" s="10" t="s">
        <v>26</v>
      </c>
      <c r="N4694" t="s">
        <v>26</v>
      </c>
      <c r="O4694" s="10" t="s">
        <v>26</v>
      </c>
      <c r="P4694" s="8" t="s">
        <v>26</v>
      </c>
      <c r="Q4694" s="8">
        <f>(3359412*100)/3462762</f>
        <v>97.015388294084318</v>
      </c>
    </row>
    <row r="4695" spans="1:17" x14ac:dyDescent="0.2">
      <c r="A4695">
        <f>YEAR(D4695)</f>
        <v>2020</v>
      </c>
      <c r="B4695" t="s">
        <v>26</v>
      </c>
      <c r="C4695" s="2" t="s">
        <v>3020</v>
      </c>
      <c r="D4695" s="1">
        <v>43965</v>
      </c>
      <c r="E4695">
        <f>MONTH(D4695)</f>
        <v>5</v>
      </c>
      <c r="F4695" s="2" t="s">
        <v>2098</v>
      </c>
      <c r="G4695" t="s">
        <v>219</v>
      </c>
      <c r="H4695" t="s">
        <v>220</v>
      </c>
      <c r="I4695" t="s">
        <v>22</v>
      </c>
      <c r="J4695" s="2" t="s">
        <v>42</v>
      </c>
      <c r="K4695" s="2" t="s">
        <v>3019</v>
      </c>
      <c r="L4695" t="s">
        <v>25</v>
      </c>
      <c r="M4695" s="10" t="s">
        <v>26</v>
      </c>
      <c r="N4695" t="s">
        <v>26</v>
      </c>
      <c r="O4695" s="10" t="s">
        <v>26</v>
      </c>
      <c r="P4695" s="8" t="s">
        <v>26</v>
      </c>
      <c r="Q4695" s="8">
        <f>(3359412*100)/3462762</f>
        <v>97.015388294084318</v>
      </c>
    </row>
    <row r="4696" spans="1:17" x14ac:dyDescent="0.2">
      <c r="A4696">
        <f>YEAR(D4696)</f>
        <v>2020</v>
      </c>
      <c r="B4696" t="s">
        <v>26</v>
      </c>
      <c r="C4696" s="2" t="s">
        <v>3020</v>
      </c>
      <c r="D4696" s="1">
        <v>43965</v>
      </c>
      <c r="E4696">
        <f>MONTH(D4696)</f>
        <v>5</v>
      </c>
      <c r="F4696" s="2" t="s">
        <v>2098</v>
      </c>
      <c r="G4696" t="s">
        <v>219</v>
      </c>
      <c r="H4696" t="s">
        <v>220</v>
      </c>
      <c r="I4696" t="s">
        <v>22</v>
      </c>
      <c r="J4696" s="2" t="s">
        <v>42</v>
      </c>
      <c r="K4696" s="2" t="s">
        <v>3019</v>
      </c>
      <c r="L4696" t="s">
        <v>25</v>
      </c>
      <c r="M4696" s="10" t="s">
        <v>26</v>
      </c>
      <c r="N4696" t="s">
        <v>26</v>
      </c>
      <c r="O4696" s="10" t="s">
        <v>26</v>
      </c>
      <c r="P4696" s="8" t="s">
        <v>26</v>
      </c>
      <c r="Q4696" s="8">
        <f>(3359412*100)/3462762</f>
        <v>97.015388294084318</v>
      </c>
    </row>
    <row r="4697" spans="1:17" x14ac:dyDescent="0.2">
      <c r="A4697">
        <f>YEAR(D4697)</f>
        <v>2020</v>
      </c>
      <c r="B4697" t="s">
        <v>26</v>
      </c>
      <c r="C4697" s="2" t="s">
        <v>3020</v>
      </c>
      <c r="D4697" s="1">
        <v>43965</v>
      </c>
      <c r="E4697">
        <f>MONTH(D4697)</f>
        <v>5</v>
      </c>
      <c r="F4697" s="2" t="s">
        <v>2098</v>
      </c>
      <c r="G4697" t="s">
        <v>219</v>
      </c>
      <c r="H4697" t="s">
        <v>220</v>
      </c>
      <c r="I4697" t="s">
        <v>22</v>
      </c>
      <c r="J4697" s="2" t="s">
        <v>42</v>
      </c>
      <c r="K4697" s="2" t="s">
        <v>3019</v>
      </c>
      <c r="L4697" t="s">
        <v>25</v>
      </c>
      <c r="M4697" s="10" t="s">
        <v>26</v>
      </c>
      <c r="N4697" t="s">
        <v>26</v>
      </c>
      <c r="O4697" s="10" t="s">
        <v>26</v>
      </c>
      <c r="P4697" s="8" t="s">
        <v>26</v>
      </c>
      <c r="Q4697" s="8">
        <f>(3359412*100)/3462762</f>
        <v>97.015388294084318</v>
      </c>
    </row>
    <row r="4698" spans="1:17" x14ac:dyDescent="0.2">
      <c r="A4698">
        <f>YEAR(D4698)</f>
        <v>2020</v>
      </c>
      <c r="B4698" t="s">
        <v>26</v>
      </c>
      <c r="C4698" s="2" t="s">
        <v>3020</v>
      </c>
      <c r="D4698" s="1">
        <v>43965</v>
      </c>
      <c r="E4698">
        <f>MONTH(D4698)</f>
        <v>5</v>
      </c>
      <c r="F4698" s="2" t="s">
        <v>2098</v>
      </c>
      <c r="G4698" t="s">
        <v>219</v>
      </c>
      <c r="H4698" t="s">
        <v>220</v>
      </c>
      <c r="I4698" t="s">
        <v>22</v>
      </c>
      <c r="J4698" s="2" t="s">
        <v>42</v>
      </c>
      <c r="K4698" s="2" t="s">
        <v>3019</v>
      </c>
      <c r="L4698" t="s">
        <v>25</v>
      </c>
      <c r="M4698" s="10" t="s">
        <v>26</v>
      </c>
      <c r="N4698" t="s">
        <v>26</v>
      </c>
      <c r="O4698" s="10" t="s">
        <v>26</v>
      </c>
      <c r="P4698" s="8" t="s">
        <v>26</v>
      </c>
      <c r="Q4698" s="8">
        <f>(3359412*100)/3462762</f>
        <v>97.015388294084318</v>
      </c>
    </row>
    <row r="4699" spans="1:17" x14ac:dyDescent="0.2">
      <c r="A4699">
        <f>YEAR(D4699)</f>
        <v>2020</v>
      </c>
      <c r="B4699" t="s">
        <v>26</v>
      </c>
      <c r="C4699" s="2" t="s">
        <v>3020</v>
      </c>
      <c r="D4699" s="1">
        <v>43965</v>
      </c>
      <c r="E4699">
        <f>MONTH(D4699)</f>
        <v>5</v>
      </c>
      <c r="F4699" s="2" t="s">
        <v>2098</v>
      </c>
      <c r="G4699" t="s">
        <v>219</v>
      </c>
      <c r="H4699" t="s">
        <v>220</v>
      </c>
      <c r="I4699" t="s">
        <v>22</v>
      </c>
      <c r="J4699" s="2" t="s">
        <v>42</v>
      </c>
      <c r="K4699" s="2" t="s">
        <v>3019</v>
      </c>
      <c r="L4699" t="s">
        <v>25</v>
      </c>
      <c r="M4699" s="10" t="s">
        <v>26</v>
      </c>
      <c r="N4699" t="s">
        <v>26</v>
      </c>
      <c r="O4699" s="10" t="s">
        <v>26</v>
      </c>
      <c r="P4699" s="8" t="s">
        <v>26</v>
      </c>
      <c r="Q4699" s="8">
        <f>(3359412*100)/3462762</f>
        <v>97.015388294084318</v>
      </c>
    </row>
    <row r="4700" spans="1:17" x14ac:dyDescent="0.2">
      <c r="A4700">
        <f>YEAR(D4700)</f>
        <v>2020</v>
      </c>
      <c r="B4700" t="s">
        <v>26</v>
      </c>
      <c r="C4700" s="2" t="s">
        <v>3020</v>
      </c>
      <c r="D4700" s="1">
        <v>43965</v>
      </c>
      <c r="E4700">
        <f>MONTH(D4700)</f>
        <v>5</v>
      </c>
      <c r="F4700" s="2" t="s">
        <v>2098</v>
      </c>
      <c r="G4700" t="s">
        <v>219</v>
      </c>
      <c r="H4700" t="s">
        <v>220</v>
      </c>
      <c r="I4700" t="s">
        <v>22</v>
      </c>
      <c r="J4700" s="2" t="s">
        <v>42</v>
      </c>
      <c r="K4700" s="2" t="s">
        <v>3019</v>
      </c>
      <c r="L4700" t="s">
        <v>25</v>
      </c>
      <c r="M4700" s="10" t="s">
        <v>26</v>
      </c>
      <c r="N4700" t="s">
        <v>26</v>
      </c>
      <c r="O4700" s="10" t="s">
        <v>26</v>
      </c>
      <c r="P4700" s="8" t="s">
        <v>26</v>
      </c>
      <c r="Q4700" s="8">
        <f>(3359412*100)/3462762</f>
        <v>97.015388294084318</v>
      </c>
    </row>
    <row r="4701" spans="1:17" x14ac:dyDescent="0.2">
      <c r="A4701">
        <f>YEAR(D4701)</f>
        <v>2020</v>
      </c>
      <c r="B4701" t="s">
        <v>26</v>
      </c>
      <c r="C4701" s="2" t="s">
        <v>3020</v>
      </c>
      <c r="D4701" s="1">
        <v>43965</v>
      </c>
      <c r="E4701">
        <f>MONTH(D4701)</f>
        <v>5</v>
      </c>
      <c r="F4701" s="2" t="s">
        <v>2098</v>
      </c>
      <c r="G4701" t="s">
        <v>219</v>
      </c>
      <c r="H4701" t="s">
        <v>220</v>
      </c>
      <c r="I4701" t="s">
        <v>22</v>
      </c>
      <c r="J4701" s="2" t="s">
        <v>42</v>
      </c>
      <c r="K4701" s="2" t="s">
        <v>3019</v>
      </c>
      <c r="L4701" t="s">
        <v>25</v>
      </c>
      <c r="M4701" s="10" t="s">
        <v>26</v>
      </c>
      <c r="N4701" t="s">
        <v>26</v>
      </c>
      <c r="O4701" s="10" t="s">
        <v>26</v>
      </c>
      <c r="P4701" s="8" t="s">
        <v>26</v>
      </c>
      <c r="Q4701" s="8">
        <f>(3359412*100)/3462762</f>
        <v>97.015388294084318</v>
      </c>
    </row>
    <row r="4702" spans="1:17" x14ac:dyDescent="0.2">
      <c r="A4702">
        <f>YEAR(D4702)</f>
        <v>2020</v>
      </c>
      <c r="B4702" t="s">
        <v>26</v>
      </c>
      <c r="C4702" s="2" t="s">
        <v>3020</v>
      </c>
      <c r="D4702" s="1">
        <v>43965</v>
      </c>
      <c r="E4702">
        <f>MONTH(D4702)</f>
        <v>5</v>
      </c>
      <c r="F4702" s="2" t="s">
        <v>2098</v>
      </c>
      <c r="G4702" t="s">
        <v>219</v>
      </c>
      <c r="H4702" t="s">
        <v>220</v>
      </c>
      <c r="I4702" t="s">
        <v>22</v>
      </c>
      <c r="J4702" s="2" t="s">
        <v>42</v>
      </c>
      <c r="K4702" s="2" t="s">
        <v>3019</v>
      </c>
      <c r="L4702" t="s">
        <v>25</v>
      </c>
      <c r="M4702" s="10" t="s">
        <v>26</v>
      </c>
      <c r="N4702" t="s">
        <v>26</v>
      </c>
      <c r="O4702" s="10" t="s">
        <v>26</v>
      </c>
      <c r="P4702" s="8" t="s">
        <v>26</v>
      </c>
      <c r="Q4702" s="8">
        <f>(3359412*100)/3462762</f>
        <v>97.015388294084318</v>
      </c>
    </row>
    <row r="4703" spans="1:17" x14ac:dyDescent="0.2">
      <c r="A4703">
        <f>YEAR(D4703)</f>
        <v>2020</v>
      </c>
      <c r="B4703" t="s">
        <v>26</v>
      </c>
      <c r="C4703" s="2" t="s">
        <v>3020</v>
      </c>
      <c r="D4703" s="1">
        <v>43965</v>
      </c>
      <c r="E4703">
        <f>MONTH(D4703)</f>
        <v>5</v>
      </c>
      <c r="F4703" s="2" t="s">
        <v>2098</v>
      </c>
      <c r="G4703" t="s">
        <v>219</v>
      </c>
      <c r="H4703" t="s">
        <v>220</v>
      </c>
      <c r="I4703" t="s">
        <v>22</v>
      </c>
      <c r="J4703" s="2" t="s">
        <v>42</v>
      </c>
      <c r="K4703" s="2" t="s">
        <v>3019</v>
      </c>
      <c r="L4703" t="s">
        <v>25</v>
      </c>
      <c r="M4703" s="10" t="s">
        <v>26</v>
      </c>
      <c r="N4703" t="s">
        <v>26</v>
      </c>
      <c r="O4703" s="10" t="s">
        <v>26</v>
      </c>
      <c r="P4703" s="8" t="s">
        <v>26</v>
      </c>
      <c r="Q4703" s="8">
        <f>(3359412*100)/3462762</f>
        <v>97.015388294084318</v>
      </c>
    </row>
    <row r="4704" spans="1:17" x14ac:dyDescent="0.2">
      <c r="A4704">
        <f>YEAR(D4704)</f>
        <v>2020</v>
      </c>
      <c r="B4704" t="s">
        <v>26</v>
      </c>
      <c r="C4704" s="2" t="s">
        <v>3020</v>
      </c>
      <c r="D4704" s="1">
        <v>43965</v>
      </c>
      <c r="E4704">
        <f>MONTH(D4704)</f>
        <v>5</v>
      </c>
      <c r="F4704" s="2" t="s">
        <v>2098</v>
      </c>
      <c r="G4704" t="s">
        <v>219</v>
      </c>
      <c r="H4704" t="s">
        <v>220</v>
      </c>
      <c r="I4704" t="s">
        <v>22</v>
      </c>
      <c r="J4704" s="2" t="s">
        <v>42</v>
      </c>
      <c r="K4704" s="2" t="s">
        <v>3019</v>
      </c>
      <c r="L4704" t="s">
        <v>25</v>
      </c>
      <c r="M4704" s="10" t="s">
        <v>26</v>
      </c>
      <c r="N4704" t="s">
        <v>26</v>
      </c>
      <c r="O4704" s="10" t="s">
        <v>26</v>
      </c>
      <c r="P4704" s="8" t="s">
        <v>26</v>
      </c>
      <c r="Q4704" s="8">
        <f>(3359412*100)/3462762</f>
        <v>97.015388294084318</v>
      </c>
    </row>
    <row r="4705" spans="1:17" x14ac:dyDescent="0.2">
      <c r="A4705">
        <f>YEAR(D4705)</f>
        <v>2020</v>
      </c>
      <c r="B4705" t="s">
        <v>26</v>
      </c>
      <c r="C4705" s="2" t="s">
        <v>3020</v>
      </c>
      <c r="D4705" s="1">
        <v>43965</v>
      </c>
      <c r="E4705">
        <f>MONTH(D4705)</f>
        <v>5</v>
      </c>
      <c r="F4705" s="2" t="s">
        <v>2098</v>
      </c>
      <c r="G4705" t="s">
        <v>219</v>
      </c>
      <c r="H4705" t="s">
        <v>220</v>
      </c>
      <c r="I4705" t="s">
        <v>22</v>
      </c>
      <c r="J4705" s="2" t="s">
        <v>42</v>
      </c>
      <c r="K4705" s="2" t="s">
        <v>3019</v>
      </c>
      <c r="L4705" t="s">
        <v>25</v>
      </c>
      <c r="M4705" s="10" t="s">
        <v>26</v>
      </c>
      <c r="N4705" t="s">
        <v>26</v>
      </c>
      <c r="O4705" s="10" t="s">
        <v>26</v>
      </c>
      <c r="P4705" s="8" t="s">
        <v>26</v>
      </c>
      <c r="Q4705" s="8">
        <f>(3359412*100)/3462762</f>
        <v>97.015388294084318</v>
      </c>
    </row>
    <row r="4706" spans="1:17" x14ac:dyDescent="0.2">
      <c r="A4706">
        <f>YEAR(D4706)</f>
        <v>2020</v>
      </c>
      <c r="B4706" t="s">
        <v>26</v>
      </c>
      <c r="C4706" s="2" t="s">
        <v>3020</v>
      </c>
      <c r="D4706" s="1">
        <v>43965</v>
      </c>
      <c r="E4706">
        <f>MONTH(D4706)</f>
        <v>5</v>
      </c>
      <c r="F4706" s="2" t="s">
        <v>2098</v>
      </c>
      <c r="G4706" t="s">
        <v>219</v>
      </c>
      <c r="H4706" t="s">
        <v>220</v>
      </c>
      <c r="I4706" t="s">
        <v>22</v>
      </c>
      <c r="J4706" s="2" t="s">
        <v>42</v>
      </c>
      <c r="K4706" s="2" t="s">
        <v>3019</v>
      </c>
      <c r="L4706" t="s">
        <v>25</v>
      </c>
      <c r="M4706" s="10" t="s">
        <v>26</v>
      </c>
      <c r="N4706" t="s">
        <v>26</v>
      </c>
      <c r="O4706" s="10" t="s">
        <v>26</v>
      </c>
      <c r="P4706" s="8" t="s">
        <v>26</v>
      </c>
      <c r="Q4706" s="8">
        <f>(3359412*100)/3462762</f>
        <v>97.015388294084318</v>
      </c>
    </row>
    <row r="4707" spans="1:17" x14ac:dyDescent="0.2">
      <c r="A4707">
        <f>YEAR(D4707)</f>
        <v>2020</v>
      </c>
      <c r="B4707" t="s">
        <v>26</v>
      </c>
      <c r="C4707" s="2" t="s">
        <v>3020</v>
      </c>
      <c r="D4707" s="1">
        <v>43965</v>
      </c>
      <c r="E4707">
        <f>MONTH(D4707)</f>
        <v>5</v>
      </c>
      <c r="F4707" s="2" t="s">
        <v>2098</v>
      </c>
      <c r="G4707" t="s">
        <v>219</v>
      </c>
      <c r="H4707" t="s">
        <v>220</v>
      </c>
      <c r="I4707" t="s">
        <v>22</v>
      </c>
      <c r="J4707" s="2" t="s">
        <v>42</v>
      </c>
      <c r="K4707" s="2" t="s">
        <v>3019</v>
      </c>
      <c r="L4707" t="s">
        <v>25</v>
      </c>
      <c r="M4707" s="10" t="s">
        <v>26</v>
      </c>
      <c r="N4707" t="s">
        <v>26</v>
      </c>
      <c r="O4707" s="10" t="s">
        <v>26</v>
      </c>
      <c r="P4707" s="8" t="s">
        <v>26</v>
      </c>
      <c r="Q4707" s="8">
        <f>(3359412*100)/3462762</f>
        <v>97.015388294084318</v>
      </c>
    </row>
    <row r="4708" spans="1:17" x14ac:dyDescent="0.2">
      <c r="A4708">
        <f>YEAR(D4708)</f>
        <v>2020</v>
      </c>
      <c r="B4708" t="s">
        <v>26</v>
      </c>
      <c r="C4708" s="2" t="s">
        <v>3020</v>
      </c>
      <c r="D4708" s="1">
        <v>43965</v>
      </c>
      <c r="E4708">
        <f>MONTH(D4708)</f>
        <v>5</v>
      </c>
      <c r="F4708" s="2" t="s">
        <v>2098</v>
      </c>
      <c r="G4708" t="s">
        <v>219</v>
      </c>
      <c r="H4708" t="s">
        <v>220</v>
      </c>
      <c r="I4708" t="s">
        <v>22</v>
      </c>
      <c r="J4708" s="2" t="s">
        <v>42</v>
      </c>
      <c r="K4708" s="2" t="s">
        <v>3019</v>
      </c>
      <c r="L4708" t="s">
        <v>25</v>
      </c>
      <c r="M4708" s="10" t="s">
        <v>26</v>
      </c>
      <c r="N4708" t="s">
        <v>26</v>
      </c>
      <c r="O4708" s="10" t="s">
        <v>26</v>
      </c>
      <c r="P4708" s="8" t="s">
        <v>26</v>
      </c>
      <c r="Q4708" s="8">
        <f>(3359412*100)/3462762</f>
        <v>97.015388294084318</v>
      </c>
    </row>
    <row r="4709" spans="1:17" x14ac:dyDescent="0.2">
      <c r="A4709">
        <f>YEAR(D4709)</f>
        <v>2020</v>
      </c>
      <c r="B4709" t="s">
        <v>26</v>
      </c>
      <c r="C4709" s="2" t="s">
        <v>3020</v>
      </c>
      <c r="D4709" s="1">
        <v>43965</v>
      </c>
      <c r="E4709">
        <f>MONTH(D4709)</f>
        <v>5</v>
      </c>
      <c r="F4709" s="2" t="s">
        <v>2098</v>
      </c>
      <c r="G4709" t="s">
        <v>219</v>
      </c>
      <c r="H4709" t="s">
        <v>220</v>
      </c>
      <c r="I4709" t="s">
        <v>22</v>
      </c>
      <c r="J4709" s="2" t="s">
        <v>42</v>
      </c>
      <c r="K4709" s="2" t="s">
        <v>3019</v>
      </c>
      <c r="L4709" t="s">
        <v>25</v>
      </c>
      <c r="M4709" s="10" t="s">
        <v>26</v>
      </c>
      <c r="N4709" t="s">
        <v>26</v>
      </c>
      <c r="O4709" s="10" t="s">
        <v>26</v>
      </c>
      <c r="P4709" s="8" t="s">
        <v>26</v>
      </c>
      <c r="Q4709" s="8">
        <f>(3359412*100)/3462762</f>
        <v>97.015388294084318</v>
      </c>
    </row>
    <row r="4710" spans="1:17" x14ac:dyDescent="0.2">
      <c r="A4710">
        <f>YEAR(D4710)</f>
        <v>2020</v>
      </c>
      <c r="B4710" t="s">
        <v>26</v>
      </c>
      <c r="C4710" s="2" t="s">
        <v>3020</v>
      </c>
      <c r="D4710" s="1">
        <v>43965</v>
      </c>
      <c r="E4710">
        <f>MONTH(D4710)</f>
        <v>5</v>
      </c>
      <c r="F4710" s="2" t="s">
        <v>2098</v>
      </c>
      <c r="G4710" t="s">
        <v>219</v>
      </c>
      <c r="H4710" t="s">
        <v>220</v>
      </c>
      <c r="I4710" t="s">
        <v>22</v>
      </c>
      <c r="J4710" s="2" t="s">
        <v>42</v>
      </c>
      <c r="K4710" s="2" t="s">
        <v>3019</v>
      </c>
      <c r="L4710" t="s">
        <v>25</v>
      </c>
      <c r="M4710" s="10" t="s">
        <v>26</v>
      </c>
      <c r="N4710" t="s">
        <v>26</v>
      </c>
      <c r="O4710" s="10" t="s">
        <v>26</v>
      </c>
      <c r="P4710" s="8" t="s">
        <v>26</v>
      </c>
      <c r="Q4710" s="8">
        <f>(3359412*100)/3462762</f>
        <v>97.015388294084318</v>
      </c>
    </row>
    <row r="4711" spans="1:17" x14ac:dyDescent="0.2">
      <c r="A4711">
        <f>YEAR(D4711)</f>
        <v>2020</v>
      </c>
      <c r="B4711" t="s">
        <v>26</v>
      </c>
      <c r="C4711" s="2" t="s">
        <v>3020</v>
      </c>
      <c r="D4711" s="1">
        <v>43965</v>
      </c>
      <c r="E4711">
        <f>MONTH(D4711)</f>
        <v>5</v>
      </c>
      <c r="F4711" s="2" t="s">
        <v>2098</v>
      </c>
      <c r="G4711" t="s">
        <v>219</v>
      </c>
      <c r="H4711" t="s">
        <v>220</v>
      </c>
      <c r="I4711" t="s">
        <v>22</v>
      </c>
      <c r="J4711" s="2" t="s">
        <v>42</v>
      </c>
      <c r="K4711" s="2" t="s">
        <v>3019</v>
      </c>
      <c r="L4711" t="s">
        <v>25</v>
      </c>
      <c r="M4711" s="10" t="s">
        <v>26</v>
      </c>
      <c r="N4711" t="s">
        <v>26</v>
      </c>
      <c r="O4711" s="10" t="s">
        <v>26</v>
      </c>
      <c r="P4711" s="8" t="s">
        <v>26</v>
      </c>
      <c r="Q4711" s="8">
        <f>(3359412*100)/3462762</f>
        <v>97.015388294084318</v>
      </c>
    </row>
    <row r="4712" spans="1:17" x14ac:dyDescent="0.2">
      <c r="A4712">
        <f>YEAR(D4712)</f>
        <v>2020</v>
      </c>
      <c r="B4712" t="s">
        <v>26</v>
      </c>
      <c r="C4712" s="2" t="s">
        <v>3020</v>
      </c>
      <c r="D4712" s="1">
        <v>43965</v>
      </c>
      <c r="E4712">
        <f>MONTH(D4712)</f>
        <v>5</v>
      </c>
      <c r="F4712" s="2" t="s">
        <v>2098</v>
      </c>
      <c r="G4712" t="s">
        <v>219</v>
      </c>
      <c r="H4712" t="s">
        <v>220</v>
      </c>
      <c r="I4712" t="s">
        <v>22</v>
      </c>
      <c r="J4712" s="2" t="s">
        <v>42</v>
      </c>
      <c r="K4712" s="2" t="s">
        <v>3019</v>
      </c>
      <c r="L4712" t="s">
        <v>25</v>
      </c>
      <c r="M4712" s="10" t="s">
        <v>26</v>
      </c>
      <c r="N4712" t="s">
        <v>26</v>
      </c>
      <c r="O4712" s="10" t="s">
        <v>26</v>
      </c>
      <c r="P4712" s="8" t="s">
        <v>26</v>
      </c>
      <c r="Q4712" s="8">
        <f>(3359412*100)/3462762</f>
        <v>97.015388294084318</v>
      </c>
    </row>
    <row r="4713" spans="1:17" x14ac:dyDescent="0.2">
      <c r="A4713">
        <f>YEAR(D4713)</f>
        <v>2020</v>
      </c>
      <c r="B4713" t="s">
        <v>26</v>
      </c>
      <c r="C4713" s="2" t="s">
        <v>3020</v>
      </c>
      <c r="D4713" s="1">
        <v>43965</v>
      </c>
      <c r="E4713">
        <f>MONTH(D4713)</f>
        <v>5</v>
      </c>
      <c r="F4713" s="2" t="s">
        <v>2098</v>
      </c>
      <c r="G4713" t="s">
        <v>219</v>
      </c>
      <c r="H4713" t="s">
        <v>220</v>
      </c>
      <c r="I4713" t="s">
        <v>22</v>
      </c>
      <c r="J4713" s="2" t="s">
        <v>42</v>
      </c>
      <c r="K4713" s="2" t="s">
        <v>3019</v>
      </c>
      <c r="L4713" t="s">
        <v>25</v>
      </c>
      <c r="M4713" s="10" t="s">
        <v>26</v>
      </c>
      <c r="N4713" t="s">
        <v>26</v>
      </c>
      <c r="O4713" s="10" t="s">
        <v>26</v>
      </c>
      <c r="P4713" s="8" t="s">
        <v>26</v>
      </c>
      <c r="Q4713" s="8">
        <f>(3359412*100)/3462762</f>
        <v>97.015388294084318</v>
      </c>
    </row>
    <row r="4714" spans="1:17" x14ac:dyDescent="0.2">
      <c r="A4714">
        <f>YEAR(D4714)</f>
        <v>2020</v>
      </c>
      <c r="B4714" t="s">
        <v>26</v>
      </c>
      <c r="C4714" s="2" t="s">
        <v>3020</v>
      </c>
      <c r="D4714" s="1">
        <v>43965</v>
      </c>
      <c r="E4714">
        <f>MONTH(D4714)</f>
        <v>5</v>
      </c>
      <c r="F4714" s="2" t="s">
        <v>2098</v>
      </c>
      <c r="G4714" t="s">
        <v>219</v>
      </c>
      <c r="H4714" t="s">
        <v>220</v>
      </c>
      <c r="I4714" t="s">
        <v>22</v>
      </c>
      <c r="J4714" s="2" t="s">
        <v>42</v>
      </c>
      <c r="K4714" s="2" t="s">
        <v>3019</v>
      </c>
      <c r="L4714" t="s">
        <v>25</v>
      </c>
      <c r="M4714" s="10" t="s">
        <v>26</v>
      </c>
      <c r="N4714" t="s">
        <v>26</v>
      </c>
      <c r="O4714" s="10" t="s">
        <v>26</v>
      </c>
      <c r="P4714" s="8" t="s">
        <v>26</v>
      </c>
      <c r="Q4714" s="8">
        <f>(3359412*100)/3462762</f>
        <v>97.015388294084318</v>
      </c>
    </row>
    <row r="4715" spans="1:17" x14ac:dyDescent="0.2">
      <c r="A4715">
        <f>YEAR(D4715)</f>
        <v>2020</v>
      </c>
      <c r="B4715" t="s">
        <v>26</v>
      </c>
      <c r="C4715" s="2" t="s">
        <v>3020</v>
      </c>
      <c r="D4715" s="1">
        <v>43965</v>
      </c>
      <c r="E4715">
        <f>MONTH(D4715)</f>
        <v>5</v>
      </c>
      <c r="F4715" s="2" t="s">
        <v>2098</v>
      </c>
      <c r="G4715" t="s">
        <v>219</v>
      </c>
      <c r="H4715" t="s">
        <v>220</v>
      </c>
      <c r="I4715" t="s">
        <v>22</v>
      </c>
      <c r="J4715" s="2" t="s">
        <v>42</v>
      </c>
      <c r="K4715" s="2" t="s">
        <v>3019</v>
      </c>
      <c r="L4715" t="s">
        <v>25</v>
      </c>
      <c r="M4715" s="10" t="s">
        <v>26</v>
      </c>
      <c r="N4715" t="s">
        <v>26</v>
      </c>
      <c r="O4715" s="10" t="s">
        <v>26</v>
      </c>
      <c r="P4715" s="8" t="s">
        <v>26</v>
      </c>
      <c r="Q4715" s="8">
        <f>(3359412*100)/3462762</f>
        <v>97.015388294084318</v>
      </c>
    </row>
    <row r="4716" spans="1:17" ht="16" x14ac:dyDescent="0.2">
      <c r="A4716">
        <f>YEAR(D4716)</f>
        <v>2020</v>
      </c>
      <c r="B4716" t="s">
        <v>26</v>
      </c>
      <c r="C4716" s="2" t="s">
        <v>3020</v>
      </c>
      <c r="D4716" s="1">
        <v>43965</v>
      </c>
      <c r="E4716">
        <f>MONTH(D4716)</f>
        <v>5</v>
      </c>
      <c r="F4716" s="2" t="s">
        <v>2098</v>
      </c>
      <c r="G4716" t="s">
        <v>230</v>
      </c>
      <c r="H4716" t="s">
        <v>2260</v>
      </c>
      <c r="I4716" s="3" t="s">
        <v>26</v>
      </c>
      <c r="J4716" s="2" t="s">
        <v>42</v>
      </c>
      <c r="K4716" s="2" t="s">
        <v>3019</v>
      </c>
      <c r="L4716" t="s">
        <v>305</v>
      </c>
      <c r="M4716" s="10" t="s">
        <v>26</v>
      </c>
      <c r="N4716" t="s">
        <v>26</v>
      </c>
      <c r="O4716" s="8" t="s">
        <v>26</v>
      </c>
      <c r="P4716" s="8" t="s">
        <v>26</v>
      </c>
      <c r="Q4716" s="8">
        <f>(3359412*100)/3462762</f>
        <v>97.015388294084318</v>
      </c>
    </row>
    <row r="4717" spans="1:17" ht="16" x14ac:dyDescent="0.2">
      <c r="A4717">
        <f>YEAR(D4717)</f>
        <v>2020</v>
      </c>
      <c r="B4717" t="s">
        <v>26</v>
      </c>
      <c r="C4717" s="2" t="s">
        <v>3020</v>
      </c>
      <c r="D4717" s="1">
        <v>43965</v>
      </c>
      <c r="E4717">
        <f>MONTH(D4717)</f>
        <v>5</v>
      </c>
      <c r="F4717" s="2" t="s">
        <v>2098</v>
      </c>
      <c r="G4717" t="s">
        <v>230</v>
      </c>
      <c r="H4717" t="s">
        <v>2260</v>
      </c>
      <c r="I4717" s="3" t="s">
        <v>26</v>
      </c>
      <c r="J4717" s="2" t="s">
        <v>42</v>
      </c>
      <c r="K4717" s="2" t="s">
        <v>3019</v>
      </c>
      <c r="L4717" t="s">
        <v>305</v>
      </c>
      <c r="M4717" s="10" t="s">
        <v>26</v>
      </c>
      <c r="N4717" t="s">
        <v>26</v>
      </c>
      <c r="O4717" s="8" t="s">
        <v>26</v>
      </c>
      <c r="P4717" s="8" t="s">
        <v>26</v>
      </c>
      <c r="Q4717" s="8">
        <f>(3359412*100)/3462762</f>
        <v>97.015388294084318</v>
      </c>
    </row>
    <row r="4718" spans="1:17" ht="16" x14ac:dyDescent="0.2">
      <c r="A4718">
        <f>YEAR(D4718)</f>
        <v>2020</v>
      </c>
      <c r="B4718" t="s">
        <v>26</v>
      </c>
      <c r="C4718" s="2" t="s">
        <v>3020</v>
      </c>
      <c r="D4718" s="1">
        <v>43965</v>
      </c>
      <c r="E4718">
        <f>MONTH(D4718)</f>
        <v>5</v>
      </c>
      <c r="F4718" s="2" t="s">
        <v>2098</v>
      </c>
      <c r="G4718" t="s">
        <v>230</v>
      </c>
      <c r="H4718" t="s">
        <v>2260</v>
      </c>
      <c r="I4718" s="3" t="s">
        <v>26</v>
      </c>
      <c r="J4718" s="2" t="s">
        <v>42</v>
      </c>
      <c r="K4718" s="2" t="s">
        <v>3019</v>
      </c>
      <c r="L4718" t="s">
        <v>305</v>
      </c>
      <c r="M4718" s="10" t="s">
        <v>26</v>
      </c>
      <c r="N4718" t="s">
        <v>26</v>
      </c>
      <c r="O4718" s="8" t="s">
        <v>26</v>
      </c>
      <c r="P4718" s="8" t="s">
        <v>26</v>
      </c>
      <c r="Q4718" s="8">
        <f>(3359412*100)/3462762</f>
        <v>97.015388294084318</v>
      </c>
    </row>
    <row r="4719" spans="1:17" x14ac:dyDescent="0.2">
      <c r="A4719">
        <f>YEAR(D4719)</f>
        <v>2020</v>
      </c>
      <c r="B4719" t="s">
        <v>26</v>
      </c>
      <c r="C4719" s="2" t="s">
        <v>3020</v>
      </c>
      <c r="D4719" s="1">
        <v>43965</v>
      </c>
      <c r="E4719">
        <f>MONTH(D4719)</f>
        <v>5</v>
      </c>
      <c r="F4719" s="2" t="s">
        <v>2098</v>
      </c>
      <c r="G4719" t="s">
        <v>230</v>
      </c>
      <c r="H4719" t="s">
        <v>259</v>
      </c>
      <c r="I4719" t="s">
        <v>22</v>
      </c>
      <c r="J4719" s="2" t="s">
        <v>42</v>
      </c>
      <c r="K4719" s="2" t="s">
        <v>3019</v>
      </c>
      <c r="L4719" t="s">
        <v>25</v>
      </c>
      <c r="M4719" s="8">
        <v>4.2283333330000001</v>
      </c>
      <c r="N4719" t="s">
        <v>26</v>
      </c>
      <c r="O4719" s="8">
        <v>4.2283333330000001</v>
      </c>
      <c r="P4719" s="8">
        <f>EXP(-1.363+3.366*LOG(O4719,10))</f>
        <v>2.1057792396965977</v>
      </c>
      <c r="Q4719" s="8">
        <f>(3359412*100)/3462762</f>
        <v>97.015388294084318</v>
      </c>
    </row>
    <row r="4720" spans="1:17" x14ac:dyDescent="0.2">
      <c r="A4720">
        <f>YEAR(D4720)</f>
        <v>2020</v>
      </c>
      <c r="B4720" t="s">
        <v>26</v>
      </c>
      <c r="C4720" s="2" t="s">
        <v>3020</v>
      </c>
      <c r="D4720" s="1">
        <v>43965</v>
      </c>
      <c r="E4720">
        <f>MONTH(D4720)</f>
        <v>5</v>
      </c>
      <c r="F4720" s="2" t="s">
        <v>2098</v>
      </c>
      <c r="G4720" t="s">
        <v>230</v>
      </c>
      <c r="H4720" t="s">
        <v>259</v>
      </c>
      <c r="I4720" t="s">
        <v>22</v>
      </c>
      <c r="J4720" s="2" t="s">
        <v>42</v>
      </c>
      <c r="K4720" s="2" t="s">
        <v>3019</v>
      </c>
      <c r="L4720" t="s">
        <v>25</v>
      </c>
      <c r="M4720" s="8">
        <v>4.2283333330000001</v>
      </c>
      <c r="N4720" t="s">
        <v>26</v>
      </c>
      <c r="O4720" s="8">
        <v>4.2283333330000001</v>
      </c>
      <c r="P4720" s="8">
        <f>EXP(-1.363+3.366*LOG(O4720,10))</f>
        <v>2.1057792396965977</v>
      </c>
      <c r="Q4720" s="8">
        <f>(3359412*100)/3462762</f>
        <v>97.015388294084318</v>
      </c>
    </row>
    <row r="4721" spans="1:17" x14ac:dyDescent="0.2">
      <c r="A4721">
        <f>YEAR(D4721)</f>
        <v>2020</v>
      </c>
      <c r="B4721" t="s">
        <v>26</v>
      </c>
      <c r="C4721" s="2" t="s">
        <v>3020</v>
      </c>
      <c r="D4721" s="1">
        <v>43965</v>
      </c>
      <c r="E4721">
        <f>MONTH(D4721)</f>
        <v>5</v>
      </c>
      <c r="F4721" s="2" t="s">
        <v>2098</v>
      </c>
      <c r="G4721" t="s">
        <v>230</v>
      </c>
      <c r="H4721" t="s">
        <v>259</v>
      </c>
      <c r="I4721" t="s">
        <v>22</v>
      </c>
      <c r="J4721" s="2" t="s">
        <v>42</v>
      </c>
      <c r="K4721" s="2" t="s">
        <v>3019</v>
      </c>
      <c r="L4721" t="s">
        <v>25</v>
      </c>
      <c r="M4721" s="8">
        <v>4.2283333330000001</v>
      </c>
      <c r="N4721" t="s">
        <v>26</v>
      </c>
      <c r="O4721" s="8">
        <v>4.2283333330000001</v>
      </c>
      <c r="P4721" s="8">
        <f>EXP(-1.363+3.366*LOG(O4721,10))</f>
        <v>2.1057792396965977</v>
      </c>
      <c r="Q4721" s="8">
        <f>(3359412*100)/3462762</f>
        <v>97.015388294084318</v>
      </c>
    </row>
    <row r="4722" spans="1:17" x14ac:dyDescent="0.2">
      <c r="A4722">
        <f>YEAR(D4722)</f>
        <v>2020</v>
      </c>
      <c r="B4722" t="s">
        <v>26</v>
      </c>
      <c r="C4722" s="2" t="s">
        <v>3021</v>
      </c>
      <c r="D4722" s="1">
        <v>43965</v>
      </c>
      <c r="E4722">
        <f>MONTH(D4722)</f>
        <v>5</v>
      </c>
      <c r="F4722" s="2" t="s">
        <v>2098</v>
      </c>
      <c r="G4722" t="s">
        <v>230</v>
      </c>
      <c r="H4722" t="s">
        <v>268</v>
      </c>
      <c r="I4722" t="s">
        <v>22</v>
      </c>
      <c r="J4722" s="2" t="s">
        <v>42</v>
      </c>
      <c r="K4722" s="2" t="s">
        <v>3019</v>
      </c>
      <c r="L4722" t="s">
        <v>25</v>
      </c>
      <c r="M4722" s="8">
        <v>3.5356666670000001</v>
      </c>
      <c r="N4722" t="s">
        <v>26</v>
      </c>
      <c r="O4722" s="8">
        <v>3.5356666670000001</v>
      </c>
      <c r="P4722" s="8">
        <f>EXP(-1.363+3.366*LOG(O4722,10))</f>
        <v>1.6211802664427075</v>
      </c>
      <c r="Q4722" s="8">
        <f>(1845879*100)/1946364</f>
        <v>94.837296620775973</v>
      </c>
    </row>
    <row r="4723" spans="1:17" x14ac:dyDescent="0.2">
      <c r="A4723">
        <f>YEAR(D4723)</f>
        <v>2020</v>
      </c>
      <c r="B4723" t="s">
        <v>26</v>
      </c>
      <c r="C4723" s="2" t="s">
        <v>3020</v>
      </c>
      <c r="D4723" s="1">
        <v>43965</v>
      </c>
      <c r="E4723">
        <f>MONTH(D4723)</f>
        <v>5</v>
      </c>
      <c r="F4723" s="2" t="s">
        <v>2098</v>
      </c>
      <c r="G4723" t="s">
        <v>352</v>
      </c>
      <c r="H4723" t="s">
        <v>1459</v>
      </c>
      <c r="I4723" t="s">
        <v>22</v>
      </c>
      <c r="J4723" s="2" t="s">
        <v>42</v>
      </c>
      <c r="K4723" s="2" t="s">
        <v>3019</v>
      </c>
      <c r="L4723" t="s">
        <v>25</v>
      </c>
      <c r="M4723" s="8">
        <v>1.1910000000000001</v>
      </c>
      <c r="N4723" t="s">
        <v>26</v>
      </c>
      <c r="O4723" s="8">
        <v>1.1910000000000001</v>
      </c>
      <c r="P4723" s="8">
        <f>EXP(-1.363+3.366*LOG(O4723,10))</f>
        <v>0.33039016297752993</v>
      </c>
      <c r="Q4723" s="8">
        <f>(3359412*100)/3462762</f>
        <v>97.015388294084318</v>
      </c>
    </row>
    <row r="4724" spans="1:17" x14ac:dyDescent="0.2">
      <c r="A4724">
        <f>YEAR(D4724)</f>
        <v>2020</v>
      </c>
      <c r="B4724" t="s">
        <v>26</v>
      </c>
      <c r="C4724" s="2" t="s">
        <v>3020</v>
      </c>
      <c r="D4724" s="1">
        <v>43965</v>
      </c>
      <c r="E4724">
        <f>MONTH(D4724)</f>
        <v>5</v>
      </c>
      <c r="F4724" s="2" t="s">
        <v>2098</v>
      </c>
      <c r="G4724" s="2" t="s">
        <v>230</v>
      </c>
      <c r="H4724" t="s">
        <v>3054</v>
      </c>
      <c r="I4724" t="s">
        <v>22</v>
      </c>
      <c r="J4724" s="2" t="s">
        <v>42</v>
      </c>
      <c r="K4724" s="2" t="s">
        <v>3019</v>
      </c>
      <c r="L4724" t="s">
        <v>25</v>
      </c>
      <c r="M4724" s="8">
        <v>3.4456666666666664</v>
      </c>
      <c r="N4724" t="s">
        <v>26</v>
      </c>
      <c r="O4724" s="8">
        <v>3.4456666666666664</v>
      </c>
      <c r="P4724" s="8">
        <f>EXP(-1.363+3.366*LOG(O4724,10))</f>
        <v>1.5612109941121688</v>
      </c>
      <c r="Q4724" s="8">
        <f>(3359412*100)/3462762</f>
        <v>97.015388294084318</v>
      </c>
    </row>
    <row r="4725" spans="1:17" x14ac:dyDescent="0.2">
      <c r="A4725">
        <f>YEAR(D4725)</f>
        <v>2020</v>
      </c>
      <c r="B4725" t="s">
        <v>26</v>
      </c>
      <c r="C4725" s="2" t="s">
        <v>3020</v>
      </c>
      <c r="D4725" s="1">
        <v>43965</v>
      </c>
      <c r="E4725">
        <f>MONTH(D4725)</f>
        <v>5</v>
      </c>
      <c r="F4725" s="2" t="s">
        <v>2098</v>
      </c>
      <c r="G4725" t="s">
        <v>1520</v>
      </c>
      <c r="H4725" t="s">
        <v>1521</v>
      </c>
      <c r="I4725" t="s">
        <v>36</v>
      </c>
      <c r="J4725" s="2" t="s">
        <v>42</v>
      </c>
      <c r="K4725" s="2" t="s">
        <v>3019</v>
      </c>
      <c r="L4725" t="s">
        <v>25</v>
      </c>
      <c r="M4725" s="8">
        <v>2.3340000000000001</v>
      </c>
      <c r="N4725" t="s">
        <v>26</v>
      </c>
      <c r="O4725" s="8">
        <v>2.3340000000000001</v>
      </c>
      <c r="P4725" s="8">
        <f>EXP(-1.363+3.366*LOG(O4725,10))</f>
        <v>0.88340410488080767</v>
      </c>
      <c r="Q4725" s="8">
        <f>(3359412*100)/3462762</f>
        <v>97.015388294084318</v>
      </c>
    </row>
    <row r="4726" spans="1:17" x14ac:dyDescent="0.2">
      <c r="A4726">
        <f>YEAR(D4726)</f>
        <v>2020</v>
      </c>
      <c r="B4726" t="s">
        <v>26</v>
      </c>
      <c r="C4726" s="2" t="s">
        <v>3020</v>
      </c>
      <c r="D4726" s="1">
        <v>43965</v>
      </c>
      <c r="E4726">
        <f>MONTH(D4726)</f>
        <v>5</v>
      </c>
      <c r="F4726" s="2" t="s">
        <v>2098</v>
      </c>
      <c r="G4726" t="s">
        <v>362</v>
      </c>
      <c r="H4726" t="s">
        <v>447</v>
      </c>
      <c r="I4726" t="s">
        <v>22</v>
      </c>
      <c r="J4726" s="2" t="s">
        <v>42</v>
      </c>
      <c r="K4726" s="2" t="s">
        <v>3019</v>
      </c>
      <c r="L4726" t="s">
        <v>25</v>
      </c>
      <c r="M4726" s="8">
        <v>1.421</v>
      </c>
      <c r="N4726" t="s">
        <v>26</v>
      </c>
      <c r="O4726" s="8">
        <v>1.421</v>
      </c>
      <c r="P4726" s="8">
        <f>EXP(-1.363+3.366*LOG(O4726,10))</f>
        <v>0.42768500084673816</v>
      </c>
      <c r="Q4726" s="8">
        <f>(3359412*100)/3462762</f>
        <v>97.015388294084318</v>
      </c>
    </row>
    <row r="4727" spans="1:17" x14ac:dyDescent="0.2">
      <c r="A4727">
        <f>YEAR(D4727)</f>
        <v>2020</v>
      </c>
      <c r="B4727" t="s">
        <v>26</v>
      </c>
      <c r="C4727" s="2" t="s">
        <v>3020</v>
      </c>
      <c r="D4727" s="1">
        <v>43965</v>
      </c>
      <c r="E4727">
        <f>MONTH(D4727)</f>
        <v>5</v>
      </c>
      <c r="F4727" s="2" t="s">
        <v>2098</v>
      </c>
      <c r="G4727" s="2" t="s">
        <v>20</v>
      </c>
      <c r="H4727" t="s">
        <v>145</v>
      </c>
      <c r="I4727" t="s">
        <v>22</v>
      </c>
      <c r="J4727" s="2" t="s">
        <v>42</v>
      </c>
      <c r="K4727" s="2" t="s">
        <v>3019</v>
      </c>
      <c r="L4727" t="s">
        <v>25</v>
      </c>
      <c r="M4727" s="8">
        <v>2.399666667</v>
      </c>
      <c r="N4727" t="s">
        <v>26</v>
      </c>
      <c r="O4727" s="8">
        <v>2.399666667</v>
      </c>
      <c r="P4727" s="8">
        <f>EXP(-1.363+3.366*LOG(O4727,10))</f>
        <v>0.91997203423956198</v>
      </c>
      <c r="Q4727" s="8">
        <f>(3359412*100)/3462762</f>
        <v>97.015388294084318</v>
      </c>
    </row>
    <row r="4728" spans="1:17" x14ac:dyDescent="0.2">
      <c r="A4728">
        <f>YEAR(D4728)</f>
        <v>2020</v>
      </c>
      <c r="B4728" t="s">
        <v>26</v>
      </c>
      <c r="C4728" s="2" t="s">
        <v>3020</v>
      </c>
      <c r="D4728" s="1">
        <v>43965</v>
      </c>
      <c r="E4728">
        <f>MONTH(D4728)</f>
        <v>5</v>
      </c>
      <c r="F4728" s="2" t="s">
        <v>2098</v>
      </c>
      <c r="G4728" t="s">
        <v>362</v>
      </c>
      <c r="H4728" t="s">
        <v>447</v>
      </c>
      <c r="I4728" t="s">
        <v>22</v>
      </c>
      <c r="J4728" s="2" t="s">
        <v>42</v>
      </c>
      <c r="K4728" s="2" t="s">
        <v>3019</v>
      </c>
      <c r="L4728" t="s">
        <v>25</v>
      </c>
      <c r="M4728" s="8">
        <v>1.421</v>
      </c>
      <c r="N4728" t="s">
        <v>26</v>
      </c>
      <c r="O4728" s="8">
        <v>1.421</v>
      </c>
      <c r="P4728" s="8">
        <f>EXP(-1.363+3.366*LOG(O4728,10))</f>
        <v>0.42768500084673816</v>
      </c>
      <c r="Q4728" s="8">
        <f>(3359412*100)/3462762</f>
        <v>97.015388294084318</v>
      </c>
    </row>
    <row r="4729" spans="1:17" x14ac:dyDescent="0.2">
      <c r="A4729">
        <f>YEAR(D4729)</f>
        <v>2020</v>
      </c>
      <c r="B4729" t="s">
        <v>26</v>
      </c>
      <c r="C4729" s="2" t="s">
        <v>3020</v>
      </c>
      <c r="D4729" s="1">
        <v>43965</v>
      </c>
      <c r="E4729">
        <f>MONTH(D4729)</f>
        <v>5</v>
      </c>
      <c r="F4729" s="2" t="s">
        <v>2098</v>
      </c>
      <c r="G4729" t="s">
        <v>230</v>
      </c>
      <c r="H4729" t="s">
        <v>259</v>
      </c>
      <c r="I4729" t="s">
        <v>22</v>
      </c>
      <c r="J4729" s="2" t="s">
        <v>42</v>
      </c>
      <c r="K4729" s="2" t="s">
        <v>3019</v>
      </c>
      <c r="L4729" t="s">
        <v>25</v>
      </c>
      <c r="M4729" s="8">
        <v>4.2283333330000001</v>
      </c>
      <c r="N4729" t="s">
        <v>26</v>
      </c>
      <c r="O4729" s="8">
        <v>4.2283333330000001</v>
      </c>
      <c r="P4729" s="8">
        <f>EXP(-1.363+3.366*LOG(O4729,10))</f>
        <v>2.1057792396965977</v>
      </c>
      <c r="Q4729" s="8">
        <f>(3359412*100)/3462762</f>
        <v>97.015388294084318</v>
      </c>
    </row>
    <row r="4730" spans="1:17" x14ac:dyDescent="0.2">
      <c r="A4730">
        <f>YEAR(D4730)</f>
        <v>2020</v>
      </c>
      <c r="B4730" t="s">
        <v>26</v>
      </c>
      <c r="C4730" s="2" t="s">
        <v>3020</v>
      </c>
      <c r="D4730" s="1">
        <v>43965</v>
      </c>
      <c r="E4730">
        <f>MONTH(D4730)</f>
        <v>5</v>
      </c>
      <c r="F4730" s="2" t="s">
        <v>2098</v>
      </c>
      <c r="G4730" t="s">
        <v>230</v>
      </c>
      <c r="H4730" t="s">
        <v>268</v>
      </c>
      <c r="I4730" t="s">
        <v>22</v>
      </c>
      <c r="J4730" s="2" t="s">
        <v>42</v>
      </c>
      <c r="K4730" s="2" t="s">
        <v>3019</v>
      </c>
      <c r="L4730" t="s">
        <v>25</v>
      </c>
      <c r="M4730" s="8">
        <v>3.5356666670000001</v>
      </c>
      <c r="N4730" t="s">
        <v>26</v>
      </c>
      <c r="O4730" s="8">
        <v>3.5356666670000001</v>
      </c>
      <c r="P4730" s="8">
        <f>EXP(-1.363+3.366*LOG(O4730,10))</f>
        <v>1.6211802664427075</v>
      </c>
      <c r="Q4730" s="8">
        <f>(3359412*100)/3462762</f>
        <v>97.015388294084318</v>
      </c>
    </row>
    <row r="4731" spans="1:17" x14ac:dyDescent="0.2">
      <c r="A4731">
        <f>YEAR(D4731)</f>
        <v>2020</v>
      </c>
      <c r="B4731" t="s">
        <v>26</v>
      </c>
      <c r="C4731" s="2" t="s">
        <v>3020</v>
      </c>
      <c r="D4731" s="1">
        <v>43965</v>
      </c>
      <c r="E4731">
        <f>MONTH(D4731)</f>
        <v>5</v>
      </c>
      <c r="F4731" s="2" t="s">
        <v>2098</v>
      </c>
      <c r="G4731" t="s">
        <v>1520</v>
      </c>
      <c r="H4731" t="s">
        <v>1521</v>
      </c>
      <c r="I4731" t="s">
        <v>36</v>
      </c>
      <c r="J4731" s="2" t="s">
        <v>42</v>
      </c>
      <c r="K4731" s="2" t="s">
        <v>3019</v>
      </c>
      <c r="L4731" t="s">
        <v>25</v>
      </c>
      <c r="M4731" s="8">
        <v>2.3340000000000001</v>
      </c>
      <c r="N4731" t="s">
        <v>26</v>
      </c>
      <c r="O4731" s="8">
        <v>2.3340000000000001</v>
      </c>
      <c r="P4731" s="8">
        <f>EXP(-1.363+3.366*LOG(O4731,10))</f>
        <v>0.88340410488080767</v>
      </c>
      <c r="Q4731" s="8">
        <f>(3359412*100)/3462762</f>
        <v>97.015388294084318</v>
      </c>
    </row>
    <row r="4732" spans="1:17" x14ac:dyDescent="0.2">
      <c r="A4732">
        <f>YEAR(D4732)</f>
        <v>2020</v>
      </c>
      <c r="B4732" t="s">
        <v>26</v>
      </c>
      <c r="C4732" s="2" t="s">
        <v>3020</v>
      </c>
      <c r="D4732" s="1">
        <v>43965</v>
      </c>
      <c r="E4732">
        <f>MONTH(D4732)</f>
        <v>5</v>
      </c>
      <c r="F4732" s="2" t="s">
        <v>2098</v>
      </c>
      <c r="G4732" t="s">
        <v>1532</v>
      </c>
      <c r="H4732" t="s">
        <v>1533</v>
      </c>
      <c r="I4732" t="s">
        <v>36</v>
      </c>
      <c r="J4732" s="2" t="s">
        <v>42</v>
      </c>
      <c r="K4732" s="2" t="s">
        <v>3019</v>
      </c>
      <c r="L4732" t="s">
        <v>25</v>
      </c>
      <c r="M4732" s="8">
        <v>2.63</v>
      </c>
      <c r="N4732" t="s">
        <v>26</v>
      </c>
      <c r="O4732" s="8">
        <v>2.63</v>
      </c>
      <c r="P4732" s="8">
        <f>EXP(-1.363+3.366*LOG(O4732,10))</f>
        <v>1.0518715955632558</v>
      </c>
      <c r="Q4732" s="8">
        <f>(3359412*100)/3462762</f>
        <v>97.015388294084318</v>
      </c>
    </row>
    <row r="4733" spans="1:17" x14ac:dyDescent="0.2">
      <c r="A4733">
        <f>YEAR(D4733)</f>
        <v>2020</v>
      </c>
      <c r="B4733" t="s">
        <v>26</v>
      </c>
      <c r="C4733" s="2" t="s">
        <v>3020</v>
      </c>
      <c r="D4733" s="1">
        <v>43965</v>
      </c>
      <c r="E4733">
        <f>MONTH(D4733)</f>
        <v>5</v>
      </c>
      <c r="F4733" s="2" t="s">
        <v>2098</v>
      </c>
      <c r="G4733" t="s">
        <v>1532</v>
      </c>
      <c r="H4733" t="s">
        <v>1533</v>
      </c>
      <c r="I4733" t="s">
        <v>22</v>
      </c>
      <c r="J4733" s="2" t="s">
        <v>42</v>
      </c>
      <c r="K4733" s="2" t="s">
        <v>3019</v>
      </c>
      <c r="L4733" t="s">
        <v>25</v>
      </c>
      <c r="M4733" s="8">
        <v>3.08</v>
      </c>
      <c r="N4733" t="s">
        <v>26</v>
      </c>
      <c r="O4733" s="8">
        <v>3.08</v>
      </c>
      <c r="P4733" s="8">
        <f>EXP(-1.363+3.366*LOG(O4733,10))</f>
        <v>1.3250652609076723</v>
      </c>
      <c r="Q4733" s="8">
        <f>(3359412*100)/3462762</f>
        <v>97.015388294084318</v>
      </c>
    </row>
    <row r="4734" spans="1:17" x14ac:dyDescent="0.2">
      <c r="A4734">
        <f>YEAR(D4734)</f>
        <v>2020</v>
      </c>
      <c r="B4734" t="s">
        <v>26</v>
      </c>
      <c r="C4734" s="2" t="s">
        <v>3020</v>
      </c>
      <c r="D4734" s="1">
        <v>43965</v>
      </c>
      <c r="E4734">
        <f>MONTH(D4734)</f>
        <v>5</v>
      </c>
      <c r="F4734" s="2" t="s">
        <v>2098</v>
      </c>
      <c r="G4734" t="s">
        <v>362</v>
      </c>
      <c r="H4734" t="s">
        <v>447</v>
      </c>
      <c r="I4734" t="s">
        <v>22</v>
      </c>
      <c r="J4734" s="2" t="s">
        <v>42</v>
      </c>
      <c r="K4734" s="2" t="s">
        <v>3019</v>
      </c>
      <c r="L4734" t="s">
        <v>25</v>
      </c>
      <c r="M4734" s="8">
        <v>1.421</v>
      </c>
      <c r="N4734" t="s">
        <v>26</v>
      </c>
      <c r="O4734" s="8">
        <v>1.421</v>
      </c>
      <c r="P4734" s="8">
        <f>EXP(-1.363+3.366*LOG(O4734,10))</f>
        <v>0.42768500084673816</v>
      </c>
      <c r="Q4734" s="8">
        <f>(3359412*100)/3462762</f>
        <v>97.015388294084318</v>
      </c>
    </row>
    <row r="4735" spans="1:17" x14ac:dyDescent="0.2">
      <c r="A4735">
        <f>YEAR(D4735)</f>
        <v>2020</v>
      </c>
      <c r="B4735" t="s">
        <v>26</v>
      </c>
      <c r="C4735" s="2" t="s">
        <v>3020</v>
      </c>
      <c r="D4735" s="1">
        <v>43965</v>
      </c>
      <c r="E4735">
        <f>MONTH(D4735)</f>
        <v>5</v>
      </c>
      <c r="F4735" s="2" t="s">
        <v>2098</v>
      </c>
      <c r="G4735" t="s">
        <v>230</v>
      </c>
      <c r="H4735" t="s">
        <v>268</v>
      </c>
      <c r="I4735" t="s">
        <v>22</v>
      </c>
      <c r="J4735" s="2" t="s">
        <v>42</v>
      </c>
      <c r="K4735" s="2" t="s">
        <v>3019</v>
      </c>
      <c r="L4735" t="s">
        <v>25</v>
      </c>
      <c r="M4735" s="8">
        <v>3.5356666670000001</v>
      </c>
      <c r="N4735" t="s">
        <v>26</v>
      </c>
      <c r="O4735" s="8">
        <v>3.5356666670000001</v>
      </c>
      <c r="P4735" s="8">
        <f>EXP(-1.363+3.366*LOG(O4735,10))</f>
        <v>1.6211802664427075</v>
      </c>
      <c r="Q4735" s="8">
        <f>(3359412*100)/3462762</f>
        <v>97.015388294084318</v>
      </c>
    </row>
    <row r="4736" spans="1:17" x14ac:dyDescent="0.2">
      <c r="A4736">
        <f>YEAR(D4736)</f>
        <v>2020</v>
      </c>
      <c r="B4736" t="s">
        <v>26</v>
      </c>
      <c r="C4736" s="2" t="s">
        <v>3020</v>
      </c>
      <c r="D4736" s="1">
        <v>43965</v>
      </c>
      <c r="E4736">
        <f>MONTH(D4736)</f>
        <v>5</v>
      </c>
      <c r="F4736" s="2" t="s">
        <v>2098</v>
      </c>
      <c r="G4736" t="s">
        <v>230</v>
      </c>
      <c r="H4736" t="s">
        <v>255</v>
      </c>
      <c r="I4736" t="s">
        <v>36</v>
      </c>
      <c r="J4736" s="2" t="s">
        <v>42</v>
      </c>
      <c r="K4736" s="2" t="s">
        <v>3019</v>
      </c>
      <c r="L4736" t="s">
        <v>25</v>
      </c>
      <c r="M4736" s="8">
        <v>4.1180000000000003</v>
      </c>
      <c r="N4736" t="s">
        <v>26</v>
      </c>
      <c r="O4736" s="8">
        <v>4.1180000000000003</v>
      </c>
      <c r="P4736" s="8">
        <f>EXP(-1.363+3.366*LOG(O4736,10))</f>
        <v>2.0259408868315871</v>
      </c>
      <c r="Q4736" s="8">
        <f>(3359412*100)/3462762</f>
        <v>97.015388294084318</v>
      </c>
    </row>
    <row r="4737" spans="1:17" x14ac:dyDescent="0.2">
      <c r="A4737">
        <f>YEAR(D4737)</f>
        <v>2020</v>
      </c>
      <c r="B4737" t="s">
        <v>26</v>
      </c>
      <c r="C4737" s="2" t="s">
        <v>3020</v>
      </c>
      <c r="D4737" s="1">
        <v>43965</v>
      </c>
      <c r="E4737">
        <f>MONTH(D4737)</f>
        <v>5</v>
      </c>
      <c r="F4737" s="2" t="s">
        <v>2098</v>
      </c>
      <c r="G4737" t="s">
        <v>230</v>
      </c>
      <c r="H4737" t="s">
        <v>2260</v>
      </c>
      <c r="I4737" t="s">
        <v>36</v>
      </c>
      <c r="J4737" s="2" t="s">
        <v>42</v>
      </c>
      <c r="K4737" s="2" t="s">
        <v>3019</v>
      </c>
      <c r="L4737" t="s">
        <v>305</v>
      </c>
      <c r="M4737" s="8">
        <v>3.9023333330000001</v>
      </c>
      <c r="N4737" t="s">
        <v>26</v>
      </c>
      <c r="O4737" s="8">
        <v>3.9023333330000001</v>
      </c>
      <c r="P4737" s="8">
        <f>EXP(-1.363+3.366*LOG(O4737,10))</f>
        <v>1.8727310273101283</v>
      </c>
      <c r="Q4737" s="8">
        <f>(3359412*100)/3462762</f>
        <v>97.015388294084318</v>
      </c>
    </row>
    <row r="4738" spans="1:17" x14ac:dyDescent="0.2">
      <c r="A4738">
        <f>YEAR(D4738)</f>
        <v>2020</v>
      </c>
      <c r="B4738" t="s">
        <v>26</v>
      </c>
      <c r="C4738" s="2" t="s">
        <v>3020</v>
      </c>
      <c r="D4738" s="1">
        <v>43965</v>
      </c>
      <c r="E4738">
        <f>MONTH(D4738)</f>
        <v>5</v>
      </c>
      <c r="F4738" s="2" t="s">
        <v>2098</v>
      </c>
      <c r="G4738" t="s">
        <v>230</v>
      </c>
      <c r="H4738" t="s">
        <v>259</v>
      </c>
      <c r="I4738" t="s">
        <v>22</v>
      </c>
      <c r="J4738" s="2" t="s">
        <v>42</v>
      </c>
      <c r="K4738" s="2" t="s">
        <v>3019</v>
      </c>
      <c r="L4738" t="s">
        <v>25</v>
      </c>
      <c r="M4738" s="8">
        <v>4.2283333330000001</v>
      </c>
      <c r="N4738" t="s">
        <v>26</v>
      </c>
      <c r="O4738" s="8">
        <v>4.2283333330000001</v>
      </c>
      <c r="P4738" s="8">
        <f>EXP(-1.363+3.366*LOG(O4738,10))</f>
        <v>2.1057792396965977</v>
      </c>
      <c r="Q4738" s="8">
        <f>(3359412*100)/3462762</f>
        <v>97.015388294084318</v>
      </c>
    </row>
    <row r="4739" spans="1:17" x14ac:dyDescent="0.2">
      <c r="A4739">
        <f>YEAR(D4739)</f>
        <v>2020</v>
      </c>
      <c r="B4739" t="s">
        <v>26</v>
      </c>
      <c r="C4739" s="2" t="s">
        <v>3020</v>
      </c>
      <c r="D4739" s="1">
        <v>43965</v>
      </c>
      <c r="E4739">
        <f>MONTH(D4739)</f>
        <v>5</v>
      </c>
      <c r="F4739" s="2" t="s">
        <v>2098</v>
      </c>
      <c r="G4739" t="s">
        <v>230</v>
      </c>
      <c r="H4739" t="s">
        <v>259</v>
      </c>
      <c r="I4739" t="s">
        <v>22</v>
      </c>
      <c r="J4739" s="2" t="s">
        <v>42</v>
      </c>
      <c r="K4739" s="2" t="s">
        <v>3019</v>
      </c>
      <c r="L4739" t="s">
        <v>25</v>
      </c>
      <c r="M4739" s="8">
        <v>4.2283333330000001</v>
      </c>
      <c r="N4739" t="s">
        <v>26</v>
      </c>
      <c r="O4739" s="8">
        <v>4.2283333330000001</v>
      </c>
      <c r="P4739" s="8">
        <f>EXP(-1.363+3.366*LOG(O4739,10))</f>
        <v>2.1057792396965977</v>
      </c>
      <c r="Q4739" s="8">
        <f>(3359412*100)/3462762</f>
        <v>97.015388294084318</v>
      </c>
    </row>
    <row r="4740" spans="1:17" x14ac:dyDescent="0.2">
      <c r="A4740">
        <f>YEAR(D4740)</f>
        <v>2020</v>
      </c>
      <c r="B4740" t="s">
        <v>26</v>
      </c>
      <c r="C4740" s="2" t="s">
        <v>3020</v>
      </c>
      <c r="D4740" s="1">
        <v>43965</v>
      </c>
      <c r="E4740">
        <f>MONTH(D4740)</f>
        <v>5</v>
      </c>
      <c r="F4740" s="2" t="s">
        <v>2098</v>
      </c>
      <c r="G4740" t="s">
        <v>230</v>
      </c>
      <c r="H4740" t="s">
        <v>259</v>
      </c>
      <c r="I4740" t="s">
        <v>22</v>
      </c>
      <c r="J4740" s="2" t="s">
        <v>42</v>
      </c>
      <c r="K4740" s="2" t="s">
        <v>3019</v>
      </c>
      <c r="L4740" t="s">
        <v>25</v>
      </c>
      <c r="M4740" s="8">
        <v>4.2283333330000001</v>
      </c>
      <c r="N4740" t="s">
        <v>26</v>
      </c>
      <c r="O4740" s="8">
        <v>4.2283333330000001</v>
      </c>
      <c r="P4740" s="8">
        <f>EXP(-1.363+3.366*LOG(O4740,10))</f>
        <v>2.1057792396965977</v>
      </c>
      <c r="Q4740" s="8">
        <f>(3359412*100)/3462762</f>
        <v>97.015388294084318</v>
      </c>
    </row>
    <row r="4741" spans="1:17" x14ac:dyDescent="0.2">
      <c r="A4741">
        <f>YEAR(D4741)</f>
        <v>2020</v>
      </c>
      <c r="B4741" t="s">
        <v>26</v>
      </c>
      <c r="C4741" s="2" t="s">
        <v>3020</v>
      </c>
      <c r="D4741" s="1">
        <v>43965</v>
      </c>
      <c r="E4741">
        <f>MONTH(D4741)</f>
        <v>5</v>
      </c>
      <c r="F4741" s="2" t="s">
        <v>2098</v>
      </c>
      <c r="G4741" t="s">
        <v>230</v>
      </c>
      <c r="H4741" t="s">
        <v>268</v>
      </c>
      <c r="I4741" t="s">
        <v>22</v>
      </c>
      <c r="J4741" s="2" t="s">
        <v>42</v>
      </c>
      <c r="K4741" s="2" t="s">
        <v>3019</v>
      </c>
      <c r="L4741" t="s">
        <v>25</v>
      </c>
      <c r="M4741" s="8">
        <v>3.5356666670000001</v>
      </c>
      <c r="N4741" t="s">
        <v>26</v>
      </c>
      <c r="O4741" s="8">
        <v>3.5356666670000001</v>
      </c>
      <c r="P4741" s="8">
        <f>EXP(-1.363+3.366*LOG(O4741,10))</f>
        <v>1.6211802664427075</v>
      </c>
      <c r="Q4741" s="8">
        <f>(3359412*100)/3462762</f>
        <v>97.015388294084318</v>
      </c>
    </row>
    <row r="4742" spans="1:17" x14ac:dyDescent="0.2">
      <c r="A4742">
        <f>YEAR(D4742)</f>
        <v>2020</v>
      </c>
      <c r="B4742" t="s">
        <v>26</v>
      </c>
      <c r="C4742" s="2" t="s">
        <v>3020</v>
      </c>
      <c r="D4742" s="1">
        <v>43965</v>
      </c>
      <c r="E4742">
        <f>MONTH(D4742)</f>
        <v>5</v>
      </c>
      <c r="F4742" s="2" t="s">
        <v>2098</v>
      </c>
      <c r="G4742" t="s">
        <v>230</v>
      </c>
      <c r="H4742" t="s">
        <v>2260</v>
      </c>
      <c r="I4742" t="s">
        <v>36</v>
      </c>
      <c r="J4742" s="2" t="s">
        <v>42</v>
      </c>
      <c r="K4742" s="2" t="s">
        <v>3019</v>
      </c>
      <c r="L4742" t="s">
        <v>305</v>
      </c>
      <c r="M4742" s="8">
        <v>3.9023333330000001</v>
      </c>
      <c r="N4742" t="s">
        <v>26</v>
      </c>
      <c r="O4742" s="8">
        <v>3.9023333330000001</v>
      </c>
      <c r="P4742" s="8">
        <f>EXP(-1.363+3.366*LOG(O4742,10))</f>
        <v>1.8727310273101283</v>
      </c>
      <c r="Q4742" s="8">
        <f>(3359412*100)/3462762</f>
        <v>97.015388294084318</v>
      </c>
    </row>
    <row r="4743" spans="1:17" x14ac:dyDescent="0.2">
      <c r="A4743">
        <f>YEAR(D4743)</f>
        <v>2020</v>
      </c>
      <c r="B4743" t="s">
        <v>26</v>
      </c>
      <c r="C4743" s="2" t="s">
        <v>3020</v>
      </c>
      <c r="D4743" s="1">
        <v>43965</v>
      </c>
      <c r="E4743">
        <f>MONTH(D4743)</f>
        <v>5</v>
      </c>
      <c r="F4743" s="2" t="s">
        <v>2098</v>
      </c>
      <c r="G4743" t="s">
        <v>230</v>
      </c>
      <c r="H4743" t="s">
        <v>259</v>
      </c>
      <c r="I4743" t="s">
        <v>22</v>
      </c>
      <c r="J4743" s="2" t="s">
        <v>42</v>
      </c>
      <c r="K4743" s="2" t="s">
        <v>3019</v>
      </c>
      <c r="L4743" t="s">
        <v>25</v>
      </c>
      <c r="M4743" s="8">
        <v>4.2283333330000001</v>
      </c>
      <c r="N4743" t="s">
        <v>26</v>
      </c>
      <c r="O4743" s="8">
        <v>4.2283333330000001</v>
      </c>
      <c r="P4743" s="8">
        <f>EXP(-1.363+3.366*LOG(O4743,10))</f>
        <v>2.1057792396965977</v>
      </c>
      <c r="Q4743" s="8">
        <f>(3359412*100)/3462762</f>
        <v>97.015388294084318</v>
      </c>
    </row>
    <row r="4744" spans="1:17" x14ac:dyDescent="0.2">
      <c r="A4744">
        <f>YEAR(D4744)</f>
        <v>2020</v>
      </c>
      <c r="B4744" t="s">
        <v>26</v>
      </c>
      <c r="C4744" s="2" t="s">
        <v>3020</v>
      </c>
      <c r="D4744" s="1">
        <v>43965</v>
      </c>
      <c r="E4744">
        <f>MONTH(D4744)</f>
        <v>5</v>
      </c>
      <c r="F4744" s="2" t="s">
        <v>2098</v>
      </c>
      <c r="G4744" t="s">
        <v>230</v>
      </c>
      <c r="H4744" t="s">
        <v>2260</v>
      </c>
      <c r="I4744" t="s">
        <v>36</v>
      </c>
      <c r="J4744" s="2" t="s">
        <v>42</v>
      </c>
      <c r="K4744" s="2" t="s">
        <v>3019</v>
      </c>
      <c r="L4744" t="s">
        <v>305</v>
      </c>
      <c r="M4744" s="8">
        <v>3.9023333330000001</v>
      </c>
      <c r="N4744" t="s">
        <v>26</v>
      </c>
      <c r="O4744" s="8">
        <v>3.9023333330000001</v>
      </c>
      <c r="P4744" s="8">
        <f>EXP(-1.363+3.366*LOG(O4744,10))</f>
        <v>1.8727310273101283</v>
      </c>
      <c r="Q4744" s="8">
        <f>(3359412*100)/3462762</f>
        <v>97.015388294084318</v>
      </c>
    </row>
    <row r="4745" spans="1:17" x14ac:dyDescent="0.2">
      <c r="A4745">
        <f>YEAR(D4745)</f>
        <v>2020</v>
      </c>
      <c r="B4745" t="s">
        <v>26</v>
      </c>
      <c r="C4745" s="2" t="s">
        <v>3020</v>
      </c>
      <c r="D4745" s="1">
        <v>43965</v>
      </c>
      <c r="E4745">
        <f>MONTH(D4745)</f>
        <v>5</v>
      </c>
      <c r="F4745" s="2" t="s">
        <v>2098</v>
      </c>
      <c r="G4745" t="s">
        <v>230</v>
      </c>
      <c r="H4745" t="s">
        <v>259</v>
      </c>
      <c r="I4745" t="s">
        <v>22</v>
      </c>
      <c r="J4745" s="2" t="s">
        <v>42</v>
      </c>
      <c r="K4745" s="2" t="s">
        <v>3019</v>
      </c>
      <c r="L4745" t="s">
        <v>25</v>
      </c>
      <c r="M4745" s="8">
        <v>4.2283333330000001</v>
      </c>
      <c r="N4745" t="s">
        <v>26</v>
      </c>
      <c r="O4745" s="8">
        <v>4.2283333330000001</v>
      </c>
      <c r="P4745" s="8">
        <f>EXP(-1.363+3.366*LOG(O4745,10))</f>
        <v>2.1057792396965977</v>
      </c>
      <c r="Q4745" s="8">
        <f>(3359412*100)/3462762</f>
        <v>97.015388294084318</v>
      </c>
    </row>
    <row r="4746" spans="1:17" x14ac:dyDescent="0.2">
      <c r="A4746">
        <f>YEAR(D4746)</f>
        <v>2020</v>
      </c>
      <c r="B4746" t="s">
        <v>26</v>
      </c>
      <c r="C4746" s="2" t="s">
        <v>3018</v>
      </c>
      <c r="D4746" s="1">
        <v>43964</v>
      </c>
      <c r="E4746">
        <f>MONTH(D4746)</f>
        <v>5</v>
      </c>
      <c r="F4746" s="2" t="s">
        <v>19</v>
      </c>
      <c r="G4746" t="s">
        <v>352</v>
      </c>
      <c r="H4746" t="s">
        <v>353</v>
      </c>
      <c r="I4746" t="s">
        <v>22</v>
      </c>
      <c r="J4746" s="2" t="s">
        <v>42</v>
      </c>
      <c r="K4746" s="2" t="s">
        <v>3019</v>
      </c>
      <c r="L4746" t="s">
        <v>25</v>
      </c>
      <c r="M4746" s="8">
        <v>1.1623333330000001</v>
      </c>
      <c r="N4746" t="s">
        <v>26</v>
      </c>
      <c r="O4746" s="8">
        <v>1.1623333330000001</v>
      </c>
      <c r="P4746" s="8">
        <f>EXP(-1.363+3.366*LOG(O4746,10))</f>
        <v>0.31883010989102206</v>
      </c>
      <c r="Q4746" s="8">
        <f>(5996898*100)/6073515</f>
        <v>98.738506449724753</v>
      </c>
    </row>
    <row r="4747" spans="1:17" x14ac:dyDescent="0.2">
      <c r="A4747">
        <f>YEAR(D4747)</f>
        <v>2020</v>
      </c>
      <c r="B4747" t="s">
        <v>26</v>
      </c>
      <c r="C4747" s="2" t="s">
        <v>3018</v>
      </c>
      <c r="D4747" s="1">
        <v>43964</v>
      </c>
      <c r="E4747">
        <f>MONTH(D4747)</f>
        <v>5</v>
      </c>
      <c r="F4747" s="2" t="s">
        <v>19</v>
      </c>
      <c r="G4747" t="s">
        <v>230</v>
      </c>
      <c r="H4747" t="s">
        <v>255</v>
      </c>
      <c r="I4747" t="s">
        <v>36</v>
      </c>
      <c r="J4747" s="2" t="s">
        <v>42</v>
      </c>
      <c r="K4747" s="2" t="s">
        <v>3019</v>
      </c>
      <c r="L4747" t="s">
        <v>25</v>
      </c>
      <c r="M4747" s="8">
        <v>4.1180000000000003</v>
      </c>
      <c r="N4747" t="s">
        <v>26</v>
      </c>
      <c r="O4747" s="8">
        <v>4.1180000000000003</v>
      </c>
      <c r="P4747" s="8">
        <f>EXP(-1.363+3.366*LOG(O4747,10))</f>
        <v>2.0259408868315871</v>
      </c>
      <c r="Q4747" s="8">
        <f>(5996898*100)/6073515</f>
        <v>98.738506449724753</v>
      </c>
    </row>
    <row r="4748" spans="1:17" x14ac:dyDescent="0.2">
      <c r="A4748">
        <f>YEAR(D4748)</f>
        <v>2020</v>
      </c>
      <c r="B4748" t="s">
        <v>26</v>
      </c>
      <c r="C4748" s="2" t="s">
        <v>3027</v>
      </c>
      <c r="D4748" s="1">
        <v>43964</v>
      </c>
      <c r="E4748">
        <f>MONTH(D4748)</f>
        <v>5</v>
      </c>
      <c r="F4748" s="2" t="s">
        <v>19</v>
      </c>
      <c r="G4748" t="s">
        <v>303</v>
      </c>
      <c r="H4748" t="s">
        <v>1931</v>
      </c>
      <c r="I4748" t="s">
        <v>22</v>
      </c>
      <c r="J4748" s="2" t="s">
        <v>42</v>
      </c>
      <c r="K4748" s="2" t="s">
        <v>3019</v>
      </c>
      <c r="L4748" t="s">
        <v>305</v>
      </c>
      <c r="M4748" s="8">
        <v>1.4026666670000001</v>
      </c>
      <c r="N4748" t="s">
        <v>26</v>
      </c>
      <c r="O4748" s="8">
        <v>1.4026666670000001</v>
      </c>
      <c r="P4748" s="8">
        <f>EXP(-1.363+3.366*LOG(O4748,10))</f>
        <v>0.41964287291404917</v>
      </c>
      <c r="Q4748" s="8">
        <f>(3939723*100)/4442581</f>
        <v>88.680949204977921</v>
      </c>
    </row>
    <row r="4749" spans="1:17" x14ac:dyDescent="0.2">
      <c r="A4749">
        <f>YEAR(D4749)</f>
        <v>2020</v>
      </c>
      <c r="B4749" t="s">
        <v>26</v>
      </c>
      <c r="C4749" s="2" t="s">
        <v>3027</v>
      </c>
      <c r="D4749" s="1">
        <v>43964</v>
      </c>
      <c r="E4749">
        <f>MONTH(D4749)</f>
        <v>5</v>
      </c>
      <c r="F4749" s="2" t="s">
        <v>19</v>
      </c>
      <c r="G4749" t="s">
        <v>352</v>
      </c>
      <c r="H4749" t="s">
        <v>623</v>
      </c>
      <c r="I4749" t="s">
        <v>22</v>
      </c>
      <c r="J4749" s="2" t="s">
        <v>42</v>
      </c>
      <c r="K4749" s="2" t="s">
        <v>3019</v>
      </c>
      <c r="L4749" t="s">
        <v>25</v>
      </c>
      <c r="M4749" s="8">
        <v>1.387</v>
      </c>
      <c r="N4749" t="s">
        <v>26</v>
      </c>
      <c r="O4749" s="8">
        <v>1.387</v>
      </c>
      <c r="P4749" s="8">
        <f>EXP(-1.363+3.366*LOG(O4749,10))</f>
        <v>0.41280884754947733</v>
      </c>
      <c r="Q4749" s="8">
        <f>(3939723*100)/4442581</f>
        <v>88.680949204977921</v>
      </c>
    </row>
    <row r="4750" spans="1:17" x14ac:dyDescent="0.2">
      <c r="A4750">
        <f>YEAR(D4750)</f>
        <v>2020</v>
      </c>
      <c r="B4750" t="s">
        <v>26</v>
      </c>
      <c r="C4750" s="2" t="s">
        <v>3018</v>
      </c>
      <c r="D4750" s="1">
        <v>43964</v>
      </c>
      <c r="E4750">
        <f>MONTH(D4750)</f>
        <v>5</v>
      </c>
      <c r="F4750" s="2" t="s">
        <v>19</v>
      </c>
      <c r="G4750" t="s">
        <v>1735</v>
      </c>
      <c r="H4750" t="s">
        <v>1736</v>
      </c>
      <c r="I4750" t="s">
        <v>36</v>
      </c>
      <c r="J4750" s="2" t="s">
        <v>42</v>
      </c>
      <c r="K4750" s="2" t="s">
        <v>3019</v>
      </c>
      <c r="L4750" t="s">
        <v>25</v>
      </c>
      <c r="M4750" s="8">
        <v>3.8633333329999999</v>
      </c>
      <c r="N4750" t="s">
        <v>26</v>
      </c>
      <c r="O4750" s="8">
        <v>3.8633333329999999</v>
      </c>
      <c r="P4750" s="8">
        <f>EXP(-1.363+3.366*LOG(O4750,10))</f>
        <v>1.8454344092406809</v>
      </c>
      <c r="Q4750" s="8">
        <f>(5996898*100)/6073515</f>
        <v>98.738506449724753</v>
      </c>
    </row>
    <row r="4751" spans="1:17" x14ac:dyDescent="0.2">
      <c r="A4751">
        <f>YEAR(D4751)</f>
        <v>2020</v>
      </c>
      <c r="B4751" t="s">
        <v>26</v>
      </c>
      <c r="C4751" s="2" t="s">
        <v>3018</v>
      </c>
      <c r="D4751" s="1">
        <v>43964</v>
      </c>
      <c r="E4751">
        <f>MONTH(D4751)</f>
        <v>5</v>
      </c>
      <c r="F4751" s="2" t="s">
        <v>19</v>
      </c>
      <c r="G4751" t="s">
        <v>352</v>
      </c>
      <c r="H4751" t="s">
        <v>353</v>
      </c>
      <c r="I4751" t="s">
        <v>22</v>
      </c>
      <c r="J4751" s="2" t="s">
        <v>42</v>
      </c>
      <c r="K4751" s="2" t="s">
        <v>3019</v>
      </c>
      <c r="L4751" t="s">
        <v>25</v>
      </c>
      <c r="M4751" s="8">
        <v>1.1623333330000001</v>
      </c>
      <c r="N4751" t="s">
        <v>26</v>
      </c>
      <c r="O4751" s="8">
        <v>1.1623333330000001</v>
      </c>
      <c r="P4751" s="8">
        <f>EXP(-1.363+3.366*LOG(O4751,10))</f>
        <v>0.31883010989102206</v>
      </c>
      <c r="Q4751" s="8">
        <f>(5996898*100)/6073515</f>
        <v>98.738506449724753</v>
      </c>
    </row>
    <row r="4752" spans="1:17" x14ac:dyDescent="0.2">
      <c r="A4752">
        <f>YEAR(D4752)</f>
        <v>2020</v>
      </c>
      <c r="B4752" t="s">
        <v>26</v>
      </c>
      <c r="C4752" s="2" t="s">
        <v>3018</v>
      </c>
      <c r="D4752" s="1">
        <v>43964</v>
      </c>
      <c r="E4752">
        <f>MONTH(D4752)</f>
        <v>5</v>
      </c>
      <c r="F4752" s="2" t="s">
        <v>19</v>
      </c>
      <c r="G4752" t="s">
        <v>352</v>
      </c>
      <c r="H4752" t="s">
        <v>353</v>
      </c>
      <c r="I4752" t="s">
        <v>22</v>
      </c>
      <c r="J4752" s="2" t="s">
        <v>42</v>
      </c>
      <c r="K4752" s="2" t="s">
        <v>3019</v>
      </c>
      <c r="L4752" t="s">
        <v>25</v>
      </c>
      <c r="M4752" s="8">
        <v>1.1623333330000001</v>
      </c>
      <c r="N4752" t="s">
        <v>26</v>
      </c>
      <c r="O4752" s="8">
        <v>1.1623333330000001</v>
      </c>
      <c r="P4752" s="8">
        <f>EXP(-1.363+3.366*LOG(O4752,10))</f>
        <v>0.31883010989102206</v>
      </c>
      <c r="Q4752" s="8">
        <f>(5996898*100)/6073515</f>
        <v>98.738506449724753</v>
      </c>
    </row>
    <row r="4753" spans="1:17" x14ac:dyDescent="0.2">
      <c r="A4753">
        <f>YEAR(D4753)</f>
        <v>2020</v>
      </c>
      <c r="B4753" t="s">
        <v>26</v>
      </c>
      <c r="C4753" s="2" t="s">
        <v>3018</v>
      </c>
      <c r="D4753" s="1">
        <v>43964</v>
      </c>
      <c r="E4753">
        <f>MONTH(D4753)</f>
        <v>5</v>
      </c>
      <c r="F4753" s="2" t="s">
        <v>19</v>
      </c>
      <c r="G4753" t="s">
        <v>352</v>
      </c>
      <c r="H4753" t="s">
        <v>353</v>
      </c>
      <c r="I4753" t="s">
        <v>22</v>
      </c>
      <c r="J4753" s="2" t="s">
        <v>42</v>
      </c>
      <c r="K4753" s="2" t="s">
        <v>3019</v>
      </c>
      <c r="L4753" t="s">
        <v>25</v>
      </c>
      <c r="M4753" s="8">
        <v>1.1623333330000001</v>
      </c>
      <c r="N4753" t="s">
        <v>26</v>
      </c>
      <c r="O4753" s="8">
        <v>1.1623333330000001</v>
      </c>
      <c r="P4753" s="8">
        <f>EXP(-1.363+3.366*LOG(O4753,10))</f>
        <v>0.31883010989102206</v>
      </c>
      <c r="Q4753" s="8">
        <f>(5996898*100)/6073515</f>
        <v>98.738506449724753</v>
      </c>
    </row>
    <row r="4754" spans="1:17" x14ac:dyDescent="0.2">
      <c r="A4754">
        <f>YEAR(D4754)</f>
        <v>2020</v>
      </c>
      <c r="B4754" t="s">
        <v>26</v>
      </c>
      <c r="C4754" s="2" t="s">
        <v>3018</v>
      </c>
      <c r="D4754" s="1">
        <v>43964</v>
      </c>
      <c r="E4754">
        <f>MONTH(D4754)</f>
        <v>5</v>
      </c>
      <c r="F4754" s="2" t="s">
        <v>19</v>
      </c>
      <c r="G4754" t="s">
        <v>352</v>
      </c>
      <c r="H4754" t="s">
        <v>1459</v>
      </c>
      <c r="I4754" t="s">
        <v>22</v>
      </c>
      <c r="J4754" s="2" t="s">
        <v>42</v>
      </c>
      <c r="K4754" s="2" t="s">
        <v>3019</v>
      </c>
      <c r="L4754" t="s">
        <v>25</v>
      </c>
      <c r="M4754" s="8">
        <v>1.1910000000000001</v>
      </c>
      <c r="N4754" t="s">
        <v>26</v>
      </c>
      <c r="O4754" s="8">
        <v>1.1910000000000001</v>
      </c>
      <c r="P4754" s="8">
        <f>EXP(-1.363+3.366*LOG(O4754,10))</f>
        <v>0.33039016297752993</v>
      </c>
      <c r="Q4754" s="8">
        <f>(5996898*100)/6073515</f>
        <v>98.738506449724753</v>
      </c>
    </row>
    <row r="4755" spans="1:17" x14ac:dyDescent="0.2">
      <c r="A4755">
        <f>YEAR(D4755)</f>
        <v>2020</v>
      </c>
      <c r="B4755" t="s">
        <v>26</v>
      </c>
      <c r="C4755" s="2" t="s">
        <v>3018</v>
      </c>
      <c r="D4755" s="1">
        <v>43964</v>
      </c>
      <c r="E4755">
        <f>MONTH(D4755)</f>
        <v>5</v>
      </c>
      <c r="F4755" s="2" t="s">
        <v>19</v>
      </c>
      <c r="G4755" t="s">
        <v>1520</v>
      </c>
      <c r="H4755" t="s">
        <v>1528</v>
      </c>
      <c r="I4755" t="s">
        <v>36</v>
      </c>
      <c r="J4755" s="2" t="s">
        <v>42</v>
      </c>
      <c r="K4755" s="2" t="s">
        <v>3019</v>
      </c>
      <c r="L4755" t="s">
        <v>25</v>
      </c>
      <c r="M4755" s="8">
        <v>3.3860000000000001</v>
      </c>
      <c r="N4755" t="s">
        <v>26</v>
      </c>
      <c r="O4755" s="8">
        <v>3.3860000000000001</v>
      </c>
      <c r="P4755" s="8">
        <f>EXP(-1.363+3.366*LOG(O4755,10))</f>
        <v>1.5218493704875904</v>
      </c>
      <c r="Q4755" s="8">
        <f>(5996898*100)/6073515</f>
        <v>98.738506449724753</v>
      </c>
    </row>
    <row r="4756" spans="1:17" x14ac:dyDescent="0.2">
      <c r="A4756">
        <f>YEAR(D4756)</f>
        <v>2020</v>
      </c>
      <c r="B4756" t="s">
        <v>26</v>
      </c>
      <c r="C4756" s="2" t="s">
        <v>3018</v>
      </c>
      <c r="D4756" s="1">
        <v>43964</v>
      </c>
      <c r="E4756">
        <f>MONTH(D4756)</f>
        <v>5</v>
      </c>
      <c r="F4756" s="2" t="s">
        <v>19</v>
      </c>
      <c r="G4756" t="s">
        <v>352</v>
      </c>
      <c r="H4756" t="s">
        <v>623</v>
      </c>
      <c r="I4756" t="s">
        <v>22</v>
      </c>
      <c r="J4756" s="2" t="s">
        <v>42</v>
      </c>
      <c r="K4756" s="2" t="s">
        <v>3019</v>
      </c>
      <c r="L4756" t="s">
        <v>25</v>
      </c>
      <c r="M4756" s="8">
        <v>1.387</v>
      </c>
      <c r="N4756" t="s">
        <v>26</v>
      </c>
      <c r="O4756" s="8">
        <v>1.387</v>
      </c>
      <c r="P4756" s="8">
        <f>EXP(-1.363+3.366*LOG(O4756,10))</f>
        <v>0.41280884754947733</v>
      </c>
      <c r="Q4756" s="8">
        <f>(5996898*100)/6073515</f>
        <v>98.738506449724753</v>
      </c>
    </row>
    <row r="4757" spans="1:17" x14ac:dyDescent="0.2">
      <c r="A4757">
        <f>YEAR(D4757)</f>
        <v>2020</v>
      </c>
      <c r="B4757" t="s">
        <v>26</v>
      </c>
      <c r="C4757" s="2" t="s">
        <v>3027</v>
      </c>
      <c r="D4757" s="1">
        <v>43964</v>
      </c>
      <c r="E4757">
        <f>MONTH(D4757)</f>
        <v>5</v>
      </c>
      <c r="F4757" s="2" t="s">
        <v>19</v>
      </c>
      <c r="G4757" s="2" t="s">
        <v>303</v>
      </c>
      <c r="H4757" t="s">
        <v>3051</v>
      </c>
      <c r="I4757" t="s">
        <v>22</v>
      </c>
      <c r="J4757" s="2" t="s">
        <v>42</v>
      </c>
      <c r="K4757" s="2" t="s">
        <v>3019</v>
      </c>
      <c r="L4757" t="s">
        <v>305</v>
      </c>
      <c r="M4757" s="8">
        <v>1.9530000000000001</v>
      </c>
      <c r="N4757" t="s">
        <v>26</v>
      </c>
      <c r="O4757" s="8">
        <v>1.9530000000000001</v>
      </c>
      <c r="P4757" s="8">
        <f>EXP(-1.363+3.366*LOG(O4757,10))</f>
        <v>0.68079350018145768</v>
      </c>
      <c r="Q4757" s="8">
        <f>(3939723*100)/4442581</f>
        <v>88.680949204977921</v>
      </c>
    </row>
    <row r="4758" spans="1:17" x14ac:dyDescent="0.2">
      <c r="A4758">
        <f>YEAR(D4758)</f>
        <v>2020</v>
      </c>
      <c r="B4758" t="s">
        <v>26</v>
      </c>
      <c r="C4758" s="2" t="s">
        <v>3018</v>
      </c>
      <c r="D4758" s="1">
        <v>43964</v>
      </c>
      <c r="E4758">
        <f>MONTH(D4758)</f>
        <v>5</v>
      </c>
      <c r="F4758" s="2" t="s">
        <v>19</v>
      </c>
      <c r="G4758" t="s">
        <v>352</v>
      </c>
      <c r="H4758" t="s">
        <v>353</v>
      </c>
      <c r="I4758" t="s">
        <v>22</v>
      </c>
      <c r="J4758" s="2" t="s">
        <v>42</v>
      </c>
      <c r="K4758" s="2" t="s">
        <v>3019</v>
      </c>
      <c r="L4758" t="s">
        <v>25</v>
      </c>
      <c r="M4758" s="8">
        <v>1.1623333330000001</v>
      </c>
      <c r="N4758" t="s">
        <v>26</v>
      </c>
      <c r="O4758" s="8">
        <v>1.1623333330000001</v>
      </c>
      <c r="P4758" s="8">
        <f>EXP(-1.363+3.366*LOG(O4758,10))</f>
        <v>0.31883010989102206</v>
      </c>
      <c r="Q4758" s="8">
        <f>(5996898*100)/6073515</f>
        <v>98.738506449724753</v>
      </c>
    </row>
    <row r="4759" spans="1:17" x14ac:dyDescent="0.2">
      <c r="A4759">
        <f>YEAR(D4759)</f>
        <v>2020</v>
      </c>
      <c r="B4759" t="s">
        <v>26</v>
      </c>
      <c r="C4759" s="2" t="s">
        <v>3018</v>
      </c>
      <c r="D4759" s="1">
        <v>43964</v>
      </c>
      <c r="E4759">
        <f>MONTH(D4759)</f>
        <v>5</v>
      </c>
      <c r="F4759" s="2" t="s">
        <v>19</v>
      </c>
      <c r="G4759" t="s">
        <v>20</v>
      </c>
      <c r="H4759" t="s">
        <v>183</v>
      </c>
      <c r="I4759" t="s">
        <v>22</v>
      </c>
      <c r="J4759" s="2" t="s">
        <v>42</v>
      </c>
      <c r="K4759" s="2" t="s">
        <v>3019</v>
      </c>
      <c r="L4759" t="s">
        <v>25</v>
      </c>
      <c r="M4759" s="8">
        <v>2.7893333330000001</v>
      </c>
      <c r="N4759" t="s">
        <v>26</v>
      </c>
      <c r="O4759" s="8">
        <v>2.7893333330000001</v>
      </c>
      <c r="P4759" s="8">
        <f>EXP(-1.363+3.366*LOG(O4759,10))</f>
        <v>1.1463172389308915</v>
      </c>
      <c r="Q4759" s="8">
        <f>(5996898*100)/6073515</f>
        <v>98.738506449724753</v>
      </c>
    </row>
    <row r="4760" spans="1:17" x14ac:dyDescent="0.2">
      <c r="A4760">
        <f>YEAR(D4760)</f>
        <v>2020</v>
      </c>
      <c r="B4760" t="s">
        <v>26</v>
      </c>
      <c r="C4760" s="2" t="s">
        <v>3018</v>
      </c>
      <c r="D4760" s="1">
        <v>43964</v>
      </c>
      <c r="E4760">
        <f>MONTH(D4760)</f>
        <v>5</v>
      </c>
      <c r="F4760" s="2" t="s">
        <v>19</v>
      </c>
      <c r="G4760" t="s">
        <v>352</v>
      </c>
      <c r="H4760" t="s">
        <v>353</v>
      </c>
      <c r="I4760" t="s">
        <v>22</v>
      </c>
      <c r="J4760" s="2" t="s">
        <v>42</v>
      </c>
      <c r="K4760" s="2" t="s">
        <v>3019</v>
      </c>
      <c r="L4760" t="s">
        <v>25</v>
      </c>
      <c r="M4760" s="8">
        <v>1.1623333330000001</v>
      </c>
      <c r="N4760" t="s">
        <v>26</v>
      </c>
      <c r="O4760" s="8">
        <v>1.1623333330000001</v>
      </c>
      <c r="P4760" s="8">
        <f>EXP(-1.363+3.366*LOG(O4760,10))</f>
        <v>0.31883010989102206</v>
      </c>
      <c r="Q4760" s="8">
        <f>(5996898*100)/6073515</f>
        <v>98.738506449724753</v>
      </c>
    </row>
    <row r="4761" spans="1:17" x14ac:dyDescent="0.2">
      <c r="A4761">
        <f>YEAR(D4761)</f>
        <v>2020</v>
      </c>
      <c r="B4761" t="s">
        <v>26</v>
      </c>
      <c r="C4761" s="2" t="s">
        <v>3018</v>
      </c>
      <c r="D4761" s="1">
        <v>43964</v>
      </c>
      <c r="E4761">
        <f>MONTH(D4761)</f>
        <v>5</v>
      </c>
      <c r="F4761" s="2" t="s">
        <v>19</v>
      </c>
      <c r="G4761" t="s">
        <v>352</v>
      </c>
      <c r="H4761" t="s">
        <v>353</v>
      </c>
      <c r="I4761" t="s">
        <v>22</v>
      </c>
      <c r="J4761" s="2" t="s">
        <v>42</v>
      </c>
      <c r="K4761" s="2" t="s">
        <v>3019</v>
      </c>
      <c r="L4761" t="s">
        <v>25</v>
      </c>
      <c r="M4761" s="8">
        <v>1.1623333330000001</v>
      </c>
      <c r="N4761" t="s">
        <v>26</v>
      </c>
      <c r="O4761" s="8">
        <v>1.1623333330000001</v>
      </c>
      <c r="P4761" s="8">
        <f>EXP(-1.363+3.366*LOG(O4761,10))</f>
        <v>0.31883010989102206</v>
      </c>
      <c r="Q4761" s="8">
        <f>(5996898*100)/6073515</f>
        <v>98.738506449724753</v>
      </c>
    </row>
    <row r="4762" spans="1:17" x14ac:dyDescent="0.2">
      <c r="A4762">
        <f>YEAR(D4762)</f>
        <v>2020</v>
      </c>
      <c r="B4762" t="s">
        <v>26</v>
      </c>
      <c r="C4762" s="2" t="s">
        <v>3020</v>
      </c>
      <c r="D4762" s="1">
        <v>43965</v>
      </c>
      <c r="E4762">
        <f>MONTH(D4762)</f>
        <v>5</v>
      </c>
      <c r="F4762" s="2" t="s">
        <v>19</v>
      </c>
      <c r="G4762" t="s">
        <v>219</v>
      </c>
      <c r="H4762" t="s">
        <v>220</v>
      </c>
      <c r="I4762" t="s">
        <v>22</v>
      </c>
      <c r="J4762" s="2" t="s">
        <v>42</v>
      </c>
      <c r="K4762" s="2" t="s">
        <v>3019</v>
      </c>
      <c r="L4762" t="s">
        <v>25</v>
      </c>
      <c r="M4762" s="10" t="s">
        <v>26</v>
      </c>
      <c r="N4762" t="s">
        <v>26</v>
      </c>
      <c r="O4762" s="10" t="s">
        <v>26</v>
      </c>
      <c r="P4762" s="8" t="s">
        <v>26</v>
      </c>
      <c r="Q4762" s="8">
        <f>(3359412*100)/3462762</f>
        <v>97.015388294084318</v>
      </c>
    </row>
    <row r="4763" spans="1:17" x14ac:dyDescent="0.2">
      <c r="A4763">
        <f>YEAR(D4763)</f>
        <v>2020</v>
      </c>
      <c r="B4763" t="s">
        <v>26</v>
      </c>
      <c r="C4763" s="2" t="s">
        <v>3020</v>
      </c>
      <c r="D4763" s="1">
        <v>43965</v>
      </c>
      <c r="E4763">
        <f>MONTH(D4763)</f>
        <v>5</v>
      </c>
      <c r="F4763" s="2" t="s">
        <v>19</v>
      </c>
      <c r="G4763" t="s">
        <v>219</v>
      </c>
      <c r="H4763" t="s">
        <v>220</v>
      </c>
      <c r="I4763" t="s">
        <v>22</v>
      </c>
      <c r="J4763" s="2" t="s">
        <v>42</v>
      </c>
      <c r="K4763" s="2" t="s">
        <v>3019</v>
      </c>
      <c r="L4763" t="s">
        <v>25</v>
      </c>
      <c r="M4763" s="10" t="s">
        <v>26</v>
      </c>
      <c r="N4763" t="s">
        <v>26</v>
      </c>
      <c r="O4763" s="10" t="s">
        <v>26</v>
      </c>
      <c r="P4763" s="8" t="s">
        <v>26</v>
      </c>
      <c r="Q4763" s="8">
        <f>(3359412*100)/3462762</f>
        <v>97.015388294084318</v>
      </c>
    </row>
    <row r="4764" spans="1:17" x14ac:dyDescent="0.2">
      <c r="A4764">
        <f>YEAR(D4764)</f>
        <v>2020</v>
      </c>
      <c r="B4764" t="s">
        <v>26</v>
      </c>
      <c r="C4764" s="2" t="s">
        <v>3020</v>
      </c>
      <c r="D4764" s="1">
        <v>43965</v>
      </c>
      <c r="E4764">
        <f>MONTH(D4764)</f>
        <v>5</v>
      </c>
      <c r="F4764" s="2" t="s">
        <v>19</v>
      </c>
      <c r="G4764" t="s">
        <v>219</v>
      </c>
      <c r="H4764" t="s">
        <v>220</v>
      </c>
      <c r="I4764" t="s">
        <v>22</v>
      </c>
      <c r="J4764" s="2" t="s">
        <v>42</v>
      </c>
      <c r="K4764" s="2" t="s">
        <v>3019</v>
      </c>
      <c r="L4764" t="s">
        <v>25</v>
      </c>
      <c r="M4764" s="10" t="s">
        <v>26</v>
      </c>
      <c r="N4764" t="s">
        <v>26</v>
      </c>
      <c r="O4764" s="10" t="s">
        <v>26</v>
      </c>
      <c r="P4764" s="8" t="s">
        <v>26</v>
      </c>
      <c r="Q4764" s="8">
        <f>(3359412*100)/3462762</f>
        <v>97.015388294084318</v>
      </c>
    </row>
    <row r="4765" spans="1:17" x14ac:dyDescent="0.2">
      <c r="A4765">
        <f>YEAR(D4765)</f>
        <v>2020</v>
      </c>
      <c r="B4765" t="s">
        <v>26</v>
      </c>
      <c r="C4765" s="2" t="s">
        <v>3020</v>
      </c>
      <c r="D4765" s="1">
        <v>43965</v>
      </c>
      <c r="E4765">
        <f>MONTH(D4765)</f>
        <v>5</v>
      </c>
      <c r="F4765" s="2" t="s">
        <v>19</v>
      </c>
      <c r="G4765" t="s">
        <v>362</v>
      </c>
      <c r="H4765" t="s">
        <v>447</v>
      </c>
      <c r="I4765" t="s">
        <v>22</v>
      </c>
      <c r="J4765" s="2" t="s">
        <v>42</v>
      </c>
      <c r="K4765" s="2" t="s">
        <v>3019</v>
      </c>
      <c r="L4765" t="s">
        <v>25</v>
      </c>
      <c r="M4765" s="8">
        <v>1.421</v>
      </c>
      <c r="N4765" t="s">
        <v>26</v>
      </c>
      <c r="O4765" s="8">
        <v>1.421</v>
      </c>
      <c r="P4765" s="8">
        <f>EXP(-1.363+3.366*LOG(O4765,10))</f>
        <v>0.42768500084673816</v>
      </c>
      <c r="Q4765" s="8">
        <f>(3359412*100)/3462762</f>
        <v>97.015388294084318</v>
      </c>
    </row>
    <row r="4766" spans="1:17" x14ac:dyDescent="0.2">
      <c r="A4766">
        <f>YEAR(D4766)</f>
        <v>2020</v>
      </c>
      <c r="B4766" t="s">
        <v>26</v>
      </c>
      <c r="C4766" s="2" t="s">
        <v>3020</v>
      </c>
      <c r="D4766" s="1">
        <v>43965</v>
      </c>
      <c r="E4766">
        <f>MONTH(D4766)</f>
        <v>5</v>
      </c>
      <c r="F4766" s="2" t="s">
        <v>19</v>
      </c>
      <c r="G4766" t="s">
        <v>362</v>
      </c>
      <c r="H4766" t="s">
        <v>447</v>
      </c>
      <c r="I4766" t="s">
        <v>22</v>
      </c>
      <c r="J4766" s="2" t="s">
        <v>42</v>
      </c>
      <c r="K4766" s="2" t="s">
        <v>3019</v>
      </c>
      <c r="L4766" t="s">
        <v>25</v>
      </c>
      <c r="M4766" s="8">
        <v>1.421</v>
      </c>
      <c r="N4766" t="s">
        <v>26</v>
      </c>
      <c r="O4766" s="8">
        <v>1.421</v>
      </c>
      <c r="P4766" s="8">
        <f>EXP(-1.363+3.366*LOG(O4766,10))</f>
        <v>0.42768500084673816</v>
      </c>
      <c r="Q4766" s="8">
        <f>(3359412*100)/3462762</f>
        <v>97.015388294084318</v>
      </c>
    </row>
    <row r="4767" spans="1:17" x14ac:dyDescent="0.2">
      <c r="A4767">
        <f>YEAR(D4767)</f>
        <v>2020</v>
      </c>
      <c r="B4767" t="s">
        <v>26</v>
      </c>
      <c r="C4767" s="2" t="s">
        <v>3020</v>
      </c>
      <c r="D4767" s="1">
        <v>43965</v>
      </c>
      <c r="E4767">
        <f>MONTH(D4767)</f>
        <v>5</v>
      </c>
      <c r="F4767" s="2" t="s">
        <v>19</v>
      </c>
      <c r="G4767" t="s">
        <v>362</v>
      </c>
      <c r="H4767" t="s">
        <v>447</v>
      </c>
      <c r="I4767" t="s">
        <v>22</v>
      </c>
      <c r="J4767" s="2" t="s">
        <v>42</v>
      </c>
      <c r="K4767" s="2" t="s">
        <v>3019</v>
      </c>
      <c r="L4767" t="s">
        <v>25</v>
      </c>
      <c r="M4767" s="8">
        <v>1.421</v>
      </c>
      <c r="N4767" t="s">
        <v>26</v>
      </c>
      <c r="O4767" s="8">
        <v>1.421</v>
      </c>
      <c r="P4767" s="8">
        <f>EXP(-1.363+3.366*LOG(O4767,10))</f>
        <v>0.42768500084673816</v>
      </c>
      <c r="Q4767" s="8">
        <f>(3359412*100)/3462762</f>
        <v>97.015388294084318</v>
      </c>
    </row>
    <row r="4768" spans="1:17" x14ac:dyDescent="0.2">
      <c r="A4768">
        <f>YEAR(D4768)</f>
        <v>2020</v>
      </c>
      <c r="B4768" t="s">
        <v>26</v>
      </c>
      <c r="C4768" s="2" t="s">
        <v>3020</v>
      </c>
      <c r="D4768" s="1">
        <v>43965</v>
      </c>
      <c r="E4768">
        <f>MONTH(D4768)</f>
        <v>5</v>
      </c>
      <c r="F4768" s="2" t="s">
        <v>19</v>
      </c>
      <c r="G4768" t="s">
        <v>362</v>
      </c>
      <c r="H4768" t="s">
        <v>447</v>
      </c>
      <c r="I4768" t="s">
        <v>22</v>
      </c>
      <c r="J4768" s="2" t="s">
        <v>42</v>
      </c>
      <c r="K4768" s="2" t="s">
        <v>3019</v>
      </c>
      <c r="L4768" t="s">
        <v>25</v>
      </c>
      <c r="M4768" s="8">
        <v>1.421</v>
      </c>
      <c r="N4768" t="s">
        <v>26</v>
      </c>
      <c r="O4768" s="8">
        <v>1.421</v>
      </c>
      <c r="P4768" s="8">
        <f>EXP(-1.363+3.366*LOG(O4768,10))</f>
        <v>0.42768500084673816</v>
      </c>
      <c r="Q4768" s="8">
        <f>(3359412*100)/3462762</f>
        <v>97.015388294084318</v>
      </c>
    </row>
    <row r="4769" spans="1:17" x14ac:dyDescent="0.2">
      <c r="A4769">
        <f>YEAR(D4769)</f>
        <v>2020</v>
      </c>
      <c r="B4769" t="s">
        <v>26</v>
      </c>
      <c r="C4769" s="2" t="s">
        <v>3020</v>
      </c>
      <c r="D4769" s="1">
        <v>43965</v>
      </c>
      <c r="E4769">
        <f>MONTH(D4769)</f>
        <v>5</v>
      </c>
      <c r="F4769" s="2" t="s">
        <v>19</v>
      </c>
      <c r="G4769" t="s">
        <v>20</v>
      </c>
      <c r="H4769" t="s">
        <v>149</v>
      </c>
      <c r="I4769" t="s">
        <v>22</v>
      </c>
      <c r="J4769" s="2" t="s">
        <v>42</v>
      </c>
      <c r="K4769" s="2" t="s">
        <v>3019</v>
      </c>
      <c r="L4769" t="s">
        <v>25</v>
      </c>
      <c r="M4769" s="8">
        <v>1.45</v>
      </c>
      <c r="N4769" t="s">
        <v>26</v>
      </c>
      <c r="O4769" s="8">
        <v>1.45</v>
      </c>
      <c r="P4769" s="8">
        <f>EXP(-1.363+3.366*LOG(O4769,10))</f>
        <v>0.44050419760124854</v>
      </c>
      <c r="Q4769" s="8">
        <f>(3359412*100)/3462762</f>
        <v>97.015388294084318</v>
      </c>
    </row>
    <row r="4770" spans="1:17" x14ac:dyDescent="0.2">
      <c r="A4770">
        <f>YEAR(D4770)</f>
        <v>2020</v>
      </c>
      <c r="B4770" t="s">
        <v>26</v>
      </c>
      <c r="C4770" s="2" t="s">
        <v>3020</v>
      </c>
      <c r="D4770" s="1">
        <v>43965</v>
      </c>
      <c r="E4770">
        <f>MONTH(D4770)</f>
        <v>5</v>
      </c>
      <c r="F4770" s="2" t="s">
        <v>19</v>
      </c>
      <c r="G4770" t="s">
        <v>219</v>
      </c>
      <c r="H4770" t="s">
        <v>220</v>
      </c>
      <c r="I4770" t="s">
        <v>22</v>
      </c>
      <c r="J4770" s="2" t="s">
        <v>42</v>
      </c>
      <c r="K4770" s="2" t="s">
        <v>3019</v>
      </c>
      <c r="L4770" t="s">
        <v>25</v>
      </c>
      <c r="M4770" s="10" t="s">
        <v>26</v>
      </c>
      <c r="N4770" t="s">
        <v>26</v>
      </c>
      <c r="O4770" s="10" t="s">
        <v>26</v>
      </c>
      <c r="P4770" s="8" t="s">
        <v>26</v>
      </c>
      <c r="Q4770" s="8">
        <f>(3359412*100)/3462762</f>
        <v>97.015388294084318</v>
      </c>
    </row>
    <row r="4771" spans="1:17" x14ac:dyDescent="0.2">
      <c r="A4771">
        <f>YEAR(D4771)</f>
        <v>2020</v>
      </c>
      <c r="B4771" t="s">
        <v>26</v>
      </c>
      <c r="C4771" s="2" t="s">
        <v>3020</v>
      </c>
      <c r="D4771" s="1">
        <v>43965</v>
      </c>
      <c r="E4771">
        <f>MONTH(D4771)</f>
        <v>5</v>
      </c>
      <c r="F4771" s="2" t="s">
        <v>19</v>
      </c>
      <c r="G4771" t="s">
        <v>219</v>
      </c>
      <c r="H4771" t="s">
        <v>220</v>
      </c>
      <c r="I4771" t="s">
        <v>22</v>
      </c>
      <c r="J4771" s="2" t="s">
        <v>42</v>
      </c>
      <c r="K4771" s="2" t="s">
        <v>3019</v>
      </c>
      <c r="L4771" t="s">
        <v>25</v>
      </c>
      <c r="M4771" s="10" t="s">
        <v>26</v>
      </c>
      <c r="N4771" t="s">
        <v>26</v>
      </c>
      <c r="O4771" s="10" t="s">
        <v>26</v>
      </c>
      <c r="P4771" s="8" t="s">
        <v>26</v>
      </c>
      <c r="Q4771" s="8">
        <f>(3359412*100)/3462762</f>
        <v>97.015388294084318</v>
      </c>
    </row>
    <row r="4772" spans="1:17" x14ac:dyDescent="0.2">
      <c r="A4772">
        <f>YEAR(D4772)</f>
        <v>2020</v>
      </c>
      <c r="B4772" t="s">
        <v>26</v>
      </c>
      <c r="C4772" s="2" t="s">
        <v>3020</v>
      </c>
      <c r="D4772" s="1">
        <v>43965</v>
      </c>
      <c r="E4772">
        <f>MONTH(D4772)</f>
        <v>5</v>
      </c>
      <c r="F4772" s="2" t="s">
        <v>19</v>
      </c>
      <c r="G4772" t="s">
        <v>352</v>
      </c>
      <c r="H4772" t="s">
        <v>610</v>
      </c>
      <c r="I4772" t="s">
        <v>22</v>
      </c>
      <c r="J4772" s="2" t="s">
        <v>42</v>
      </c>
      <c r="K4772" s="2" t="s">
        <v>3019</v>
      </c>
      <c r="L4772" t="s">
        <v>25</v>
      </c>
      <c r="M4772" s="8">
        <v>0.86499999999999999</v>
      </c>
      <c r="N4772" t="s">
        <v>26</v>
      </c>
      <c r="O4772" s="8">
        <v>0.86499999999999999</v>
      </c>
      <c r="P4772" s="8">
        <f>EXP(-1.363+3.366*LOG(O4772,10))</f>
        <v>0.20700676972346591</v>
      </c>
      <c r="Q4772" s="8">
        <f>(3359412*100)/3462762</f>
        <v>97.015388294084318</v>
      </c>
    </row>
    <row r="4773" spans="1:17" x14ac:dyDescent="0.2">
      <c r="A4773">
        <f>YEAR(D4773)</f>
        <v>2020</v>
      </c>
      <c r="B4773" t="s">
        <v>26</v>
      </c>
      <c r="C4773" s="2" t="s">
        <v>3020</v>
      </c>
      <c r="D4773" s="1">
        <v>43965</v>
      </c>
      <c r="E4773">
        <f>MONTH(D4773)</f>
        <v>5</v>
      </c>
      <c r="F4773" s="2" t="s">
        <v>19</v>
      </c>
      <c r="G4773" t="s">
        <v>362</v>
      </c>
      <c r="H4773" t="s">
        <v>447</v>
      </c>
      <c r="I4773" t="s">
        <v>22</v>
      </c>
      <c r="J4773" s="2" t="s">
        <v>42</v>
      </c>
      <c r="K4773" s="2" t="s">
        <v>3019</v>
      </c>
      <c r="L4773" t="s">
        <v>25</v>
      </c>
      <c r="M4773" s="8">
        <v>1.421</v>
      </c>
      <c r="N4773" t="s">
        <v>26</v>
      </c>
      <c r="O4773" s="8">
        <v>1.421</v>
      </c>
      <c r="P4773" s="8">
        <f>EXP(-1.363+3.366*LOG(O4773,10))</f>
        <v>0.42768500084673816</v>
      </c>
      <c r="Q4773" s="8">
        <f>(3359412*100)/3462762</f>
        <v>97.015388294084318</v>
      </c>
    </row>
    <row r="4774" spans="1:17" x14ac:dyDescent="0.2">
      <c r="A4774" s="6">
        <f>YEAR(D4774)</f>
        <v>2020</v>
      </c>
      <c r="B4774" s="6" t="s">
        <v>26</v>
      </c>
      <c r="C4774" s="5" t="s">
        <v>3020</v>
      </c>
      <c r="D4774" s="7">
        <v>43965</v>
      </c>
      <c r="E4774" s="6">
        <f>MONTH(D4774)</f>
        <v>5</v>
      </c>
      <c r="F4774" s="5" t="s">
        <v>19</v>
      </c>
      <c r="G4774" s="6" t="s">
        <v>2210</v>
      </c>
      <c r="H4774" s="6" t="s">
        <v>1941</v>
      </c>
      <c r="I4774" s="6" t="s">
        <v>36</v>
      </c>
      <c r="J4774" s="5" t="s">
        <v>42</v>
      </c>
      <c r="K4774" s="5" t="s">
        <v>3019</v>
      </c>
      <c r="L4774" s="6" t="s">
        <v>187</v>
      </c>
      <c r="M4774" s="9">
        <v>1.9430000000000001</v>
      </c>
      <c r="N4774" s="6" t="s">
        <v>26</v>
      </c>
      <c r="O4774" s="9">
        <v>1.9430000000000001</v>
      </c>
      <c r="P4774" s="9">
        <f>EXP(-1.363+3.366*LOG(O4774,10))</f>
        <v>0.67570374017396273</v>
      </c>
      <c r="Q4774" s="8">
        <f>(3359412*100)/3462762</f>
        <v>97.015388294084318</v>
      </c>
    </row>
    <row r="4775" spans="1:17" x14ac:dyDescent="0.2">
      <c r="A4775">
        <f>YEAR(D4775)</f>
        <v>2020</v>
      </c>
      <c r="B4775" t="s">
        <v>26</v>
      </c>
      <c r="C4775" s="2" t="s">
        <v>3025</v>
      </c>
      <c r="D4775" s="1">
        <v>43969</v>
      </c>
      <c r="E4775">
        <f>MONTH(D4775)</f>
        <v>5</v>
      </c>
      <c r="F4775" s="2" t="s">
        <v>2098</v>
      </c>
      <c r="G4775" t="s">
        <v>352</v>
      </c>
      <c r="H4775" t="s">
        <v>610</v>
      </c>
      <c r="I4775" t="s">
        <v>22</v>
      </c>
      <c r="J4775" s="2" t="s">
        <v>42</v>
      </c>
      <c r="K4775" s="2" t="s">
        <v>3019</v>
      </c>
      <c r="L4775" t="s">
        <v>25</v>
      </c>
      <c r="M4775" s="8">
        <v>0.86499999999999999</v>
      </c>
      <c r="N4775" t="s">
        <v>26</v>
      </c>
      <c r="O4775" s="8">
        <v>0.86499999999999999</v>
      </c>
      <c r="P4775" s="8">
        <f>EXP(-1.363+3.366*LOG(O4775,10))</f>
        <v>0.20700676972346591</v>
      </c>
      <c r="Q4775" s="8">
        <f>(1955155*100)/2180255</f>
        <v>89.67551960665152</v>
      </c>
    </row>
    <row r="4776" spans="1:17" x14ac:dyDescent="0.2">
      <c r="A4776">
        <f>YEAR(D4776)</f>
        <v>2020</v>
      </c>
      <c r="B4776" t="s">
        <v>26</v>
      </c>
      <c r="C4776" s="2" t="s">
        <v>3025</v>
      </c>
      <c r="D4776" s="1">
        <v>43969</v>
      </c>
      <c r="E4776">
        <f>MONTH(D4776)</f>
        <v>5</v>
      </c>
      <c r="F4776" s="2" t="s">
        <v>2098</v>
      </c>
      <c r="G4776" t="s">
        <v>352</v>
      </c>
      <c r="H4776" t="s">
        <v>610</v>
      </c>
      <c r="I4776" t="s">
        <v>22</v>
      </c>
      <c r="J4776" s="2" t="s">
        <v>42</v>
      </c>
      <c r="K4776" s="2" t="s">
        <v>3019</v>
      </c>
      <c r="L4776" t="s">
        <v>25</v>
      </c>
      <c r="M4776" s="8">
        <v>0.86499999999999999</v>
      </c>
      <c r="N4776" t="s">
        <v>26</v>
      </c>
      <c r="O4776" s="8">
        <v>0.86499999999999999</v>
      </c>
      <c r="P4776" s="8">
        <f>EXP(-1.363+3.366*LOG(O4776,10))</f>
        <v>0.20700676972346591</v>
      </c>
      <c r="Q4776" s="8">
        <f>(1955155*100)/2180255</f>
        <v>89.67551960665152</v>
      </c>
    </row>
    <row r="4777" spans="1:17" x14ac:dyDescent="0.2">
      <c r="A4777">
        <f>YEAR(D4777)</f>
        <v>2020</v>
      </c>
      <c r="B4777" t="s">
        <v>26</v>
      </c>
      <c r="C4777" s="2" t="s">
        <v>3025</v>
      </c>
      <c r="D4777" s="1">
        <v>43969</v>
      </c>
      <c r="E4777">
        <f>MONTH(D4777)</f>
        <v>5</v>
      </c>
      <c r="F4777" s="2" t="s">
        <v>2098</v>
      </c>
      <c r="G4777" t="s">
        <v>352</v>
      </c>
      <c r="H4777" t="s">
        <v>610</v>
      </c>
      <c r="I4777" t="s">
        <v>22</v>
      </c>
      <c r="J4777" s="2" t="s">
        <v>42</v>
      </c>
      <c r="K4777" s="2" t="s">
        <v>3019</v>
      </c>
      <c r="L4777" t="s">
        <v>25</v>
      </c>
      <c r="M4777" s="8">
        <v>0.86499999999999999</v>
      </c>
      <c r="N4777" t="s">
        <v>26</v>
      </c>
      <c r="O4777" s="8">
        <v>0.86499999999999999</v>
      </c>
      <c r="P4777" s="8">
        <f>EXP(-1.363+3.366*LOG(O4777,10))</f>
        <v>0.20700676972346591</v>
      </c>
      <c r="Q4777" s="8">
        <f>(1955155*100)/2180255</f>
        <v>89.67551960665152</v>
      </c>
    </row>
    <row r="4778" spans="1:17" x14ac:dyDescent="0.2">
      <c r="A4778">
        <f>YEAR(D4778)</f>
        <v>2020</v>
      </c>
      <c r="B4778" t="s">
        <v>26</v>
      </c>
      <c r="C4778" s="2" t="s">
        <v>3025</v>
      </c>
      <c r="D4778" s="1">
        <v>43969</v>
      </c>
      <c r="E4778">
        <f>MONTH(D4778)</f>
        <v>5</v>
      </c>
      <c r="F4778" s="2" t="s">
        <v>2098</v>
      </c>
      <c r="G4778" t="s">
        <v>352</v>
      </c>
      <c r="H4778" t="s">
        <v>610</v>
      </c>
      <c r="I4778" t="s">
        <v>22</v>
      </c>
      <c r="J4778" s="2" t="s">
        <v>42</v>
      </c>
      <c r="K4778" s="2" t="s">
        <v>3019</v>
      </c>
      <c r="L4778" t="s">
        <v>25</v>
      </c>
      <c r="M4778" s="8">
        <v>0.86499999999999999</v>
      </c>
      <c r="N4778" t="s">
        <v>26</v>
      </c>
      <c r="O4778" s="8">
        <v>0.86499999999999999</v>
      </c>
      <c r="P4778" s="8">
        <f>EXP(-1.363+3.366*LOG(O4778,10))</f>
        <v>0.20700676972346591</v>
      </c>
      <c r="Q4778" s="8">
        <f>(1955155*100)/2180255</f>
        <v>89.67551960665152</v>
      </c>
    </row>
    <row r="4779" spans="1:17" x14ac:dyDescent="0.2">
      <c r="A4779">
        <f>YEAR(D4779)</f>
        <v>2020</v>
      </c>
      <c r="B4779" t="s">
        <v>26</v>
      </c>
      <c r="C4779" s="2" t="s">
        <v>3025</v>
      </c>
      <c r="D4779" s="1">
        <v>43969</v>
      </c>
      <c r="E4779">
        <f>MONTH(D4779)</f>
        <v>5</v>
      </c>
      <c r="F4779" s="2" t="s">
        <v>2098</v>
      </c>
      <c r="G4779" t="s">
        <v>352</v>
      </c>
      <c r="H4779" t="s">
        <v>610</v>
      </c>
      <c r="I4779" t="s">
        <v>22</v>
      </c>
      <c r="J4779" s="2" t="s">
        <v>42</v>
      </c>
      <c r="K4779" s="2" t="s">
        <v>3019</v>
      </c>
      <c r="L4779" t="s">
        <v>25</v>
      </c>
      <c r="M4779" s="8">
        <v>0.86499999999999999</v>
      </c>
      <c r="N4779" t="s">
        <v>26</v>
      </c>
      <c r="O4779" s="8">
        <v>0.86499999999999999</v>
      </c>
      <c r="P4779" s="8">
        <f>EXP(-1.363+3.366*LOG(O4779,10))</f>
        <v>0.20700676972346591</v>
      </c>
      <c r="Q4779" s="8">
        <f>(1955155*100)/2180255</f>
        <v>89.67551960665152</v>
      </c>
    </row>
    <row r="4780" spans="1:17" x14ac:dyDescent="0.2">
      <c r="A4780">
        <f>YEAR(D4780)</f>
        <v>2020</v>
      </c>
      <c r="B4780" t="s">
        <v>26</v>
      </c>
      <c r="C4780" s="2" t="s">
        <v>3025</v>
      </c>
      <c r="D4780" s="1">
        <v>43969</v>
      </c>
      <c r="E4780">
        <f>MONTH(D4780)</f>
        <v>5</v>
      </c>
      <c r="F4780" s="2" t="s">
        <v>19</v>
      </c>
      <c r="G4780" t="s">
        <v>352</v>
      </c>
      <c r="H4780" t="s">
        <v>610</v>
      </c>
      <c r="I4780" t="s">
        <v>22</v>
      </c>
      <c r="J4780" s="2" t="s">
        <v>42</v>
      </c>
      <c r="K4780" s="2" t="s">
        <v>3019</v>
      </c>
      <c r="L4780" t="s">
        <v>25</v>
      </c>
      <c r="M4780" s="8">
        <v>0.86499999999999999</v>
      </c>
      <c r="N4780" t="s">
        <v>26</v>
      </c>
      <c r="O4780" s="8">
        <v>0.86499999999999999</v>
      </c>
      <c r="P4780" s="8">
        <f>EXP(-1.363+3.366*LOG(O4780,10))</f>
        <v>0.20700676972346591</v>
      </c>
      <c r="Q4780" s="8">
        <f>(1955155*100)/2180255</f>
        <v>89.67551960665152</v>
      </c>
    </row>
    <row r="4781" spans="1:17" x14ac:dyDescent="0.2">
      <c r="A4781">
        <f>YEAR(D4781)</f>
        <v>2020</v>
      </c>
      <c r="B4781" t="s">
        <v>26</v>
      </c>
      <c r="C4781" s="2" t="s">
        <v>3025</v>
      </c>
      <c r="D4781" s="1">
        <v>43969</v>
      </c>
      <c r="E4781">
        <f>MONTH(D4781)</f>
        <v>5</v>
      </c>
      <c r="F4781" s="2" t="s">
        <v>19</v>
      </c>
      <c r="G4781" t="s">
        <v>352</v>
      </c>
      <c r="H4781" t="s">
        <v>975</v>
      </c>
      <c r="I4781" t="s">
        <v>22</v>
      </c>
      <c r="J4781" s="2" t="s">
        <v>42</v>
      </c>
      <c r="K4781" s="2" t="s">
        <v>3019</v>
      </c>
      <c r="L4781" t="s">
        <v>25</v>
      </c>
      <c r="M4781" s="8">
        <v>1.0693333330000001</v>
      </c>
      <c r="N4781" t="s">
        <v>26</v>
      </c>
      <c r="O4781" s="8">
        <v>1.0693333330000001</v>
      </c>
      <c r="P4781" s="8">
        <f>EXP(-1.363+3.366*LOG(O4781,10))</f>
        <v>0.28223780327142356</v>
      </c>
      <c r="Q4781" s="8">
        <f>(1955155*100)/2180255</f>
        <v>89.67551960665152</v>
      </c>
    </row>
    <row r="4782" spans="1:17" x14ac:dyDescent="0.2">
      <c r="A4782">
        <f>YEAR(D4782)</f>
        <v>2020</v>
      </c>
      <c r="B4782" t="s">
        <v>26</v>
      </c>
      <c r="C4782" s="2" t="s">
        <v>3025</v>
      </c>
      <c r="D4782" s="1">
        <v>43969</v>
      </c>
      <c r="E4782">
        <f>MONTH(D4782)</f>
        <v>5</v>
      </c>
      <c r="F4782" s="2" t="s">
        <v>19</v>
      </c>
      <c r="G4782" t="s">
        <v>352</v>
      </c>
      <c r="H4782" t="s">
        <v>610</v>
      </c>
      <c r="I4782" t="s">
        <v>22</v>
      </c>
      <c r="J4782" s="2" t="s">
        <v>42</v>
      </c>
      <c r="K4782" s="2" t="s">
        <v>3019</v>
      </c>
      <c r="L4782" t="s">
        <v>25</v>
      </c>
      <c r="M4782" s="8">
        <v>0.86499999999999999</v>
      </c>
      <c r="N4782" t="s">
        <v>26</v>
      </c>
      <c r="O4782" s="8">
        <v>0.86499999999999999</v>
      </c>
      <c r="P4782" s="8">
        <f>EXP(-1.363+3.366*LOG(O4782,10))</f>
        <v>0.20700676972346591</v>
      </c>
      <c r="Q4782" s="8">
        <f>(1955155*100)/2180255</f>
        <v>89.67551960665152</v>
      </c>
    </row>
    <row r="4783" spans="1:17" x14ac:dyDescent="0.2">
      <c r="A4783">
        <f>YEAR(D4783)</f>
        <v>2020</v>
      </c>
      <c r="B4783" t="s">
        <v>26</v>
      </c>
      <c r="C4783" s="2" t="s">
        <v>3025</v>
      </c>
      <c r="D4783" s="1">
        <v>43969</v>
      </c>
      <c r="E4783">
        <f>MONTH(D4783)</f>
        <v>5</v>
      </c>
      <c r="F4783" s="2" t="s">
        <v>19</v>
      </c>
      <c r="G4783" t="s">
        <v>352</v>
      </c>
      <c r="H4783" t="s">
        <v>610</v>
      </c>
      <c r="I4783" t="s">
        <v>22</v>
      </c>
      <c r="J4783" s="2" t="s">
        <v>42</v>
      </c>
      <c r="K4783" s="2" t="s">
        <v>3019</v>
      </c>
      <c r="L4783" t="s">
        <v>25</v>
      </c>
      <c r="M4783" s="8">
        <v>0.86499999999999999</v>
      </c>
      <c r="N4783" t="s">
        <v>26</v>
      </c>
      <c r="O4783" s="8">
        <v>0.86499999999999999</v>
      </c>
      <c r="P4783" s="8">
        <f>EXP(-1.363+3.366*LOG(O4783,10))</f>
        <v>0.20700676972346591</v>
      </c>
      <c r="Q4783" s="8">
        <f>(1955155*100)/2180255</f>
        <v>89.67551960665152</v>
      </c>
    </row>
    <row r="4784" spans="1:17" x14ac:dyDescent="0.2">
      <c r="A4784">
        <f>YEAR(D4784)</f>
        <v>2020</v>
      </c>
      <c r="B4784" t="s">
        <v>26</v>
      </c>
      <c r="C4784" s="2" t="s">
        <v>3025</v>
      </c>
      <c r="D4784" s="1">
        <v>43969</v>
      </c>
      <c r="E4784">
        <f>MONTH(D4784)</f>
        <v>5</v>
      </c>
      <c r="F4784" s="2" t="s">
        <v>19</v>
      </c>
      <c r="G4784" t="s">
        <v>352</v>
      </c>
      <c r="H4784" t="s">
        <v>610</v>
      </c>
      <c r="I4784" t="s">
        <v>22</v>
      </c>
      <c r="J4784" s="2" t="s">
        <v>42</v>
      </c>
      <c r="K4784" s="2" t="s">
        <v>3019</v>
      </c>
      <c r="L4784" t="s">
        <v>25</v>
      </c>
      <c r="M4784" s="8">
        <v>0.86499999999999999</v>
      </c>
      <c r="N4784" t="s">
        <v>26</v>
      </c>
      <c r="O4784" s="8">
        <v>0.86499999999999999</v>
      </c>
      <c r="P4784" s="8">
        <f>EXP(-1.363+3.366*LOG(O4784,10))</f>
        <v>0.20700676972346591</v>
      </c>
      <c r="Q4784" s="8">
        <f>(1955155*100)/2180255</f>
        <v>89.67551960665152</v>
      </c>
    </row>
    <row r="4785" spans="1:17" x14ac:dyDescent="0.2">
      <c r="A4785">
        <f>YEAR(D4785)</f>
        <v>2020</v>
      </c>
      <c r="B4785" t="s">
        <v>26</v>
      </c>
      <c r="C4785" s="2" t="s">
        <v>3025</v>
      </c>
      <c r="D4785" s="1">
        <v>43969</v>
      </c>
      <c r="E4785">
        <f>MONTH(D4785)</f>
        <v>5</v>
      </c>
      <c r="F4785" s="2" t="s">
        <v>19</v>
      </c>
      <c r="G4785" t="s">
        <v>352</v>
      </c>
      <c r="H4785" t="s">
        <v>747</v>
      </c>
      <c r="I4785" t="s">
        <v>22</v>
      </c>
      <c r="J4785" s="2" t="s">
        <v>42</v>
      </c>
      <c r="K4785" s="2" t="s">
        <v>3019</v>
      </c>
      <c r="L4785" t="s">
        <v>25</v>
      </c>
      <c r="M4785" s="8">
        <v>1.3726666670000001</v>
      </c>
      <c r="N4785" t="s">
        <v>26</v>
      </c>
      <c r="O4785" s="8">
        <v>1.3726666670000001</v>
      </c>
      <c r="P4785" s="8">
        <f>EXP(-1.363+3.366*LOG(O4785,10))</f>
        <v>0.40658758379567089</v>
      </c>
      <c r="Q4785" s="8">
        <f>(1955155*100)/2180255</f>
        <v>89.67551960665152</v>
      </c>
    </row>
    <row r="4786" spans="1:17" x14ac:dyDescent="0.2">
      <c r="A4786">
        <f>YEAR(D4786)</f>
        <v>2020</v>
      </c>
      <c r="B4786" t="s">
        <v>26</v>
      </c>
      <c r="C4786" s="2" t="s">
        <v>3022</v>
      </c>
      <c r="D4786" s="1">
        <v>43984</v>
      </c>
      <c r="E4786">
        <f>MONTH(D4786)</f>
        <v>6</v>
      </c>
      <c r="F4786" s="2" t="s">
        <v>2098</v>
      </c>
      <c r="G4786" t="s">
        <v>219</v>
      </c>
      <c r="H4786" t="s">
        <v>220</v>
      </c>
      <c r="I4786" t="s">
        <v>22</v>
      </c>
      <c r="J4786" s="2" t="s">
        <v>42</v>
      </c>
      <c r="K4786" s="2" t="s">
        <v>3019</v>
      </c>
      <c r="L4786" t="s">
        <v>25</v>
      </c>
      <c r="M4786" s="10" t="s">
        <v>26</v>
      </c>
      <c r="N4786" t="s">
        <v>26</v>
      </c>
      <c r="O4786" s="10" t="s">
        <v>26</v>
      </c>
      <c r="P4786" s="8" t="s">
        <v>26</v>
      </c>
      <c r="Q4786" s="8">
        <f>(4437920*100)/4638971</f>
        <v>95.666043180696747</v>
      </c>
    </row>
    <row r="4787" spans="1:17" x14ac:dyDescent="0.2">
      <c r="A4787">
        <f>YEAR(D4787)</f>
        <v>2020</v>
      </c>
      <c r="B4787" t="s">
        <v>26</v>
      </c>
      <c r="C4787" s="2" t="s">
        <v>3022</v>
      </c>
      <c r="D4787" s="1">
        <v>43984</v>
      </c>
      <c r="E4787">
        <f>MONTH(D4787)</f>
        <v>6</v>
      </c>
      <c r="F4787" s="2" t="s">
        <v>2098</v>
      </c>
      <c r="G4787" t="s">
        <v>219</v>
      </c>
      <c r="H4787" t="s">
        <v>220</v>
      </c>
      <c r="I4787" t="s">
        <v>22</v>
      </c>
      <c r="J4787" s="2" t="s">
        <v>42</v>
      </c>
      <c r="K4787" s="2" t="s">
        <v>3019</v>
      </c>
      <c r="L4787" t="s">
        <v>25</v>
      </c>
      <c r="M4787" s="10" t="s">
        <v>26</v>
      </c>
      <c r="N4787" t="s">
        <v>26</v>
      </c>
      <c r="O4787" s="10" t="s">
        <v>26</v>
      </c>
      <c r="P4787" s="8" t="s">
        <v>26</v>
      </c>
      <c r="Q4787" s="8">
        <f>(4437920*100)/4638971</f>
        <v>95.666043180696747</v>
      </c>
    </row>
    <row r="4788" spans="1:17" x14ac:dyDescent="0.2">
      <c r="A4788">
        <f>YEAR(D4788)</f>
        <v>2020</v>
      </c>
      <c r="B4788" t="s">
        <v>26</v>
      </c>
      <c r="C4788" s="2" t="s">
        <v>3022</v>
      </c>
      <c r="D4788" s="1">
        <v>43984</v>
      </c>
      <c r="E4788">
        <f>MONTH(D4788)</f>
        <v>6</v>
      </c>
      <c r="F4788" s="2" t="s">
        <v>2098</v>
      </c>
      <c r="G4788" t="s">
        <v>219</v>
      </c>
      <c r="H4788" t="s">
        <v>220</v>
      </c>
      <c r="I4788" t="s">
        <v>22</v>
      </c>
      <c r="J4788" s="2" t="s">
        <v>42</v>
      </c>
      <c r="K4788" s="2" t="s">
        <v>3019</v>
      </c>
      <c r="L4788" t="s">
        <v>25</v>
      </c>
      <c r="M4788" s="10" t="s">
        <v>26</v>
      </c>
      <c r="N4788" t="s">
        <v>26</v>
      </c>
      <c r="O4788" s="10" t="s">
        <v>26</v>
      </c>
      <c r="P4788" s="8" t="s">
        <v>26</v>
      </c>
      <c r="Q4788" s="8">
        <f>(4437920*100)/4638971</f>
        <v>95.666043180696747</v>
      </c>
    </row>
    <row r="4789" spans="1:17" x14ac:dyDescent="0.2">
      <c r="A4789">
        <f>YEAR(D4789)</f>
        <v>2020</v>
      </c>
      <c r="B4789" t="s">
        <v>26</v>
      </c>
      <c r="C4789" s="2" t="s">
        <v>3022</v>
      </c>
      <c r="D4789" s="1">
        <v>43984</v>
      </c>
      <c r="E4789">
        <f>MONTH(D4789)</f>
        <v>6</v>
      </c>
      <c r="F4789" s="2" t="s">
        <v>2098</v>
      </c>
      <c r="G4789" t="s">
        <v>219</v>
      </c>
      <c r="H4789" t="s">
        <v>220</v>
      </c>
      <c r="I4789" t="s">
        <v>22</v>
      </c>
      <c r="J4789" s="2" t="s">
        <v>42</v>
      </c>
      <c r="K4789" s="2" t="s">
        <v>3019</v>
      </c>
      <c r="L4789" t="s">
        <v>25</v>
      </c>
      <c r="M4789" s="10" t="s">
        <v>26</v>
      </c>
      <c r="N4789" t="s">
        <v>26</v>
      </c>
      <c r="O4789" s="10" t="s">
        <v>26</v>
      </c>
      <c r="P4789" s="8" t="s">
        <v>26</v>
      </c>
      <c r="Q4789" s="8">
        <f>(4437920*100)/4638971</f>
        <v>95.666043180696747</v>
      </c>
    </row>
    <row r="4790" spans="1:17" x14ac:dyDescent="0.2">
      <c r="A4790">
        <f>YEAR(D4790)</f>
        <v>2020</v>
      </c>
      <c r="B4790" t="s">
        <v>26</v>
      </c>
      <c r="C4790" s="2" t="s">
        <v>3022</v>
      </c>
      <c r="D4790" s="1">
        <v>43984</v>
      </c>
      <c r="E4790">
        <f>MONTH(D4790)</f>
        <v>6</v>
      </c>
      <c r="F4790" s="2" t="s">
        <v>2098</v>
      </c>
      <c r="G4790" t="s">
        <v>219</v>
      </c>
      <c r="H4790" t="s">
        <v>220</v>
      </c>
      <c r="I4790" t="s">
        <v>22</v>
      </c>
      <c r="J4790" s="2" t="s">
        <v>42</v>
      </c>
      <c r="K4790" s="2" t="s">
        <v>3019</v>
      </c>
      <c r="L4790" t="s">
        <v>25</v>
      </c>
      <c r="M4790" s="10" t="s">
        <v>26</v>
      </c>
      <c r="N4790" t="s">
        <v>26</v>
      </c>
      <c r="O4790" s="10" t="s">
        <v>26</v>
      </c>
      <c r="P4790" s="8" t="s">
        <v>26</v>
      </c>
      <c r="Q4790" s="8">
        <f>(4437920*100)/4638971</f>
        <v>95.666043180696747</v>
      </c>
    </row>
    <row r="4791" spans="1:17" x14ac:dyDescent="0.2">
      <c r="A4791">
        <f>YEAR(D4791)</f>
        <v>2020</v>
      </c>
      <c r="B4791" t="s">
        <v>26</v>
      </c>
      <c r="C4791" s="2" t="s">
        <v>3022</v>
      </c>
      <c r="D4791" s="1">
        <v>43984</v>
      </c>
      <c r="E4791">
        <f>MONTH(D4791)</f>
        <v>6</v>
      </c>
      <c r="F4791" s="2" t="s">
        <v>2098</v>
      </c>
      <c r="G4791" t="s">
        <v>219</v>
      </c>
      <c r="H4791" t="s">
        <v>220</v>
      </c>
      <c r="I4791" t="s">
        <v>22</v>
      </c>
      <c r="J4791" s="2" t="s">
        <v>42</v>
      </c>
      <c r="K4791" s="2" t="s">
        <v>3019</v>
      </c>
      <c r="L4791" t="s">
        <v>25</v>
      </c>
      <c r="M4791" s="10" t="s">
        <v>26</v>
      </c>
      <c r="N4791" t="s">
        <v>26</v>
      </c>
      <c r="O4791" s="10" t="s">
        <v>26</v>
      </c>
      <c r="P4791" s="8" t="s">
        <v>26</v>
      </c>
      <c r="Q4791" s="8">
        <f>(4437920*100)/4638971</f>
        <v>95.666043180696747</v>
      </c>
    </row>
    <row r="4792" spans="1:17" x14ac:dyDescent="0.2">
      <c r="A4792">
        <f>YEAR(D4792)</f>
        <v>2020</v>
      </c>
      <c r="B4792" t="s">
        <v>26</v>
      </c>
      <c r="C4792" s="2" t="s">
        <v>3022</v>
      </c>
      <c r="D4792" s="1">
        <v>43984</v>
      </c>
      <c r="E4792">
        <f>MONTH(D4792)</f>
        <v>6</v>
      </c>
      <c r="F4792" s="2" t="s">
        <v>2098</v>
      </c>
      <c r="G4792" t="s">
        <v>219</v>
      </c>
      <c r="H4792" t="s">
        <v>220</v>
      </c>
      <c r="I4792" t="s">
        <v>22</v>
      </c>
      <c r="J4792" s="2" t="s">
        <v>42</v>
      </c>
      <c r="K4792" s="2" t="s">
        <v>3019</v>
      </c>
      <c r="L4792" t="s">
        <v>25</v>
      </c>
      <c r="M4792" s="10" t="s">
        <v>26</v>
      </c>
      <c r="N4792" t="s">
        <v>26</v>
      </c>
      <c r="O4792" s="10" t="s">
        <v>26</v>
      </c>
      <c r="P4792" s="8" t="s">
        <v>26</v>
      </c>
      <c r="Q4792" s="8">
        <f>(4437920*100)/4638971</f>
        <v>95.666043180696747</v>
      </c>
    </row>
    <row r="4793" spans="1:17" x14ac:dyDescent="0.2">
      <c r="A4793">
        <f>YEAR(D4793)</f>
        <v>2020</v>
      </c>
      <c r="B4793" t="s">
        <v>26</v>
      </c>
      <c r="C4793" s="2" t="s">
        <v>3022</v>
      </c>
      <c r="D4793" s="1">
        <v>43984</v>
      </c>
      <c r="E4793">
        <f>MONTH(D4793)</f>
        <v>6</v>
      </c>
      <c r="F4793" s="2" t="s">
        <v>2098</v>
      </c>
      <c r="G4793" t="s">
        <v>219</v>
      </c>
      <c r="H4793" t="s">
        <v>220</v>
      </c>
      <c r="I4793" t="s">
        <v>22</v>
      </c>
      <c r="J4793" s="2" t="s">
        <v>42</v>
      </c>
      <c r="K4793" s="2" t="s">
        <v>3019</v>
      </c>
      <c r="L4793" t="s">
        <v>25</v>
      </c>
      <c r="M4793" s="10" t="s">
        <v>26</v>
      </c>
      <c r="N4793" t="s">
        <v>26</v>
      </c>
      <c r="O4793" s="10" t="s">
        <v>26</v>
      </c>
      <c r="P4793" s="8" t="s">
        <v>26</v>
      </c>
      <c r="Q4793" s="8">
        <f>(4437920*100)/4638971</f>
        <v>95.666043180696747</v>
      </c>
    </row>
    <row r="4794" spans="1:17" x14ac:dyDescent="0.2">
      <c r="A4794">
        <f>YEAR(D4794)</f>
        <v>2020</v>
      </c>
      <c r="B4794" t="s">
        <v>26</v>
      </c>
      <c r="C4794" s="2" t="s">
        <v>3022</v>
      </c>
      <c r="D4794" s="1">
        <v>43984</v>
      </c>
      <c r="E4794">
        <f>MONTH(D4794)</f>
        <v>6</v>
      </c>
      <c r="F4794" s="2" t="s">
        <v>2098</v>
      </c>
      <c r="G4794" t="s">
        <v>219</v>
      </c>
      <c r="H4794" t="s">
        <v>220</v>
      </c>
      <c r="I4794" t="s">
        <v>22</v>
      </c>
      <c r="J4794" s="2" t="s">
        <v>42</v>
      </c>
      <c r="K4794" s="2" t="s">
        <v>3019</v>
      </c>
      <c r="L4794" t="s">
        <v>25</v>
      </c>
      <c r="M4794" s="10" t="s">
        <v>26</v>
      </c>
      <c r="N4794" t="s">
        <v>26</v>
      </c>
      <c r="O4794" s="10" t="s">
        <v>26</v>
      </c>
      <c r="P4794" s="8" t="s">
        <v>26</v>
      </c>
      <c r="Q4794" s="8">
        <f>(4437920*100)/4638971</f>
        <v>95.666043180696747</v>
      </c>
    </row>
    <row r="4795" spans="1:17" x14ac:dyDescent="0.2">
      <c r="A4795">
        <f>YEAR(D4795)</f>
        <v>2020</v>
      </c>
      <c r="B4795" t="s">
        <v>26</v>
      </c>
      <c r="C4795" s="2" t="s">
        <v>3022</v>
      </c>
      <c r="D4795" s="1">
        <v>43984</v>
      </c>
      <c r="E4795">
        <f>MONTH(D4795)</f>
        <v>6</v>
      </c>
      <c r="F4795" s="2" t="s">
        <v>2098</v>
      </c>
      <c r="G4795" t="s">
        <v>219</v>
      </c>
      <c r="H4795" t="s">
        <v>220</v>
      </c>
      <c r="I4795" t="s">
        <v>22</v>
      </c>
      <c r="J4795" s="2" t="s">
        <v>42</v>
      </c>
      <c r="K4795" s="2" t="s">
        <v>3019</v>
      </c>
      <c r="L4795" t="s">
        <v>25</v>
      </c>
      <c r="M4795" s="10" t="s">
        <v>26</v>
      </c>
      <c r="N4795" t="s">
        <v>26</v>
      </c>
      <c r="O4795" s="10" t="s">
        <v>26</v>
      </c>
      <c r="P4795" s="8" t="s">
        <v>26</v>
      </c>
      <c r="Q4795" s="8">
        <f>(4437920*100)/4638971</f>
        <v>95.666043180696747</v>
      </c>
    </row>
    <row r="4796" spans="1:17" ht="16" x14ac:dyDescent="0.2">
      <c r="A4796">
        <f>YEAR(D4796)</f>
        <v>2020</v>
      </c>
      <c r="B4796" t="s">
        <v>26</v>
      </c>
      <c r="C4796" s="2" t="s">
        <v>3022</v>
      </c>
      <c r="D4796" s="1">
        <v>43984</v>
      </c>
      <c r="E4796">
        <f>MONTH(D4796)</f>
        <v>6</v>
      </c>
      <c r="F4796" s="2" t="s">
        <v>2098</v>
      </c>
      <c r="G4796" t="s">
        <v>318</v>
      </c>
      <c r="H4796" t="s">
        <v>319</v>
      </c>
      <c r="I4796" s="3" t="s">
        <v>26</v>
      </c>
      <c r="J4796" s="2" t="s">
        <v>42</v>
      </c>
      <c r="K4796" s="2" t="s">
        <v>3019</v>
      </c>
      <c r="L4796" t="s">
        <v>25</v>
      </c>
      <c r="M4796" s="10" t="s">
        <v>26</v>
      </c>
      <c r="N4796" t="s">
        <v>26</v>
      </c>
      <c r="O4796" s="8" t="s">
        <v>26</v>
      </c>
      <c r="P4796" s="8" t="s">
        <v>26</v>
      </c>
      <c r="Q4796" s="8">
        <f>(4437920*100)/4638971</f>
        <v>95.666043180696747</v>
      </c>
    </row>
    <row r="4797" spans="1:17" x14ac:dyDescent="0.2">
      <c r="A4797">
        <f>YEAR(D4797)</f>
        <v>2020</v>
      </c>
      <c r="B4797" t="s">
        <v>26</v>
      </c>
      <c r="C4797" s="2" t="s">
        <v>3022</v>
      </c>
      <c r="D4797" s="1">
        <v>43984</v>
      </c>
      <c r="E4797">
        <f>MONTH(D4797)</f>
        <v>6</v>
      </c>
      <c r="F4797" s="2" t="s">
        <v>2098</v>
      </c>
      <c r="G4797" t="s">
        <v>219</v>
      </c>
      <c r="H4797" t="s">
        <v>220</v>
      </c>
      <c r="I4797" t="s">
        <v>22</v>
      </c>
      <c r="J4797" s="2" t="s">
        <v>42</v>
      </c>
      <c r="K4797" s="2" t="s">
        <v>3019</v>
      </c>
      <c r="L4797" t="s">
        <v>25</v>
      </c>
      <c r="M4797" s="10" t="s">
        <v>26</v>
      </c>
      <c r="N4797" t="s">
        <v>26</v>
      </c>
      <c r="O4797" s="10" t="s">
        <v>26</v>
      </c>
      <c r="P4797" s="8" t="s">
        <v>26</v>
      </c>
      <c r="Q4797" s="8">
        <f>(4437920*100)/4638971</f>
        <v>95.666043180696747</v>
      </c>
    </row>
    <row r="4798" spans="1:17" x14ac:dyDescent="0.2">
      <c r="A4798">
        <f>YEAR(D4798)</f>
        <v>2020</v>
      </c>
      <c r="B4798" t="s">
        <v>26</v>
      </c>
      <c r="C4798" s="2" t="s">
        <v>3022</v>
      </c>
      <c r="D4798" s="1">
        <v>43984</v>
      </c>
      <c r="E4798">
        <f>MONTH(D4798)</f>
        <v>6</v>
      </c>
      <c r="F4798" s="2" t="s">
        <v>2098</v>
      </c>
      <c r="G4798" t="s">
        <v>219</v>
      </c>
      <c r="H4798" t="s">
        <v>220</v>
      </c>
      <c r="I4798" t="s">
        <v>22</v>
      </c>
      <c r="J4798" s="2" t="s">
        <v>42</v>
      </c>
      <c r="K4798" s="2" t="s">
        <v>3019</v>
      </c>
      <c r="L4798" t="s">
        <v>25</v>
      </c>
      <c r="M4798" s="10" t="s">
        <v>26</v>
      </c>
      <c r="N4798" t="s">
        <v>26</v>
      </c>
      <c r="O4798" s="10" t="s">
        <v>26</v>
      </c>
      <c r="P4798" s="8" t="s">
        <v>26</v>
      </c>
      <c r="Q4798" s="8">
        <f>(4437920*100)/4638971</f>
        <v>95.666043180696747</v>
      </c>
    </row>
    <row r="4799" spans="1:17" x14ac:dyDescent="0.2">
      <c r="A4799">
        <f>YEAR(D4799)</f>
        <v>2020</v>
      </c>
      <c r="B4799" t="s">
        <v>26</v>
      </c>
      <c r="C4799" s="2" t="s">
        <v>3023</v>
      </c>
      <c r="D4799" s="1">
        <v>43984</v>
      </c>
      <c r="E4799">
        <f>MONTH(D4799)</f>
        <v>6</v>
      </c>
      <c r="F4799" s="2" t="s">
        <v>2098</v>
      </c>
      <c r="G4799" t="s">
        <v>219</v>
      </c>
      <c r="H4799" t="s">
        <v>220</v>
      </c>
      <c r="I4799" t="s">
        <v>22</v>
      </c>
      <c r="J4799" s="2" t="s">
        <v>42</v>
      </c>
      <c r="K4799" s="2" t="s">
        <v>3019</v>
      </c>
      <c r="L4799" t="s">
        <v>25</v>
      </c>
      <c r="M4799" s="10" t="s">
        <v>26</v>
      </c>
      <c r="N4799" t="s">
        <v>26</v>
      </c>
      <c r="O4799" s="10" t="s">
        <v>26</v>
      </c>
      <c r="P4799" s="8" t="s">
        <v>26</v>
      </c>
      <c r="Q4799" s="8">
        <f>(8197453*100)/8541008</f>
        <v>95.977582505484136</v>
      </c>
    </row>
    <row r="4800" spans="1:17" x14ac:dyDescent="0.2">
      <c r="A4800">
        <f>YEAR(D4800)</f>
        <v>2020</v>
      </c>
      <c r="B4800" t="s">
        <v>26</v>
      </c>
      <c r="C4800" s="2" t="s">
        <v>3023</v>
      </c>
      <c r="D4800" s="1">
        <v>43984</v>
      </c>
      <c r="E4800">
        <f>MONTH(D4800)</f>
        <v>6</v>
      </c>
      <c r="F4800" s="2" t="s">
        <v>2098</v>
      </c>
      <c r="G4800" t="s">
        <v>219</v>
      </c>
      <c r="H4800" t="s">
        <v>220</v>
      </c>
      <c r="I4800" t="s">
        <v>22</v>
      </c>
      <c r="J4800" s="2" t="s">
        <v>42</v>
      </c>
      <c r="K4800" s="2" t="s">
        <v>3019</v>
      </c>
      <c r="L4800" t="s">
        <v>25</v>
      </c>
      <c r="M4800" s="10" t="s">
        <v>26</v>
      </c>
      <c r="N4800" t="s">
        <v>26</v>
      </c>
      <c r="O4800" s="10" t="s">
        <v>26</v>
      </c>
      <c r="P4800" s="8" t="s">
        <v>26</v>
      </c>
      <c r="Q4800" s="8">
        <f>(8197453*100)/8541008</f>
        <v>95.977582505484136</v>
      </c>
    </row>
    <row r="4801" spans="1:17" ht="16" x14ac:dyDescent="0.2">
      <c r="A4801">
        <f>YEAR(D4801)</f>
        <v>2020</v>
      </c>
      <c r="B4801" t="s">
        <v>26</v>
      </c>
      <c r="C4801" s="2" t="s">
        <v>3023</v>
      </c>
      <c r="D4801" s="1">
        <v>43984</v>
      </c>
      <c r="E4801">
        <f>MONTH(D4801)</f>
        <v>6</v>
      </c>
      <c r="F4801" s="2" t="s">
        <v>2098</v>
      </c>
      <c r="G4801" t="s">
        <v>318</v>
      </c>
      <c r="H4801" t="s">
        <v>319</v>
      </c>
      <c r="I4801" s="3" t="s">
        <v>26</v>
      </c>
      <c r="J4801" s="2" t="s">
        <v>42</v>
      </c>
      <c r="K4801" s="2" t="s">
        <v>3019</v>
      </c>
      <c r="L4801" t="s">
        <v>25</v>
      </c>
      <c r="M4801" s="10" t="s">
        <v>26</v>
      </c>
      <c r="N4801" t="s">
        <v>26</v>
      </c>
      <c r="O4801" s="8" t="s">
        <v>26</v>
      </c>
      <c r="P4801" s="8" t="s">
        <v>26</v>
      </c>
      <c r="Q4801" s="8">
        <f>(8197453*100)/8541008</f>
        <v>95.977582505484136</v>
      </c>
    </row>
    <row r="4802" spans="1:17" ht="16" x14ac:dyDescent="0.2">
      <c r="A4802">
        <f>YEAR(D4802)</f>
        <v>2020</v>
      </c>
      <c r="B4802" t="s">
        <v>26</v>
      </c>
      <c r="C4802" s="2" t="s">
        <v>3023</v>
      </c>
      <c r="D4802" s="1">
        <v>43984</v>
      </c>
      <c r="E4802">
        <f>MONTH(D4802)</f>
        <v>6</v>
      </c>
      <c r="F4802" s="2" t="s">
        <v>2098</v>
      </c>
      <c r="G4802" t="s">
        <v>318</v>
      </c>
      <c r="H4802" t="s">
        <v>319</v>
      </c>
      <c r="I4802" s="3" t="s">
        <v>26</v>
      </c>
      <c r="J4802" s="2" t="s">
        <v>42</v>
      </c>
      <c r="K4802" s="2" t="s">
        <v>3019</v>
      </c>
      <c r="L4802" t="s">
        <v>25</v>
      </c>
      <c r="M4802" s="10" t="s">
        <v>26</v>
      </c>
      <c r="N4802" t="s">
        <v>26</v>
      </c>
      <c r="O4802" s="8" t="s">
        <v>26</v>
      </c>
      <c r="P4802" s="8" t="s">
        <v>26</v>
      </c>
      <c r="Q4802" s="8">
        <f>(8197453*100)/8541008</f>
        <v>95.977582505484136</v>
      </c>
    </row>
    <row r="4803" spans="1:17" x14ac:dyDescent="0.2">
      <c r="A4803">
        <f>YEAR(D4803)</f>
        <v>2020</v>
      </c>
      <c r="B4803" t="s">
        <v>26</v>
      </c>
      <c r="C4803" s="2" t="s">
        <v>3023</v>
      </c>
      <c r="D4803" s="1">
        <v>43984</v>
      </c>
      <c r="E4803">
        <f>MONTH(D4803)</f>
        <v>6</v>
      </c>
      <c r="F4803" s="2" t="s">
        <v>2098</v>
      </c>
      <c r="G4803" t="s">
        <v>230</v>
      </c>
      <c r="H4803" t="s">
        <v>268</v>
      </c>
      <c r="I4803" t="s">
        <v>22</v>
      </c>
      <c r="J4803" s="2" t="s">
        <v>42</v>
      </c>
      <c r="K4803" s="2" t="s">
        <v>3019</v>
      </c>
      <c r="L4803" t="s">
        <v>25</v>
      </c>
      <c r="M4803" s="8">
        <v>3.5356666670000001</v>
      </c>
      <c r="N4803" t="s">
        <v>26</v>
      </c>
      <c r="O4803" s="8">
        <v>3.5356666670000001</v>
      </c>
      <c r="P4803" s="8">
        <f>EXP(-1.363+3.366*LOG(O4803,10))</f>
        <v>1.6211802664427075</v>
      </c>
      <c r="Q4803" s="8">
        <f>(8197453*100)/8541008</f>
        <v>95.977582505484136</v>
      </c>
    </row>
    <row r="4804" spans="1:17" x14ac:dyDescent="0.2">
      <c r="A4804">
        <f>YEAR(D4804)</f>
        <v>2020</v>
      </c>
      <c r="B4804" t="s">
        <v>26</v>
      </c>
      <c r="C4804" s="2" t="s">
        <v>3023</v>
      </c>
      <c r="D4804" s="1">
        <v>43984</v>
      </c>
      <c r="E4804">
        <f>MONTH(D4804)</f>
        <v>6</v>
      </c>
      <c r="F4804" s="2" t="s">
        <v>2098</v>
      </c>
      <c r="G4804" t="s">
        <v>219</v>
      </c>
      <c r="H4804" t="s">
        <v>220</v>
      </c>
      <c r="I4804" t="s">
        <v>22</v>
      </c>
      <c r="J4804" s="2" t="s">
        <v>42</v>
      </c>
      <c r="K4804" s="2" t="s">
        <v>3019</v>
      </c>
      <c r="L4804" t="s">
        <v>25</v>
      </c>
      <c r="M4804" s="10" t="s">
        <v>26</v>
      </c>
      <c r="N4804" t="s">
        <v>26</v>
      </c>
      <c r="O4804" s="10" t="s">
        <v>26</v>
      </c>
      <c r="P4804" s="8" t="s">
        <v>26</v>
      </c>
      <c r="Q4804" s="8">
        <f>(8197453*100)/8541008</f>
        <v>95.977582505484136</v>
      </c>
    </row>
    <row r="4805" spans="1:17" x14ac:dyDescent="0.2">
      <c r="A4805">
        <f>YEAR(D4805)</f>
        <v>2020</v>
      </c>
      <c r="B4805" t="s">
        <v>26</v>
      </c>
      <c r="C4805" s="2" t="s">
        <v>3023</v>
      </c>
      <c r="D4805" s="1">
        <v>43984</v>
      </c>
      <c r="E4805">
        <f>MONTH(D4805)</f>
        <v>6</v>
      </c>
      <c r="F4805" s="2" t="s">
        <v>2098</v>
      </c>
      <c r="G4805" t="s">
        <v>219</v>
      </c>
      <c r="H4805" t="s">
        <v>220</v>
      </c>
      <c r="I4805" t="s">
        <v>22</v>
      </c>
      <c r="J4805" s="2" t="s">
        <v>42</v>
      </c>
      <c r="K4805" s="2" t="s">
        <v>3019</v>
      </c>
      <c r="L4805" t="s">
        <v>25</v>
      </c>
      <c r="M4805" s="10" t="s">
        <v>26</v>
      </c>
      <c r="N4805" t="s">
        <v>26</v>
      </c>
      <c r="O4805" s="10" t="s">
        <v>26</v>
      </c>
      <c r="P4805" s="8" t="s">
        <v>26</v>
      </c>
      <c r="Q4805" s="8">
        <f>(8197453*100)/8541008</f>
        <v>95.977582505484136</v>
      </c>
    </row>
    <row r="4806" spans="1:17" x14ac:dyDescent="0.2">
      <c r="A4806">
        <f>YEAR(D4806)</f>
        <v>2020</v>
      </c>
      <c r="B4806" t="s">
        <v>26</v>
      </c>
      <c r="C4806" s="2" t="s">
        <v>3023</v>
      </c>
      <c r="D4806" s="1">
        <v>43984</v>
      </c>
      <c r="E4806">
        <f>MONTH(D4806)</f>
        <v>6</v>
      </c>
      <c r="F4806" s="2" t="s">
        <v>2098</v>
      </c>
      <c r="G4806" t="s">
        <v>219</v>
      </c>
      <c r="H4806" t="s">
        <v>220</v>
      </c>
      <c r="I4806" t="s">
        <v>22</v>
      </c>
      <c r="J4806" s="2" t="s">
        <v>42</v>
      </c>
      <c r="K4806" s="2" t="s">
        <v>3019</v>
      </c>
      <c r="L4806" t="s">
        <v>25</v>
      </c>
      <c r="M4806" s="10" t="s">
        <v>26</v>
      </c>
      <c r="N4806" t="s">
        <v>26</v>
      </c>
      <c r="O4806" s="10" t="s">
        <v>26</v>
      </c>
      <c r="P4806" s="8" t="s">
        <v>26</v>
      </c>
      <c r="Q4806" s="8">
        <f>(8197453*100)/8541008</f>
        <v>95.977582505484136</v>
      </c>
    </row>
    <row r="4807" spans="1:17" ht="16" x14ac:dyDescent="0.2">
      <c r="A4807">
        <f>YEAR(D4807)</f>
        <v>2020</v>
      </c>
      <c r="B4807" t="s">
        <v>26</v>
      </c>
      <c r="C4807" s="2" t="s">
        <v>3023</v>
      </c>
      <c r="D4807" s="1">
        <v>43984</v>
      </c>
      <c r="E4807">
        <f>MONTH(D4807)</f>
        <v>6</v>
      </c>
      <c r="F4807" s="2" t="s">
        <v>2098</v>
      </c>
      <c r="G4807" t="s">
        <v>318</v>
      </c>
      <c r="H4807" t="s">
        <v>319</v>
      </c>
      <c r="I4807" s="3" t="s">
        <v>26</v>
      </c>
      <c r="J4807" s="2" t="s">
        <v>42</v>
      </c>
      <c r="K4807" s="2" t="s">
        <v>3019</v>
      </c>
      <c r="L4807" t="s">
        <v>25</v>
      </c>
      <c r="M4807" s="10" t="s">
        <v>26</v>
      </c>
      <c r="N4807" t="s">
        <v>26</v>
      </c>
      <c r="O4807" s="8" t="s">
        <v>26</v>
      </c>
      <c r="P4807" s="8" t="s">
        <v>26</v>
      </c>
      <c r="Q4807" s="8">
        <f>(8197453*100)/8541008</f>
        <v>95.977582505484136</v>
      </c>
    </row>
    <row r="4808" spans="1:17" x14ac:dyDescent="0.2">
      <c r="A4808">
        <f>YEAR(D4808)</f>
        <v>2020</v>
      </c>
      <c r="B4808" t="s">
        <v>26</v>
      </c>
      <c r="C4808" s="2" t="s">
        <v>3023</v>
      </c>
      <c r="D4808" s="1">
        <v>43984</v>
      </c>
      <c r="E4808">
        <f>MONTH(D4808)</f>
        <v>6</v>
      </c>
      <c r="F4808" s="2" t="s">
        <v>2098</v>
      </c>
      <c r="G4808" t="s">
        <v>230</v>
      </c>
      <c r="H4808" t="s">
        <v>268</v>
      </c>
      <c r="I4808" t="s">
        <v>22</v>
      </c>
      <c r="J4808" s="2" t="s">
        <v>42</v>
      </c>
      <c r="K4808" s="2" t="s">
        <v>3019</v>
      </c>
      <c r="L4808" t="s">
        <v>25</v>
      </c>
      <c r="M4808" s="8">
        <v>3.5356666670000001</v>
      </c>
      <c r="N4808" t="s">
        <v>26</v>
      </c>
      <c r="O4808" s="8">
        <v>3.5356666670000001</v>
      </c>
      <c r="P4808" s="8">
        <f>EXP(-1.363+3.366*LOG(O4808,10))</f>
        <v>1.6211802664427075</v>
      </c>
      <c r="Q4808" s="8">
        <f>(8197453*100)/8541008</f>
        <v>95.977582505484136</v>
      </c>
    </row>
    <row r="4809" spans="1:17" x14ac:dyDescent="0.2">
      <c r="A4809">
        <f>YEAR(D4809)</f>
        <v>2020</v>
      </c>
      <c r="B4809" t="s">
        <v>26</v>
      </c>
      <c r="C4809" s="2" t="s">
        <v>3022</v>
      </c>
      <c r="D4809" s="1">
        <v>43984</v>
      </c>
      <c r="E4809">
        <f>MONTH(D4809)</f>
        <v>6</v>
      </c>
      <c r="F4809" s="2" t="s">
        <v>2098</v>
      </c>
      <c r="G4809" t="s">
        <v>352</v>
      </c>
      <c r="H4809" t="s">
        <v>623</v>
      </c>
      <c r="I4809" t="s">
        <v>22</v>
      </c>
      <c r="J4809" s="2" t="s">
        <v>42</v>
      </c>
      <c r="K4809" s="2" t="s">
        <v>3019</v>
      </c>
      <c r="L4809" t="s">
        <v>25</v>
      </c>
      <c r="M4809" s="8">
        <v>1.387</v>
      </c>
      <c r="N4809" t="s">
        <v>26</v>
      </c>
      <c r="O4809" s="8">
        <v>1.387</v>
      </c>
      <c r="P4809" s="8">
        <f>EXP(-1.363+3.366*LOG(O4809,10))</f>
        <v>0.41280884754947733</v>
      </c>
      <c r="Q4809" s="8">
        <f>(4437920*100)/4638971</f>
        <v>95.666043180696747</v>
      </c>
    </row>
    <row r="4810" spans="1:17" x14ac:dyDescent="0.2">
      <c r="A4810">
        <f>YEAR(D4810)</f>
        <v>2020</v>
      </c>
      <c r="B4810" t="s">
        <v>26</v>
      </c>
      <c r="C4810" s="2" t="s">
        <v>3022</v>
      </c>
      <c r="D4810" s="1">
        <v>43984</v>
      </c>
      <c r="E4810">
        <f>MONTH(D4810)</f>
        <v>6</v>
      </c>
      <c r="F4810" s="2" t="s">
        <v>2098</v>
      </c>
      <c r="G4810" t="s">
        <v>352</v>
      </c>
      <c r="H4810" t="s">
        <v>623</v>
      </c>
      <c r="I4810" t="s">
        <v>22</v>
      </c>
      <c r="J4810" s="2" t="s">
        <v>42</v>
      </c>
      <c r="K4810" s="2" t="s">
        <v>3019</v>
      </c>
      <c r="L4810" t="s">
        <v>25</v>
      </c>
      <c r="M4810" s="8">
        <v>1.387</v>
      </c>
      <c r="N4810" t="s">
        <v>26</v>
      </c>
      <c r="O4810" s="8">
        <v>1.387</v>
      </c>
      <c r="P4810" s="8">
        <f>EXP(-1.363+3.366*LOG(O4810,10))</f>
        <v>0.41280884754947733</v>
      </c>
      <c r="Q4810" s="8">
        <f>(4437920*100)/4638971</f>
        <v>95.666043180696747</v>
      </c>
    </row>
    <row r="4811" spans="1:17" x14ac:dyDescent="0.2">
      <c r="A4811">
        <f>YEAR(D4811)</f>
        <v>2020</v>
      </c>
      <c r="B4811" t="s">
        <v>26</v>
      </c>
      <c r="C4811" s="2" t="s">
        <v>3022</v>
      </c>
      <c r="D4811" s="1">
        <v>43984</v>
      </c>
      <c r="E4811">
        <f>MONTH(D4811)</f>
        <v>6</v>
      </c>
      <c r="F4811" s="2" t="s">
        <v>2098</v>
      </c>
      <c r="G4811" t="s">
        <v>352</v>
      </c>
      <c r="H4811" t="s">
        <v>975</v>
      </c>
      <c r="I4811" t="s">
        <v>22</v>
      </c>
      <c r="J4811" s="2" t="s">
        <v>42</v>
      </c>
      <c r="K4811" s="2" t="s">
        <v>3019</v>
      </c>
      <c r="L4811" t="s">
        <v>25</v>
      </c>
      <c r="M4811" s="8">
        <v>1.0693333330000001</v>
      </c>
      <c r="N4811" t="s">
        <v>26</v>
      </c>
      <c r="O4811" s="8">
        <v>1.0693333330000001</v>
      </c>
      <c r="P4811" s="8">
        <f>EXP(-1.363+3.366*LOG(O4811,10))</f>
        <v>0.28223780327142356</v>
      </c>
      <c r="Q4811" s="8">
        <f>(4437920*100)/4638971</f>
        <v>95.666043180696747</v>
      </c>
    </row>
    <row r="4812" spans="1:17" x14ac:dyDescent="0.2">
      <c r="A4812">
        <f>YEAR(D4812)</f>
        <v>2020</v>
      </c>
      <c r="B4812" t="s">
        <v>26</v>
      </c>
      <c r="C4812" s="2" t="s">
        <v>3022</v>
      </c>
      <c r="D4812" s="1">
        <v>43984</v>
      </c>
      <c r="E4812">
        <f>MONTH(D4812)</f>
        <v>6</v>
      </c>
      <c r="F4812" s="2" t="s">
        <v>2098</v>
      </c>
      <c r="G4812" t="s">
        <v>352</v>
      </c>
      <c r="H4812" t="s">
        <v>1344</v>
      </c>
      <c r="I4812" t="s">
        <v>22</v>
      </c>
      <c r="J4812" s="2" t="s">
        <v>42</v>
      </c>
      <c r="K4812" s="2" t="s">
        <v>3019</v>
      </c>
      <c r="L4812" t="s">
        <v>25</v>
      </c>
      <c r="M4812" s="8">
        <v>0.91800000000000004</v>
      </c>
      <c r="N4812" t="s">
        <v>26</v>
      </c>
      <c r="O4812" s="8">
        <v>0.91800000000000004</v>
      </c>
      <c r="P4812" s="8">
        <f>EXP(-1.363+3.366*LOG(O4812,10))</f>
        <v>0.22580769814771504</v>
      </c>
      <c r="Q4812" s="8">
        <f>(4437920*100)/4638971</f>
        <v>95.666043180696747</v>
      </c>
    </row>
    <row r="4813" spans="1:17" x14ac:dyDescent="0.2">
      <c r="A4813">
        <f>YEAR(D4813)</f>
        <v>2020</v>
      </c>
      <c r="B4813" t="s">
        <v>26</v>
      </c>
      <c r="C4813" s="2" t="s">
        <v>3022</v>
      </c>
      <c r="D4813" s="1">
        <v>43984</v>
      </c>
      <c r="E4813">
        <f>MONTH(D4813)</f>
        <v>6</v>
      </c>
      <c r="F4813" s="2" t="s">
        <v>2098</v>
      </c>
      <c r="G4813" t="s">
        <v>352</v>
      </c>
      <c r="H4813" t="s">
        <v>975</v>
      </c>
      <c r="I4813" t="s">
        <v>22</v>
      </c>
      <c r="J4813" s="2" t="s">
        <v>42</v>
      </c>
      <c r="K4813" s="2" t="s">
        <v>3019</v>
      </c>
      <c r="L4813" t="s">
        <v>25</v>
      </c>
      <c r="M4813" s="8">
        <v>1.0693333330000001</v>
      </c>
      <c r="N4813" t="s">
        <v>26</v>
      </c>
      <c r="O4813" s="8">
        <v>1.0693333330000001</v>
      </c>
      <c r="P4813" s="8">
        <f>EXP(-1.363+3.366*LOG(O4813,10))</f>
        <v>0.28223780327142356</v>
      </c>
      <c r="Q4813" s="8">
        <f>(4437920*100)/4638971</f>
        <v>95.666043180696747</v>
      </c>
    </row>
    <row r="4814" spans="1:17" x14ac:dyDescent="0.2">
      <c r="A4814">
        <f>YEAR(D4814)</f>
        <v>2020</v>
      </c>
      <c r="B4814" t="s">
        <v>26</v>
      </c>
      <c r="C4814" s="2" t="s">
        <v>3022</v>
      </c>
      <c r="D4814" s="1">
        <v>43984</v>
      </c>
      <c r="E4814">
        <f>MONTH(D4814)</f>
        <v>6</v>
      </c>
      <c r="F4814" s="2" t="s">
        <v>2098</v>
      </c>
      <c r="G4814" t="s">
        <v>352</v>
      </c>
      <c r="H4814" t="s">
        <v>1142</v>
      </c>
      <c r="I4814" t="s">
        <v>22</v>
      </c>
      <c r="J4814" s="2" t="s">
        <v>42</v>
      </c>
      <c r="K4814" s="2" t="s">
        <v>3019</v>
      </c>
      <c r="L4814" t="s">
        <v>25</v>
      </c>
      <c r="M4814" s="8">
        <v>1.1423333330000001</v>
      </c>
      <c r="N4814" t="s">
        <v>26</v>
      </c>
      <c r="O4814" s="8">
        <v>1.1423333330000001</v>
      </c>
      <c r="P4814" s="8">
        <f>EXP(-1.363+3.366*LOG(O4814,10))</f>
        <v>0.31084239358261528</v>
      </c>
      <c r="Q4814" s="8">
        <f>(4437920*100)/4638971</f>
        <v>95.666043180696747</v>
      </c>
    </row>
    <row r="4815" spans="1:17" x14ac:dyDescent="0.2">
      <c r="A4815">
        <f>YEAR(D4815)</f>
        <v>2020</v>
      </c>
      <c r="B4815" t="s">
        <v>26</v>
      </c>
      <c r="C4815" s="2" t="s">
        <v>3022</v>
      </c>
      <c r="D4815" s="1">
        <v>43984</v>
      </c>
      <c r="E4815">
        <f>MONTH(D4815)</f>
        <v>6</v>
      </c>
      <c r="F4815" s="2" t="s">
        <v>2098</v>
      </c>
      <c r="G4815" t="s">
        <v>1520</v>
      </c>
      <c r="H4815" t="s">
        <v>1528</v>
      </c>
      <c r="I4815" t="s">
        <v>22</v>
      </c>
      <c r="J4815" s="2" t="s">
        <v>42</v>
      </c>
      <c r="K4815" s="2" t="s">
        <v>3019</v>
      </c>
      <c r="L4815" t="s">
        <v>25</v>
      </c>
      <c r="M4815" s="8">
        <v>3.624333333</v>
      </c>
      <c r="N4815" t="s">
        <v>26</v>
      </c>
      <c r="O4815" s="8">
        <v>3.624333333</v>
      </c>
      <c r="P4815" s="8">
        <f>EXP(-1.363+3.366*LOG(O4815,10))</f>
        <v>1.6809546844949765</v>
      </c>
      <c r="Q4815" s="8">
        <f>(4437920*100)/4638971</f>
        <v>95.666043180696747</v>
      </c>
    </row>
    <row r="4816" spans="1:17" x14ac:dyDescent="0.2">
      <c r="A4816">
        <f>YEAR(D4816)</f>
        <v>2020</v>
      </c>
      <c r="B4816" t="s">
        <v>26</v>
      </c>
      <c r="C4816" s="2" t="s">
        <v>3022</v>
      </c>
      <c r="D4816" s="1">
        <v>43984</v>
      </c>
      <c r="E4816">
        <f>MONTH(D4816)</f>
        <v>6</v>
      </c>
      <c r="F4816" s="2" t="s">
        <v>2098</v>
      </c>
      <c r="G4816" t="s">
        <v>230</v>
      </c>
      <c r="H4816" t="s">
        <v>259</v>
      </c>
      <c r="I4816" t="s">
        <v>22</v>
      </c>
      <c r="J4816" s="2" t="s">
        <v>42</v>
      </c>
      <c r="K4816" s="2" t="s">
        <v>3019</v>
      </c>
      <c r="L4816" t="s">
        <v>25</v>
      </c>
      <c r="M4816" s="8">
        <v>4.2283333330000001</v>
      </c>
      <c r="N4816" t="s">
        <v>26</v>
      </c>
      <c r="O4816" s="8">
        <v>4.2283333330000001</v>
      </c>
      <c r="P4816" s="8">
        <f>EXP(-1.363+3.366*LOG(O4816,10))</f>
        <v>2.1057792396965977</v>
      </c>
      <c r="Q4816" s="8">
        <f>(4437920*100)/4638971</f>
        <v>95.666043180696747</v>
      </c>
    </row>
    <row r="4817" spans="1:17" x14ac:dyDescent="0.2">
      <c r="A4817">
        <f>YEAR(D4817)</f>
        <v>2020</v>
      </c>
      <c r="B4817" t="s">
        <v>26</v>
      </c>
      <c r="C4817" s="2" t="s">
        <v>3022</v>
      </c>
      <c r="D4817" s="1">
        <v>43984</v>
      </c>
      <c r="E4817">
        <f>MONTH(D4817)</f>
        <v>6</v>
      </c>
      <c r="F4817" s="2" t="s">
        <v>2098</v>
      </c>
      <c r="G4817" t="s">
        <v>230</v>
      </c>
      <c r="H4817" t="s">
        <v>268</v>
      </c>
      <c r="I4817" t="s">
        <v>22</v>
      </c>
      <c r="J4817" s="2" t="s">
        <v>42</v>
      </c>
      <c r="K4817" s="2" t="s">
        <v>3019</v>
      </c>
      <c r="L4817" t="s">
        <v>25</v>
      </c>
      <c r="M4817" s="8">
        <v>3.5356666670000001</v>
      </c>
      <c r="N4817" t="s">
        <v>26</v>
      </c>
      <c r="O4817" s="8">
        <v>3.5356666670000001</v>
      </c>
      <c r="P4817" s="8">
        <f>EXP(-1.363+3.366*LOG(O4817,10))</f>
        <v>1.6211802664427075</v>
      </c>
      <c r="Q4817" s="8">
        <f>(4437920*100)/4638971</f>
        <v>95.666043180696747</v>
      </c>
    </row>
    <row r="4818" spans="1:17" x14ac:dyDescent="0.2">
      <c r="A4818">
        <f>YEAR(D4818)</f>
        <v>2020</v>
      </c>
      <c r="B4818" t="s">
        <v>26</v>
      </c>
      <c r="C4818" s="2" t="s">
        <v>3022</v>
      </c>
      <c r="D4818" s="1">
        <v>43984</v>
      </c>
      <c r="E4818">
        <f>MONTH(D4818)</f>
        <v>6</v>
      </c>
      <c r="F4818" s="2" t="s">
        <v>2098</v>
      </c>
      <c r="G4818" t="s">
        <v>352</v>
      </c>
      <c r="H4818" t="s">
        <v>623</v>
      </c>
      <c r="I4818" t="s">
        <v>22</v>
      </c>
      <c r="J4818" s="2" t="s">
        <v>42</v>
      </c>
      <c r="K4818" s="2" t="s">
        <v>3019</v>
      </c>
      <c r="L4818" t="s">
        <v>25</v>
      </c>
      <c r="M4818" s="8">
        <v>1.387</v>
      </c>
      <c r="N4818" t="s">
        <v>26</v>
      </c>
      <c r="O4818" s="8">
        <v>1.387</v>
      </c>
      <c r="P4818" s="8">
        <f>EXP(-1.363+3.366*LOG(O4818,10))</f>
        <v>0.41280884754947733</v>
      </c>
      <c r="Q4818" s="8">
        <f>(4437920*100)/4638971</f>
        <v>95.666043180696747</v>
      </c>
    </row>
    <row r="4819" spans="1:17" x14ac:dyDescent="0.2">
      <c r="A4819">
        <f>YEAR(D4819)</f>
        <v>2020</v>
      </c>
      <c r="B4819" t="s">
        <v>26</v>
      </c>
      <c r="C4819" s="2" t="s">
        <v>3022</v>
      </c>
      <c r="D4819" s="1">
        <v>43984</v>
      </c>
      <c r="E4819">
        <f>MONTH(D4819)</f>
        <v>6</v>
      </c>
      <c r="F4819" s="2" t="s">
        <v>2098</v>
      </c>
      <c r="G4819" t="s">
        <v>352</v>
      </c>
      <c r="H4819" t="s">
        <v>975</v>
      </c>
      <c r="I4819" t="s">
        <v>22</v>
      </c>
      <c r="J4819" s="2" t="s">
        <v>42</v>
      </c>
      <c r="K4819" s="2" t="s">
        <v>3019</v>
      </c>
      <c r="L4819" t="s">
        <v>25</v>
      </c>
      <c r="M4819" s="8">
        <v>1.0693333330000001</v>
      </c>
      <c r="N4819" t="s">
        <v>26</v>
      </c>
      <c r="O4819" s="8">
        <v>1.0693333330000001</v>
      </c>
      <c r="P4819" s="8">
        <f>EXP(-1.363+3.366*LOG(O4819,10))</f>
        <v>0.28223780327142356</v>
      </c>
      <c r="Q4819" s="8">
        <f>(4437920*100)/4638971</f>
        <v>95.666043180696747</v>
      </c>
    </row>
    <row r="4820" spans="1:17" x14ac:dyDescent="0.2">
      <c r="A4820">
        <f>YEAR(D4820)</f>
        <v>2020</v>
      </c>
      <c r="B4820" t="s">
        <v>26</v>
      </c>
      <c r="C4820" s="2" t="s">
        <v>3023</v>
      </c>
      <c r="D4820" s="1">
        <v>43984</v>
      </c>
      <c r="E4820">
        <f>MONTH(D4820)</f>
        <v>6</v>
      </c>
      <c r="F4820" s="2" t="s">
        <v>2098</v>
      </c>
      <c r="G4820" t="s">
        <v>1520</v>
      </c>
      <c r="H4820" t="s">
        <v>1925</v>
      </c>
      <c r="I4820" t="s">
        <v>36</v>
      </c>
      <c r="J4820" s="2" t="s">
        <v>42</v>
      </c>
      <c r="K4820" s="2" t="s">
        <v>3019</v>
      </c>
      <c r="L4820" t="s">
        <v>25</v>
      </c>
      <c r="M4820" s="8">
        <v>2.1076666670000002</v>
      </c>
      <c r="N4820" t="s">
        <v>26</v>
      </c>
      <c r="O4820" s="8">
        <v>2.1076666670000002</v>
      </c>
      <c r="P4820" s="8">
        <f>EXP(-1.363+3.366*LOG(O4820,10))</f>
        <v>0.76102983783378542</v>
      </c>
      <c r="Q4820" s="8">
        <f>(8197453*100)/8541008</f>
        <v>95.977582505484136</v>
      </c>
    </row>
    <row r="4821" spans="1:17" x14ac:dyDescent="0.2">
      <c r="A4821">
        <f>YEAR(D4821)</f>
        <v>2020</v>
      </c>
      <c r="B4821" t="s">
        <v>26</v>
      </c>
      <c r="C4821" s="2" t="s">
        <v>3023</v>
      </c>
      <c r="D4821" s="1">
        <v>43984</v>
      </c>
      <c r="E4821">
        <f>MONTH(D4821)</f>
        <v>6</v>
      </c>
      <c r="F4821" s="2" t="s">
        <v>2098</v>
      </c>
      <c r="G4821" s="2" t="s">
        <v>3080</v>
      </c>
      <c r="H4821" t="s">
        <v>3060</v>
      </c>
      <c r="I4821" t="s">
        <v>36</v>
      </c>
      <c r="J4821" s="2" t="s">
        <v>42</v>
      </c>
      <c r="K4821" s="2" t="s">
        <v>3019</v>
      </c>
      <c r="L4821" t="s">
        <v>305</v>
      </c>
      <c r="M4821" s="8">
        <v>2.3639999999999994</v>
      </c>
      <c r="N4821" t="s">
        <v>26</v>
      </c>
      <c r="O4821" s="8">
        <v>2.3639999999999994</v>
      </c>
      <c r="P4821" s="8">
        <f>EXP(-1.363+3.366*LOG(O4821,10))</f>
        <v>0.90005211791163175</v>
      </c>
      <c r="Q4821" s="8">
        <f>(8197453*100)/8541008</f>
        <v>95.977582505484136</v>
      </c>
    </row>
    <row r="4822" spans="1:17" x14ac:dyDescent="0.2">
      <c r="A4822">
        <f>YEAR(D4822)</f>
        <v>2020</v>
      </c>
      <c r="B4822" t="s">
        <v>26</v>
      </c>
      <c r="C4822" s="2" t="s">
        <v>3023</v>
      </c>
      <c r="D4822" s="1">
        <v>43984</v>
      </c>
      <c r="E4822">
        <f>MONTH(D4822)</f>
        <v>6</v>
      </c>
      <c r="F4822" s="2" t="s">
        <v>2098</v>
      </c>
      <c r="G4822" t="s">
        <v>20</v>
      </c>
      <c r="H4822" t="s">
        <v>149</v>
      </c>
      <c r="I4822" t="s">
        <v>36</v>
      </c>
      <c r="J4822" s="2" t="s">
        <v>42</v>
      </c>
      <c r="K4822" s="2" t="s">
        <v>3019</v>
      </c>
      <c r="L4822" t="s">
        <v>25</v>
      </c>
      <c r="M4822" s="8">
        <v>1.032666667</v>
      </c>
      <c r="N4822" t="s">
        <v>26</v>
      </c>
      <c r="O4822" s="8">
        <v>1.032666667</v>
      </c>
      <c r="P4822" s="8">
        <f>EXP(-1.363+3.366*LOG(O4822,10))</f>
        <v>0.26820327281159584</v>
      </c>
      <c r="Q4822" s="8">
        <f>(8197453*100)/8541008</f>
        <v>95.977582505484136</v>
      </c>
    </row>
    <row r="4823" spans="1:17" x14ac:dyDescent="0.2">
      <c r="A4823">
        <f>YEAR(D4823)</f>
        <v>2020</v>
      </c>
      <c r="B4823" t="s">
        <v>26</v>
      </c>
      <c r="C4823" s="2" t="s">
        <v>3023</v>
      </c>
      <c r="D4823" s="1">
        <v>43984</v>
      </c>
      <c r="E4823">
        <f>MONTH(D4823)</f>
        <v>6</v>
      </c>
      <c r="F4823" s="2" t="s">
        <v>2098</v>
      </c>
      <c r="G4823" t="s">
        <v>1735</v>
      </c>
      <c r="H4823" t="s">
        <v>2149</v>
      </c>
      <c r="I4823" t="s">
        <v>36</v>
      </c>
      <c r="J4823" s="2" t="s">
        <v>42</v>
      </c>
      <c r="K4823" s="2" t="s">
        <v>3019</v>
      </c>
      <c r="L4823" t="s">
        <v>25</v>
      </c>
      <c r="M4823" s="8">
        <v>2.8763333329999998</v>
      </c>
      <c r="N4823" t="s">
        <v>26</v>
      </c>
      <c r="O4823" s="8">
        <v>2.8763333329999998</v>
      </c>
      <c r="P4823" s="8">
        <f>EXP(-1.363+3.366*LOG(O4823,10))</f>
        <v>1.1989579386384013</v>
      </c>
      <c r="Q4823" s="8">
        <f>(8197453*100)/8541008</f>
        <v>95.977582505484136</v>
      </c>
    </row>
    <row r="4824" spans="1:17" x14ac:dyDescent="0.2">
      <c r="A4824">
        <f>YEAR(D4824)</f>
        <v>2020</v>
      </c>
      <c r="B4824" t="s">
        <v>26</v>
      </c>
      <c r="C4824" s="2" t="s">
        <v>3023</v>
      </c>
      <c r="D4824" s="1">
        <v>43984</v>
      </c>
      <c r="E4824">
        <f>MONTH(D4824)</f>
        <v>6</v>
      </c>
      <c r="F4824" s="2" t="s">
        <v>2098</v>
      </c>
      <c r="G4824" t="s">
        <v>1520</v>
      </c>
      <c r="H4824" t="s">
        <v>1526</v>
      </c>
      <c r="I4824" t="s">
        <v>36</v>
      </c>
      <c r="J4824" s="2" t="s">
        <v>42</v>
      </c>
      <c r="K4824" s="2" t="s">
        <v>3019</v>
      </c>
      <c r="L4824" t="s">
        <v>25</v>
      </c>
      <c r="M4824" s="8">
        <v>3.544</v>
      </c>
      <c r="N4824" t="s">
        <v>26</v>
      </c>
      <c r="O4824" s="8">
        <v>3.544</v>
      </c>
      <c r="P4824" s="8">
        <f>EXP(-1.363+3.366*LOG(O4824,10))</f>
        <v>1.6267689993939691</v>
      </c>
      <c r="Q4824" s="8">
        <f>(8197453*100)/8541008</f>
        <v>95.977582505484136</v>
      </c>
    </row>
    <row r="4825" spans="1:17" x14ac:dyDescent="0.2">
      <c r="A4825">
        <f>YEAR(D4825)</f>
        <v>2020</v>
      </c>
      <c r="B4825" t="s">
        <v>26</v>
      </c>
      <c r="C4825" s="2" t="s">
        <v>3023</v>
      </c>
      <c r="D4825" s="1">
        <v>43984</v>
      </c>
      <c r="E4825">
        <f>MONTH(D4825)</f>
        <v>6</v>
      </c>
      <c r="F4825" s="2" t="s">
        <v>2098</v>
      </c>
      <c r="G4825" t="s">
        <v>2206</v>
      </c>
      <c r="H4825" t="s">
        <v>2207</v>
      </c>
      <c r="I4825" t="s">
        <v>22</v>
      </c>
      <c r="J4825" s="2" t="s">
        <v>42</v>
      </c>
      <c r="K4825" s="2" t="s">
        <v>3019</v>
      </c>
      <c r="L4825" t="s">
        <v>25</v>
      </c>
      <c r="M4825" s="8">
        <v>3.249333333</v>
      </c>
      <c r="N4825" t="s">
        <v>26</v>
      </c>
      <c r="O4825" s="8">
        <v>3.249333333</v>
      </c>
      <c r="P4825" s="8">
        <f>EXP(-1.363+3.366*LOG(O4825,10))</f>
        <v>1.4328987616438449</v>
      </c>
      <c r="Q4825" s="8">
        <f>(8197453*100)/8541008</f>
        <v>95.977582505484136</v>
      </c>
    </row>
    <row r="4826" spans="1:17" x14ac:dyDescent="0.2">
      <c r="A4826">
        <f>YEAR(D4826)</f>
        <v>2020</v>
      </c>
      <c r="B4826" t="s">
        <v>26</v>
      </c>
      <c r="C4826" s="2" t="s">
        <v>3023</v>
      </c>
      <c r="D4826" s="1">
        <v>43984</v>
      </c>
      <c r="E4826">
        <f>MONTH(D4826)</f>
        <v>6</v>
      </c>
      <c r="F4826" s="2" t="s">
        <v>2098</v>
      </c>
      <c r="G4826" t="s">
        <v>2206</v>
      </c>
      <c r="H4826" t="s">
        <v>2207</v>
      </c>
      <c r="I4826" t="s">
        <v>36</v>
      </c>
      <c r="J4826" s="2" t="s">
        <v>42</v>
      </c>
      <c r="K4826" s="2" t="s">
        <v>3019</v>
      </c>
      <c r="L4826" t="s">
        <v>25</v>
      </c>
      <c r="M4826" s="8">
        <v>3.6386666669999999</v>
      </c>
      <c r="N4826" t="s">
        <v>26</v>
      </c>
      <c r="O4826" s="8">
        <v>3.6386666669999999</v>
      </c>
      <c r="P4826" s="8">
        <f>EXP(-1.363+3.366*LOG(O4826,10))</f>
        <v>1.6906814772344552</v>
      </c>
      <c r="Q4826" s="8">
        <f>(8197453*100)/8541008</f>
        <v>95.977582505484136</v>
      </c>
    </row>
    <row r="4827" spans="1:17" x14ac:dyDescent="0.2">
      <c r="A4827">
        <f>YEAR(D4827)</f>
        <v>2020</v>
      </c>
      <c r="B4827" t="s">
        <v>26</v>
      </c>
      <c r="C4827" s="2" t="s">
        <v>3023</v>
      </c>
      <c r="D4827" s="1">
        <v>43984</v>
      </c>
      <c r="E4827">
        <f>MONTH(D4827)</f>
        <v>6</v>
      </c>
      <c r="F4827" s="2" t="s">
        <v>2098</v>
      </c>
      <c r="G4827" t="s">
        <v>352</v>
      </c>
      <c r="H4827" t="s">
        <v>1344</v>
      </c>
      <c r="I4827" t="s">
        <v>22</v>
      </c>
      <c r="J4827" s="2" t="s">
        <v>42</v>
      </c>
      <c r="K4827" s="2" t="s">
        <v>3019</v>
      </c>
      <c r="L4827" t="s">
        <v>25</v>
      </c>
      <c r="M4827" s="8">
        <v>0.91800000000000004</v>
      </c>
      <c r="N4827" t="s">
        <v>26</v>
      </c>
      <c r="O4827" s="8">
        <v>0.91800000000000004</v>
      </c>
      <c r="P4827" s="8">
        <f>EXP(-1.363+3.366*LOG(O4827,10))</f>
        <v>0.22580769814771504</v>
      </c>
      <c r="Q4827" s="8">
        <f>(8197453*100)/8541008</f>
        <v>95.977582505484136</v>
      </c>
    </row>
    <row r="4828" spans="1:17" x14ac:dyDescent="0.2">
      <c r="A4828">
        <f>YEAR(D4828)</f>
        <v>2020</v>
      </c>
      <c r="B4828" t="s">
        <v>26</v>
      </c>
      <c r="C4828" s="2" t="s">
        <v>3023</v>
      </c>
      <c r="D4828" s="1">
        <v>43984</v>
      </c>
      <c r="E4828">
        <f>MONTH(D4828)</f>
        <v>6</v>
      </c>
      <c r="F4828" s="2" t="s">
        <v>2098</v>
      </c>
      <c r="G4828" t="s">
        <v>20</v>
      </c>
      <c r="H4828" t="s">
        <v>149</v>
      </c>
      <c r="I4828" t="s">
        <v>36</v>
      </c>
      <c r="J4828" s="2" t="s">
        <v>42</v>
      </c>
      <c r="K4828" s="2" t="s">
        <v>3019</v>
      </c>
      <c r="L4828" t="s">
        <v>25</v>
      </c>
      <c r="M4828" s="8">
        <v>1.032666667</v>
      </c>
      <c r="N4828" t="s">
        <v>26</v>
      </c>
      <c r="O4828" s="8">
        <v>1.032666667</v>
      </c>
      <c r="P4828" s="8">
        <f>EXP(-1.363+3.366*LOG(O4828,10))</f>
        <v>0.26820327281159584</v>
      </c>
      <c r="Q4828" s="8">
        <f>(8197453*100)/8541008</f>
        <v>95.977582505484136</v>
      </c>
    </row>
    <row r="4829" spans="1:17" x14ac:dyDescent="0.2">
      <c r="A4829">
        <f>YEAR(D4829)</f>
        <v>2020</v>
      </c>
      <c r="B4829" t="s">
        <v>26</v>
      </c>
      <c r="C4829" s="2" t="s">
        <v>3023</v>
      </c>
      <c r="D4829" s="1">
        <v>43984</v>
      </c>
      <c r="E4829">
        <f>MONTH(D4829)</f>
        <v>6</v>
      </c>
      <c r="F4829" s="2" t="s">
        <v>2098</v>
      </c>
      <c r="G4829" t="s">
        <v>352</v>
      </c>
      <c r="H4829" t="s">
        <v>1344</v>
      </c>
      <c r="I4829" t="s">
        <v>22</v>
      </c>
      <c r="J4829" s="2" t="s">
        <v>42</v>
      </c>
      <c r="K4829" s="2" t="s">
        <v>3019</v>
      </c>
      <c r="L4829" t="s">
        <v>25</v>
      </c>
      <c r="M4829" s="8">
        <v>0.91800000000000004</v>
      </c>
      <c r="N4829" t="s">
        <v>26</v>
      </c>
      <c r="O4829" s="8">
        <v>0.91800000000000004</v>
      </c>
      <c r="P4829" s="8">
        <f>EXP(-1.363+3.366*LOG(O4829,10))</f>
        <v>0.22580769814771504</v>
      </c>
      <c r="Q4829" s="8">
        <f>(8197453*100)/8541008</f>
        <v>95.977582505484136</v>
      </c>
    </row>
    <row r="4830" spans="1:17" x14ac:dyDescent="0.2">
      <c r="A4830">
        <f>YEAR(D4830)</f>
        <v>2020</v>
      </c>
      <c r="B4830" t="s">
        <v>26</v>
      </c>
      <c r="C4830" s="2" t="s">
        <v>3023</v>
      </c>
      <c r="D4830" s="1">
        <v>43984</v>
      </c>
      <c r="E4830">
        <f>MONTH(D4830)</f>
        <v>6</v>
      </c>
      <c r="F4830" s="2" t="s">
        <v>2098</v>
      </c>
      <c r="G4830" t="s">
        <v>352</v>
      </c>
      <c r="H4830" t="s">
        <v>623</v>
      </c>
      <c r="I4830" t="s">
        <v>22</v>
      </c>
      <c r="J4830" s="2" t="s">
        <v>42</v>
      </c>
      <c r="K4830" s="2" t="s">
        <v>3019</v>
      </c>
      <c r="L4830" t="s">
        <v>25</v>
      </c>
      <c r="M4830" s="8">
        <v>1.387</v>
      </c>
      <c r="N4830" t="s">
        <v>26</v>
      </c>
      <c r="O4830" s="8">
        <v>1.387</v>
      </c>
      <c r="P4830" s="8">
        <f>EXP(-1.363+3.366*LOG(O4830,10))</f>
        <v>0.41280884754947733</v>
      </c>
      <c r="Q4830" s="8">
        <f>(8197453*100)/8541008</f>
        <v>95.977582505484136</v>
      </c>
    </row>
    <row r="4831" spans="1:17" x14ac:dyDescent="0.2">
      <c r="A4831">
        <f>YEAR(D4831)</f>
        <v>2020</v>
      </c>
      <c r="B4831" t="s">
        <v>26</v>
      </c>
      <c r="C4831" s="2" t="s">
        <v>3023</v>
      </c>
      <c r="D4831" s="1">
        <v>43984</v>
      </c>
      <c r="E4831">
        <f>MONTH(D4831)</f>
        <v>6</v>
      </c>
      <c r="F4831" s="2" t="s">
        <v>2098</v>
      </c>
      <c r="G4831" t="s">
        <v>230</v>
      </c>
      <c r="H4831" t="s">
        <v>255</v>
      </c>
      <c r="I4831" t="s">
        <v>22</v>
      </c>
      <c r="J4831" s="2" t="s">
        <v>42</v>
      </c>
      <c r="K4831" s="2" t="s">
        <v>3019</v>
      </c>
      <c r="L4831" t="s">
        <v>25</v>
      </c>
      <c r="M4831" s="8">
        <v>3.1943333329999999</v>
      </c>
      <c r="N4831" t="s">
        <v>26</v>
      </c>
      <c r="O4831" s="8">
        <v>3.1943333329999999</v>
      </c>
      <c r="P4831" s="8">
        <f>EXP(-1.363+3.366*LOG(O4831,10))</f>
        <v>1.3975823704079444</v>
      </c>
      <c r="Q4831" s="8">
        <f>(8197453*100)/8541008</f>
        <v>95.977582505484136</v>
      </c>
    </row>
    <row r="4832" spans="1:17" x14ac:dyDescent="0.2">
      <c r="A4832">
        <f>YEAR(D4832)</f>
        <v>2020</v>
      </c>
      <c r="B4832" t="s">
        <v>26</v>
      </c>
      <c r="C4832" s="2" t="s">
        <v>1540</v>
      </c>
      <c r="D4832" s="1">
        <v>43985</v>
      </c>
      <c r="E4832">
        <f>MONTH(D4832)</f>
        <v>6</v>
      </c>
      <c r="F4832" s="2" t="s">
        <v>2098</v>
      </c>
      <c r="G4832" t="s">
        <v>219</v>
      </c>
      <c r="H4832" t="s">
        <v>220</v>
      </c>
      <c r="I4832" t="s">
        <v>22</v>
      </c>
      <c r="J4832" s="2" t="s">
        <v>42</v>
      </c>
      <c r="K4832" s="2" t="s">
        <v>3019</v>
      </c>
      <c r="L4832" t="s">
        <v>25</v>
      </c>
      <c r="M4832" s="10" t="s">
        <v>26</v>
      </c>
      <c r="N4832" t="s">
        <v>26</v>
      </c>
      <c r="O4832" s="10" t="s">
        <v>26</v>
      </c>
      <c r="P4832" s="8" t="s">
        <v>26</v>
      </c>
      <c r="Q4832" s="8">
        <f>(2618262*100)/2995732</f>
        <v>87.399740697766021</v>
      </c>
    </row>
    <row r="4833" spans="1:17" x14ac:dyDescent="0.2">
      <c r="A4833">
        <f>YEAR(D4833)</f>
        <v>2020</v>
      </c>
      <c r="B4833" t="s">
        <v>26</v>
      </c>
      <c r="C4833" s="2" t="s">
        <v>1540</v>
      </c>
      <c r="D4833" s="1">
        <v>43985</v>
      </c>
      <c r="E4833">
        <f>MONTH(D4833)</f>
        <v>6</v>
      </c>
      <c r="F4833" s="2" t="s">
        <v>2098</v>
      </c>
      <c r="G4833" t="s">
        <v>219</v>
      </c>
      <c r="H4833" t="s">
        <v>220</v>
      </c>
      <c r="I4833" t="s">
        <v>22</v>
      </c>
      <c r="J4833" s="2" t="s">
        <v>42</v>
      </c>
      <c r="K4833" s="2" t="s">
        <v>3019</v>
      </c>
      <c r="L4833" t="s">
        <v>25</v>
      </c>
      <c r="M4833" s="10" t="s">
        <v>26</v>
      </c>
      <c r="N4833" t="s">
        <v>26</v>
      </c>
      <c r="O4833" s="10" t="s">
        <v>26</v>
      </c>
      <c r="P4833" s="8" t="s">
        <v>26</v>
      </c>
      <c r="Q4833" s="8">
        <f>(2618262*100)/2995732</f>
        <v>87.399740697766021</v>
      </c>
    </row>
    <row r="4834" spans="1:17" x14ac:dyDescent="0.2">
      <c r="A4834">
        <f>YEAR(D4834)</f>
        <v>2020</v>
      </c>
      <c r="B4834" t="s">
        <v>26</v>
      </c>
      <c r="C4834" s="2" t="s">
        <v>1540</v>
      </c>
      <c r="D4834" s="1">
        <v>43985</v>
      </c>
      <c r="E4834">
        <f>MONTH(D4834)</f>
        <v>6</v>
      </c>
      <c r="F4834" s="2" t="s">
        <v>2098</v>
      </c>
      <c r="G4834" t="s">
        <v>219</v>
      </c>
      <c r="H4834" t="s">
        <v>220</v>
      </c>
      <c r="I4834" t="s">
        <v>22</v>
      </c>
      <c r="J4834" s="2" t="s">
        <v>42</v>
      </c>
      <c r="K4834" s="2" t="s">
        <v>3019</v>
      </c>
      <c r="L4834" t="s">
        <v>25</v>
      </c>
      <c r="M4834" s="10" t="s">
        <v>26</v>
      </c>
      <c r="N4834" t="s">
        <v>26</v>
      </c>
      <c r="O4834" s="10" t="s">
        <v>26</v>
      </c>
      <c r="P4834" s="8" t="s">
        <v>26</v>
      </c>
      <c r="Q4834" s="8">
        <f>(2618262*100)/2995732</f>
        <v>87.399740697766021</v>
      </c>
    </row>
    <row r="4835" spans="1:17" x14ac:dyDescent="0.2">
      <c r="A4835">
        <f>YEAR(D4835)</f>
        <v>2020</v>
      </c>
      <c r="B4835" t="s">
        <v>26</v>
      </c>
      <c r="C4835" s="2" t="s">
        <v>1540</v>
      </c>
      <c r="D4835" s="1">
        <v>43985</v>
      </c>
      <c r="E4835">
        <f>MONTH(D4835)</f>
        <v>6</v>
      </c>
      <c r="F4835" s="2" t="s">
        <v>2098</v>
      </c>
      <c r="G4835" t="s">
        <v>219</v>
      </c>
      <c r="H4835" t="s">
        <v>220</v>
      </c>
      <c r="I4835" t="s">
        <v>22</v>
      </c>
      <c r="J4835" s="2" t="s">
        <v>42</v>
      </c>
      <c r="K4835" s="2" t="s">
        <v>3019</v>
      </c>
      <c r="L4835" t="s">
        <v>25</v>
      </c>
      <c r="M4835" s="10" t="s">
        <v>26</v>
      </c>
      <c r="N4835" t="s">
        <v>26</v>
      </c>
      <c r="O4835" s="10" t="s">
        <v>26</v>
      </c>
      <c r="P4835" s="8" t="s">
        <v>26</v>
      </c>
      <c r="Q4835" s="8">
        <f>(2618262*100)/2995732</f>
        <v>87.399740697766021</v>
      </c>
    </row>
    <row r="4836" spans="1:17" x14ac:dyDescent="0.2">
      <c r="A4836">
        <f>YEAR(D4836)</f>
        <v>2020</v>
      </c>
      <c r="B4836" t="s">
        <v>26</v>
      </c>
      <c r="C4836" s="2" t="s">
        <v>1540</v>
      </c>
      <c r="D4836" s="1">
        <v>43985</v>
      </c>
      <c r="E4836">
        <f>MONTH(D4836)</f>
        <v>6</v>
      </c>
      <c r="F4836" s="2" t="s">
        <v>2098</v>
      </c>
      <c r="G4836" t="s">
        <v>219</v>
      </c>
      <c r="H4836" t="s">
        <v>220</v>
      </c>
      <c r="I4836" t="s">
        <v>22</v>
      </c>
      <c r="J4836" s="2" t="s">
        <v>42</v>
      </c>
      <c r="K4836" s="2" t="s">
        <v>3019</v>
      </c>
      <c r="L4836" t="s">
        <v>25</v>
      </c>
      <c r="M4836" s="10" t="s">
        <v>26</v>
      </c>
      <c r="N4836" t="s">
        <v>26</v>
      </c>
      <c r="O4836" s="10" t="s">
        <v>26</v>
      </c>
      <c r="P4836" s="8" t="s">
        <v>26</v>
      </c>
      <c r="Q4836" s="8">
        <f>(2618262*100)/2995732</f>
        <v>87.399740697766021</v>
      </c>
    </row>
    <row r="4837" spans="1:17" x14ac:dyDescent="0.2">
      <c r="A4837">
        <f>YEAR(D4837)</f>
        <v>2020</v>
      </c>
      <c r="B4837" t="s">
        <v>26</v>
      </c>
      <c r="C4837" s="2" t="s">
        <v>1540</v>
      </c>
      <c r="D4837" s="1">
        <v>43985</v>
      </c>
      <c r="E4837">
        <f>MONTH(D4837)</f>
        <v>6</v>
      </c>
      <c r="F4837" s="2" t="s">
        <v>2098</v>
      </c>
      <c r="G4837" t="s">
        <v>230</v>
      </c>
      <c r="H4837" t="s">
        <v>268</v>
      </c>
      <c r="I4837" t="s">
        <v>22</v>
      </c>
      <c r="J4837" s="2" t="s">
        <v>42</v>
      </c>
      <c r="K4837" s="2" t="s">
        <v>3019</v>
      </c>
      <c r="L4837" t="s">
        <v>25</v>
      </c>
      <c r="M4837" s="8">
        <v>3.5356666670000001</v>
      </c>
      <c r="N4837" t="s">
        <v>26</v>
      </c>
      <c r="O4837" s="8">
        <v>3.5356666670000001</v>
      </c>
      <c r="P4837" s="8">
        <f>EXP(-1.363+3.366*LOG(O4837,10))</f>
        <v>1.6211802664427075</v>
      </c>
      <c r="Q4837" s="8">
        <f>(2618262*100)/2995732</f>
        <v>87.399740697766021</v>
      </c>
    </row>
    <row r="4838" spans="1:17" x14ac:dyDescent="0.2">
      <c r="A4838">
        <f>YEAR(D4838)</f>
        <v>2020</v>
      </c>
      <c r="B4838" t="s">
        <v>26</v>
      </c>
      <c r="C4838" s="2" t="s">
        <v>1540</v>
      </c>
      <c r="D4838" s="1">
        <v>43985</v>
      </c>
      <c r="E4838">
        <f>MONTH(D4838)</f>
        <v>6</v>
      </c>
      <c r="F4838" s="2" t="s">
        <v>2098</v>
      </c>
      <c r="G4838" t="s">
        <v>230</v>
      </c>
      <c r="H4838" t="s">
        <v>268</v>
      </c>
      <c r="I4838" t="s">
        <v>22</v>
      </c>
      <c r="J4838" s="2" t="s">
        <v>42</v>
      </c>
      <c r="K4838" s="2" t="s">
        <v>3019</v>
      </c>
      <c r="L4838" t="s">
        <v>25</v>
      </c>
      <c r="M4838" s="8">
        <v>3.5356666670000001</v>
      </c>
      <c r="N4838" t="s">
        <v>26</v>
      </c>
      <c r="O4838" s="8">
        <v>3.5356666670000001</v>
      </c>
      <c r="P4838" s="8">
        <f>EXP(-1.363+3.366*LOG(O4838,10))</f>
        <v>1.6211802664427075</v>
      </c>
      <c r="Q4838" s="8">
        <f>(2618262*100)/2995732</f>
        <v>87.399740697766021</v>
      </c>
    </row>
    <row r="4839" spans="1:17" x14ac:dyDescent="0.2">
      <c r="A4839">
        <f>YEAR(D4839)</f>
        <v>2020</v>
      </c>
      <c r="B4839" t="s">
        <v>26</v>
      </c>
      <c r="C4839" s="2" t="s">
        <v>1540</v>
      </c>
      <c r="D4839" s="1">
        <v>43985</v>
      </c>
      <c r="E4839">
        <f>MONTH(D4839)</f>
        <v>6</v>
      </c>
      <c r="F4839" s="2" t="s">
        <v>2098</v>
      </c>
      <c r="G4839" t="s">
        <v>230</v>
      </c>
      <c r="H4839" t="s">
        <v>259</v>
      </c>
      <c r="I4839" t="s">
        <v>22</v>
      </c>
      <c r="J4839" s="2" t="s">
        <v>42</v>
      </c>
      <c r="K4839" s="2" t="s">
        <v>3019</v>
      </c>
      <c r="L4839" t="s">
        <v>25</v>
      </c>
      <c r="M4839" s="8">
        <v>4.2283333330000001</v>
      </c>
      <c r="N4839" t="s">
        <v>26</v>
      </c>
      <c r="O4839" s="8">
        <v>4.2283333330000001</v>
      </c>
      <c r="P4839" s="8">
        <f>EXP(-1.363+3.366*LOG(O4839,10))</f>
        <v>2.1057792396965977</v>
      </c>
      <c r="Q4839" s="8">
        <f>(2618262*100)/2995732</f>
        <v>87.399740697766021</v>
      </c>
    </row>
    <row r="4840" spans="1:17" x14ac:dyDescent="0.2">
      <c r="A4840">
        <f>YEAR(D4840)</f>
        <v>2020</v>
      </c>
      <c r="B4840" t="s">
        <v>26</v>
      </c>
      <c r="C4840" s="2" t="s">
        <v>1540</v>
      </c>
      <c r="D4840" s="1">
        <v>43985</v>
      </c>
      <c r="E4840">
        <f>MONTH(D4840)</f>
        <v>6</v>
      </c>
      <c r="F4840" s="2" t="s">
        <v>2098</v>
      </c>
      <c r="G4840" t="s">
        <v>2206</v>
      </c>
      <c r="H4840" t="s">
        <v>2263</v>
      </c>
      <c r="I4840" t="s">
        <v>22</v>
      </c>
      <c r="J4840" s="2" t="s">
        <v>42</v>
      </c>
      <c r="K4840" s="2" t="s">
        <v>3019</v>
      </c>
      <c r="L4840" t="s">
        <v>25</v>
      </c>
      <c r="M4840" s="8">
        <v>3.7376666670000001</v>
      </c>
      <c r="N4840" t="s">
        <v>26</v>
      </c>
      <c r="O4840" s="8">
        <v>3.7376666670000001</v>
      </c>
      <c r="P4840" s="8">
        <f>EXP(-1.363+3.366*LOG(O4840,10))</f>
        <v>1.7583458516827115</v>
      </c>
      <c r="Q4840" s="8">
        <f>(2618262*100)/2995732</f>
        <v>87.399740697766021</v>
      </c>
    </row>
    <row r="4841" spans="1:17" x14ac:dyDescent="0.2">
      <c r="A4841">
        <f>YEAR(D4841)</f>
        <v>2020</v>
      </c>
      <c r="B4841" t="s">
        <v>26</v>
      </c>
      <c r="C4841" s="2" t="s">
        <v>1540</v>
      </c>
      <c r="D4841" s="1">
        <v>43985</v>
      </c>
      <c r="E4841">
        <f>MONTH(D4841)</f>
        <v>6</v>
      </c>
      <c r="F4841" s="2" t="s">
        <v>2098</v>
      </c>
      <c r="G4841" t="s">
        <v>219</v>
      </c>
      <c r="H4841" t="s">
        <v>220</v>
      </c>
      <c r="I4841" t="s">
        <v>22</v>
      </c>
      <c r="J4841" s="2" t="s">
        <v>42</v>
      </c>
      <c r="K4841" s="2" t="s">
        <v>3019</v>
      </c>
      <c r="L4841" t="s">
        <v>25</v>
      </c>
      <c r="M4841" s="10" t="s">
        <v>26</v>
      </c>
      <c r="N4841" t="s">
        <v>26</v>
      </c>
      <c r="O4841" s="10" t="s">
        <v>26</v>
      </c>
      <c r="P4841" s="8" t="s">
        <v>26</v>
      </c>
      <c r="Q4841" s="8">
        <f>(2618262*100)/2995732</f>
        <v>87.399740697766021</v>
      </c>
    </row>
    <row r="4842" spans="1:17" x14ac:dyDescent="0.2">
      <c r="A4842">
        <f>YEAR(D4842)</f>
        <v>2020</v>
      </c>
      <c r="B4842" t="s">
        <v>26</v>
      </c>
      <c r="C4842" s="2" t="s">
        <v>1552</v>
      </c>
      <c r="D4842" s="1">
        <v>43985</v>
      </c>
      <c r="E4842">
        <f>MONTH(D4842)</f>
        <v>6</v>
      </c>
      <c r="F4842" s="2" t="s">
        <v>2098</v>
      </c>
      <c r="G4842" t="s">
        <v>1520</v>
      </c>
      <c r="H4842" t="s">
        <v>1521</v>
      </c>
      <c r="I4842" t="s">
        <v>22</v>
      </c>
      <c r="J4842" s="2" t="s">
        <v>42</v>
      </c>
      <c r="K4842" s="2" t="s">
        <v>3019</v>
      </c>
      <c r="L4842" t="s">
        <v>25</v>
      </c>
      <c r="M4842" s="8">
        <v>2.952</v>
      </c>
      <c r="N4842" t="s">
        <v>26</v>
      </c>
      <c r="O4842" s="8">
        <v>2.952</v>
      </c>
      <c r="P4842" s="8">
        <f>EXP(-1.363+3.366*LOG(O4842,10))</f>
        <v>1.2453438103764427</v>
      </c>
      <c r="Q4842" s="8">
        <f>(3738946*100)/3915493</f>
        <v>95.491065875995687</v>
      </c>
    </row>
    <row r="4843" spans="1:17" x14ac:dyDescent="0.2">
      <c r="A4843">
        <f>YEAR(D4843)</f>
        <v>2020</v>
      </c>
      <c r="B4843" t="s">
        <v>26</v>
      </c>
      <c r="C4843" s="2" t="s">
        <v>1552</v>
      </c>
      <c r="D4843" s="1">
        <v>43985</v>
      </c>
      <c r="E4843">
        <f>MONTH(D4843)</f>
        <v>6</v>
      </c>
      <c r="F4843" s="2" t="s">
        <v>2098</v>
      </c>
      <c r="G4843" t="s">
        <v>303</v>
      </c>
      <c r="H4843" t="s">
        <v>307</v>
      </c>
      <c r="I4843" t="s">
        <v>22</v>
      </c>
      <c r="J4843" s="2" t="s">
        <v>42</v>
      </c>
      <c r="K4843" s="2" t="s">
        <v>3019</v>
      </c>
      <c r="L4843" t="s">
        <v>305</v>
      </c>
      <c r="M4843" s="8">
        <v>1.1000000000000001</v>
      </c>
      <c r="N4843" t="s">
        <v>26</v>
      </c>
      <c r="O4843" s="8">
        <v>1.1000000000000001</v>
      </c>
      <c r="P4843" s="8">
        <f>EXP(-1.363+3.366*LOG(O4843,10))</f>
        <v>0.29414800446794787</v>
      </c>
      <c r="Q4843" s="8">
        <f>(3738946*100)/3915493</f>
        <v>95.491065875995687</v>
      </c>
    </row>
    <row r="4844" spans="1:17" x14ac:dyDescent="0.2">
      <c r="A4844">
        <f>YEAR(D4844)</f>
        <v>2020</v>
      </c>
      <c r="B4844" t="s">
        <v>26</v>
      </c>
      <c r="C4844" s="2" t="s">
        <v>1552</v>
      </c>
      <c r="D4844" s="1">
        <v>43985</v>
      </c>
      <c r="E4844">
        <f>MONTH(D4844)</f>
        <v>6</v>
      </c>
      <c r="F4844" s="2" t="s">
        <v>2098</v>
      </c>
      <c r="G4844" t="s">
        <v>352</v>
      </c>
      <c r="H4844" t="s">
        <v>728</v>
      </c>
      <c r="I4844" t="s">
        <v>22</v>
      </c>
      <c r="J4844" s="2" t="s">
        <v>42</v>
      </c>
      <c r="K4844" s="2" t="s">
        <v>3019</v>
      </c>
      <c r="L4844" t="s">
        <v>187</v>
      </c>
      <c r="M4844" s="8">
        <v>1.8093333330000001</v>
      </c>
      <c r="N4844" t="s">
        <v>26</v>
      </c>
      <c r="O4844" s="8">
        <v>1.8093333330000001</v>
      </c>
      <c r="P4844" s="8">
        <f>EXP(-1.363+3.366*LOG(O4844,10))</f>
        <v>0.6088444603462565</v>
      </c>
      <c r="Q4844" s="8">
        <f>(3738946*100)/3915493</f>
        <v>95.491065875995687</v>
      </c>
    </row>
    <row r="4845" spans="1:17" x14ac:dyDescent="0.2">
      <c r="A4845">
        <f>YEAR(D4845)</f>
        <v>2020</v>
      </c>
      <c r="B4845" t="s">
        <v>26</v>
      </c>
      <c r="C4845" s="2" t="s">
        <v>1552</v>
      </c>
      <c r="D4845" s="1">
        <v>43985</v>
      </c>
      <c r="E4845">
        <f>MONTH(D4845)</f>
        <v>6</v>
      </c>
      <c r="F4845" s="2" t="s">
        <v>2098</v>
      </c>
      <c r="G4845" t="s">
        <v>1520</v>
      </c>
      <c r="H4845" t="s">
        <v>1925</v>
      </c>
      <c r="I4845" t="s">
        <v>36</v>
      </c>
      <c r="J4845" s="2" t="s">
        <v>42</v>
      </c>
      <c r="K4845" s="2" t="s">
        <v>3019</v>
      </c>
      <c r="L4845" t="s">
        <v>25</v>
      </c>
      <c r="M4845" s="8">
        <v>2.1076666670000002</v>
      </c>
      <c r="N4845" t="s">
        <v>26</v>
      </c>
      <c r="O4845" s="8">
        <v>2.1076666670000002</v>
      </c>
      <c r="P4845" s="8">
        <f>EXP(-1.363+3.366*LOG(O4845,10))</f>
        <v>0.76102983783378542</v>
      </c>
      <c r="Q4845" s="8">
        <f>(3738946*100)/3915493</f>
        <v>95.491065875995687</v>
      </c>
    </row>
    <row r="4846" spans="1:17" x14ac:dyDescent="0.2">
      <c r="A4846">
        <f>YEAR(D4846)</f>
        <v>2020</v>
      </c>
      <c r="B4846" t="s">
        <v>26</v>
      </c>
      <c r="C4846" s="2" t="s">
        <v>1552</v>
      </c>
      <c r="D4846" s="1">
        <v>43985</v>
      </c>
      <c r="E4846">
        <f>MONTH(D4846)</f>
        <v>6</v>
      </c>
      <c r="F4846" s="2" t="s">
        <v>2098</v>
      </c>
      <c r="G4846" t="s">
        <v>352</v>
      </c>
      <c r="H4846" t="s">
        <v>975</v>
      </c>
      <c r="I4846" t="s">
        <v>22</v>
      </c>
      <c r="J4846" s="2" t="s">
        <v>42</v>
      </c>
      <c r="K4846" s="2" t="s">
        <v>3019</v>
      </c>
      <c r="L4846" t="s">
        <v>25</v>
      </c>
      <c r="M4846" s="8">
        <v>1.0693333330000001</v>
      </c>
      <c r="N4846" t="s">
        <v>26</v>
      </c>
      <c r="O4846" s="8">
        <v>1.0693333330000001</v>
      </c>
      <c r="P4846" s="8">
        <f>EXP(-1.363+3.366*LOG(O4846,10))</f>
        <v>0.28223780327142356</v>
      </c>
      <c r="Q4846" s="8">
        <f>(3738946*100)/3915493</f>
        <v>95.491065875995687</v>
      </c>
    </row>
    <row r="4847" spans="1:17" x14ac:dyDescent="0.2">
      <c r="A4847">
        <f>YEAR(D4847)</f>
        <v>2020</v>
      </c>
      <c r="B4847" t="s">
        <v>26</v>
      </c>
      <c r="C4847" s="2" t="s">
        <v>1552</v>
      </c>
      <c r="D4847" s="1">
        <v>43985</v>
      </c>
      <c r="E4847">
        <f>MONTH(D4847)</f>
        <v>6</v>
      </c>
      <c r="F4847" s="2" t="s">
        <v>2098</v>
      </c>
      <c r="G4847" t="s">
        <v>352</v>
      </c>
      <c r="H4847" t="s">
        <v>975</v>
      </c>
      <c r="I4847" t="s">
        <v>22</v>
      </c>
      <c r="J4847" s="2" t="s">
        <v>42</v>
      </c>
      <c r="K4847" s="2" t="s">
        <v>3019</v>
      </c>
      <c r="L4847" t="s">
        <v>25</v>
      </c>
      <c r="M4847" s="8">
        <v>1.0693333330000001</v>
      </c>
      <c r="N4847" t="s">
        <v>26</v>
      </c>
      <c r="O4847" s="8">
        <v>1.0693333330000001</v>
      </c>
      <c r="P4847" s="8">
        <f>EXP(-1.363+3.366*LOG(O4847,10))</f>
        <v>0.28223780327142356</v>
      </c>
      <c r="Q4847" s="8">
        <f>(3738946*100)/3915493</f>
        <v>95.491065875995687</v>
      </c>
    </row>
    <row r="4848" spans="1:17" x14ac:dyDescent="0.2">
      <c r="A4848">
        <f>YEAR(D4848)</f>
        <v>2020</v>
      </c>
      <c r="B4848" t="s">
        <v>26</v>
      </c>
      <c r="C4848" s="2" t="s">
        <v>1552</v>
      </c>
      <c r="D4848" s="1">
        <v>43985</v>
      </c>
      <c r="E4848">
        <f>MONTH(D4848)</f>
        <v>6</v>
      </c>
      <c r="F4848" s="2" t="s">
        <v>2098</v>
      </c>
      <c r="G4848" t="s">
        <v>1520</v>
      </c>
      <c r="H4848" t="s">
        <v>1521</v>
      </c>
      <c r="I4848" t="s">
        <v>22</v>
      </c>
      <c r="J4848" s="2" t="s">
        <v>42</v>
      </c>
      <c r="K4848" s="2" t="s">
        <v>3019</v>
      </c>
      <c r="L4848" t="s">
        <v>25</v>
      </c>
      <c r="M4848" s="8">
        <v>2.952</v>
      </c>
      <c r="N4848" t="s">
        <v>26</v>
      </c>
      <c r="O4848" s="8">
        <v>2.952</v>
      </c>
      <c r="P4848" s="8">
        <f>EXP(-1.363+3.366*LOG(O4848,10))</f>
        <v>1.2453438103764427</v>
      </c>
      <c r="Q4848" s="8">
        <f>(3738946*100)/3915493</f>
        <v>95.491065875995687</v>
      </c>
    </row>
    <row r="4849" spans="1:17" x14ac:dyDescent="0.2">
      <c r="A4849">
        <f>YEAR(D4849)</f>
        <v>2020</v>
      </c>
      <c r="B4849" t="s">
        <v>26</v>
      </c>
      <c r="C4849" s="2" t="s">
        <v>1540</v>
      </c>
      <c r="D4849" s="1">
        <v>43985</v>
      </c>
      <c r="E4849">
        <f>MONTH(D4849)</f>
        <v>6</v>
      </c>
      <c r="F4849" s="2" t="s">
        <v>2098</v>
      </c>
      <c r="G4849" t="s">
        <v>352</v>
      </c>
      <c r="H4849" t="s">
        <v>975</v>
      </c>
      <c r="I4849" t="s">
        <v>22</v>
      </c>
      <c r="J4849" s="2" t="s">
        <v>42</v>
      </c>
      <c r="K4849" s="2" t="s">
        <v>3019</v>
      </c>
      <c r="L4849" t="s">
        <v>25</v>
      </c>
      <c r="M4849" s="8">
        <v>1.0693333330000001</v>
      </c>
      <c r="N4849" t="s">
        <v>26</v>
      </c>
      <c r="O4849" s="8">
        <v>1.0693333330000001</v>
      </c>
      <c r="P4849" s="8">
        <f>EXP(-1.363+3.366*LOG(O4849,10))</f>
        <v>0.28223780327142356</v>
      </c>
      <c r="Q4849" s="8">
        <f>(2618262*100)/2995732</f>
        <v>87.399740697766021</v>
      </c>
    </row>
    <row r="4850" spans="1:17" x14ac:dyDescent="0.2">
      <c r="A4850">
        <f>YEAR(D4850)</f>
        <v>2020</v>
      </c>
      <c r="B4850" t="s">
        <v>26</v>
      </c>
      <c r="C4850" s="2" t="s">
        <v>1540</v>
      </c>
      <c r="D4850" s="1">
        <v>43985</v>
      </c>
      <c r="E4850">
        <f>MONTH(D4850)</f>
        <v>6</v>
      </c>
      <c r="F4850" s="2" t="s">
        <v>2098</v>
      </c>
      <c r="G4850" t="s">
        <v>352</v>
      </c>
      <c r="H4850" t="s">
        <v>975</v>
      </c>
      <c r="I4850" t="s">
        <v>22</v>
      </c>
      <c r="J4850" s="2" t="s">
        <v>42</v>
      </c>
      <c r="K4850" s="2" t="s">
        <v>3019</v>
      </c>
      <c r="L4850" t="s">
        <v>25</v>
      </c>
      <c r="M4850" s="8">
        <v>1.0693333330000001</v>
      </c>
      <c r="N4850" t="s">
        <v>26</v>
      </c>
      <c r="O4850" s="8">
        <v>1.0693333330000001</v>
      </c>
      <c r="P4850" s="8">
        <f>EXP(-1.363+3.366*LOG(O4850,10))</f>
        <v>0.28223780327142356</v>
      </c>
      <c r="Q4850" s="8">
        <f>(2618262*100)/2995732</f>
        <v>87.399740697766021</v>
      </c>
    </row>
    <row r="4851" spans="1:17" x14ac:dyDescent="0.2">
      <c r="A4851">
        <f>YEAR(D4851)</f>
        <v>2020</v>
      </c>
      <c r="B4851" t="s">
        <v>26</v>
      </c>
      <c r="C4851" s="2" t="s">
        <v>1540</v>
      </c>
      <c r="D4851" s="1">
        <v>43985</v>
      </c>
      <c r="E4851">
        <f>MONTH(D4851)</f>
        <v>6</v>
      </c>
      <c r="F4851" s="2" t="s">
        <v>2098</v>
      </c>
      <c r="G4851" t="s">
        <v>352</v>
      </c>
      <c r="H4851" t="s">
        <v>975</v>
      </c>
      <c r="I4851" t="s">
        <v>22</v>
      </c>
      <c r="J4851" s="2" t="s">
        <v>42</v>
      </c>
      <c r="K4851" s="2" t="s">
        <v>3019</v>
      </c>
      <c r="L4851" t="s">
        <v>25</v>
      </c>
      <c r="M4851" s="8">
        <v>1.0693333330000001</v>
      </c>
      <c r="N4851" t="s">
        <v>26</v>
      </c>
      <c r="O4851" s="8">
        <v>1.0693333330000001</v>
      </c>
      <c r="P4851" s="8">
        <f>EXP(-1.363+3.366*LOG(O4851,10))</f>
        <v>0.28223780327142356</v>
      </c>
      <c r="Q4851" s="8">
        <f>(2618262*100)/2995732</f>
        <v>87.399740697766021</v>
      </c>
    </row>
    <row r="4852" spans="1:17" x14ac:dyDescent="0.2">
      <c r="A4852">
        <f>YEAR(D4852)</f>
        <v>2020</v>
      </c>
      <c r="B4852" t="s">
        <v>26</v>
      </c>
      <c r="C4852" s="2" t="s">
        <v>1540</v>
      </c>
      <c r="D4852" s="1">
        <v>43985</v>
      </c>
      <c r="E4852">
        <f>MONTH(D4852)</f>
        <v>6</v>
      </c>
      <c r="F4852" s="2" t="s">
        <v>2098</v>
      </c>
      <c r="G4852" t="s">
        <v>352</v>
      </c>
      <c r="H4852" t="s">
        <v>975</v>
      </c>
      <c r="I4852" t="s">
        <v>22</v>
      </c>
      <c r="J4852" s="2" t="s">
        <v>42</v>
      </c>
      <c r="K4852" s="2" t="s">
        <v>3019</v>
      </c>
      <c r="L4852" t="s">
        <v>25</v>
      </c>
      <c r="M4852" s="8">
        <v>1.0693333330000001</v>
      </c>
      <c r="N4852" t="s">
        <v>26</v>
      </c>
      <c r="O4852" s="8">
        <v>1.0693333330000001</v>
      </c>
      <c r="P4852" s="8">
        <f>EXP(-1.363+3.366*LOG(O4852,10))</f>
        <v>0.28223780327142356</v>
      </c>
      <c r="Q4852" s="8">
        <f>(2618262*100)/2995732</f>
        <v>87.399740697766021</v>
      </c>
    </row>
    <row r="4853" spans="1:17" x14ac:dyDescent="0.2">
      <c r="A4853">
        <f>YEAR(D4853)</f>
        <v>2020</v>
      </c>
      <c r="B4853" t="s">
        <v>26</v>
      </c>
      <c r="C4853" s="2" t="s">
        <v>1540</v>
      </c>
      <c r="D4853" s="1">
        <v>43985</v>
      </c>
      <c r="E4853">
        <f>MONTH(D4853)</f>
        <v>6</v>
      </c>
      <c r="F4853" s="2" t="s">
        <v>2098</v>
      </c>
      <c r="G4853" t="s">
        <v>352</v>
      </c>
      <c r="H4853" t="s">
        <v>975</v>
      </c>
      <c r="I4853" t="s">
        <v>22</v>
      </c>
      <c r="J4853" s="2" t="s">
        <v>42</v>
      </c>
      <c r="K4853" s="2" t="s">
        <v>3019</v>
      </c>
      <c r="L4853" t="s">
        <v>25</v>
      </c>
      <c r="M4853" s="8">
        <v>1.0693333330000001</v>
      </c>
      <c r="N4853" t="s">
        <v>26</v>
      </c>
      <c r="O4853" s="8">
        <v>1.0693333330000001</v>
      </c>
      <c r="P4853" s="8">
        <f>EXP(-1.363+3.366*LOG(O4853,10))</f>
        <v>0.28223780327142356</v>
      </c>
      <c r="Q4853" s="8">
        <f>(2618262*100)/2995732</f>
        <v>87.399740697766021</v>
      </c>
    </row>
    <row r="4854" spans="1:17" x14ac:dyDescent="0.2">
      <c r="A4854">
        <f>YEAR(D4854)</f>
        <v>2020</v>
      </c>
      <c r="B4854" t="s">
        <v>26</v>
      </c>
      <c r="C4854" s="2" t="s">
        <v>1540</v>
      </c>
      <c r="D4854" s="1">
        <v>43985</v>
      </c>
      <c r="E4854">
        <f>MONTH(D4854)</f>
        <v>6</v>
      </c>
      <c r="F4854" s="2" t="s">
        <v>2098</v>
      </c>
      <c r="G4854" t="s">
        <v>352</v>
      </c>
      <c r="H4854" t="s">
        <v>623</v>
      </c>
      <c r="I4854" t="s">
        <v>22</v>
      </c>
      <c r="J4854" s="2" t="s">
        <v>42</v>
      </c>
      <c r="K4854" s="2" t="s">
        <v>3019</v>
      </c>
      <c r="L4854" t="s">
        <v>25</v>
      </c>
      <c r="M4854" s="8">
        <v>1.387</v>
      </c>
      <c r="N4854" t="s">
        <v>26</v>
      </c>
      <c r="O4854" s="8">
        <v>1.387</v>
      </c>
      <c r="P4854" s="8">
        <f>EXP(-1.363+3.366*LOG(O4854,10))</f>
        <v>0.41280884754947733</v>
      </c>
      <c r="Q4854" s="8">
        <f>(2618262*100)/2995732</f>
        <v>87.399740697766021</v>
      </c>
    </row>
    <row r="4855" spans="1:17" x14ac:dyDescent="0.2">
      <c r="A4855">
        <f>YEAR(D4855)</f>
        <v>2020</v>
      </c>
      <c r="B4855" t="s">
        <v>26</v>
      </c>
      <c r="C4855" s="2" t="s">
        <v>1540</v>
      </c>
      <c r="D4855" s="1">
        <v>43985</v>
      </c>
      <c r="E4855">
        <f>MONTH(D4855)</f>
        <v>6</v>
      </c>
      <c r="F4855" s="2" t="s">
        <v>2098</v>
      </c>
      <c r="G4855" t="s">
        <v>352</v>
      </c>
      <c r="H4855" t="s">
        <v>623</v>
      </c>
      <c r="I4855" t="s">
        <v>22</v>
      </c>
      <c r="J4855" s="2" t="s">
        <v>42</v>
      </c>
      <c r="K4855" s="2" t="s">
        <v>3019</v>
      </c>
      <c r="L4855" t="s">
        <v>25</v>
      </c>
      <c r="M4855" s="8">
        <v>1.387</v>
      </c>
      <c r="N4855" t="s">
        <v>26</v>
      </c>
      <c r="O4855" s="8">
        <v>1.387</v>
      </c>
      <c r="P4855" s="8">
        <f>EXP(-1.363+3.366*LOG(O4855,10))</f>
        <v>0.41280884754947733</v>
      </c>
      <c r="Q4855" s="8">
        <f>(2618262*100)/2995732</f>
        <v>87.399740697766021</v>
      </c>
    </row>
    <row r="4856" spans="1:17" x14ac:dyDescent="0.2">
      <c r="A4856">
        <f>YEAR(D4856)</f>
        <v>2020</v>
      </c>
      <c r="B4856" t="s">
        <v>26</v>
      </c>
      <c r="C4856" s="2" t="s">
        <v>1540</v>
      </c>
      <c r="D4856" s="1">
        <v>43985</v>
      </c>
      <c r="E4856">
        <f>MONTH(D4856)</f>
        <v>6</v>
      </c>
      <c r="F4856" s="2" t="s">
        <v>2098</v>
      </c>
      <c r="G4856" t="s">
        <v>230</v>
      </c>
      <c r="H4856" t="s">
        <v>268</v>
      </c>
      <c r="I4856" t="s">
        <v>22</v>
      </c>
      <c r="J4856" s="2" t="s">
        <v>42</v>
      </c>
      <c r="K4856" s="2" t="s">
        <v>3019</v>
      </c>
      <c r="L4856" t="s">
        <v>25</v>
      </c>
      <c r="M4856" s="8">
        <v>3.5356666670000001</v>
      </c>
      <c r="N4856" t="s">
        <v>26</v>
      </c>
      <c r="O4856" s="8">
        <v>3.5356666670000001</v>
      </c>
      <c r="P4856" s="8">
        <f>EXP(-1.363+3.366*LOG(O4856,10))</f>
        <v>1.6211802664427075</v>
      </c>
      <c r="Q4856" s="8">
        <f>(2618262*100)/2995732</f>
        <v>87.399740697766021</v>
      </c>
    </row>
    <row r="4857" spans="1:17" x14ac:dyDescent="0.2">
      <c r="A4857">
        <f>YEAR(D4857)</f>
        <v>2020</v>
      </c>
      <c r="B4857" t="s">
        <v>26</v>
      </c>
      <c r="C4857" s="2" t="s">
        <v>1540</v>
      </c>
      <c r="D4857" s="1">
        <v>43985</v>
      </c>
      <c r="E4857">
        <f>MONTH(D4857)</f>
        <v>6</v>
      </c>
      <c r="F4857" s="2" t="s">
        <v>2098</v>
      </c>
      <c r="G4857" t="s">
        <v>352</v>
      </c>
      <c r="H4857" t="s">
        <v>491</v>
      </c>
      <c r="I4857" t="s">
        <v>22</v>
      </c>
      <c r="J4857" s="2" t="s">
        <v>42</v>
      </c>
      <c r="K4857" s="2" t="s">
        <v>3019</v>
      </c>
      <c r="L4857" t="s">
        <v>25</v>
      </c>
      <c r="M4857" s="8">
        <v>1.298</v>
      </c>
      <c r="N4857" t="s">
        <v>26</v>
      </c>
      <c r="O4857" s="8">
        <v>1.298</v>
      </c>
      <c r="P4857" s="8">
        <f>EXP(-1.363+3.366*LOG(O4857,10))</f>
        <v>0.37466709829475997</v>
      </c>
      <c r="Q4857" s="8">
        <f>(2618262*100)/2995732</f>
        <v>87.399740697766021</v>
      </c>
    </row>
    <row r="4858" spans="1:17" x14ac:dyDescent="0.2">
      <c r="A4858">
        <f>YEAR(D4858)</f>
        <v>2020</v>
      </c>
      <c r="B4858" t="s">
        <v>26</v>
      </c>
      <c r="C4858" s="2" t="s">
        <v>1540</v>
      </c>
      <c r="D4858" s="1">
        <v>43985</v>
      </c>
      <c r="E4858">
        <f>MONTH(D4858)</f>
        <v>6</v>
      </c>
      <c r="F4858" s="2" t="s">
        <v>2098</v>
      </c>
      <c r="G4858" s="2" t="s">
        <v>20</v>
      </c>
      <c r="H4858" t="s">
        <v>45</v>
      </c>
      <c r="I4858" t="s">
        <v>36</v>
      </c>
      <c r="J4858" s="2" t="s">
        <v>42</v>
      </c>
      <c r="K4858" s="2" t="s">
        <v>3019</v>
      </c>
      <c r="L4858" t="s">
        <v>25</v>
      </c>
      <c r="M4858" s="8">
        <v>1.5053333330000001</v>
      </c>
      <c r="N4858" t="s">
        <v>26</v>
      </c>
      <c r="O4858" s="8">
        <v>1.5053333330000001</v>
      </c>
      <c r="P4858" s="8">
        <f>EXP(-1.363+3.366*LOG(O4858,10))</f>
        <v>0.46529279523463329</v>
      </c>
      <c r="Q4858" s="8">
        <f>(2618262*100)/2995732</f>
        <v>87.399740697766021</v>
      </c>
    </row>
    <row r="4859" spans="1:17" x14ac:dyDescent="0.2">
      <c r="A4859">
        <f>YEAR(D4859)</f>
        <v>2020</v>
      </c>
      <c r="B4859" t="s">
        <v>26</v>
      </c>
      <c r="C4859" s="2" t="s">
        <v>1540</v>
      </c>
      <c r="D4859" s="1">
        <v>43985</v>
      </c>
      <c r="E4859">
        <f>MONTH(D4859)</f>
        <v>6</v>
      </c>
      <c r="F4859" s="2" t="s">
        <v>2098</v>
      </c>
      <c r="G4859" t="s">
        <v>1520</v>
      </c>
      <c r="H4859" t="s">
        <v>1528</v>
      </c>
      <c r="I4859" t="s">
        <v>22</v>
      </c>
      <c r="J4859" s="2" t="s">
        <v>42</v>
      </c>
      <c r="K4859" s="2" t="s">
        <v>3019</v>
      </c>
      <c r="L4859" t="s">
        <v>25</v>
      </c>
      <c r="M4859" s="8">
        <v>3.624333333</v>
      </c>
      <c r="N4859" t="s">
        <v>26</v>
      </c>
      <c r="O4859" s="8">
        <v>3.624333333</v>
      </c>
      <c r="P4859" s="8">
        <f>EXP(-1.363+3.366*LOG(O4859,10))</f>
        <v>1.6809546844949765</v>
      </c>
      <c r="Q4859" s="8">
        <f>(2618262*100)/2995732</f>
        <v>87.399740697766021</v>
      </c>
    </row>
    <row r="4860" spans="1:17" x14ac:dyDescent="0.2">
      <c r="A4860">
        <f>YEAR(D4860)</f>
        <v>2020</v>
      </c>
      <c r="B4860" t="s">
        <v>26</v>
      </c>
      <c r="C4860" s="2" t="s">
        <v>3023</v>
      </c>
      <c r="D4860" s="1">
        <v>43984</v>
      </c>
      <c r="E4860">
        <f>MONTH(D4860)</f>
        <v>6</v>
      </c>
      <c r="F4860" s="2" t="s">
        <v>19</v>
      </c>
      <c r="G4860" t="s">
        <v>362</v>
      </c>
      <c r="H4860" t="s">
        <v>447</v>
      </c>
      <c r="I4860" t="s">
        <v>22</v>
      </c>
      <c r="J4860" s="2" t="s">
        <v>42</v>
      </c>
      <c r="K4860" s="2" t="s">
        <v>3019</v>
      </c>
      <c r="L4860" t="s">
        <v>25</v>
      </c>
      <c r="M4860" s="8">
        <v>1.421</v>
      </c>
      <c r="N4860" t="s">
        <v>26</v>
      </c>
      <c r="O4860" s="8">
        <v>1.421</v>
      </c>
      <c r="P4860" s="8">
        <f>EXP(-1.363+3.366*LOG(O4860,10))</f>
        <v>0.42768500084673816</v>
      </c>
      <c r="Q4860" s="8">
        <f>(8197453*100)/8541008</f>
        <v>95.977582505484136</v>
      </c>
    </row>
    <row r="4861" spans="1:17" x14ac:dyDescent="0.2">
      <c r="A4861">
        <f>YEAR(D4861)</f>
        <v>2020</v>
      </c>
      <c r="B4861" t="s">
        <v>26</v>
      </c>
      <c r="C4861" s="2" t="s">
        <v>3023</v>
      </c>
      <c r="D4861" s="1">
        <v>43984</v>
      </c>
      <c r="E4861">
        <f>MONTH(D4861)</f>
        <v>6</v>
      </c>
      <c r="F4861" s="2" t="s">
        <v>19</v>
      </c>
      <c r="G4861" t="s">
        <v>1472</v>
      </c>
      <c r="H4861" t="s">
        <v>1509</v>
      </c>
      <c r="I4861" t="s">
        <v>22</v>
      </c>
      <c r="J4861" s="2" t="s">
        <v>42</v>
      </c>
      <c r="K4861" s="2" t="s">
        <v>3019</v>
      </c>
      <c r="L4861" t="s">
        <v>187</v>
      </c>
      <c r="M4861" s="8">
        <v>1.365</v>
      </c>
      <c r="N4861" t="s">
        <v>26</v>
      </c>
      <c r="O4861" s="8">
        <v>1.365</v>
      </c>
      <c r="P4861" s="8">
        <f>EXP(-1.363+3.366*LOG(O4861,10))</f>
        <v>0.40327220618198095</v>
      </c>
      <c r="Q4861" s="8">
        <f>(8197453*100)/8541008</f>
        <v>95.977582505484136</v>
      </c>
    </row>
    <row r="4862" spans="1:17" x14ac:dyDescent="0.2">
      <c r="A4862">
        <f>YEAR(D4862)</f>
        <v>2020</v>
      </c>
      <c r="B4862" t="s">
        <v>26</v>
      </c>
      <c r="C4862" s="2" t="s">
        <v>1540</v>
      </c>
      <c r="D4862" s="1">
        <v>43985</v>
      </c>
      <c r="E4862">
        <f>MONTH(D4862)</f>
        <v>6</v>
      </c>
      <c r="F4862" s="2" t="s">
        <v>19</v>
      </c>
      <c r="G4862" t="s">
        <v>352</v>
      </c>
      <c r="H4862" t="s">
        <v>975</v>
      </c>
      <c r="I4862" t="s">
        <v>22</v>
      </c>
      <c r="J4862" s="2" t="s">
        <v>42</v>
      </c>
      <c r="K4862" s="2" t="s">
        <v>3019</v>
      </c>
      <c r="L4862" t="s">
        <v>25</v>
      </c>
      <c r="M4862" s="8">
        <v>1.0693333330000001</v>
      </c>
      <c r="N4862" t="s">
        <v>26</v>
      </c>
      <c r="O4862" s="8">
        <v>1.0693333330000001</v>
      </c>
      <c r="P4862" s="8">
        <f>EXP(-1.363+3.366*LOG(O4862,10))</f>
        <v>0.28223780327142356</v>
      </c>
      <c r="Q4862" s="8">
        <f>(2618262*100)/2995732</f>
        <v>87.399740697766021</v>
      </c>
    </row>
    <row r="4863" spans="1:17" x14ac:dyDescent="0.2">
      <c r="A4863">
        <f>YEAR(D4863)</f>
        <v>2020</v>
      </c>
      <c r="B4863" t="s">
        <v>26</v>
      </c>
      <c r="C4863" s="2" t="s">
        <v>1540</v>
      </c>
      <c r="D4863" s="1">
        <v>43985</v>
      </c>
      <c r="E4863">
        <f>MONTH(D4863)</f>
        <v>6</v>
      </c>
      <c r="F4863" s="2" t="s">
        <v>19</v>
      </c>
      <c r="G4863" t="s">
        <v>352</v>
      </c>
      <c r="H4863" t="s">
        <v>975</v>
      </c>
      <c r="I4863" t="s">
        <v>22</v>
      </c>
      <c r="J4863" s="2" t="s">
        <v>42</v>
      </c>
      <c r="K4863" s="2" t="s">
        <v>3019</v>
      </c>
      <c r="L4863" t="s">
        <v>25</v>
      </c>
      <c r="M4863" s="8">
        <v>1.0693333330000001</v>
      </c>
      <c r="N4863" t="s">
        <v>26</v>
      </c>
      <c r="O4863" s="8">
        <v>1.0693333330000001</v>
      </c>
      <c r="P4863" s="8">
        <f>EXP(-1.363+3.366*LOG(O4863,10))</f>
        <v>0.28223780327142356</v>
      </c>
      <c r="Q4863" s="8">
        <f>(2618262*100)/2995732</f>
        <v>87.399740697766021</v>
      </c>
    </row>
    <row r="4864" spans="1:17" x14ac:dyDescent="0.2">
      <c r="A4864">
        <f>YEAR(D4864)</f>
        <v>2020</v>
      </c>
      <c r="B4864" t="s">
        <v>26</v>
      </c>
      <c r="C4864" s="2" t="s">
        <v>1540</v>
      </c>
      <c r="D4864" s="1">
        <v>43985</v>
      </c>
      <c r="E4864">
        <f>MONTH(D4864)</f>
        <v>6</v>
      </c>
      <c r="F4864" s="2" t="s">
        <v>19</v>
      </c>
      <c r="G4864" t="s">
        <v>352</v>
      </c>
      <c r="H4864" t="s">
        <v>1344</v>
      </c>
      <c r="I4864" t="s">
        <v>22</v>
      </c>
      <c r="J4864" s="2" t="s">
        <v>42</v>
      </c>
      <c r="K4864" s="2" t="s">
        <v>3019</v>
      </c>
      <c r="L4864" t="s">
        <v>25</v>
      </c>
      <c r="M4864" s="8">
        <v>0.91800000000000004</v>
      </c>
      <c r="N4864" t="s">
        <v>26</v>
      </c>
      <c r="O4864" s="8">
        <v>0.91800000000000004</v>
      </c>
      <c r="P4864" s="8">
        <f>EXP(-1.363+3.366*LOG(O4864,10))</f>
        <v>0.22580769814771504</v>
      </c>
      <c r="Q4864" s="8">
        <f>(2618262*100)/2995732</f>
        <v>87.399740697766021</v>
      </c>
    </row>
    <row r="4865" spans="1:17" x14ac:dyDescent="0.2">
      <c r="A4865">
        <f>YEAR(D4865)</f>
        <v>2020</v>
      </c>
      <c r="B4865" t="s">
        <v>26</v>
      </c>
      <c r="C4865" s="2" t="s">
        <v>1540</v>
      </c>
      <c r="D4865" s="1">
        <v>43985</v>
      </c>
      <c r="E4865">
        <f>MONTH(D4865)</f>
        <v>6</v>
      </c>
      <c r="F4865" s="2" t="s">
        <v>19</v>
      </c>
      <c r="G4865" t="s">
        <v>352</v>
      </c>
      <c r="H4865" t="s">
        <v>975</v>
      </c>
      <c r="I4865" t="s">
        <v>22</v>
      </c>
      <c r="J4865" s="2" t="s">
        <v>42</v>
      </c>
      <c r="K4865" s="2" t="s">
        <v>3019</v>
      </c>
      <c r="L4865" t="s">
        <v>25</v>
      </c>
      <c r="M4865" s="8">
        <v>1.0693333330000001</v>
      </c>
      <c r="N4865" t="s">
        <v>26</v>
      </c>
      <c r="O4865" s="8">
        <v>1.0693333330000001</v>
      </c>
      <c r="P4865" s="8">
        <f>EXP(-1.363+3.366*LOG(O4865,10))</f>
        <v>0.28223780327142356</v>
      </c>
      <c r="Q4865" s="8">
        <f>(2618262*100)/2995732</f>
        <v>87.399740697766021</v>
      </c>
    </row>
    <row r="4866" spans="1:17" x14ac:dyDescent="0.2">
      <c r="A4866">
        <f>YEAR(D4866)</f>
        <v>2020</v>
      </c>
      <c r="B4866" t="s">
        <v>26</v>
      </c>
      <c r="C4866" s="2" t="s">
        <v>1552</v>
      </c>
      <c r="D4866" s="1">
        <v>43985</v>
      </c>
      <c r="E4866">
        <f>MONTH(D4866)</f>
        <v>6</v>
      </c>
      <c r="F4866" s="2" t="s">
        <v>19</v>
      </c>
      <c r="G4866" t="s">
        <v>352</v>
      </c>
      <c r="H4866" t="s">
        <v>353</v>
      </c>
      <c r="I4866" t="s">
        <v>22</v>
      </c>
      <c r="J4866" s="2" t="s">
        <v>42</v>
      </c>
      <c r="K4866" s="2" t="s">
        <v>3019</v>
      </c>
      <c r="L4866" t="s">
        <v>25</v>
      </c>
      <c r="M4866" s="8">
        <v>1.1623333330000001</v>
      </c>
      <c r="N4866" t="s">
        <v>26</v>
      </c>
      <c r="O4866" s="8">
        <v>1.1623333330000001</v>
      </c>
      <c r="P4866" s="8">
        <f>EXP(-1.363+3.366*LOG(O4866,10))</f>
        <v>0.31883010989102206</v>
      </c>
      <c r="Q4866" s="8">
        <f>(3738946*100)/3915493</f>
        <v>95.491065875995687</v>
      </c>
    </row>
    <row r="4867" spans="1:17" x14ac:dyDescent="0.2">
      <c r="A4867">
        <f>YEAR(D4867)</f>
        <v>2020</v>
      </c>
      <c r="B4867" t="s">
        <v>26</v>
      </c>
      <c r="C4867" s="2" t="s">
        <v>1552</v>
      </c>
      <c r="D4867" s="1">
        <v>43985</v>
      </c>
      <c r="E4867">
        <f>MONTH(D4867)</f>
        <v>6</v>
      </c>
      <c r="F4867" s="2" t="s">
        <v>19</v>
      </c>
      <c r="G4867" t="s">
        <v>352</v>
      </c>
      <c r="H4867" t="s">
        <v>975</v>
      </c>
      <c r="I4867" t="s">
        <v>22</v>
      </c>
      <c r="J4867" s="2" t="s">
        <v>42</v>
      </c>
      <c r="K4867" s="2" t="s">
        <v>3019</v>
      </c>
      <c r="L4867" t="s">
        <v>25</v>
      </c>
      <c r="M4867" s="8">
        <v>1.0693333330000001</v>
      </c>
      <c r="N4867" t="s">
        <v>26</v>
      </c>
      <c r="O4867" s="8">
        <v>1.0693333330000001</v>
      </c>
      <c r="P4867" s="8">
        <f>EXP(-1.363+3.366*LOG(O4867,10))</f>
        <v>0.28223780327142356</v>
      </c>
      <c r="Q4867" s="8">
        <f>(3738946*100)/3915493</f>
        <v>95.491065875995687</v>
      </c>
    </row>
    <row r="4868" spans="1:17" x14ac:dyDescent="0.2">
      <c r="A4868">
        <f>YEAR(D4868)</f>
        <v>2020</v>
      </c>
      <c r="B4868" t="s">
        <v>26</v>
      </c>
      <c r="C4868" s="2" t="s">
        <v>1540</v>
      </c>
      <c r="D4868" s="1">
        <v>43985</v>
      </c>
      <c r="E4868">
        <f>MONTH(D4868)</f>
        <v>6</v>
      </c>
      <c r="F4868" s="2" t="s">
        <v>19</v>
      </c>
      <c r="G4868" t="s">
        <v>352</v>
      </c>
      <c r="H4868" t="s">
        <v>975</v>
      </c>
      <c r="I4868" t="s">
        <v>22</v>
      </c>
      <c r="J4868" s="2" t="s">
        <v>42</v>
      </c>
      <c r="K4868" s="2" t="s">
        <v>3019</v>
      </c>
      <c r="L4868" t="s">
        <v>25</v>
      </c>
      <c r="M4868" s="8">
        <v>1.0693333330000001</v>
      </c>
      <c r="N4868" t="s">
        <v>26</v>
      </c>
      <c r="O4868" s="8">
        <v>1.0693333330000001</v>
      </c>
      <c r="P4868" s="8">
        <f>EXP(-1.363+3.366*LOG(O4868,10))</f>
        <v>0.28223780327142356</v>
      </c>
      <c r="Q4868" s="8">
        <f>(2618262*100)/2995732</f>
        <v>87.399740697766021</v>
      </c>
    </row>
    <row r="4869" spans="1:17" x14ac:dyDescent="0.2">
      <c r="A4869">
        <f>YEAR(D4869)</f>
        <v>2020</v>
      </c>
      <c r="B4869" t="s">
        <v>26</v>
      </c>
      <c r="C4869" s="2" t="s">
        <v>1540</v>
      </c>
      <c r="D4869" s="1">
        <v>43985</v>
      </c>
      <c r="E4869">
        <f>MONTH(D4869)</f>
        <v>6</v>
      </c>
      <c r="F4869" s="2" t="s">
        <v>19</v>
      </c>
      <c r="G4869" s="2" t="s">
        <v>1959</v>
      </c>
      <c r="H4869" t="s">
        <v>3065</v>
      </c>
      <c r="I4869" t="s">
        <v>36</v>
      </c>
      <c r="J4869" s="2" t="s">
        <v>42</v>
      </c>
      <c r="K4869" s="2" t="s">
        <v>3019</v>
      </c>
      <c r="L4869" t="s">
        <v>305</v>
      </c>
      <c r="M4869" s="8">
        <v>0.90700000000000003</v>
      </c>
      <c r="N4869" t="s">
        <v>26</v>
      </c>
      <c r="O4869" s="8">
        <v>0.90700000000000003</v>
      </c>
      <c r="P4869" s="8">
        <f>EXP(-1.363+3.366*LOG(O4869,10))</f>
        <v>0.22186329573612137</v>
      </c>
      <c r="Q4869" s="8">
        <f>(2618262*100)/2995732</f>
        <v>87.399740697766021</v>
      </c>
    </row>
    <row r="4870" spans="1:17" x14ac:dyDescent="0.2">
      <c r="A4870">
        <f>YEAR(D4870)</f>
        <v>2020</v>
      </c>
      <c r="B4870" t="s">
        <v>26</v>
      </c>
      <c r="C4870" s="2" t="s">
        <v>3024</v>
      </c>
      <c r="D4870" s="1">
        <v>43987</v>
      </c>
      <c r="E4870">
        <f>MONTH(D4870)</f>
        <v>6</v>
      </c>
      <c r="F4870" s="2" t="s">
        <v>2098</v>
      </c>
      <c r="G4870" t="s">
        <v>219</v>
      </c>
      <c r="H4870" t="s">
        <v>220</v>
      </c>
      <c r="I4870" t="s">
        <v>22</v>
      </c>
      <c r="J4870" s="2" t="s">
        <v>42</v>
      </c>
      <c r="K4870" s="2" t="s">
        <v>3019</v>
      </c>
      <c r="L4870" t="s">
        <v>25</v>
      </c>
      <c r="M4870" s="10" t="s">
        <v>26</v>
      </c>
      <c r="N4870" t="s">
        <v>26</v>
      </c>
      <c r="O4870" s="10" t="s">
        <v>26</v>
      </c>
      <c r="P4870" s="8" t="s">
        <v>26</v>
      </c>
      <c r="Q4870" s="8">
        <f>(2412691*100)/2623642</f>
        <v>91.959611867777696</v>
      </c>
    </row>
    <row r="4871" spans="1:17" x14ac:dyDescent="0.2">
      <c r="A4871">
        <f>YEAR(D4871)</f>
        <v>2020</v>
      </c>
      <c r="B4871" t="s">
        <v>26</v>
      </c>
      <c r="C4871" s="2" t="s">
        <v>3024</v>
      </c>
      <c r="D4871" s="1">
        <v>43987</v>
      </c>
      <c r="E4871">
        <f>MONTH(D4871)</f>
        <v>6</v>
      </c>
      <c r="F4871" s="2" t="s">
        <v>2098</v>
      </c>
      <c r="G4871" t="s">
        <v>219</v>
      </c>
      <c r="H4871" t="s">
        <v>220</v>
      </c>
      <c r="I4871" t="s">
        <v>22</v>
      </c>
      <c r="J4871" s="2" t="s">
        <v>42</v>
      </c>
      <c r="K4871" s="2" t="s">
        <v>3019</v>
      </c>
      <c r="L4871" t="s">
        <v>25</v>
      </c>
      <c r="M4871" s="10" t="s">
        <v>26</v>
      </c>
      <c r="N4871" t="s">
        <v>26</v>
      </c>
      <c r="O4871" s="10" t="s">
        <v>26</v>
      </c>
      <c r="P4871" s="8" t="s">
        <v>26</v>
      </c>
      <c r="Q4871" s="8">
        <f>(2412691*100)/2623642</f>
        <v>91.959611867777696</v>
      </c>
    </row>
    <row r="4872" spans="1:17" x14ac:dyDescent="0.2">
      <c r="A4872">
        <f>YEAR(D4872)</f>
        <v>2020</v>
      </c>
      <c r="B4872" t="s">
        <v>26</v>
      </c>
      <c r="C4872" s="2" t="s">
        <v>3024</v>
      </c>
      <c r="D4872" s="1">
        <v>43987</v>
      </c>
      <c r="E4872">
        <f>MONTH(D4872)</f>
        <v>6</v>
      </c>
      <c r="F4872" s="2" t="s">
        <v>2098</v>
      </c>
      <c r="G4872" t="s">
        <v>219</v>
      </c>
      <c r="H4872" t="s">
        <v>220</v>
      </c>
      <c r="I4872" t="s">
        <v>22</v>
      </c>
      <c r="J4872" s="2" t="s">
        <v>42</v>
      </c>
      <c r="K4872" s="2" t="s">
        <v>3019</v>
      </c>
      <c r="L4872" t="s">
        <v>25</v>
      </c>
      <c r="M4872" s="10" t="s">
        <v>26</v>
      </c>
      <c r="N4872" t="s">
        <v>26</v>
      </c>
      <c r="O4872" s="10" t="s">
        <v>26</v>
      </c>
      <c r="P4872" s="8" t="s">
        <v>26</v>
      </c>
      <c r="Q4872" s="8">
        <f>(2412691*100)/2623642</f>
        <v>91.959611867777696</v>
      </c>
    </row>
    <row r="4873" spans="1:17" x14ac:dyDescent="0.2">
      <c r="A4873">
        <f>YEAR(D4873)</f>
        <v>2020</v>
      </c>
      <c r="B4873" t="s">
        <v>26</v>
      </c>
      <c r="C4873" s="2" t="s">
        <v>3024</v>
      </c>
      <c r="D4873" s="1">
        <v>43987</v>
      </c>
      <c r="E4873">
        <f>MONTH(D4873)</f>
        <v>6</v>
      </c>
      <c r="F4873" s="2" t="s">
        <v>2098</v>
      </c>
      <c r="G4873" t="s">
        <v>219</v>
      </c>
      <c r="H4873" t="s">
        <v>220</v>
      </c>
      <c r="I4873" t="s">
        <v>22</v>
      </c>
      <c r="J4873" s="2" t="s">
        <v>42</v>
      </c>
      <c r="K4873" s="2" t="s">
        <v>3019</v>
      </c>
      <c r="L4873" t="s">
        <v>25</v>
      </c>
      <c r="M4873" s="10" t="s">
        <v>26</v>
      </c>
      <c r="N4873" t="s">
        <v>26</v>
      </c>
      <c r="O4873" s="10" t="s">
        <v>26</v>
      </c>
      <c r="P4873" s="8" t="s">
        <v>26</v>
      </c>
      <c r="Q4873" s="8">
        <f>(2412691*100)/2623642</f>
        <v>91.959611867777696</v>
      </c>
    </row>
    <row r="4874" spans="1:17" x14ac:dyDescent="0.2">
      <c r="A4874">
        <f>YEAR(D4874)</f>
        <v>2020</v>
      </c>
      <c r="B4874" t="s">
        <v>26</v>
      </c>
      <c r="C4874" s="2" t="s">
        <v>3024</v>
      </c>
      <c r="D4874" s="1">
        <v>43987</v>
      </c>
      <c r="E4874">
        <f>MONTH(D4874)</f>
        <v>6</v>
      </c>
      <c r="F4874" s="2" t="s">
        <v>2098</v>
      </c>
      <c r="G4874" t="s">
        <v>219</v>
      </c>
      <c r="H4874" t="s">
        <v>220</v>
      </c>
      <c r="I4874" t="s">
        <v>22</v>
      </c>
      <c r="J4874" s="2" t="s">
        <v>42</v>
      </c>
      <c r="K4874" s="2" t="s">
        <v>3019</v>
      </c>
      <c r="L4874" t="s">
        <v>25</v>
      </c>
      <c r="M4874" s="10" t="s">
        <v>26</v>
      </c>
      <c r="N4874" t="s">
        <v>26</v>
      </c>
      <c r="O4874" s="10" t="s">
        <v>26</v>
      </c>
      <c r="P4874" s="8" t="s">
        <v>26</v>
      </c>
      <c r="Q4874" s="8">
        <f>(2412691*100)/2623642</f>
        <v>91.959611867777696</v>
      </c>
    </row>
    <row r="4875" spans="1:17" x14ac:dyDescent="0.2">
      <c r="A4875">
        <f>YEAR(D4875)</f>
        <v>2020</v>
      </c>
      <c r="B4875" t="s">
        <v>26</v>
      </c>
      <c r="C4875" s="2" t="s">
        <v>3024</v>
      </c>
      <c r="D4875" s="1">
        <v>43987</v>
      </c>
      <c r="E4875">
        <f>MONTH(D4875)</f>
        <v>6</v>
      </c>
      <c r="F4875" s="2" t="s">
        <v>2098</v>
      </c>
      <c r="G4875" t="s">
        <v>219</v>
      </c>
      <c r="H4875" t="s">
        <v>220</v>
      </c>
      <c r="I4875" t="s">
        <v>22</v>
      </c>
      <c r="J4875" s="2" t="s">
        <v>42</v>
      </c>
      <c r="K4875" s="2" t="s">
        <v>3019</v>
      </c>
      <c r="L4875" t="s">
        <v>25</v>
      </c>
      <c r="M4875" s="10" t="s">
        <v>26</v>
      </c>
      <c r="N4875" t="s">
        <v>26</v>
      </c>
      <c r="O4875" s="10" t="s">
        <v>26</v>
      </c>
      <c r="P4875" s="8" t="s">
        <v>26</v>
      </c>
      <c r="Q4875" s="8">
        <f>(2412691*100)/2623642</f>
        <v>91.959611867777696</v>
      </c>
    </row>
    <row r="4876" spans="1:17" x14ac:dyDescent="0.2">
      <c r="A4876">
        <f>YEAR(D4876)</f>
        <v>2020</v>
      </c>
      <c r="B4876" t="s">
        <v>26</v>
      </c>
      <c r="C4876" s="2" t="s">
        <v>3024</v>
      </c>
      <c r="D4876" s="1">
        <v>43987</v>
      </c>
      <c r="E4876">
        <f>MONTH(D4876)</f>
        <v>6</v>
      </c>
      <c r="F4876" s="2" t="s">
        <v>2098</v>
      </c>
      <c r="G4876" t="s">
        <v>219</v>
      </c>
      <c r="H4876" t="s">
        <v>220</v>
      </c>
      <c r="I4876" t="s">
        <v>22</v>
      </c>
      <c r="J4876" s="2" t="s">
        <v>42</v>
      </c>
      <c r="K4876" s="2" t="s">
        <v>3019</v>
      </c>
      <c r="L4876" t="s">
        <v>25</v>
      </c>
      <c r="M4876" s="10" t="s">
        <v>26</v>
      </c>
      <c r="N4876" t="s">
        <v>26</v>
      </c>
      <c r="O4876" s="10" t="s">
        <v>26</v>
      </c>
      <c r="P4876" s="8" t="s">
        <v>26</v>
      </c>
      <c r="Q4876" s="8">
        <f>(2412691*100)/2623642</f>
        <v>91.959611867777696</v>
      </c>
    </row>
    <row r="4877" spans="1:17" x14ac:dyDescent="0.2">
      <c r="A4877">
        <f>YEAR(D4877)</f>
        <v>2020</v>
      </c>
      <c r="B4877" t="s">
        <v>26</v>
      </c>
      <c r="C4877" s="2" t="s">
        <v>3024</v>
      </c>
      <c r="D4877" s="1">
        <v>43987</v>
      </c>
      <c r="E4877">
        <f>MONTH(D4877)</f>
        <v>6</v>
      </c>
      <c r="F4877" s="2" t="s">
        <v>2098</v>
      </c>
      <c r="G4877" t="s">
        <v>219</v>
      </c>
      <c r="H4877" t="s">
        <v>220</v>
      </c>
      <c r="I4877" t="s">
        <v>22</v>
      </c>
      <c r="J4877" s="2" t="s">
        <v>42</v>
      </c>
      <c r="K4877" s="2" t="s">
        <v>3019</v>
      </c>
      <c r="L4877" t="s">
        <v>25</v>
      </c>
      <c r="M4877" s="10" t="s">
        <v>26</v>
      </c>
      <c r="N4877" t="s">
        <v>26</v>
      </c>
      <c r="O4877" s="10" t="s">
        <v>26</v>
      </c>
      <c r="P4877" s="8" t="s">
        <v>26</v>
      </c>
      <c r="Q4877" s="8">
        <f>(2412691*100)/2623642</f>
        <v>91.959611867777696</v>
      </c>
    </row>
    <row r="4878" spans="1:17" x14ac:dyDescent="0.2">
      <c r="A4878">
        <f>YEAR(D4878)</f>
        <v>2020</v>
      </c>
      <c r="B4878" t="s">
        <v>26</v>
      </c>
      <c r="C4878" s="2" t="s">
        <v>3024</v>
      </c>
      <c r="D4878" s="1">
        <v>43987</v>
      </c>
      <c r="E4878">
        <f>MONTH(D4878)</f>
        <v>6</v>
      </c>
      <c r="F4878" s="2" t="s">
        <v>2098</v>
      </c>
      <c r="G4878" t="s">
        <v>219</v>
      </c>
      <c r="H4878" t="s">
        <v>220</v>
      </c>
      <c r="I4878" t="s">
        <v>22</v>
      </c>
      <c r="J4878" s="2" t="s">
        <v>42</v>
      </c>
      <c r="K4878" s="2" t="s">
        <v>3019</v>
      </c>
      <c r="L4878" t="s">
        <v>25</v>
      </c>
      <c r="M4878" s="10" t="s">
        <v>26</v>
      </c>
      <c r="N4878" t="s">
        <v>26</v>
      </c>
      <c r="O4878" s="10" t="s">
        <v>26</v>
      </c>
      <c r="P4878" s="8" t="s">
        <v>26</v>
      </c>
      <c r="Q4878" s="8">
        <f>(2412691*100)/2623642</f>
        <v>91.959611867777696</v>
      </c>
    </row>
    <row r="4879" spans="1:17" x14ac:dyDescent="0.2">
      <c r="A4879">
        <f>YEAR(D4879)</f>
        <v>2020</v>
      </c>
      <c r="B4879" t="s">
        <v>26</v>
      </c>
      <c r="C4879" s="2" t="s">
        <v>3024</v>
      </c>
      <c r="D4879" s="1">
        <v>43987</v>
      </c>
      <c r="E4879">
        <f>MONTH(D4879)</f>
        <v>6</v>
      </c>
      <c r="F4879" s="2" t="s">
        <v>2098</v>
      </c>
      <c r="G4879" t="s">
        <v>219</v>
      </c>
      <c r="H4879" t="s">
        <v>220</v>
      </c>
      <c r="I4879" t="s">
        <v>22</v>
      </c>
      <c r="J4879" s="2" t="s">
        <v>42</v>
      </c>
      <c r="K4879" s="2" t="s">
        <v>3019</v>
      </c>
      <c r="L4879" t="s">
        <v>25</v>
      </c>
      <c r="M4879" s="10" t="s">
        <v>26</v>
      </c>
      <c r="N4879" t="s">
        <v>26</v>
      </c>
      <c r="O4879" s="10" t="s">
        <v>26</v>
      </c>
      <c r="P4879" s="8" t="s">
        <v>26</v>
      </c>
      <c r="Q4879" s="8">
        <f>(2412691*100)/2623642</f>
        <v>91.959611867777696</v>
      </c>
    </row>
    <row r="4880" spans="1:17" x14ac:dyDescent="0.2">
      <c r="A4880">
        <f>YEAR(D4880)</f>
        <v>2020</v>
      </c>
      <c r="B4880" t="s">
        <v>26</v>
      </c>
      <c r="C4880" s="2" t="s">
        <v>3024</v>
      </c>
      <c r="D4880" s="1">
        <v>43987</v>
      </c>
      <c r="E4880">
        <f>MONTH(D4880)</f>
        <v>6</v>
      </c>
      <c r="F4880" s="2" t="s">
        <v>2098</v>
      </c>
      <c r="G4880" t="s">
        <v>219</v>
      </c>
      <c r="H4880" t="s">
        <v>220</v>
      </c>
      <c r="I4880" t="s">
        <v>22</v>
      </c>
      <c r="J4880" s="2" t="s">
        <v>42</v>
      </c>
      <c r="K4880" s="2" t="s">
        <v>3019</v>
      </c>
      <c r="L4880" t="s">
        <v>25</v>
      </c>
      <c r="M4880" s="10" t="s">
        <v>26</v>
      </c>
      <c r="N4880" t="s">
        <v>26</v>
      </c>
      <c r="O4880" s="10" t="s">
        <v>26</v>
      </c>
      <c r="P4880" s="8" t="s">
        <v>26</v>
      </c>
      <c r="Q4880" s="8">
        <f>(2412691*100)/2623642</f>
        <v>91.959611867777696</v>
      </c>
    </row>
    <row r="4881" spans="1:17" x14ac:dyDescent="0.2">
      <c r="A4881">
        <f>YEAR(D4881)</f>
        <v>2020</v>
      </c>
      <c r="B4881" t="s">
        <v>26</v>
      </c>
      <c r="C4881" s="2" t="s">
        <v>3024</v>
      </c>
      <c r="D4881" s="1">
        <v>43987</v>
      </c>
      <c r="E4881">
        <f>MONTH(D4881)</f>
        <v>6</v>
      </c>
      <c r="F4881" s="2" t="s">
        <v>2098</v>
      </c>
      <c r="G4881" t="s">
        <v>219</v>
      </c>
      <c r="H4881" t="s">
        <v>220</v>
      </c>
      <c r="I4881" t="s">
        <v>22</v>
      </c>
      <c r="J4881" s="2" t="s">
        <v>42</v>
      </c>
      <c r="K4881" s="2" t="s">
        <v>3019</v>
      </c>
      <c r="L4881" t="s">
        <v>25</v>
      </c>
      <c r="M4881" s="10" t="s">
        <v>26</v>
      </c>
      <c r="N4881" t="s">
        <v>26</v>
      </c>
      <c r="O4881" s="10" t="s">
        <v>26</v>
      </c>
      <c r="P4881" s="8" t="s">
        <v>26</v>
      </c>
      <c r="Q4881" s="8">
        <f>(2412691*100)/2623642</f>
        <v>91.959611867777696</v>
      </c>
    </row>
    <row r="4882" spans="1:17" x14ac:dyDescent="0.2">
      <c r="A4882">
        <f>YEAR(D4882)</f>
        <v>2020</v>
      </c>
      <c r="B4882" t="s">
        <v>26</v>
      </c>
      <c r="C4882" s="2" t="s">
        <v>3024</v>
      </c>
      <c r="D4882" s="1">
        <v>43987</v>
      </c>
      <c r="E4882">
        <f>MONTH(D4882)</f>
        <v>6</v>
      </c>
      <c r="F4882" s="2" t="s">
        <v>2098</v>
      </c>
      <c r="G4882" t="s">
        <v>230</v>
      </c>
      <c r="H4882" t="s">
        <v>259</v>
      </c>
      <c r="I4882" t="s">
        <v>22</v>
      </c>
      <c r="J4882" s="2" t="s">
        <v>42</v>
      </c>
      <c r="K4882" s="2" t="s">
        <v>3019</v>
      </c>
      <c r="L4882" t="s">
        <v>25</v>
      </c>
      <c r="M4882" s="8">
        <v>4.2283333330000001</v>
      </c>
      <c r="N4882" t="s">
        <v>26</v>
      </c>
      <c r="O4882" s="8">
        <v>4.2283333330000001</v>
      </c>
      <c r="P4882" s="8">
        <f>EXP(-1.363+3.366*LOG(O4882,10))</f>
        <v>2.1057792396965977</v>
      </c>
      <c r="Q4882" s="8">
        <f>(2412691*100)/2623642</f>
        <v>91.959611867777696</v>
      </c>
    </row>
    <row r="4883" spans="1:17" x14ac:dyDescent="0.2">
      <c r="A4883">
        <f>YEAR(D4883)</f>
        <v>2020</v>
      </c>
      <c r="B4883" t="s">
        <v>26</v>
      </c>
      <c r="C4883" s="2" t="s">
        <v>3024</v>
      </c>
      <c r="D4883" s="1">
        <v>43987</v>
      </c>
      <c r="E4883">
        <f>MONTH(D4883)</f>
        <v>6</v>
      </c>
      <c r="F4883" s="2" t="s">
        <v>2098</v>
      </c>
      <c r="G4883" t="s">
        <v>230</v>
      </c>
      <c r="H4883" t="s">
        <v>259</v>
      </c>
      <c r="I4883" t="s">
        <v>22</v>
      </c>
      <c r="J4883" s="2" t="s">
        <v>42</v>
      </c>
      <c r="K4883" s="2" t="s">
        <v>3019</v>
      </c>
      <c r="L4883" t="s">
        <v>25</v>
      </c>
      <c r="M4883" s="8">
        <v>4.2283333330000001</v>
      </c>
      <c r="N4883" t="s">
        <v>26</v>
      </c>
      <c r="O4883" s="8">
        <v>4.2283333330000001</v>
      </c>
      <c r="P4883" s="8">
        <f>EXP(-1.363+3.366*LOG(O4883,10))</f>
        <v>2.1057792396965977</v>
      </c>
      <c r="Q4883" s="8">
        <f>(2412691*100)/2623642</f>
        <v>91.959611867777696</v>
      </c>
    </row>
    <row r="4884" spans="1:17" x14ac:dyDescent="0.2">
      <c r="A4884">
        <f>YEAR(D4884)</f>
        <v>2020</v>
      </c>
      <c r="B4884" t="s">
        <v>26</v>
      </c>
      <c r="C4884" s="2" t="s">
        <v>3024</v>
      </c>
      <c r="D4884" s="1">
        <v>43987</v>
      </c>
      <c r="E4884">
        <f>MONTH(D4884)</f>
        <v>6</v>
      </c>
      <c r="F4884" s="2" t="s">
        <v>2098</v>
      </c>
      <c r="G4884" t="s">
        <v>230</v>
      </c>
      <c r="H4884" t="s">
        <v>268</v>
      </c>
      <c r="I4884" t="s">
        <v>22</v>
      </c>
      <c r="J4884" s="2" t="s">
        <v>42</v>
      </c>
      <c r="K4884" s="2" t="s">
        <v>3019</v>
      </c>
      <c r="L4884" t="s">
        <v>25</v>
      </c>
      <c r="M4884" s="8">
        <v>3.5356666670000001</v>
      </c>
      <c r="N4884" t="s">
        <v>26</v>
      </c>
      <c r="O4884" s="8">
        <v>3.5356666670000001</v>
      </c>
      <c r="P4884" s="8">
        <f>EXP(-1.363+3.366*LOG(O4884,10))</f>
        <v>1.6211802664427075</v>
      </c>
      <c r="Q4884" s="8">
        <f>(2412691*100)/2623642</f>
        <v>91.959611867777696</v>
      </c>
    </row>
    <row r="4885" spans="1:17" x14ac:dyDescent="0.2">
      <c r="A4885">
        <f>YEAR(D4885)</f>
        <v>2020</v>
      </c>
      <c r="B4885" t="s">
        <v>26</v>
      </c>
      <c r="C4885" s="2" t="s">
        <v>3024</v>
      </c>
      <c r="D4885" s="1">
        <v>43987</v>
      </c>
      <c r="E4885">
        <f>MONTH(D4885)</f>
        <v>6</v>
      </c>
      <c r="F4885" s="2" t="s">
        <v>2098</v>
      </c>
      <c r="G4885" t="s">
        <v>230</v>
      </c>
      <c r="H4885" t="s">
        <v>268</v>
      </c>
      <c r="I4885" t="s">
        <v>22</v>
      </c>
      <c r="J4885" s="2" t="s">
        <v>42</v>
      </c>
      <c r="K4885" s="2" t="s">
        <v>3019</v>
      </c>
      <c r="L4885" t="s">
        <v>25</v>
      </c>
      <c r="M4885" s="8">
        <v>3.5356666670000001</v>
      </c>
      <c r="N4885" t="s">
        <v>26</v>
      </c>
      <c r="O4885" s="8">
        <v>3.5356666670000001</v>
      </c>
      <c r="P4885" s="8">
        <f>EXP(-1.363+3.366*LOG(O4885,10))</f>
        <v>1.6211802664427075</v>
      </c>
      <c r="Q4885" s="8">
        <f>(2412691*100)/2623642</f>
        <v>91.959611867777696</v>
      </c>
    </row>
    <row r="4886" spans="1:17" x14ac:dyDescent="0.2">
      <c r="A4886">
        <f>YEAR(D4886)</f>
        <v>2020</v>
      </c>
      <c r="B4886" t="s">
        <v>26</v>
      </c>
      <c r="C4886" s="2" t="s">
        <v>3024</v>
      </c>
      <c r="D4886" s="1">
        <v>43987</v>
      </c>
      <c r="E4886">
        <f>MONTH(D4886)</f>
        <v>6</v>
      </c>
      <c r="F4886" s="2" t="s">
        <v>2098</v>
      </c>
      <c r="G4886" t="s">
        <v>230</v>
      </c>
      <c r="H4886" t="s">
        <v>268</v>
      </c>
      <c r="I4886" t="s">
        <v>22</v>
      </c>
      <c r="J4886" s="2" t="s">
        <v>42</v>
      </c>
      <c r="K4886" s="2" t="s">
        <v>3019</v>
      </c>
      <c r="L4886" t="s">
        <v>25</v>
      </c>
      <c r="M4886" s="8">
        <v>3.5356666670000001</v>
      </c>
      <c r="N4886" t="s">
        <v>26</v>
      </c>
      <c r="O4886" s="8">
        <v>3.5356666670000001</v>
      </c>
      <c r="P4886" s="8">
        <f>EXP(-1.363+3.366*LOG(O4886,10))</f>
        <v>1.6211802664427075</v>
      </c>
      <c r="Q4886" s="8">
        <f>(2412691*100)/2623642</f>
        <v>91.959611867777696</v>
      </c>
    </row>
    <row r="4887" spans="1:17" x14ac:dyDescent="0.2">
      <c r="A4887">
        <f>YEAR(D4887)</f>
        <v>2020</v>
      </c>
      <c r="B4887" t="s">
        <v>26</v>
      </c>
      <c r="C4887" s="2" t="s">
        <v>3024</v>
      </c>
      <c r="D4887" s="1">
        <v>43987</v>
      </c>
      <c r="E4887">
        <f>MONTH(D4887)</f>
        <v>6</v>
      </c>
      <c r="F4887" s="2" t="s">
        <v>2098</v>
      </c>
      <c r="G4887" t="s">
        <v>230</v>
      </c>
      <c r="H4887" t="s">
        <v>268</v>
      </c>
      <c r="I4887" t="s">
        <v>22</v>
      </c>
      <c r="J4887" s="2" t="s">
        <v>42</v>
      </c>
      <c r="K4887" s="2" t="s">
        <v>3019</v>
      </c>
      <c r="L4887" t="s">
        <v>25</v>
      </c>
      <c r="M4887" s="8">
        <v>3.5356666670000001</v>
      </c>
      <c r="N4887" t="s">
        <v>26</v>
      </c>
      <c r="O4887" s="8">
        <v>3.5356666670000001</v>
      </c>
      <c r="P4887" s="8">
        <f>EXP(-1.363+3.366*LOG(O4887,10))</f>
        <v>1.6211802664427075</v>
      </c>
      <c r="Q4887" s="8">
        <f>(2412691*100)/2623642</f>
        <v>91.959611867777696</v>
      </c>
    </row>
    <row r="4888" spans="1:17" x14ac:dyDescent="0.2">
      <c r="A4888">
        <f>YEAR(D4888)</f>
        <v>2020</v>
      </c>
      <c r="B4888" t="s">
        <v>26</v>
      </c>
      <c r="C4888" s="2" t="s">
        <v>3024</v>
      </c>
      <c r="D4888" s="1">
        <v>43987</v>
      </c>
      <c r="E4888">
        <f>MONTH(D4888)</f>
        <v>6</v>
      </c>
      <c r="F4888" s="2" t="s">
        <v>2098</v>
      </c>
      <c r="G4888" t="s">
        <v>2206</v>
      </c>
      <c r="H4888" t="s">
        <v>2207</v>
      </c>
      <c r="I4888" t="s">
        <v>36</v>
      </c>
      <c r="J4888" s="2" t="s">
        <v>42</v>
      </c>
      <c r="K4888" s="2" t="s">
        <v>3019</v>
      </c>
      <c r="L4888" t="s">
        <v>25</v>
      </c>
      <c r="M4888" s="8">
        <v>3.6386666669999999</v>
      </c>
      <c r="N4888" t="s">
        <v>26</v>
      </c>
      <c r="O4888" s="8">
        <v>3.6386666669999999</v>
      </c>
      <c r="P4888" s="8">
        <f>EXP(-1.363+3.366*LOG(O4888,10))</f>
        <v>1.6906814772344552</v>
      </c>
      <c r="Q4888" s="8">
        <f>(2412691*100)/2623642</f>
        <v>91.959611867777696</v>
      </c>
    </row>
    <row r="4889" spans="1:17" x14ac:dyDescent="0.2">
      <c r="A4889">
        <f>YEAR(D4889)</f>
        <v>2020</v>
      </c>
      <c r="B4889" t="s">
        <v>26</v>
      </c>
      <c r="C4889" s="2" t="s">
        <v>3020</v>
      </c>
      <c r="D4889" s="1">
        <v>43990</v>
      </c>
      <c r="E4889">
        <f>MONTH(D4889)</f>
        <v>6</v>
      </c>
      <c r="F4889" s="2" t="s">
        <v>2098</v>
      </c>
      <c r="G4889" t="s">
        <v>219</v>
      </c>
      <c r="H4889" t="s">
        <v>220</v>
      </c>
      <c r="I4889" t="s">
        <v>22</v>
      </c>
      <c r="J4889" s="2" t="s">
        <v>42</v>
      </c>
      <c r="K4889" s="2" t="s">
        <v>3019</v>
      </c>
      <c r="L4889" t="s">
        <v>25</v>
      </c>
      <c r="M4889" s="10" t="s">
        <v>26</v>
      </c>
      <c r="N4889" t="s">
        <v>26</v>
      </c>
      <c r="O4889" s="10" t="s">
        <v>26</v>
      </c>
      <c r="P4889" s="8" t="s">
        <v>26</v>
      </c>
      <c r="Q4889" s="8">
        <f>(3359412*100)/3462762</f>
        <v>97.015388294084318</v>
      </c>
    </row>
    <row r="4890" spans="1:17" x14ac:dyDescent="0.2">
      <c r="A4890">
        <f>YEAR(D4890)</f>
        <v>2020</v>
      </c>
      <c r="B4890" t="s">
        <v>26</v>
      </c>
      <c r="C4890" s="2" t="s">
        <v>3020</v>
      </c>
      <c r="D4890" s="1">
        <v>43990</v>
      </c>
      <c r="E4890">
        <f>MONTH(D4890)</f>
        <v>6</v>
      </c>
      <c r="F4890" s="2" t="s">
        <v>2098</v>
      </c>
      <c r="G4890" t="s">
        <v>219</v>
      </c>
      <c r="H4890" t="s">
        <v>220</v>
      </c>
      <c r="I4890" t="s">
        <v>22</v>
      </c>
      <c r="J4890" s="2" t="s">
        <v>42</v>
      </c>
      <c r="K4890" s="2" t="s">
        <v>3019</v>
      </c>
      <c r="L4890" t="s">
        <v>25</v>
      </c>
      <c r="M4890" s="10" t="s">
        <v>26</v>
      </c>
      <c r="N4890" t="s">
        <v>26</v>
      </c>
      <c r="O4890" s="10" t="s">
        <v>26</v>
      </c>
      <c r="P4890" s="8" t="s">
        <v>26</v>
      </c>
      <c r="Q4890" s="8">
        <f>(3359412*100)/3462762</f>
        <v>97.015388294084318</v>
      </c>
    </row>
    <row r="4891" spans="1:17" x14ac:dyDescent="0.2">
      <c r="A4891">
        <f>YEAR(D4891)</f>
        <v>2020</v>
      </c>
      <c r="B4891" t="s">
        <v>26</v>
      </c>
      <c r="C4891" s="2" t="s">
        <v>3020</v>
      </c>
      <c r="D4891" s="1">
        <v>43990</v>
      </c>
      <c r="E4891">
        <f>MONTH(D4891)</f>
        <v>6</v>
      </c>
      <c r="F4891" s="2" t="s">
        <v>2098</v>
      </c>
      <c r="G4891" t="s">
        <v>219</v>
      </c>
      <c r="H4891" t="s">
        <v>220</v>
      </c>
      <c r="I4891" t="s">
        <v>22</v>
      </c>
      <c r="J4891" s="2" t="s">
        <v>42</v>
      </c>
      <c r="K4891" s="2" t="s">
        <v>3019</v>
      </c>
      <c r="L4891" t="s">
        <v>25</v>
      </c>
      <c r="M4891" s="10" t="s">
        <v>26</v>
      </c>
      <c r="N4891" t="s">
        <v>26</v>
      </c>
      <c r="O4891" s="10" t="s">
        <v>26</v>
      </c>
      <c r="P4891" s="8" t="s">
        <v>26</v>
      </c>
      <c r="Q4891" s="8">
        <f>(3359412*100)/3462762</f>
        <v>97.015388294084318</v>
      </c>
    </row>
    <row r="4892" spans="1:17" x14ac:dyDescent="0.2">
      <c r="A4892">
        <f>YEAR(D4892)</f>
        <v>2020</v>
      </c>
      <c r="B4892" t="s">
        <v>26</v>
      </c>
      <c r="C4892" s="2" t="s">
        <v>3020</v>
      </c>
      <c r="D4892" s="1">
        <v>43990</v>
      </c>
      <c r="E4892">
        <f>MONTH(D4892)</f>
        <v>6</v>
      </c>
      <c r="F4892" s="2" t="s">
        <v>2098</v>
      </c>
      <c r="G4892" t="s">
        <v>219</v>
      </c>
      <c r="H4892" t="s">
        <v>220</v>
      </c>
      <c r="I4892" t="s">
        <v>22</v>
      </c>
      <c r="J4892" s="2" t="s">
        <v>42</v>
      </c>
      <c r="K4892" s="2" t="s">
        <v>3019</v>
      </c>
      <c r="L4892" t="s">
        <v>25</v>
      </c>
      <c r="M4892" s="10" t="s">
        <v>26</v>
      </c>
      <c r="N4892" t="s">
        <v>26</v>
      </c>
      <c r="O4892" s="10" t="s">
        <v>26</v>
      </c>
      <c r="P4892" s="8" t="s">
        <v>26</v>
      </c>
      <c r="Q4892" s="8">
        <f>(3359412*100)/3462762</f>
        <v>97.015388294084318</v>
      </c>
    </row>
    <row r="4893" spans="1:17" x14ac:dyDescent="0.2">
      <c r="A4893">
        <f>YEAR(D4893)</f>
        <v>2020</v>
      </c>
      <c r="B4893" t="s">
        <v>26</v>
      </c>
      <c r="C4893" s="2" t="s">
        <v>3020</v>
      </c>
      <c r="D4893" s="1">
        <v>43990</v>
      </c>
      <c r="E4893">
        <f>MONTH(D4893)</f>
        <v>6</v>
      </c>
      <c r="F4893" s="2" t="s">
        <v>2098</v>
      </c>
      <c r="G4893" t="s">
        <v>219</v>
      </c>
      <c r="H4893" t="s">
        <v>220</v>
      </c>
      <c r="I4893" t="s">
        <v>22</v>
      </c>
      <c r="J4893" s="2" t="s">
        <v>42</v>
      </c>
      <c r="K4893" s="2" t="s">
        <v>3019</v>
      </c>
      <c r="L4893" t="s">
        <v>25</v>
      </c>
      <c r="M4893" s="10" t="s">
        <v>26</v>
      </c>
      <c r="N4893" t="s">
        <v>26</v>
      </c>
      <c r="O4893" s="10" t="s">
        <v>26</v>
      </c>
      <c r="P4893" s="8" t="s">
        <v>26</v>
      </c>
      <c r="Q4893" s="8">
        <f>(3359412*100)/3462762</f>
        <v>97.015388294084318</v>
      </c>
    </row>
    <row r="4894" spans="1:17" x14ac:dyDescent="0.2">
      <c r="A4894">
        <f>YEAR(D4894)</f>
        <v>2020</v>
      </c>
      <c r="B4894" t="s">
        <v>26</v>
      </c>
      <c r="C4894" s="2" t="s">
        <v>3020</v>
      </c>
      <c r="D4894" s="1">
        <v>43990</v>
      </c>
      <c r="E4894">
        <f>MONTH(D4894)</f>
        <v>6</v>
      </c>
      <c r="F4894" s="2" t="s">
        <v>2098</v>
      </c>
      <c r="G4894" t="s">
        <v>219</v>
      </c>
      <c r="H4894" t="s">
        <v>220</v>
      </c>
      <c r="I4894" t="s">
        <v>22</v>
      </c>
      <c r="J4894" s="2" t="s">
        <v>42</v>
      </c>
      <c r="K4894" s="2" t="s">
        <v>3019</v>
      </c>
      <c r="L4894" t="s">
        <v>25</v>
      </c>
      <c r="M4894" s="10" t="s">
        <v>26</v>
      </c>
      <c r="N4894" t="s">
        <v>26</v>
      </c>
      <c r="O4894" s="10" t="s">
        <v>26</v>
      </c>
      <c r="P4894" s="8" t="s">
        <v>26</v>
      </c>
      <c r="Q4894" s="8">
        <f>(3359412*100)/3462762</f>
        <v>97.015388294084318</v>
      </c>
    </row>
    <row r="4895" spans="1:17" x14ac:dyDescent="0.2">
      <c r="A4895">
        <f>YEAR(D4895)</f>
        <v>2020</v>
      </c>
      <c r="B4895" t="s">
        <v>26</v>
      </c>
      <c r="C4895" s="2" t="s">
        <v>3020</v>
      </c>
      <c r="D4895" s="1">
        <v>43990</v>
      </c>
      <c r="E4895">
        <f>MONTH(D4895)</f>
        <v>6</v>
      </c>
      <c r="F4895" s="2" t="s">
        <v>2098</v>
      </c>
      <c r="G4895" t="s">
        <v>219</v>
      </c>
      <c r="H4895" t="s">
        <v>220</v>
      </c>
      <c r="I4895" t="s">
        <v>22</v>
      </c>
      <c r="J4895" s="2" t="s">
        <v>42</v>
      </c>
      <c r="K4895" s="2" t="s">
        <v>3019</v>
      </c>
      <c r="L4895" t="s">
        <v>25</v>
      </c>
      <c r="M4895" s="10" t="s">
        <v>26</v>
      </c>
      <c r="N4895" t="s">
        <v>26</v>
      </c>
      <c r="O4895" s="10" t="s">
        <v>26</v>
      </c>
      <c r="P4895" s="8" t="s">
        <v>26</v>
      </c>
      <c r="Q4895" s="8">
        <f>(3359412*100)/3462762</f>
        <v>97.015388294084318</v>
      </c>
    </row>
    <row r="4896" spans="1:17" x14ac:dyDescent="0.2">
      <c r="A4896">
        <f>YEAR(D4896)</f>
        <v>2020</v>
      </c>
      <c r="B4896" t="s">
        <v>26</v>
      </c>
      <c r="C4896" s="2" t="s">
        <v>3020</v>
      </c>
      <c r="D4896" s="1">
        <v>43990</v>
      </c>
      <c r="E4896">
        <f>MONTH(D4896)</f>
        <v>6</v>
      </c>
      <c r="F4896" s="2" t="s">
        <v>2098</v>
      </c>
      <c r="G4896" t="s">
        <v>219</v>
      </c>
      <c r="H4896" t="s">
        <v>220</v>
      </c>
      <c r="I4896" t="s">
        <v>22</v>
      </c>
      <c r="J4896" s="2" t="s">
        <v>42</v>
      </c>
      <c r="K4896" s="2" t="s">
        <v>3019</v>
      </c>
      <c r="L4896" t="s">
        <v>25</v>
      </c>
      <c r="M4896" s="10" t="s">
        <v>26</v>
      </c>
      <c r="N4896" t="s">
        <v>26</v>
      </c>
      <c r="O4896" s="10" t="s">
        <v>26</v>
      </c>
      <c r="P4896" s="8" t="s">
        <v>26</v>
      </c>
      <c r="Q4896" s="8">
        <f>(3359412*100)/3462762</f>
        <v>97.015388294084318</v>
      </c>
    </row>
    <row r="4897" spans="1:17" x14ac:dyDescent="0.2">
      <c r="A4897">
        <f>YEAR(D4897)</f>
        <v>2020</v>
      </c>
      <c r="B4897" t="s">
        <v>26</v>
      </c>
      <c r="C4897" s="2" t="s">
        <v>3020</v>
      </c>
      <c r="D4897" s="1">
        <v>43990</v>
      </c>
      <c r="E4897">
        <f>MONTH(D4897)</f>
        <v>6</v>
      </c>
      <c r="F4897" s="2" t="s">
        <v>2098</v>
      </c>
      <c r="G4897" t="s">
        <v>219</v>
      </c>
      <c r="H4897" t="s">
        <v>220</v>
      </c>
      <c r="I4897" t="s">
        <v>22</v>
      </c>
      <c r="J4897" s="2" t="s">
        <v>42</v>
      </c>
      <c r="K4897" s="2" t="s">
        <v>3019</v>
      </c>
      <c r="L4897" t="s">
        <v>25</v>
      </c>
      <c r="M4897" s="10" t="s">
        <v>26</v>
      </c>
      <c r="N4897" t="s">
        <v>26</v>
      </c>
      <c r="O4897" s="10" t="s">
        <v>26</v>
      </c>
      <c r="P4897" s="8" t="s">
        <v>26</v>
      </c>
      <c r="Q4897" s="8">
        <f>(3359412*100)/3462762</f>
        <v>97.015388294084318</v>
      </c>
    </row>
    <row r="4898" spans="1:17" x14ac:dyDescent="0.2">
      <c r="A4898">
        <f>YEAR(D4898)</f>
        <v>2020</v>
      </c>
      <c r="B4898" t="s">
        <v>26</v>
      </c>
      <c r="C4898" s="2" t="s">
        <v>3020</v>
      </c>
      <c r="D4898" s="1">
        <v>43990</v>
      </c>
      <c r="E4898">
        <f>MONTH(D4898)</f>
        <v>6</v>
      </c>
      <c r="F4898" s="2" t="s">
        <v>2098</v>
      </c>
      <c r="G4898" t="s">
        <v>219</v>
      </c>
      <c r="H4898" t="s">
        <v>220</v>
      </c>
      <c r="I4898" t="s">
        <v>22</v>
      </c>
      <c r="J4898" s="2" t="s">
        <v>42</v>
      </c>
      <c r="K4898" s="2" t="s">
        <v>3019</v>
      </c>
      <c r="L4898" t="s">
        <v>25</v>
      </c>
      <c r="M4898" s="10" t="s">
        <v>26</v>
      </c>
      <c r="N4898" t="s">
        <v>26</v>
      </c>
      <c r="O4898" s="10" t="s">
        <v>26</v>
      </c>
      <c r="P4898" s="8" t="s">
        <v>26</v>
      </c>
      <c r="Q4898" s="8">
        <f>(3359412*100)/3462762</f>
        <v>97.015388294084318</v>
      </c>
    </row>
    <row r="4899" spans="1:17" x14ac:dyDescent="0.2">
      <c r="A4899">
        <f>YEAR(D4899)</f>
        <v>2020</v>
      </c>
      <c r="B4899" t="s">
        <v>26</v>
      </c>
      <c r="C4899" s="2" t="s">
        <v>3020</v>
      </c>
      <c r="D4899" s="1">
        <v>43990</v>
      </c>
      <c r="E4899">
        <f>MONTH(D4899)</f>
        <v>6</v>
      </c>
      <c r="F4899" s="2" t="s">
        <v>2098</v>
      </c>
      <c r="G4899" t="s">
        <v>219</v>
      </c>
      <c r="H4899" t="s">
        <v>220</v>
      </c>
      <c r="I4899" t="s">
        <v>22</v>
      </c>
      <c r="J4899" s="2" t="s">
        <v>42</v>
      </c>
      <c r="K4899" s="2" t="s">
        <v>3019</v>
      </c>
      <c r="L4899" t="s">
        <v>25</v>
      </c>
      <c r="M4899" s="10" t="s">
        <v>26</v>
      </c>
      <c r="N4899" t="s">
        <v>26</v>
      </c>
      <c r="O4899" s="10" t="s">
        <v>26</v>
      </c>
      <c r="P4899" s="8" t="s">
        <v>26</v>
      </c>
      <c r="Q4899" s="8">
        <f>(3359412*100)/3462762</f>
        <v>97.015388294084318</v>
      </c>
    </row>
    <row r="4900" spans="1:17" x14ac:dyDescent="0.2">
      <c r="A4900">
        <f>YEAR(D4900)</f>
        <v>2020</v>
      </c>
      <c r="B4900" t="s">
        <v>26</v>
      </c>
      <c r="C4900" s="2" t="s">
        <v>3020</v>
      </c>
      <c r="D4900" s="1">
        <v>43990</v>
      </c>
      <c r="E4900">
        <f>MONTH(D4900)</f>
        <v>6</v>
      </c>
      <c r="F4900" s="2" t="s">
        <v>2098</v>
      </c>
      <c r="G4900" t="s">
        <v>219</v>
      </c>
      <c r="H4900" t="s">
        <v>220</v>
      </c>
      <c r="I4900" t="s">
        <v>22</v>
      </c>
      <c r="J4900" s="2" t="s">
        <v>42</v>
      </c>
      <c r="K4900" s="2" t="s">
        <v>3019</v>
      </c>
      <c r="L4900" t="s">
        <v>25</v>
      </c>
      <c r="M4900" s="10" t="s">
        <v>26</v>
      </c>
      <c r="N4900" t="s">
        <v>26</v>
      </c>
      <c r="O4900" s="10" t="s">
        <v>26</v>
      </c>
      <c r="P4900" s="8" t="s">
        <v>26</v>
      </c>
      <c r="Q4900" s="8">
        <f>(3359412*100)/3462762</f>
        <v>97.015388294084318</v>
      </c>
    </row>
    <row r="4901" spans="1:17" x14ac:dyDescent="0.2">
      <c r="A4901">
        <f>YEAR(D4901)</f>
        <v>2020</v>
      </c>
      <c r="B4901" t="s">
        <v>26</v>
      </c>
      <c r="C4901" s="2" t="s">
        <v>3020</v>
      </c>
      <c r="D4901" s="1">
        <v>43990</v>
      </c>
      <c r="E4901">
        <f>MONTH(D4901)</f>
        <v>6</v>
      </c>
      <c r="F4901" s="2" t="s">
        <v>2098</v>
      </c>
      <c r="G4901" t="s">
        <v>230</v>
      </c>
      <c r="H4901" t="s">
        <v>259</v>
      </c>
      <c r="I4901" t="s">
        <v>22</v>
      </c>
      <c r="J4901" s="2" t="s">
        <v>42</v>
      </c>
      <c r="K4901" s="2" t="s">
        <v>3019</v>
      </c>
      <c r="L4901" t="s">
        <v>25</v>
      </c>
      <c r="M4901" s="8">
        <v>4.2283333330000001</v>
      </c>
      <c r="N4901" t="s">
        <v>26</v>
      </c>
      <c r="O4901" s="8">
        <v>4.2283333330000001</v>
      </c>
      <c r="P4901" s="8">
        <f>EXP(-1.363+3.366*LOG(O4901,10))</f>
        <v>2.1057792396965977</v>
      </c>
      <c r="Q4901" s="8">
        <f>(3359412*100)/3462762</f>
        <v>97.015388294084318</v>
      </c>
    </row>
    <row r="4902" spans="1:17" x14ac:dyDescent="0.2">
      <c r="A4902">
        <f>YEAR(D4902)</f>
        <v>2020</v>
      </c>
      <c r="B4902" t="s">
        <v>26</v>
      </c>
      <c r="C4902" s="2" t="s">
        <v>3020</v>
      </c>
      <c r="D4902" s="1">
        <v>43990</v>
      </c>
      <c r="E4902">
        <f>MONTH(D4902)</f>
        <v>6</v>
      </c>
      <c r="F4902" s="2" t="s">
        <v>2098</v>
      </c>
      <c r="G4902" t="s">
        <v>230</v>
      </c>
      <c r="H4902" t="s">
        <v>268</v>
      </c>
      <c r="I4902" t="s">
        <v>22</v>
      </c>
      <c r="J4902" s="2" t="s">
        <v>42</v>
      </c>
      <c r="K4902" s="2" t="s">
        <v>3019</v>
      </c>
      <c r="L4902" t="s">
        <v>25</v>
      </c>
      <c r="M4902" s="8">
        <v>3.5356666670000001</v>
      </c>
      <c r="N4902" t="s">
        <v>26</v>
      </c>
      <c r="O4902" s="8">
        <v>3.5356666670000001</v>
      </c>
      <c r="P4902" s="8">
        <f>EXP(-1.363+3.366*LOG(O4902,10))</f>
        <v>1.6211802664427075</v>
      </c>
      <c r="Q4902" s="8">
        <f>(3359412*100)/3462762</f>
        <v>97.015388294084318</v>
      </c>
    </row>
    <row r="4903" spans="1:17" x14ac:dyDescent="0.2">
      <c r="A4903">
        <f>YEAR(D4903)</f>
        <v>2020</v>
      </c>
      <c r="B4903" t="s">
        <v>26</v>
      </c>
      <c r="C4903" s="2" t="s">
        <v>3020</v>
      </c>
      <c r="D4903" s="1">
        <v>43990</v>
      </c>
      <c r="E4903">
        <f>MONTH(D4903)</f>
        <v>6</v>
      </c>
      <c r="F4903" s="2" t="s">
        <v>2098</v>
      </c>
      <c r="G4903" t="s">
        <v>230</v>
      </c>
      <c r="H4903" t="s">
        <v>268</v>
      </c>
      <c r="I4903" t="s">
        <v>22</v>
      </c>
      <c r="J4903" s="2" t="s">
        <v>42</v>
      </c>
      <c r="K4903" s="2" t="s">
        <v>3019</v>
      </c>
      <c r="L4903" t="s">
        <v>25</v>
      </c>
      <c r="M4903" s="8">
        <v>3.5356666670000001</v>
      </c>
      <c r="N4903" t="s">
        <v>26</v>
      </c>
      <c r="O4903" s="8">
        <v>3.5356666670000001</v>
      </c>
      <c r="P4903" s="8">
        <f>EXP(-1.363+3.366*LOG(O4903,10))</f>
        <v>1.6211802664427075</v>
      </c>
      <c r="Q4903" s="8">
        <f>(3359412*100)/3462762</f>
        <v>97.015388294084318</v>
      </c>
    </row>
    <row r="4904" spans="1:17" x14ac:dyDescent="0.2">
      <c r="A4904">
        <f>YEAR(D4904)</f>
        <v>2020</v>
      </c>
      <c r="B4904" t="s">
        <v>26</v>
      </c>
      <c r="C4904" s="2" t="s">
        <v>3020</v>
      </c>
      <c r="D4904" s="1">
        <v>43990</v>
      </c>
      <c r="E4904">
        <f>MONTH(D4904)</f>
        <v>6</v>
      </c>
      <c r="F4904" s="2" t="s">
        <v>2098</v>
      </c>
      <c r="G4904" t="s">
        <v>230</v>
      </c>
      <c r="H4904" t="s">
        <v>268</v>
      </c>
      <c r="I4904" t="s">
        <v>22</v>
      </c>
      <c r="J4904" s="2" t="s">
        <v>42</v>
      </c>
      <c r="K4904" s="2" t="s">
        <v>3019</v>
      </c>
      <c r="L4904" t="s">
        <v>25</v>
      </c>
      <c r="M4904" s="8">
        <v>3.5356666670000001</v>
      </c>
      <c r="N4904" t="s">
        <v>26</v>
      </c>
      <c r="O4904" s="8">
        <v>3.5356666670000001</v>
      </c>
      <c r="P4904" s="8">
        <f>EXP(-1.363+3.366*LOG(O4904,10))</f>
        <v>1.6211802664427075</v>
      </c>
      <c r="Q4904" s="8">
        <f>(3359412*100)/3462762</f>
        <v>97.015388294084318</v>
      </c>
    </row>
    <row r="4905" spans="1:17" x14ac:dyDescent="0.2">
      <c r="A4905">
        <f>YEAR(D4905)</f>
        <v>2020</v>
      </c>
      <c r="B4905" t="s">
        <v>26</v>
      </c>
      <c r="C4905" s="2" t="s">
        <v>3021</v>
      </c>
      <c r="D4905" s="1">
        <v>43990</v>
      </c>
      <c r="E4905">
        <f>MONTH(D4905)</f>
        <v>6</v>
      </c>
      <c r="F4905" s="2" t="s">
        <v>2098</v>
      </c>
      <c r="G4905" t="s">
        <v>219</v>
      </c>
      <c r="H4905" t="s">
        <v>220</v>
      </c>
      <c r="I4905" t="s">
        <v>22</v>
      </c>
      <c r="J4905" s="2" t="s">
        <v>42</v>
      </c>
      <c r="K4905" s="2" t="s">
        <v>3019</v>
      </c>
      <c r="L4905" t="s">
        <v>25</v>
      </c>
      <c r="M4905" s="10" t="s">
        <v>26</v>
      </c>
      <c r="N4905" t="s">
        <v>26</v>
      </c>
      <c r="O4905" s="10" t="s">
        <v>26</v>
      </c>
      <c r="P4905" s="8" t="s">
        <v>26</v>
      </c>
      <c r="Q4905" s="8">
        <f>(1845879*100)/1946364</f>
        <v>94.837296620775973</v>
      </c>
    </row>
    <row r="4906" spans="1:17" x14ac:dyDescent="0.2">
      <c r="A4906">
        <f>YEAR(D4906)</f>
        <v>2020</v>
      </c>
      <c r="B4906" t="s">
        <v>26</v>
      </c>
      <c r="C4906" s="2" t="s">
        <v>3021</v>
      </c>
      <c r="D4906" s="1">
        <v>43990</v>
      </c>
      <c r="E4906">
        <f>MONTH(D4906)</f>
        <v>6</v>
      </c>
      <c r="F4906" s="2" t="s">
        <v>2098</v>
      </c>
      <c r="G4906" t="s">
        <v>219</v>
      </c>
      <c r="H4906" t="s">
        <v>220</v>
      </c>
      <c r="I4906" t="s">
        <v>22</v>
      </c>
      <c r="J4906" s="2" t="s">
        <v>42</v>
      </c>
      <c r="K4906" s="2" t="s">
        <v>3019</v>
      </c>
      <c r="L4906" t="s">
        <v>25</v>
      </c>
      <c r="M4906" s="10" t="s">
        <v>26</v>
      </c>
      <c r="N4906" t="s">
        <v>26</v>
      </c>
      <c r="O4906" s="10" t="s">
        <v>26</v>
      </c>
      <c r="P4906" s="8" t="s">
        <v>26</v>
      </c>
      <c r="Q4906" s="8">
        <f>(1845879*100)/1946364</f>
        <v>94.837296620775973</v>
      </c>
    </row>
    <row r="4907" spans="1:17" x14ac:dyDescent="0.2">
      <c r="A4907">
        <f>YEAR(D4907)</f>
        <v>2020</v>
      </c>
      <c r="B4907" t="s">
        <v>26</v>
      </c>
      <c r="C4907" s="2" t="s">
        <v>3021</v>
      </c>
      <c r="D4907" s="1">
        <v>43990</v>
      </c>
      <c r="E4907">
        <f>MONTH(D4907)</f>
        <v>6</v>
      </c>
      <c r="F4907" s="2" t="s">
        <v>2098</v>
      </c>
      <c r="G4907" t="s">
        <v>1520</v>
      </c>
      <c r="H4907" t="s">
        <v>1521</v>
      </c>
      <c r="I4907" t="s">
        <v>22</v>
      </c>
      <c r="J4907" s="2" t="s">
        <v>42</v>
      </c>
      <c r="K4907" s="2" t="s">
        <v>3019</v>
      </c>
      <c r="L4907" t="s">
        <v>25</v>
      </c>
      <c r="M4907" s="8">
        <v>2.952</v>
      </c>
      <c r="N4907" t="s">
        <v>26</v>
      </c>
      <c r="O4907" s="8">
        <v>2.952</v>
      </c>
      <c r="P4907" s="8">
        <f>EXP(-1.363+3.366*LOG(O4907,10))</f>
        <v>1.2453438103764427</v>
      </c>
      <c r="Q4907" s="8">
        <f>(1845879*100)/1946364</f>
        <v>94.837296620775973</v>
      </c>
    </row>
    <row r="4908" spans="1:17" x14ac:dyDescent="0.2">
      <c r="A4908">
        <f>YEAR(D4908)</f>
        <v>2020</v>
      </c>
      <c r="B4908" t="s">
        <v>26</v>
      </c>
      <c r="C4908" s="2" t="s">
        <v>3021</v>
      </c>
      <c r="D4908" s="1">
        <v>43990</v>
      </c>
      <c r="E4908">
        <f>MONTH(D4908)</f>
        <v>6</v>
      </c>
      <c r="F4908" s="2" t="s">
        <v>2098</v>
      </c>
      <c r="G4908" t="s">
        <v>230</v>
      </c>
      <c r="H4908" t="s">
        <v>268</v>
      </c>
      <c r="I4908" t="s">
        <v>22</v>
      </c>
      <c r="J4908" s="2" t="s">
        <v>42</v>
      </c>
      <c r="K4908" s="2" t="s">
        <v>3019</v>
      </c>
      <c r="L4908" t="s">
        <v>25</v>
      </c>
      <c r="M4908" s="8">
        <v>3.5356666670000001</v>
      </c>
      <c r="N4908" t="s">
        <v>26</v>
      </c>
      <c r="O4908" s="8">
        <v>3.5356666670000001</v>
      </c>
      <c r="P4908" s="8">
        <f>EXP(-1.363+3.366*LOG(O4908,10))</f>
        <v>1.6211802664427075</v>
      </c>
      <c r="Q4908" s="8">
        <f>(1845879*100)/1946364</f>
        <v>94.837296620775973</v>
      </c>
    </row>
    <row r="4909" spans="1:17" x14ac:dyDescent="0.2">
      <c r="A4909">
        <f>YEAR(D4909)</f>
        <v>2020</v>
      </c>
      <c r="B4909" t="s">
        <v>26</v>
      </c>
      <c r="C4909" s="2" t="s">
        <v>3021</v>
      </c>
      <c r="D4909" s="1">
        <v>43990</v>
      </c>
      <c r="E4909">
        <f>MONTH(D4909)</f>
        <v>6</v>
      </c>
      <c r="F4909" s="2" t="s">
        <v>2098</v>
      </c>
      <c r="G4909" t="s">
        <v>230</v>
      </c>
      <c r="H4909" t="s">
        <v>259</v>
      </c>
      <c r="I4909" t="s">
        <v>22</v>
      </c>
      <c r="J4909" s="2" t="s">
        <v>42</v>
      </c>
      <c r="K4909" s="2" t="s">
        <v>3019</v>
      </c>
      <c r="L4909" t="s">
        <v>25</v>
      </c>
      <c r="M4909" s="8">
        <v>4.2283333330000001</v>
      </c>
      <c r="N4909" t="s">
        <v>26</v>
      </c>
      <c r="O4909" s="8">
        <v>4.2283333330000001</v>
      </c>
      <c r="P4909" s="8">
        <f>EXP(-1.363+3.366*LOG(O4909,10))</f>
        <v>2.1057792396965977</v>
      </c>
      <c r="Q4909" s="8">
        <f>(1845879*100)/1946364</f>
        <v>94.837296620775973</v>
      </c>
    </row>
    <row r="4910" spans="1:17" x14ac:dyDescent="0.2">
      <c r="A4910">
        <f>YEAR(D4910)</f>
        <v>2020</v>
      </c>
      <c r="B4910" t="s">
        <v>26</v>
      </c>
      <c r="C4910" s="2" t="s">
        <v>3021</v>
      </c>
      <c r="D4910" s="1">
        <v>43990</v>
      </c>
      <c r="E4910">
        <f>MONTH(D4910)</f>
        <v>6</v>
      </c>
      <c r="F4910" s="2" t="s">
        <v>2098</v>
      </c>
      <c r="G4910" t="s">
        <v>230</v>
      </c>
      <c r="H4910" t="s">
        <v>268</v>
      </c>
      <c r="I4910" t="s">
        <v>22</v>
      </c>
      <c r="J4910" s="2" t="s">
        <v>42</v>
      </c>
      <c r="K4910" s="2" t="s">
        <v>3019</v>
      </c>
      <c r="L4910" t="s">
        <v>25</v>
      </c>
      <c r="M4910" s="8">
        <v>3.5356666670000001</v>
      </c>
      <c r="N4910" t="s">
        <v>26</v>
      </c>
      <c r="O4910" s="8">
        <v>3.5356666670000001</v>
      </c>
      <c r="P4910" s="8">
        <f>EXP(-1.363+3.366*LOG(O4910,10))</f>
        <v>1.6211802664427075</v>
      </c>
      <c r="Q4910" s="8">
        <f>(1845879*100)/1946364</f>
        <v>94.837296620775973</v>
      </c>
    </row>
    <row r="4911" spans="1:17" x14ac:dyDescent="0.2">
      <c r="A4911">
        <f>YEAR(D4911)</f>
        <v>2020</v>
      </c>
      <c r="B4911" t="s">
        <v>26</v>
      </c>
      <c r="C4911" s="2" t="s">
        <v>3020</v>
      </c>
      <c r="D4911" s="1">
        <v>43990</v>
      </c>
      <c r="E4911">
        <f>MONTH(D4911)</f>
        <v>6</v>
      </c>
      <c r="F4911" s="2" t="s">
        <v>2098</v>
      </c>
      <c r="G4911" t="s">
        <v>230</v>
      </c>
      <c r="H4911" t="s">
        <v>268</v>
      </c>
      <c r="I4911" t="s">
        <v>22</v>
      </c>
      <c r="J4911" s="2" t="s">
        <v>42</v>
      </c>
      <c r="K4911" s="2" t="s">
        <v>3019</v>
      </c>
      <c r="L4911" t="s">
        <v>25</v>
      </c>
      <c r="M4911" s="8">
        <v>3.5356666670000001</v>
      </c>
      <c r="N4911" t="s">
        <v>26</v>
      </c>
      <c r="O4911" s="8">
        <v>3.5356666670000001</v>
      </c>
      <c r="P4911" s="8">
        <f>EXP(-1.363+3.366*LOG(O4911,10))</f>
        <v>1.6211802664427075</v>
      </c>
      <c r="Q4911" s="8">
        <f>(3359412*100)/3462762</f>
        <v>97.015388294084318</v>
      </c>
    </row>
    <row r="4912" spans="1:17" x14ac:dyDescent="0.2">
      <c r="A4912">
        <f>YEAR(D4912)</f>
        <v>2020</v>
      </c>
      <c r="B4912" t="s">
        <v>26</v>
      </c>
      <c r="C4912" s="2" t="s">
        <v>3020</v>
      </c>
      <c r="D4912" s="1">
        <v>43990</v>
      </c>
      <c r="E4912">
        <f>MONTH(D4912)</f>
        <v>6</v>
      </c>
      <c r="F4912" s="2" t="s">
        <v>2098</v>
      </c>
      <c r="G4912" t="s">
        <v>230</v>
      </c>
      <c r="H4912" t="s">
        <v>268</v>
      </c>
      <c r="I4912" t="s">
        <v>22</v>
      </c>
      <c r="J4912" s="2" t="s">
        <v>42</v>
      </c>
      <c r="K4912" s="2" t="s">
        <v>3019</v>
      </c>
      <c r="L4912" t="s">
        <v>25</v>
      </c>
      <c r="M4912" s="8">
        <v>3.5356666670000001</v>
      </c>
      <c r="N4912" t="s">
        <v>26</v>
      </c>
      <c r="O4912" s="8">
        <v>3.5356666670000001</v>
      </c>
      <c r="P4912" s="8">
        <f>EXP(-1.363+3.366*LOG(O4912,10))</f>
        <v>1.6211802664427075</v>
      </c>
      <c r="Q4912" s="8">
        <f>(3359412*100)/3462762</f>
        <v>97.015388294084318</v>
      </c>
    </row>
    <row r="4913" spans="1:17" x14ac:dyDescent="0.2">
      <c r="A4913">
        <f>YEAR(D4913)</f>
        <v>2020</v>
      </c>
      <c r="B4913" t="s">
        <v>26</v>
      </c>
      <c r="C4913" s="2" t="s">
        <v>3020</v>
      </c>
      <c r="D4913" s="1">
        <v>43990</v>
      </c>
      <c r="E4913">
        <f>MONTH(D4913)</f>
        <v>6</v>
      </c>
      <c r="F4913" s="2" t="s">
        <v>2098</v>
      </c>
      <c r="G4913" t="s">
        <v>230</v>
      </c>
      <c r="H4913" t="s">
        <v>268</v>
      </c>
      <c r="I4913" t="s">
        <v>22</v>
      </c>
      <c r="J4913" s="2" t="s">
        <v>42</v>
      </c>
      <c r="K4913" s="2" t="s">
        <v>3019</v>
      </c>
      <c r="L4913" t="s">
        <v>25</v>
      </c>
      <c r="M4913" s="8">
        <v>3.5356666670000001</v>
      </c>
      <c r="N4913" t="s">
        <v>26</v>
      </c>
      <c r="O4913" s="8">
        <v>3.5356666670000001</v>
      </c>
      <c r="P4913" s="8">
        <f>EXP(-1.363+3.366*LOG(O4913,10))</f>
        <v>1.6211802664427075</v>
      </c>
      <c r="Q4913" s="8">
        <f>(3359412*100)/3462762</f>
        <v>97.015388294084318</v>
      </c>
    </row>
    <row r="4914" spans="1:17" x14ac:dyDescent="0.2">
      <c r="A4914">
        <f>YEAR(D4914)</f>
        <v>2020</v>
      </c>
      <c r="B4914" t="s">
        <v>26</v>
      </c>
      <c r="C4914" s="2" t="s">
        <v>3020</v>
      </c>
      <c r="D4914" s="1">
        <v>43990</v>
      </c>
      <c r="E4914">
        <f>MONTH(D4914)</f>
        <v>6</v>
      </c>
      <c r="F4914" s="2" t="s">
        <v>2098</v>
      </c>
      <c r="G4914" t="s">
        <v>1735</v>
      </c>
      <c r="H4914" t="s">
        <v>2149</v>
      </c>
      <c r="I4914" t="s">
        <v>22</v>
      </c>
      <c r="J4914" s="2" t="s">
        <v>42</v>
      </c>
      <c r="K4914" s="2" t="s">
        <v>3019</v>
      </c>
      <c r="L4914" t="s">
        <v>25</v>
      </c>
      <c r="M4914" s="8">
        <v>2.9416666669999998</v>
      </c>
      <c r="N4914" t="s">
        <v>26</v>
      </c>
      <c r="O4914" s="8">
        <v>2.9416666669999998</v>
      </c>
      <c r="P4914" s="8">
        <f>EXP(-1.363+3.366*LOG(O4914,10))</f>
        <v>1.2389764364980187</v>
      </c>
      <c r="Q4914" s="8">
        <f>(3359412*100)/3462762</f>
        <v>97.015388294084318</v>
      </c>
    </row>
    <row r="4915" spans="1:17" x14ac:dyDescent="0.2">
      <c r="A4915">
        <f>YEAR(D4915)</f>
        <v>2020</v>
      </c>
      <c r="B4915" t="s">
        <v>26</v>
      </c>
      <c r="C4915" s="2" t="s">
        <v>3020</v>
      </c>
      <c r="D4915" s="1">
        <v>43990</v>
      </c>
      <c r="E4915">
        <f>MONTH(D4915)</f>
        <v>6</v>
      </c>
      <c r="F4915" s="2" t="s">
        <v>2098</v>
      </c>
      <c r="G4915" t="s">
        <v>2206</v>
      </c>
      <c r="H4915" t="s">
        <v>2207</v>
      </c>
      <c r="I4915" t="s">
        <v>36</v>
      </c>
      <c r="J4915" s="2" t="s">
        <v>42</v>
      </c>
      <c r="K4915" s="2" t="s">
        <v>3019</v>
      </c>
      <c r="L4915" t="s">
        <v>25</v>
      </c>
      <c r="M4915" s="8">
        <v>3.6386666669999999</v>
      </c>
      <c r="N4915" t="s">
        <v>26</v>
      </c>
      <c r="O4915" s="8">
        <v>3.6386666669999999</v>
      </c>
      <c r="P4915" s="8">
        <f>EXP(-1.363+3.366*LOG(O4915,10))</f>
        <v>1.6906814772344552</v>
      </c>
      <c r="Q4915" s="8">
        <f>(3359412*100)/3462762</f>
        <v>97.015388294084318</v>
      </c>
    </row>
    <row r="4916" spans="1:17" x14ac:dyDescent="0.2">
      <c r="A4916">
        <f>YEAR(D4916)</f>
        <v>2020</v>
      </c>
      <c r="B4916" t="s">
        <v>26</v>
      </c>
      <c r="C4916" s="2" t="s">
        <v>3020</v>
      </c>
      <c r="D4916" s="1">
        <v>43990</v>
      </c>
      <c r="E4916">
        <f>MONTH(D4916)</f>
        <v>6</v>
      </c>
      <c r="F4916" s="2" t="s">
        <v>2098</v>
      </c>
      <c r="G4916" t="s">
        <v>352</v>
      </c>
      <c r="H4916" t="s">
        <v>1459</v>
      </c>
      <c r="I4916" t="s">
        <v>22</v>
      </c>
      <c r="J4916" s="2" t="s">
        <v>42</v>
      </c>
      <c r="K4916" s="2" t="s">
        <v>3019</v>
      </c>
      <c r="L4916" t="s">
        <v>25</v>
      </c>
      <c r="M4916" s="8">
        <v>1.1910000000000001</v>
      </c>
      <c r="N4916" t="s">
        <v>26</v>
      </c>
      <c r="O4916" s="8">
        <v>1.1910000000000001</v>
      </c>
      <c r="P4916" s="8">
        <f>EXP(-1.363+3.366*LOG(O4916,10))</f>
        <v>0.33039016297752993</v>
      </c>
      <c r="Q4916" s="8">
        <f>(3359412*100)/3462762</f>
        <v>97.015388294084318</v>
      </c>
    </row>
    <row r="4917" spans="1:17" x14ac:dyDescent="0.2">
      <c r="A4917">
        <f>YEAR(D4917)</f>
        <v>2020</v>
      </c>
      <c r="B4917" t="s">
        <v>26</v>
      </c>
      <c r="C4917" s="2" t="s">
        <v>3020</v>
      </c>
      <c r="D4917" s="1">
        <v>43990</v>
      </c>
      <c r="E4917">
        <f>MONTH(D4917)</f>
        <v>6</v>
      </c>
      <c r="F4917" s="2" t="s">
        <v>2098</v>
      </c>
      <c r="G4917" t="s">
        <v>352</v>
      </c>
      <c r="H4917" t="s">
        <v>1459</v>
      </c>
      <c r="I4917" t="s">
        <v>22</v>
      </c>
      <c r="J4917" s="2" t="s">
        <v>42</v>
      </c>
      <c r="K4917" s="2" t="s">
        <v>3019</v>
      </c>
      <c r="L4917" t="s">
        <v>25</v>
      </c>
      <c r="M4917" s="8">
        <v>1.1910000000000001</v>
      </c>
      <c r="N4917" t="s">
        <v>26</v>
      </c>
      <c r="O4917" s="8">
        <v>1.1910000000000001</v>
      </c>
      <c r="P4917" s="8">
        <f>EXP(-1.363+3.366*LOG(O4917,10))</f>
        <v>0.33039016297752993</v>
      </c>
      <c r="Q4917" s="8">
        <f>(3359412*100)/3462762</f>
        <v>97.015388294084318</v>
      </c>
    </row>
    <row r="4918" spans="1:17" x14ac:dyDescent="0.2">
      <c r="A4918">
        <f>YEAR(D4918)</f>
        <v>2020</v>
      </c>
      <c r="B4918" t="s">
        <v>26</v>
      </c>
      <c r="C4918" s="2" t="s">
        <v>3020</v>
      </c>
      <c r="D4918" s="1">
        <v>43990</v>
      </c>
      <c r="E4918">
        <f>MONTH(D4918)</f>
        <v>6</v>
      </c>
      <c r="F4918" s="2" t="s">
        <v>2098</v>
      </c>
      <c r="G4918" t="s">
        <v>352</v>
      </c>
      <c r="H4918" t="s">
        <v>1459</v>
      </c>
      <c r="I4918" t="s">
        <v>22</v>
      </c>
      <c r="J4918" s="2" t="s">
        <v>42</v>
      </c>
      <c r="K4918" s="2" t="s">
        <v>3019</v>
      </c>
      <c r="L4918" t="s">
        <v>25</v>
      </c>
      <c r="M4918" s="8">
        <v>1.1910000000000001</v>
      </c>
      <c r="N4918" t="s">
        <v>26</v>
      </c>
      <c r="O4918" s="8">
        <v>1.1910000000000001</v>
      </c>
      <c r="P4918" s="8">
        <f>EXP(-1.363+3.366*LOG(O4918,10))</f>
        <v>0.33039016297752993</v>
      </c>
      <c r="Q4918" s="8">
        <f>(3359412*100)/3462762</f>
        <v>97.015388294084318</v>
      </c>
    </row>
    <row r="4919" spans="1:17" x14ac:dyDescent="0.2">
      <c r="A4919">
        <f>YEAR(D4919)</f>
        <v>2020</v>
      </c>
      <c r="B4919" t="s">
        <v>26</v>
      </c>
      <c r="C4919" s="2" t="s">
        <v>3020</v>
      </c>
      <c r="D4919" s="1">
        <v>43990</v>
      </c>
      <c r="E4919">
        <f>MONTH(D4919)</f>
        <v>6</v>
      </c>
      <c r="F4919" s="2" t="s">
        <v>2098</v>
      </c>
      <c r="G4919" t="s">
        <v>352</v>
      </c>
      <c r="H4919" t="s">
        <v>1459</v>
      </c>
      <c r="I4919" t="s">
        <v>22</v>
      </c>
      <c r="J4919" s="2" t="s">
        <v>42</v>
      </c>
      <c r="K4919" s="2" t="s">
        <v>3019</v>
      </c>
      <c r="L4919" t="s">
        <v>25</v>
      </c>
      <c r="M4919" s="8">
        <v>1.1910000000000001</v>
      </c>
      <c r="N4919" t="s">
        <v>26</v>
      </c>
      <c r="O4919" s="8">
        <v>1.1910000000000001</v>
      </c>
      <c r="P4919" s="8">
        <f>EXP(-1.363+3.366*LOG(O4919,10))</f>
        <v>0.33039016297752993</v>
      </c>
      <c r="Q4919" s="8">
        <f>(3359412*100)/3462762</f>
        <v>97.015388294084318</v>
      </c>
    </row>
    <row r="4920" spans="1:17" x14ac:dyDescent="0.2">
      <c r="A4920">
        <f>YEAR(D4920)</f>
        <v>2020</v>
      </c>
      <c r="B4920" t="s">
        <v>26</v>
      </c>
      <c r="C4920" s="2" t="s">
        <v>3020</v>
      </c>
      <c r="D4920" s="1">
        <v>43990</v>
      </c>
      <c r="E4920">
        <f>MONTH(D4920)</f>
        <v>6</v>
      </c>
      <c r="F4920" s="2" t="s">
        <v>2098</v>
      </c>
      <c r="G4920" t="s">
        <v>352</v>
      </c>
      <c r="H4920" t="s">
        <v>1459</v>
      </c>
      <c r="I4920" t="s">
        <v>22</v>
      </c>
      <c r="J4920" s="2" t="s">
        <v>42</v>
      </c>
      <c r="K4920" s="2" t="s">
        <v>3019</v>
      </c>
      <c r="L4920" t="s">
        <v>25</v>
      </c>
      <c r="M4920" s="8">
        <v>1.1910000000000001</v>
      </c>
      <c r="N4920" t="s">
        <v>26</v>
      </c>
      <c r="O4920" s="8">
        <v>1.1910000000000001</v>
      </c>
      <c r="P4920" s="8">
        <f>EXP(-1.363+3.366*LOG(O4920,10))</f>
        <v>0.33039016297752993</v>
      </c>
      <c r="Q4920" s="8">
        <f>(3359412*100)/3462762</f>
        <v>97.015388294084318</v>
      </c>
    </row>
    <row r="4921" spans="1:17" x14ac:dyDescent="0.2">
      <c r="A4921">
        <f>YEAR(D4921)</f>
        <v>2020</v>
      </c>
      <c r="B4921" t="s">
        <v>26</v>
      </c>
      <c r="C4921" s="2" t="s">
        <v>3020</v>
      </c>
      <c r="D4921" s="1">
        <v>43990</v>
      </c>
      <c r="E4921">
        <f>MONTH(D4921)</f>
        <v>6</v>
      </c>
      <c r="F4921" s="2" t="s">
        <v>2098</v>
      </c>
      <c r="G4921" t="s">
        <v>352</v>
      </c>
      <c r="H4921" t="s">
        <v>1459</v>
      </c>
      <c r="I4921" t="s">
        <v>22</v>
      </c>
      <c r="J4921" s="2" t="s">
        <v>42</v>
      </c>
      <c r="K4921" s="2" t="s">
        <v>3019</v>
      </c>
      <c r="L4921" t="s">
        <v>25</v>
      </c>
      <c r="M4921" s="8">
        <v>1.1910000000000001</v>
      </c>
      <c r="N4921" t="s">
        <v>26</v>
      </c>
      <c r="O4921" s="8">
        <v>1.1910000000000001</v>
      </c>
      <c r="P4921" s="8">
        <f>EXP(-1.363+3.366*LOG(O4921,10))</f>
        <v>0.33039016297752993</v>
      </c>
      <c r="Q4921" s="8">
        <f>(3359412*100)/3462762</f>
        <v>97.015388294084318</v>
      </c>
    </row>
    <row r="4922" spans="1:17" x14ac:dyDescent="0.2">
      <c r="A4922">
        <f>YEAR(D4922)</f>
        <v>2020</v>
      </c>
      <c r="B4922" t="s">
        <v>26</v>
      </c>
      <c r="C4922" s="2" t="s">
        <v>3020</v>
      </c>
      <c r="D4922" s="1">
        <v>43990</v>
      </c>
      <c r="E4922">
        <f>MONTH(D4922)</f>
        <v>6</v>
      </c>
      <c r="F4922" s="2" t="s">
        <v>2098</v>
      </c>
      <c r="G4922" t="s">
        <v>352</v>
      </c>
      <c r="H4922" t="s">
        <v>1459</v>
      </c>
      <c r="I4922" t="s">
        <v>22</v>
      </c>
      <c r="J4922" s="2" t="s">
        <v>42</v>
      </c>
      <c r="K4922" s="2" t="s">
        <v>3019</v>
      </c>
      <c r="L4922" t="s">
        <v>25</v>
      </c>
      <c r="M4922" s="8">
        <v>1.1910000000000001</v>
      </c>
      <c r="N4922" t="s">
        <v>26</v>
      </c>
      <c r="O4922" s="8">
        <v>1.1910000000000001</v>
      </c>
      <c r="P4922" s="8">
        <f>EXP(-1.363+3.366*LOG(O4922,10))</f>
        <v>0.33039016297752993</v>
      </c>
      <c r="Q4922" s="8">
        <f>(3359412*100)/3462762</f>
        <v>97.015388294084318</v>
      </c>
    </row>
    <row r="4923" spans="1:17" x14ac:dyDescent="0.2">
      <c r="A4923">
        <f>YEAR(D4923)</f>
        <v>2020</v>
      </c>
      <c r="B4923" t="s">
        <v>26</v>
      </c>
      <c r="C4923" s="2" t="s">
        <v>3020</v>
      </c>
      <c r="D4923" s="1">
        <v>43990</v>
      </c>
      <c r="E4923">
        <f>MONTH(D4923)</f>
        <v>6</v>
      </c>
      <c r="F4923" s="2" t="s">
        <v>2098</v>
      </c>
      <c r="G4923" t="s">
        <v>352</v>
      </c>
      <c r="H4923" t="s">
        <v>728</v>
      </c>
      <c r="I4923" t="s">
        <v>22</v>
      </c>
      <c r="J4923" s="2" t="s">
        <v>42</v>
      </c>
      <c r="K4923" s="2" t="s">
        <v>3019</v>
      </c>
      <c r="L4923" t="s">
        <v>187</v>
      </c>
      <c r="M4923" s="8">
        <v>1.8093333330000001</v>
      </c>
      <c r="N4923" t="s">
        <v>26</v>
      </c>
      <c r="O4923" s="8">
        <v>1.8093333330000001</v>
      </c>
      <c r="P4923" s="8">
        <f>EXP(-1.363+3.366*LOG(O4923,10))</f>
        <v>0.6088444603462565</v>
      </c>
      <c r="Q4923" s="8">
        <f>(3359412*100)/3462762</f>
        <v>97.015388294084318</v>
      </c>
    </row>
    <row r="4924" spans="1:17" x14ac:dyDescent="0.2">
      <c r="A4924">
        <f>YEAR(D4924)</f>
        <v>2020</v>
      </c>
      <c r="B4924" t="s">
        <v>26</v>
      </c>
      <c r="C4924" s="2" t="s">
        <v>3020</v>
      </c>
      <c r="D4924" s="1">
        <v>43990</v>
      </c>
      <c r="E4924">
        <f>MONTH(D4924)</f>
        <v>6</v>
      </c>
      <c r="F4924" s="2" t="s">
        <v>2098</v>
      </c>
      <c r="G4924" t="s">
        <v>352</v>
      </c>
      <c r="H4924" t="s">
        <v>728</v>
      </c>
      <c r="I4924" t="s">
        <v>22</v>
      </c>
      <c r="J4924" s="2" t="s">
        <v>42</v>
      </c>
      <c r="K4924" s="2" t="s">
        <v>3019</v>
      </c>
      <c r="L4924" t="s">
        <v>187</v>
      </c>
      <c r="M4924" s="8">
        <v>1.8093333330000001</v>
      </c>
      <c r="N4924" t="s">
        <v>26</v>
      </c>
      <c r="O4924" s="8">
        <v>1.8093333330000001</v>
      </c>
      <c r="P4924" s="8">
        <f>EXP(-1.363+3.366*LOG(O4924,10))</f>
        <v>0.6088444603462565</v>
      </c>
      <c r="Q4924" s="8">
        <f>(3359412*100)/3462762</f>
        <v>97.015388294084318</v>
      </c>
    </row>
    <row r="4925" spans="1:17" x14ac:dyDescent="0.2">
      <c r="A4925">
        <f>YEAR(D4925)</f>
        <v>2020</v>
      </c>
      <c r="B4925" t="s">
        <v>26</v>
      </c>
      <c r="C4925" s="2" t="s">
        <v>3020</v>
      </c>
      <c r="D4925" s="1">
        <v>43990</v>
      </c>
      <c r="E4925">
        <f>MONTH(D4925)</f>
        <v>6</v>
      </c>
      <c r="F4925" s="2" t="s">
        <v>2098</v>
      </c>
      <c r="G4925" t="s">
        <v>352</v>
      </c>
      <c r="H4925" t="s">
        <v>728</v>
      </c>
      <c r="I4925" t="s">
        <v>22</v>
      </c>
      <c r="J4925" s="2" t="s">
        <v>42</v>
      </c>
      <c r="K4925" s="2" t="s">
        <v>3019</v>
      </c>
      <c r="L4925" t="s">
        <v>187</v>
      </c>
      <c r="M4925" s="8">
        <v>1.8093333330000001</v>
      </c>
      <c r="N4925" t="s">
        <v>26</v>
      </c>
      <c r="O4925" s="8">
        <v>1.8093333330000001</v>
      </c>
      <c r="P4925" s="8">
        <f>EXP(-1.363+3.366*LOG(O4925,10))</f>
        <v>0.6088444603462565</v>
      </c>
      <c r="Q4925" s="8">
        <f>(3359412*100)/3462762</f>
        <v>97.015388294084318</v>
      </c>
    </row>
    <row r="4926" spans="1:17" x14ac:dyDescent="0.2">
      <c r="A4926">
        <f>YEAR(D4926)</f>
        <v>2020</v>
      </c>
      <c r="B4926" t="s">
        <v>26</v>
      </c>
      <c r="C4926" s="2" t="s">
        <v>3021</v>
      </c>
      <c r="D4926" s="1">
        <v>43990</v>
      </c>
      <c r="E4926">
        <f>MONTH(D4926)</f>
        <v>6</v>
      </c>
      <c r="F4926" s="2" t="s">
        <v>2098</v>
      </c>
      <c r="G4926" s="2" t="s">
        <v>230</v>
      </c>
      <c r="H4926" t="s">
        <v>3054</v>
      </c>
      <c r="I4926" t="s">
        <v>36</v>
      </c>
      <c r="J4926" s="2" t="s">
        <v>42</v>
      </c>
      <c r="K4926" s="2" t="s">
        <v>3019</v>
      </c>
      <c r="L4926" t="s">
        <v>25</v>
      </c>
      <c r="M4926" s="8">
        <v>3.3713333333333337</v>
      </c>
      <c r="N4926" t="s">
        <v>26</v>
      </c>
      <c r="O4926" s="8">
        <v>3.3713333333333337</v>
      </c>
      <c r="P4926" s="8">
        <f>EXP(-1.363+3.366*LOG(O4926,10))</f>
        <v>1.5122226223843516</v>
      </c>
      <c r="Q4926" s="8">
        <f>(1845879*100)/1946364</f>
        <v>94.837296620775973</v>
      </c>
    </row>
    <row r="4927" spans="1:17" x14ac:dyDescent="0.2">
      <c r="A4927">
        <f>YEAR(D4927)</f>
        <v>2020</v>
      </c>
      <c r="B4927" t="s">
        <v>26</v>
      </c>
      <c r="C4927" s="2" t="s">
        <v>3021</v>
      </c>
      <c r="D4927" s="1">
        <v>43990</v>
      </c>
      <c r="E4927">
        <f>MONTH(D4927)</f>
        <v>6</v>
      </c>
      <c r="F4927" s="2" t="s">
        <v>2098</v>
      </c>
      <c r="G4927" s="2" t="s">
        <v>230</v>
      </c>
      <c r="H4927" t="s">
        <v>3054</v>
      </c>
      <c r="I4927" t="s">
        <v>36</v>
      </c>
      <c r="J4927" s="2" t="s">
        <v>42</v>
      </c>
      <c r="K4927" s="2" t="s">
        <v>3019</v>
      </c>
      <c r="L4927" t="s">
        <v>25</v>
      </c>
      <c r="M4927" s="8">
        <v>3.3713333333333337</v>
      </c>
      <c r="N4927" t="s">
        <v>26</v>
      </c>
      <c r="O4927" s="8">
        <v>3.3713333333333337</v>
      </c>
      <c r="P4927" s="8">
        <f>EXP(-1.363+3.366*LOG(O4927,10))</f>
        <v>1.5122226223843516</v>
      </c>
      <c r="Q4927" s="8">
        <f>(1845879*100)/1946364</f>
        <v>94.837296620775973</v>
      </c>
    </row>
    <row r="4928" spans="1:17" x14ac:dyDescent="0.2">
      <c r="A4928">
        <f>YEAR(D4928)</f>
        <v>2020</v>
      </c>
      <c r="B4928" t="s">
        <v>26</v>
      </c>
      <c r="C4928" s="2" t="s">
        <v>3021</v>
      </c>
      <c r="D4928" s="1">
        <v>43990</v>
      </c>
      <c r="E4928">
        <f>MONTH(D4928)</f>
        <v>6</v>
      </c>
      <c r="F4928" s="2" t="s">
        <v>2098</v>
      </c>
      <c r="G4928" t="s">
        <v>230</v>
      </c>
      <c r="H4928" t="s">
        <v>268</v>
      </c>
      <c r="I4928" t="s">
        <v>36</v>
      </c>
      <c r="J4928" s="2" t="s">
        <v>42</v>
      </c>
      <c r="K4928" s="2" t="s">
        <v>3019</v>
      </c>
      <c r="L4928" t="s">
        <v>25</v>
      </c>
      <c r="M4928" s="8">
        <v>3.3683333329999998</v>
      </c>
      <c r="N4928" t="s">
        <v>26</v>
      </c>
      <c r="O4928" s="8">
        <v>3.3683333329999998</v>
      </c>
      <c r="P4928" s="8">
        <f>EXP(-1.363+3.366*LOG(O4928,10))</f>
        <v>1.510255893489963</v>
      </c>
      <c r="Q4928" s="8">
        <f>(1845879*100)/1946364</f>
        <v>94.837296620775973</v>
      </c>
    </row>
    <row r="4929" spans="1:17" x14ac:dyDescent="0.2">
      <c r="A4929">
        <f>YEAR(D4929)</f>
        <v>2020</v>
      </c>
      <c r="B4929" t="s">
        <v>26</v>
      </c>
      <c r="C4929" s="2" t="s">
        <v>3027</v>
      </c>
      <c r="D4929" s="1">
        <v>43991</v>
      </c>
      <c r="E4929">
        <f>MONTH(D4929)</f>
        <v>6</v>
      </c>
      <c r="F4929" s="2" t="s">
        <v>2098</v>
      </c>
      <c r="G4929" t="s">
        <v>230</v>
      </c>
      <c r="H4929" t="s">
        <v>259</v>
      </c>
      <c r="I4929" t="s">
        <v>22</v>
      </c>
      <c r="J4929" s="2" t="s">
        <v>42</v>
      </c>
      <c r="K4929" s="2" t="s">
        <v>3019</v>
      </c>
      <c r="L4929" t="s">
        <v>25</v>
      </c>
      <c r="M4929" s="8">
        <v>4.2283333330000001</v>
      </c>
      <c r="N4929" t="s">
        <v>26</v>
      </c>
      <c r="O4929" s="8">
        <v>4.2283333330000001</v>
      </c>
      <c r="P4929" s="8">
        <f>EXP(-1.363+3.366*LOG(O4929,10))</f>
        <v>2.1057792396965977</v>
      </c>
      <c r="Q4929" s="8">
        <f>(3939723*100)/4442581</f>
        <v>88.680949204977921</v>
      </c>
    </row>
    <row r="4930" spans="1:17" x14ac:dyDescent="0.2">
      <c r="A4930">
        <f>YEAR(D4930)</f>
        <v>2020</v>
      </c>
      <c r="B4930" t="s">
        <v>26</v>
      </c>
      <c r="C4930" s="2" t="s">
        <v>3027</v>
      </c>
      <c r="D4930" s="1">
        <v>43991</v>
      </c>
      <c r="E4930">
        <f>MONTH(D4930)</f>
        <v>6</v>
      </c>
      <c r="F4930" s="2" t="s">
        <v>2098</v>
      </c>
      <c r="G4930" t="s">
        <v>219</v>
      </c>
      <c r="H4930" t="s">
        <v>220</v>
      </c>
      <c r="I4930" t="s">
        <v>22</v>
      </c>
      <c r="J4930" s="2" t="s">
        <v>42</v>
      </c>
      <c r="K4930" s="2" t="s">
        <v>3019</v>
      </c>
      <c r="L4930" t="s">
        <v>25</v>
      </c>
      <c r="M4930" s="10" t="s">
        <v>26</v>
      </c>
      <c r="N4930" t="s">
        <v>26</v>
      </c>
      <c r="O4930" s="10" t="s">
        <v>26</v>
      </c>
      <c r="P4930" s="8" t="s">
        <v>26</v>
      </c>
      <c r="Q4930" s="8">
        <f>(3939723*100)/4442581</f>
        <v>88.680949204977921</v>
      </c>
    </row>
    <row r="4931" spans="1:17" x14ac:dyDescent="0.2">
      <c r="A4931">
        <f>YEAR(D4931)</f>
        <v>2020</v>
      </c>
      <c r="B4931" t="s">
        <v>26</v>
      </c>
      <c r="C4931" s="2" t="s">
        <v>3027</v>
      </c>
      <c r="D4931" s="1">
        <v>43991</v>
      </c>
      <c r="E4931">
        <f>MONTH(D4931)</f>
        <v>6</v>
      </c>
      <c r="F4931" s="2" t="s">
        <v>2098</v>
      </c>
      <c r="G4931" t="s">
        <v>230</v>
      </c>
      <c r="H4931" t="s">
        <v>268</v>
      </c>
      <c r="I4931" t="s">
        <v>22</v>
      </c>
      <c r="J4931" s="2" t="s">
        <v>42</v>
      </c>
      <c r="K4931" s="2" t="s">
        <v>3019</v>
      </c>
      <c r="L4931" t="s">
        <v>25</v>
      </c>
      <c r="M4931" s="8">
        <v>3.5356666670000001</v>
      </c>
      <c r="N4931" t="s">
        <v>26</v>
      </c>
      <c r="O4931" s="8">
        <v>3.5356666670000001</v>
      </c>
      <c r="P4931" s="8">
        <f>EXP(-1.363+3.366*LOG(O4931,10))</f>
        <v>1.6211802664427075</v>
      </c>
      <c r="Q4931" s="8">
        <f>(3939723*100)/4442581</f>
        <v>88.680949204977921</v>
      </c>
    </row>
    <row r="4932" spans="1:17" x14ac:dyDescent="0.2">
      <c r="A4932">
        <f>YEAR(D4932)</f>
        <v>2020</v>
      </c>
      <c r="B4932" t="s">
        <v>26</v>
      </c>
      <c r="C4932" s="2" t="s">
        <v>3027</v>
      </c>
      <c r="D4932" s="1">
        <v>43991</v>
      </c>
      <c r="E4932">
        <f>MONTH(D4932)</f>
        <v>6</v>
      </c>
      <c r="F4932" s="2" t="s">
        <v>2098</v>
      </c>
      <c r="G4932" t="s">
        <v>230</v>
      </c>
      <c r="H4932" t="s">
        <v>268</v>
      </c>
      <c r="I4932" t="s">
        <v>22</v>
      </c>
      <c r="J4932" s="2" t="s">
        <v>42</v>
      </c>
      <c r="K4932" s="2" t="s">
        <v>3019</v>
      </c>
      <c r="L4932" t="s">
        <v>25</v>
      </c>
      <c r="M4932" s="8">
        <v>3.5356666670000001</v>
      </c>
      <c r="N4932" t="s">
        <v>26</v>
      </c>
      <c r="O4932" s="8">
        <v>3.5356666670000001</v>
      </c>
      <c r="P4932" s="8">
        <f>EXP(-1.363+3.366*LOG(O4932,10))</f>
        <v>1.6211802664427075</v>
      </c>
      <c r="Q4932" s="8">
        <f>(3939723*100)/4442581</f>
        <v>88.680949204977921</v>
      </c>
    </row>
    <row r="4933" spans="1:17" x14ac:dyDescent="0.2">
      <c r="A4933">
        <f>YEAR(D4933)</f>
        <v>2020</v>
      </c>
      <c r="B4933" t="s">
        <v>26</v>
      </c>
      <c r="C4933" s="2" t="s">
        <v>3027</v>
      </c>
      <c r="D4933" s="1">
        <v>43991</v>
      </c>
      <c r="E4933">
        <f>MONTH(D4933)</f>
        <v>6</v>
      </c>
      <c r="F4933" s="2" t="s">
        <v>2098</v>
      </c>
      <c r="G4933" t="s">
        <v>230</v>
      </c>
      <c r="H4933" t="s">
        <v>235</v>
      </c>
      <c r="I4933" t="s">
        <v>22</v>
      </c>
      <c r="J4933" s="2" t="s">
        <v>42</v>
      </c>
      <c r="K4933" s="2" t="s">
        <v>3019</v>
      </c>
      <c r="L4933" t="s">
        <v>25</v>
      </c>
      <c r="M4933" s="8">
        <v>3.4609999999999999</v>
      </c>
      <c r="N4933" t="s">
        <v>26</v>
      </c>
      <c r="O4933" s="8">
        <v>3.4609999999999999</v>
      </c>
      <c r="P4933" s="8">
        <f>EXP(-1.363+3.366*LOG(O4933,10))</f>
        <v>1.5713774371592206</v>
      </c>
      <c r="Q4933" s="8">
        <f>(3939723*100)/4442581</f>
        <v>88.680949204977921</v>
      </c>
    </row>
    <row r="4934" spans="1:17" x14ac:dyDescent="0.2">
      <c r="A4934">
        <f>YEAR(D4934)</f>
        <v>2020</v>
      </c>
      <c r="B4934" t="s">
        <v>26</v>
      </c>
      <c r="C4934" s="2" t="s">
        <v>3027</v>
      </c>
      <c r="D4934" s="1">
        <v>43991</v>
      </c>
      <c r="E4934">
        <f>MONTH(D4934)</f>
        <v>6</v>
      </c>
      <c r="F4934" s="2" t="s">
        <v>2098</v>
      </c>
      <c r="G4934" t="s">
        <v>230</v>
      </c>
      <c r="H4934" t="s">
        <v>268</v>
      </c>
      <c r="I4934" t="s">
        <v>22</v>
      </c>
      <c r="J4934" s="2" t="s">
        <v>42</v>
      </c>
      <c r="K4934" s="2" t="s">
        <v>3019</v>
      </c>
      <c r="L4934" t="s">
        <v>25</v>
      </c>
      <c r="M4934" s="8">
        <v>3.5356666670000001</v>
      </c>
      <c r="N4934" t="s">
        <v>26</v>
      </c>
      <c r="O4934" s="8">
        <v>3.5356666670000001</v>
      </c>
      <c r="P4934" s="8">
        <f>EXP(-1.363+3.366*LOG(O4934,10))</f>
        <v>1.6211802664427075</v>
      </c>
      <c r="Q4934" s="8">
        <f>(3939723*100)/4442581</f>
        <v>88.680949204977921</v>
      </c>
    </row>
    <row r="4935" spans="1:17" x14ac:dyDescent="0.2">
      <c r="A4935">
        <f>YEAR(D4935)</f>
        <v>2020</v>
      </c>
      <c r="B4935" t="s">
        <v>26</v>
      </c>
      <c r="C4935" s="2" t="s">
        <v>3027</v>
      </c>
      <c r="D4935" s="1">
        <v>43991</v>
      </c>
      <c r="E4935">
        <f>MONTH(D4935)</f>
        <v>6</v>
      </c>
      <c r="F4935" s="2" t="s">
        <v>2098</v>
      </c>
      <c r="G4935" t="s">
        <v>230</v>
      </c>
      <c r="H4935" t="s">
        <v>268</v>
      </c>
      <c r="I4935" t="s">
        <v>22</v>
      </c>
      <c r="J4935" s="2" t="s">
        <v>42</v>
      </c>
      <c r="K4935" s="2" t="s">
        <v>3019</v>
      </c>
      <c r="L4935" t="s">
        <v>25</v>
      </c>
      <c r="M4935" s="8">
        <v>3.5356666670000001</v>
      </c>
      <c r="N4935" t="s">
        <v>26</v>
      </c>
      <c r="O4935" s="8">
        <v>3.5356666670000001</v>
      </c>
      <c r="P4935" s="8">
        <f>EXP(-1.363+3.366*LOG(O4935,10))</f>
        <v>1.6211802664427075</v>
      </c>
      <c r="Q4935" s="8">
        <f>(3939723*100)/4442581</f>
        <v>88.680949204977921</v>
      </c>
    </row>
    <row r="4936" spans="1:17" x14ac:dyDescent="0.2">
      <c r="A4936">
        <f>YEAR(D4936)</f>
        <v>2020</v>
      </c>
      <c r="B4936" t="s">
        <v>26</v>
      </c>
      <c r="C4936" s="2" t="s">
        <v>3027</v>
      </c>
      <c r="D4936" s="1">
        <v>43991</v>
      </c>
      <c r="E4936">
        <f>MONTH(D4936)</f>
        <v>6</v>
      </c>
      <c r="F4936" s="2" t="s">
        <v>2098</v>
      </c>
      <c r="G4936" t="s">
        <v>219</v>
      </c>
      <c r="H4936" t="s">
        <v>220</v>
      </c>
      <c r="I4936" t="s">
        <v>22</v>
      </c>
      <c r="J4936" s="2" t="s">
        <v>42</v>
      </c>
      <c r="K4936" s="2" t="s">
        <v>3019</v>
      </c>
      <c r="L4936" t="s">
        <v>25</v>
      </c>
      <c r="M4936" s="10" t="s">
        <v>26</v>
      </c>
      <c r="N4936" t="s">
        <v>26</v>
      </c>
      <c r="O4936" s="10" t="s">
        <v>26</v>
      </c>
      <c r="P4936" s="8" t="s">
        <v>26</v>
      </c>
      <c r="Q4936" s="8">
        <f>(3939723*100)/4442581</f>
        <v>88.680949204977921</v>
      </c>
    </row>
    <row r="4937" spans="1:17" x14ac:dyDescent="0.2">
      <c r="A4937">
        <f>YEAR(D4937)</f>
        <v>2020</v>
      </c>
      <c r="B4937" t="s">
        <v>26</v>
      </c>
      <c r="C4937" s="2" t="s">
        <v>3027</v>
      </c>
      <c r="D4937" s="1">
        <v>43991</v>
      </c>
      <c r="E4937">
        <f>MONTH(D4937)</f>
        <v>6</v>
      </c>
      <c r="F4937" s="2" t="s">
        <v>2098</v>
      </c>
      <c r="G4937" t="s">
        <v>219</v>
      </c>
      <c r="H4937" t="s">
        <v>220</v>
      </c>
      <c r="I4937" t="s">
        <v>22</v>
      </c>
      <c r="J4937" s="2" t="s">
        <v>42</v>
      </c>
      <c r="K4937" s="2" t="s">
        <v>3019</v>
      </c>
      <c r="L4937" t="s">
        <v>25</v>
      </c>
      <c r="M4937" s="10" t="s">
        <v>26</v>
      </c>
      <c r="N4937" t="s">
        <v>26</v>
      </c>
      <c r="O4937" s="10" t="s">
        <v>26</v>
      </c>
      <c r="P4937" s="8" t="s">
        <v>26</v>
      </c>
      <c r="Q4937" s="8">
        <f>(3939723*100)/4442581</f>
        <v>88.680949204977921</v>
      </c>
    </row>
    <row r="4938" spans="1:17" x14ac:dyDescent="0.2">
      <c r="A4938">
        <f>YEAR(D4938)</f>
        <v>2020</v>
      </c>
      <c r="B4938" t="s">
        <v>26</v>
      </c>
      <c r="C4938" s="2" t="s">
        <v>3027</v>
      </c>
      <c r="D4938" s="1">
        <v>43991</v>
      </c>
      <c r="E4938">
        <f>MONTH(D4938)</f>
        <v>6</v>
      </c>
      <c r="F4938" s="2" t="s">
        <v>2098</v>
      </c>
      <c r="G4938" t="s">
        <v>219</v>
      </c>
      <c r="H4938" t="s">
        <v>220</v>
      </c>
      <c r="I4938" t="s">
        <v>22</v>
      </c>
      <c r="J4938" s="2" t="s">
        <v>42</v>
      </c>
      <c r="K4938" s="2" t="s">
        <v>3019</v>
      </c>
      <c r="L4938" t="s">
        <v>25</v>
      </c>
      <c r="M4938" s="10" t="s">
        <v>26</v>
      </c>
      <c r="N4938" t="s">
        <v>26</v>
      </c>
      <c r="O4938" s="10" t="s">
        <v>26</v>
      </c>
      <c r="P4938" s="8" t="s">
        <v>26</v>
      </c>
      <c r="Q4938" s="8">
        <f>(3939723*100)/4442581</f>
        <v>88.680949204977921</v>
      </c>
    </row>
    <row r="4939" spans="1:17" x14ac:dyDescent="0.2">
      <c r="A4939">
        <f>YEAR(D4939)</f>
        <v>2020</v>
      </c>
      <c r="B4939" t="s">
        <v>26</v>
      </c>
      <c r="C4939" s="2" t="s">
        <v>3018</v>
      </c>
      <c r="D4939" s="1">
        <v>43991</v>
      </c>
      <c r="E4939">
        <f>MONTH(D4939)</f>
        <v>6</v>
      </c>
      <c r="F4939" s="2" t="s">
        <v>2098</v>
      </c>
      <c r="G4939" t="s">
        <v>230</v>
      </c>
      <c r="H4939" t="s">
        <v>259</v>
      </c>
      <c r="I4939" t="s">
        <v>22</v>
      </c>
      <c r="J4939" s="2" t="s">
        <v>42</v>
      </c>
      <c r="K4939" s="2" t="s">
        <v>3019</v>
      </c>
      <c r="L4939" t="s">
        <v>25</v>
      </c>
      <c r="M4939" s="8">
        <v>4.2283333330000001</v>
      </c>
      <c r="N4939" t="s">
        <v>26</v>
      </c>
      <c r="O4939" s="8">
        <v>4.2283333330000001</v>
      </c>
      <c r="P4939" s="8">
        <f>EXP(-1.363+3.366*LOG(O4939,10))</f>
        <v>2.1057792396965977</v>
      </c>
      <c r="Q4939" s="8">
        <f>(5996898*100)/6073515</f>
        <v>98.738506449724753</v>
      </c>
    </row>
    <row r="4940" spans="1:17" x14ac:dyDescent="0.2">
      <c r="A4940">
        <f>YEAR(D4940)</f>
        <v>2020</v>
      </c>
      <c r="B4940" t="s">
        <v>26</v>
      </c>
      <c r="C4940" s="2" t="s">
        <v>3018</v>
      </c>
      <c r="D4940" s="1">
        <v>43991</v>
      </c>
      <c r="E4940">
        <f>MONTH(D4940)</f>
        <v>6</v>
      </c>
      <c r="F4940" s="2" t="s">
        <v>2098</v>
      </c>
      <c r="G4940" t="s">
        <v>219</v>
      </c>
      <c r="H4940" t="s">
        <v>220</v>
      </c>
      <c r="I4940" t="s">
        <v>22</v>
      </c>
      <c r="J4940" s="2" t="s">
        <v>42</v>
      </c>
      <c r="K4940" s="2" t="s">
        <v>3019</v>
      </c>
      <c r="L4940" t="s">
        <v>25</v>
      </c>
      <c r="M4940" s="10" t="s">
        <v>26</v>
      </c>
      <c r="N4940" t="s">
        <v>26</v>
      </c>
      <c r="O4940" s="10" t="s">
        <v>26</v>
      </c>
      <c r="P4940" s="8" t="s">
        <v>26</v>
      </c>
      <c r="Q4940" s="8">
        <f>(5996898*100)/6073515</f>
        <v>98.738506449724753</v>
      </c>
    </row>
    <row r="4941" spans="1:17" x14ac:dyDescent="0.2">
      <c r="A4941">
        <f>YEAR(D4941)</f>
        <v>2020</v>
      </c>
      <c r="B4941" t="s">
        <v>26</v>
      </c>
      <c r="C4941" s="2" t="s">
        <v>3018</v>
      </c>
      <c r="D4941" s="1">
        <v>43991</v>
      </c>
      <c r="E4941">
        <f>MONTH(D4941)</f>
        <v>6</v>
      </c>
      <c r="F4941" s="2" t="s">
        <v>2098</v>
      </c>
      <c r="G4941" t="s">
        <v>219</v>
      </c>
      <c r="H4941" t="s">
        <v>220</v>
      </c>
      <c r="I4941" t="s">
        <v>22</v>
      </c>
      <c r="J4941" s="2" t="s">
        <v>42</v>
      </c>
      <c r="K4941" s="2" t="s">
        <v>3019</v>
      </c>
      <c r="L4941" t="s">
        <v>25</v>
      </c>
      <c r="M4941" s="10" t="s">
        <v>26</v>
      </c>
      <c r="N4941" t="s">
        <v>26</v>
      </c>
      <c r="O4941" s="10" t="s">
        <v>26</v>
      </c>
      <c r="P4941" s="8" t="s">
        <v>26</v>
      </c>
      <c r="Q4941" s="8">
        <f>(5996898*100)/6073515</f>
        <v>98.738506449724753</v>
      </c>
    </row>
    <row r="4942" spans="1:17" x14ac:dyDescent="0.2">
      <c r="A4942">
        <f>YEAR(D4942)</f>
        <v>2020</v>
      </c>
      <c r="B4942" t="s">
        <v>26</v>
      </c>
      <c r="C4942" s="2" t="s">
        <v>3018</v>
      </c>
      <c r="D4942" s="1">
        <v>43991</v>
      </c>
      <c r="E4942">
        <f>MONTH(D4942)</f>
        <v>6</v>
      </c>
      <c r="F4942" s="2" t="s">
        <v>2098</v>
      </c>
      <c r="G4942" t="s">
        <v>219</v>
      </c>
      <c r="H4942" t="s">
        <v>220</v>
      </c>
      <c r="I4942" t="s">
        <v>22</v>
      </c>
      <c r="J4942" s="2" t="s">
        <v>42</v>
      </c>
      <c r="K4942" s="2" t="s">
        <v>3019</v>
      </c>
      <c r="L4942" t="s">
        <v>25</v>
      </c>
      <c r="M4942" s="10" t="s">
        <v>26</v>
      </c>
      <c r="N4942" t="s">
        <v>26</v>
      </c>
      <c r="O4942" s="10" t="s">
        <v>26</v>
      </c>
      <c r="P4942" s="8" t="s">
        <v>26</v>
      </c>
      <c r="Q4942" s="8">
        <f>(5996898*100)/6073515</f>
        <v>98.738506449724753</v>
      </c>
    </row>
    <row r="4943" spans="1:17" x14ac:dyDescent="0.2">
      <c r="A4943">
        <f>YEAR(D4943)</f>
        <v>2020</v>
      </c>
      <c r="B4943" t="s">
        <v>26</v>
      </c>
      <c r="C4943" s="2" t="s">
        <v>3018</v>
      </c>
      <c r="D4943" s="1">
        <v>43991</v>
      </c>
      <c r="E4943">
        <f>MONTH(D4943)</f>
        <v>6</v>
      </c>
      <c r="F4943" s="2" t="s">
        <v>2098</v>
      </c>
      <c r="G4943" t="s">
        <v>219</v>
      </c>
      <c r="H4943" t="s">
        <v>220</v>
      </c>
      <c r="I4943" t="s">
        <v>22</v>
      </c>
      <c r="J4943" s="2" t="s">
        <v>42</v>
      </c>
      <c r="K4943" s="2" t="s">
        <v>3019</v>
      </c>
      <c r="L4943" t="s">
        <v>25</v>
      </c>
      <c r="M4943" s="10" t="s">
        <v>26</v>
      </c>
      <c r="N4943" t="s">
        <v>26</v>
      </c>
      <c r="O4943" s="10" t="s">
        <v>26</v>
      </c>
      <c r="P4943" s="8" t="s">
        <v>26</v>
      </c>
      <c r="Q4943" s="8">
        <f>(5996898*100)/6073515</f>
        <v>98.738506449724753</v>
      </c>
    </row>
    <row r="4944" spans="1:17" x14ac:dyDescent="0.2">
      <c r="A4944">
        <f>YEAR(D4944)</f>
        <v>2020</v>
      </c>
      <c r="B4944" t="s">
        <v>26</v>
      </c>
      <c r="C4944" s="2" t="s">
        <v>3018</v>
      </c>
      <c r="D4944" s="1">
        <v>43991</v>
      </c>
      <c r="E4944">
        <f>MONTH(D4944)</f>
        <v>6</v>
      </c>
      <c r="F4944" s="2" t="s">
        <v>2098</v>
      </c>
      <c r="G4944" t="s">
        <v>230</v>
      </c>
      <c r="H4944" t="s">
        <v>268</v>
      </c>
      <c r="I4944" t="s">
        <v>22</v>
      </c>
      <c r="J4944" s="2" t="s">
        <v>42</v>
      </c>
      <c r="K4944" s="2" t="s">
        <v>3019</v>
      </c>
      <c r="L4944" t="s">
        <v>25</v>
      </c>
      <c r="M4944" s="8">
        <v>3.5356666670000001</v>
      </c>
      <c r="N4944" t="s">
        <v>26</v>
      </c>
      <c r="O4944" s="8">
        <v>3.5356666670000001</v>
      </c>
      <c r="P4944" s="8">
        <f>EXP(-1.363+3.366*LOG(O4944,10))</f>
        <v>1.6211802664427075</v>
      </c>
      <c r="Q4944" s="8">
        <f>(5996898*100)/6073515</f>
        <v>98.738506449724753</v>
      </c>
    </row>
    <row r="4945" spans="1:17" x14ac:dyDescent="0.2">
      <c r="A4945">
        <f>YEAR(D4945)</f>
        <v>2020</v>
      </c>
      <c r="B4945" t="s">
        <v>26</v>
      </c>
      <c r="C4945" s="2" t="s">
        <v>3018</v>
      </c>
      <c r="D4945" s="1">
        <v>43991</v>
      </c>
      <c r="E4945">
        <f>MONTH(D4945)</f>
        <v>6</v>
      </c>
      <c r="F4945" s="2" t="s">
        <v>2098</v>
      </c>
      <c r="G4945" t="s">
        <v>219</v>
      </c>
      <c r="H4945" t="s">
        <v>220</v>
      </c>
      <c r="I4945" t="s">
        <v>22</v>
      </c>
      <c r="J4945" s="2" t="s">
        <v>42</v>
      </c>
      <c r="K4945" s="2" t="s">
        <v>3019</v>
      </c>
      <c r="L4945" t="s">
        <v>25</v>
      </c>
      <c r="M4945" s="10" t="s">
        <v>26</v>
      </c>
      <c r="N4945" t="s">
        <v>26</v>
      </c>
      <c r="O4945" s="10" t="s">
        <v>26</v>
      </c>
      <c r="P4945" s="8" t="s">
        <v>26</v>
      </c>
      <c r="Q4945" s="8">
        <f>(5996898*100)/6073515</f>
        <v>98.738506449724753</v>
      </c>
    </row>
    <row r="4946" spans="1:17" x14ac:dyDescent="0.2">
      <c r="A4946">
        <f>YEAR(D4946)</f>
        <v>2020</v>
      </c>
      <c r="B4946" t="s">
        <v>26</v>
      </c>
      <c r="C4946" s="2" t="s">
        <v>3018</v>
      </c>
      <c r="D4946" s="1">
        <v>43991</v>
      </c>
      <c r="E4946">
        <f>MONTH(D4946)</f>
        <v>6</v>
      </c>
      <c r="F4946" s="2" t="s">
        <v>2098</v>
      </c>
      <c r="G4946" t="s">
        <v>219</v>
      </c>
      <c r="H4946" t="s">
        <v>220</v>
      </c>
      <c r="I4946" t="s">
        <v>22</v>
      </c>
      <c r="J4946" s="2" t="s">
        <v>42</v>
      </c>
      <c r="K4946" s="2" t="s">
        <v>3019</v>
      </c>
      <c r="L4946" t="s">
        <v>25</v>
      </c>
      <c r="M4946" s="10" t="s">
        <v>26</v>
      </c>
      <c r="N4946" t="s">
        <v>26</v>
      </c>
      <c r="O4946" s="10" t="s">
        <v>26</v>
      </c>
      <c r="P4946" s="8" t="s">
        <v>26</v>
      </c>
      <c r="Q4946" s="8">
        <f>(5996898*100)/6073515</f>
        <v>98.738506449724753</v>
      </c>
    </row>
    <row r="4947" spans="1:17" x14ac:dyDescent="0.2">
      <c r="A4947">
        <f>YEAR(D4947)</f>
        <v>2020</v>
      </c>
      <c r="B4947" t="s">
        <v>26</v>
      </c>
      <c r="C4947" s="2" t="s">
        <v>3018</v>
      </c>
      <c r="D4947" s="1">
        <v>43991</v>
      </c>
      <c r="E4947">
        <f>MONTH(D4947)</f>
        <v>6</v>
      </c>
      <c r="F4947" s="2" t="s">
        <v>2098</v>
      </c>
      <c r="G4947" t="s">
        <v>219</v>
      </c>
      <c r="H4947" t="s">
        <v>220</v>
      </c>
      <c r="I4947" t="s">
        <v>22</v>
      </c>
      <c r="J4947" s="2" t="s">
        <v>42</v>
      </c>
      <c r="K4947" s="2" t="s">
        <v>3019</v>
      </c>
      <c r="L4947" t="s">
        <v>25</v>
      </c>
      <c r="M4947" s="10" t="s">
        <v>26</v>
      </c>
      <c r="N4947" t="s">
        <v>26</v>
      </c>
      <c r="O4947" s="10" t="s">
        <v>26</v>
      </c>
      <c r="P4947" s="8" t="s">
        <v>26</v>
      </c>
      <c r="Q4947" s="8">
        <f>(5996898*100)/6073515</f>
        <v>98.738506449724753</v>
      </c>
    </row>
    <row r="4948" spans="1:17" x14ac:dyDescent="0.2">
      <c r="A4948">
        <f>YEAR(D4948)</f>
        <v>2020</v>
      </c>
      <c r="B4948" t="s">
        <v>26</v>
      </c>
      <c r="C4948" s="2" t="s">
        <v>3018</v>
      </c>
      <c r="D4948" s="1">
        <v>43991</v>
      </c>
      <c r="E4948">
        <f>MONTH(D4948)</f>
        <v>6</v>
      </c>
      <c r="F4948" s="2" t="s">
        <v>2098</v>
      </c>
      <c r="G4948" t="s">
        <v>219</v>
      </c>
      <c r="H4948" t="s">
        <v>220</v>
      </c>
      <c r="I4948" t="s">
        <v>22</v>
      </c>
      <c r="J4948" s="2" t="s">
        <v>42</v>
      </c>
      <c r="K4948" s="2" t="s">
        <v>3019</v>
      </c>
      <c r="L4948" t="s">
        <v>25</v>
      </c>
      <c r="M4948" s="10" t="s">
        <v>26</v>
      </c>
      <c r="N4948" t="s">
        <v>26</v>
      </c>
      <c r="O4948" s="10" t="s">
        <v>26</v>
      </c>
      <c r="P4948" s="8" t="s">
        <v>26</v>
      </c>
      <c r="Q4948" s="8">
        <f>(5996898*100)/6073515</f>
        <v>98.738506449724753</v>
      </c>
    </row>
    <row r="4949" spans="1:17" x14ac:dyDescent="0.2">
      <c r="A4949">
        <f>YEAR(D4949)</f>
        <v>2020</v>
      </c>
      <c r="B4949" t="s">
        <v>26</v>
      </c>
      <c r="C4949" s="2" t="s">
        <v>3018</v>
      </c>
      <c r="D4949" s="1">
        <v>43991</v>
      </c>
      <c r="E4949">
        <f>MONTH(D4949)</f>
        <v>6</v>
      </c>
      <c r="F4949" s="2" t="s">
        <v>2098</v>
      </c>
      <c r="G4949" t="s">
        <v>219</v>
      </c>
      <c r="H4949" t="s">
        <v>220</v>
      </c>
      <c r="I4949" t="s">
        <v>22</v>
      </c>
      <c r="J4949" s="2" t="s">
        <v>42</v>
      </c>
      <c r="K4949" s="2" t="s">
        <v>3019</v>
      </c>
      <c r="L4949" t="s">
        <v>25</v>
      </c>
      <c r="M4949" s="10" t="s">
        <v>26</v>
      </c>
      <c r="N4949" t="s">
        <v>26</v>
      </c>
      <c r="O4949" s="10" t="s">
        <v>26</v>
      </c>
      <c r="P4949" s="8" t="s">
        <v>26</v>
      </c>
      <c r="Q4949" s="8">
        <f>(5996898*100)/6073515</f>
        <v>98.738506449724753</v>
      </c>
    </row>
    <row r="4950" spans="1:17" x14ac:dyDescent="0.2">
      <c r="A4950">
        <f>YEAR(D4950)</f>
        <v>2020</v>
      </c>
      <c r="B4950" t="s">
        <v>26</v>
      </c>
      <c r="C4950" s="2" t="s">
        <v>3018</v>
      </c>
      <c r="D4950" s="1">
        <v>43991</v>
      </c>
      <c r="E4950">
        <f>MONTH(D4950)</f>
        <v>6</v>
      </c>
      <c r="F4950" s="2" t="s">
        <v>2098</v>
      </c>
      <c r="G4950" t="s">
        <v>230</v>
      </c>
      <c r="H4950" t="s">
        <v>268</v>
      </c>
      <c r="I4950" t="s">
        <v>22</v>
      </c>
      <c r="J4950" s="2" t="s">
        <v>42</v>
      </c>
      <c r="K4950" s="2" t="s">
        <v>3019</v>
      </c>
      <c r="L4950" t="s">
        <v>25</v>
      </c>
      <c r="M4950" s="8">
        <v>3.5356666670000001</v>
      </c>
      <c r="N4950" t="s">
        <v>26</v>
      </c>
      <c r="O4950" s="8">
        <v>3.5356666670000001</v>
      </c>
      <c r="P4950" s="8">
        <f>EXP(-1.363+3.366*LOG(O4950,10))</f>
        <v>1.6211802664427075</v>
      </c>
      <c r="Q4950" s="8">
        <f>(5996898*100)/6073515</f>
        <v>98.738506449724753</v>
      </c>
    </row>
    <row r="4951" spans="1:17" x14ac:dyDescent="0.2">
      <c r="A4951">
        <f>YEAR(D4951)</f>
        <v>2020</v>
      </c>
      <c r="B4951" t="s">
        <v>26</v>
      </c>
      <c r="C4951" s="2" t="s">
        <v>3018</v>
      </c>
      <c r="D4951" s="1">
        <v>43991</v>
      </c>
      <c r="E4951">
        <f>MONTH(D4951)</f>
        <v>6</v>
      </c>
      <c r="F4951" s="2" t="s">
        <v>2098</v>
      </c>
      <c r="G4951" t="s">
        <v>1520</v>
      </c>
      <c r="H4951" t="s">
        <v>1521</v>
      </c>
      <c r="I4951" t="s">
        <v>36</v>
      </c>
      <c r="J4951" s="2" t="s">
        <v>42</v>
      </c>
      <c r="K4951" s="2" t="s">
        <v>3019</v>
      </c>
      <c r="L4951" t="s">
        <v>25</v>
      </c>
      <c r="M4951" s="8">
        <v>2.3340000000000001</v>
      </c>
      <c r="N4951" t="s">
        <v>26</v>
      </c>
      <c r="O4951" s="8">
        <v>2.3340000000000001</v>
      </c>
      <c r="P4951" s="8">
        <f>EXP(-1.363+3.366*LOG(O4951,10))</f>
        <v>0.88340410488080767</v>
      </c>
      <c r="Q4951" s="8">
        <f>(5996898*100)/6073515</f>
        <v>98.738506449724753</v>
      </c>
    </row>
    <row r="4952" spans="1:17" x14ac:dyDescent="0.2">
      <c r="A4952">
        <f>YEAR(D4952)</f>
        <v>2020</v>
      </c>
      <c r="B4952" t="s">
        <v>26</v>
      </c>
      <c r="C4952" s="2" t="s">
        <v>3027</v>
      </c>
      <c r="D4952" s="1">
        <v>43991</v>
      </c>
      <c r="E4952">
        <f>MONTH(D4952)</f>
        <v>6</v>
      </c>
      <c r="F4952" s="2" t="s">
        <v>2098</v>
      </c>
      <c r="G4952" t="s">
        <v>230</v>
      </c>
      <c r="H4952" t="s">
        <v>259</v>
      </c>
      <c r="I4952" t="s">
        <v>22</v>
      </c>
      <c r="J4952" s="2" t="s">
        <v>42</v>
      </c>
      <c r="K4952" s="2" t="s">
        <v>3019</v>
      </c>
      <c r="L4952" t="s">
        <v>25</v>
      </c>
      <c r="M4952" s="8">
        <v>4.2283333330000001</v>
      </c>
      <c r="N4952" t="s">
        <v>26</v>
      </c>
      <c r="O4952" s="8">
        <v>4.2283333330000001</v>
      </c>
      <c r="P4952" s="8">
        <f>EXP(-1.363+3.366*LOG(O4952,10))</f>
        <v>2.1057792396965977</v>
      </c>
      <c r="Q4952" s="8">
        <f>(3939723*100)/4442581</f>
        <v>88.680949204977921</v>
      </c>
    </row>
    <row r="4953" spans="1:17" x14ac:dyDescent="0.2">
      <c r="A4953">
        <f>YEAR(D4953)</f>
        <v>2020</v>
      </c>
      <c r="B4953" t="s">
        <v>26</v>
      </c>
      <c r="C4953" s="2" t="s">
        <v>3027</v>
      </c>
      <c r="D4953" s="1">
        <v>43991</v>
      </c>
      <c r="E4953">
        <f>MONTH(D4953)</f>
        <v>6</v>
      </c>
      <c r="F4953" s="2" t="s">
        <v>2098</v>
      </c>
      <c r="G4953" t="s">
        <v>230</v>
      </c>
      <c r="H4953" t="s">
        <v>259</v>
      </c>
      <c r="I4953" t="s">
        <v>22</v>
      </c>
      <c r="J4953" s="2" t="s">
        <v>42</v>
      </c>
      <c r="K4953" s="2" t="s">
        <v>3019</v>
      </c>
      <c r="L4953" t="s">
        <v>25</v>
      </c>
      <c r="M4953" s="8">
        <v>4.2283333330000001</v>
      </c>
      <c r="N4953" t="s">
        <v>26</v>
      </c>
      <c r="O4953" s="8">
        <v>4.2283333330000001</v>
      </c>
      <c r="P4953" s="8">
        <f>EXP(-1.363+3.366*LOG(O4953,10))</f>
        <v>2.1057792396965977</v>
      </c>
      <c r="Q4953" s="8">
        <f>(3939723*100)/4442581</f>
        <v>88.680949204977921</v>
      </c>
    </row>
    <row r="4954" spans="1:17" x14ac:dyDescent="0.2">
      <c r="A4954">
        <f>YEAR(D4954)</f>
        <v>2020</v>
      </c>
      <c r="B4954" t="s">
        <v>26</v>
      </c>
      <c r="C4954" s="2" t="s">
        <v>3027</v>
      </c>
      <c r="D4954" s="1">
        <v>43991</v>
      </c>
      <c r="E4954">
        <f>MONTH(D4954)</f>
        <v>6</v>
      </c>
      <c r="F4954" s="2" t="s">
        <v>2098</v>
      </c>
      <c r="G4954" t="s">
        <v>230</v>
      </c>
      <c r="H4954" t="s">
        <v>259</v>
      </c>
      <c r="I4954" t="s">
        <v>22</v>
      </c>
      <c r="J4954" s="2" t="s">
        <v>42</v>
      </c>
      <c r="K4954" s="2" t="s">
        <v>3019</v>
      </c>
      <c r="L4954" t="s">
        <v>25</v>
      </c>
      <c r="M4954" s="8">
        <v>4.2283333330000001</v>
      </c>
      <c r="N4954" t="s">
        <v>26</v>
      </c>
      <c r="O4954" s="8">
        <v>4.2283333330000001</v>
      </c>
      <c r="P4954" s="8">
        <f>EXP(-1.363+3.366*LOG(O4954,10))</f>
        <v>2.1057792396965977</v>
      </c>
      <c r="Q4954" s="8">
        <f>(3939723*100)/4442581</f>
        <v>88.680949204977921</v>
      </c>
    </row>
    <row r="4955" spans="1:17" x14ac:dyDescent="0.2">
      <c r="A4955">
        <f>YEAR(D4955)</f>
        <v>2020</v>
      </c>
      <c r="B4955" t="s">
        <v>26</v>
      </c>
      <c r="C4955" s="2" t="s">
        <v>3027</v>
      </c>
      <c r="D4955" s="1">
        <v>43991</v>
      </c>
      <c r="E4955">
        <f>MONTH(D4955)</f>
        <v>6</v>
      </c>
      <c r="F4955" s="2" t="s">
        <v>2098</v>
      </c>
      <c r="G4955" s="2" t="s">
        <v>230</v>
      </c>
      <c r="H4955" t="s">
        <v>3054</v>
      </c>
      <c r="I4955" t="s">
        <v>22</v>
      </c>
      <c r="J4955" s="2" t="s">
        <v>42</v>
      </c>
      <c r="K4955" s="2" t="s">
        <v>3019</v>
      </c>
      <c r="L4955" t="s">
        <v>25</v>
      </c>
      <c r="M4955" s="8">
        <v>3.4456666666666664</v>
      </c>
      <c r="N4955" t="s">
        <v>26</v>
      </c>
      <c r="O4955" s="8">
        <v>3.4456666666666664</v>
      </c>
      <c r="P4955" s="8">
        <f>EXP(-1.363+3.366*LOG(O4955,10))</f>
        <v>1.5612109941121688</v>
      </c>
      <c r="Q4955" s="8">
        <f>(3939723*100)/4442581</f>
        <v>88.680949204977921</v>
      </c>
    </row>
    <row r="4956" spans="1:17" x14ac:dyDescent="0.2">
      <c r="A4956">
        <f>YEAR(D4956)</f>
        <v>2020</v>
      </c>
      <c r="B4956" t="s">
        <v>26</v>
      </c>
      <c r="C4956" s="2" t="s">
        <v>3027</v>
      </c>
      <c r="D4956" s="1">
        <v>43991</v>
      </c>
      <c r="E4956">
        <f>MONTH(D4956)</f>
        <v>6</v>
      </c>
      <c r="F4956" s="2" t="s">
        <v>2098</v>
      </c>
      <c r="G4956" t="s">
        <v>230</v>
      </c>
      <c r="H4956" t="s">
        <v>235</v>
      </c>
      <c r="I4956" t="s">
        <v>22</v>
      </c>
      <c r="J4956" s="2" t="s">
        <v>42</v>
      </c>
      <c r="K4956" s="2" t="s">
        <v>3019</v>
      </c>
      <c r="L4956" t="s">
        <v>25</v>
      </c>
      <c r="M4956" s="8">
        <v>3.4609999999999999</v>
      </c>
      <c r="N4956" t="s">
        <v>26</v>
      </c>
      <c r="O4956" s="8">
        <v>3.4609999999999999</v>
      </c>
      <c r="P4956" s="8">
        <f>EXP(-1.363+3.366*LOG(O4956,10))</f>
        <v>1.5713774371592206</v>
      </c>
      <c r="Q4956" s="8">
        <f>(3939723*100)/4442581</f>
        <v>88.680949204977921</v>
      </c>
    </row>
    <row r="4957" spans="1:17" x14ac:dyDescent="0.2">
      <c r="A4957">
        <f>YEAR(D4957)</f>
        <v>2020</v>
      </c>
      <c r="B4957" t="s">
        <v>26</v>
      </c>
      <c r="C4957" s="2" t="s">
        <v>3027</v>
      </c>
      <c r="D4957" s="1">
        <v>43991</v>
      </c>
      <c r="E4957">
        <f>MONTH(D4957)</f>
        <v>6</v>
      </c>
      <c r="F4957" s="2" t="s">
        <v>2098</v>
      </c>
      <c r="G4957" t="s">
        <v>230</v>
      </c>
      <c r="H4957" t="s">
        <v>259</v>
      </c>
      <c r="I4957" t="s">
        <v>22</v>
      </c>
      <c r="J4957" s="2" t="s">
        <v>42</v>
      </c>
      <c r="K4957" s="2" t="s">
        <v>3019</v>
      </c>
      <c r="L4957" t="s">
        <v>25</v>
      </c>
      <c r="M4957" s="8">
        <v>4.2283333330000001</v>
      </c>
      <c r="N4957" t="s">
        <v>26</v>
      </c>
      <c r="O4957" s="8">
        <v>4.2283333330000001</v>
      </c>
      <c r="P4957" s="8">
        <f>EXP(-1.363+3.366*LOG(O4957,10))</f>
        <v>2.1057792396965977</v>
      </c>
      <c r="Q4957" s="8">
        <f>(3939723*100)/4442581</f>
        <v>88.680949204977921</v>
      </c>
    </row>
    <row r="4958" spans="1:17" x14ac:dyDescent="0.2">
      <c r="A4958">
        <f>YEAR(D4958)</f>
        <v>2020</v>
      </c>
      <c r="B4958" t="s">
        <v>26</v>
      </c>
      <c r="C4958" s="2" t="s">
        <v>3027</v>
      </c>
      <c r="D4958" s="1">
        <v>43991</v>
      </c>
      <c r="E4958">
        <f>MONTH(D4958)</f>
        <v>6</v>
      </c>
      <c r="F4958" s="2" t="s">
        <v>2098</v>
      </c>
      <c r="G4958" t="s">
        <v>230</v>
      </c>
      <c r="H4958" t="s">
        <v>259</v>
      </c>
      <c r="I4958" t="s">
        <v>22</v>
      </c>
      <c r="J4958" s="2" t="s">
        <v>42</v>
      </c>
      <c r="K4958" s="2" t="s">
        <v>3019</v>
      </c>
      <c r="L4958" t="s">
        <v>25</v>
      </c>
      <c r="M4958" s="8">
        <v>4.2283333330000001</v>
      </c>
      <c r="N4958" t="s">
        <v>26</v>
      </c>
      <c r="O4958" s="8">
        <v>4.2283333330000001</v>
      </c>
      <c r="P4958" s="8">
        <f>EXP(-1.363+3.366*LOG(O4958,10))</f>
        <v>2.1057792396965977</v>
      </c>
      <c r="Q4958" s="8">
        <f>(3939723*100)/4442581</f>
        <v>88.680949204977921</v>
      </c>
    </row>
    <row r="4959" spans="1:17" x14ac:dyDescent="0.2">
      <c r="A4959">
        <f>YEAR(D4959)</f>
        <v>2020</v>
      </c>
      <c r="B4959" t="s">
        <v>26</v>
      </c>
      <c r="C4959" s="2" t="s">
        <v>3027</v>
      </c>
      <c r="D4959" s="1">
        <v>43991</v>
      </c>
      <c r="E4959">
        <f>MONTH(D4959)</f>
        <v>6</v>
      </c>
      <c r="F4959" s="2" t="s">
        <v>2098</v>
      </c>
      <c r="G4959" t="s">
        <v>230</v>
      </c>
      <c r="H4959" t="s">
        <v>259</v>
      </c>
      <c r="I4959" t="s">
        <v>22</v>
      </c>
      <c r="J4959" s="2" t="s">
        <v>42</v>
      </c>
      <c r="K4959" s="2" t="s">
        <v>3019</v>
      </c>
      <c r="L4959" t="s">
        <v>25</v>
      </c>
      <c r="M4959" s="8">
        <v>4.2283333330000001</v>
      </c>
      <c r="N4959" t="s">
        <v>26</v>
      </c>
      <c r="O4959" s="8">
        <v>4.2283333330000001</v>
      </c>
      <c r="P4959" s="8">
        <f>EXP(-1.363+3.366*LOG(O4959,10))</f>
        <v>2.1057792396965977</v>
      </c>
      <c r="Q4959" s="8">
        <f>(3939723*100)/4442581</f>
        <v>88.680949204977921</v>
      </c>
    </row>
    <row r="4960" spans="1:17" x14ac:dyDescent="0.2">
      <c r="A4960">
        <f>YEAR(D4960)</f>
        <v>2020</v>
      </c>
      <c r="B4960" t="s">
        <v>26</v>
      </c>
      <c r="C4960" s="2" t="s">
        <v>3018</v>
      </c>
      <c r="D4960" s="1">
        <v>43991</v>
      </c>
      <c r="E4960">
        <f>MONTH(D4960)</f>
        <v>6</v>
      </c>
      <c r="F4960" s="2" t="s">
        <v>2098</v>
      </c>
      <c r="G4960" t="s">
        <v>352</v>
      </c>
      <c r="H4960" t="s">
        <v>353</v>
      </c>
      <c r="I4960" t="s">
        <v>22</v>
      </c>
      <c r="J4960" s="2" t="s">
        <v>42</v>
      </c>
      <c r="K4960" s="2" t="s">
        <v>3019</v>
      </c>
      <c r="L4960" t="s">
        <v>25</v>
      </c>
      <c r="M4960" s="8">
        <v>1.1623333330000001</v>
      </c>
      <c r="N4960" t="s">
        <v>26</v>
      </c>
      <c r="O4960" s="8">
        <v>1.1623333330000001</v>
      </c>
      <c r="P4960" s="8">
        <f>EXP(-1.363+3.366*LOG(O4960,10))</f>
        <v>0.31883010989102206</v>
      </c>
      <c r="Q4960" s="8">
        <f>(5996898*100)/6073515</f>
        <v>98.738506449724753</v>
      </c>
    </row>
    <row r="4961" spans="1:17" x14ac:dyDescent="0.2">
      <c r="A4961">
        <f>YEAR(D4961)</f>
        <v>2020</v>
      </c>
      <c r="B4961" t="s">
        <v>26</v>
      </c>
      <c r="C4961" s="2" t="s">
        <v>3018</v>
      </c>
      <c r="D4961" s="1">
        <v>43991</v>
      </c>
      <c r="E4961">
        <f>MONTH(D4961)</f>
        <v>6</v>
      </c>
      <c r="F4961" s="2" t="s">
        <v>2098</v>
      </c>
      <c r="G4961" t="s">
        <v>230</v>
      </c>
      <c r="H4961" t="s">
        <v>235</v>
      </c>
      <c r="I4961" t="s">
        <v>22</v>
      </c>
      <c r="J4961" s="2" t="s">
        <v>42</v>
      </c>
      <c r="K4961" s="2" t="s">
        <v>3019</v>
      </c>
      <c r="L4961" t="s">
        <v>25</v>
      </c>
      <c r="M4961" s="8">
        <v>3.4609999999999999</v>
      </c>
      <c r="N4961" t="s">
        <v>26</v>
      </c>
      <c r="O4961" s="8">
        <v>3.4609999999999999</v>
      </c>
      <c r="P4961" s="8">
        <f>EXP(-1.363+3.366*LOG(O4961,10))</f>
        <v>1.5713774371592206</v>
      </c>
      <c r="Q4961" s="8">
        <f>(5996898*100)/6073515</f>
        <v>98.738506449724753</v>
      </c>
    </row>
    <row r="4962" spans="1:17" x14ac:dyDescent="0.2">
      <c r="A4962">
        <f>YEAR(D4962)</f>
        <v>2020</v>
      </c>
      <c r="B4962" t="s">
        <v>26</v>
      </c>
      <c r="C4962" s="2" t="s">
        <v>3018</v>
      </c>
      <c r="D4962" s="1">
        <v>43991</v>
      </c>
      <c r="E4962">
        <f>MONTH(D4962)</f>
        <v>6</v>
      </c>
      <c r="F4962" s="2" t="s">
        <v>2098</v>
      </c>
      <c r="G4962" t="s">
        <v>303</v>
      </c>
      <c r="H4962" t="s">
        <v>307</v>
      </c>
      <c r="I4962" t="s">
        <v>36</v>
      </c>
      <c r="J4962" s="2" t="s">
        <v>42</v>
      </c>
      <c r="K4962" s="2" t="s">
        <v>3019</v>
      </c>
      <c r="L4962" t="s">
        <v>305</v>
      </c>
      <c r="M4962" s="8">
        <v>1.01</v>
      </c>
      <c r="N4962" t="s">
        <v>26</v>
      </c>
      <c r="O4962" s="8">
        <v>1.01</v>
      </c>
      <c r="P4962" s="8">
        <f>EXP(-1.363+3.366*LOG(O4962,10))</f>
        <v>0.25964128962709732</v>
      </c>
      <c r="Q4962" s="8">
        <f>(5996898*100)/6073515</f>
        <v>98.738506449724753</v>
      </c>
    </row>
    <row r="4963" spans="1:17" x14ac:dyDescent="0.2">
      <c r="A4963">
        <f>YEAR(D4963)</f>
        <v>2020</v>
      </c>
      <c r="B4963" t="s">
        <v>26</v>
      </c>
      <c r="C4963" s="2" t="s">
        <v>3018</v>
      </c>
      <c r="D4963" s="1">
        <v>43991</v>
      </c>
      <c r="E4963">
        <f>MONTH(D4963)</f>
        <v>6</v>
      </c>
      <c r="F4963" s="2" t="s">
        <v>2098</v>
      </c>
      <c r="G4963" t="s">
        <v>352</v>
      </c>
      <c r="H4963" t="s">
        <v>975</v>
      </c>
      <c r="I4963" t="s">
        <v>22</v>
      </c>
      <c r="J4963" s="2" t="s">
        <v>42</v>
      </c>
      <c r="K4963" s="2" t="s">
        <v>3019</v>
      </c>
      <c r="L4963" t="s">
        <v>25</v>
      </c>
      <c r="M4963" s="8">
        <v>1.0693333330000001</v>
      </c>
      <c r="N4963" t="s">
        <v>26</v>
      </c>
      <c r="O4963" s="8">
        <v>1.0693333330000001</v>
      </c>
      <c r="P4963" s="8">
        <f>EXP(-1.363+3.366*LOG(O4963,10))</f>
        <v>0.28223780327142356</v>
      </c>
      <c r="Q4963" s="8">
        <f>(5996898*100)/6073515</f>
        <v>98.738506449724753</v>
      </c>
    </row>
    <row r="4964" spans="1:17" x14ac:dyDescent="0.2">
      <c r="A4964">
        <f>YEAR(D4964)</f>
        <v>2020</v>
      </c>
      <c r="B4964" t="s">
        <v>26</v>
      </c>
      <c r="C4964" s="2" t="s">
        <v>3018</v>
      </c>
      <c r="D4964" s="1">
        <v>43991</v>
      </c>
      <c r="E4964">
        <f>MONTH(D4964)</f>
        <v>6</v>
      </c>
      <c r="F4964" s="2" t="s">
        <v>2098</v>
      </c>
      <c r="G4964" t="s">
        <v>352</v>
      </c>
      <c r="H4964" t="s">
        <v>353</v>
      </c>
      <c r="I4964" t="s">
        <v>22</v>
      </c>
      <c r="J4964" s="2" t="s">
        <v>42</v>
      </c>
      <c r="K4964" s="2" t="s">
        <v>3019</v>
      </c>
      <c r="L4964" t="s">
        <v>25</v>
      </c>
      <c r="M4964" s="8">
        <v>1.1623333330000001</v>
      </c>
      <c r="N4964" t="s">
        <v>26</v>
      </c>
      <c r="O4964" s="8">
        <v>1.1623333330000001</v>
      </c>
      <c r="P4964" s="8">
        <f>EXP(-1.363+3.366*LOG(O4964,10))</f>
        <v>0.31883010989102206</v>
      </c>
      <c r="Q4964" s="8">
        <f>(5996898*100)/6073515</f>
        <v>98.738506449724753</v>
      </c>
    </row>
    <row r="4965" spans="1:17" x14ac:dyDescent="0.2">
      <c r="A4965">
        <f>YEAR(D4965)</f>
        <v>2020</v>
      </c>
      <c r="B4965" t="s">
        <v>26</v>
      </c>
      <c r="C4965" s="2" t="s">
        <v>3018</v>
      </c>
      <c r="D4965" s="1">
        <v>43991</v>
      </c>
      <c r="E4965">
        <f>MONTH(D4965)</f>
        <v>6</v>
      </c>
      <c r="F4965" s="2" t="s">
        <v>2098</v>
      </c>
      <c r="G4965" t="s">
        <v>303</v>
      </c>
      <c r="H4965" t="s">
        <v>307</v>
      </c>
      <c r="I4965" t="s">
        <v>22</v>
      </c>
      <c r="J4965" s="2" t="s">
        <v>42</v>
      </c>
      <c r="K4965" s="2" t="s">
        <v>3019</v>
      </c>
      <c r="L4965" t="s">
        <v>305</v>
      </c>
      <c r="M4965" s="8">
        <v>1.1000000000000001</v>
      </c>
      <c r="N4965" t="s">
        <v>26</v>
      </c>
      <c r="O4965" s="8">
        <v>1.1000000000000001</v>
      </c>
      <c r="P4965" s="8">
        <f>EXP(-1.363+3.366*LOG(O4965,10))</f>
        <v>0.29414800446794787</v>
      </c>
      <c r="Q4965" s="8">
        <f>(5996898*100)/6073515</f>
        <v>98.738506449724753</v>
      </c>
    </row>
    <row r="4966" spans="1:17" x14ac:dyDescent="0.2">
      <c r="A4966">
        <f>YEAR(D4966)</f>
        <v>2020</v>
      </c>
      <c r="B4966" t="s">
        <v>26</v>
      </c>
      <c r="C4966" s="2" t="s">
        <v>3018</v>
      </c>
      <c r="D4966" s="1">
        <v>43991</v>
      </c>
      <c r="E4966">
        <f>MONTH(D4966)</f>
        <v>6</v>
      </c>
      <c r="F4966" s="2" t="s">
        <v>2098</v>
      </c>
      <c r="G4966" t="s">
        <v>352</v>
      </c>
      <c r="H4966" t="s">
        <v>353</v>
      </c>
      <c r="I4966" t="s">
        <v>22</v>
      </c>
      <c r="J4966" s="2" t="s">
        <v>42</v>
      </c>
      <c r="K4966" s="2" t="s">
        <v>3019</v>
      </c>
      <c r="L4966" t="s">
        <v>25</v>
      </c>
      <c r="M4966" s="8">
        <v>1.1623333330000001</v>
      </c>
      <c r="N4966" t="s">
        <v>26</v>
      </c>
      <c r="O4966" s="8">
        <v>1.1623333330000001</v>
      </c>
      <c r="P4966" s="8">
        <f>EXP(-1.363+3.366*LOG(O4966,10))</f>
        <v>0.31883010989102206</v>
      </c>
      <c r="Q4966" s="8">
        <f>(5996898*100)/6073515</f>
        <v>98.738506449724753</v>
      </c>
    </row>
    <row r="4967" spans="1:17" x14ac:dyDescent="0.2">
      <c r="A4967">
        <f>YEAR(D4967)</f>
        <v>2020</v>
      </c>
      <c r="B4967" t="s">
        <v>26</v>
      </c>
      <c r="C4967" s="2" t="s">
        <v>3018</v>
      </c>
      <c r="D4967" s="1">
        <v>43991</v>
      </c>
      <c r="E4967">
        <f>MONTH(D4967)</f>
        <v>6</v>
      </c>
      <c r="F4967" s="2" t="s">
        <v>2098</v>
      </c>
      <c r="G4967" t="s">
        <v>352</v>
      </c>
      <c r="H4967" t="s">
        <v>1344</v>
      </c>
      <c r="I4967" t="s">
        <v>22</v>
      </c>
      <c r="J4967" s="2" t="s">
        <v>42</v>
      </c>
      <c r="K4967" s="2" t="s">
        <v>3019</v>
      </c>
      <c r="L4967" t="s">
        <v>25</v>
      </c>
      <c r="M4967" s="8">
        <v>0.91800000000000004</v>
      </c>
      <c r="N4967" t="s">
        <v>26</v>
      </c>
      <c r="O4967" s="8">
        <v>0.91800000000000004</v>
      </c>
      <c r="P4967" s="8">
        <f>EXP(-1.363+3.366*LOG(O4967,10))</f>
        <v>0.22580769814771504</v>
      </c>
      <c r="Q4967" s="8">
        <f>(5996898*100)/6073515</f>
        <v>98.738506449724753</v>
      </c>
    </row>
    <row r="4968" spans="1:17" x14ac:dyDescent="0.2">
      <c r="A4968">
        <f>YEAR(D4968)</f>
        <v>2020</v>
      </c>
      <c r="B4968" t="s">
        <v>26</v>
      </c>
      <c r="C4968" s="2" t="s">
        <v>3018</v>
      </c>
      <c r="D4968" s="1">
        <v>43991</v>
      </c>
      <c r="E4968">
        <f>MONTH(D4968)</f>
        <v>6</v>
      </c>
      <c r="F4968" s="2" t="s">
        <v>2098</v>
      </c>
      <c r="G4968" t="s">
        <v>352</v>
      </c>
      <c r="H4968" t="s">
        <v>975</v>
      </c>
      <c r="I4968" t="s">
        <v>22</v>
      </c>
      <c r="J4968" s="2" t="s">
        <v>42</v>
      </c>
      <c r="K4968" s="2" t="s">
        <v>3019</v>
      </c>
      <c r="L4968" t="s">
        <v>25</v>
      </c>
      <c r="M4968" s="8">
        <v>1.0693333330000001</v>
      </c>
      <c r="N4968" t="s">
        <v>26</v>
      </c>
      <c r="O4968" s="8">
        <v>1.0693333330000001</v>
      </c>
      <c r="P4968" s="8">
        <f>EXP(-1.363+3.366*LOG(O4968,10))</f>
        <v>0.28223780327142356</v>
      </c>
      <c r="Q4968" s="8">
        <f>(5996898*100)/6073515</f>
        <v>98.738506449724753</v>
      </c>
    </row>
    <row r="4969" spans="1:17" x14ac:dyDescent="0.2">
      <c r="A4969">
        <f>YEAR(D4969)</f>
        <v>2020</v>
      </c>
      <c r="B4969" t="s">
        <v>26</v>
      </c>
      <c r="C4969" s="2" t="s">
        <v>3018</v>
      </c>
      <c r="D4969" s="1">
        <v>43991</v>
      </c>
      <c r="E4969">
        <f>MONTH(D4969)</f>
        <v>6</v>
      </c>
      <c r="F4969" s="2" t="s">
        <v>2098</v>
      </c>
      <c r="G4969" t="s">
        <v>230</v>
      </c>
      <c r="H4969" t="s">
        <v>259</v>
      </c>
      <c r="I4969" t="s">
        <v>22</v>
      </c>
      <c r="J4969" s="2" t="s">
        <v>42</v>
      </c>
      <c r="K4969" s="2" t="s">
        <v>3019</v>
      </c>
      <c r="L4969" t="s">
        <v>25</v>
      </c>
      <c r="M4969" s="8">
        <v>4.2283333330000001</v>
      </c>
      <c r="N4969" t="s">
        <v>26</v>
      </c>
      <c r="O4969" s="8">
        <v>4.2283333330000001</v>
      </c>
      <c r="P4969" s="8">
        <f>EXP(-1.363+3.366*LOG(O4969,10))</f>
        <v>2.1057792396965977</v>
      </c>
      <c r="Q4969" s="8">
        <f>(5996898*100)/6073515</f>
        <v>98.738506449724753</v>
      </c>
    </row>
    <row r="4970" spans="1:17" x14ac:dyDescent="0.2">
      <c r="A4970">
        <f>YEAR(D4970)</f>
        <v>2020</v>
      </c>
      <c r="B4970" t="s">
        <v>26</v>
      </c>
      <c r="C4970" s="2" t="s">
        <v>3018</v>
      </c>
      <c r="D4970" s="1">
        <v>43991</v>
      </c>
      <c r="E4970">
        <f>MONTH(D4970)</f>
        <v>6</v>
      </c>
      <c r="F4970" s="2" t="s">
        <v>2098</v>
      </c>
      <c r="G4970" t="s">
        <v>352</v>
      </c>
      <c r="H4970" t="s">
        <v>353</v>
      </c>
      <c r="I4970" t="s">
        <v>22</v>
      </c>
      <c r="J4970" s="2" t="s">
        <v>42</v>
      </c>
      <c r="K4970" s="2" t="s">
        <v>3019</v>
      </c>
      <c r="L4970" t="s">
        <v>25</v>
      </c>
      <c r="M4970" s="8">
        <v>1.1623333330000001</v>
      </c>
      <c r="N4970" t="s">
        <v>26</v>
      </c>
      <c r="O4970" s="8">
        <v>1.1623333330000001</v>
      </c>
      <c r="P4970" s="8">
        <f>EXP(-1.363+3.366*LOG(O4970,10))</f>
        <v>0.31883010989102206</v>
      </c>
      <c r="Q4970" s="8">
        <f>(5996898*100)/6073515</f>
        <v>98.738506449724753</v>
      </c>
    </row>
    <row r="4971" spans="1:17" x14ac:dyDescent="0.2">
      <c r="A4971">
        <f>YEAR(D4971)</f>
        <v>2020</v>
      </c>
      <c r="B4971" t="s">
        <v>26</v>
      </c>
      <c r="C4971" s="2" t="s">
        <v>3018</v>
      </c>
      <c r="D4971" s="1">
        <v>43991</v>
      </c>
      <c r="E4971">
        <f>MONTH(D4971)</f>
        <v>6</v>
      </c>
      <c r="F4971" s="2" t="s">
        <v>2098</v>
      </c>
      <c r="G4971" t="s">
        <v>352</v>
      </c>
      <c r="H4971" t="s">
        <v>353</v>
      </c>
      <c r="I4971" t="s">
        <v>22</v>
      </c>
      <c r="J4971" s="2" t="s">
        <v>42</v>
      </c>
      <c r="K4971" s="2" t="s">
        <v>3019</v>
      </c>
      <c r="L4971" t="s">
        <v>25</v>
      </c>
      <c r="M4971" s="8">
        <v>1.1623333330000001</v>
      </c>
      <c r="N4971" t="s">
        <v>26</v>
      </c>
      <c r="O4971" s="8">
        <v>1.1623333330000001</v>
      </c>
      <c r="P4971" s="8">
        <f>EXP(-1.363+3.366*LOG(O4971,10))</f>
        <v>0.31883010989102206</v>
      </c>
      <c r="Q4971" s="8">
        <f>(5996898*100)/6073515</f>
        <v>98.738506449724753</v>
      </c>
    </row>
    <row r="4972" spans="1:17" x14ac:dyDescent="0.2">
      <c r="A4972">
        <f>YEAR(D4972)</f>
        <v>2020</v>
      </c>
      <c r="B4972" t="s">
        <v>26</v>
      </c>
      <c r="C4972" s="2" t="s">
        <v>3018</v>
      </c>
      <c r="D4972" s="1">
        <v>43991</v>
      </c>
      <c r="E4972">
        <f>MONTH(D4972)</f>
        <v>6</v>
      </c>
      <c r="F4972" s="2" t="s">
        <v>2098</v>
      </c>
      <c r="G4972" t="s">
        <v>362</v>
      </c>
      <c r="H4972" t="s">
        <v>447</v>
      </c>
      <c r="I4972" t="s">
        <v>22</v>
      </c>
      <c r="J4972" s="2" t="s">
        <v>42</v>
      </c>
      <c r="K4972" s="2" t="s">
        <v>3019</v>
      </c>
      <c r="L4972" t="s">
        <v>25</v>
      </c>
      <c r="M4972" s="8">
        <v>1.421</v>
      </c>
      <c r="N4972" t="s">
        <v>26</v>
      </c>
      <c r="O4972" s="8">
        <v>1.421</v>
      </c>
      <c r="P4972" s="8">
        <f>EXP(-1.363+3.366*LOG(O4972,10))</f>
        <v>0.42768500084673816</v>
      </c>
      <c r="Q4972" s="8">
        <f>(5996898*100)/6073515</f>
        <v>98.738506449724753</v>
      </c>
    </row>
    <row r="4973" spans="1:17" x14ac:dyDescent="0.2">
      <c r="A4973">
        <f>YEAR(D4973)</f>
        <v>2020</v>
      </c>
      <c r="B4973" t="s">
        <v>26</v>
      </c>
      <c r="C4973" s="2" t="s">
        <v>3025</v>
      </c>
      <c r="D4973" s="1">
        <v>43992</v>
      </c>
      <c r="E4973">
        <f>MONTH(D4973)</f>
        <v>6</v>
      </c>
      <c r="F4973" s="2" t="s">
        <v>2098</v>
      </c>
      <c r="G4973" t="s">
        <v>219</v>
      </c>
      <c r="H4973" t="s">
        <v>220</v>
      </c>
      <c r="I4973" t="s">
        <v>22</v>
      </c>
      <c r="J4973" s="2" t="s">
        <v>42</v>
      </c>
      <c r="K4973" s="2" t="s">
        <v>3019</v>
      </c>
      <c r="L4973" t="s">
        <v>25</v>
      </c>
      <c r="M4973" s="10" t="s">
        <v>26</v>
      </c>
      <c r="N4973" t="s">
        <v>26</v>
      </c>
      <c r="O4973" s="10" t="s">
        <v>26</v>
      </c>
      <c r="P4973" s="8" t="s">
        <v>26</v>
      </c>
      <c r="Q4973" s="8">
        <f>(1955155*100)/2180255</f>
        <v>89.67551960665152</v>
      </c>
    </row>
    <row r="4974" spans="1:17" x14ac:dyDescent="0.2">
      <c r="A4974">
        <f>YEAR(D4974)</f>
        <v>2020</v>
      </c>
      <c r="B4974" t="s">
        <v>26</v>
      </c>
      <c r="C4974" s="2" t="s">
        <v>3025</v>
      </c>
      <c r="D4974" s="1">
        <v>43992</v>
      </c>
      <c r="E4974">
        <f>MONTH(D4974)</f>
        <v>6</v>
      </c>
      <c r="F4974" s="2" t="s">
        <v>2098</v>
      </c>
      <c r="G4974" t="s">
        <v>362</v>
      </c>
      <c r="H4974" t="s">
        <v>393</v>
      </c>
      <c r="I4974" t="s">
        <v>22</v>
      </c>
      <c r="J4974" s="2" t="s">
        <v>42</v>
      </c>
      <c r="K4974" s="2" t="s">
        <v>3019</v>
      </c>
      <c r="L4974" t="s">
        <v>25</v>
      </c>
      <c r="M4974" s="8">
        <v>2.4239999999999999</v>
      </c>
      <c r="N4974" t="s">
        <v>26</v>
      </c>
      <c r="O4974" s="8">
        <v>2.4239999999999999</v>
      </c>
      <c r="P4974" s="8">
        <f>EXP(-1.363+3.366*LOG(O4974,10))</f>
        <v>0.93364106227732868</v>
      </c>
      <c r="Q4974" s="8">
        <f>(1955155*100)/2180255</f>
        <v>89.67551960665152</v>
      </c>
    </row>
    <row r="4975" spans="1:17" x14ac:dyDescent="0.2">
      <c r="A4975">
        <f>YEAR(D4975)</f>
        <v>2020</v>
      </c>
      <c r="B4975" t="s">
        <v>26</v>
      </c>
      <c r="C4975" s="2" t="s">
        <v>3025</v>
      </c>
      <c r="D4975" s="1">
        <v>43992</v>
      </c>
      <c r="E4975">
        <f>MONTH(D4975)</f>
        <v>6</v>
      </c>
      <c r="F4975" s="2" t="s">
        <v>2098</v>
      </c>
      <c r="G4975" t="s">
        <v>362</v>
      </c>
      <c r="H4975" t="s">
        <v>393</v>
      </c>
      <c r="I4975" t="s">
        <v>22</v>
      </c>
      <c r="J4975" s="2" t="s">
        <v>42</v>
      </c>
      <c r="K4975" s="2" t="s">
        <v>3019</v>
      </c>
      <c r="L4975" t="s">
        <v>25</v>
      </c>
      <c r="M4975" s="8">
        <v>2.4239999999999999</v>
      </c>
      <c r="N4975" t="s">
        <v>26</v>
      </c>
      <c r="O4975" s="8">
        <v>2.4239999999999999</v>
      </c>
      <c r="P4975" s="8">
        <f>EXP(-1.363+3.366*LOG(O4975,10))</f>
        <v>0.93364106227732868</v>
      </c>
      <c r="Q4975" s="8">
        <f>(1955155*100)/2180255</f>
        <v>89.67551960665152</v>
      </c>
    </row>
    <row r="4976" spans="1:17" x14ac:dyDescent="0.2">
      <c r="A4976">
        <f>YEAR(D4976)</f>
        <v>2020</v>
      </c>
      <c r="B4976" t="s">
        <v>26</v>
      </c>
      <c r="C4976" s="2" t="s">
        <v>3025</v>
      </c>
      <c r="D4976" s="1">
        <v>43992</v>
      </c>
      <c r="E4976">
        <f>MONTH(D4976)</f>
        <v>6</v>
      </c>
      <c r="F4976" s="2" t="s">
        <v>2098</v>
      </c>
      <c r="G4976" t="s">
        <v>362</v>
      </c>
      <c r="H4976" t="s">
        <v>393</v>
      </c>
      <c r="I4976" t="s">
        <v>22</v>
      </c>
      <c r="J4976" s="2" t="s">
        <v>42</v>
      </c>
      <c r="K4976" s="2" t="s">
        <v>3019</v>
      </c>
      <c r="L4976" t="s">
        <v>25</v>
      </c>
      <c r="M4976" s="8">
        <v>2.4239999999999999</v>
      </c>
      <c r="N4976" t="s">
        <v>26</v>
      </c>
      <c r="O4976" s="8">
        <v>2.4239999999999999</v>
      </c>
      <c r="P4976" s="8">
        <f>EXP(-1.363+3.366*LOG(O4976,10))</f>
        <v>0.93364106227732868</v>
      </c>
      <c r="Q4976" s="8">
        <f>(1955155*100)/2180255</f>
        <v>89.67551960665152</v>
      </c>
    </row>
    <row r="4977" spans="1:17" x14ac:dyDescent="0.2">
      <c r="A4977">
        <f>YEAR(D4977)</f>
        <v>2020</v>
      </c>
      <c r="B4977" t="s">
        <v>26</v>
      </c>
      <c r="C4977" s="2" t="s">
        <v>3025</v>
      </c>
      <c r="D4977" s="1">
        <v>43992</v>
      </c>
      <c r="E4977">
        <f>MONTH(D4977)</f>
        <v>6</v>
      </c>
      <c r="F4977" s="2" t="s">
        <v>2098</v>
      </c>
      <c r="G4977" t="s">
        <v>362</v>
      </c>
      <c r="H4977" t="s">
        <v>393</v>
      </c>
      <c r="I4977" t="s">
        <v>22</v>
      </c>
      <c r="J4977" s="2" t="s">
        <v>42</v>
      </c>
      <c r="K4977" s="2" t="s">
        <v>3019</v>
      </c>
      <c r="L4977" t="s">
        <v>25</v>
      </c>
      <c r="M4977" s="8">
        <v>2.4239999999999999</v>
      </c>
      <c r="N4977" t="s">
        <v>26</v>
      </c>
      <c r="O4977" s="8">
        <v>2.4239999999999999</v>
      </c>
      <c r="P4977" s="8">
        <f>EXP(-1.363+3.366*LOG(O4977,10))</f>
        <v>0.93364106227732868</v>
      </c>
      <c r="Q4977" s="8">
        <f>(1955155*100)/2180255</f>
        <v>89.67551960665152</v>
      </c>
    </row>
    <row r="4978" spans="1:17" x14ac:dyDescent="0.2">
      <c r="A4978">
        <f>YEAR(D4978)</f>
        <v>2020</v>
      </c>
      <c r="B4978" t="s">
        <v>26</v>
      </c>
      <c r="C4978" s="2" t="s">
        <v>3025</v>
      </c>
      <c r="D4978" s="1">
        <v>43992</v>
      </c>
      <c r="E4978">
        <f>MONTH(D4978)</f>
        <v>6</v>
      </c>
      <c r="F4978" s="2" t="s">
        <v>2098</v>
      </c>
      <c r="G4978" t="s">
        <v>362</v>
      </c>
      <c r="H4978" t="s">
        <v>393</v>
      </c>
      <c r="I4978" t="s">
        <v>22</v>
      </c>
      <c r="J4978" s="2" t="s">
        <v>42</v>
      </c>
      <c r="K4978" s="2" t="s">
        <v>3019</v>
      </c>
      <c r="L4978" t="s">
        <v>25</v>
      </c>
      <c r="M4978" s="8">
        <v>2.4239999999999999</v>
      </c>
      <c r="N4978" t="s">
        <v>26</v>
      </c>
      <c r="O4978" s="8">
        <v>2.4239999999999999</v>
      </c>
      <c r="P4978" s="8">
        <f>EXP(-1.363+3.366*LOG(O4978,10))</f>
        <v>0.93364106227732868</v>
      </c>
      <c r="Q4978" s="8">
        <f>(1955155*100)/2180255</f>
        <v>89.67551960665152</v>
      </c>
    </row>
    <row r="4979" spans="1:17" x14ac:dyDescent="0.2">
      <c r="A4979">
        <f>YEAR(D4979)</f>
        <v>2020</v>
      </c>
      <c r="B4979" t="s">
        <v>26</v>
      </c>
      <c r="C4979" s="2" t="s">
        <v>3026</v>
      </c>
      <c r="D4979" s="1">
        <v>43992</v>
      </c>
      <c r="E4979">
        <f>MONTH(D4979)</f>
        <v>6</v>
      </c>
      <c r="F4979" s="2" t="s">
        <v>2098</v>
      </c>
      <c r="G4979" t="s">
        <v>219</v>
      </c>
      <c r="H4979" t="s">
        <v>220</v>
      </c>
      <c r="I4979" t="s">
        <v>22</v>
      </c>
      <c r="J4979" s="2" t="s">
        <v>42</v>
      </c>
      <c r="K4979" s="2" t="s">
        <v>3019</v>
      </c>
      <c r="L4979" t="s">
        <v>25</v>
      </c>
      <c r="M4979" s="10" t="s">
        <v>26</v>
      </c>
      <c r="N4979" t="s">
        <v>26</v>
      </c>
      <c r="O4979" s="10" t="s">
        <v>26</v>
      </c>
      <c r="P4979" s="8" t="s">
        <v>26</v>
      </c>
      <c r="Q4979" s="8">
        <f>(2317420*100)/2442061</f>
        <v>94.896073439606951</v>
      </c>
    </row>
    <row r="4980" spans="1:17" x14ac:dyDescent="0.2">
      <c r="A4980">
        <f>YEAR(D4980)</f>
        <v>2020</v>
      </c>
      <c r="B4980" t="s">
        <v>26</v>
      </c>
      <c r="C4980" s="2" t="s">
        <v>3026</v>
      </c>
      <c r="D4980" s="1">
        <v>43992</v>
      </c>
      <c r="E4980">
        <f>MONTH(D4980)</f>
        <v>6</v>
      </c>
      <c r="F4980" s="2" t="s">
        <v>2098</v>
      </c>
      <c r="G4980" t="s">
        <v>219</v>
      </c>
      <c r="H4980" t="s">
        <v>220</v>
      </c>
      <c r="I4980" t="s">
        <v>22</v>
      </c>
      <c r="J4980" s="2" t="s">
        <v>42</v>
      </c>
      <c r="K4980" s="2" t="s">
        <v>3019</v>
      </c>
      <c r="L4980" t="s">
        <v>25</v>
      </c>
      <c r="M4980" s="10" t="s">
        <v>26</v>
      </c>
      <c r="N4980" t="s">
        <v>26</v>
      </c>
      <c r="O4980" s="10" t="s">
        <v>26</v>
      </c>
      <c r="P4980" s="8" t="s">
        <v>26</v>
      </c>
      <c r="Q4980" s="8">
        <f>(2317420*100)/2442061</f>
        <v>94.896073439606951</v>
      </c>
    </row>
    <row r="4981" spans="1:17" x14ac:dyDescent="0.2">
      <c r="A4981">
        <f>YEAR(D4981)</f>
        <v>2020</v>
      </c>
      <c r="B4981" t="s">
        <v>26</v>
      </c>
      <c r="C4981" s="2" t="s">
        <v>3026</v>
      </c>
      <c r="D4981" s="1">
        <v>43992</v>
      </c>
      <c r="E4981">
        <f>MONTH(D4981)</f>
        <v>6</v>
      </c>
      <c r="F4981" s="2" t="s">
        <v>2098</v>
      </c>
      <c r="G4981" t="s">
        <v>219</v>
      </c>
      <c r="H4981" t="s">
        <v>220</v>
      </c>
      <c r="I4981" t="s">
        <v>22</v>
      </c>
      <c r="J4981" s="2" t="s">
        <v>42</v>
      </c>
      <c r="K4981" s="2" t="s">
        <v>3019</v>
      </c>
      <c r="L4981" t="s">
        <v>25</v>
      </c>
      <c r="M4981" s="10" t="s">
        <v>26</v>
      </c>
      <c r="N4981" t="s">
        <v>26</v>
      </c>
      <c r="O4981" s="10" t="s">
        <v>26</v>
      </c>
      <c r="P4981" s="8" t="s">
        <v>26</v>
      </c>
      <c r="Q4981" s="8">
        <f>(2317420*100)/2442061</f>
        <v>94.896073439606951</v>
      </c>
    </row>
    <row r="4982" spans="1:17" x14ac:dyDescent="0.2">
      <c r="A4982">
        <f>YEAR(D4982)</f>
        <v>2020</v>
      </c>
      <c r="B4982" t="s">
        <v>26</v>
      </c>
      <c r="C4982" s="2" t="s">
        <v>3026</v>
      </c>
      <c r="D4982" s="1">
        <v>43992</v>
      </c>
      <c r="E4982">
        <f>MONTH(D4982)</f>
        <v>6</v>
      </c>
      <c r="F4982" s="2" t="s">
        <v>2098</v>
      </c>
      <c r="G4982" t="s">
        <v>230</v>
      </c>
      <c r="H4982" t="s">
        <v>268</v>
      </c>
      <c r="I4982" t="s">
        <v>22</v>
      </c>
      <c r="J4982" s="2" t="s">
        <v>42</v>
      </c>
      <c r="K4982" s="2" t="s">
        <v>3019</v>
      </c>
      <c r="L4982" t="s">
        <v>25</v>
      </c>
      <c r="M4982" s="8">
        <v>3.5356666670000001</v>
      </c>
      <c r="N4982" t="s">
        <v>26</v>
      </c>
      <c r="O4982" s="8">
        <v>3.5356666670000001</v>
      </c>
      <c r="P4982" s="8">
        <f>EXP(-1.363+3.366*LOG(O4982,10))</f>
        <v>1.6211802664427075</v>
      </c>
      <c r="Q4982" s="8">
        <f>(2317420*100)/2442061</f>
        <v>94.896073439606951</v>
      </c>
    </row>
    <row r="4983" spans="1:17" x14ac:dyDescent="0.2">
      <c r="A4983">
        <f>YEAR(D4983)</f>
        <v>2020</v>
      </c>
      <c r="B4983" t="s">
        <v>26</v>
      </c>
      <c r="C4983" s="2" t="s">
        <v>3026</v>
      </c>
      <c r="D4983" s="1">
        <v>43992</v>
      </c>
      <c r="E4983">
        <f>MONTH(D4983)</f>
        <v>6</v>
      </c>
      <c r="F4983" s="2" t="s">
        <v>2098</v>
      </c>
      <c r="G4983" t="s">
        <v>230</v>
      </c>
      <c r="H4983" t="s">
        <v>268</v>
      </c>
      <c r="I4983" t="s">
        <v>22</v>
      </c>
      <c r="J4983" s="2" t="s">
        <v>42</v>
      </c>
      <c r="K4983" s="2" t="s">
        <v>3019</v>
      </c>
      <c r="L4983" t="s">
        <v>25</v>
      </c>
      <c r="M4983" s="8">
        <v>3.5356666670000001</v>
      </c>
      <c r="N4983" t="s">
        <v>26</v>
      </c>
      <c r="O4983" s="8">
        <v>3.5356666670000001</v>
      </c>
      <c r="P4983" s="8">
        <f>EXP(-1.363+3.366*LOG(O4983,10))</f>
        <v>1.6211802664427075</v>
      </c>
      <c r="Q4983" s="8">
        <f>(2317420*100)/2442061</f>
        <v>94.896073439606951</v>
      </c>
    </row>
    <row r="4984" spans="1:17" x14ac:dyDescent="0.2">
      <c r="A4984">
        <f>YEAR(D4984)</f>
        <v>2020</v>
      </c>
      <c r="B4984" t="s">
        <v>26</v>
      </c>
      <c r="C4984" s="2" t="s">
        <v>3026</v>
      </c>
      <c r="D4984" s="1">
        <v>43992</v>
      </c>
      <c r="E4984">
        <f>MONTH(D4984)</f>
        <v>6</v>
      </c>
      <c r="F4984" s="2" t="s">
        <v>2098</v>
      </c>
      <c r="G4984" t="s">
        <v>230</v>
      </c>
      <c r="H4984" t="s">
        <v>268</v>
      </c>
      <c r="I4984" t="s">
        <v>22</v>
      </c>
      <c r="J4984" s="2" t="s">
        <v>42</v>
      </c>
      <c r="K4984" s="2" t="s">
        <v>3019</v>
      </c>
      <c r="L4984" t="s">
        <v>25</v>
      </c>
      <c r="M4984" s="8">
        <v>3.5356666670000001</v>
      </c>
      <c r="N4984" t="s">
        <v>26</v>
      </c>
      <c r="O4984" s="8">
        <v>3.5356666670000001</v>
      </c>
      <c r="P4984" s="8">
        <f>EXP(-1.363+3.366*LOG(O4984,10))</f>
        <v>1.6211802664427075</v>
      </c>
      <c r="Q4984" s="8">
        <f>(2317420*100)/2442061</f>
        <v>94.896073439606951</v>
      </c>
    </row>
    <row r="4985" spans="1:17" x14ac:dyDescent="0.2">
      <c r="A4985">
        <f>YEAR(D4985)</f>
        <v>2020</v>
      </c>
      <c r="B4985" t="s">
        <v>26</v>
      </c>
      <c r="C4985" s="2" t="s">
        <v>3026</v>
      </c>
      <c r="D4985" s="1">
        <v>43992</v>
      </c>
      <c r="E4985">
        <f>MONTH(D4985)</f>
        <v>6</v>
      </c>
      <c r="F4985" s="2" t="s">
        <v>2098</v>
      </c>
      <c r="G4985" t="s">
        <v>230</v>
      </c>
      <c r="H4985" t="s">
        <v>268</v>
      </c>
      <c r="I4985" t="s">
        <v>22</v>
      </c>
      <c r="J4985" s="2" t="s">
        <v>42</v>
      </c>
      <c r="K4985" s="2" t="s">
        <v>3019</v>
      </c>
      <c r="L4985" t="s">
        <v>25</v>
      </c>
      <c r="M4985" s="8">
        <v>3.5356666670000001</v>
      </c>
      <c r="N4985" t="s">
        <v>26</v>
      </c>
      <c r="O4985" s="8">
        <v>3.5356666670000001</v>
      </c>
      <c r="P4985" s="8">
        <f>EXP(-1.363+3.366*LOG(O4985,10))</f>
        <v>1.6211802664427075</v>
      </c>
      <c r="Q4985" s="8">
        <f>(2317420*100)/2442061</f>
        <v>94.896073439606951</v>
      </c>
    </row>
    <row r="4986" spans="1:17" x14ac:dyDescent="0.2">
      <c r="A4986">
        <f>YEAR(D4986)</f>
        <v>2020</v>
      </c>
      <c r="B4986" t="s">
        <v>26</v>
      </c>
      <c r="C4986" s="2" t="s">
        <v>3026</v>
      </c>
      <c r="D4986" s="1">
        <v>43992</v>
      </c>
      <c r="E4986">
        <f>MONTH(D4986)</f>
        <v>6</v>
      </c>
      <c r="F4986" s="2" t="s">
        <v>2098</v>
      </c>
      <c r="G4986" t="s">
        <v>230</v>
      </c>
      <c r="H4986" t="s">
        <v>268</v>
      </c>
      <c r="I4986" t="s">
        <v>22</v>
      </c>
      <c r="J4986" s="2" t="s">
        <v>42</v>
      </c>
      <c r="K4986" s="2" t="s">
        <v>3019</v>
      </c>
      <c r="L4986" t="s">
        <v>25</v>
      </c>
      <c r="M4986" s="8">
        <v>3.5356666670000001</v>
      </c>
      <c r="N4986" t="s">
        <v>26</v>
      </c>
      <c r="O4986" s="8">
        <v>3.5356666670000001</v>
      </c>
      <c r="P4986" s="8">
        <f>EXP(-1.363+3.366*LOG(O4986,10))</f>
        <v>1.6211802664427075</v>
      </c>
      <c r="Q4986" s="8">
        <f>(2317420*100)/2442061</f>
        <v>94.896073439606951</v>
      </c>
    </row>
    <row r="4987" spans="1:17" x14ac:dyDescent="0.2">
      <c r="A4987">
        <f>YEAR(D4987)</f>
        <v>2020</v>
      </c>
      <c r="B4987" t="s">
        <v>26</v>
      </c>
      <c r="C4987" s="2" t="s">
        <v>3026</v>
      </c>
      <c r="D4987" s="1">
        <v>43992</v>
      </c>
      <c r="E4987">
        <f>MONTH(D4987)</f>
        <v>6</v>
      </c>
      <c r="F4987" s="2" t="s">
        <v>2098</v>
      </c>
      <c r="G4987" t="s">
        <v>230</v>
      </c>
      <c r="H4987" t="s">
        <v>268</v>
      </c>
      <c r="I4987" t="s">
        <v>22</v>
      </c>
      <c r="J4987" s="2" t="s">
        <v>42</v>
      </c>
      <c r="K4987" s="2" t="s">
        <v>3019</v>
      </c>
      <c r="L4987" t="s">
        <v>25</v>
      </c>
      <c r="M4987" s="8">
        <v>3.5356666670000001</v>
      </c>
      <c r="N4987" t="s">
        <v>26</v>
      </c>
      <c r="O4987" s="8">
        <v>3.5356666670000001</v>
      </c>
      <c r="P4987" s="8">
        <f>EXP(-1.363+3.366*LOG(O4987,10))</f>
        <v>1.6211802664427075</v>
      </c>
      <c r="Q4987" s="8">
        <f>(2317420*100)/2442061</f>
        <v>94.896073439606951</v>
      </c>
    </row>
    <row r="4988" spans="1:17" x14ac:dyDescent="0.2">
      <c r="A4988">
        <f>YEAR(D4988)</f>
        <v>2020</v>
      </c>
      <c r="B4988" t="s">
        <v>26</v>
      </c>
      <c r="C4988" s="2" t="s">
        <v>3026</v>
      </c>
      <c r="D4988" s="1">
        <v>43992</v>
      </c>
      <c r="E4988">
        <f>MONTH(D4988)</f>
        <v>6</v>
      </c>
      <c r="F4988" s="2" t="s">
        <v>2098</v>
      </c>
      <c r="G4988" t="s">
        <v>219</v>
      </c>
      <c r="H4988" t="s">
        <v>220</v>
      </c>
      <c r="I4988" t="s">
        <v>22</v>
      </c>
      <c r="J4988" s="2" t="s">
        <v>42</v>
      </c>
      <c r="K4988" s="2" t="s">
        <v>3019</v>
      </c>
      <c r="L4988" t="s">
        <v>25</v>
      </c>
      <c r="M4988" s="10" t="s">
        <v>26</v>
      </c>
      <c r="N4988" t="s">
        <v>26</v>
      </c>
      <c r="O4988" s="10" t="s">
        <v>26</v>
      </c>
      <c r="P4988" s="8" t="s">
        <v>26</v>
      </c>
      <c r="Q4988" s="8">
        <f>(2317420*100)/2442061</f>
        <v>94.896073439606951</v>
      </c>
    </row>
    <row r="4989" spans="1:17" x14ac:dyDescent="0.2">
      <c r="A4989">
        <f>YEAR(D4989)</f>
        <v>2020</v>
      </c>
      <c r="B4989" t="s">
        <v>26</v>
      </c>
      <c r="C4989" s="2" t="s">
        <v>3025</v>
      </c>
      <c r="D4989" s="1">
        <v>43992</v>
      </c>
      <c r="E4989">
        <f>MONTH(D4989)</f>
        <v>6</v>
      </c>
      <c r="F4989" s="2" t="s">
        <v>2098</v>
      </c>
      <c r="G4989" t="s">
        <v>352</v>
      </c>
      <c r="H4989" t="s">
        <v>623</v>
      </c>
      <c r="I4989" t="s">
        <v>22</v>
      </c>
      <c r="J4989" s="2" t="s">
        <v>42</v>
      </c>
      <c r="K4989" s="2" t="s">
        <v>3019</v>
      </c>
      <c r="L4989" t="s">
        <v>25</v>
      </c>
      <c r="M4989" s="8">
        <v>1.387</v>
      </c>
      <c r="N4989" t="s">
        <v>26</v>
      </c>
      <c r="O4989" s="8">
        <v>1.387</v>
      </c>
      <c r="P4989" s="8">
        <f>EXP(-1.363+3.366*LOG(O4989,10))</f>
        <v>0.41280884754947733</v>
      </c>
      <c r="Q4989" s="8">
        <f>(1955155*100)/2180255</f>
        <v>89.67551960665152</v>
      </c>
    </row>
    <row r="4990" spans="1:17" x14ac:dyDescent="0.2">
      <c r="A4990">
        <f>YEAR(D4990)</f>
        <v>2020</v>
      </c>
      <c r="B4990" t="s">
        <v>26</v>
      </c>
      <c r="C4990" s="2" t="s">
        <v>3025</v>
      </c>
      <c r="D4990" s="1">
        <v>43992</v>
      </c>
      <c r="E4990">
        <f>MONTH(D4990)</f>
        <v>6</v>
      </c>
      <c r="F4990" s="2" t="s">
        <v>2098</v>
      </c>
      <c r="G4990" t="s">
        <v>352</v>
      </c>
      <c r="H4990" t="s">
        <v>728</v>
      </c>
      <c r="I4990" t="s">
        <v>22</v>
      </c>
      <c r="J4990" s="2" t="s">
        <v>42</v>
      </c>
      <c r="K4990" s="2" t="s">
        <v>3019</v>
      </c>
      <c r="L4990" t="s">
        <v>187</v>
      </c>
      <c r="M4990" s="8">
        <v>1.8093333330000001</v>
      </c>
      <c r="N4990" t="s">
        <v>26</v>
      </c>
      <c r="O4990" s="8">
        <v>1.8093333330000001</v>
      </c>
      <c r="P4990" s="8">
        <f>EXP(-1.363+3.366*LOG(O4990,10))</f>
        <v>0.6088444603462565</v>
      </c>
      <c r="Q4990" s="8">
        <f>(1955155*100)/2180255</f>
        <v>89.67551960665152</v>
      </c>
    </row>
    <row r="4991" spans="1:17" x14ac:dyDescent="0.2">
      <c r="A4991">
        <f>YEAR(D4991)</f>
        <v>2020</v>
      </c>
      <c r="B4991" t="s">
        <v>26</v>
      </c>
      <c r="C4991" s="2" t="s">
        <v>3025</v>
      </c>
      <c r="D4991" s="1">
        <v>43992</v>
      </c>
      <c r="E4991">
        <f>MONTH(D4991)</f>
        <v>6</v>
      </c>
      <c r="F4991" s="2" t="s">
        <v>2098</v>
      </c>
      <c r="G4991" t="s">
        <v>352</v>
      </c>
      <c r="H4991" t="s">
        <v>610</v>
      </c>
      <c r="I4991" t="s">
        <v>22</v>
      </c>
      <c r="J4991" s="2" t="s">
        <v>42</v>
      </c>
      <c r="K4991" s="2" t="s">
        <v>3019</v>
      </c>
      <c r="L4991" t="s">
        <v>25</v>
      </c>
      <c r="M4991" s="8">
        <v>0.86499999999999999</v>
      </c>
      <c r="N4991" t="s">
        <v>26</v>
      </c>
      <c r="O4991" s="8">
        <v>0.86499999999999999</v>
      </c>
      <c r="P4991" s="8">
        <f>EXP(-1.363+3.366*LOG(O4991,10))</f>
        <v>0.20700676972346591</v>
      </c>
      <c r="Q4991" s="8">
        <f>(1955155*100)/2180255</f>
        <v>89.67551960665152</v>
      </c>
    </row>
    <row r="4992" spans="1:17" x14ac:dyDescent="0.2">
      <c r="A4992">
        <f>YEAR(D4992)</f>
        <v>2020</v>
      </c>
      <c r="B4992" t="s">
        <v>26</v>
      </c>
      <c r="C4992" s="2" t="s">
        <v>3025</v>
      </c>
      <c r="D4992" s="1">
        <v>43992</v>
      </c>
      <c r="E4992">
        <f>MONTH(D4992)</f>
        <v>6</v>
      </c>
      <c r="F4992" s="2" t="s">
        <v>2098</v>
      </c>
      <c r="G4992" t="s">
        <v>352</v>
      </c>
      <c r="H4992" t="s">
        <v>353</v>
      </c>
      <c r="I4992" t="s">
        <v>22</v>
      </c>
      <c r="J4992" s="2" t="s">
        <v>42</v>
      </c>
      <c r="K4992" s="2" t="s">
        <v>3019</v>
      </c>
      <c r="L4992" t="s">
        <v>25</v>
      </c>
      <c r="M4992" s="8">
        <v>1.1623333330000001</v>
      </c>
      <c r="N4992" t="s">
        <v>26</v>
      </c>
      <c r="O4992" s="8">
        <v>1.1623333330000001</v>
      </c>
      <c r="P4992" s="8">
        <f>EXP(-1.363+3.366*LOG(O4992,10))</f>
        <v>0.31883010989102206</v>
      </c>
      <c r="Q4992" s="8">
        <f>(1955155*100)/2180255</f>
        <v>89.67551960665152</v>
      </c>
    </row>
    <row r="4993" spans="1:17" x14ac:dyDescent="0.2">
      <c r="A4993">
        <f>YEAR(D4993)</f>
        <v>2020</v>
      </c>
      <c r="B4993" t="s">
        <v>26</v>
      </c>
      <c r="C4993" s="2" t="s">
        <v>3025</v>
      </c>
      <c r="D4993" s="1">
        <v>43992</v>
      </c>
      <c r="E4993">
        <f>MONTH(D4993)</f>
        <v>6</v>
      </c>
      <c r="F4993" s="2" t="s">
        <v>2098</v>
      </c>
      <c r="G4993" t="s">
        <v>352</v>
      </c>
      <c r="H4993" t="s">
        <v>353</v>
      </c>
      <c r="I4993" t="s">
        <v>22</v>
      </c>
      <c r="J4993" s="2" t="s">
        <v>42</v>
      </c>
      <c r="K4993" s="2" t="s">
        <v>3019</v>
      </c>
      <c r="L4993" t="s">
        <v>25</v>
      </c>
      <c r="M4993" s="8">
        <v>1.1623333330000001</v>
      </c>
      <c r="N4993" t="s">
        <v>26</v>
      </c>
      <c r="O4993" s="8">
        <v>1.1623333330000001</v>
      </c>
      <c r="P4993" s="8">
        <f>EXP(-1.363+3.366*LOG(O4993,10))</f>
        <v>0.31883010989102206</v>
      </c>
      <c r="Q4993" s="8">
        <f>(1955155*100)/2180255</f>
        <v>89.67551960665152</v>
      </c>
    </row>
    <row r="4994" spans="1:17" x14ac:dyDescent="0.2">
      <c r="A4994">
        <f>YEAR(D4994)</f>
        <v>2020</v>
      </c>
      <c r="B4994" t="s">
        <v>26</v>
      </c>
      <c r="C4994" s="2" t="s">
        <v>3025</v>
      </c>
      <c r="D4994" s="1">
        <v>43992</v>
      </c>
      <c r="E4994">
        <f>MONTH(D4994)</f>
        <v>6</v>
      </c>
      <c r="F4994" s="2" t="s">
        <v>2098</v>
      </c>
      <c r="G4994" t="s">
        <v>352</v>
      </c>
      <c r="H4994" t="s">
        <v>1459</v>
      </c>
      <c r="I4994" t="s">
        <v>22</v>
      </c>
      <c r="J4994" s="2" t="s">
        <v>42</v>
      </c>
      <c r="K4994" s="2" t="s">
        <v>3019</v>
      </c>
      <c r="L4994" t="s">
        <v>25</v>
      </c>
      <c r="M4994" s="8">
        <v>1.1910000000000001</v>
      </c>
      <c r="N4994" t="s">
        <v>26</v>
      </c>
      <c r="O4994" s="8">
        <v>1.1910000000000001</v>
      </c>
      <c r="P4994" s="8">
        <f>EXP(-1.363+3.366*LOG(O4994,10))</f>
        <v>0.33039016297752993</v>
      </c>
      <c r="Q4994" s="8">
        <f>(1955155*100)/2180255</f>
        <v>89.67551960665152</v>
      </c>
    </row>
    <row r="4995" spans="1:17" x14ac:dyDescent="0.2">
      <c r="A4995">
        <f>YEAR(D4995)</f>
        <v>2020</v>
      </c>
      <c r="B4995" t="s">
        <v>26</v>
      </c>
      <c r="C4995" s="2" t="s">
        <v>3025</v>
      </c>
      <c r="D4995" s="1">
        <v>43992</v>
      </c>
      <c r="E4995">
        <f>MONTH(D4995)</f>
        <v>6</v>
      </c>
      <c r="F4995" s="2" t="s">
        <v>2098</v>
      </c>
      <c r="G4995" t="s">
        <v>352</v>
      </c>
      <c r="H4995" t="s">
        <v>1459</v>
      </c>
      <c r="I4995" t="s">
        <v>22</v>
      </c>
      <c r="J4995" s="2" t="s">
        <v>42</v>
      </c>
      <c r="K4995" s="2" t="s">
        <v>3019</v>
      </c>
      <c r="L4995" t="s">
        <v>25</v>
      </c>
      <c r="M4995" s="8">
        <v>1.1910000000000001</v>
      </c>
      <c r="N4995" t="s">
        <v>26</v>
      </c>
      <c r="O4995" s="8">
        <v>1.1910000000000001</v>
      </c>
      <c r="P4995" s="8">
        <f>EXP(-1.363+3.366*LOG(O4995,10))</f>
        <v>0.33039016297752993</v>
      </c>
      <c r="Q4995" s="8">
        <f>(1955155*100)/2180255</f>
        <v>89.67551960665152</v>
      </c>
    </row>
    <row r="4996" spans="1:17" x14ac:dyDescent="0.2">
      <c r="A4996">
        <f>YEAR(D4996)</f>
        <v>2020</v>
      </c>
      <c r="B4996" t="s">
        <v>26</v>
      </c>
      <c r="C4996" s="2" t="s">
        <v>3025</v>
      </c>
      <c r="D4996" s="1">
        <v>43992</v>
      </c>
      <c r="E4996">
        <f>MONTH(D4996)</f>
        <v>6</v>
      </c>
      <c r="F4996" s="2" t="s">
        <v>2098</v>
      </c>
      <c r="G4996" t="s">
        <v>362</v>
      </c>
      <c r="H4996" t="s">
        <v>393</v>
      </c>
      <c r="I4996" t="s">
        <v>22</v>
      </c>
      <c r="J4996" s="2" t="s">
        <v>42</v>
      </c>
      <c r="K4996" s="2" t="s">
        <v>3019</v>
      </c>
      <c r="L4996" t="s">
        <v>25</v>
      </c>
      <c r="M4996" s="8">
        <v>2.4239999999999999</v>
      </c>
      <c r="N4996" t="s">
        <v>26</v>
      </c>
      <c r="O4996" s="8">
        <v>2.4239999999999999</v>
      </c>
      <c r="P4996" s="8">
        <f>EXP(-1.363+3.366*LOG(O4996,10))</f>
        <v>0.93364106227732868</v>
      </c>
      <c r="Q4996" s="8">
        <f>(1955155*100)/2180255</f>
        <v>89.67551960665152</v>
      </c>
    </row>
    <row r="4997" spans="1:17" x14ac:dyDescent="0.2">
      <c r="A4997">
        <f>YEAR(D4997)</f>
        <v>2020</v>
      </c>
      <c r="B4997" t="s">
        <v>26</v>
      </c>
      <c r="C4997" s="2" t="s">
        <v>3025</v>
      </c>
      <c r="D4997" s="1">
        <v>43992</v>
      </c>
      <c r="E4997">
        <f>MONTH(D4997)</f>
        <v>6</v>
      </c>
      <c r="F4997" s="2" t="s">
        <v>2098</v>
      </c>
      <c r="G4997" t="s">
        <v>362</v>
      </c>
      <c r="H4997" t="s">
        <v>393</v>
      </c>
      <c r="I4997" t="s">
        <v>22</v>
      </c>
      <c r="J4997" s="2" t="s">
        <v>42</v>
      </c>
      <c r="K4997" s="2" t="s">
        <v>3019</v>
      </c>
      <c r="L4997" t="s">
        <v>25</v>
      </c>
      <c r="M4997" s="8">
        <v>2.4239999999999999</v>
      </c>
      <c r="N4997" t="s">
        <v>26</v>
      </c>
      <c r="O4997" s="8">
        <v>2.4239999999999999</v>
      </c>
      <c r="P4997" s="8">
        <f>EXP(-1.363+3.366*LOG(O4997,10))</f>
        <v>0.93364106227732868</v>
      </c>
      <c r="Q4997" s="8">
        <f>(1955155*100)/2180255</f>
        <v>89.67551960665152</v>
      </c>
    </row>
    <row r="4998" spans="1:17" x14ac:dyDescent="0.2">
      <c r="A4998">
        <f>YEAR(D4998)</f>
        <v>2020</v>
      </c>
      <c r="B4998" t="s">
        <v>26</v>
      </c>
      <c r="C4998" s="2" t="s">
        <v>3025</v>
      </c>
      <c r="D4998" s="1">
        <v>43992</v>
      </c>
      <c r="E4998">
        <f>MONTH(D4998)</f>
        <v>6</v>
      </c>
      <c r="F4998" s="2" t="s">
        <v>2098</v>
      </c>
      <c r="G4998" t="s">
        <v>352</v>
      </c>
      <c r="H4998" t="s">
        <v>728</v>
      </c>
      <c r="I4998" t="s">
        <v>22</v>
      </c>
      <c r="J4998" s="2" t="s">
        <v>42</v>
      </c>
      <c r="K4998" s="2" t="s">
        <v>3019</v>
      </c>
      <c r="L4998" t="s">
        <v>187</v>
      </c>
      <c r="M4998" s="8">
        <v>1.8093333330000001</v>
      </c>
      <c r="N4998" t="s">
        <v>26</v>
      </c>
      <c r="O4998" s="8">
        <v>1.8093333330000001</v>
      </c>
      <c r="P4998" s="8">
        <f>EXP(-1.363+3.366*LOG(O4998,10))</f>
        <v>0.6088444603462565</v>
      </c>
      <c r="Q4998" s="8">
        <f>(1955155*100)/2180255</f>
        <v>89.67551960665152</v>
      </c>
    </row>
    <row r="4999" spans="1:17" x14ac:dyDescent="0.2">
      <c r="A4999">
        <f>YEAR(D4999)</f>
        <v>2020</v>
      </c>
      <c r="B4999" t="s">
        <v>26</v>
      </c>
      <c r="C4999" s="2" t="s">
        <v>3025</v>
      </c>
      <c r="D4999" s="1">
        <v>43992</v>
      </c>
      <c r="E4999">
        <f>MONTH(D4999)</f>
        <v>6</v>
      </c>
      <c r="F4999" s="2" t="s">
        <v>2098</v>
      </c>
      <c r="G4999" t="s">
        <v>20</v>
      </c>
      <c r="H4999" t="s">
        <v>149</v>
      </c>
      <c r="I4999" t="s">
        <v>22</v>
      </c>
      <c r="J4999" s="2" t="s">
        <v>42</v>
      </c>
      <c r="K4999" s="2" t="s">
        <v>3019</v>
      </c>
      <c r="L4999" t="s">
        <v>25</v>
      </c>
      <c r="M4999" s="8">
        <v>1.45</v>
      </c>
      <c r="N4999" t="s">
        <v>26</v>
      </c>
      <c r="O4999" s="8">
        <v>1.45</v>
      </c>
      <c r="P4999" s="8">
        <f>EXP(-1.363+3.366*LOG(O4999,10))</f>
        <v>0.44050419760124854</v>
      </c>
      <c r="Q4999" s="8">
        <f>(1955155*100)/2180255</f>
        <v>89.67551960665152</v>
      </c>
    </row>
    <row r="5000" spans="1:17" x14ac:dyDescent="0.2">
      <c r="A5000">
        <f>YEAR(D5000)</f>
        <v>2020</v>
      </c>
      <c r="B5000" t="s">
        <v>26</v>
      </c>
      <c r="C5000" s="2" t="s">
        <v>3025</v>
      </c>
      <c r="D5000" s="1">
        <v>43992</v>
      </c>
      <c r="E5000">
        <f>MONTH(D5000)</f>
        <v>6</v>
      </c>
      <c r="F5000" s="2" t="s">
        <v>2098</v>
      </c>
      <c r="G5000" t="s">
        <v>352</v>
      </c>
      <c r="H5000" t="s">
        <v>1459</v>
      </c>
      <c r="I5000" t="s">
        <v>22</v>
      </c>
      <c r="J5000" s="2" t="s">
        <v>42</v>
      </c>
      <c r="K5000" s="2" t="s">
        <v>3019</v>
      </c>
      <c r="L5000" t="s">
        <v>25</v>
      </c>
      <c r="M5000" s="8">
        <v>1.1910000000000001</v>
      </c>
      <c r="N5000" t="s">
        <v>26</v>
      </c>
      <c r="O5000" s="8">
        <v>1.1910000000000001</v>
      </c>
      <c r="P5000" s="8">
        <f>EXP(-1.363+3.366*LOG(O5000,10))</f>
        <v>0.33039016297752993</v>
      </c>
      <c r="Q5000" s="8">
        <f>(1955155*100)/2180255</f>
        <v>89.67551960665152</v>
      </c>
    </row>
    <row r="5001" spans="1:17" x14ac:dyDescent="0.2">
      <c r="A5001">
        <f>YEAR(D5001)</f>
        <v>2020</v>
      </c>
      <c r="B5001" t="s">
        <v>26</v>
      </c>
      <c r="C5001" s="2" t="s">
        <v>3025</v>
      </c>
      <c r="D5001" s="1">
        <v>43992</v>
      </c>
      <c r="E5001">
        <f>MONTH(D5001)</f>
        <v>6</v>
      </c>
      <c r="F5001" s="2" t="s">
        <v>2098</v>
      </c>
      <c r="G5001" t="s">
        <v>352</v>
      </c>
      <c r="H5001" t="s">
        <v>353</v>
      </c>
      <c r="I5001" t="s">
        <v>22</v>
      </c>
      <c r="J5001" s="2" t="s">
        <v>42</v>
      </c>
      <c r="K5001" s="2" t="s">
        <v>3019</v>
      </c>
      <c r="L5001" t="s">
        <v>25</v>
      </c>
      <c r="M5001" s="8">
        <v>1.1623333330000001</v>
      </c>
      <c r="N5001" t="s">
        <v>26</v>
      </c>
      <c r="O5001" s="8">
        <v>1.1623333330000001</v>
      </c>
      <c r="P5001" s="8">
        <f>EXP(-1.363+3.366*LOG(O5001,10))</f>
        <v>0.31883010989102206</v>
      </c>
      <c r="Q5001" s="8">
        <f>(1955155*100)/2180255</f>
        <v>89.67551960665152</v>
      </c>
    </row>
    <row r="5002" spans="1:17" x14ac:dyDescent="0.2">
      <c r="A5002">
        <f>YEAR(D5002)</f>
        <v>2020</v>
      </c>
      <c r="B5002" t="s">
        <v>26</v>
      </c>
      <c r="C5002" s="2" t="s">
        <v>3025</v>
      </c>
      <c r="D5002" s="1">
        <v>43992</v>
      </c>
      <c r="E5002">
        <f>MONTH(D5002)</f>
        <v>6</v>
      </c>
      <c r="F5002" s="2" t="s">
        <v>2098</v>
      </c>
      <c r="G5002" t="s">
        <v>352</v>
      </c>
      <c r="H5002" t="s">
        <v>1459</v>
      </c>
      <c r="I5002" t="s">
        <v>22</v>
      </c>
      <c r="J5002" s="2" t="s">
        <v>42</v>
      </c>
      <c r="K5002" s="2" t="s">
        <v>3019</v>
      </c>
      <c r="L5002" t="s">
        <v>25</v>
      </c>
      <c r="M5002" s="8">
        <v>1.1910000000000001</v>
      </c>
      <c r="N5002" t="s">
        <v>26</v>
      </c>
      <c r="O5002" s="8">
        <v>1.1910000000000001</v>
      </c>
      <c r="P5002" s="8">
        <f>EXP(-1.363+3.366*LOG(O5002,10))</f>
        <v>0.33039016297752993</v>
      </c>
      <c r="Q5002" s="8">
        <f>(1955155*100)/2180255</f>
        <v>89.67551960665152</v>
      </c>
    </row>
    <row r="5003" spans="1:17" x14ac:dyDescent="0.2">
      <c r="A5003">
        <f>YEAR(D5003)</f>
        <v>2020</v>
      </c>
      <c r="B5003" t="s">
        <v>26</v>
      </c>
      <c r="C5003" s="2" t="s">
        <v>3025</v>
      </c>
      <c r="D5003" s="1">
        <v>43992</v>
      </c>
      <c r="E5003">
        <f>MONTH(D5003)</f>
        <v>6</v>
      </c>
      <c r="F5003" s="2" t="s">
        <v>2098</v>
      </c>
      <c r="G5003" t="s">
        <v>352</v>
      </c>
      <c r="H5003" t="s">
        <v>1459</v>
      </c>
      <c r="I5003" t="s">
        <v>22</v>
      </c>
      <c r="J5003" s="2" t="s">
        <v>42</v>
      </c>
      <c r="K5003" s="2" t="s">
        <v>3019</v>
      </c>
      <c r="L5003" t="s">
        <v>25</v>
      </c>
      <c r="M5003" s="8">
        <v>1.1910000000000001</v>
      </c>
      <c r="N5003" t="s">
        <v>26</v>
      </c>
      <c r="O5003" s="8">
        <v>1.1910000000000001</v>
      </c>
      <c r="P5003" s="8">
        <f>EXP(-1.363+3.366*LOG(O5003,10))</f>
        <v>0.33039016297752993</v>
      </c>
      <c r="Q5003" s="8">
        <f>(1955155*100)/2180255</f>
        <v>89.67551960665152</v>
      </c>
    </row>
    <row r="5004" spans="1:17" x14ac:dyDescent="0.2">
      <c r="A5004">
        <f>YEAR(D5004)</f>
        <v>2020</v>
      </c>
      <c r="B5004" t="s">
        <v>26</v>
      </c>
      <c r="C5004" s="2" t="s">
        <v>3025</v>
      </c>
      <c r="D5004" s="1">
        <v>43992</v>
      </c>
      <c r="E5004">
        <f>MONTH(D5004)</f>
        <v>6</v>
      </c>
      <c r="F5004" s="2" t="s">
        <v>2098</v>
      </c>
      <c r="G5004" t="s">
        <v>352</v>
      </c>
      <c r="H5004" t="s">
        <v>353</v>
      </c>
      <c r="I5004" t="s">
        <v>22</v>
      </c>
      <c r="J5004" s="2" t="s">
        <v>42</v>
      </c>
      <c r="K5004" s="2" t="s">
        <v>3019</v>
      </c>
      <c r="L5004" t="s">
        <v>25</v>
      </c>
      <c r="M5004" s="8">
        <v>1.1623333330000001</v>
      </c>
      <c r="N5004" t="s">
        <v>26</v>
      </c>
      <c r="O5004" s="8">
        <v>1.1623333330000001</v>
      </c>
      <c r="P5004" s="8">
        <f>EXP(-1.363+3.366*LOG(O5004,10))</f>
        <v>0.31883010989102206</v>
      </c>
      <c r="Q5004" s="8">
        <f>(1955155*100)/2180255</f>
        <v>89.67551960665152</v>
      </c>
    </row>
    <row r="5005" spans="1:17" x14ac:dyDescent="0.2">
      <c r="A5005">
        <f>YEAR(D5005)</f>
        <v>2020</v>
      </c>
      <c r="B5005" t="s">
        <v>26</v>
      </c>
      <c r="C5005" s="2" t="s">
        <v>3025</v>
      </c>
      <c r="D5005" s="1">
        <v>43992</v>
      </c>
      <c r="E5005">
        <f>MONTH(D5005)</f>
        <v>6</v>
      </c>
      <c r="F5005" s="2" t="s">
        <v>2098</v>
      </c>
      <c r="G5005" t="s">
        <v>352</v>
      </c>
      <c r="H5005" t="s">
        <v>1459</v>
      </c>
      <c r="I5005" t="s">
        <v>22</v>
      </c>
      <c r="J5005" s="2" t="s">
        <v>42</v>
      </c>
      <c r="K5005" s="2" t="s">
        <v>3019</v>
      </c>
      <c r="L5005" t="s">
        <v>25</v>
      </c>
      <c r="M5005" s="8">
        <v>1.1910000000000001</v>
      </c>
      <c r="N5005" t="s">
        <v>26</v>
      </c>
      <c r="O5005" s="8">
        <v>1.1910000000000001</v>
      </c>
      <c r="P5005" s="8">
        <f>EXP(-1.363+3.366*LOG(O5005,10))</f>
        <v>0.33039016297752993</v>
      </c>
      <c r="Q5005" s="8">
        <f>(1955155*100)/2180255</f>
        <v>89.67551960665152</v>
      </c>
    </row>
    <row r="5006" spans="1:17" x14ac:dyDescent="0.2">
      <c r="A5006">
        <f>YEAR(D5006)</f>
        <v>2020</v>
      </c>
      <c r="B5006" t="s">
        <v>26</v>
      </c>
      <c r="C5006" s="2" t="s">
        <v>3025</v>
      </c>
      <c r="D5006" s="1">
        <v>43992</v>
      </c>
      <c r="E5006">
        <f>MONTH(D5006)</f>
        <v>6</v>
      </c>
      <c r="F5006" s="2" t="s">
        <v>2098</v>
      </c>
      <c r="G5006" t="s">
        <v>352</v>
      </c>
      <c r="H5006" t="s">
        <v>1459</v>
      </c>
      <c r="I5006" t="s">
        <v>22</v>
      </c>
      <c r="J5006" s="2" t="s">
        <v>42</v>
      </c>
      <c r="K5006" s="2" t="s">
        <v>3019</v>
      </c>
      <c r="L5006" t="s">
        <v>25</v>
      </c>
      <c r="M5006" s="8">
        <v>1.1910000000000001</v>
      </c>
      <c r="N5006" t="s">
        <v>26</v>
      </c>
      <c r="O5006" s="8">
        <v>1.1910000000000001</v>
      </c>
      <c r="P5006" s="8">
        <f>EXP(-1.363+3.366*LOG(O5006,10))</f>
        <v>0.33039016297752993</v>
      </c>
      <c r="Q5006" s="8">
        <f>(1955155*100)/2180255</f>
        <v>89.67551960665152</v>
      </c>
    </row>
    <row r="5007" spans="1:17" x14ac:dyDescent="0.2">
      <c r="A5007">
        <f>YEAR(D5007)</f>
        <v>2020</v>
      </c>
      <c r="B5007" t="s">
        <v>26</v>
      </c>
      <c r="C5007" s="2" t="s">
        <v>3025</v>
      </c>
      <c r="D5007" s="1">
        <v>43992</v>
      </c>
      <c r="E5007">
        <f>MONTH(D5007)</f>
        <v>6</v>
      </c>
      <c r="F5007" s="2" t="s">
        <v>2098</v>
      </c>
      <c r="G5007" t="s">
        <v>352</v>
      </c>
      <c r="H5007" t="s">
        <v>1459</v>
      </c>
      <c r="I5007" t="s">
        <v>22</v>
      </c>
      <c r="J5007" s="2" t="s">
        <v>42</v>
      </c>
      <c r="K5007" s="2" t="s">
        <v>3019</v>
      </c>
      <c r="L5007" t="s">
        <v>25</v>
      </c>
      <c r="M5007" s="8">
        <v>1.1910000000000001</v>
      </c>
      <c r="N5007" t="s">
        <v>26</v>
      </c>
      <c r="O5007" s="8">
        <v>1.1910000000000001</v>
      </c>
      <c r="P5007" s="8">
        <f>EXP(-1.363+3.366*LOG(O5007,10))</f>
        <v>0.33039016297752993</v>
      </c>
      <c r="Q5007" s="8">
        <f>(1955155*100)/2180255</f>
        <v>89.67551960665152</v>
      </c>
    </row>
    <row r="5008" spans="1:17" x14ac:dyDescent="0.2">
      <c r="A5008">
        <f>YEAR(D5008)</f>
        <v>2020</v>
      </c>
      <c r="B5008" t="s">
        <v>26</v>
      </c>
      <c r="C5008" s="2" t="s">
        <v>3025</v>
      </c>
      <c r="D5008" s="1">
        <v>43992</v>
      </c>
      <c r="E5008">
        <f>MONTH(D5008)</f>
        <v>6</v>
      </c>
      <c r="F5008" s="2" t="s">
        <v>2098</v>
      </c>
      <c r="G5008" t="s">
        <v>352</v>
      </c>
      <c r="H5008" t="s">
        <v>1459</v>
      </c>
      <c r="I5008" t="s">
        <v>22</v>
      </c>
      <c r="J5008" s="2" t="s">
        <v>42</v>
      </c>
      <c r="K5008" s="2" t="s">
        <v>3019</v>
      </c>
      <c r="L5008" t="s">
        <v>25</v>
      </c>
      <c r="M5008" s="8">
        <v>1.1910000000000001</v>
      </c>
      <c r="N5008" t="s">
        <v>26</v>
      </c>
      <c r="O5008" s="8">
        <v>1.1910000000000001</v>
      </c>
      <c r="P5008" s="8">
        <f>EXP(-1.363+3.366*LOG(O5008,10))</f>
        <v>0.33039016297752993</v>
      </c>
      <c r="Q5008" s="8">
        <f>(1955155*100)/2180255</f>
        <v>89.67551960665152</v>
      </c>
    </row>
    <row r="5009" spans="1:17" x14ac:dyDescent="0.2">
      <c r="A5009">
        <f>YEAR(D5009)</f>
        <v>2020</v>
      </c>
      <c r="B5009" t="s">
        <v>26</v>
      </c>
      <c r="C5009" s="2" t="s">
        <v>3025</v>
      </c>
      <c r="D5009" s="1">
        <v>43992</v>
      </c>
      <c r="E5009">
        <f>MONTH(D5009)</f>
        <v>6</v>
      </c>
      <c r="F5009" s="2" t="s">
        <v>2098</v>
      </c>
      <c r="G5009" t="s">
        <v>352</v>
      </c>
      <c r="H5009" t="s">
        <v>1459</v>
      </c>
      <c r="I5009" t="s">
        <v>22</v>
      </c>
      <c r="J5009" s="2" t="s">
        <v>42</v>
      </c>
      <c r="K5009" s="2" t="s">
        <v>3019</v>
      </c>
      <c r="L5009" t="s">
        <v>25</v>
      </c>
      <c r="M5009" s="8">
        <v>1.1910000000000001</v>
      </c>
      <c r="N5009" t="s">
        <v>26</v>
      </c>
      <c r="O5009" s="8">
        <v>1.1910000000000001</v>
      </c>
      <c r="P5009" s="8">
        <f>EXP(-1.363+3.366*LOG(O5009,10))</f>
        <v>0.33039016297752993</v>
      </c>
      <c r="Q5009" s="8">
        <f>(1955155*100)/2180255</f>
        <v>89.67551960665152</v>
      </c>
    </row>
    <row r="5010" spans="1:17" x14ac:dyDescent="0.2">
      <c r="A5010">
        <f>YEAR(D5010)</f>
        <v>2020</v>
      </c>
      <c r="B5010" t="s">
        <v>26</v>
      </c>
      <c r="C5010" s="2" t="s">
        <v>3025</v>
      </c>
      <c r="D5010" s="1">
        <v>43992</v>
      </c>
      <c r="E5010">
        <f>MONTH(D5010)</f>
        <v>6</v>
      </c>
      <c r="F5010" s="2" t="s">
        <v>2098</v>
      </c>
      <c r="G5010" t="s">
        <v>352</v>
      </c>
      <c r="H5010" t="s">
        <v>1459</v>
      </c>
      <c r="I5010" t="s">
        <v>22</v>
      </c>
      <c r="J5010" s="2" t="s">
        <v>42</v>
      </c>
      <c r="K5010" s="2" t="s">
        <v>3019</v>
      </c>
      <c r="L5010" t="s">
        <v>25</v>
      </c>
      <c r="M5010" s="8">
        <v>1.1910000000000001</v>
      </c>
      <c r="N5010" t="s">
        <v>26</v>
      </c>
      <c r="O5010" s="8">
        <v>1.1910000000000001</v>
      </c>
      <c r="P5010" s="8">
        <f>EXP(-1.363+3.366*LOG(O5010,10))</f>
        <v>0.33039016297752993</v>
      </c>
      <c r="Q5010" s="8">
        <f>(1955155*100)/2180255</f>
        <v>89.67551960665152</v>
      </c>
    </row>
    <row r="5011" spans="1:17" x14ac:dyDescent="0.2">
      <c r="A5011">
        <f>YEAR(D5011)</f>
        <v>2020</v>
      </c>
      <c r="B5011" t="s">
        <v>26</v>
      </c>
      <c r="C5011" s="2" t="s">
        <v>3025</v>
      </c>
      <c r="D5011" s="1">
        <v>43992</v>
      </c>
      <c r="E5011">
        <f>MONTH(D5011)</f>
        <v>6</v>
      </c>
      <c r="F5011" s="2" t="s">
        <v>2098</v>
      </c>
      <c r="G5011" t="s">
        <v>352</v>
      </c>
      <c r="H5011" t="s">
        <v>610</v>
      </c>
      <c r="I5011" t="s">
        <v>22</v>
      </c>
      <c r="J5011" s="2" t="s">
        <v>42</v>
      </c>
      <c r="K5011" s="2" t="s">
        <v>3019</v>
      </c>
      <c r="L5011" t="s">
        <v>25</v>
      </c>
      <c r="M5011" s="8">
        <v>0.86499999999999999</v>
      </c>
      <c r="N5011" t="s">
        <v>26</v>
      </c>
      <c r="O5011" s="8">
        <v>0.86499999999999999</v>
      </c>
      <c r="P5011" s="8">
        <f>EXP(-1.363+3.366*LOG(O5011,10))</f>
        <v>0.20700676972346591</v>
      </c>
      <c r="Q5011" s="8">
        <f>(1955155*100)/2180255</f>
        <v>89.67551960665152</v>
      </c>
    </row>
    <row r="5012" spans="1:17" x14ac:dyDescent="0.2">
      <c r="A5012">
        <f>YEAR(D5012)</f>
        <v>2020</v>
      </c>
      <c r="B5012" t="s">
        <v>26</v>
      </c>
      <c r="C5012" s="2" t="s">
        <v>3025</v>
      </c>
      <c r="D5012" s="1">
        <v>43992</v>
      </c>
      <c r="E5012">
        <f>MONTH(D5012)</f>
        <v>6</v>
      </c>
      <c r="F5012" s="2" t="s">
        <v>2098</v>
      </c>
      <c r="G5012" t="s">
        <v>352</v>
      </c>
      <c r="H5012" t="s">
        <v>610</v>
      </c>
      <c r="I5012" t="s">
        <v>22</v>
      </c>
      <c r="J5012" s="2" t="s">
        <v>42</v>
      </c>
      <c r="K5012" s="2" t="s">
        <v>3019</v>
      </c>
      <c r="L5012" t="s">
        <v>25</v>
      </c>
      <c r="M5012" s="8">
        <v>0.86499999999999999</v>
      </c>
      <c r="N5012" t="s">
        <v>26</v>
      </c>
      <c r="O5012" s="8">
        <v>0.86499999999999999</v>
      </c>
      <c r="P5012" s="8">
        <f>EXP(-1.363+3.366*LOG(O5012,10))</f>
        <v>0.20700676972346591</v>
      </c>
      <c r="Q5012" s="8">
        <f>(1955155*100)/2180255</f>
        <v>89.67551960665152</v>
      </c>
    </row>
    <row r="5013" spans="1:17" x14ac:dyDescent="0.2">
      <c r="A5013">
        <f>YEAR(D5013)</f>
        <v>2020</v>
      </c>
      <c r="B5013" t="s">
        <v>26</v>
      </c>
      <c r="C5013" s="2" t="s">
        <v>3025</v>
      </c>
      <c r="D5013" s="1">
        <v>43992</v>
      </c>
      <c r="E5013">
        <f>MONTH(D5013)</f>
        <v>6</v>
      </c>
      <c r="F5013" s="2" t="s">
        <v>2098</v>
      </c>
      <c r="G5013" t="s">
        <v>352</v>
      </c>
      <c r="H5013" t="s">
        <v>610</v>
      </c>
      <c r="I5013" t="s">
        <v>22</v>
      </c>
      <c r="J5013" s="2" t="s">
        <v>42</v>
      </c>
      <c r="K5013" s="2" t="s">
        <v>3019</v>
      </c>
      <c r="L5013" t="s">
        <v>25</v>
      </c>
      <c r="M5013" s="8">
        <v>0.86499999999999999</v>
      </c>
      <c r="N5013" t="s">
        <v>26</v>
      </c>
      <c r="O5013" s="8">
        <v>0.86499999999999999</v>
      </c>
      <c r="P5013" s="8">
        <f>EXP(-1.363+3.366*LOG(O5013,10))</f>
        <v>0.20700676972346591</v>
      </c>
      <c r="Q5013" s="8">
        <f>(1955155*100)/2180255</f>
        <v>89.67551960665152</v>
      </c>
    </row>
    <row r="5014" spans="1:17" x14ac:dyDescent="0.2">
      <c r="A5014">
        <f>YEAR(D5014)</f>
        <v>2020</v>
      </c>
      <c r="B5014" t="s">
        <v>26</v>
      </c>
      <c r="C5014" s="2" t="s">
        <v>3025</v>
      </c>
      <c r="D5014" s="1">
        <v>43992</v>
      </c>
      <c r="E5014">
        <f>MONTH(D5014)</f>
        <v>6</v>
      </c>
      <c r="F5014" s="2" t="s">
        <v>2098</v>
      </c>
      <c r="G5014" t="s">
        <v>352</v>
      </c>
      <c r="H5014" t="s">
        <v>610</v>
      </c>
      <c r="I5014" t="s">
        <v>22</v>
      </c>
      <c r="J5014" s="2" t="s">
        <v>42</v>
      </c>
      <c r="K5014" s="2" t="s">
        <v>3019</v>
      </c>
      <c r="L5014" t="s">
        <v>25</v>
      </c>
      <c r="M5014" s="8">
        <v>0.86499999999999999</v>
      </c>
      <c r="N5014" t="s">
        <v>26</v>
      </c>
      <c r="O5014" s="8">
        <v>0.86499999999999999</v>
      </c>
      <c r="P5014" s="8">
        <f>EXP(-1.363+3.366*LOG(O5014,10))</f>
        <v>0.20700676972346591</v>
      </c>
      <c r="Q5014" s="8">
        <f>(1955155*100)/2180255</f>
        <v>89.67551960665152</v>
      </c>
    </row>
    <row r="5015" spans="1:17" x14ac:dyDescent="0.2">
      <c r="A5015">
        <f>YEAR(D5015)</f>
        <v>2020</v>
      </c>
      <c r="B5015" t="s">
        <v>26</v>
      </c>
      <c r="C5015" s="2" t="s">
        <v>3026</v>
      </c>
      <c r="D5015" s="1">
        <v>43992</v>
      </c>
      <c r="E5015">
        <f>MONTH(D5015)</f>
        <v>6</v>
      </c>
      <c r="F5015" s="2" t="s">
        <v>2098</v>
      </c>
      <c r="G5015" t="s">
        <v>230</v>
      </c>
      <c r="H5015" t="s">
        <v>268</v>
      </c>
      <c r="I5015" t="s">
        <v>22</v>
      </c>
      <c r="J5015" s="2" t="s">
        <v>42</v>
      </c>
      <c r="K5015" s="2" t="s">
        <v>3019</v>
      </c>
      <c r="L5015" t="s">
        <v>25</v>
      </c>
      <c r="M5015" s="8">
        <v>3.5356666670000001</v>
      </c>
      <c r="N5015" t="s">
        <v>26</v>
      </c>
      <c r="O5015" s="8">
        <v>3.5356666670000001</v>
      </c>
      <c r="P5015" s="8">
        <f>EXP(-1.363+3.366*LOG(O5015,10))</f>
        <v>1.6211802664427075</v>
      </c>
      <c r="Q5015" s="8">
        <f>(2317420*100)/2442061</f>
        <v>94.896073439606951</v>
      </c>
    </row>
    <row r="5016" spans="1:17" x14ac:dyDescent="0.2">
      <c r="A5016">
        <f>YEAR(D5016)</f>
        <v>2020</v>
      </c>
      <c r="B5016" t="s">
        <v>26</v>
      </c>
      <c r="C5016" s="2" t="s">
        <v>3026</v>
      </c>
      <c r="D5016" s="1">
        <v>43992</v>
      </c>
      <c r="E5016">
        <f>MONTH(D5016)</f>
        <v>6</v>
      </c>
      <c r="F5016" s="2" t="s">
        <v>2098</v>
      </c>
      <c r="G5016" t="s">
        <v>1520</v>
      </c>
      <c r="H5016" t="s">
        <v>1528</v>
      </c>
      <c r="I5016" t="s">
        <v>22</v>
      </c>
      <c r="J5016" s="2" t="s">
        <v>42</v>
      </c>
      <c r="K5016" s="2" t="s">
        <v>3019</v>
      </c>
      <c r="L5016" t="s">
        <v>25</v>
      </c>
      <c r="M5016" s="8">
        <v>3.624333333</v>
      </c>
      <c r="N5016" t="s">
        <v>26</v>
      </c>
      <c r="O5016" s="8">
        <v>3.624333333</v>
      </c>
      <c r="P5016" s="8">
        <f>EXP(-1.363+3.366*LOG(O5016,10))</f>
        <v>1.6809546844949765</v>
      </c>
      <c r="Q5016" s="8">
        <f>(2317420*100)/2442061</f>
        <v>94.896073439606951</v>
      </c>
    </row>
    <row r="5017" spans="1:17" x14ac:dyDescent="0.2">
      <c r="A5017">
        <f>YEAR(D5017)</f>
        <v>2020</v>
      </c>
      <c r="B5017" t="s">
        <v>26</v>
      </c>
      <c r="C5017" s="2" t="s">
        <v>3026</v>
      </c>
      <c r="D5017" s="1">
        <v>43992</v>
      </c>
      <c r="E5017">
        <f>MONTH(D5017)</f>
        <v>6</v>
      </c>
      <c r="F5017" s="2" t="s">
        <v>2098</v>
      </c>
      <c r="G5017" t="s">
        <v>1520</v>
      </c>
      <c r="H5017" t="s">
        <v>1528</v>
      </c>
      <c r="I5017" t="s">
        <v>22</v>
      </c>
      <c r="J5017" s="2" t="s">
        <v>42</v>
      </c>
      <c r="K5017" s="2" t="s">
        <v>3019</v>
      </c>
      <c r="L5017" t="s">
        <v>25</v>
      </c>
      <c r="M5017" s="8">
        <v>3.624333333</v>
      </c>
      <c r="N5017" t="s">
        <v>26</v>
      </c>
      <c r="O5017" s="8">
        <v>3.624333333</v>
      </c>
      <c r="P5017" s="8">
        <f>EXP(-1.363+3.366*LOG(O5017,10))</f>
        <v>1.6809546844949765</v>
      </c>
      <c r="Q5017" s="8">
        <f>(2317420*100)/2442061</f>
        <v>94.896073439606951</v>
      </c>
    </row>
    <row r="5018" spans="1:17" x14ac:dyDescent="0.2">
      <c r="A5018">
        <f>YEAR(D5018)</f>
        <v>2020</v>
      </c>
      <c r="B5018" t="s">
        <v>26</v>
      </c>
      <c r="C5018" s="2" t="s">
        <v>3021</v>
      </c>
      <c r="D5018" s="1">
        <v>43990</v>
      </c>
      <c r="E5018">
        <f>MONTH(D5018)</f>
        <v>6</v>
      </c>
      <c r="F5018" s="2" t="s">
        <v>19</v>
      </c>
      <c r="G5018" t="s">
        <v>352</v>
      </c>
      <c r="H5018" t="s">
        <v>975</v>
      </c>
      <c r="I5018" t="s">
        <v>22</v>
      </c>
      <c r="J5018" s="2" t="s">
        <v>42</v>
      </c>
      <c r="K5018" s="2" t="s">
        <v>3019</v>
      </c>
      <c r="L5018" t="s">
        <v>25</v>
      </c>
      <c r="M5018" s="8">
        <v>1.0693333330000001</v>
      </c>
      <c r="N5018" t="s">
        <v>26</v>
      </c>
      <c r="O5018" s="8">
        <v>1.0693333330000001</v>
      </c>
      <c r="P5018" s="8">
        <f>EXP(-1.363+3.366*LOG(O5018,10))</f>
        <v>0.28223780327142356</v>
      </c>
      <c r="Q5018" s="8">
        <f>(1845879*100)/1946364</f>
        <v>94.837296620775973</v>
      </c>
    </row>
    <row r="5019" spans="1:17" x14ac:dyDescent="0.2">
      <c r="A5019">
        <f>YEAR(D5019)</f>
        <v>2020</v>
      </c>
      <c r="B5019" t="s">
        <v>26</v>
      </c>
      <c r="C5019" s="2" t="s">
        <v>3020</v>
      </c>
      <c r="D5019" s="1">
        <v>43990</v>
      </c>
      <c r="E5019">
        <f>MONTH(D5019)</f>
        <v>6</v>
      </c>
      <c r="F5019" s="2" t="s">
        <v>19</v>
      </c>
      <c r="G5019" t="s">
        <v>219</v>
      </c>
      <c r="H5019" t="s">
        <v>220</v>
      </c>
      <c r="I5019" t="s">
        <v>22</v>
      </c>
      <c r="J5019" s="2" t="s">
        <v>42</v>
      </c>
      <c r="K5019" s="2" t="s">
        <v>3019</v>
      </c>
      <c r="L5019" t="s">
        <v>25</v>
      </c>
      <c r="M5019" s="10" t="s">
        <v>26</v>
      </c>
      <c r="N5019" t="s">
        <v>26</v>
      </c>
      <c r="O5019" s="10" t="s">
        <v>26</v>
      </c>
      <c r="P5019" s="8" t="s">
        <v>26</v>
      </c>
      <c r="Q5019" s="8">
        <f>(3359412*100)/3462762</f>
        <v>97.015388294084318</v>
      </c>
    </row>
    <row r="5020" spans="1:17" x14ac:dyDescent="0.2">
      <c r="A5020">
        <f>YEAR(D5020)</f>
        <v>2020</v>
      </c>
      <c r="B5020" t="s">
        <v>26</v>
      </c>
      <c r="C5020" s="2" t="s">
        <v>3020</v>
      </c>
      <c r="D5020" s="1">
        <v>43990</v>
      </c>
      <c r="E5020">
        <f>MONTH(D5020)</f>
        <v>6</v>
      </c>
      <c r="F5020" s="2" t="s">
        <v>19</v>
      </c>
      <c r="G5020" t="s">
        <v>352</v>
      </c>
      <c r="H5020" t="s">
        <v>1459</v>
      </c>
      <c r="I5020" t="s">
        <v>22</v>
      </c>
      <c r="J5020" s="2" t="s">
        <v>42</v>
      </c>
      <c r="K5020" s="2" t="s">
        <v>3019</v>
      </c>
      <c r="L5020" t="s">
        <v>25</v>
      </c>
      <c r="M5020" s="8">
        <v>1.1910000000000001</v>
      </c>
      <c r="N5020" t="s">
        <v>26</v>
      </c>
      <c r="O5020" s="8">
        <v>1.1910000000000001</v>
      </c>
      <c r="P5020" s="8">
        <f>EXP(-1.363+3.366*LOG(O5020,10))</f>
        <v>0.33039016297752993</v>
      </c>
      <c r="Q5020" s="8">
        <f>(3359412*100)/3462762</f>
        <v>97.015388294084318</v>
      </c>
    </row>
    <row r="5021" spans="1:17" x14ac:dyDescent="0.2">
      <c r="A5021">
        <f>YEAR(D5021)</f>
        <v>2020</v>
      </c>
      <c r="B5021" t="s">
        <v>26</v>
      </c>
      <c r="C5021" s="2" t="s">
        <v>3020</v>
      </c>
      <c r="D5021" s="1">
        <v>43990</v>
      </c>
      <c r="E5021">
        <f>MONTH(D5021)</f>
        <v>6</v>
      </c>
      <c r="F5021" s="2" t="s">
        <v>19</v>
      </c>
      <c r="G5021" t="s">
        <v>352</v>
      </c>
      <c r="H5021" t="s">
        <v>1459</v>
      </c>
      <c r="I5021" t="s">
        <v>22</v>
      </c>
      <c r="J5021" s="2" t="s">
        <v>42</v>
      </c>
      <c r="K5021" s="2" t="s">
        <v>3019</v>
      </c>
      <c r="L5021" t="s">
        <v>25</v>
      </c>
      <c r="M5021" s="8">
        <v>1.1910000000000001</v>
      </c>
      <c r="N5021" t="s">
        <v>26</v>
      </c>
      <c r="O5021" s="8">
        <v>1.1910000000000001</v>
      </c>
      <c r="P5021" s="8">
        <f>EXP(-1.363+3.366*LOG(O5021,10))</f>
        <v>0.33039016297752993</v>
      </c>
      <c r="Q5021" s="8">
        <f>(3359412*100)/3462762</f>
        <v>97.015388294084318</v>
      </c>
    </row>
    <row r="5022" spans="1:17" x14ac:dyDescent="0.2">
      <c r="A5022">
        <f>YEAR(D5022)</f>
        <v>2020</v>
      </c>
      <c r="B5022" t="s">
        <v>26</v>
      </c>
      <c r="C5022" s="2" t="s">
        <v>3020</v>
      </c>
      <c r="D5022" s="1">
        <v>43990</v>
      </c>
      <c r="E5022">
        <f>MONTH(D5022)</f>
        <v>6</v>
      </c>
      <c r="F5022" s="2" t="s">
        <v>19</v>
      </c>
      <c r="G5022" t="s">
        <v>352</v>
      </c>
      <c r="H5022" t="s">
        <v>728</v>
      </c>
      <c r="I5022" t="s">
        <v>22</v>
      </c>
      <c r="J5022" s="2" t="s">
        <v>42</v>
      </c>
      <c r="K5022" s="2" t="s">
        <v>3019</v>
      </c>
      <c r="L5022" t="s">
        <v>187</v>
      </c>
      <c r="M5022" s="8">
        <v>1.8093333330000001</v>
      </c>
      <c r="N5022" t="s">
        <v>26</v>
      </c>
      <c r="O5022" s="8">
        <v>1.8093333330000001</v>
      </c>
      <c r="P5022" s="8">
        <f>EXP(-1.363+3.366*LOG(O5022,10))</f>
        <v>0.6088444603462565</v>
      </c>
      <c r="Q5022" s="8">
        <f>(3359412*100)/3462762</f>
        <v>97.015388294084318</v>
      </c>
    </row>
    <row r="5023" spans="1:17" x14ac:dyDescent="0.2">
      <c r="A5023">
        <f>YEAR(D5023)</f>
        <v>2020</v>
      </c>
      <c r="B5023" t="s">
        <v>26</v>
      </c>
      <c r="C5023" s="2" t="s">
        <v>3021</v>
      </c>
      <c r="D5023" s="1">
        <v>43990</v>
      </c>
      <c r="E5023">
        <f>MONTH(D5023)</f>
        <v>6</v>
      </c>
      <c r="F5023" s="2" t="s">
        <v>19</v>
      </c>
      <c r="G5023" t="s">
        <v>352</v>
      </c>
      <c r="H5023" t="s">
        <v>975</v>
      </c>
      <c r="I5023" t="s">
        <v>22</v>
      </c>
      <c r="J5023" s="2" t="s">
        <v>42</v>
      </c>
      <c r="K5023" s="2" t="s">
        <v>3019</v>
      </c>
      <c r="L5023" t="s">
        <v>25</v>
      </c>
      <c r="M5023" s="8">
        <v>1.0693333330000001</v>
      </c>
      <c r="N5023" t="s">
        <v>26</v>
      </c>
      <c r="O5023" s="8">
        <v>1.0693333330000001</v>
      </c>
      <c r="P5023" s="8">
        <f>EXP(-1.363+3.366*LOG(O5023,10))</f>
        <v>0.28223780327142356</v>
      </c>
      <c r="Q5023" s="8">
        <f>(1845879*100)/1946364</f>
        <v>94.837296620775973</v>
      </c>
    </row>
    <row r="5024" spans="1:17" x14ac:dyDescent="0.2">
      <c r="A5024">
        <f>YEAR(D5024)</f>
        <v>2020</v>
      </c>
      <c r="B5024" t="s">
        <v>26</v>
      </c>
      <c r="C5024" s="2" t="s">
        <v>3021</v>
      </c>
      <c r="D5024" s="1">
        <v>43990</v>
      </c>
      <c r="E5024">
        <f>MONTH(D5024)</f>
        <v>6</v>
      </c>
      <c r="F5024" s="2" t="s">
        <v>19</v>
      </c>
      <c r="G5024" t="s">
        <v>352</v>
      </c>
      <c r="H5024" t="s">
        <v>975</v>
      </c>
      <c r="I5024" t="s">
        <v>22</v>
      </c>
      <c r="J5024" s="2" t="s">
        <v>42</v>
      </c>
      <c r="K5024" s="2" t="s">
        <v>3019</v>
      </c>
      <c r="L5024" t="s">
        <v>25</v>
      </c>
      <c r="M5024" s="8">
        <v>1.0693333330000001</v>
      </c>
      <c r="N5024" t="s">
        <v>26</v>
      </c>
      <c r="O5024" s="8">
        <v>1.0693333330000001</v>
      </c>
      <c r="P5024" s="8">
        <f>EXP(-1.363+3.366*LOG(O5024,10))</f>
        <v>0.28223780327142356</v>
      </c>
      <c r="Q5024" s="8">
        <f>(1845879*100)/1946364</f>
        <v>94.837296620775973</v>
      </c>
    </row>
    <row r="5025" spans="1:17" x14ac:dyDescent="0.2">
      <c r="A5025">
        <f>YEAR(D5025)</f>
        <v>2020</v>
      </c>
      <c r="B5025" t="s">
        <v>26</v>
      </c>
      <c r="C5025" s="2" t="s">
        <v>3020</v>
      </c>
      <c r="D5025" s="1">
        <v>43990</v>
      </c>
      <c r="E5025">
        <f>MONTH(D5025)</f>
        <v>6</v>
      </c>
      <c r="F5025" s="2" t="s">
        <v>19</v>
      </c>
      <c r="G5025" t="s">
        <v>352</v>
      </c>
      <c r="H5025" t="s">
        <v>1459</v>
      </c>
      <c r="I5025" t="s">
        <v>22</v>
      </c>
      <c r="J5025" s="2" t="s">
        <v>42</v>
      </c>
      <c r="K5025" s="2" t="s">
        <v>3019</v>
      </c>
      <c r="L5025" t="s">
        <v>25</v>
      </c>
      <c r="M5025" s="8">
        <v>1.1910000000000001</v>
      </c>
      <c r="N5025" t="s">
        <v>26</v>
      </c>
      <c r="O5025" s="8">
        <v>1.1910000000000001</v>
      </c>
      <c r="P5025" s="8">
        <f>EXP(-1.363+3.366*LOG(O5025,10))</f>
        <v>0.33039016297752993</v>
      </c>
      <c r="Q5025" s="8">
        <f>(3359412*100)/3462762</f>
        <v>97.015388294084318</v>
      </c>
    </row>
    <row r="5026" spans="1:17" x14ac:dyDescent="0.2">
      <c r="A5026">
        <f>YEAR(D5026)</f>
        <v>2020</v>
      </c>
      <c r="B5026" t="s">
        <v>26</v>
      </c>
      <c r="C5026" s="2" t="s">
        <v>3020</v>
      </c>
      <c r="D5026" s="1">
        <v>43990</v>
      </c>
      <c r="E5026">
        <f>MONTH(D5026)</f>
        <v>6</v>
      </c>
      <c r="F5026" s="2" t="s">
        <v>19</v>
      </c>
      <c r="G5026" t="s">
        <v>352</v>
      </c>
      <c r="H5026" t="s">
        <v>1459</v>
      </c>
      <c r="I5026" t="s">
        <v>22</v>
      </c>
      <c r="J5026" s="2" t="s">
        <v>42</v>
      </c>
      <c r="K5026" s="2" t="s">
        <v>3019</v>
      </c>
      <c r="L5026" t="s">
        <v>25</v>
      </c>
      <c r="M5026" s="8">
        <v>1.1910000000000001</v>
      </c>
      <c r="N5026" t="s">
        <v>26</v>
      </c>
      <c r="O5026" s="8">
        <v>1.1910000000000001</v>
      </c>
      <c r="P5026" s="8">
        <f>EXP(-1.363+3.366*LOG(O5026,10))</f>
        <v>0.33039016297752993</v>
      </c>
      <c r="Q5026" s="8">
        <f>(3359412*100)/3462762</f>
        <v>97.015388294084318</v>
      </c>
    </row>
    <row r="5027" spans="1:17" x14ac:dyDescent="0.2">
      <c r="A5027">
        <f>YEAR(D5027)</f>
        <v>2020</v>
      </c>
      <c r="B5027" t="s">
        <v>26</v>
      </c>
      <c r="C5027" s="2" t="s">
        <v>3020</v>
      </c>
      <c r="D5027" s="1">
        <v>43990</v>
      </c>
      <c r="E5027">
        <f>MONTH(D5027)</f>
        <v>6</v>
      </c>
      <c r="F5027" s="2" t="s">
        <v>19</v>
      </c>
      <c r="G5027" t="s">
        <v>352</v>
      </c>
      <c r="H5027" t="s">
        <v>623</v>
      </c>
      <c r="I5027" t="s">
        <v>22</v>
      </c>
      <c r="J5027" s="2" t="s">
        <v>42</v>
      </c>
      <c r="K5027" s="2" t="s">
        <v>3019</v>
      </c>
      <c r="L5027" t="s">
        <v>25</v>
      </c>
      <c r="M5027" s="8">
        <v>1.387</v>
      </c>
      <c r="N5027" t="s">
        <v>26</v>
      </c>
      <c r="O5027" s="8">
        <v>1.387</v>
      </c>
      <c r="P5027" s="8">
        <f>EXP(-1.363+3.366*LOG(O5027,10))</f>
        <v>0.41280884754947733</v>
      </c>
      <c r="Q5027" s="8">
        <f>(3359412*100)/3462762</f>
        <v>97.015388294084318</v>
      </c>
    </row>
    <row r="5028" spans="1:17" x14ac:dyDescent="0.2">
      <c r="A5028">
        <f>YEAR(D5028)</f>
        <v>2020</v>
      </c>
      <c r="B5028" t="s">
        <v>26</v>
      </c>
      <c r="C5028" s="2" t="s">
        <v>3020</v>
      </c>
      <c r="D5028" s="1">
        <v>43990</v>
      </c>
      <c r="E5028">
        <f>MONTH(D5028)</f>
        <v>6</v>
      </c>
      <c r="F5028" s="2" t="s">
        <v>19</v>
      </c>
      <c r="G5028" t="s">
        <v>352</v>
      </c>
      <c r="H5028" t="s">
        <v>728</v>
      </c>
      <c r="I5028" t="s">
        <v>22</v>
      </c>
      <c r="J5028" s="2" t="s">
        <v>42</v>
      </c>
      <c r="K5028" s="2" t="s">
        <v>3019</v>
      </c>
      <c r="L5028" t="s">
        <v>187</v>
      </c>
      <c r="M5028" s="8">
        <v>1.8093333330000001</v>
      </c>
      <c r="N5028" t="s">
        <v>26</v>
      </c>
      <c r="O5028" s="8">
        <v>1.8093333330000001</v>
      </c>
      <c r="P5028" s="8">
        <f>EXP(-1.363+3.366*LOG(O5028,10))</f>
        <v>0.6088444603462565</v>
      </c>
      <c r="Q5028" s="8">
        <f>(3359412*100)/3462762</f>
        <v>97.015388294084318</v>
      </c>
    </row>
    <row r="5029" spans="1:17" x14ac:dyDescent="0.2">
      <c r="A5029">
        <f>YEAR(D5029)</f>
        <v>2020</v>
      </c>
      <c r="B5029" t="s">
        <v>26</v>
      </c>
      <c r="C5029" s="2" t="s">
        <v>3020</v>
      </c>
      <c r="D5029" s="1">
        <v>43990</v>
      </c>
      <c r="E5029">
        <f>MONTH(D5029)</f>
        <v>6</v>
      </c>
      <c r="F5029" s="2" t="s">
        <v>19</v>
      </c>
      <c r="G5029" t="s">
        <v>352</v>
      </c>
      <c r="H5029" t="s">
        <v>728</v>
      </c>
      <c r="I5029" t="s">
        <v>22</v>
      </c>
      <c r="J5029" s="2" t="s">
        <v>42</v>
      </c>
      <c r="K5029" s="2" t="s">
        <v>3019</v>
      </c>
      <c r="L5029" t="s">
        <v>187</v>
      </c>
      <c r="M5029" s="8">
        <v>1.8093333330000001</v>
      </c>
      <c r="N5029" t="s">
        <v>26</v>
      </c>
      <c r="O5029" s="8">
        <v>1.8093333330000001</v>
      </c>
      <c r="P5029" s="8">
        <f>EXP(-1.363+3.366*LOG(O5029,10))</f>
        <v>0.6088444603462565</v>
      </c>
      <c r="Q5029" s="8">
        <f>(3359412*100)/3462762</f>
        <v>97.015388294084318</v>
      </c>
    </row>
    <row r="5030" spans="1:17" x14ac:dyDescent="0.2">
      <c r="A5030">
        <f>YEAR(D5030)</f>
        <v>2020</v>
      </c>
      <c r="B5030" t="s">
        <v>26</v>
      </c>
      <c r="C5030" s="2" t="s">
        <v>3018</v>
      </c>
      <c r="D5030" s="1">
        <v>43991</v>
      </c>
      <c r="E5030">
        <f>MONTH(D5030)</f>
        <v>6</v>
      </c>
      <c r="F5030" s="2" t="s">
        <v>19</v>
      </c>
      <c r="G5030" t="s">
        <v>352</v>
      </c>
      <c r="H5030" t="s">
        <v>353</v>
      </c>
      <c r="I5030" t="s">
        <v>22</v>
      </c>
      <c r="J5030" s="2" t="s">
        <v>42</v>
      </c>
      <c r="K5030" s="2" t="s">
        <v>3019</v>
      </c>
      <c r="L5030" t="s">
        <v>25</v>
      </c>
      <c r="M5030" s="8">
        <v>1.1623333330000001</v>
      </c>
      <c r="N5030" t="s">
        <v>26</v>
      </c>
      <c r="O5030" s="8">
        <v>1.1623333330000001</v>
      </c>
      <c r="P5030" s="8">
        <f>EXP(-1.363+3.366*LOG(O5030,10))</f>
        <v>0.31883010989102206</v>
      </c>
      <c r="Q5030" s="8">
        <f>(5996898*100)/6073515</f>
        <v>98.738506449724753</v>
      </c>
    </row>
    <row r="5031" spans="1:17" x14ac:dyDescent="0.2">
      <c r="A5031">
        <f>YEAR(D5031)</f>
        <v>2020</v>
      </c>
      <c r="B5031" t="s">
        <v>26</v>
      </c>
      <c r="C5031" s="2" t="s">
        <v>3018</v>
      </c>
      <c r="D5031" s="1">
        <v>43991</v>
      </c>
      <c r="E5031">
        <f>MONTH(D5031)</f>
        <v>6</v>
      </c>
      <c r="F5031" s="2" t="s">
        <v>19</v>
      </c>
      <c r="G5031" t="s">
        <v>352</v>
      </c>
      <c r="H5031" t="s">
        <v>1459</v>
      </c>
      <c r="I5031" t="s">
        <v>36</v>
      </c>
      <c r="J5031" s="2" t="s">
        <v>42</v>
      </c>
      <c r="K5031" s="2" t="s">
        <v>3019</v>
      </c>
      <c r="L5031" t="s">
        <v>25</v>
      </c>
      <c r="M5031" s="8">
        <v>1.0913333329999999</v>
      </c>
      <c r="N5031" t="s">
        <v>26</v>
      </c>
      <c r="O5031" s="8">
        <v>1.0913333329999999</v>
      </c>
      <c r="P5031" s="8">
        <f>EXP(-1.363+3.366*LOG(O5031,10))</f>
        <v>0.29076633015787234</v>
      </c>
      <c r="Q5031" s="8">
        <f>(5996898*100)/6073515</f>
        <v>98.738506449724753</v>
      </c>
    </row>
    <row r="5032" spans="1:17" x14ac:dyDescent="0.2">
      <c r="A5032">
        <f>YEAR(D5032)</f>
        <v>2020</v>
      </c>
      <c r="B5032" t="s">
        <v>26</v>
      </c>
      <c r="C5032" s="2" t="s">
        <v>3018</v>
      </c>
      <c r="D5032" s="1">
        <v>43991</v>
      </c>
      <c r="E5032">
        <f>MONTH(D5032)</f>
        <v>6</v>
      </c>
      <c r="F5032" s="2" t="s">
        <v>19</v>
      </c>
      <c r="G5032" t="s">
        <v>352</v>
      </c>
      <c r="H5032" t="s">
        <v>975</v>
      </c>
      <c r="I5032" t="s">
        <v>36</v>
      </c>
      <c r="J5032" s="2" t="s">
        <v>42</v>
      </c>
      <c r="K5032" s="2" t="s">
        <v>3019</v>
      </c>
      <c r="L5032" t="s">
        <v>25</v>
      </c>
      <c r="M5032" s="8">
        <v>0.95199999999999996</v>
      </c>
      <c r="N5032" t="s">
        <v>26</v>
      </c>
      <c r="O5032" s="8">
        <v>0.95199999999999996</v>
      </c>
      <c r="P5032" s="8">
        <f>EXP(-1.363+3.366*LOG(O5032,10))</f>
        <v>0.23813726407794436</v>
      </c>
      <c r="Q5032" s="8">
        <f>(5996898*100)/6073515</f>
        <v>98.738506449724753</v>
      </c>
    </row>
    <row r="5033" spans="1:17" x14ac:dyDescent="0.2">
      <c r="A5033">
        <f>YEAR(D5033)</f>
        <v>2020</v>
      </c>
      <c r="B5033" t="s">
        <v>26</v>
      </c>
      <c r="C5033" s="2" t="s">
        <v>3018</v>
      </c>
      <c r="D5033" s="1">
        <v>43991</v>
      </c>
      <c r="E5033">
        <f>MONTH(D5033)</f>
        <v>6</v>
      </c>
      <c r="F5033" s="2" t="s">
        <v>19</v>
      </c>
      <c r="G5033" t="s">
        <v>352</v>
      </c>
      <c r="H5033" t="s">
        <v>1142</v>
      </c>
      <c r="I5033" t="s">
        <v>36</v>
      </c>
      <c r="J5033" s="2" t="s">
        <v>42</v>
      </c>
      <c r="K5033" s="2" t="s">
        <v>3019</v>
      </c>
      <c r="L5033" t="s">
        <v>25</v>
      </c>
      <c r="M5033" s="8">
        <v>0.93500000000000005</v>
      </c>
      <c r="N5033" t="s">
        <v>26</v>
      </c>
      <c r="O5033" s="8">
        <v>0.93500000000000005</v>
      </c>
      <c r="P5033" s="8">
        <f>EXP(-1.363+3.366*LOG(O5033,10))</f>
        <v>0.23194659731411651</v>
      </c>
      <c r="Q5033" s="8">
        <f>(5996898*100)/6073515</f>
        <v>98.738506449724753</v>
      </c>
    </row>
    <row r="5034" spans="1:17" x14ac:dyDescent="0.2">
      <c r="A5034">
        <f>YEAR(D5034)</f>
        <v>2020</v>
      </c>
      <c r="B5034" t="s">
        <v>26</v>
      </c>
      <c r="C5034" s="2" t="s">
        <v>3018</v>
      </c>
      <c r="D5034" s="1">
        <v>43991</v>
      </c>
      <c r="E5034">
        <f>MONTH(D5034)</f>
        <v>6</v>
      </c>
      <c r="F5034" s="2" t="s">
        <v>19</v>
      </c>
      <c r="G5034" t="s">
        <v>352</v>
      </c>
      <c r="H5034" t="s">
        <v>1459</v>
      </c>
      <c r="I5034" t="s">
        <v>22</v>
      </c>
      <c r="J5034" s="2" t="s">
        <v>42</v>
      </c>
      <c r="K5034" s="2" t="s">
        <v>3019</v>
      </c>
      <c r="L5034" t="s">
        <v>25</v>
      </c>
      <c r="M5034" s="8">
        <v>1.1910000000000001</v>
      </c>
      <c r="N5034" t="s">
        <v>26</v>
      </c>
      <c r="O5034" s="8">
        <v>1.1910000000000001</v>
      </c>
      <c r="P5034" s="8">
        <f>EXP(-1.363+3.366*LOG(O5034,10))</f>
        <v>0.33039016297752993</v>
      </c>
      <c r="Q5034" s="8">
        <f>(5996898*100)/6073515</f>
        <v>98.738506449724753</v>
      </c>
    </row>
    <row r="5035" spans="1:17" x14ac:dyDescent="0.2">
      <c r="A5035">
        <f>YEAR(D5035)</f>
        <v>2020</v>
      </c>
      <c r="B5035" t="s">
        <v>26</v>
      </c>
      <c r="C5035" s="2" t="s">
        <v>3018</v>
      </c>
      <c r="D5035" s="1">
        <v>43991</v>
      </c>
      <c r="E5035">
        <f>MONTH(D5035)</f>
        <v>6</v>
      </c>
      <c r="F5035" s="2" t="s">
        <v>19</v>
      </c>
      <c r="G5035" t="s">
        <v>352</v>
      </c>
      <c r="H5035" t="s">
        <v>1459</v>
      </c>
      <c r="I5035" t="s">
        <v>22</v>
      </c>
      <c r="J5035" s="2" t="s">
        <v>42</v>
      </c>
      <c r="K5035" s="2" t="s">
        <v>3019</v>
      </c>
      <c r="L5035" t="s">
        <v>25</v>
      </c>
      <c r="M5035" s="8">
        <v>1.1910000000000001</v>
      </c>
      <c r="N5035" t="s">
        <v>26</v>
      </c>
      <c r="O5035" s="8">
        <v>1.1910000000000001</v>
      </c>
      <c r="P5035" s="8">
        <f>EXP(-1.363+3.366*LOG(O5035,10))</f>
        <v>0.33039016297752993</v>
      </c>
      <c r="Q5035" s="8">
        <f>(5996898*100)/6073515</f>
        <v>98.738506449724753</v>
      </c>
    </row>
    <row r="5036" spans="1:17" x14ac:dyDescent="0.2">
      <c r="A5036">
        <f>YEAR(D5036)</f>
        <v>2020</v>
      </c>
      <c r="B5036" t="s">
        <v>26</v>
      </c>
      <c r="C5036" s="2" t="s">
        <v>3018</v>
      </c>
      <c r="D5036" s="1">
        <v>43991</v>
      </c>
      <c r="E5036">
        <f>MONTH(D5036)</f>
        <v>6</v>
      </c>
      <c r="F5036" s="2" t="s">
        <v>19</v>
      </c>
      <c r="G5036" t="s">
        <v>352</v>
      </c>
      <c r="H5036" t="s">
        <v>623</v>
      </c>
      <c r="I5036" t="s">
        <v>22</v>
      </c>
      <c r="J5036" s="2" t="s">
        <v>42</v>
      </c>
      <c r="K5036" s="2" t="s">
        <v>3019</v>
      </c>
      <c r="L5036" t="s">
        <v>25</v>
      </c>
      <c r="M5036" s="8">
        <v>1.387</v>
      </c>
      <c r="N5036" t="s">
        <v>26</v>
      </c>
      <c r="O5036" s="8">
        <v>1.387</v>
      </c>
      <c r="P5036" s="8">
        <f>EXP(-1.363+3.366*LOG(O5036,10))</f>
        <v>0.41280884754947733</v>
      </c>
      <c r="Q5036" s="8">
        <f>(5996898*100)/6073515</f>
        <v>98.738506449724753</v>
      </c>
    </row>
    <row r="5037" spans="1:17" x14ac:dyDescent="0.2">
      <c r="A5037">
        <f>YEAR(D5037)</f>
        <v>2020</v>
      </c>
      <c r="B5037" t="s">
        <v>26</v>
      </c>
      <c r="C5037" s="2" t="s">
        <v>3018</v>
      </c>
      <c r="D5037" s="1">
        <v>43991</v>
      </c>
      <c r="E5037">
        <f>MONTH(D5037)</f>
        <v>6</v>
      </c>
      <c r="F5037" s="2" t="s">
        <v>19</v>
      </c>
      <c r="G5037" t="s">
        <v>230</v>
      </c>
      <c r="H5037" t="s">
        <v>259</v>
      </c>
      <c r="I5037" t="s">
        <v>22</v>
      </c>
      <c r="J5037" s="2" t="s">
        <v>42</v>
      </c>
      <c r="K5037" s="2" t="s">
        <v>3019</v>
      </c>
      <c r="L5037" t="s">
        <v>25</v>
      </c>
      <c r="M5037" s="8">
        <v>4.2283333330000001</v>
      </c>
      <c r="N5037" t="s">
        <v>26</v>
      </c>
      <c r="O5037" s="8">
        <v>4.2283333330000001</v>
      </c>
      <c r="P5037" s="8">
        <f>EXP(-1.363+3.366*LOG(O5037,10))</f>
        <v>2.1057792396965977</v>
      </c>
      <c r="Q5037" s="8">
        <f>(5996898*100)/6073515</f>
        <v>98.738506449724753</v>
      </c>
    </row>
    <row r="5038" spans="1:17" x14ac:dyDescent="0.2">
      <c r="A5038">
        <f>YEAR(D5038)</f>
        <v>2020</v>
      </c>
      <c r="B5038" t="s">
        <v>26</v>
      </c>
      <c r="C5038" s="2" t="s">
        <v>3018</v>
      </c>
      <c r="D5038" s="1">
        <v>43991</v>
      </c>
      <c r="E5038">
        <f>MONTH(D5038)</f>
        <v>6</v>
      </c>
      <c r="F5038" s="2" t="s">
        <v>19</v>
      </c>
      <c r="G5038" t="s">
        <v>352</v>
      </c>
      <c r="H5038" t="s">
        <v>975</v>
      </c>
      <c r="I5038" t="s">
        <v>22</v>
      </c>
      <c r="J5038" s="2" t="s">
        <v>42</v>
      </c>
      <c r="K5038" s="2" t="s">
        <v>3019</v>
      </c>
      <c r="L5038" t="s">
        <v>25</v>
      </c>
      <c r="M5038" s="8">
        <v>1.0693333330000001</v>
      </c>
      <c r="N5038" t="s">
        <v>26</v>
      </c>
      <c r="O5038" s="8">
        <v>1.0693333330000001</v>
      </c>
      <c r="P5038" s="8">
        <f>EXP(-1.363+3.366*LOG(O5038,10))</f>
        <v>0.28223780327142356</v>
      </c>
      <c r="Q5038" s="8">
        <f>(5996898*100)/6073515</f>
        <v>98.738506449724753</v>
      </c>
    </row>
    <row r="5039" spans="1:17" x14ac:dyDescent="0.2">
      <c r="A5039">
        <f>YEAR(D5039)</f>
        <v>2020</v>
      </c>
      <c r="B5039" t="s">
        <v>26</v>
      </c>
      <c r="C5039" s="2" t="s">
        <v>3018</v>
      </c>
      <c r="D5039" s="1">
        <v>43991</v>
      </c>
      <c r="E5039">
        <f>MONTH(D5039)</f>
        <v>6</v>
      </c>
      <c r="F5039" s="2" t="s">
        <v>19</v>
      </c>
      <c r="G5039" t="s">
        <v>230</v>
      </c>
      <c r="H5039" t="s">
        <v>259</v>
      </c>
      <c r="I5039" t="s">
        <v>22</v>
      </c>
      <c r="J5039" s="2" t="s">
        <v>42</v>
      </c>
      <c r="K5039" s="2" t="s">
        <v>3019</v>
      </c>
      <c r="L5039" t="s">
        <v>25</v>
      </c>
      <c r="M5039" s="8">
        <v>4.2283333330000001</v>
      </c>
      <c r="N5039" t="s">
        <v>26</v>
      </c>
      <c r="O5039" s="8">
        <v>4.2283333330000001</v>
      </c>
      <c r="P5039" s="8">
        <f>EXP(-1.363+3.366*LOG(O5039,10))</f>
        <v>2.1057792396965977</v>
      </c>
      <c r="Q5039" s="8">
        <f>(5996898*100)/6073515</f>
        <v>98.738506449724753</v>
      </c>
    </row>
    <row r="5040" spans="1:17" x14ac:dyDescent="0.2">
      <c r="A5040">
        <f>YEAR(D5040)</f>
        <v>2020</v>
      </c>
      <c r="B5040" t="s">
        <v>26</v>
      </c>
      <c r="C5040" s="2" t="s">
        <v>3018</v>
      </c>
      <c r="D5040" s="1">
        <v>43991</v>
      </c>
      <c r="E5040">
        <f>MONTH(D5040)</f>
        <v>6</v>
      </c>
      <c r="F5040" s="2" t="s">
        <v>19</v>
      </c>
      <c r="G5040" t="s">
        <v>230</v>
      </c>
      <c r="H5040" t="s">
        <v>259</v>
      </c>
      <c r="I5040" t="s">
        <v>22</v>
      </c>
      <c r="J5040" s="2" t="s">
        <v>42</v>
      </c>
      <c r="K5040" s="2" t="s">
        <v>3019</v>
      </c>
      <c r="L5040" t="s">
        <v>25</v>
      </c>
      <c r="M5040" s="8">
        <v>4.2283333330000001</v>
      </c>
      <c r="N5040" t="s">
        <v>26</v>
      </c>
      <c r="O5040" s="8">
        <v>4.2283333330000001</v>
      </c>
      <c r="P5040" s="8">
        <f>EXP(-1.363+3.366*LOG(O5040,10))</f>
        <v>2.1057792396965977</v>
      </c>
      <c r="Q5040" s="8">
        <f>(5996898*100)/6073515</f>
        <v>98.738506449724753</v>
      </c>
    </row>
    <row r="5041" spans="1:17" x14ac:dyDescent="0.2">
      <c r="A5041">
        <f>YEAR(D5041)</f>
        <v>2020</v>
      </c>
      <c r="B5041" t="s">
        <v>26</v>
      </c>
      <c r="C5041" s="2" t="s">
        <v>3018</v>
      </c>
      <c r="D5041" s="1">
        <v>43991</v>
      </c>
      <c r="E5041">
        <f>MONTH(D5041)</f>
        <v>6</v>
      </c>
      <c r="F5041" s="2" t="s">
        <v>19</v>
      </c>
      <c r="G5041" t="s">
        <v>230</v>
      </c>
      <c r="H5041" t="s">
        <v>259</v>
      </c>
      <c r="I5041" t="s">
        <v>22</v>
      </c>
      <c r="J5041" s="2" t="s">
        <v>42</v>
      </c>
      <c r="K5041" s="2" t="s">
        <v>3019</v>
      </c>
      <c r="L5041" t="s">
        <v>25</v>
      </c>
      <c r="M5041" s="8">
        <v>4.2283333330000001</v>
      </c>
      <c r="N5041" t="s">
        <v>26</v>
      </c>
      <c r="O5041" s="8">
        <v>4.2283333330000001</v>
      </c>
      <c r="P5041" s="8">
        <f>EXP(-1.363+3.366*LOG(O5041,10))</f>
        <v>2.1057792396965977</v>
      </c>
      <c r="Q5041" s="8">
        <f>(5996898*100)/6073515</f>
        <v>98.738506449724753</v>
      </c>
    </row>
    <row r="5042" spans="1:17" x14ac:dyDescent="0.2">
      <c r="A5042">
        <f>YEAR(D5042)</f>
        <v>2020</v>
      </c>
      <c r="B5042" t="s">
        <v>26</v>
      </c>
      <c r="C5042" s="2" t="s">
        <v>3018</v>
      </c>
      <c r="D5042" s="1">
        <v>43991</v>
      </c>
      <c r="E5042">
        <f>MONTH(D5042)</f>
        <v>6</v>
      </c>
      <c r="F5042" s="2" t="s">
        <v>19</v>
      </c>
      <c r="G5042" t="s">
        <v>352</v>
      </c>
      <c r="H5042" t="s">
        <v>353</v>
      </c>
      <c r="I5042" t="s">
        <v>22</v>
      </c>
      <c r="J5042" s="2" t="s">
        <v>42</v>
      </c>
      <c r="K5042" s="2" t="s">
        <v>3019</v>
      </c>
      <c r="L5042" t="s">
        <v>25</v>
      </c>
      <c r="M5042" s="8">
        <v>1.1623333330000001</v>
      </c>
      <c r="N5042" t="s">
        <v>26</v>
      </c>
      <c r="O5042" s="8">
        <v>1.1623333330000001</v>
      </c>
      <c r="P5042" s="8">
        <f>EXP(-1.363+3.366*LOG(O5042,10))</f>
        <v>0.31883010989102206</v>
      </c>
      <c r="Q5042" s="8">
        <f>(5996898*100)/6073515</f>
        <v>98.738506449724753</v>
      </c>
    </row>
    <row r="5043" spans="1:17" x14ac:dyDescent="0.2">
      <c r="A5043">
        <f>YEAR(D5043)</f>
        <v>2020</v>
      </c>
      <c r="B5043" t="s">
        <v>26</v>
      </c>
      <c r="C5043" s="2" t="s">
        <v>3018</v>
      </c>
      <c r="D5043" s="1">
        <v>43991</v>
      </c>
      <c r="E5043">
        <f>MONTH(D5043)</f>
        <v>6</v>
      </c>
      <c r="F5043" s="2" t="s">
        <v>19</v>
      </c>
      <c r="G5043" t="s">
        <v>1520</v>
      </c>
      <c r="H5043" t="s">
        <v>1925</v>
      </c>
      <c r="I5043" t="s">
        <v>36</v>
      </c>
      <c r="J5043" s="2" t="s">
        <v>42</v>
      </c>
      <c r="K5043" s="2" t="s">
        <v>3019</v>
      </c>
      <c r="L5043" t="s">
        <v>25</v>
      </c>
      <c r="M5043" s="8">
        <v>2.1076666670000002</v>
      </c>
      <c r="N5043" t="s">
        <v>26</v>
      </c>
      <c r="O5043" s="8">
        <v>2.1076666670000002</v>
      </c>
      <c r="P5043" s="8">
        <f>EXP(-1.363+3.366*LOG(O5043,10))</f>
        <v>0.76102983783378542</v>
      </c>
      <c r="Q5043" s="8">
        <f>(5996898*100)/6073515</f>
        <v>98.738506449724753</v>
      </c>
    </row>
    <row r="5044" spans="1:17" x14ac:dyDescent="0.2">
      <c r="A5044">
        <f>YEAR(D5044)</f>
        <v>2020</v>
      </c>
      <c r="B5044" t="e">
        <f>CONCATENATE(K5044,#REF!)</f>
        <v>#REF!</v>
      </c>
      <c r="C5044" s="2" t="s">
        <v>3018</v>
      </c>
      <c r="D5044" s="1">
        <v>43991</v>
      </c>
      <c r="E5044">
        <f>MONTH(D5044)</f>
        <v>6</v>
      </c>
      <c r="F5044" s="2" t="s">
        <v>19</v>
      </c>
      <c r="G5044" s="2" t="s">
        <v>20</v>
      </c>
      <c r="H5044" t="s">
        <v>103</v>
      </c>
      <c r="I5044" t="s">
        <v>36</v>
      </c>
      <c r="J5044" s="2" t="s">
        <v>42</v>
      </c>
      <c r="K5044" s="2" t="s">
        <v>3019</v>
      </c>
      <c r="L5044" t="s">
        <v>25</v>
      </c>
      <c r="M5044" s="8">
        <v>1.856666667</v>
      </c>
      <c r="N5044" t="s">
        <v>26</v>
      </c>
      <c r="O5044" s="8">
        <v>1.856666667</v>
      </c>
      <c r="P5044" s="8">
        <f>EXP(-1.363+3.366*LOG(O5044,10))</f>
        <v>0.63226823262235543</v>
      </c>
      <c r="Q5044" s="8">
        <f>(5996898*100)/6073515</f>
        <v>98.738506449724753</v>
      </c>
    </row>
    <row r="5045" spans="1:17" x14ac:dyDescent="0.2">
      <c r="A5045">
        <f>YEAR(D5045)</f>
        <v>2020</v>
      </c>
      <c r="B5045" t="e">
        <f>CONCATENATE(K5045,#REF!)</f>
        <v>#REF!</v>
      </c>
      <c r="C5045" s="2" t="s">
        <v>3018</v>
      </c>
      <c r="D5045" s="1">
        <v>43991</v>
      </c>
      <c r="E5045">
        <f>MONTH(D5045)</f>
        <v>6</v>
      </c>
      <c r="F5045" s="2" t="s">
        <v>19</v>
      </c>
      <c r="G5045" s="2" t="s">
        <v>20</v>
      </c>
      <c r="H5045" t="s">
        <v>103</v>
      </c>
      <c r="I5045" t="s">
        <v>36</v>
      </c>
      <c r="J5045" s="2" t="s">
        <v>42</v>
      </c>
      <c r="K5045" s="2" t="s">
        <v>3019</v>
      </c>
      <c r="L5045" t="s">
        <v>25</v>
      </c>
      <c r="M5045" s="8">
        <v>1.856666667</v>
      </c>
      <c r="N5045" t="s">
        <v>26</v>
      </c>
      <c r="O5045" s="8">
        <v>1.856666667</v>
      </c>
      <c r="P5045" s="8">
        <f>EXP(-1.363+3.366*LOG(O5045,10))</f>
        <v>0.63226823262235543</v>
      </c>
      <c r="Q5045" s="8">
        <f>(5996898*100)/6073515</f>
        <v>98.738506449724753</v>
      </c>
    </row>
    <row r="5046" spans="1:17" x14ac:dyDescent="0.2">
      <c r="A5046">
        <f>YEAR(D5046)</f>
        <v>2020</v>
      </c>
      <c r="B5046" t="s">
        <v>26</v>
      </c>
      <c r="C5046" s="2" t="s">
        <v>3027</v>
      </c>
      <c r="D5046" s="1">
        <v>43991</v>
      </c>
      <c r="E5046">
        <f>MONTH(D5046)</f>
        <v>6</v>
      </c>
      <c r="F5046" s="2" t="s">
        <v>19</v>
      </c>
      <c r="G5046" t="s">
        <v>352</v>
      </c>
      <c r="H5046" t="s">
        <v>1459</v>
      </c>
      <c r="I5046" t="s">
        <v>22</v>
      </c>
      <c r="J5046" s="2" t="s">
        <v>42</v>
      </c>
      <c r="K5046" s="2" t="s">
        <v>3019</v>
      </c>
      <c r="L5046" t="s">
        <v>25</v>
      </c>
      <c r="M5046" s="8">
        <v>1.1910000000000001</v>
      </c>
      <c r="N5046" t="s">
        <v>26</v>
      </c>
      <c r="O5046" s="8">
        <v>1.1910000000000001</v>
      </c>
      <c r="P5046" s="8">
        <f>EXP(-1.363+3.366*LOG(O5046,10))</f>
        <v>0.33039016297752993</v>
      </c>
      <c r="Q5046" s="8">
        <f>(3939723*100)/4442581</f>
        <v>88.680949204977921</v>
      </c>
    </row>
    <row r="5047" spans="1:17" x14ac:dyDescent="0.2">
      <c r="A5047">
        <f>YEAR(D5047)</f>
        <v>2020</v>
      </c>
      <c r="B5047" t="s">
        <v>26</v>
      </c>
      <c r="C5047" s="2" t="s">
        <v>3018</v>
      </c>
      <c r="D5047" s="1">
        <v>43991</v>
      </c>
      <c r="E5047">
        <f>MONTH(D5047)</f>
        <v>6</v>
      </c>
      <c r="F5047" s="2" t="s">
        <v>19</v>
      </c>
      <c r="G5047" t="s">
        <v>20</v>
      </c>
      <c r="H5047" t="s">
        <v>171</v>
      </c>
      <c r="I5047" t="s">
        <v>36</v>
      </c>
      <c r="J5047" s="2" t="s">
        <v>42</v>
      </c>
      <c r="K5047" s="2" t="s">
        <v>3019</v>
      </c>
      <c r="L5047" t="s">
        <v>25</v>
      </c>
      <c r="M5047" s="8">
        <v>1.104666667</v>
      </c>
      <c r="N5047" t="s">
        <v>26</v>
      </c>
      <c r="O5047" s="8">
        <v>1.104666667</v>
      </c>
      <c r="P5047" s="8">
        <f>EXP(-1.363+3.366*LOG(O5047,10))</f>
        <v>0.29597401543594926</v>
      </c>
      <c r="Q5047" s="8">
        <f>(5996898*100)/6073515</f>
        <v>98.738506449724753</v>
      </c>
    </row>
    <row r="5048" spans="1:17" x14ac:dyDescent="0.2">
      <c r="A5048">
        <f>YEAR(D5048)</f>
        <v>2020</v>
      </c>
      <c r="B5048" t="s">
        <v>26</v>
      </c>
      <c r="C5048" s="2" t="s">
        <v>3018</v>
      </c>
      <c r="D5048" s="1">
        <v>43991</v>
      </c>
      <c r="E5048">
        <f>MONTH(D5048)</f>
        <v>6</v>
      </c>
      <c r="F5048" s="2" t="s">
        <v>19</v>
      </c>
      <c r="G5048" t="s">
        <v>20</v>
      </c>
      <c r="H5048" t="s">
        <v>171</v>
      </c>
      <c r="I5048" t="s">
        <v>22</v>
      </c>
      <c r="J5048" s="2" t="s">
        <v>42</v>
      </c>
      <c r="K5048" s="2" t="s">
        <v>3019</v>
      </c>
      <c r="L5048" t="s">
        <v>25</v>
      </c>
      <c r="M5048" s="8">
        <v>1.258</v>
      </c>
      <c r="N5048" t="s">
        <v>26</v>
      </c>
      <c r="O5048" s="8">
        <v>1.258</v>
      </c>
      <c r="P5048" s="8">
        <f>EXP(-1.363+3.366*LOG(O5048,10))</f>
        <v>0.35790955576548023</v>
      </c>
      <c r="Q5048" s="8">
        <f>(5996898*100)/6073515</f>
        <v>98.738506449724753</v>
      </c>
    </row>
    <row r="5049" spans="1:17" x14ac:dyDescent="0.2">
      <c r="A5049">
        <f>YEAR(D5049)</f>
        <v>2020</v>
      </c>
      <c r="B5049" t="s">
        <v>26</v>
      </c>
      <c r="C5049" s="2" t="s">
        <v>3018</v>
      </c>
      <c r="D5049" s="1">
        <v>43991</v>
      </c>
      <c r="E5049">
        <f>MONTH(D5049)</f>
        <v>6</v>
      </c>
      <c r="F5049" s="2" t="s">
        <v>19</v>
      </c>
      <c r="G5049" t="s">
        <v>352</v>
      </c>
      <c r="H5049" t="s">
        <v>975</v>
      </c>
      <c r="I5049" t="s">
        <v>22</v>
      </c>
      <c r="J5049" s="2" t="s">
        <v>42</v>
      </c>
      <c r="K5049" s="2" t="s">
        <v>3019</v>
      </c>
      <c r="L5049" t="s">
        <v>25</v>
      </c>
      <c r="M5049" s="8">
        <v>1.0693333330000001</v>
      </c>
      <c r="N5049" t="s">
        <v>26</v>
      </c>
      <c r="O5049" s="8">
        <v>1.0693333330000001</v>
      </c>
      <c r="P5049" s="8">
        <f>EXP(-1.363+3.366*LOG(O5049,10))</f>
        <v>0.28223780327142356</v>
      </c>
      <c r="Q5049" s="8">
        <f>(5996898*100)/6073515</f>
        <v>98.738506449724753</v>
      </c>
    </row>
    <row r="5050" spans="1:17" x14ac:dyDescent="0.2">
      <c r="A5050">
        <f>YEAR(D5050)</f>
        <v>2020</v>
      </c>
      <c r="B5050" t="s">
        <v>26</v>
      </c>
      <c r="C5050" s="2" t="s">
        <v>3018</v>
      </c>
      <c r="D5050" s="1">
        <v>43991</v>
      </c>
      <c r="E5050">
        <f>MONTH(D5050)</f>
        <v>6</v>
      </c>
      <c r="F5050" s="2" t="s">
        <v>19</v>
      </c>
      <c r="G5050" t="s">
        <v>352</v>
      </c>
      <c r="H5050" t="s">
        <v>975</v>
      </c>
      <c r="I5050" t="s">
        <v>22</v>
      </c>
      <c r="J5050" s="2" t="s">
        <v>42</v>
      </c>
      <c r="K5050" s="2" t="s">
        <v>3019</v>
      </c>
      <c r="L5050" t="s">
        <v>25</v>
      </c>
      <c r="M5050" s="8">
        <v>1.0693333330000001</v>
      </c>
      <c r="N5050" t="s">
        <v>26</v>
      </c>
      <c r="O5050" s="8">
        <v>1.0693333330000001</v>
      </c>
      <c r="P5050" s="8">
        <f>EXP(-1.363+3.366*LOG(O5050,10))</f>
        <v>0.28223780327142356</v>
      </c>
      <c r="Q5050" s="8">
        <f>(5996898*100)/6073515</f>
        <v>98.738506449724753</v>
      </c>
    </row>
    <row r="5051" spans="1:17" x14ac:dyDescent="0.2">
      <c r="A5051">
        <f>YEAR(D5051)</f>
        <v>2020</v>
      </c>
      <c r="B5051" t="s">
        <v>26</v>
      </c>
      <c r="C5051" s="2" t="s">
        <v>3018</v>
      </c>
      <c r="D5051" s="1">
        <v>43991</v>
      </c>
      <c r="E5051">
        <f>MONTH(D5051)</f>
        <v>6</v>
      </c>
      <c r="F5051" s="2" t="s">
        <v>19</v>
      </c>
      <c r="G5051" t="s">
        <v>352</v>
      </c>
      <c r="H5051" t="s">
        <v>353</v>
      </c>
      <c r="I5051" t="s">
        <v>22</v>
      </c>
      <c r="J5051" s="2" t="s">
        <v>42</v>
      </c>
      <c r="K5051" s="2" t="s">
        <v>3019</v>
      </c>
      <c r="L5051" t="s">
        <v>25</v>
      </c>
      <c r="M5051" s="8">
        <v>1.1623333330000001</v>
      </c>
      <c r="N5051" t="s">
        <v>26</v>
      </c>
      <c r="O5051" s="8">
        <v>1.1623333330000001</v>
      </c>
      <c r="P5051" s="8">
        <f>EXP(-1.363+3.366*LOG(O5051,10))</f>
        <v>0.31883010989102206</v>
      </c>
      <c r="Q5051" s="8">
        <f>(5996898*100)/6073515</f>
        <v>98.738506449724753</v>
      </c>
    </row>
    <row r="5052" spans="1:17" ht="16" x14ac:dyDescent="0.2">
      <c r="A5052">
        <f>YEAR(D5052)</f>
        <v>2020</v>
      </c>
      <c r="B5052" t="s">
        <v>26</v>
      </c>
      <c r="C5052" s="2" t="s">
        <v>50</v>
      </c>
      <c r="D5052" s="1">
        <v>43993</v>
      </c>
      <c r="E5052">
        <f>MONTH(D5052)</f>
        <v>6</v>
      </c>
      <c r="F5052" s="2" t="s">
        <v>2098</v>
      </c>
      <c r="G5052" t="s">
        <v>318</v>
      </c>
      <c r="H5052" t="s">
        <v>319</v>
      </c>
      <c r="I5052" s="3" t="s">
        <v>26</v>
      </c>
      <c r="J5052" s="2" t="s">
        <v>42</v>
      </c>
      <c r="K5052" s="2" t="s">
        <v>3019</v>
      </c>
      <c r="L5052" t="s">
        <v>25</v>
      </c>
      <c r="M5052" s="10" t="s">
        <v>26</v>
      </c>
      <c r="N5052" t="s">
        <v>26</v>
      </c>
      <c r="O5052" s="8" t="s">
        <v>26</v>
      </c>
      <c r="P5052" s="8" t="s">
        <v>26</v>
      </c>
      <c r="Q5052" s="8">
        <f>(4488342*100)/4914798</f>
        <v>91.323020803703429</v>
      </c>
    </row>
    <row r="5053" spans="1:17" ht="16" x14ac:dyDescent="0.2">
      <c r="A5053">
        <f>YEAR(D5053)</f>
        <v>2020</v>
      </c>
      <c r="B5053" t="s">
        <v>26</v>
      </c>
      <c r="C5053" s="2" t="s">
        <v>50</v>
      </c>
      <c r="D5053" s="1">
        <v>43993</v>
      </c>
      <c r="E5053">
        <f>MONTH(D5053)</f>
        <v>6</v>
      </c>
      <c r="F5053" s="2" t="s">
        <v>2098</v>
      </c>
      <c r="G5053" t="s">
        <v>318</v>
      </c>
      <c r="H5053" t="s">
        <v>319</v>
      </c>
      <c r="I5053" s="3" t="s">
        <v>26</v>
      </c>
      <c r="J5053" s="2" t="s">
        <v>42</v>
      </c>
      <c r="K5053" s="2" t="s">
        <v>3019</v>
      </c>
      <c r="L5053" t="s">
        <v>25</v>
      </c>
      <c r="M5053" s="10" t="s">
        <v>26</v>
      </c>
      <c r="N5053" t="s">
        <v>26</v>
      </c>
      <c r="O5053" s="8" t="s">
        <v>26</v>
      </c>
      <c r="P5053" s="8" t="s">
        <v>26</v>
      </c>
      <c r="Q5053" s="8">
        <f>(4488342*100)/4914798</f>
        <v>91.323020803703429</v>
      </c>
    </row>
    <row r="5054" spans="1:17" ht="16" x14ac:dyDescent="0.2">
      <c r="A5054">
        <f>YEAR(D5054)</f>
        <v>2020</v>
      </c>
      <c r="B5054" t="s">
        <v>26</v>
      </c>
      <c r="C5054" s="2" t="s">
        <v>50</v>
      </c>
      <c r="D5054" s="1">
        <v>43993</v>
      </c>
      <c r="E5054">
        <f>MONTH(D5054)</f>
        <v>6</v>
      </c>
      <c r="F5054" s="2" t="s">
        <v>2098</v>
      </c>
      <c r="G5054" t="s">
        <v>318</v>
      </c>
      <c r="H5054" t="s">
        <v>319</v>
      </c>
      <c r="I5054" s="3" t="s">
        <v>26</v>
      </c>
      <c r="J5054" s="2" t="s">
        <v>42</v>
      </c>
      <c r="K5054" s="2" t="s">
        <v>3019</v>
      </c>
      <c r="L5054" t="s">
        <v>25</v>
      </c>
      <c r="M5054" s="10" t="s">
        <v>26</v>
      </c>
      <c r="N5054" t="s">
        <v>26</v>
      </c>
      <c r="O5054" s="8" t="s">
        <v>26</v>
      </c>
      <c r="P5054" s="8" t="s">
        <v>26</v>
      </c>
      <c r="Q5054" s="8">
        <f>(4488342*100)/4914798</f>
        <v>91.323020803703429</v>
      </c>
    </row>
    <row r="5055" spans="1:17" x14ac:dyDescent="0.2">
      <c r="A5055">
        <f>YEAR(D5055)</f>
        <v>2020</v>
      </c>
      <c r="B5055" t="s">
        <v>26</v>
      </c>
      <c r="C5055" s="2" t="s">
        <v>50</v>
      </c>
      <c r="D5055" s="1">
        <v>43993</v>
      </c>
      <c r="E5055">
        <f>MONTH(D5055)</f>
        <v>6</v>
      </c>
      <c r="F5055" s="2" t="s">
        <v>2098</v>
      </c>
      <c r="G5055" t="s">
        <v>219</v>
      </c>
      <c r="H5055" t="s">
        <v>220</v>
      </c>
      <c r="I5055" t="s">
        <v>22</v>
      </c>
      <c r="J5055" s="2" t="s">
        <v>42</v>
      </c>
      <c r="K5055" s="2" t="s">
        <v>3019</v>
      </c>
      <c r="L5055" t="s">
        <v>25</v>
      </c>
      <c r="M5055" s="10" t="s">
        <v>26</v>
      </c>
      <c r="N5055" t="s">
        <v>26</v>
      </c>
      <c r="O5055" s="10" t="s">
        <v>26</v>
      </c>
      <c r="P5055" s="8" t="s">
        <v>26</v>
      </c>
      <c r="Q5055" s="8">
        <f>(4488342*100)/4914798</f>
        <v>91.323020803703429</v>
      </c>
    </row>
    <row r="5056" spans="1:17" x14ac:dyDescent="0.2">
      <c r="A5056">
        <f>YEAR(D5056)</f>
        <v>2020</v>
      </c>
      <c r="B5056" t="s">
        <v>26</v>
      </c>
      <c r="C5056" s="2" t="s">
        <v>50</v>
      </c>
      <c r="D5056" s="1">
        <v>43993</v>
      </c>
      <c r="E5056">
        <f>MONTH(D5056)</f>
        <v>6</v>
      </c>
      <c r="F5056" s="2" t="s">
        <v>2098</v>
      </c>
      <c r="G5056" t="s">
        <v>219</v>
      </c>
      <c r="H5056" t="s">
        <v>220</v>
      </c>
      <c r="I5056" t="s">
        <v>22</v>
      </c>
      <c r="J5056" s="2" t="s">
        <v>42</v>
      </c>
      <c r="K5056" s="2" t="s">
        <v>3019</v>
      </c>
      <c r="L5056" t="s">
        <v>25</v>
      </c>
      <c r="M5056" s="10" t="s">
        <v>26</v>
      </c>
      <c r="N5056" t="s">
        <v>26</v>
      </c>
      <c r="O5056" s="10" t="s">
        <v>26</v>
      </c>
      <c r="P5056" s="8" t="s">
        <v>26</v>
      </c>
      <c r="Q5056" s="8">
        <f>(4488342*100)/4914798</f>
        <v>91.323020803703429</v>
      </c>
    </row>
    <row r="5057" spans="1:17" x14ac:dyDescent="0.2">
      <c r="A5057">
        <f>YEAR(D5057)</f>
        <v>2020</v>
      </c>
      <c r="B5057" t="s">
        <v>26</v>
      </c>
      <c r="C5057" s="2" t="s">
        <v>50</v>
      </c>
      <c r="D5057" s="1">
        <v>43993</v>
      </c>
      <c r="E5057">
        <f>MONTH(D5057)</f>
        <v>6</v>
      </c>
      <c r="F5057" s="2" t="s">
        <v>2098</v>
      </c>
      <c r="G5057" t="s">
        <v>219</v>
      </c>
      <c r="H5057" t="s">
        <v>220</v>
      </c>
      <c r="I5057" t="s">
        <v>22</v>
      </c>
      <c r="J5057" s="2" t="s">
        <v>42</v>
      </c>
      <c r="K5057" s="2" t="s">
        <v>3019</v>
      </c>
      <c r="L5057" t="s">
        <v>25</v>
      </c>
      <c r="M5057" s="10" t="s">
        <v>26</v>
      </c>
      <c r="N5057" t="s">
        <v>26</v>
      </c>
      <c r="O5057" s="10" t="s">
        <v>26</v>
      </c>
      <c r="P5057" s="8" t="s">
        <v>26</v>
      </c>
      <c r="Q5057" s="8">
        <f>(4488342*100)/4914798</f>
        <v>91.323020803703429</v>
      </c>
    </row>
    <row r="5058" spans="1:17" x14ac:dyDescent="0.2">
      <c r="A5058">
        <f>YEAR(D5058)</f>
        <v>2020</v>
      </c>
      <c r="B5058" t="s">
        <v>26</v>
      </c>
      <c r="C5058" s="2" t="s">
        <v>50</v>
      </c>
      <c r="D5058" s="1">
        <v>43993</v>
      </c>
      <c r="E5058">
        <f>MONTH(D5058)</f>
        <v>6</v>
      </c>
      <c r="F5058" s="2" t="s">
        <v>2098</v>
      </c>
      <c r="G5058" t="s">
        <v>230</v>
      </c>
      <c r="H5058" t="s">
        <v>268</v>
      </c>
      <c r="I5058" t="s">
        <v>22</v>
      </c>
      <c r="J5058" s="2" t="s">
        <v>42</v>
      </c>
      <c r="K5058" s="2" t="s">
        <v>3019</v>
      </c>
      <c r="L5058" t="s">
        <v>25</v>
      </c>
      <c r="M5058" s="8">
        <v>3.5356666670000001</v>
      </c>
      <c r="N5058" t="s">
        <v>26</v>
      </c>
      <c r="O5058" s="8">
        <v>3.5356666670000001</v>
      </c>
      <c r="P5058" s="8">
        <f>EXP(-1.363+3.366*LOG(O5058,10))</f>
        <v>1.6211802664427075</v>
      </c>
      <c r="Q5058" s="8">
        <f>(4488342*100)/4914798</f>
        <v>91.323020803703429</v>
      </c>
    </row>
    <row r="5059" spans="1:17" x14ac:dyDescent="0.2">
      <c r="A5059">
        <f>YEAR(D5059)</f>
        <v>2020</v>
      </c>
      <c r="B5059" t="s">
        <v>26</v>
      </c>
      <c r="C5059" s="2" t="s">
        <v>50</v>
      </c>
      <c r="D5059" s="1">
        <v>43993</v>
      </c>
      <c r="E5059">
        <f>MONTH(D5059)</f>
        <v>6</v>
      </c>
      <c r="F5059" s="2" t="s">
        <v>2098</v>
      </c>
      <c r="G5059" t="s">
        <v>230</v>
      </c>
      <c r="H5059" t="s">
        <v>268</v>
      </c>
      <c r="I5059" t="s">
        <v>22</v>
      </c>
      <c r="J5059" s="2" t="s">
        <v>42</v>
      </c>
      <c r="K5059" s="2" t="s">
        <v>3019</v>
      </c>
      <c r="L5059" t="s">
        <v>25</v>
      </c>
      <c r="M5059" s="8">
        <v>3.5356666670000001</v>
      </c>
      <c r="N5059" t="s">
        <v>26</v>
      </c>
      <c r="O5059" s="8">
        <v>3.5356666670000001</v>
      </c>
      <c r="P5059" s="8">
        <f>EXP(-1.363+3.366*LOG(O5059,10))</f>
        <v>1.6211802664427075</v>
      </c>
      <c r="Q5059" s="8">
        <f>(4488342*100)/4914798</f>
        <v>91.323020803703429</v>
      </c>
    </row>
    <row r="5060" spans="1:17" x14ac:dyDescent="0.2">
      <c r="A5060">
        <f>YEAR(D5060)</f>
        <v>2020</v>
      </c>
      <c r="B5060" t="s">
        <v>26</v>
      </c>
      <c r="C5060" s="2" t="s">
        <v>50</v>
      </c>
      <c r="D5060" s="1">
        <v>43993</v>
      </c>
      <c r="E5060">
        <f>MONTH(D5060)</f>
        <v>6</v>
      </c>
      <c r="F5060" s="2" t="s">
        <v>2098</v>
      </c>
      <c r="G5060" t="s">
        <v>219</v>
      </c>
      <c r="H5060" t="s">
        <v>220</v>
      </c>
      <c r="I5060" t="s">
        <v>22</v>
      </c>
      <c r="J5060" s="2" t="s">
        <v>42</v>
      </c>
      <c r="K5060" s="2" t="s">
        <v>3019</v>
      </c>
      <c r="L5060" t="s">
        <v>25</v>
      </c>
      <c r="M5060" s="10" t="s">
        <v>26</v>
      </c>
      <c r="N5060" t="s">
        <v>26</v>
      </c>
      <c r="O5060" s="10" t="s">
        <v>26</v>
      </c>
      <c r="P5060" s="8" t="s">
        <v>26</v>
      </c>
      <c r="Q5060" s="8">
        <f>(4488342*100)/4914798</f>
        <v>91.323020803703429</v>
      </c>
    </row>
    <row r="5061" spans="1:17" x14ac:dyDescent="0.2">
      <c r="A5061">
        <f>YEAR(D5061)</f>
        <v>2020</v>
      </c>
      <c r="B5061" t="s">
        <v>26</v>
      </c>
      <c r="C5061" s="2" t="s">
        <v>50</v>
      </c>
      <c r="D5061" s="1">
        <v>43993</v>
      </c>
      <c r="E5061">
        <f>MONTH(D5061)</f>
        <v>6</v>
      </c>
      <c r="F5061" s="2" t="s">
        <v>2098</v>
      </c>
      <c r="G5061" t="s">
        <v>230</v>
      </c>
      <c r="H5061" t="s">
        <v>268</v>
      </c>
      <c r="I5061" t="s">
        <v>22</v>
      </c>
      <c r="J5061" s="2" t="s">
        <v>42</v>
      </c>
      <c r="K5061" s="2" t="s">
        <v>3019</v>
      </c>
      <c r="L5061" t="s">
        <v>25</v>
      </c>
      <c r="M5061" s="8">
        <v>3.5356666670000001</v>
      </c>
      <c r="N5061" t="s">
        <v>26</v>
      </c>
      <c r="O5061" s="8">
        <v>3.5356666670000001</v>
      </c>
      <c r="P5061" s="8">
        <f>EXP(-1.363+3.366*LOG(O5061,10))</f>
        <v>1.6211802664427075</v>
      </c>
      <c r="Q5061" s="8">
        <f>(4488342*100)/4914798</f>
        <v>91.323020803703429</v>
      </c>
    </row>
    <row r="5062" spans="1:17" x14ac:dyDescent="0.2">
      <c r="A5062">
        <f>YEAR(D5062)</f>
        <v>2020</v>
      </c>
      <c r="B5062" t="s">
        <v>26</v>
      </c>
      <c r="C5062" s="2" t="s">
        <v>50</v>
      </c>
      <c r="D5062" s="1">
        <v>43993</v>
      </c>
      <c r="E5062">
        <f>MONTH(D5062)</f>
        <v>6</v>
      </c>
      <c r="F5062" s="2" t="s">
        <v>2098</v>
      </c>
      <c r="G5062" t="s">
        <v>230</v>
      </c>
      <c r="H5062" t="s">
        <v>268</v>
      </c>
      <c r="I5062" t="s">
        <v>22</v>
      </c>
      <c r="J5062" s="2" t="s">
        <v>42</v>
      </c>
      <c r="K5062" s="2" t="s">
        <v>3019</v>
      </c>
      <c r="L5062" t="s">
        <v>25</v>
      </c>
      <c r="M5062" s="8">
        <v>3.5356666670000001</v>
      </c>
      <c r="N5062" t="s">
        <v>26</v>
      </c>
      <c r="O5062" s="8">
        <v>3.5356666670000001</v>
      </c>
      <c r="P5062" s="8">
        <f>EXP(-1.363+3.366*LOG(O5062,10))</f>
        <v>1.6211802664427075</v>
      </c>
      <c r="Q5062" s="8">
        <f>(4488342*100)/4914798</f>
        <v>91.323020803703429</v>
      </c>
    </row>
    <row r="5063" spans="1:17" x14ac:dyDescent="0.2">
      <c r="A5063">
        <f>YEAR(D5063)</f>
        <v>2020</v>
      </c>
      <c r="B5063" t="s">
        <v>26</v>
      </c>
      <c r="C5063" s="2" t="s">
        <v>50</v>
      </c>
      <c r="D5063" s="1">
        <v>43993</v>
      </c>
      <c r="E5063">
        <f>MONTH(D5063)</f>
        <v>6</v>
      </c>
      <c r="F5063" s="2" t="s">
        <v>2098</v>
      </c>
      <c r="G5063" t="s">
        <v>230</v>
      </c>
      <c r="H5063" t="s">
        <v>268</v>
      </c>
      <c r="I5063" t="s">
        <v>22</v>
      </c>
      <c r="J5063" s="2" t="s">
        <v>42</v>
      </c>
      <c r="K5063" s="2" t="s">
        <v>3019</v>
      </c>
      <c r="L5063" t="s">
        <v>25</v>
      </c>
      <c r="M5063" s="8">
        <v>3.5356666670000001</v>
      </c>
      <c r="N5063" t="s">
        <v>26</v>
      </c>
      <c r="O5063" s="8">
        <v>3.5356666670000001</v>
      </c>
      <c r="P5063" s="8">
        <f>EXP(-1.363+3.366*LOG(O5063,10))</f>
        <v>1.6211802664427075</v>
      </c>
      <c r="Q5063" s="8">
        <f>(4488342*100)/4914798</f>
        <v>91.323020803703429</v>
      </c>
    </row>
    <row r="5064" spans="1:17" x14ac:dyDescent="0.2">
      <c r="A5064">
        <f>YEAR(D5064)</f>
        <v>2020</v>
      </c>
      <c r="B5064" t="s">
        <v>26</v>
      </c>
      <c r="C5064" s="2" t="s">
        <v>50</v>
      </c>
      <c r="D5064" s="1">
        <v>43993</v>
      </c>
      <c r="E5064">
        <f>MONTH(D5064)</f>
        <v>6</v>
      </c>
      <c r="F5064" s="2" t="s">
        <v>2098</v>
      </c>
      <c r="G5064" t="s">
        <v>230</v>
      </c>
      <c r="H5064" t="s">
        <v>268</v>
      </c>
      <c r="I5064" t="s">
        <v>22</v>
      </c>
      <c r="J5064" s="2" t="s">
        <v>42</v>
      </c>
      <c r="K5064" s="2" t="s">
        <v>3019</v>
      </c>
      <c r="L5064" t="s">
        <v>25</v>
      </c>
      <c r="M5064" s="8">
        <v>3.5356666670000001</v>
      </c>
      <c r="N5064" t="s">
        <v>26</v>
      </c>
      <c r="O5064" s="8">
        <v>3.5356666670000001</v>
      </c>
      <c r="P5064" s="8">
        <f>EXP(-1.363+3.366*LOG(O5064,10))</f>
        <v>1.6211802664427075</v>
      </c>
      <c r="Q5064" s="8">
        <f>(4488342*100)/4914798</f>
        <v>91.323020803703429</v>
      </c>
    </row>
    <row r="5065" spans="1:17" x14ac:dyDescent="0.2">
      <c r="A5065">
        <f>YEAR(D5065)</f>
        <v>2020</v>
      </c>
      <c r="B5065" t="s">
        <v>26</v>
      </c>
      <c r="C5065" s="2" t="s">
        <v>50</v>
      </c>
      <c r="D5065" s="1">
        <v>43993</v>
      </c>
      <c r="E5065">
        <f>MONTH(D5065)</f>
        <v>6</v>
      </c>
      <c r="F5065" s="2" t="s">
        <v>2098</v>
      </c>
      <c r="G5065" t="s">
        <v>332</v>
      </c>
      <c r="H5065" t="s">
        <v>330</v>
      </c>
      <c r="I5065" t="s">
        <v>22</v>
      </c>
      <c r="J5065" s="2" t="s">
        <v>42</v>
      </c>
      <c r="K5065" s="2" t="s">
        <v>3019</v>
      </c>
      <c r="L5065" t="s">
        <v>25</v>
      </c>
      <c r="M5065" s="8">
        <v>1.2170000000000001</v>
      </c>
      <c r="N5065" t="s">
        <v>26</v>
      </c>
      <c r="O5065" s="8">
        <v>1.2170000000000001</v>
      </c>
      <c r="P5065" s="8">
        <f>EXP(-1.363+3.366*LOG(O5065,10))</f>
        <v>0.34098666307598596</v>
      </c>
      <c r="Q5065" s="8">
        <f>(4488342*100)/4914798</f>
        <v>91.323020803703429</v>
      </c>
    </row>
    <row r="5066" spans="1:17" x14ac:dyDescent="0.2">
      <c r="A5066">
        <f>YEAR(D5066)</f>
        <v>2020</v>
      </c>
      <c r="B5066" t="s">
        <v>26</v>
      </c>
      <c r="C5066" s="2" t="s">
        <v>50</v>
      </c>
      <c r="D5066" s="1">
        <v>43993</v>
      </c>
      <c r="E5066">
        <f>MONTH(D5066)</f>
        <v>6</v>
      </c>
      <c r="F5066" s="2" t="s">
        <v>2098</v>
      </c>
      <c r="G5066" t="s">
        <v>20</v>
      </c>
      <c r="H5066" t="s">
        <v>171</v>
      </c>
      <c r="I5066" t="s">
        <v>22</v>
      </c>
      <c r="J5066" s="2" t="s">
        <v>42</v>
      </c>
      <c r="K5066" s="2" t="s">
        <v>3019</v>
      </c>
      <c r="L5066" t="s">
        <v>25</v>
      </c>
      <c r="M5066" s="8">
        <v>1.258</v>
      </c>
      <c r="N5066" t="s">
        <v>26</v>
      </c>
      <c r="O5066" s="8">
        <v>1.258</v>
      </c>
      <c r="P5066" s="8">
        <f>EXP(-1.363+3.366*LOG(O5066,10))</f>
        <v>0.35790955576548023</v>
      </c>
      <c r="Q5066" s="8">
        <f>(4488342*100)/4914798</f>
        <v>91.323020803703429</v>
      </c>
    </row>
    <row r="5067" spans="1:17" x14ac:dyDescent="0.2">
      <c r="A5067">
        <f>YEAR(D5067)</f>
        <v>2020</v>
      </c>
      <c r="B5067" t="s">
        <v>26</v>
      </c>
      <c r="C5067" s="2" t="s">
        <v>50</v>
      </c>
      <c r="D5067" s="1">
        <v>43993</v>
      </c>
      <c r="E5067">
        <f>MONTH(D5067)</f>
        <v>6</v>
      </c>
      <c r="F5067" s="2" t="s">
        <v>2098</v>
      </c>
      <c r="G5067" t="s">
        <v>352</v>
      </c>
      <c r="H5067" t="s">
        <v>623</v>
      </c>
      <c r="I5067" t="s">
        <v>22</v>
      </c>
      <c r="J5067" s="2" t="s">
        <v>42</v>
      </c>
      <c r="K5067" s="2" t="s">
        <v>3019</v>
      </c>
      <c r="L5067" t="s">
        <v>25</v>
      </c>
      <c r="M5067" s="8">
        <v>1.387</v>
      </c>
      <c r="N5067" t="s">
        <v>26</v>
      </c>
      <c r="O5067" s="8">
        <v>1.387</v>
      </c>
      <c r="P5067" s="8">
        <f>EXP(-1.363+3.366*LOG(O5067,10))</f>
        <v>0.41280884754947733</v>
      </c>
      <c r="Q5067" s="8">
        <f>(4488342*100)/4914798</f>
        <v>91.323020803703429</v>
      </c>
    </row>
    <row r="5068" spans="1:17" x14ac:dyDescent="0.2">
      <c r="A5068">
        <f>YEAR(D5068)</f>
        <v>2020</v>
      </c>
      <c r="B5068" t="s">
        <v>26</v>
      </c>
      <c r="C5068" s="2" t="s">
        <v>50</v>
      </c>
      <c r="D5068" s="1">
        <v>43993</v>
      </c>
      <c r="E5068">
        <f>MONTH(D5068)</f>
        <v>6</v>
      </c>
      <c r="F5068" s="2" t="s">
        <v>2098</v>
      </c>
      <c r="G5068" t="s">
        <v>352</v>
      </c>
      <c r="H5068" t="s">
        <v>623</v>
      </c>
      <c r="I5068" t="s">
        <v>22</v>
      </c>
      <c r="J5068" s="2" t="s">
        <v>42</v>
      </c>
      <c r="K5068" s="2" t="s">
        <v>3019</v>
      </c>
      <c r="L5068" t="s">
        <v>25</v>
      </c>
      <c r="M5068" s="8">
        <v>1.387</v>
      </c>
      <c r="N5068" t="s">
        <v>26</v>
      </c>
      <c r="O5068" s="8">
        <v>1.387</v>
      </c>
      <c r="P5068" s="8">
        <f>EXP(-1.363+3.366*LOG(O5068,10))</f>
        <v>0.41280884754947733</v>
      </c>
      <c r="Q5068" s="8">
        <f>(4488342*100)/4914798</f>
        <v>91.323020803703429</v>
      </c>
    </row>
    <row r="5069" spans="1:17" x14ac:dyDescent="0.2">
      <c r="A5069">
        <f>YEAR(D5069)</f>
        <v>2020</v>
      </c>
      <c r="B5069" t="s">
        <v>26</v>
      </c>
      <c r="C5069" s="2" t="s">
        <v>50</v>
      </c>
      <c r="D5069" s="1">
        <v>43993</v>
      </c>
      <c r="E5069">
        <f>MONTH(D5069)</f>
        <v>6</v>
      </c>
      <c r="F5069" s="2" t="s">
        <v>2098</v>
      </c>
      <c r="G5069" t="s">
        <v>20</v>
      </c>
      <c r="H5069" t="s">
        <v>198</v>
      </c>
      <c r="I5069" t="s">
        <v>22</v>
      </c>
      <c r="J5069" s="2" t="s">
        <v>42</v>
      </c>
      <c r="K5069" s="2" t="s">
        <v>3019</v>
      </c>
      <c r="L5069" t="s">
        <v>187</v>
      </c>
      <c r="M5069" s="8">
        <v>1.7889999999999999</v>
      </c>
      <c r="N5069" t="s">
        <v>26</v>
      </c>
      <c r="O5069" s="8">
        <v>1.7889999999999999</v>
      </c>
      <c r="P5069" s="8">
        <f>EXP(-1.363+3.366*LOG(O5069,10))</f>
        <v>0.59886828672590986</v>
      </c>
      <c r="Q5069" s="8">
        <f>(4488342*100)/4914798</f>
        <v>91.323020803703429</v>
      </c>
    </row>
    <row r="5070" spans="1:17" x14ac:dyDescent="0.2">
      <c r="A5070">
        <f>YEAR(D5070)</f>
        <v>2020</v>
      </c>
      <c r="B5070" t="s">
        <v>26</v>
      </c>
      <c r="C5070" s="2" t="s">
        <v>50</v>
      </c>
      <c r="D5070" s="1">
        <v>43993</v>
      </c>
      <c r="E5070">
        <f>MONTH(D5070)</f>
        <v>6</v>
      </c>
      <c r="F5070" s="2" t="s">
        <v>2098</v>
      </c>
      <c r="G5070" t="s">
        <v>20</v>
      </c>
      <c r="H5070" t="s">
        <v>198</v>
      </c>
      <c r="I5070" t="s">
        <v>22</v>
      </c>
      <c r="J5070" s="2" t="s">
        <v>42</v>
      </c>
      <c r="K5070" s="2" t="s">
        <v>3019</v>
      </c>
      <c r="L5070" t="s">
        <v>187</v>
      </c>
      <c r="M5070" s="8">
        <v>1.7889999999999999</v>
      </c>
      <c r="N5070" t="s">
        <v>26</v>
      </c>
      <c r="O5070" s="8">
        <v>1.7889999999999999</v>
      </c>
      <c r="P5070" s="8">
        <f>EXP(-1.363+3.366*LOG(O5070,10))</f>
        <v>0.59886828672590986</v>
      </c>
      <c r="Q5070" s="8">
        <f>(4488342*100)/4914798</f>
        <v>91.323020803703429</v>
      </c>
    </row>
    <row r="5071" spans="1:17" x14ac:dyDescent="0.2">
      <c r="A5071">
        <f>YEAR(D5071)</f>
        <v>2020</v>
      </c>
      <c r="B5071" t="s">
        <v>26</v>
      </c>
      <c r="C5071" s="2" t="s">
        <v>50</v>
      </c>
      <c r="D5071" s="1">
        <v>43993</v>
      </c>
      <c r="E5071">
        <f>MONTH(D5071)</f>
        <v>6</v>
      </c>
      <c r="F5071" s="2" t="s">
        <v>2098</v>
      </c>
      <c r="G5071" t="s">
        <v>352</v>
      </c>
      <c r="H5071" t="s">
        <v>975</v>
      </c>
      <c r="I5071" t="s">
        <v>22</v>
      </c>
      <c r="J5071" s="2" t="s">
        <v>42</v>
      </c>
      <c r="K5071" s="2" t="s">
        <v>3019</v>
      </c>
      <c r="L5071" t="s">
        <v>25</v>
      </c>
      <c r="M5071" s="8">
        <v>1.0693333330000001</v>
      </c>
      <c r="N5071" t="s">
        <v>26</v>
      </c>
      <c r="O5071" s="8">
        <v>1.0693333330000001</v>
      </c>
      <c r="P5071" s="8">
        <f>EXP(-1.363+3.366*LOG(O5071,10))</f>
        <v>0.28223780327142356</v>
      </c>
      <c r="Q5071" s="8">
        <f>(4488342*100)/4914798</f>
        <v>91.323020803703429</v>
      </c>
    </row>
    <row r="5072" spans="1:17" x14ac:dyDescent="0.2">
      <c r="A5072">
        <f>YEAR(D5072)</f>
        <v>2020</v>
      </c>
      <c r="B5072" t="s">
        <v>26</v>
      </c>
      <c r="C5072" s="2" t="s">
        <v>50</v>
      </c>
      <c r="D5072" s="1">
        <v>43993</v>
      </c>
      <c r="E5072">
        <f>MONTH(D5072)</f>
        <v>6</v>
      </c>
      <c r="F5072" s="2" t="s">
        <v>2098</v>
      </c>
      <c r="G5072" s="2" t="s">
        <v>332</v>
      </c>
      <c r="H5072" t="s">
        <v>3066</v>
      </c>
      <c r="I5072" t="s">
        <v>36</v>
      </c>
      <c r="J5072" s="2" t="s">
        <v>42</v>
      </c>
      <c r="K5072" s="2" t="s">
        <v>3019</v>
      </c>
      <c r="L5072" t="s">
        <v>187</v>
      </c>
      <c r="M5072" s="8">
        <v>1.4640000000000002</v>
      </c>
      <c r="N5072" t="s">
        <v>26</v>
      </c>
      <c r="O5072" s="8">
        <v>1.4640000000000002</v>
      </c>
      <c r="P5072" s="8">
        <f>EXP(-1.363+3.366*LOG(O5072,10))</f>
        <v>0.44673543135822941</v>
      </c>
      <c r="Q5072" s="8">
        <f>(4488342*100)/4914798</f>
        <v>91.323020803703429</v>
      </c>
    </row>
    <row r="5073" spans="1:17" x14ac:dyDescent="0.2">
      <c r="A5073">
        <f>YEAR(D5073)</f>
        <v>2020</v>
      </c>
      <c r="B5073" t="s">
        <v>26</v>
      </c>
      <c r="C5073" s="2" t="s">
        <v>50</v>
      </c>
      <c r="D5073" s="1">
        <v>43993</v>
      </c>
      <c r="E5073">
        <f>MONTH(D5073)</f>
        <v>6</v>
      </c>
      <c r="F5073" s="2" t="s">
        <v>2098</v>
      </c>
      <c r="G5073" s="2" t="s">
        <v>332</v>
      </c>
      <c r="H5073" t="s">
        <v>3066</v>
      </c>
      <c r="I5073" t="s">
        <v>22</v>
      </c>
      <c r="J5073" s="2" t="s">
        <v>42</v>
      </c>
      <c r="K5073" s="2" t="s">
        <v>3019</v>
      </c>
      <c r="L5073" t="s">
        <v>187</v>
      </c>
      <c r="M5073" s="8">
        <v>1.6990000000000001</v>
      </c>
      <c r="N5073" t="s">
        <v>26</v>
      </c>
      <c r="O5073" s="8">
        <v>1.6990000000000001</v>
      </c>
      <c r="P5073" s="8">
        <f>EXP(-1.363+3.366*LOG(O5073,10))</f>
        <v>0.55534313960512893</v>
      </c>
      <c r="Q5073" s="8">
        <f>(4488342*100)/4914798</f>
        <v>91.323020803703429</v>
      </c>
    </row>
    <row r="5074" spans="1:17" x14ac:dyDescent="0.2">
      <c r="A5074">
        <f>YEAR(D5074)</f>
        <v>2020</v>
      </c>
      <c r="B5074" t="s">
        <v>26</v>
      </c>
      <c r="C5074" s="2" t="s">
        <v>50</v>
      </c>
      <c r="D5074" s="1">
        <v>43993</v>
      </c>
      <c r="E5074">
        <f>MONTH(D5074)</f>
        <v>6</v>
      </c>
      <c r="F5074" s="2" t="s">
        <v>2098</v>
      </c>
      <c r="G5074" s="2" t="s">
        <v>332</v>
      </c>
      <c r="H5074" t="s">
        <v>3066</v>
      </c>
      <c r="I5074" t="s">
        <v>22</v>
      </c>
      <c r="J5074" s="2" t="s">
        <v>42</v>
      </c>
      <c r="K5074" s="2" t="s">
        <v>3019</v>
      </c>
      <c r="L5074" t="s">
        <v>187</v>
      </c>
      <c r="M5074" s="8">
        <v>1.6990000000000001</v>
      </c>
      <c r="N5074" t="s">
        <v>26</v>
      </c>
      <c r="O5074" s="8">
        <v>1.6990000000000001</v>
      </c>
      <c r="P5074" s="8">
        <f>EXP(-1.363+3.366*LOG(O5074,10))</f>
        <v>0.55534313960512893</v>
      </c>
      <c r="Q5074" s="8">
        <f>(4488342*100)/4914798</f>
        <v>91.323020803703429</v>
      </c>
    </row>
    <row r="5075" spans="1:17" ht="16" x14ac:dyDescent="0.2">
      <c r="A5075">
        <f>YEAR(D5075)</f>
        <v>2020</v>
      </c>
      <c r="B5075" t="s">
        <v>26</v>
      </c>
      <c r="C5075" s="2" t="s">
        <v>50</v>
      </c>
      <c r="D5075" s="1">
        <v>43993</v>
      </c>
      <c r="E5075">
        <f>MONTH(D5075)</f>
        <v>6</v>
      </c>
      <c r="F5075" s="2" t="s">
        <v>2098</v>
      </c>
      <c r="G5075" s="2" t="s">
        <v>332</v>
      </c>
      <c r="H5075" t="s">
        <v>3066</v>
      </c>
      <c r="I5075" s="3" t="s">
        <v>26</v>
      </c>
      <c r="J5075" s="2" t="s">
        <v>42</v>
      </c>
      <c r="K5075" s="2" t="s">
        <v>3019</v>
      </c>
      <c r="L5075" t="s">
        <v>187</v>
      </c>
      <c r="M5075" s="10" t="s">
        <v>26</v>
      </c>
      <c r="N5075" t="s">
        <v>26</v>
      </c>
      <c r="O5075" s="8" t="s">
        <v>26</v>
      </c>
      <c r="P5075" s="8" t="s">
        <v>26</v>
      </c>
      <c r="Q5075" s="8">
        <f>(4488342*100)/4914798</f>
        <v>91.323020803703429</v>
      </c>
    </row>
    <row r="5076" spans="1:17" ht="16" x14ac:dyDescent="0.2">
      <c r="A5076">
        <f>YEAR(D5076)</f>
        <v>2020</v>
      </c>
      <c r="B5076" t="s">
        <v>26</v>
      </c>
      <c r="C5076" s="2" t="s">
        <v>50</v>
      </c>
      <c r="D5076" s="1">
        <v>43993</v>
      </c>
      <c r="E5076">
        <f>MONTH(D5076)</f>
        <v>6</v>
      </c>
      <c r="F5076" s="2" t="s">
        <v>2098</v>
      </c>
      <c r="G5076" s="2" t="s">
        <v>332</v>
      </c>
      <c r="H5076" t="s">
        <v>3066</v>
      </c>
      <c r="I5076" s="3" t="s">
        <v>26</v>
      </c>
      <c r="J5076" s="2" t="s">
        <v>42</v>
      </c>
      <c r="K5076" s="2" t="s">
        <v>3019</v>
      </c>
      <c r="L5076" t="s">
        <v>187</v>
      </c>
      <c r="M5076" s="10" t="s">
        <v>26</v>
      </c>
      <c r="N5076" t="s">
        <v>26</v>
      </c>
      <c r="O5076" s="8" t="s">
        <v>26</v>
      </c>
      <c r="P5076" s="8" t="s">
        <v>26</v>
      </c>
      <c r="Q5076" s="8">
        <f>(4488342*100)/4914798</f>
        <v>91.323020803703429</v>
      </c>
    </row>
    <row r="5077" spans="1:17" ht="16" x14ac:dyDescent="0.2">
      <c r="A5077">
        <f>YEAR(D5077)</f>
        <v>2020</v>
      </c>
      <c r="B5077" t="s">
        <v>26</v>
      </c>
      <c r="C5077" s="2" t="s">
        <v>50</v>
      </c>
      <c r="D5077" s="1">
        <v>43993</v>
      </c>
      <c r="E5077">
        <f>MONTH(D5077)</f>
        <v>6</v>
      </c>
      <c r="F5077" s="2" t="s">
        <v>2098</v>
      </c>
      <c r="G5077" s="2" t="s">
        <v>332</v>
      </c>
      <c r="H5077" t="s">
        <v>3066</v>
      </c>
      <c r="I5077" s="3" t="s">
        <v>26</v>
      </c>
      <c r="J5077" s="2" t="s">
        <v>42</v>
      </c>
      <c r="K5077" s="2" t="s">
        <v>3019</v>
      </c>
      <c r="L5077" t="s">
        <v>187</v>
      </c>
      <c r="M5077" s="10" t="s">
        <v>26</v>
      </c>
      <c r="N5077" t="s">
        <v>26</v>
      </c>
      <c r="O5077" s="8" t="s">
        <v>26</v>
      </c>
      <c r="P5077" s="8" t="s">
        <v>26</v>
      </c>
      <c r="Q5077" s="8">
        <f>(4488342*100)/4914798</f>
        <v>91.323020803703429</v>
      </c>
    </row>
    <row r="5078" spans="1:17" ht="16" x14ac:dyDescent="0.2">
      <c r="A5078">
        <f>YEAR(D5078)</f>
        <v>2020</v>
      </c>
      <c r="B5078" t="s">
        <v>26</v>
      </c>
      <c r="C5078" s="2" t="s">
        <v>50</v>
      </c>
      <c r="D5078" s="1">
        <v>43993</v>
      </c>
      <c r="E5078">
        <f>MONTH(D5078)</f>
        <v>6</v>
      </c>
      <c r="F5078" s="2" t="s">
        <v>2098</v>
      </c>
      <c r="G5078" s="2" t="s">
        <v>332</v>
      </c>
      <c r="H5078" t="s">
        <v>3066</v>
      </c>
      <c r="I5078" s="3" t="s">
        <v>26</v>
      </c>
      <c r="J5078" s="2" t="s">
        <v>42</v>
      </c>
      <c r="K5078" s="2" t="s">
        <v>3019</v>
      </c>
      <c r="L5078" t="s">
        <v>187</v>
      </c>
      <c r="M5078" s="10" t="s">
        <v>26</v>
      </c>
      <c r="N5078" t="s">
        <v>26</v>
      </c>
      <c r="O5078" s="8" t="s">
        <v>26</v>
      </c>
      <c r="P5078" s="8" t="s">
        <v>26</v>
      </c>
      <c r="Q5078" s="8">
        <f>(4488342*100)/4914798</f>
        <v>91.323020803703429</v>
      </c>
    </row>
    <row r="5079" spans="1:17" ht="16" x14ac:dyDescent="0.2">
      <c r="A5079">
        <f>YEAR(D5079)</f>
        <v>2020</v>
      </c>
      <c r="B5079" t="s">
        <v>26</v>
      </c>
      <c r="C5079" s="2" t="s">
        <v>50</v>
      </c>
      <c r="D5079" s="1">
        <v>43993</v>
      </c>
      <c r="E5079">
        <f>MONTH(D5079)</f>
        <v>6</v>
      </c>
      <c r="F5079" s="2" t="s">
        <v>2098</v>
      </c>
      <c r="G5079" s="2" t="s">
        <v>332</v>
      </c>
      <c r="H5079" t="s">
        <v>3066</v>
      </c>
      <c r="I5079" s="3" t="s">
        <v>26</v>
      </c>
      <c r="J5079" s="2" t="s">
        <v>42</v>
      </c>
      <c r="K5079" s="2" t="s">
        <v>3019</v>
      </c>
      <c r="L5079" t="s">
        <v>187</v>
      </c>
      <c r="M5079" s="10" t="s">
        <v>26</v>
      </c>
      <c r="N5079" t="s">
        <v>26</v>
      </c>
      <c r="O5079" s="8" t="s">
        <v>26</v>
      </c>
      <c r="P5079" s="8" t="s">
        <v>26</v>
      </c>
      <c r="Q5079" s="8">
        <f>(4488342*100)/4914798</f>
        <v>91.323020803703429</v>
      </c>
    </row>
    <row r="5080" spans="1:17" ht="16" x14ac:dyDescent="0.2">
      <c r="A5080">
        <f>YEAR(D5080)</f>
        <v>2020</v>
      </c>
      <c r="B5080" t="s">
        <v>26</v>
      </c>
      <c r="C5080" s="2" t="s">
        <v>50</v>
      </c>
      <c r="D5080" s="1">
        <v>43993</v>
      </c>
      <c r="E5080">
        <f>MONTH(D5080)</f>
        <v>6</v>
      </c>
      <c r="F5080" s="2" t="s">
        <v>2098</v>
      </c>
      <c r="G5080" s="2" t="s">
        <v>332</v>
      </c>
      <c r="H5080" t="s">
        <v>3066</v>
      </c>
      <c r="I5080" s="3" t="s">
        <v>26</v>
      </c>
      <c r="J5080" s="2" t="s">
        <v>42</v>
      </c>
      <c r="K5080" s="2" t="s">
        <v>3019</v>
      </c>
      <c r="L5080" t="s">
        <v>187</v>
      </c>
      <c r="M5080" s="10" t="s">
        <v>26</v>
      </c>
      <c r="N5080" t="s">
        <v>26</v>
      </c>
      <c r="O5080" s="8" t="s">
        <v>26</v>
      </c>
      <c r="P5080" s="8" t="s">
        <v>26</v>
      </c>
      <c r="Q5080" s="8">
        <f>(4488342*100)/4914798</f>
        <v>91.323020803703429</v>
      </c>
    </row>
    <row r="5081" spans="1:17" ht="16" x14ac:dyDescent="0.2">
      <c r="A5081">
        <f>YEAR(D5081)</f>
        <v>2020</v>
      </c>
      <c r="B5081" t="s">
        <v>26</v>
      </c>
      <c r="C5081" s="2" t="s">
        <v>50</v>
      </c>
      <c r="D5081" s="1">
        <v>43993</v>
      </c>
      <c r="E5081">
        <f>MONTH(D5081)</f>
        <v>6</v>
      </c>
      <c r="F5081" s="2" t="s">
        <v>2098</v>
      </c>
      <c r="G5081" s="2" t="s">
        <v>332</v>
      </c>
      <c r="H5081" t="s">
        <v>3066</v>
      </c>
      <c r="I5081" s="3" t="s">
        <v>26</v>
      </c>
      <c r="J5081" s="2" t="s">
        <v>42</v>
      </c>
      <c r="K5081" s="2" t="s">
        <v>3019</v>
      </c>
      <c r="L5081" t="s">
        <v>187</v>
      </c>
      <c r="M5081" s="10" t="s">
        <v>26</v>
      </c>
      <c r="N5081" t="s">
        <v>26</v>
      </c>
      <c r="O5081" s="8" t="s">
        <v>26</v>
      </c>
      <c r="P5081" s="8" t="s">
        <v>26</v>
      </c>
      <c r="Q5081" s="8">
        <f>(4488342*100)/4914798</f>
        <v>91.323020803703429</v>
      </c>
    </row>
    <row r="5082" spans="1:17" ht="16" x14ac:dyDescent="0.2">
      <c r="A5082">
        <f>YEAR(D5082)</f>
        <v>2020</v>
      </c>
      <c r="B5082" t="s">
        <v>26</v>
      </c>
      <c r="C5082" s="2" t="s">
        <v>50</v>
      </c>
      <c r="D5082" s="1">
        <v>43993</v>
      </c>
      <c r="E5082">
        <f>MONTH(D5082)</f>
        <v>6</v>
      </c>
      <c r="F5082" s="2" t="s">
        <v>2098</v>
      </c>
      <c r="G5082" s="2" t="s">
        <v>332</v>
      </c>
      <c r="H5082" t="s">
        <v>3066</v>
      </c>
      <c r="I5082" s="3" t="s">
        <v>26</v>
      </c>
      <c r="J5082" s="2" t="s">
        <v>42</v>
      </c>
      <c r="K5082" s="2" t="s">
        <v>3019</v>
      </c>
      <c r="L5082" t="s">
        <v>187</v>
      </c>
      <c r="M5082" s="10" t="s">
        <v>26</v>
      </c>
      <c r="N5082" t="s">
        <v>26</v>
      </c>
      <c r="O5082" s="8" t="s">
        <v>26</v>
      </c>
      <c r="P5082" s="8" t="s">
        <v>26</v>
      </c>
      <c r="Q5082" s="8">
        <f>(4488342*100)/4914798</f>
        <v>91.323020803703429</v>
      </c>
    </row>
    <row r="5083" spans="1:17" ht="16" x14ac:dyDescent="0.2">
      <c r="A5083">
        <f>YEAR(D5083)</f>
        <v>2020</v>
      </c>
      <c r="B5083" t="s">
        <v>26</v>
      </c>
      <c r="C5083" s="2" t="s">
        <v>50</v>
      </c>
      <c r="D5083" s="1">
        <v>43993</v>
      </c>
      <c r="E5083">
        <f>MONTH(D5083)</f>
        <v>6</v>
      </c>
      <c r="F5083" s="2" t="s">
        <v>2098</v>
      </c>
      <c r="G5083" s="2" t="s">
        <v>332</v>
      </c>
      <c r="H5083" t="s">
        <v>3066</v>
      </c>
      <c r="I5083" s="3" t="s">
        <v>26</v>
      </c>
      <c r="J5083" s="2" t="s">
        <v>42</v>
      </c>
      <c r="K5083" s="2" t="s">
        <v>3019</v>
      </c>
      <c r="L5083" t="s">
        <v>187</v>
      </c>
      <c r="M5083" s="10" t="s">
        <v>26</v>
      </c>
      <c r="N5083" t="s">
        <v>26</v>
      </c>
      <c r="O5083" s="8" t="s">
        <v>26</v>
      </c>
      <c r="P5083" s="8" t="s">
        <v>26</v>
      </c>
      <c r="Q5083" s="8">
        <f>(4488342*100)/4914798</f>
        <v>91.323020803703429</v>
      </c>
    </row>
    <row r="5084" spans="1:17" ht="16" x14ac:dyDescent="0.2">
      <c r="A5084">
        <f>YEAR(D5084)</f>
        <v>2020</v>
      </c>
      <c r="B5084" t="s">
        <v>26</v>
      </c>
      <c r="C5084" s="2" t="s">
        <v>50</v>
      </c>
      <c r="D5084" s="1">
        <v>43993</v>
      </c>
      <c r="E5084">
        <f>MONTH(D5084)</f>
        <v>6</v>
      </c>
      <c r="F5084" s="2" t="s">
        <v>2098</v>
      </c>
      <c r="G5084" s="2" t="s">
        <v>332</v>
      </c>
      <c r="H5084" t="s">
        <v>3066</v>
      </c>
      <c r="I5084" s="3" t="s">
        <v>26</v>
      </c>
      <c r="J5084" s="2" t="s">
        <v>42</v>
      </c>
      <c r="K5084" s="2" t="s">
        <v>3019</v>
      </c>
      <c r="L5084" t="s">
        <v>187</v>
      </c>
      <c r="M5084" s="10" t="s">
        <v>26</v>
      </c>
      <c r="N5084" t="s">
        <v>26</v>
      </c>
      <c r="O5084" s="8" t="s">
        <v>26</v>
      </c>
      <c r="P5084" s="8" t="s">
        <v>26</v>
      </c>
      <c r="Q5084" s="8">
        <f>(4488342*100)/4914798</f>
        <v>91.323020803703429</v>
      </c>
    </row>
    <row r="5085" spans="1:17" x14ac:dyDescent="0.2">
      <c r="A5085">
        <f>YEAR(D5085)</f>
        <v>2020</v>
      </c>
      <c r="B5085" t="s">
        <v>26</v>
      </c>
      <c r="C5085" s="2" t="s">
        <v>50</v>
      </c>
      <c r="D5085" s="1">
        <v>43993</v>
      </c>
      <c r="E5085">
        <f>MONTH(D5085)</f>
        <v>6</v>
      </c>
      <c r="F5085" s="2" t="s">
        <v>2098</v>
      </c>
      <c r="G5085" t="s">
        <v>1472</v>
      </c>
      <c r="H5085" t="s">
        <v>1509</v>
      </c>
      <c r="I5085" t="s">
        <v>36</v>
      </c>
      <c r="J5085" s="2" t="s">
        <v>42</v>
      </c>
      <c r="K5085" s="2" t="s">
        <v>3019</v>
      </c>
      <c r="L5085" t="s">
        <v>187</v>
      </c>
      <c r="M5085" s="8">
        <v>1.6445000000000001</v>
      </c>
      <c r="N5085" t="s">
        <v>26</v>
      </c>
      <c r="O5085" s="8">
        <v>1.6445000000000001</v>
      </c>
      <c r="P5085" s="8">
        <f>EXP(-1.363+3.366*LOG(O5085,10))</f>
        <v>0.52949584168250452</v>
      </c>
      <c r="Q5085" s="8">
        <f>(4488342*100)/4914798</f>
        <v>91.323020803703429</v>
      </c>
    </row>
    <row r="5086" spans="1:17" x14ac:dyDescent="0.2">
      <c r="A5086">
        <f>YEAR(D5086)</f>
        <v>2020</v>
      </c>
      <c r="B5086" t="s">
        <v>26</v>
      </c>
      <c r="C5086" s="2" t="s">
        <v>50</v>
      </c>
      <c r="D5086" s="1">
        <v>43993</v>
      </c>
      <c r="E5086">
        <f>MONTH(D5086)</f>
        <v>6</v>
      </c>
      <c r="F5086" s="2" t="s">
        <v>2098</v>
      </c>
      <c r="G5086" t="s">
        <v>1520</v>
      </c>
      <c r="H5086" t="s">
        <v>1528</v>
      </c>
      <c r="I5086" t="s">
        <v>22</v>
      </c>
      <c r="J5086" s="2" t="s">
        <v>42</v>
      </c>
      <c r="K5086" s="2" t="s">
        <v>3019</v>
      </c>
      <c r="L5086" t="s">
        <v>25</v>
      </c>
      <c r="M5086" s="8">
        <v>3.624333333</v>
      </c>
      <c r="N5086" t="s">
        <v>26</v>
      </c>
      <c r="O5086" s="8">
        <v>3.624333333</v>
      </c>
      <c r="P5086" s="8">
        <f>EXP(-1.363+3.366*LOG(O5086,10))</f>
        <v>1.6809546844949765</v>
      </c>
      <c r="Q5086" s="8">
        <f>(4488342*100)/4914798</f>
        <v>91.323020803703429</v>
      </c>
    </row>
    <row r="5087" spans="1:17" x14ac:dyDescent="0.2">
      <c r="A5087">
        <f>YEAR(D5087)</f>
        <v>2020</v>
      </c>
      <c r="B5087" t="s">
        <v>26</v>
      </c>
      <c r="C5087" s="2" t="s">
        <v>50</v>
      </c>
      <c r="D5087" s="1">
        <v>43993</v>
      </c>
      <c r="E5087">
        <f>MONTH(D5087)</f>
        <v>6</v>
      </c>
      <c r="F5087" s="2" t="s">
        <v>2098</v>
      </c>
      <c r="G5087" t="s">
        <v>1520</v>
      </c>
      <c r="H5087" t="s">
        <v>1528</v>
      </c>
      <c r="I5087" t="s">
        <v>22</v>
      </c>
      <c r="J5087" s="2" t="s">
        <v>42</v>
      </c>
      <c r="K5087" s="2" t="s">
        <v>3019</v>
      </c>
      <c r="L5087" t="s">
        <v>25</v>
      </c>
      <c r="M5087" s="8">
        <v>3.624333333</v>
      </c>
      <c r="N5087" t="s">
        <v>26</v>
      </c>
      <c r="O5087" s="8">
        <v>3.624333333</v>
      </c>
      <c r="P5087" s="8">
        <f>EXP(-1.363+3.366*LOG(O5087,10))</f>
        <v>1.6809546844949765</v>
      </c>
      <c r="Q5087" s="8">
        <f>(4488342*100)/4914798</f>
        <v>91.323020803703429</v>
      </c>
    </row>
    <row r="5088" spans="1:17" x14ac:dyDescent="0.2">
      <c r="A5088">
        <f>YEAR(D5088)</f>
        <v>2020</v>
      </c>
      <c r="B5088" t="s">
        <v>26</v>
      </c>
      <c r="C5088" s="2" t="s">
        <v>50</v>
      </c>
      <c r="D5088" s="1">
        <v>43993</v>
      </c>
      <c r="E5088">
        <f>MONTH(D5088)</f>
        <v>6</v>
      </c>
      <c r="F5088" s="2" t="s">
        <v>2098</v>
      </c>
      <c r="G5088" t="s">
        <v>1520</v>
      </c>
      <c r="H5088" t="s">
        <v>1524</v>
      </c>
      <c r="I5088" t="s">
        <v>22</v>
      </c>
      <c r="J5088" s="2" t="s">
        <v>42</v>
      </c>
      <c r="K5088" s="2" t="s">
        <v>3019</v>
      </c>
      <c r="L5088" t="s">
        <v>187</v>
      </c>
      <c r="M5088" s="8">
        <v>3.3079999999999998</v>
      </c>
      <c r="N5088" t="s">
        <v>26</v>
      </c>
      <c r="O5088" s="8">
        <v>3.3079999999999998</v>
      </c>
      <c r="P5088" s="8">
        <f>EXP(-1.363+3.366*LOG(O5088,10))</f>
        <v>1.4708750208302928</v>
      </c>
      <c r="Q5088" s="8">
        <f>(4488342*100)/4914798</f>
        <v>91.323020803703429</v>
      </c>
    </row>
    <row r="5089" spans="1:17" x14ac:dyDescent="0.2">
      <c r="A5089">
        <f>YEAR(D5089)</f>
        <v>2020</v>
      </c>
      <c r="B5089" t="s">
        <v>26</v>
      </c>
      <c r="C5089" s="2" t="s">
        <v>50</v>
      </c>
      <c r="D5089" s="1">
        <v>43993</v>
      </c>
      <c r="E5089">
        <f>MONTH(D5089)</f>
        <v>6</v>
      </c>
      <c r="F5089" s="2" t="s">
        <v>2098</v>
      </c>
      <c r="G5089" t="s">
        <v>1520</v>
      </c>
      <c r="H5089" t="s">
        <v>1528</v>
      </c>
      <c r="I5089" t="s">
        <v>22</v>
      </c>
      <c r="J5089" s="2" t="s">
        <v>42</v>
      </c>
      <c r="K5089" s="2" t="s">
        <v>3019</v>
      </c>
      <c r="L5089" t="s">
        <v>25</v>
      </c>
      <c r="M5089" s="8">
        <v>3.624333333</v>
      </c>
      <c r="N5089" t="s">
        <v>26</v>
      </c>
      <c r="O5089" s="8">
        <v>3.624333333</v>
      </c>
      <c r="P5089" s="8">
        <f>EXP(-1.363+3.366*LOG(O5089,10))</f>
        <v>1.6809546844949765</v>
      </c>
      <c r="Q5089" s="8">
        <f>(4488342*100)/4914798</f>
        <v>91.323020803703429</v>
      </c>
    </row>
    <row r="5090" spans="1:17" x14ac:dyDescent="0.2">
      <c r="A5090">
        <f>YEAR(D5090)</f>
        <v>2020</v>
      </c>
      <c r="B5090" t="s">
        <v>26</v>
      </c>
      <c r="C5090" s="2" t="s">
        <v>50</v>
      </c>
      <c r="D5090" s="1">
        <v>43993</v>
      </c>
      <c r="E5090">
        <f>MONTH(D5090)</f>
        <v>6</v>
      </c>
      <c r="F5090" s="2" t="s">
        <v>2098</v>
      </c>
      <c r="G5090" t="s">
        <v>352</v>
      </c>
      <c r="H5090" t="s">
        <v>353</v>
      </c>
      <c r="I5090" t="s">
        <v>22</v>
      </c>
      <c r="J5090" s="2" t="s">
        <v>42</v>
      </c>
      <c r="K5090" s="2" t="s">
        <v>3019</v>
      </c>
      <c r="L5090" t="s">
        <v>25</v>
      </c>
      <c r="M5090" s="8">
        <v>1.1623333330000001</v>
      </c>
      <c r="N5090" t="s">
        <v>26</v>
      </c>
      <c r="O5090" s="8">
        <v>1.1623333330000001</v>
      </c>
      <c r="P5090" s="8">
        <f>EXP(-1.363+3.366*LOG(O5090,10))</f>
        <v>0.31883010989102206</v>
      </c>
      <c r="Q5090" s="8">
        <f>(4488342*100)/4914798</f>
        <v>91.323020803703429</v>
      </c>
    </row>
    <row r="5091" spans="1:17" x14ac:dyDescent="0.2">
      <c r="A5091">
        <f>YEAR(D5091)</f>
        <v>2020</v>
      </c>
      <c r="B5091" t="s">
        <v>26</v>
      </c>
      <c r="C5091" s="2" t="s">
        <v>50</v>
      </c>
      <c r="D5091" s="1">
        <v>43993</v>
      </c>
      <c r="E5091">
        <f>MONTH(D5091)</f>
        <v>6</v>
      </c>
      <c r="F5091" s="2" t="s">
        <v>2098</v>
      </c>
      <c r="G5091" t="s">
        <v>352</v>
      </c>
      <c r="H5091" t="s">
        <v>975</v>
      </c>
      <c r="I5091" t="s">
        <v>22</v>
      </c>
      <c r="J5091" s="2" t="s">
        <v>42</v>
      </c>
      <c r="K5091" s="2" t="s">
        <v>3019</v>
      </c>
      <c r="L5091" t="s">
        <v>25</v>
      </c>
      <c r="M5091" s="8">
        <v>1.0693333330000001</v>
      </c>
      <c r="N5091" t="s">
        <v>26</v>
      </c>
      <c r="O5091" s="8">
        <v>1.0693333330000001</v>
      </c>
      <c r="P5091" s="8">
        <f>EXP(-1.363+3.366*LOG(O5091,10))</f>
        <v>0.28223780327142356</v>
      </c>
      <c r="Q5091" s="8">
        <f>(4488342*100)/4914798</f>
        <v>91.323020803703429</v>
      </c>
    </row>
    <row r="5092" spans="1:17" x14ac:dyDescent="0.2">
      <c r="A5092">
        <f>YEAR(D5092)</f>
        <v>2020</v>
      </c>
      <c r="B5092" t="s">
        <v>26</v>
      </c>
      <c r="C5092" s="2" t="s">
        <v>50</v>
      </c>
      <c r="D5092" s="1">
        <v>43993</v>
      </c>
      <c r="E5092">
        <f>MONTH(D5092)</f>
        <v>6</v>
      </c>
      <c r="F5092" s="2" t="s">
        <v>2098</v>
      </c>
      <c r="G5092" t="s">
        <v>20</v>
      </c>
      <c r="H5092" t="s">
        <v>149</v>
      </c>
      <c r="I5092" t="s">
        <v>22</v>
      </c>
      <c r="J5092" s="2" t="s">
        <v>42</v>
      </c>
      <c r="K5092" s="2" t="s">
        <v>3019</v>
      </c>
      <c r="L5092" t="s">
        <v>25</v>
      </c>
      <c r="M5092" s="8">
        <v>1.45</v>
      </c>
      <c r="N5092" t="s">
        <v>26</v>
      </c>
      <c r="O5092" s="8">
        <v>1.45</v>
      </c>
      <c r="P5092" s="8">
        <f>EXP(-1.363+3.366*LOG(O5092,10))</f>
        <v>0.44050419760124854</v>
      </c>
      <c r="Q5092" s="8">
        <f>(4488342*100)/4914798</f>
        <v>91.323020803703429</v>
      </c>
    </row>
    <row r="5093" spans="1:17" x14ac:dyDescent="0.2">
      <c r="A5093">
        <f>YEAR(D5093)</f>
        <v>2020</v>
      </c>
      <c r="B5093" t="s">
        <v>26</v>
      </c>
      <c r="C5093" s="2" t="s">
        <v>50</v>
      </c>
      <c r="D5093" s="1">
        <v>43993</v>
      </c>
      <c r="E5093">
        <f>MONTH(D5093)</f>
        <v>6</v>
      </c>
      <c r="F5093" s="2" t="s">
        <v>2098</v>
      </c>
      <c r="G5093" t="s">
        <v>332</v>
      </c>
      <c r="H5093" t="s">
        <v>327</v>
      </c>
      <c r="I5093" t="s">
        <v>22</v>
      </c>
      <c r="J5093" s="2" t="s">
        <v>42</v>
      </c>
      <c r="K5093" s="2" t="s">
        <v>3019</v>
      </c>
      <c r="L5093" t="s">
        <v>25</v>
      </c>
      <c r="M5093" s="8">
        <v>1.239333333</v>
      </c>
      <c r="N5093" t="s">
        <v>26</v>
      </c>
      <c r="O5093" s="8">
        <v>1.239333333</v>
      </c>
      <c r="P5093" s="8">
        <f>EXP(-1.363+3.366*LOG(O5093,10))</f>
        <v>0.35017272283851147</v>
      </c>
      <c r="Q5093" s="8">
        <f>(4488342*100)/4914798</f>
        <v>91.323020803703429</v>
      </c>
    </row>
    <row r="5094" spans="1:17" x14ac:dyDescent="0.2">
      <c r="A5094">
        <f>YEAR(D5094)</f>
        <v>2020</v>
      </c>
      <c r="B5094" t="s">
        <v>26</v>
      </c>
      <c r="C5094" s="2" t="s">
        <v>50</v>
      </c>
      <c r="D5094" s="1">
        <v>43993</v>
      </c>
      <c r="E5094">
        <f>MONTH(D5094)</f>
        <v>6</v>
      </c>
      <c r="F5094" s="2" t="s">
        <v>2098</v>
      </c>
      <c r="G5094" t="s">
        <v>352</v>
      </c>
      <c r="H5094" t="s">
        <v>975</v>
      </c>
      <c r="I5094" t="s">
        <v>22</v>
      </c>
      <c r="J5094" s="2" t="s">
        <v>42</v>
      </c>
      <c r="K5094" s="2" t="s">
        <v>3019</v>
      </c>
      <c r="L5094" t="s">
        <v>25</v>
      </c>
      <c r="M5094" s="8">
        <v>1.0693333330000001</v>
      </c>
      <c r="N5094" t="s">
        <v>26</v>
      </c>
      <c r="O5094" s="8">
        <v>1.0693333330000001</v>
      </c>
      <c r="P5094" s="8">
        <f>EXP(-1.363+3.366*LOG(O5094,10))</f>
        <v>0.28223780327142356</v>
      </c>
      <c r="Q5094" s="8">
        <f>(4488342*100)/4914798</f>
        <v>91.323020803703429</v>
      </c>
    </row>
    <row r="5095" spans="1:17" x14ac:dyDescent="0.2">
      <c r="A5095">
        <f>YEAR(D5095)</f>
        <v>2020</v>
      </c>
      <c r="B5095" t="s">
        <v>26</v>
      </c>
      <c r="C5095" s="2" t="s">
        <v>50</v>
      </c>
      <c r="D5095" s="1">
        <v>43993</v>
      </c>
      <c r="E5095">
        <f>MONTH(D5095)</f>
        <v>6</v>
      </c>
      <c r="F5095" s="2" t="s">
        <v>2098</v>
      </c>
      <c r="G5095" t="s">
        <v>352</v>
      </c>
      <c r="H5095" t="s">
        <v>975</v>
      </c>
      <c r="I5095" t="s">
        <v>22</v>
      </c>
      <c r="J5095" s="2" t="s">
        <v>42</v>
      </c>
      <c r="K5095" s="2" t="s">
        <v>3019</v>
      </c>
      <c r="L5095" t="s">
        <v>25</v>
      </c>
      <c r="M5095" s="8">
        <v>1.0693333330000001</v>
      </c>
      <c r="N5095" t="s">
        <v>26</v>
      </c>
      <c r="O5095" s="8">
        <v>1.0693333330000001</v>
      </c>
      <c r="P5095" s="8">
        <f>EXP(-1.363+3.366*LOG(O5095,10))</f>
        <v>0.28223780327142356</v>
      </c>
      <c r="Q5095" s="8">
        <f>(4488342*100)/4914798</f>
        <v>91.323020803703429</v>
      </c>
    </row>
    <row r="5096" spans="1:17" x14ac:dyDescent="0.2">
      <c r="A5096">
        <f>YEAR(D5096)</f>
        <v>2020</v>
      </c>
      <c r="B5096" t="s">
        <v>26</v>
      </c>
      <c r="C5096" s="2" t="s">
        <v>50</v>
      </c>
      <c r="D5096" s="1">
        <v>43993</v>
      </c>
      <c r="E5096">
        <f>MONTH(D5096)</f>
        <v>6</v>
      </c>
      <c r="F5096" s="2" t="s">
        <v>2098</v>
      </c>
      <c r="G5096" s="2" t="s">
        <v>20</v>
      </c>
      <c r="H5096" t="s">
        <v>91</v>
      </c>
      <c r="I5096" t="s">
        <v>22</v>
      </c>
      <c r="J5096" s="2" t="s">
        <v>42</v>
      </c>
      <c r="K5096" s="2" t="s">
        <v>3019</v>
      </c>
      <c r="L5096" t="s">
        <v>25</v>
      </c>
      <c r="M5096" s="8">
        <v>2.0630000000000002</v>
      </c>
      <c r="N5096" t="s">
        <v>26</v>
      </c>
      <c r="O5096" s="8">
        <v>2.0630000000000002</v>
      </c>
      <c r="P5096" s="8">
        <f>EXP(-1.363+3.366*LOG(O5096,10))</f>
        <v>0.73756902742293162</v>
      </c>
      <c r="Q5096" s="8">
        <f>(4488342*100)/4914798</f>
        <v>91.323020803703429</v>
      </c>
    </row>
    <row r="5097" spans="1:17" x14ac:dyDescent="0.2">
      <c r="A5097">
        <f>YEAR(D5097)</f>
        <v>2020</v>
      </c>
      <c r="B5097" t="e">
        <f>CONCATENATE(K5097,#REF!)</f>
        <v>#REF!</v>
      </c>
      <c r="C5097" s="2" t="s">
        <v>50</v>
      </c>
      <c r="D5097" s="1">
        <v>43993</v>
      </c>
      <c r="E5097">
        <f>MONTH(D5097)</f>
        <v>6</v>
      </c>
      <c r="F5097" s="2" t="s">
        <v>2098</v>
      </c>
      <c r="G5097" s="2" t="s">
        <v>20</v>
      </c>
      <c r="H5097" t="s">
        <v>103</v>
      </c>
      <c r="I5097" t="s">
        <v>22</v>
      </c>
      <c r="J5097" s="2" t="s">
        <v>42</v>
      </c>
      <c r="K5097" s="2" t="s">
        <v>3019</v>
      </c>
      <c r="L5097" t="s">
        <v>25</v>
      </c>
      <c r="M5097" s="8">
        <v>2.177</v>
      </c>
      <c r="N5097" t="s">
        <v>26</v>
      </c>
      <c r="O5097" s="8">
        <v>2.177</v>
      </c>
      <c r="P5097" s="8">
        <f>EXP(-1.363+3.366*LOG(O5097,10))</f>
        <v>0.79790277256387487</v>
      </c>
      <c r="Q5097" s="8">
        <f>(4488342*100)/4914798</f>
        <v>91.323020803703429</v>
      </c>
    </row>
    <row r="5098" spans="1:17" x14ac:dyDescent="0.2">
      <c r="A5098">
        <f>YEAR(D5098)</f>
        <v>2020</v>
      </c>
      <c r="B5098" t="s">
        <v>26</v>
      </c>
      <c r="C5098" s="2" t="s">
        <v>50</v>
      </c>
      <c r="D5098" s="1">
        <v>43993</v>
      </c>
      <c r="E5098">
        <f>MONTH(D5098)</f>
        <v>6</v>
      </c>
      <c r="F5098" s="2" t="s">
        <v>2098</v>
      </c>
      <c r="G5098" s="2" t="s">
        <v>20</v>
      </c>
      <c r="H5098" t="s">
        <v>145</v>
      </c>
      <c r="I5098" t="s">
        <v>22</v>
      </c>
      <c r="J5098" s="2" t="s">
        <v>42</v>
      </c>
      <c r="K5098" s="2" t="s">
        <v>3019</v>
      </c>
      <c r="L5098" t="s">
        <v>25</v>
      </c>
      <c r="M5098" s="8">
        <v>2.399666667</v>
      </c>
      <c r="N5098" t="s">
        <v>26</v>
      </c>
      <c r="O5098" s="8">
        <v>2.399666667</v>
      </c>
      <c r="P5098" s="8">
        <f>EXP(-1.363+3.366*LOG(O5098,10))</f>
        <v>0.91997203423956198</v>
      </c>
      <c r="Q5098" s="8">
        <f>(4488342*100)/4914798</f>
        <v>91.323020803703429</v>
      </c>
    </row>
    <row r="5099" spans="1:17" x14ac:dyDescent="0.2">
      <c r="A5099">
        <f>YEAR(D5099)</f>
        <v>2020</v>
      </c>
      <c r="B5099" t="e">
        <f>CONCATENATE(K5099,#REF!)</f>
        <v>#REF!</v>
      </c>
      <c r="C5099" s="2" t="s">
        <v>50</v>
      </c>
      <c r="D5099" s="1">
        <v>43993</v>
      </c>
      <c r="E5099">
        <f>MONTH(D5099)</f>
        <v>6</v>
      </c>
      <c r="F5099" s="2" t="s">
        <v>2098</v>
      </c>
      <c r="G5099" s="2" t="s">
        <v>20</v>
      </c>
      <c r="H5099" t="s">
        <v>103</v>
      </c>
      <c r="I5099" t="s">
        <v>22</v>
      </c>
      <c r="J5099" s="2" t="s">
        <v>42</v>
      </c>
      <c r="K5099" s="2" t="s">
        <v>3019</v>
      </c>
      <c r="L5099" t="s">
        <v>25</v>
      </c>
      <c r="M5099" s="8">
        <v>2.177</v>
      </c>
      <c r="N5099" t="s">
        <v>26</v>
      </c>
      <c r="O5099" s="8">
        <v>2.177</v>
      </c>
      <c r="P5099" s="8">
        <f>EXP(-1.363+3.366*LOG(O5099,10))</f>
        <v>0.79790277256387487</v>
      </c>
      <c r="Q5099" s="8">
        <f>(4488342*100)/4914798</f>
        <v>91.323020803703429</v>
      </c>
    </row>
    <row r="5100" spans="1:17" x14ac:dyDescent="0.2">
      <c r="A5100">
        <f>YEAR(D5100)</f>
        <v>2020</v>
      </c>
      <c r="B5100" t="s">
        <v>26</v>
      </c>
      <c r="C5100" s="2" t="s">
        <v>50</v>
      </c>
      <c r="D5100" s="1">
        <v>43993</v>
      </c>
      <c r="E5100">
        <f>MONTH(D5100)</f>
        <v>6</v>
      </c>
      <c r="F5100" s="2" t="s">
        <v>2098</v>
      </c>
      <c r="G5100" s="2" t="s">
        <v>20</v>
      </c>
      <c r="H5100" t="s">
        <v>145</v>
      </c>
      <c r="I5100" t="s">
        <v>22</v>
      </c>
      <c r="J5100" s="2" t="s">
        <v>42</v>
      </c>
      <c r="K5100" s="2" t="s">
        <v>3019</v>
      </c>
      <c r="L5100" t="s">
        <v>25</v>
      </c>
      <c r="M5100" s="8">
        <v>2.399666667</v>
      </c>
      <c r="N5100" t="s">
        <v>26</v>
      </c>
      <c r="O5100" s="8">
        <v>2.399666667</v>
      </c>
      <c r="P5100" s="8">
        <f>EXP(-1.363+3.366*LOG(O5100,10))</f>
        <v>0.91997203423956198</v>
      </c>
      <c r="Q5100" s="8">
        <f>(4488342*100)/4914798</f>
        <v>91.323020803703429</v>
      </c>
    </row>
    <row r="5101" spans="1:17" x14ac:dyDescent="0.2">
      <c r="A5101">
        <f>YEAR(D5101)</f>
        <v>2020</v>
      </c>
      <c r="B5101" t="s">
        <v>26</v>
      </c>
      <c r="C5101" s="2" t="s">
        <v>50</v>
      </c>
      <c r="D5101" s="1">
        <v>43993</v>
      </c>
      <c r="E5101">
        <f>MONTH(D5101)</f>
        <v>6</v>
      </c>
      <c r="F5101" s="2" t="s">
        <v>2098</v>
      </c>
      <c r="G5101" t="s">
        <v>2206</v>
      </c>
      <c r="H5101" t="s">
        <v>2207</v>
      </c>
      <c r="I5101" t="s">
        <v>36</v>
      </c>
      <c r="J5101" s="2" t="s">
        <v>42</v>
      </c>
      <c r="K5101" s="2" t="s">
        <v>3019</v>
      </c>
      <c r="L5101" t="s">
        <v>25</v>
      </c>
      <c r="M5101" s="8">
        <v>3.6386666669999999</v>
      </c>
      <c r="N5101" t="s">
        <v>26</v>
      </c>
      <c r="O5101" s="8">
        <v>3.6386666669999999</v>
      </c>
      <c r="P5101" s="8">
        <f>EXP(-1.363+3.366*LOG(O5101,10))</f>
        <v>1.6906814772344552</v>
      </c>
      <c r="Q5101" s="8">
        <f>(4488342*100)/4914798</f>
        <v>91.323020803703429</v>
      </c>
    </row>
    <row r="5102" spans="1:17" x14ac:dyDescent="0.2">
      <c r="A5102">
        <f>YEAR(D5102)</f>
        <v>2020</v>
      </c>
      <c r="B5102" t="s">
        <v>26</v>
      </c>
      <c r="C5102" s="2" t="s">
        <v>50</v>
      </c>
      <c r="D5102" s="1">
        <v>43993</v>
      </c>
      <c r="E5102">
        <f>MONTH(D5102)</f>
        <v>6</v>
      </c>
      <c r="F5102" s="2" t="s">
        <v>2098</v>
      </c>
      <c r="G5102" t="s">
        <v>2206</v>
      </c>
      <c r="H5102" t="s">
        <v>2207</v>
      </c>
      <c r="I5102" t="s">
        <v>36</v>
      </c>
      <c r="J5102" s="2" t="s">
        <v>42</v>
      </c>
      <c r="K5102" s="2" t="s">
        <v>3019</v>
      </c>
      <c r="L5102" t="s">
        <v>25</v>
      </c>
      <c r="M5102" s="8">
        <v>3.6386666669999999</v>
      </c>
      <c r="N5102" t="s">
        <v>26</v>
      </c>
      <c r="O5102" s="8">
        <v>3.6386666669999999</v>
      </c>
      <c r="P5102" s="8">
        <f>EXP(-1.363+3.366*LOG(O5102,10))</f>
        <v>1.6906814772344552</v>
      </c>
      <c r="Q5102" s="8">
        <f>(4488342*100)/4914798</f>
        <v>91.323020803703429</v>
      </c>
    </row>
    <row r="5103" spans="1:17" x14ac:dyDescent="0.2">
      <c r="A5103">
        <f>YEAR(D5103)</f>
        <v>2020</v>
      </c>
      <c r="B5103" t="s">
        <v>26</v>
      </c>
      <c r="C5103" s="2" t="s">
        <v>50</v>
      </c>
      <c r="D5103" s="1">
        <v>43993</v>
      </c>
      <c r="E5103">
        <f>MONTH(D5103)</f>
        <v>6</v>
      </c>
      <c r="F5103" s="2" t="s">
        <v>2098</v>
      </c>
      <c r="G5103" t="s">
        <v>2206</v>
      </c>
      <c r="H5103" t="s">
        <v>2207</v>
      </c>
      <c r="I5103" t="s">
        <v>22</v>
      </c>
      <c r="J5103" s="2" t="s">
        <v>42</v>
      </c>
      <c r="K5103" s="2" t="s">
        <v>3019</v>
      </c>
      <c r="L5103" t="s">
        <v>25</v>
      </c>
      <c r="M5103" s="8">
        <v>3.249333333</v>
      </c>
      <c r="N5103" t="s">
        <v>26</v>
      </c>
      <c r="O5103" s="8">
        <v>3.249333333</v>
      </c>
      <c r="P5103" s="8">
        <f>EXP(-1.363+3.366*LOG(O5103,10))</f>
        <v>1.4328987616438449</v>
      </c>
      <c r="Q5103" s="8">
        <f>(4488342*100)/4914798</f>
        <v>91.323020803703429</v>
      </c>
    </row>
    <row r="5104" spans="1:17" x14ac:dyDescent="0.2">
      <c r="A5104">
        <f>YEAR(D5104)</f>
        <v>2020</v>
      </c>
      <c r="B5104" t="s">
        <v>26</v>
      </c>
      <c r="C5104" s="2" t="s">
        <v>50</v>
      </c>
      <c r="D5104" s="1">
        <v>43993</v>
      </c>
      <c r="E5104">
        <f>MONTH(D5104)</f>
        <v>6</v>
      </c>
      <c r="F5104" s="2" t="s">
        <v>2098</v>
      </c>
      <c r="G5104" t="s">
        <v>2206</v>
      </c>
      <c r="H5104" t="s">
        <v>2207</v>
      </c>
      <c r="I5104" t="s">
        <v>22</v>
      </c>
      <c r="J5104" s="2" t="s">
        <v>42</v>
      </c>
      <c r="K5104" s="2" t="s">
        <v>3019</v>
      </c>
      <c r="L5104" t="s">
        <v>25</v>
      </c>
      <c r="M5104" s="8">
        <v>3.249333333</v>
      </c>
      <c r="N5104" t="s">
        <v>26</v>
      </c>
      <c r="O5104" s="8">
        <v>3.249333333</v>
      </c>
      <c r="P5104" s="8">
        <f>EXP(-1.363+3.366*LOG(O5104,10))</f>
        <v>1.4328987616438449</v>
      </c>
      <c r="Q5104" s="8">
        <f>(4488342*100)/4914798</f>
        <v>91.323020803703429</v>
      </c>
    </row>
    <row r="5105" spans="1:17" x14ac:dyDescent="0.2">
      <c r="A5105">
        <f>YEAR(D5105)</f>
        <v>2020</v>
      </c>
      <c r="B5105" t="s">
        <v>26</v>
      </c>
      <c r="C5105" s="2" t="s">
        <v>50</v>
      </c>
      <c r="D5105" s="1">
        <v>43993</v>
      </c>
      <c r="E5105">
        <f>MONTH(D5105)</f>
        <v>6</v>
      </c>
      <c r="F5105" s="2" t="s">
        <v>2098</v>
      </c>
      <c r="G5105" t="s">
        <v>2206</v>
      </c>
      <c r="H5105" t="s">
        <v>2207</v>
      </c>
      <c r="I5105" t="s">
        <v>22</v>
      </c>
      <c r="J5105" s="2" t="s">
        <v>42</v>
      </c>
      <c r="K5105" s="2" t="s">
        <v>3019</v>
      </c>
      <c r="L5105" t="s">
        <v>25</v>
      </c>
      <c r="M5105" s="8">
        <v>3.249333333</v>
      </c>
      <c r="N5105" t="s">
        <v>26</v>
      </c>
      <c r="O5105" s="8">
        <v>3.249333333</v>
      </c>
      <c r="P5105" s="8">
        <f>EXP(-1.363+3.366*LOG(O5105,10))</f>
        <v>1.4328987616438449</v>
      </c>
      <c r="Q5105" s="8">
        <f>(4488342*100)/4914798</f>
        <v>91.323020803703429</v>
      </c>
    </row>
    <row r="5106" spans="1:17" x14ac:dyDescent="0.2">
      <c r="A5106">
        <f>YEAR(D5106)</f>
        <v>2020</v>
      </c>
      <c r="B5106" t="s">
        <v>26</v>
      </c>
      <c r="C5106" s="2" t="s">
        <v>50</v>
      </c>
      <c r="D5106" s="1">
        <v>43993</v>
      </c>
      <c r="E5106">
        <f>MONTH(D5106)</f>
        <v>6</v>
      </c>
      <c r="F5106" s="2" t="s">
        <v>2098</v>
      </c>
      <c r="G5106" t="s">
        <v>2206</v>
      </c>
      <c r="H5106" t="s">
        <v>2207</v>
      </c>
      <c r="I5106" t="s">
        <v>22</v>
      </c>
      <c r="J5106" s="2" t="s">
        <v>42</v>
      </c>
      <c r="K5106" s="2" t="s">
        <v>3019</v>
      </c>
      <c r="L5106" t="s">
        <v>25</v>
      </c>
      <c r="M5106" s="8">
        <v>3.249333333</v>
      </c>
      <c r="N5106" t="s">
        <v>26</v>
      </c>
      <c r="O5106" s="8">
        <v>3.249333333</v>
      </c>
      <c r="P5106" s="8">
        <f>EXP(-1.363+3.366*LOG(O5106,10))</f>
        <v>1.4328987616438449</v>
      </c>
      <c r="Q5106" s="8">
        <f>(4488342*100)/4914798</f>
        <v>91.323020803703429</v>
      </c>
    </row>
    <row r="5107" spans="1:17" x14ac:dyDescent="0.2">
      <c r="A5107">
        <f>YEAR(D5107)</f>
        <v>2020</v>
      </c>
      <c r="B5107" t="s">
        <v>26</v>
      </c>
      <c r="C5107" s="2" t="s">
        <v>50</v>
      </c>
      <c r="D5107" s="1">
        <v>43993</v>
      </c>
      <c r="E5107">
        <f>MONTH(D5107)</f>
        <v>6</v>
      </c>
      <c r="F5107" s="2" t="s">
        <v>2098</v>
      </c>
      <c r="G5107" t="s">
        <v>352</v>
      </c>
      <c r="H5107" t="s">
        <v>1344</v>
      </c>
      <c r="I5107" t="s">
        <v>22</v>
      </c>
      <c r="J5107" s="2" t="s">
        <v>42</v>
      </c>
      <c r="K5107" s="2" t="s">
        <v>3019</v>
      </c>
      <c r="L5107" t="s">
        <v>25</v>
      </c>
      <c r="M5107" s="8">
        <v>0.91800000000000004</v>
      </c>
      <c r="N5107" t="s">
        <v>26</v>
      </c>
      <c r="O5107" s="8">
        <v>0.91800000000000004</v>
      </c>
      <c r="P5107" s="8">
        <f>EXP(-1.363+3.366*LOG(O5107,10))</f>
        <v>0.22580769814771504</v>
      </c>
      <c r="Q5107" s="8">
        <f>(4488342*100)/4914798</f>
        <v>91.323020803703429</v>
      </c>
    </row>
    <row r="5108" spans="1:17" x14ac:dyDescent="0.2">
      <c r="A5108">
        <f>YEAR(D5108)</f>
        <v>2020</v>
      </c>
      <c r="B5108" t="s">
        <v>26</v>
      </c>
      <c r="C5108" s="2" t="s">
        <v>50</v>
      </c>
      <c r="D5108" s="1">
        <v>43993</v>
      </c>
      <c r="E5108">
        <f>MONTH(D5108)</f>
        <v>6</v>
      </c>
      <c r="F5108" s="2" t="s">
        <v>2098</v>
      </c>
      <c r="G5108" s="2" t="s">
        <v>20</v>
      </c>
      <c r="H5108" t="s">
        <v>3049</v>
      </c>
      <c r="I5108" t="s">
        <v>36</v>
      </c>
      <c r="J5108" s="2" t="s">
        <v>42</v>
      </c>
      <c r="K5108" s="2" t="s">
        <v>3019</v>
      </c>
      <c r="L5108" t="s">
        <v>187</v>
      </c>
      <c r="M5108" s="8">
        <v>1.8126666666666669</v>
      </c>
      <c r="N5108" t="s">
        <v>26</v>
      </c>
      <c r="O5108" s="8">
        <v>1.8126666666666669</v>
      </c>
      <c r="P5108" s="8">
        <f>EXP(-1.363+3.366*LOG(O5108,10))</f>
        <v>0.61048485990341428</v>
      </c>
      <c r="Q5108" s="8">
        <f>(4488342*100)/4914798</f>
        <v>91.323020803703429</v>
      </c>
    </row>
    <row r="5109" spans="1:17" x14ac:dyDescent="0.2">
      <c r="A5109">
        <f>YEAR(D5109)</f>
        <v>2020</v>
      </c>
      <c r="B5109" t="s">
        <v>26</v>
      </c>
      <c r="C5109" s="2" t="s">
        <v>50</v>
      </c>
      <c r="D5109" s="1">
        <v>43993</v>
      </c>
      <c r="E5109">
        <f>MONTH(D5109)</f>
        <v>6</v>
      </c>
      <c r="F5109" s="2" t="s">
        <v>2098</v>
      </c>
      <c r="G5109" s="2" t="s">
        <v>20</v>
      </c>
      <c r="H5109" t="s">
        <v>3049</v>
      </c>
      <c r="I5109" t="s">
        <v>22</v>
      </c>
      <c r="J5109" s="2" t="s">
        <v>42</v>
      </c>
      <c r="K5109" s="2" t="s">
        <v>3019</v>
      </c>
      <c r="L5109" t="s">
        <v>187</v>
      </c>
      <c r="M5109" s="8">
        <v>2.0760000000000001</v>
      </c>
      <c r="N5109" t="s">
        <v>26</v>
      </c>
      <c r="O5109" s="8">
        <v>2.0760000000000001</v>
      </c>
      <c r="P5109" s="8">
        <f>EXP(-1.363+3.366*LOG(O5109,10))</f>
        <v>0.74437321067382567</v>
      </c>
      <c r="Q5109" s="8">
        <f>(4488342*100)/4914798</f>
        <v>91.323020803703429</v>
      </c>
    </row>
    <row r="5110" spans="1:17" x14ac:dyDescent="0.2">
      <c r="A5110">
        <f>YEAR(D5110)</f>
        <v>2020</v>
      </c>
      <c r="B5110" t="s">
        <v>26</v>
      </c>
      <c r="C5110" s="2" t="s">
        <v>3018</v>
      </c>
      <c r="D5110" s="1">
        <v>43991</v>
      </c>
      <c r="E5110">
        <f>MONTH(D5110)</f>
        <v>6</v>
      </c>
      <c r="F5110" s="2" t="s">
        <v>19</v>
      </c>
      <c r="G5110" t="s">
        <v>352</v>
      </c>
      <c r="H5110" t="s">
        <v>353</v>
      </c>
      <c r="I5110" t="s">
        <v>36</v>
      </c>
      <c r="J5110" s="2" t="s">
        <v>42</v>
      </c>
      <c r="K5110" s="2" t="s">
        <v>3019</v>
      </c>
      <c r="L5110" t="s">
        <v>25</v>
      </c>
      <c r="M5110" s="8">
        <v>0.99850000000000005</v>
      </c>
      <c r="N5110" t="s">
        <v>26</v>
      </c>
      <c r="O5110" s="8">
        <v>0.99850000000000005</v>
      </c>
      <c r="P5110" s="8">
        <f>EXP(-1.363+3.366*LOG(O5110,10))</f>
        <v>0.25533103505246407</v>
      </c>
      <c r="Q5110" s="8">
        <f>(5996898*100)/6073515</f>
        <v>98.738506449724753</v>
      </c>
    </row>
    <row r="5111" spans="1:17" x14ac:dyDescent="0.2">
      <c r="A5111">
        <f>YEAR(D5111)</f>
        <v>2020</v>
      </c>
      <c r="B5111" t="s">
        <v>26</v>
      </c>
      <c r="C5111" s="2" t="s">
        <v>3018</v>
      </c>
      <c r="D5111" s="1">
        <v>43991</v>
      </c>
      <c r="E5111">
        <f>MONTH(D5111)</f>
        <v>6</v>
      </c>
      <c r="F5111" s="2" t="s">
        <v>19</v>
      </c>
      <c r="G5111" t="s">
        <v>352</v>
      </c>
      <c r="H5111" t="s">
        <v>1459</v>
      </c>
      <c r="I5111" t="s">
        <v>36</v>
      </c>
      <c r="J5111" s="2" t="s">
        <v>42</v>
      </c>
      <c r="K5111" s="2" t="s">
        <v>3019</v>
      </c>
      <c r="L5111" t="s">
        <v>25</v>
      </c>
      <c r="M5111" s="8">
        <v>1.0913333329999999</v>
      </c>
      <c r="N5111" t="s">
        <v>26</v>
      </c>
      <c r="O5111" s="8">
        <v>1.0913333329999999</v>
      </c>
      <c r="P5111" s="8">
        <f>EXP(-1.363+3.366*LOG(O5111,10))</f>
        <v>0.29076633015787234</v>
      </c>
      <c r="Q5111" s="8">
        <f>(5996898*100)/6073515</f>
        <v>98.738506449724753</v>
      </c>
    </row>
    <row r="5112" spans="1:17" x14ac:dyDescent="0.2">
      <c r="A5112">
        <f>YEAR(D5112)</f>
        <v>2020</v>
      </c>
      <c r="B5112" t="s">
        <v>26</v>
      </c>
      <c r="C5112" s="2" t="s">
        <v>3018</v>
      </c>
      <c r="D5112" s="1">
        <v>43991</v>
      </c>
      <c r="E5112">
        <f>MONTH(D5112)</f>
        <v>6</v>
      </c>
      <c r="F5112" s="2" t="s">
        <v>19</v>
      </c>
      <c r="G5112" t="s">
        <v>352</v>
      </c>
      <c r="H5112" t="s">
        <v>1344</v>
      </c>
      <c r="I5112" t="s">
        <v>22</v>
      </c>
      <c r="J5112" s="2" t="s">
        <v>42</v>
      </c>
      <c r="K5112" s="2" t="s">
        <v>3019</v>
      </c>
      <c r="L5112" t="s">
        <v>25</v>
      </c>
      <c r="M5112" s="8">
        <v>0.91800000000000004</v>
      </c>
      <c r="N5112" t="s">
        <v>26</v>
      </c>
      <c r="O5112" s="8">
        <v>0.91800000000000004</v>
      </c>
      <c r="P5112" s="8">
        <f>EXP(-1.363+3.366*LOG(O5112,10))</f>
        <v>0.22580769814771504</v>
      </c>
      <c r="Q5112" s="8">
        <f>(5996898*100)/6073515</f>
        <v>98.738506449724753</v>
      </c>
    </row>
    <row r="5113" spans="1:17" x14ac:dyDescent="0.2">
      <c r="A5113">
        <f>YEAR(D5113)</f>
        <v>2020</v>
      </c>
      <c r="B5113" t="s">
        <v>26</v>
      </c>
      <c r="C5113" s="2" t="s">
        <v>3018</v>
      </c>
      <c r="D5113" s="1">
        <v>43991</v>
      </c>
      <c r="E5113">
        <f>MONTH(D5113)</f>
        <v>6</v>
      </c>
      <c r="F5113" s="2" t="s">
        <v>19</v>
      </c>
      <c r="G5113" t="s">
        <v>352</v>
      </c>
      <c r="H5113" t="s">
        <v>975</v>
      </c>
      <c r="I5113" t="s">
        <v>22</v>
      </c>
      <c r="J5113" s="2" t="s">
        <v>42</v>
      </c>
      <c r="K5113" s="2" t="s">
        <v>3019</v>
      </c>
      <c r="L5113" t="s">
        <v>25</v>
      </c>
      <c r="M5113" s="8">
        <v>1.0693333330000001</v>
      </c>
      <c r="N5113" t="s">
        <v>26</v>
      </c>
      <c r="O5113" s="8">
        <v>1.0693333330000001</v>
      </c>
      <c r="P5113" s="8">
        <f>EXP(-1.363+3.366*LOG(O5113,10))</f>
        <v>0.28223780327142356</v>
      </c>
      <c r="Q5113" s="8">
        <f>(5996898*100)/6073515</f>
        <v>98.738506449724753</v>
      </c>
    </row>
    <row r="5114" spans="1:17" x14ac:dyDescent="0.2">
      <c r="A5114">
        <f>YEAR(D5114)</f>
        <v>2020</v>
      </c>
      <c r="B5114" t="s">
        <v>26</v>
      </c>
      <c r="C5114" s="2" t="s">
        <v>3018</v>
      </c>
      <c r="D5114" s="1">
        <v>43991</v>
      </c>
      <c r="E5114">
        <f>MONTH(D5114)</f>
        <v>6</v>
      </c>
      <c r="F5114" s="2" t="s">
        <v>19</v>
      </c>
      <c r="G5114" t="s">
        <v>352</v>
      </c>
      <c r="H5114" t="s">
        <v>1459</v>
      </c>
      <c r="I5114" t="s">
        <v>22</v>
      </c>
      <c r="J5114" s="2" t="s">
        <v>42</v>
      </c>
      <c r="K5114" s="2" t="s">
        <v>3019</v>
      </c>
      <c r="L5114" t="s">
        <v>25</v>
      </c>
      <c r="M5114" s="8">
        <v>1.1910000000000001</v>
      </c>
      <c r="N5114" t="s">
        <v>26</v>
      </c>
      <c r="O5114" s="8">
        <v>1.1910000000000001</v>
      </c>
      <c r="P5114" s="8">
        <f>EXP(-1.363+3.366*LOG(O5114,10))</f>
        <v>0.33039016297752993</v>
      </c>
      <c r="Q5114" s="8">
        <f>(5996898*100)/6073515</f>
        <v>98.738506449724753</v>
      </c>
    </row>
    <row r="5115" spans="1:17" x14ac:dyDescent="0.2">
      <c r="A5115">
        <f>YEAR(D5115)</f>
        <v>2020</v>
      </c>
      <c r="B5115" t="s">
        <v>26</v>
      </c>
      <c r="C5115" s="2" t="s">
        <v>3018</v>
      </c>
      <c r="D5115" s="1">
        <v>43991</v>
      </c>
      <c r="E5115">
        <f>MONTH(D5115)</f>
        <v>6</v>
      </c>
      <c r="F5115" s="2" t="s">
        <v>19</v>
      </c>
      <c r="G5115" t="s">
        <v>352</v>
      </c>
      <c r="H5115" t="s">
        <v>1459</v>
      </c>
      <c r="I5115" t="s">
        <v>22</v>
      </c>
      <c r="J5115" s="2" t="s">
        <v>42</v>
      </c>
      <c r="K5115" s="2" t="s">
        <v>3019</v>
      </c>
      <c r="L5115" t="s">
        <v>25</v>
      </c>
      <c r="M5115" s="8">
        <v>1.1910000000000001</v>
      </c>
      <c r="N5115" t="s">
        <v>26</v>
      </c>
      <c r="O5115" s="8">
        <v>1.1910000000000001</v>
      </c>
      <c r="P5115" s="8">
        <f>EXP(-1.363+3.366*LOG(O5115,10))</f>
        <v>0.33039016297752993</v>
      </c>
      <c r="Q5115" s="8">
        <f>(5996898*100)/6073515</f>
        <v>98.738506449724753</v>
      </c>
    </row>
    <row r="5116" spans="1:17" x14ac:dyDescent="0.2">
      <c r="A5116">
        <f>YEAR(D5116)</f>
        <v>2020</v>
      </c>
      <c r="B5116" t="s">
        <v>26</v>
      </c>
      <c r="C5116" s="2" t="s">
        <v>3018</v>
      </c>
      <c r="D5116" s="1">
        <v>43991</v>
      </c>
      <c r="E5116">
        <f>MONTH(D5116)</f>
        <v>6</v>
      </c>
      <c r="F5116" s="2" t="s">
        <v>19</v>
      </c>
      <c r="G5116" t="s">
        <v>362</v>
      </c>
      <c r="H5116" t="s">
        <v>447</v>
      </c>
      <c r="I5116" t="s">
        <v>22</v>
      </c>
      <c r="J5116" s="2" t="s">
        <v>42</v>
      </c>
      <c r="K5116" s="2" t="s">
        <v>3019</v>
      </c>
      <c r="L5116" t="s">
        <v>25</v>
      </c>
      <c r="M5116" s="8">
        <v>1.421</v>
      </c>
      <c r="N5116" t="s">
        <v>26</v>
      </c>
      <c r="O5116" s="8">
        <v>1.421</v>
      </c>
      <c r="P5116" s="8">
        <f>EXP(-1.363+3.366*LOG(O5116,10))</f>
        <v>0.42768500084673816</v>
      </c>
      <c r="Q5116" s="8">
        <f>(5996898*100)/6073515</f>
        <v>98.738506449724753</v>
      </c>
    </row>
    <row r="5117" spans="1:17" x14ac:dyDescent="0.2">
      <c r="A5117">
        <f>YEAR(D5117)</f>
        <v>2020</v>
      </c>
      <c r="B5117" t="s">
        <v>26</v>
      </c>
      <c r="C5117" s="2" t="s">
        <v>3018</v>
      </c>
      <c r="D5117" s="1">
        <v>43991</v>
      </c>
      <c r="E5117">
        <f>MONTH(D5117)</f>
        <v>6</v>
      </c>
      <c r="F5117" s="2" t="s">
        <v>19</v>
      </c>
      <c r="G5117" t="s">
        <v>230</v>
      </c>
      <c r="H5117" t="s">
        <v>259</v>
      </c>
      <c r="I5117" t="s">
        <v>22</v>
      </c>
      <c r="J5117" s="2" t="s">
        <v>42</v>
      </c>
      <c r="K5117" s="2" t="s">
        <v>3019</v>
      </c>
      <c r="L5117" t="s">
        <v>25</v>
      </c>
      <c r="M5117" s="8">
        <v>4.2283333330000001</v>
      </c>
      <c r="N5117" t="s">
        <v>26</v>
      </c>
      <c r="O5117" s="8">
        <v>4.2283333330000001</v>
      </c>
      <c r="P5117" s="8">
        <f>EXP(-1.363+3.366*LOG(O5117,10))</f>
        <v>2.1057792396965977</v>
      </c>
      <c r="Q5117" s="8">
        <f>(5996898*100)/6073515</f>
        <v>98.738506449724753</v>
      </c>
    </row>
    <row r="5118" spans="1:17" x14ac:dyDescent="0.2">
      <c r="A5118">
        <f>YEAR(D5118)</f>
        <v>2020</v>
      </c>
      <c r="B5118" t="s">
        <v>26</v>
      </c>
      <c r="C5118" s="2" t="s">
        <v>3018</v>
      </c>
      <c r="D5118" s="1">
        <v>43991</v>
      </c>
      <c r="E5118">
        <f>MONTH(D5118)</f>
        <v>6</v>
      </c>
      <c r="F5118" s="2" t="s">
        <v>19</v>
      </c>
      <c r="G5118" t="s">
        <v>230</v>
      </c>
      <c r="H5118" t="s">
        <v>255</v>
      </c>
      <c r="I5118" t="s">
        <v>22</v>
      </c>
      <c r="J5118" s="2" t="s">
        <v>42</v>
      </c>
      <c r="K5118" s="2" t="s">
        <v>3019</v>
      </c>
      <c r="L5118" t="s">
        <v>25</v>
      </c>
      <c r="M5118" s="8">
        <v>3.1943333329999999</v>
      </c>
      <c r="N5118" t="s">
        <v>26</v>
      </c>
      <c r="O5118" s="8">
        <v>3.1943333329999999</v>
      </c>
      <c r="P5118" s="8">
        <f>EXP(-1.363+3.366*LOG(O5118,10))</f>
        <v>1.3975823704079444</v>
      </c>
      <c r="Q5118" s="8">
        <f>(5996898*100)/6073515</f>
        <v>98.738506449724753</v>
      </c>
    </row>
    <row r="5119" spans="1:17" x14ac:dyDescent="0.2">
      <c r="A5119">
        <f>YEAR(D5119)</f>
        <v>2020</v>
      </c>
      <c r="B5119" t="s">
        <v>26</v>
      </c>
      <c r="C5119" s="2" t="s">
        <v>3018</v>
      </c>
      <c r="D5119" s="1">
        <v>43991</v>
      </c>
      <c r="E5119">
        <f>MONTH(D5119)</f>
        <v>6</v>
      </c>
      <c r="F5119" s="2" t="s">
        <v>19</v>
      </c>
      <c r="G5119" t="s">
        <v>20</v>
      </c>
      <c r="H5119" t="s">
        <v>149</v>
      </c>
      <c r="I5119" t="s">
        <v>36</v>
      </c>
      <c r="J5119" s="2" t="s">
        <v>42</v>
      </c>
      <c r="K5119" s="2" t="s">
        <v>3019</v>
      </c>
      <c r="L5119" t="s">
        <v>25</v>
      </c>
      <c r="M5119" s="8">
        <v>1.032666667</v>
      </c>
      <c r="N5119" t="s">
        <v>26</v>
      </c>
      <c r="O5119" s="8">
        <v>1.032666667</v>
      </c>
      <c r="P5119" s="8">
        <f>EXP(-1.363+3.366*LOG(O5119,10))</f>
        <v>0.26820327281159584</v>
      </c>
      <c r="Q5119" s="8">
        <f>(5996898*100)/6073515</f>
        <v>98.738506449724753</v>
      </c>
    </row>
    <row r="5120" spans="1:17" x14ac:dyDescent="0.2">
      <c r="A5120">
        <f>YEAR(D5120)</f>
        <v>2020</v>
      </c>
      <c r="B5120" t="s">
        <v>26</v>
      </c>
      <c r="C5120" s="2" t="s">
        <v>3018</v>
      </c>
      <c r="D5120" s="1">
        <v>43991</v>
      </c>
      <c r="E5120">
        <f>MONTH(D5120)</f>
        <v>6</v>
      </c>
      <c r="F5120" s="2" t="s">
        <v>19</v>
      </c>
      <c r="G5120" t="s">
        <v>20</v>
      </c>
      <c r="H5120" t="s">
        <v>149</v>
      </c>
      <c r="I5120" t="s">
        <v>36</v>
      </c>
      <c r="J5120" s="2" t="s">
        <v>42</v>
      </c>
      <c r="K5120" s="2" t="s">
        <v>3019</v>
      </c>
      <c r="L5120" t="s">
        <v>25</v>
      </c>
      <c r="M5120" s="8">
        <v>1.032666667</v>
      </c>
      <c r="N5120" t="s">
        <v>26</v>
      </c>
      <c r="O5120" s="8">
        <v>1.032666667</v>
      </c>
      <c r="P5120" s="8">
        <f>EXP(-1.363+3.366*LOG(O5120,10))</f>
        <v>0.26820327281159584</v>
      </c>
      <c r="Q5120" s="8">
        <f>(5996898*100)/6073515</f>
        <v>98.738506449724753</v>
      </c>
    </row>
    <row r="5121" spans="1:17" x14ac:dyDescent="0.2">
      <c r="A5121">
        <f>YEAR(D5121)</f>
        <v>2020</v>
      </c>
      <c r="B5121" t="s">
        <v>26</v>
      </c>
      <c r="C5121" s="2" t="s">
        <v>3025</v>
      </c>
      <c r="D5121" s="1">
        <v>43992</v>
      </c>
      <c r="E5121">
        <f>MONTH(D5121)</f>
        <v>6</v>
      </c>
      <c r="F5121" s="2" t="s">
        <v>19</v>
      </c>
      <c r="G5121" t="s">
        <v>219</v>
      </c>
      <c r="H5121" t="s">
        <v>220</v>
      </c>
      <c r="I5121" t="s">
        <v>22</v>
      </c>
      <c r="J5121" s="2" t="s">
        <v>42</v>
      </c>
      <c r="K5121" s="2" t="s">
        <v>3019</v>
      </c>
      <c r="L5121" t="s">
        <v>25</v>
      </c>
      <c r="M5121" s="10" t="s">
        <v>26</v>
      </c>
      <c r="N5121" t="s">
        <v>26</v>
      </c>
      <c r="O5121" s="10" t="s">
        <v>26</v>
      </c>
      <c r="P5121" s="8" t="s">
        <v>26</v>
      </c>
      <c r="Q5121" s="8">
        <f>(1955155*100)/2180255</f>
        <v>89.67551960665152</v>
      </c>
    </row>
    <row r="5122" spans="1:17" x14ac:dyDescent="0.2">
      <c r="A5122">
        <f>YEAR(D5122)</f>
        <v>2020</v>
      </c>
      <c r="B5122" t="s">
        <v>26</v>
      </c>
      <c r="C5122" s="2" t="s">
        <v>3025</v>
      </c>
      <c r="D5122" s="1">
        <v>43992</v>
      </c>
      <c r="E5122">
        <f>MONTH(D5122)</f>
        <v>6</v>
      </c>
      <c r="F5122" s="2" t="s">
        <v>19</v>
      </c>
      <c r="G5122" t="s">
        <v>352</v>
      </c>
      <c r="H5122" t="s">
        <v>975</v>
      </c>
      <c r="I5122" t="s">
        <v>22</v>
      </c>
      <c r="J5122" s="2" t="s">
        <v>42</v>
      </c>
      <c r="K5122" s="2" t="s">
        <v>3019</v>
      </c>
      <c r="L5122" t="s">
        <v>25</v>
      </c>
      <c r="M5122" s="8">
        <v>1.0693333330000001</v>
      </c>
      <c r="N5122" t="s">
        <v>26</v>
      </c>
      <c r="O5122" s="8">
        <v>1.0693333330000001</v>
      </c>
      <c r="P5122" s="8">
        <f>EXP(-1.363+3.366*LOG(O5122,10))</f>
        <v>0.28223780327142356</v>
      </c>
      <c r="Q5122" s="8">
        <f>(1955155*100)/2180255</f>
        <v>89.67551960665152</v>
      </c>
    </row>
    <row r="5123" spans="1:17" x14ac:dyDescent="0.2">
      <c r="A5123">
        <f>YEAR(D5123)</f>
        <v>2020</v>
      </c>
      <c r="B5123" t="s">
        <v>26</v>
      </c>
      <c r="C5123" s="2" t="s">
        <v>3025</v>
      </c>
      <c r="D5123" s="1">
        <v>43992</v>
      </c>
      <c r="E5123">
        <f>MONTH(D5123)</f>
        <v>6</v>
      </c>
      <c r="F5123" s="2" t="s">
        <v>19</v>
      </c>
      <c r="G5123" t="s">
        <v>352</v>
      </c>
      <c r="H5123" t="s">
        <v>610</v>
      </c>
      <c r="I5123" t="s">
        <v>22</v>
      </c>
      <c r="J5123" s="2" t="s">
        <v>42</v>
      </c>
      <c r="K5123" s="2" t="s">
        <v>3019</v>
      </c>
      <c r="L5123" t="s">
        <v>25</v>
      </c>
      <c r="M5123" s="8">
        <v>0.86499999999999999</v>
      </c>
      <c r="N5123" t="s">
        <v>26</v>
      </c>
      <c r="O5123" s="8">
        <v>0.86499999999999999</v>
      </c>
      <c r="P5123" s="8">
        <f>EXP(-1.363+3.366*LOG(O5123,10))</f>
        <v>0.20700676972346591</v>
      </c>
      <c r="Q5123" s="8">
        <f>(1955155*100)/2180255</f>
        <v>89.67551960665152</v>
      </c>
    </row>
    <row r="5124" spans="1:17" x14ac:dyDescent="0.2">
      <c r="A5124">
        <f>YEAR(D5124)</f>
        <v>2020</v>
      </c>
      <c r="B5124" t="s">
        <v>26</v>
      </c>
      <c r="C5124" s="2" t="s">
        <v>3025</v>
      </c>
      <c r="D5124" s="1">
        <v>43992</v>
      </c>
      <c r="E5124">
        <f>MONTH(D5124)</f>
        <v>6</v>
      </c>
      <c r="F5124" s="2" t="s">
        <v>19</v>
      </c>
      <c r="G5124" t="s">
        <v>352</v>
      </c>
      <c r="H5124" t="s">
        <v>610</v>
      </c>
      <c r="I5124" t="s">
        <v>22</v>
      </c>
      <c r="J5124" s="2" t="s">
        <v>42</v>
      </c>
      <c r="K5124" s="2" t="s">
        <v>3019</v>
      </c>
      <c r="L5124" t="s">
        <v>25</v>
      </c>
      <c r="M5124" s="8">
        <v>0.86499999999999999</v>
      </c>
      <c r="N5124" t="s">
        <v>26</v>
      </c>
      <c r="O5124" s="8">
        <v>0.86499999999999999</v>
      </c>
      <c r="P5124" s="8">
        <f>EXP(-1.363+3.366*LOG(O5124,10))</f>
        <v>0.20700676972346591</v>
      </c>
      <c r="Q5124" s="8">
        <f>(1955155*100)/2180255</f>
        <v>89.67551960665152</v>
      </c>
    </row>
    <row r="5125" spans="1:17" x14ac:dyDescent="0.2">
      <c r="A5125">
        <f>YEAR(D5125)</f>
        <v>2020</v>
      </c>
      <c r="B5125" t="s">
        <v>26</v>
      </c>
      <c r="C5125" s="2" t="s">
        <v>3025</v>
      </c>
      <c r="D5125" s="1">
        <v>43992</v>
      </c>
      <c r="E5125">
        <f>MONTH(D5125)</f>
        <v>6</v>
      </c>
      <c r="F5125" s="2" t="s">
        <v>19</v>
      </c>
      <c r="G5125" t="s">
        <v>352</v>
      </c>
      <c r="H5125" t="s">
        <v>975</v>
      </c>
      <c r="I5125" t="s">
        <v>22</v>
      </c>
      <c r="J5125" s="2" t="s">
        <v>42</v>
      </c>
      <c r="K5125" s="2" t="s">
        <v>3019</v>
      </c>
      <c r="L5125" t="s">
        <v>25</v>
      </c>
      <c r="M5125" s="8">
        <v>1.0693333330000001</v>
      </c>
      <c r="N5125" t="s">
        <v>26</v>
      </c>
      <c r="O5125" s="8">
        <v>1.0693333330000001</v>
      </c>
      <c r="P5125" s="8">
        <f>EXP(-1.363+3.366*LOG(O5125,10))</f>
        <v>0.28223780327142356</v>
      </c>
      <c r="Q5125" s="8">
        <f>(1955155*100)/2180255</f>
        <v>89.67551960665152</v>
      </c>
    </row>
    <row r="5126" spans="1:17" x14ac:dyDescent="0.2">
      <c r="A5126">
        <f>YEAR(D5126)</f>
        <v>2020</v>
      </c>
      <c r="B5126" t="s">
        <v>26</v>
      </c>
      <c r="C5126" s="2" t="s">
        <v>3025</v>
      </c>
      <c r="D5126" s="1">
        <v>43992</v>
      </c>
      <c r="E5126">
        <f>MONTH(D5126)</f>
        <v>6</v>
      </c>
      <c r="F5126" s="2" t="s">
        <v>19</v>
      </c>
      <c r="G5126" t="s">
        <v>352</v>
      </c>
      <c r="H5126" t="s">
        <v>353</v>
      </c>
      <c r="I5126" t="s">
        <v>22</v>
      </c>
      <c r="J5126" s="2" t="s">
        <v>42</v>
      </c>
      <c r="K5126" s="2" t="s">
        <v>3019</v>
      </c>
      <c r="L5126" t="s">
        <v>25</v>
      </c>
      <c r="M5126" s="8">
        <v>1.1623333330000001</v>
      </c>
      <c r="N5126" t="s">
        <v>26</v>
      </c>
      <c r="O5126" s="8">
        <v>1.1623333330000001</v>
      </c>
      <c r="P5126" s="8">
        <f>EXP(-1.363+3.366*LOG(O5126,10))</f>
        <v>0.31883010989102206</v>
      </c>
      <c r="Q5126" s="8">
        <f>(1955155*100)/2180255</f>
        <v>89.67551960665152</v>
      </c>
    </row>
    <row r="5127" spans="1:17" x14ac:dyDescent="0.2">
      <c r="A5127">
        <f>YEAR(D5127)</f>
        <v>2020</v>
      </c>
      <c r="B5127" t="s">
        <v>26</v>
      </c>
      <c r="C5127" s="2" t="s">
        <v>3025</v>
      </c>
      <c r="D5127" s="1">
        <v>43992</v>
      </c>
      <c r="E5127">
        <f>MONTH(D5127)</f>
        <v>6</v>
      </c>
      <c r="F5127" s="2" t="s">
        <v>19</v>
      </c>
      <c r="G5127" t="s">
        <v>352</v>
      </c>
      <c r="H5127" t="s">
        <v>353</v>
      </c>
      <c r="I5127" t="s">
        <v>22</v>
      </c>
      <c r="J5127" s="2" t="s">
        <v>42</v>
      </c>
      <c r="K5127" s="2" t="s">
        <v>3019</v>
      </c>
      <c r="L5127" t="s">
        <v>25</v>
      </c>
      <c r="M5127" s="8">
        <v>1.1623333330000001</v>
      </c>
      <c r="N5127" t="s">
        <v>26</v>
      </c>
      <c r="O5127" s="8">
        <v>1.1623333330000001</v>
      </c>
      <c r="P5127" s="8">
        <f>EXP(-1.363+3.366*LOG(O5127,10))</f>
        <v>0.31883010989102206</v>
      </c>
      <c r="Q5127" s="8">
        <f>(1955155*100)/2180255</f>
        <v>89.67551960665152</v>
      </c>
    </row>
    <row r="5128" spans="1:17" x14ac:dyDescent="0.2">
      <c r="A5128">
        <f>YEAR(D5128)</f>
        <v>2020</v>
      </c>
      <c r="B5128" t="s">
        <v>26</v>
      </c>
      <c r="C5128" s="2" t="s">
        <v>3025</v>
      </c>
      <c r="D5128" s="1">
        <v>43992</v>
      </c>
      <c r="E5128">
        <f>MONTH(D5128)</f>
        <v>6</v>
      </c>
      <c r="F5128" s="2" t="s">
        <v>19</v>
      </c>
      <c r="G5128" t="s">
        <v>352</v>
      </c>
      <c r="H5128" t="s">
        <v>975</v>
      </c>
      <c r="I5128" t="s">
        <v>22</v>
      </c>
      <c r="J5128" s="2" t="s">
        <v>42</v>
      </c>
      <c r="K5128" s="2" t="s">
        <v>3019</v>
      </c>
      <c r="L5128" t="s">
        <v>25</v>
      </c>
      <c r="M5128" s="8">
        <v>1.0693333330000001</v>
      </c>
      <c r="N5128" t="s">
        <v>26</v>
      </c>
      <c r="O5128" s="8">
        <v>1.0693333330000001</v>
      </c>
      <c r="P5128" s="8">
        <f>EXP(-1.363+3.366*LOG(O5128,10))</f>
        <v>0.28223780327142356</v>
      </c>
      <c r="Q5128" s="8">
        <f>(1955155*100)/2180255</f>
        <v>89.67551960665152</v>
      </c>
    </row>
    <row r="5129" spans="1:17" x14ac:dyDescent="0.2">
      <c r="A5129">
        <f>YEAR(D5129)</f>
        <v>2020</v>
      </c>
      <c r="B5129" t="s">
        <v>26</v>
      </c>
      <c r="C5129" s="2" t="s">
        <v>3025</v>
      </c>
      <c r="D5129" s="1">
        <v>43992</v>
      </c>
      <c r="E5129">
        <f>MONTH(D5129)</f>
        <v>6</v>
      </c>
      <c r="F5129" s="2" t="s">
        <v>19</v>
      </c>
      <c r="G5129" t="s">
        <v>352</v>
      </c>
      <c r="H5129" t="s">
        <v>975</v>
      </c>
      <c r="I5129" t="s">
        <v>22</v>
      </c>
      <c r="J5129" s="2" t="s">
        <v>42</v>
      </c>
      <c r="K5129" s="2" t="s">
        <v>3019</v>
      </c>
      <c r="L5129" t="s">
        <v>25</v>
      </c>
      <c r="M5129" s="8">
        <v>1.0693333330000001</v>
      </c>
      <c r="N5129" t="s">
        <v>26</v>
      </c>
      <c r="O5129" s="8">
        <v>1.0693333330000001</v>
      </c>
      <c r="P5129" s="8">
        <f>EXP(-1.363+3.366*LOG(O5129,10))</f>
        <v>0.28223780327142356</v>
      </c>
      <c r="Q5129" s="8">
        <f>(1955155*100)/2180255</f>
        <v>89.67551960665152</v>
      </c>
    </row>
    <row r="5130" spans="1:17" x14ac:dyDescent="0.2">
      <c r="A5130">
        <f>YEAR(D5130)</f>
        <v>2020</v>
      </c>
      <c r="B5130" t="s">
        <v>26</v>
      </c>
      <c r="C5130" s="2" t="s">
        <v>3025</v>
      </c>
      <c r="D5130" s="1">
        <v>43992</v>
      </c>
      <c r="E5130">
        <f>MONTH(D5130)</f>
        <v>6</v>
      </c>
      <c r="F5130" s="2" t="s">
        <v>19</v>
      </c>
      <c r="G5130" t="s">
        <v>352</v>
      </c>
      <c r="H5130" t="s">
        <v>353</v>
      </c>
      <c r="I5130" t="s">
        <v>22</v>
      </c>
      <c r="J5130" s="2" t="s">
        <v>42</v>
      </c>
      <c r="K5130" s="2" t="s">
        <v>3019</v>
      </c>
      <c r="L5130" t="s">
        <v>25</v>
      </c>
      <c r="M5130" s="8">
        <v>1.1623333330000001</v>
      </c>
      <c r="N5130" t="s">
        <v>26</v>
      </c>
      <c r="O5130" s="8">
        <v>1.1623333330000001</v>
      </c>
      <c r="P5130" s="8">
        <f>EXP(-1.363+3.366*LOG(O5130,10))</f>
        <v>0.31883010989102206</v>
      </c>
      <c r="Q5130" s="8">
        <f>(1955155*100)/2180255</f>
        <v>89.67551960665152</v>
      </c>
    </row>
    <row r="5131" spans="1:17" x14ac:dyDescent="0.2">
      <c r="A5131">
        <f>YEAR(D5131)</f>
        <v>2020</v>
      </c>
      <c r="B5131" t="s">
        <v>26</v>
      </c>
      <c r="C5131" s="2" t="s">
        <v>3025</v>
      </c>
      <c r="D5131" s="1">
        <v>43992</v>
      </c>
      <c r="E5131">
        <f>MONTH(D5131)</f>
        <v>6</v>
      </c>
      <c r="F5131" s="2" t="s">
        <v>19</v>
      </c>
      <c r="G5131" t="s">
        <v>352</v>
      </c>
      <c r="H5131" t="s">
        <v>623</v>
      </c>
      <c r="I5131" t="s">
        <v>22</v>
      </c>
      <c r="J5131" s="2" t="s">
        <v>42</v>
      </c>
      <c r="K5131" s="2" t="s">
        <v>3019</v>
      </c>
      <c r="L5131" t="s">
        <v>25</v>
      </c>
      <c r="M5131" s="8">
        <v>1.387</v>
      </c>
      <c r="N5131" t="s">
        <v>26</v>
      </c>
      <c r="O5131" s="8">
        <v>1.387</v>
      </c>
      <c r="P5131" s="8">
        <f>EXP(-1.363+3.366*LOG(O5131,10))</f>
        <v>0.41280884754947733</v>
      </c>
      <c r="Q5131" s="8">
        <f>(1955155*100)/2180255</f>
        <v>89.67551960665152</v>
      </c>
    </row>
    <row r="5132" spans="1:17" x14ac:dyDescent="0.2">
      <c r="A5132">
        <f>YEAR(D5132)</f>
        <v>2020</v>
      </c>
      <c r="B5132" t="s">
        <v>26</v>
      </c>
      <c r="C5132" s="2" t="s">
        <v>3025</v>
      </c>
      <c r="D5132" s="1">
        <v>43992</v>
      </c>
      <c r="E5132">
        <f>MONTH(D5132)</f>
        <v>6</v>
      </c>
      <c r="F5132" s="2" t="s">
        <v>19</v>
      </c>
      <c r="G5132" s="2" t="s">
        <v>20</v>
      </c>
      <c r="H5132" t="s">
        <v>45</v>
      </c>
      <c r="I5132" t="s">
        <v>22</v>
      </c>
      <c r="J5132" s="2" t="s">
        <v>42</v>
      </c>
      <c r="K5132" s="2" t="s">
        <v>3019</v>
      </c>
      <c r="L5132" t="s">
        <v>25</v>
      </c>
      <c r="M5132" s="8">
        <v>1.903333333</v>
      </c>
      <c r="N5132" t="s">
        <v>26</v>
      </c>
      <c r="O5132" s="8">
        <v>1.903333333</v>
      </c>
      <c r="P5132" s="8">
        <f>EXP(-1.363+3.366*LOG(O5132,10))</f>
        <v>0.65563371760507783</v>
      </c>
      <c r="Q5132" s="8">
        <f>(1955155*100)/2180255</f>
        <v>89.67551960665152</v>
      </c>
    </row>
    <row r="5133" spans="1:17" x14ac:dyDescent="0.2">
      <c r="A5133">
        <f>YEAR(D5133)</f>
        <v>2020</v>
      </c>
      <c r="B5133" t="s">
        <v>26</v>
      </c>
      <c r="C5133" s="2" t="s">
        <v>3025</v>
      </c>
      <c r="D5133" s="1">
        <v>43992</v>
      </c>
      <c r="E5133">
        <f>MONTH(D5133)</f>
        <v>6</v>
      </c>
      <c r="F5133" s="2" t="s">
        <v>19</v>
      </c>
      <c r="G5133" t="s">
        <v>352</v>
      </c>
      <c r="H5133" t="s">
        <v>728</v>
      </c>
      <c r="I5133" t="s">
        <v>22</v>
      </c>
      <c r="J5133" s="2" t="s">
        <v>42</v>
      </c>
      <c r="K5133" s="2" t="s">
        <v>3019</v>
      </c>
      <c r="L5133" t="s">
        <v>187</v>
      </c>
      <c r="M5133" s="8">
        <v>1.8093333330000001</v>
      </c>
      <c r="N5133" t="s">
        <v>26</v>
      </c>
      <c r="O5133" s="8">
        <v>1.8093333330000001</v>
      </c>
      <c r="P5133" s="8">
        <f>EXP(-1.363+3.366*LOG(O5133,10))</f>
        <v>0.6088444603462565</v>
      </c>
      <c r="Q5133" s="8">
        <f>(1955155*100)/2180255</f>
        <v>89.67551960665152</v>
      </c>
    </row>
    <row r="5134" spans="1:17" x14ac:dyDescent="0.2">
      <c r="A5134">
        <f>YEAR(D5134)</f>
        <v>2020</v>
      </c>
      <c r="B5134" t="s">
        <v>26</v>
      </c>
      <c r="C5134" s="2" t="s">
        <v>3025</v>
      </c>
      <c r="D5134" s="1">
        <v>43992</v>
      </c>
      <c r="E5134">
        <f>MONTH(D5134)</f>
        <v>6</v>
      </c>
      <c r="F5134" s="2" t="s">
        <v>19</v>
      </c>
      <c r="G5134" t="s">
        <v>352</v>
      </c>
      <c r="H5134" t="s">
        <v>975</v>
      </c>
      <c r="I5134" t="s">
        <v>22</v>
      </c>
      <c r="J5134" s="2" t="s">
        <v>42</v>
      </c>
      <c r="K5134" s="2" t="s">
        <v>3019</v>
      </c>
      <c r="L5134" t="s">
        <v>25</v>
      </c>
      <c r="M5134" s="8">
        <v>1.0693333330000001</v>
      </c>
      <c r="N5134" t="s">
        <v>26</v>
      </c>
      <c r="O5134" s="8">
        <v>1.0693333330000001</v>
      </c>
      <c r="P5134" s="8">
        <f>EXP(-1.363+3.366*LOG(O5134,10))</f>
        <v>0.28223780327142356</v>
      </c>
      <c r="Q5134" s="8">
        <f>(1955155*100)/2180255</f>
        <v>89.67551960665152</v>
      </c>
    </row>
    <row r="5135" spans="1:17" x14ac:dyDescent="0.2">
      <c r="A5135">
        <f>YEAR(D5135)</f>
        <v>2020</v>
      </c>
      <c r="B5135" t="s">
        <v>26</v>
      </c>
      <c r="C5135" s="2" t="s">
        <v>3025</v>
      </c>
      <c r="D5135" s="1">
        <v>43992</v>
      </c>
      <c r="E5135">
        <f>MONTH(D5135)</f>
        <v>6</v>
      </c>
      <c r="F5135" s="2" t="s">
        <v>19</v>
      </c>
      <c r="G5135" t="s">
        <v>230</v>
      </c>
      <c r="H5135" t="s">
        <v>259</v>
      </c>
      <c r="I5135" t="s">
        <v>22</v>
      </c>
      <c r="J5135" s="2" t="s">
        <v>42</v>
      </c>
      <c r="K5135" s="2" t="s">
        <v>3019</v>
      </c>
      <c r="L5135" t="s">
        <v>25</v>
      </c>
      <c r="M5135" s="8">
        <v>4.2283333330000001</v>
      </c>
      <c r="N5135" t="s">
        <v>26</v>
      </c>
      <c r="O5135" s="8">
        <v>4.2283333330000001</v>
      </c>
      <c r="P5135" s="8">
        <f>EXP(-1.363+3.366*LOG(O5135,10))</f>
        <v>2.1057792396965977</v>
      </c>
      <c r="Q5135" s="8">
        <f>(1955155*100)/2180255</f>
        <v>89.67551960665152</v>
      </c>
    </row>
    <row r="5136" spans="1:17" x14ac:dyDescent="0.2">
      <c r="A5136">
        <f>YEAR(D5136)</f>
        <v>2020</v>
      </c>
      <c r="B5136" t="s">
        <v>26</v>
      </c>
      <c r="C5136" s="2" t="s">
        <v>3025</v>
      </c>
      <c r="D5136" s="1">
        <v>43992</v>
      </c>
      <c r="E5136">
        <f>MONTH(D5136)</f>
        <v>6</v>
      </c>
      <c r="F5136" s="2" t="s">
        <v>19</v>
      </c>
      <c r="G5136" t="s">
        <v>352</v>
      </c>
      <c r="H5136" t="s">
        <v>975</v>
      </c>
      <c r="I5136" t="s">
        <v>22</v>
      </c>
      <c r="J5136" s="2" t="s">
        <v>42</v>
      </c>
      <c r="K5136" s="2" t="s">
        <v>3019</v>
      </c>
      <c r="L5136" t="s">
        <v>25</v>
      </c>
      <c r="M5136" s="8">
        <v>1.0693333330000001</v>
      </c>
      <c r="N5136" t="s">
        <v>26</v>
      </c>
      <c r="O5136" s="8">
        <v>1.0693333330000001</v>
      </c>
      <c r="P5136" s="8">
        <f>EXP(-1.363+3.366*LOG(O5136,10))</f>
        <v>0.28223780327142356</v>
      </c>
      <c r="Q5136" s="8">
        <f>(1955155*100)/2180255</f>
        <v>89.67551960665152</v>
      </c>
    </row>
    <row r="5137" spans="1:17" x14ac:dyDescent="0.2">
      <c r="A5137">
        <f>YEAR(D5137)</f>
        <v>2020</v>
      </c>
      <c r="B5137" t="s">
        <v>26</v>
      </c>
      <c r="C5137" s="2" t="s">
        <v>3025</v>
      </c>
      <c r="D5137" s="1">
        <v>43992</v>
      </c>
      <c r="E5137">
        <f>MONTH(D5137)</f>
        <v>6</v>
      </c>
      <c r="F5137" s="2" t="s">
        <v>19</v>
      </c>
      <c r="G5137" t="s">
        <v>352</v>
      </c>
      <c r="H5137" t="s">
        <v>975</v>
      </c>
      <c r="I5137" t="s">
        <v>22</v>
      </c>
      <c r="J5137" s="2" t="s">
        <v>42</v>
      </c>
      <c r="K5137" s="2" t="s">
        <v>3019</v>
      </c>
      <c r="L5137" t="s">
        <v>25</v>
      </c>
      <c r="M5137" s="8">
        <v>1.0693333330000001</v>
      </c>
      <c r="N5137" t="s">
        <v>26</v>
      </c>
      <c r="O5137" s="8">
        <v>1.0693333330000001</v>
      </c>
      <c r="P5137" s="8">
        <f>EXP(-1.363+3.366*LOG(O5137,10))</f>
        <v>0.28223780327142356</v>
      </c>
      <c r="Q5137" s="8">
        <f>(1955155*100)/2180255</f>
        <v>89.67551960665152</v>
      </c>
    </row>
    <row r="5138" spans="1:17" x14ac:dyDescent="0.2">
      <c r="A5138">
        <f>YEAR(D5138)</f>
        <v>2020</v>
      </c>
      <c r="B5138" t="s">
        <v>26</v>
      </c>
      <c r="C5138" s="2" t="s">
        <v>3025</v>
      </c>
      <c r="D5138" s="1">
        <v>43992</v>
      </c>
      <c r="E5138">
        <f>MONTH(D5138)</f>
        <v>6</v>
      </c>
      <c r="F5138" s="2" t="s">
        <v>19</v>
      </c>
      <c r="G5138" t="s">
        <v>352</v>
      </c>
      <c r="H5138" t="s">
        <v>975</v>
      </c>
      <c r="I5138" t="s">
        <v>22</v>
      </c>
      <c r="J5138" s="2" t="s">
        <v>42</v>
      </c>
      <c r="K5138" s="2" t="s">
        <v>3019</v>
      </c>
      <c r="L5138" t="s">
        <v>25</v>
      </c>
      <c r="M5138" s="8">
        <v>1.0693333330000001</v>
      </c>
      <c r="N5138" t="s">
        <v>26</v>
      </c>
      <c r="O5138" s="8">
        <v>1.0693333330000001</v>
      </c>
      <c r="P5138" s="8">
        <f>EXP(-1.363+3.366*LOG(O5138,10))</f>
        <v>0.28223780327142356</v>
      </c>
      <c r="Q5138" s="8">
        <f>(1955155*100)/2180255</f>
        <v>89.67551960665152</v>
      </c>
    </row>
    <row r="5139" spans="1:17" x14ac:dyDescent="0.2">
      <c r="A5139">
        <f>YEAR(D5139)</f>
        <v>2020</v>
      </c>
      <c r="B5139" t="s">
        <v>26</v>
      </c>
      <c r="C5139" s="2" t="s">
        <v>3025</v>
      </c>
      <c r="D5139" s="1">
        <v>43992</v>
      </c>
      <c r="E5139">
        <f>MONTH(D5139)</f>
        <v>6</v>
      </c>
      <c r="F5139" s="2" t="s">
        <v>19</v>
      </c>
      <c r="G5139" t="s">
        <v>352</v>
      </c>
      <c r="H5139" t="s">
        <v>353</v>
      </c>
      <c r="I5139" t="s">
        <v>22</v>
      </c>
      <c r="J5139" s="2" t="s">
        <v>42</v>
      </c>
      <c r="K5139" s="2" t="s">
        <v>3019</v>
      </c>
      <c r="L5139" t="s">
        <v>25</v>
      </c>
      <c r="M5139" s="8">
        <v>1.1623333330000001</v>
      </c>
      <c r="N5139" t="s">
        <v>26</v>
      </c>
      <c r="O5139" s="8">
        <v>1.1623333330000001</v>
      </c>
      <c r="P5139" s="8">
        <f>EXP(-1.363+3.366*LOG(O5139,10))</f>
        <v>0.31883010989102206</v>
      </c>
      <c r="Q5139" s="8">
        <f>(1955155*100)/2180255</f>
        <v>89.67551960665152</v>
      </c>
    </row>
    <row r="5140" spans="1:17" x14ac:dyDescent="0.2">
      <c r="A5140">
        <f>YEAR(D5140)</f>
        <v>2020</v>
      </c>
      <c r="B5140" t="s">
        <v>26</v>
      </c>
      <c r="C5140" s="2" t="s">
        <v>3025</v>
      </c>
      <c r="D5140" s="1">
        <v>43992</v>
      </c>
      <c r="E5140">
        <f>MONTH(D5140)</f>
        <v>6</v>
      </c>
      <c r="F5140" s="2" t="s">
        <v>19</v>
      </c>
      <c r="G5140" s="2" t="s">
        <v>20</v>
      </c>
      <c r="H5140" t="s">
        <v>145</v>
      </c>
      <c r="I5140" t="s">
        <v>22</v>
      </c>
      <c r="J5140" s="2" t="s">
        <v>42</v>
      </c>
      <c r="K5140" s="2" t="s">
        <v>3019</v>
      </c>
      <c r="L5140" t="s">
        <v>25</v>
      </c>
      <c r="M5140" s="8">
        <v>2.399666667</v>
      </c>
      <c r="N5140" t="s">
        <v>26</v>
      </c>
      <c r="O5140" s="8">
        <v>2.399666667</v>
      </c>
      <c r="P5140" s="8">
        <f>EXP(-1.363+3.366*LOG(O5140,10))</f>
        <v>0.91997203423956198</v>
      </c>
      <c r="Q5140" s="8">
        <f>(1955155*100)/2180255</f>
        <v>89.67551960665152</v>
      </c>
    </row>
    <row r="5141" spans="1:17" x14ac:dyDescent="0.2">
      <c r="A5141">
        <f>YEAR(D5141)</f>
        <v>2020</v>
      </c>
      <c r="B5141" t="s">
        <v>26</v>
      </c>
      <c r="C5141" s="2" t="s">
        <v>3026</v>
      </c>
      <c r="D5141" s="1">
        <v>43992</v>
      </c>
      <c r="E5141">
        <f>MONTH(D5141)</f>
        <v>6</v>
      </c>
      <c r="F5141" s="2" t="s">
        <v>19</v>
      </c>
      <c r="G5141" t="s">
        <v>352</v>
      </c>
      <c r="H5141" t="s">
        <v>1585</v>
      </c>
      <c r="I5141" t="s">
        <v>36</v>
      </c>
      <c r="J5141" s="2" t="s">
        <v>42</v>
      </c>
      <c r="K5141" s="2" t="s">
        <v>3019</v>
      </c>
      <c r="L5141" t="s">
        <v>25</v>
      </c>
      <c r="M5141" s="8">
        <v>0.73566666700000005</v>
      </c>
      <c r="N5141" t="s">
        <v>26</v>
      </c>
      <c r="O5141" s="8">
        <v>0.73566666700000005</v>
      </c>
      <c r="P5141" s="8">
        <f>EXP(-1.363+3.366*LOG(O5141,10))</f>
        <v>0.16336774920850081</v>
      </c>
      <c r="Q5141" s="8">
        <f>(2317420*100)/2442061</f>
        <v>94.896073439606951</v>
      </c>
    </row>
    <row r="5142" spans="1:17" x14ac:dyDescent="0.2">
      <c r="A5142">
        <f>YEAR(D5142)</f>
        <v>2020</v>
      </c>
      <c r="B5142" t="s">
        <v>26</v>
      </c>
      <c r="C5142" s="2" t="s">
        <v>3026</v>
      </c>
      <c r="D5142" s="1">
        <v>43992</v>
      </c>
      <c r="E5142">
        <f>MONTH(D5142)</f>
        <v>6</v>
      </c>
      <c r="F5142" s="2" t="s">
        <v>19</v>
      </c>
      <c r="G5142" t="s">
        <v>352</v>
      </c>
      <c r="H5142" t="s">
        <v>975</v>
      </c>
      <c r="I5142" t="s">
        <v>22</v>
      </c>
      <c r="J5142" s="2" t="s">
        <v>42</v>
      </c>
      <c r="K5142" s="2" t="s">
        <v>3019</v>
      </c>
      <c r="L5142" t="s">
        <v>25</v>
      </c>
      <c r="M5142" s="8">
        <v>1.0693333330000001</v>
      </c>
      <c r="N5142" t="s">
        <v>26</v>
      </c>
      <c r="O5142" s="8">
        <v>1.0693333330000001</v>
      </c>
      <c r="P5142" s="8">
        <f>EXP(-1.363+3.366*LOG(O5142,10))</f>
        <v>0.28223780327142356</v>
      </c>
      <c r="Q5142" s="8">
        <f>(2317420*100)/2442061</f>
        <v>94.896073439606951</v>
      </c>
    </row>
    <row r="5143" spans="1:17" x14ac:dyDescent="0.2">
      <c r="A5143">
        <f>YEAR(D5143)</f>
        <v>2020</v>
      </c>
      <c r="B5143" t="s">
        <v>26</v>
      </c>
      <c r="C5143" s="2" t="s">
        <v>3026</v>
      </c>
      <c r="D5143" s="1">
        <v>43992</v>
      </c>
      <c r="E5143">
        <f>MONTH(D5143)</f>
        <v>6</v>
      </c>
      <c r="F5143" s="2" t="s">
        <v>19</v>
      </c>
      <c r="G5143" t="s">
        <v>352</v>
      </c>
      <c r="H5143" t="s">
        <v>353</v>
      </c>
      <c r="I5143" t="s">
        <v>22</v>
      </c>
      <c r="J5143" s="2" t="s">
        <v>42</v>
      </c>
      <c r="K5143" s="2" t="s">
        <v>3019</v>
      </c>
      <c r="L5143" t="s">
        <v>25</v>
      </c>
      <c r="M5143" s="8">
        <v>1.1623333330000001</v>
      </c>
      <c r="N5143" t="s">
        <v>26</v>
      </c>
      <c r="O5143" s="8">
        <v>1.1623333330000001</v>
      </c>
      <c r="P5143" s="8">
        <f>EXP(-1.363+3.366*LOG(O5143,10))</f>
        <v>0.31883010989102206</v>
      </c>
      <c r="Q5143" s="8">
        <f>(2317420*100)/2442061</f>
        <v>94.896073439606951</v>
      </c>
    </row>
    <row r="5144" spans="1:17" x14ac:dyDescent="0.2">
      <c r="A5144">
        <f>YEAR(D5144)</f>
        <v>2020</v>
      </c>
      <c r="B5144" t="s">
        <v>26</v>
      </c>
      <c r="C5144" s="2" t="s">
        <v>50</v>
      </c>
      <c r="D5144" s="1">
        <v>43993</v>
      </c>
      <c r="E5144">
        <f>MONTH(D5144)</f>
        <v>6</v>
      </c>
      <c r="F5144" s="2" t="s">
        <v>19</v>
      </c>
      <c r="G5144" t="s">
        <v>352</v>
      </c>
      <c r="H5144" t="s">
        <v>975</v>
      </c>
      <c r="I5144" t="s">
        <v>22</v>
      </c>
      <c r="J5144" s="2" t="s">
        <v>42</v>
      </c>
      <c r="K5144" s="2" t="s">
        <v>3019</v>
      </c>
      <c r="L5144" t="s">
        <v>25</v>
      </c>
      <c r="M5144" s="8">
        <v>1.0693333330000001</v>
      </c>
      <c r="N5144" t="s">
        <v>26</v>
      </c>
      <c r="O5144" s="8">
        <v>1.0693333330000001</v>
      </c>
      <c r="P5144" s="8">
        <f>EXP(-1.363+3.366*LOG(O5144,10))</f>
        <v>0.28223780327142356</v>
      </c>
      <c r="Q5144" s="8">
        <f>(4488342*100)/4914798</f>
        <v>91.323020803703429</v>
      </c>
    </row>
    <row r="5145" spans="1:17" x14ac:dyDescent="0.2">
      <c r="A5145">
        <f>YEAR(D5145)</f>
        <v>2020</v>
      </c>
      <c r="B5145" t="s">
        <v>26</v>
      </c>
      <c r="C5145" s="2" t="s">
        <v>50</v>
      </c>
      <c r="D5145" s="1">
        <v>43993</v>
      </c>
      <c r="E5145">
        <f>MONTH(D5145)</f>
        <v>6</v>
      </c>
      <c r="F5145" s="2" t="s">
        <v>19</v>
      </c>
      <c r="G5145" t="s">
        <v>352</v>
      </c>
      <c r="H5145" t="s">
        <v>975</v>
      </c>
      <c r="I5145" t="s">
        <v>22</v>
      </c>
      <c r="J5145" s="2" t="s">
        <v>42</v>
      </c>
      <c r="K5145" s="2" t="s">
        <v>3019</v>
      </c>
      <c r="L5145" t="s">
        <v>25</v>
      </c>
      <c r="M5145" s="8">
        <v>1.0693333330000001</v>
      </c>
      <c r="N5145" t="s">
        <v>26</v>
      </c>
      <c r="O5145" s="8">
        <v>1.0693333330000001</v>
      </c>
      <c r="P5145" s="8">
        <f>EXP(-1.363+3.366*LOG(O5145,10))</f>
        <v>0.28223780327142356</v>
      </c>
      <c r="Q5145" s="8">
        <f>(4488342*100)/4914798</f>
        <v>91.323020803703429</v>
      </c>
    </row>
    <row r="5146" spans="1:17" x14ac:dyDescent="0.2">
      <c r="A5146">
        <f>YEAR(D5146)</f>
        <v>2020</v>
      </c>
      <c r="B5146" t="s">
        <v>26</v>
      </c>
      <c r="C5146" s="2" t="s">
        <v>50</v>
      </c>
      <c r="D5146" s="1">
        <v>43993</v>
      </c>
      <c r="E5146">
        <f>MONTH(D5146)</f>
        <v>6</v>
      </c>
      <c r="F5146" s="2" t="s">
        <v>19</v>
      </c>
      <c r="G5146" t="s">
        <v>352</v>
      </c>
      <c r="H5146" t="s">
        <v>975</v>
      </c>
      <c r="I5146" t="s">
        <v>22</v>
      </c>
      <c r="J5146" s="2" t="s">
        <v>42</v>
      </c>
      <c r="K5146" s="2" t="s">
        <v>3019</v>
      </c>
      <c r="L5146" t="s">
        <v>25</v>
      </c>
      <c r="M5146" s="8">
        <v>1.0693333330000001</v>
      </c>
      <c r="N5146" t="s">
        <v>26</v>
      </c>
      <c r="O5146" s="8">
        <v>1.0693333330000001</v>
      </c>
      <c r="P5146" s="8">
        <f>EXP(-1.363+3.366*LOG(O5146,10))</f>
        <v>0.28223780327142356</v>
      </c>
      <c r="Q5146" s="8">
        <f>(4488342*100)/4914798</f>
        <v>91.323020803703429</v>
      </c>
    </row>
    <row r="5147" spans="1:17" x14ac:dyDescent="0.2">
      <c r="A5147">
        <f>YEAR(D5147)</f>
        <v>2020</v>
      </c>
      <c r="B5147" t="s">
        <v>26</v>
      </c>
      <c r="C5147" s="2" t="s">
        <v>50</v>
      </c>
      <c r="D5147" s="1">
        <v>43993</v>
      </c>
      <c r="E5147">
        <f>MONTH(D5147)</f>
        <v>6</v>
      </c>
      <c r="F5147" s="2" t="s">
        <v>19</v>
      </c>
      <c r="G5147" t="s">
        <v>352</v>
      </c>
      <c r="H5147" t="s">
        <v>1142</v>
      </c>
      <c r="I5147" t="s">
        <v>22</v>
      </c>
      <c r="J5147" s="2" t="s">
        <v>42</v>
      </c>
      <c r="K5147" s="2" t="s">
        <v>3019</v>
      </c>
      <c r="L5147" t="s">
        <v>25</v>
      </c>
      <c r="M5147" s="8">
        <v>1.1423333330000001</v>
      </c>
      <c r="N5147" t="s">
        <v>26</v>
      </c>
      <c r="O5147" s="8">
        <v>1.1423333330000001</v>
      </c>
      <c r="P5147" s="8">
        <f>EXP(-1.363+3.366*LOG(O5147,10))</f>
        <v>0.31084239358261528</v>
      </c>
      <c r="Q5147" s="8">
        <f>(4488342*100)/4914798</f>
        <v>91.323020803703429</v>
      </c>
    </row>
    <row r="5148" spans="1:17" x14ac:dyDescent="0.2">
      <c r="A5148">
        <f>YEAR(D5148)</f>
        <v>2020</v>
      </c>
      <c r="B5148" t="s">
        <v>26</v>
      </c>
      <c r="C5148" s="2" t="s">
        <v>50</v>
      </c>
      <c r="D5148" s="1">
        <v>43993</v>
      </c>
      <c r="E5148">
        <f>MONTH(D5148)</f>
        <v>6</v>
      </c>
      <c r="F5148" s="2" t="s">
        <v>19</v>
      </c>
      <c r="G5148" t="s">
        <v>352</v>
      </c>
      <c r="H5148" t="s">
        <v>623</v>
      </c>
      <c r="I5148" t="s">
        <v>22</v>
      </c>
      <c r="J5148" s="2" t="s">
        <v>42</v>
      </c>
      <c r="K5148" s="2" t="s">
        <v>3019</v>
      </c>
      <c r="L5148" t="s">
        <v>25</v>
      </c>
      <c r="M5148" s="8">
        <v>1.387</v>
      </c>
      <c r="N5148" t="s">
        <v>26</v>
      </c>
      <c r="O5148" s="8">
        <v>1.387</v>
      </c>
      <c r="P5148" s="8">
        <f>EXP(-1.363+3.366*LOG(O5148,10))</f>
        <v>0.41280884754947733</v>
      </c>
      <c r="Q5148" s="8">
        <f>(4488342*100)/4914798</f>
        <v>91.323020803703429</v>
      </c>
    </row>
    <row r="5149" spans="1:17" x14ac:dyDescent="0.2">
      <c r="A5149">
        <f>YEAR(D5149)</f>
        <v>2020</v>
      </c>
      <c r="B5149" t="s">
        <v>26</v>
      </c>
      <c r="C5149" s="2" t="s">
        <v>50</v>
      </c>
      <c r="D5149" s="1">
        <v>43993</v>
      </c>
      <c r="E5149">
        <f>MONTH(D5149)</f>
        <v>6</v>
      </c>
      <c r="F5149" s="2" t="s">
        <v>19</v>
      </c>
      <c r="G5149" t="s">
        <v>352</v>
      </c>
      <c r="H5149" t="s">
        <v>610</v>
      </c>
      <c r="I5149" t="s">
        <v>22</v>
      </c>
      <c r="J5149" s="2" t="s">
        <v>42</v>
      </c>
      <c r="K5149" s="2" t="s">
        <v>3019</v>
      </c>
      <c r="L5149" t="s">
        <v>25</v>
      </c>
      <c r="M5149" s="8">
        <v>0.86499999999999999</v>
      </c>
      <c r="N5149" t="s">
        <v>26</v>
      </c>
      <c r="O5149" s="8">
        <v>0.86499999999999999</v>
      </c>
      <c r="P5149" s="8">
        <f>EXP(-1.363+3.366*LOG(O5149,10))</f>
        <v>0.20700676972346591</v>
      </c>
      <c r="Q5149" s="8">
        <f>(4488342*100)/4914798</f>
        <v>91.323020803703429</v>
      </c>
    </row>
    <row r="5150" spans="1:17" x14ac:dyDescent="0.2">
      <c r="A5150">
        <f>YEAR(D5150)</f>
        <v>2020</v>
      </c>
      <c r="B5150" t="s">
        <v>26</v>
      </c>
      <c r="C5150" s="2" t="s">
        <v>50</v>
      </c>
      <c r="D5150" s="1">
        <v>43993</v>
      </c>
      <c r="E5150">
        <f>MONTH(D5150)</f>
        <v>6</v>
      </c>
      <c r="F5150" s="2" t="s">
        <v>19</v>
      </c>
      <c r="G5150" t="s">
        <v>352</v>
      </c>
      <c r="H5150" t="s">
        <v>610</v>
      </c>
      <c r="I5150" t="s">
        <v>22</v>
      </c>
      <c r="J5150" s="2" t="s">
        <v>42</v>
      </c>
      <c r="K5150" s="2" t="s">
        <v>3019</v>
      </c>
      <c r="L5150" t="s">
        <v>25</v>
      </c>
      <c r="M5150" s="8">
        <v>0.86499999999999999</v>
      </c>
      <c r="N5150" t="s">
        <v>26</v>
      </c>
      <c r="O5150" s="8">
        <v>0.86499999999999999</v>
      </c>
      <c r="P5150" s="8">
        <f>EXP(-1.363+3.366*LOG(O5150,10))</f>
        <v>0.20700676972346591</v>
      </c>
      <c r="Q5150" s="8">
        <f>(4488342*100)/4914798</f>
        <v>91.323020803703429</v>
      </c>
    </row>
    <row r="5151" spans="1:17" x14ac:dyDescent="0.2">
      <c r="A5151">
        <f>YEAR(D5151)</f>
        <v>2020</v>
      </c>
      <c r="B5151" t="s">
        <v>26</v>
      </c>
      <c r="C5151" s="2" t="s">
        <v>50</v>
      </c>
      <c r="D5151" s="1">
        <v>43993</v>
      </c>
      <c r="E5151">
        <f>MONTH(D5151)</f>
        <v>6</v>
      </c>
      <c r="F5151" s="2" t="s">
        <v>19</v>
      </c>
      <c r="G5151" t="s">
        <v>352</v>
      </c>
      <c r="H5151" t="s">
        <v>975</v>
      </c>
      <c r="I5151" t="s">
        <v>36</v>
      </c>
      <c r="J5151" s="2" t="s">
        <v>42</v>
      </c>
      <c r="K5151" s="2" t="s">
        <v>3019</v>
      </c>
      <c r="L5151" t="s">
        <v>25</v>
      </c>
      <c r="M5151" s="8">
        <v>0.95199999999999996</v>
      </c>
      <c r="N5151" t="s">
        <v>26</v>
      </c>
      <c r="O5151" s="8">
        <v>0.95199999999999996</v>
      </c>
      <c r="P5151" s="8">
        <f>EXP(-1.363+3.366*LOG(O5151,10))</f>
        <v>0.23813726407794436</v>
      </c>
      <c r="Q5151" s="8">
        <f>(4488342*100)/4914798</f>
        <v>91.323020803703429</v>
      </c>
    </row>
    <row r="5152" spans="1:17" x14ac:dyDescent="0.2">
      <c r="A5152">
        <f>YEAR(D5152)</f>
        <v>2020</v>
      </c>
      <c r="B5152" t="s">
        <v>26</v>
      </c>
      <c r="C5152" s="2" t="s">
        <v>50</v>
      </c>
      <c r="D5152" s="1">
        <v>43993</v>
      </c>
      <c r="E5152">
        <f>MONTH(D5152)</f>
        <v>6</v>
      </c>
      <c r="F5152" s="2" t="s">
        <v>19</v>
      </c>
      <c r="G5152" t="s">
        <v>20</v>
      </c>
      <c r="H5152" t="s">
        <v>171</v>
      </c>
      <c r="I5152" t="s">
        <v>36</v>
      </c>
      <c r="J5152" s="2" t="s">
        <v>42</v>
      </c>
      <c r="K5152" s="2" t="s">
        <v>3019</v>
      </c>
      <c r="L5152" t="s">
        <v>25</v>
      </c>
      <c r="M5152" s="8">
        <v>1.104666667</v>
      </c>
      <c r="N5152" t="s">
        <v>26</v>
      </c>
      <c r="O5152" s="8">
        <v>1.104666667</v>
      </c>
      <c r="P5152" s="8">
        <f>EXP(-1.363+3.366*LOG(O5152,10))</f>
        <v>0.29597401543594926</v>
      </c>
      <c r="Q5152" s="8">
        <f>(4488342*100)/4914798</f>
        <v>91.323020803703429</v>
      </c>
    </row>
    <row r="5153" spans="1:17" x14ac:dyDescent="0.2">
      <c r="A5153">
        <f>YEAR(D5153)</f>
        <v>2020</v>
      </c>
      <c r="B5153" t="s">
        <v>26</v>
      </c>
      <c r="C5153" s="2" t="s">
        <v>50</v>
      </c>
      <c r="D5153" s="1">
        <v>43993</v>
      </c>
      <c r="E5153">
        <f>MONTH(D5153)</f>
        <v>6</v>
      </c>
      <c r="F5153" s="2" t="s">
        <v>19</v>
      </c>
      <c r="G5153" t="s">
        <v>332</v>
      </c>
      <c r="H5153" t="s">
        <v>2248</v>
      </c>
      <c r="I5153" t="s">
        <v>36</v>
      </c>
      <c r="J5153" s="2" t="s">
        <v>42</v>
      </c>
      <c r="K5153" s="2" t="s">
        <v>3019</v>
      </c>
      <c r="L5153" t="s">
        <v>25</v>
      </c>
      <c r="M5153" s="8">
        <v>0.81100000000000005</v>
      </c>
      <c r="N5153" t="s">
        <v>26</v>
      </c>
      <c r="O5153" s="8">
        <v>0.81100000000000005</v>
      </c>
      <c r="P5153" s="8">
        <f>EXP(-1.363+3.366*LOG(O5153,10))</f>
        <v>0.18839097813841613</v>
      </c>
      <c r="Q5153" s="8">
        <f>(4488342*100)/4914798</f>
        <v>91.323020803703429</v>
      </c>
    </row>
    <row r="5154" spans="1:17" x14ac:dyDescent="0.2">
      <c r="A5154">
        <f>YEAR(D5154)</f>
        <v>2020</v>
      </c>
      <c r="B5154" t="s">
        <v>26</v>
      </c>
      <c r="C5154" s="2" t="s">
        <v>50</v>
      </c>
      <c r="D5154" s="1">
        <v>43993</v>
      </c>
      <c r="E5154">
        <f>MONTH(D5154)</f>
        <v>6</v>
      </c>
      <c r="F5154" s="2" t="s">
        <v>19</v>
      </c>
      <c r="G5154" t="s">
        <v>352</v>
      </c>
      <c r="H5154" t="s">
        <v>975</v>
      </c>
      <c r="I5154" t="s">
        <v>22</v>
      </c>
      <c r="J5154" s="2" t="s">
        <v>42</v>
      </c>
      <c r="K5154" s="2" t="s">
        <v>3019</v>
      </c>
      <c r="L5154" t="s">
        <v>25</v>
      </c>
      <c r="M5154" s="8">
        <v>1.0693333330000001</v>
      </c>
      <c r="N5154" t="s">
        <v>26</v>
      </c>
      <c r="O5154" s="8">
        <v>1.0693333330000001</v>
      </c>
      <c r="P5154" s="8">
        <f>EXP(-1.363+3.366*LOG(O5154,10))</f>
        <v>0.28223780327142356</v>
      </c>
      <c r="Q5154" s="8">
        <f>(4488342*100)/4914798</f>
        <v>91.323020803703429</v>
      </c>
    </row>
    <row r="5155" spans="1:17" x14ac:dyDescent="0.2">
      <c r="A5155">
        <f>YEAR(D5155)</f>
        <v>2020</v>
      </c>
      <c r="B5155" t="s">
        <v>26</v>
      </c>
      <c r="C5155" s="2" t="s">
        <v>50</v>
      </c>
      <c r="D5155" s="1">
        <v>43993</v>
      </c>
      <c r="E5155">
        <f>MONTH(D5155)</f>
        <v>6</v>
      </c>
      <c r="F5155" s="2" t="s">
        <v>19</v>
      </c>
      <c r="G5155" t="s">
        <v>352</v>
      </c>
      <c r="H5155" t="s">
        <v>975</v>
      </c>
      <c r="I5155" t="s">
        <v>22</v>
      </c>
      <c r="J5155" s="2" t="s">
        <v>42</v>
      </c>
      <c r="K5155" s="2" t="s">
        <v>3019</v>
      </c>
      <c r="L5155" t="s">
        <v>25</v>
      </c>
      <c r="M5155" s="8">
        <v>1.0693333330000001</v>
      </c>
      <c r="N5155" t="s">
        <v>26</v>
      </c>
      <c r="O5155" s="8">
        <v>1.0693333330000001</v>
      </c>
      <c r="P5155" s="8">
        <f>EXP(-1.363+3.366*LOG(O5155,10))</f>
        <v>0.28223780327142356</v>
      </c>
      <c r="Q5155" s="8">
        <f>(4488342*100)/4914798</f>
        <v>91.323020803703429</v>
      </c>
    </row>
    <row r="5156" spans="1:17" x14ac:dyDescent="0.2">
      <c r="A5156">
        <f>YEAR(D5156)</f>
        <v>2020</v>
      </c>
      <c r="B5156" t="s">
        <v>26</v>
      </c>
      <c r="C5156" s="2" t="s">
        <v>50</v>
      </c>
      <c r="D5156" s="1">
        <v>43993</v>
      </c>
      <c r="E5156">
        <f>MONTH(D5156)</f>
        <v>6</v>
      </c>
      <c r="F5156" s="2" t="s">
        <v>19</v>
      </c>
      <c r="G5156" t="s">
        <v>352</v>
      </c>
      <c r="H5156" t="s">
        <v>975</v>
      </c>
      <c r="I5156" t="s">
        <v>22</v>
      </c>
      <c r="J5156" s="2" t="s">
        <v>42</v>
      </c>
      <c r="K5156" s="2" t="s">
        <v>3019</v>
      </c>
      <c r="L5156" t="s">
        <v>25</v>
      </c>
      <c r="M5156" s="8">
        <v>1.0693333330000001</v>
      </c>
      <c r="N5156" t="s">
        <v>26</v>
      </c>
      <c r="O5156" s="8">
        <v>1.0693333330000001</v>
      </c>
      <c r="P5156" s="8">
        <f>EXP(-1.363+3.366*LOG(O5156,10))</f>
        <v>0.28223780327142356</v>
      </c>
      <c r="Q5156" s="8">
        <f>(4488342*100)/4914798</f>
        <v>91.323020803703429</v>
      </c>
    </row>
    <row r="5157" spans="1:17" x14ac:dyDescent="0.2">
      <c r="A5157">
        <f>YEAR(D5157)</f>
        <v>2020</v>
      </c>
      <c r="B5157" t="s">
        <v>26</v>
      </c>
      <c r="C5157" s="2" t="s">
        <v>50</v>
      </c>
      <c r="D5157" s="1">
        <v>43993</v>
      </c>
      <c r="E5157">
        <f>MONTH(D5157)</f>
        <v>6</v>
      </c>
      <c r="F5157" s="2" t="s">
        <v>19</v>
      </c>
      <c r="G5157" t="s">
        <v>352</v>
      </c>
      <c r="H5157" t="s">
        <v>975</v>
      </c>
      <c r="I5157" t="s">
        <v>22</v>
      </c>
      <c r="J5157" s="2" t="s">
        <v>42</v>
      </c>
      <c r="K5157" s="2" t="s">
        <v>3019</v>
      </c>
      <c r="L5157" t="s">
        <v>25</v>
      </c>
      <c r="M5157" s="8">
        <v>1.0693333330000001</v>
      </c>
      <c r="N5157" t="s">
        <v>26</v>
      </c>
      <c r="O5157" s="8">
        <v>1.0693333330000001</v>
      </c>
      <c r="P5157" s="8">
        <f>EXP(-1.363+3.366*LOG(O5157,10))</f>
        <v>0.28223780327142356</v>
      </c>
      <c r="Q5157" s="8">
        <f>(4488342*100)/4914798</f>
        <v>91.323020803703429</v>
      </c>
    </row>
    <row r="5158" spans="1:17" x14ac:dyDescent="0.2">
      <c r="A5158">
        <f>YEAR(D5158)</f>
        <v>2020</v>
      </c>
      <c r="B5158" t="s">
        <v>26</v>
      </c>
      <c r="C5158" s="2" t="s">
        <v>50</v>
      </c>
      <c r="D5158" s="1">
        <v>43993</v>
      </c>
      <c r="E5158">
        <f>MONTH(D5158)</f>
        <v>6</v>
      </c>
      <c r="F5158" s="2" t="s">
        <v>19</v>
      </c>
      <c r="G5158" t="s">
        <v>352</v>
      </c>
      <c r="H5158" t="s">
        <v>975</v>
      </c>
      <c r="I5158" t="s">
        <v>22</v>
      </c>
      <c r="J5158" s="2" t="s">
        <v>42</v>
      </c>
      <c r="K5158" s="2" t="s">
        <v>3019</v>
      </c>
      <c r="L5158" t="s">
        <v>25</v>
      </c>
      <c r="M5158" s="8">
        <v>1.0693333330000001</v>
      </c>
      <c r="N5158" t="s">
        <v>26</v>
      </c>
      <c r="O5158" s="8">
        <v>1.0693333330000001</v>
      </c>
      <c r="P5158" s="8">
        <f>EXP(-1.363+3.366*LOG(O5158,10))</f>
        <v>0.28223780327142356</v>
      </c>
      <c r="Q5158" s="8">
        <f>(4488342*100)/4914798</f>
        <v>91.323020803703429</v>
      </c>
    </row>
    <row r="5159" spans="1:17" x14ac:dyDescent="0.2">
      <c r="A5159">
        <f>YEAR(D5159)</f>
        <v>2020</v>
      </c>
      <c r="B5159" t="s">
        <v>26</v>
      </c>
      <c r="C5159" s="2" t="s">
        <v>50</v>
      </c>
      <c r="D5159" s="1">
        <v>43993</v>
      </c>
      <c r="E5159">
        <f>MONTH(D5159)</f>
        <v>6</v>
      </c>
      <c r="F5159" s="2" t="s">
        <v>19</v>
      </c>
      <c r="G5159" t="s">
        <v>352</v>
      </c>
      <c r="H5159" t="s">
        <v>975</v>
      </c>
      <c r="I5159" t="s">
        <v>22</v>
      </c>
      <c r="J5159" s="2" t="s">
        <v>42</v>
      </c>
      <c r="K5159" s="2" t="s">
        <v>3019</v>
      </c>
      <c r="L5159" t="s">
        <v>25</v>
      </c>
      <c r="M5159" s="8">
        <v>1.0693333330000001</v>
      </c>
      <c r="N5159" t="s">
        <v>26</v>
      </c>
      <c r="O5159" s="8">
        <v>1.0693333330000001</v>
      </c>
      <c r="P5159" s="8">
        <f>EXP(-1.363+3.366*LOG(O5159,10))</f>
        <v>0.28223780327142356</v>
      </c>
      <c r="Q5159" s="8">
        <f>(4488342*100)/4914798</f>
        <v>91.323020803703429</v>
      </c>
    </row>
    <row r="5160" spans="1:17" x14ac:dyDescent="0.2">
      <c r="A5160">
        <f>YEAR(D5160)</f>
        <v>2020</v>
      </c>
      <c r="B5160" t="s">
        <v>26</v>
      </c>
      <c r="C5160" s="2" t="s">
        <v>50</v>
      </c>
      <c r="D5160" s="1">
        <v>43993</v>
      </c>
      <c r="E5160">
        <f>MONTH(D5160)</f>
        <v>6</v>
      </c>
      <c r="F5160" s="2" t="s">
        <v>19</v>
      </c>
      <c r="G5160" t="s">
        <v>20</v>
      </c>
      <c r="H5160" t="s">
        <v>149</v>
      </c>
      <c r="I5160" t="s">
        <v>22</v>
      </c>
      <c r="J5160" s="2" t="s">
        <v>42</v>
      </c>
      <c r="K5160" s="2" t="s">
        <v>3019</v>
      </c>
      <c r="L5160" t="s">
        <v>25</v>
      </c>
      <c r="M5160" s="8">
        <v>1.45</v>
      </c>
      <c r="N5160" t="s">
        <v>26</v>
      </c>
      <c r="O5160" s="8">
        <v>1.45</v>
      </c>
      <c r="P5160" s="8">
        <f>EXP(-1.363+3.366*LOG(O5160,10))</f>
        <v>0.44050419760124854</v>
      </c>
      <c r="Q5160" s="8">
        <f>(4488342*100)/4914798</f>
        <v>91.323020803703429</v>
      </c>
    </row>
    <row r="5161" spans="1:17" x14ac:dyDescent="0.2">
      <c r="A5161">
        <f>YEAR(D5161)</f>
        <v>2020</v>
      </c>
      <c r="B5161" t="s">
        <v>26</v>
      </c>
      <c r="C5161" s="2" t="s">
        <v>50</v>
      </c>
      <c r="D5161" s="1">
        <v>43993</v>
      </c>
      <c r="E5161">
        <f>MONTH(D5161)</f>
        <v>6</v>
      </c>
      <c r="F5161" s="2" t="s">
        <v>19</v>
      </c>
      <c r="G5161" t="s">
        <v>352</v>
      </c>
      <c r="H5161" t="s">
        <v>623</v>
      </c>
      <c r="I5161" t="s">
        <v>22</v>
      </c>
      <c r="J5161" s="2" t="s">
        <v>42</v>
      </c>
      <c r="K5161" s="2" t="s">
        <v>3019</v>
      </c>
      <c r="L5161" t="s">
        <v>25</v>
      </c>
      <c r="M5161" s="8">
        <v>1.387</v>
      </c>
      <c r="N5161" t="s">
        <v>26</v>
      </c>
      <c r="O5161" s="8">
        <v>1.387</v>
      </c>
      <c r="P5161" s="8">
        <f>EXP(-1.363+3.366*LOG(O5161,10))</f>
        <v>0.41280884754947733</v>
      </c>
      <c r="Q5161" s="8">
        <f>(4488342*100)/4914798</f>
        <v>91.323020803703429</v>
      </c>
    </row>
    <row r="5162" spans="1:17" x14ac:dyDescent="0.2">
      <c r="A5162">
        <f>YEAR(D5162)</f>
        <v>2020</v>
      </c>
      <c r="B5162" t="s">
        <v>26</v>
      </c>
      <c r="C5162" s="2" t="s">
        <v>50</v>
      </c>
      <c r="D5162" s="1">
        <v>43993</v>
      </c>
      <c r="E5162">
        <f>MONTH(D5162)</f>
        <v>6</v>
      </c>
      <c r="F5162" s="2" t="s">
        <v>19</v>
      </c>
      <c r="G5162" t="s">
        <v>1472</v>
      </c>
      <c r="H5162" t="s">
        <v>1473</v>
      </c>
      <c r="I5162" t="s">
        <v>36</v>
      </c>
      <c r="J5162" s="2" t="s">
        <v>42</v>
      </c>
      <c r="K5162" s="2" t="s">
        <v>3019</v>
      </c>
      <c r="L5162" t="s">
        <v>187</v>
      </c>
      <c r="M5162" s="8">
        <v>0.91300000000000003</v>
      </c>
      <c r="N5162" t="s">
        <v>26</v>
      </c>
      <c r="O5162" s="8">
        <v>0.91300000000000003</v>
      </c>
      <c r="P5162" s="8">
        <f>EXP(-1.363+3.366*LOG(O5162,10))</f>
        <v>0.22401206592984921</v>
      </c>
      <c r="Q5162" s="8">
        <f>(4488342*100)/4914798</f>
        <v>91.323020803703429</v>
      </c>
    </row>
    <row r="5163" spans="1:17" x14ac:dyDescent="0.2">
      <c r="A5163">
        <f>YEAR(D5163)</f>
        <v>2020</v>
      </c>
      <c r="B5163" t="s">
        <v>26</v>
      </c>
      <c r="C5163" s="2" t="s">
        <v>50</v>
      </c>
      <c r="D5163" s="1">
        <v>43993</v>
      </c>
      <c r="E5163">
        <f>MONTH(D5163)</f>
        <v>6</v>
      </c>
      <c r="F5163" s="2" t="s">
        <v>19</v>
      </c>
      <c r="G5163" t="s">
        <v>352</v>
      </c>
      <c r="H5163" t="s">
        <v>975</v>
      </c>
      <c r="I5163" t="s">
        <v>22</v>
      </c>
      <c r="J5163" s="2" t="s">
        <v>42</v>
      </c>
      <c r="K5163" s="2" t="s">
        <v>3019</v>
      </c>
      <c r="L5163" t="s">
        <v>25</v>
      </c>
      <c r="M5163" s="8">
        <v>1.0693333330000001</v>
      </c>
      <c r="N5163" t="s">
        <v>26</v>
      </c>
      <c r="O5163" s="8">
        <v>1.0693333330000001</v>
      </c>
      <c r="P5163" s="8">
        <f>EXP(-1.363+3.366*LOG(O5163,10))</f>
        <v>0.28223780327142356</v>
      </c>
      <c r="Q5163" s="8">
        <f>(4488342*100)/4914798</f>
        <v>91.323020803703429</v>
      </c>
    </row>
    <row r="5164" spans="1:17" x14ac:dyDescent="0.2">
      <c r="A5164">
        <f>YEAR(D5164)</f>
        <v>2020</v>
      </c>
      <c r="B5164" t="s">
        <v>26</v>
      </c>
      <c r="C5164" s="2" t="s">
        <v>50</v>
      </c>
      <c r="D5164" s="1">
        <v>43993</v>
      </c>
      <c r="E5164">
        <f>MONTH(D5164)</f>
        <v>6</v>
      </c>
      <c r="F5164" s="2" t="s">
        <v>19</v>
      </c>
      <c r="G5164" t="s">
        <v>352</v>
      </c>
      <c r="H5164" t="s">
        <v>975</v>
      </c>
      <c r="I5164" t="s">
        <v>22</v>
      </c>
      <c r="J5164" s="2" t="s">
        <v>42</v>
      </c>
      <c r="K5164" s="2" t="s">
        <v>3019</v>
      </c>
      <c r="L5164" t="s">
        <v>25</v>
      </c>
      <c r="M5164" s="8">
        <v>1.0693333330000001</v>
      </c>
      <c r="N5164" t="s">
        <v>26</v>
      </c>
      <c r="O5164" s="8">
        <v>1.0693333330000001</v>
      </c>
      <c r="P5164" s="8">
        <f>EXP(-1.363+3.366*LOG(O5164,10))</f>
        <v>0.28223780327142356</v>
      </c>
      <c r="Q5164" s="8">
        <f>(4488342*100)/4914798</f>
        <v>91.323020803703429</v>
      </c>
    </row>
    <row r="5165" spans="1:17" x14ac:dyDescent="0.2">
      <c r="A5165">
        <f>YEAR(D5165)</f>
        <v>2020</v>
      </c>
      <c r="B5165" t="s">
        <v>26</v>
      </c>
      <c r="C5165" s="2" t="s">
        <v>50</v>
      </c>
      <c r="D5165" s="1">
        <v>43993</v>
      </c>
      <c r="E5165">
        <f>MONTH(D5165)</f>
        <v>6</v>
      </c>
      <c r="F5165" s="2" t="s">
        <v>19</v>
      </c>
      <c r="G5165" t="s">
        <v>352</v>
      </c>
      <c r="H5165" t="s">
        <v>975</v>
      </c>
      <c r="I5165" t="s">
        <v>22</v>
      </c>
      <c r="J5165" s="2" t="s">
        <v>42</v>
      </c>
      <c r="K5165" s="2" t="s">
        <v>3019</v>
      </c>
      <c r="L5165" t="s">
        <v>25</v>
      </c>
      <c r="M5165" s="8">
        <v>1.0693333330000001</v>
      </c>
      <c r="N5165" t="s">
        <v>26</v>
      </c>
      <c r="O5165" s="8">
        <v>1.0693333330000001</v>
      </c>
      <c r="P5165" s="8">
        <f>EXP(-1.363+3.366*LOG(O5165,10))</f>
        <v>0.28223780327142356</v>
      </c>
      <c r="Q5165" s="8">
        <f>(4488342*100)/4914798</f>
        <v>91.323020803703429</v>
      </c>
    </row>
    <row r="5166" spans="1:17" x14ac:dyDescent="0.2">
      <c r="A5166">
        <f>YEAR(D5166)</f>
        <v>2020</v>
      </c>
      <c r="B5166" t="s">
        <v>26</v>
      </c>
      <c r="C5166" s="2" t="s">
        <v>50</v>
      </c>
      <c r="D5166" s="1">
        <v>43993</v>
      </c>
      <c r="E5166">
        <f>MONTH(D5166)</f>
        <v>6</v>
      </c>
      <c r="F5166" s="2" t="s">
        <v>19</v>
      </c>
      <c r="G5166" t="s">
        <v>352</v>
      </c>
      <c r="H5166" t="s">
        <v>975</v>
      </c>
      <c r="I5166" t="s">
        <v>22</v>
      </c>
      <c r="J5166" s="2" t="s">
        <v>42</v>
      </c>
      <c r="K5166" s="2" t="s">
        <v>3019</v>
      </c>
      <c r="L5166" t="s">
        <v>25</v>
      </c>
      <c r="M5166" s="8">
        <v>1.0693333330000001</v>
      </c>
      <c r="N5166" t="s">
        <v>26</v>
      </c>
      <c r="O5166" s="8">
        <v>1.0693333330000001</v>
      </c>
      <c r="P5166" s="8">
        <f>EXP(-1.363+3.366*LOG(O5166,10))</f>
        <v>0.28223780327142356</v>
      </c>
      <c r="Q5166" s="8">
        <f>(4488342*100)/4914798</f>
        <v>91.323020803703429</v>
      </c>
    </row>
    <row r="5167" spans="1:17" x14ac:dyDescent="0.2">
      <c r="A5167">
        <f>YEAR(D5167)</f>
        <v>2020</v>
      </c>
      <c r="B5167" t="s">
        <v>26</v>
      </c>
      <c r="C5167" s="2" t="s">
        <v>50</v>
      </c>
      <c r="D5167" s="1">
        <v>43993</v>
      </c>
      <c r="E5167">
        <f>MONTH(D5167)</f>
        <v>6</v>
      </c>
      <c r="F5167" s="2" t="s">
        <v>19</v>
      </c>
      <c r="G5167" t="s">
        <v>352</v>
      </c>
      <c r="H5167" t="s">
        <v>975</v>
      </c>
      <c r="I5167" t="s">
        <v>22</v>
      </c>
      <c r="J5167" s="2" t="s">
        <v>42</v>
      </c>
      <c r="K5167" s="2" t="s">
        <v>3019</v>
      </c>
      <c r="L5167" t="s">
        <v>25</v>
      </c>
      <c r="M5167" s="8">
        <v>1.0693333330000001</v>
      </c>
      <c r="N5167" t="s">
        <v>26</v>
      </c>
      <c r="O5167" s="8">
        <v>1.0693333330000001</v>
      </c>
      <c r="P5167" s="8">
        <f>EXP(-1.363+3.366*LOG(O5167,10))</f>
        <v>0.28223780327142356</v>
      </c>
      <c r="Q5167" s="8">
        <f>(4488342*100)/4914798</f>
        <v>91.323020803703429</v>
      </c>
    </row>
    <row r="5168" spans="1:17" x14ac:dyDescent="0.2">
      <c r="A5168">
        <f>YEAR(D5168)</f>
        <v>2020</v>
      </c>
      <c r="B5168" t="s">
        <v>26</v>
      </c>
      <c r="C5168" s="2" t="s">
        <v>50</v>
      </c>
      <c r="D5168" s="1">
        <v>43993</v>
      </c>
      <c r="E5168">
        <f>MONTH(D5168)</f>
        <v>6</v>
      </c>
      <c r="F5168" s="2" t="s">
        <v>19</v>
      </c>
      <c r="G5168" t="s">
        <v>352</v>
      </c>
      <c r="H5168" t="s">
        <v>1344</v>
      </c>
      <c r="I5168" t="s">
        <v>22</v>
      </c>
      <c r="J5168" s="2" t="s">
        <v>42</v>
      </c>
      <c r="K5168" s="2" t="s">
        <v>3019</v>
      </c>
      <c r="L5168" t="s">
        <v>25</v>
      </c>
      <c r="M5168" s="8">
        <v>0.91800000000000004</v>
      </c>
      <c r="N5168" t="s">
        <v>26</v>
      </c>
      <c r="O5168" s="8">
        <v>0.91800000000000004</v>
      </c>
      <c r="P5168" s="8">
        <f>EXP(-1.363+3.366*LOG(O5168,10))</f>
        <v>0.22580769814771504</v>
      </c>
      <c r="Q5168" s="8">
        <f>(4488342*100)/4914798</f>
        <v>91.323020803703429</v>
      </c>
    </row>
    <row r="5169" spans="1:17" x14ac:dyDescent="0.2">
      <c r="A5169">
        <f>YEAR(D5169)</f>
        <v>2020</v>
      </c>
      <c r="B5169" t="s">
        <v>26</v>
      </c>
      <c r="C5169" s="2" t="s">
        <v>50</v>
      </c>
      <c r="D5169" s="1">
        <v>43993</v>
      </c>
      <c r="E5169">
        <f>MONTH(D5169)</f>
        <v>6</v>
      </c>
      <c r="F5169" s="2" t="s">
        <v>19</v>
      </c>
      <c r="G5169" t="s">
        <v>352</v>
      </c>
      <c r="H5169" t="s">
        <v>975</v>
      </c>
      <c r="I5169" t="s">
        <v>22</v>
      </c>
      <c r="J5169" s="2" t="s">
        <v>42</v>
      </c>
      <c r="K5169" s="2" t="s">
        <v>3019</v>
      </c>
      <c r="L5169" t="s">
        <v>25</v>
      </c>
      <c r="M5169" s="8">
        <v>1.0693333330000001</v>
      </c>
      <c r="N5169" t="s">
        <v>26</v>
      </c>
      <c r="O5169" s="8">
        <v>1.0693333330000001</v>
      </c>
      <c r="P5169" s="8">
        <f>EXP(-1.363+3.366*LOG(O5169,10))</f>
        <v>0.28223780327142356</v>
      </c>
      <c r="Q5169" s="8">
        <f>(4488342*100)/4914798</f>
        <v>91.323020803703429</v>
      </c>
    </row>
    <row r="5170" spans="1:17" x14ac:dyDescent="0.2">
      <c r="A5170">
        <f>YEAR(D5170)</f>
        <v>2020</v>
      </c>
      <c r="B5170" t="s">
        <v>26</v>
      </c>
      <c r="C5170" s="2" t="s">
        <v>50</v>
      </c>
      <c r="D5170" s="1">
        <v>43993</v>
      </c>
      <c r="E5170">
        <f>MONTH(D5170)</f>
        <v>6</v>
      </c>
      <c r="F5170" s="2" t="s">
        <v>19</v>
      </c>
      <c r="G5170" t="s">
        <v>352</v>
      </c>
      <c r="H5170" t="s">
        <v>975</v>
      </c>
      <c r="I5170" t="s">
        <v>22</v>
      </c>
      <c r="J5170" s="2" t="s">
        <v>42</v>
      </c>
      <c r="K5170" s="2" t="s">
        <v>3019</v>
      </c>
      <c r="L5170" t="s">
        <v>25</v>
      </c>
      <c r="M5170" s="8">
        <v>1.0693333330000001</v>
      </c>
      <c r="N5170" t="s">
        <v>26</v>
      </c>
      <c r="O5170" s="8">
        <v>1.0693333330000001</v>
      </c>
      <c r="P5170" s="8">
        <f>EXP(-1.363+3.366*LOG(O5170,10))</f>
        <v>0.28223780327142356</v>
      </c>
      <c r="Q5170" s="8">
        <f>(4488342*100)/4914798</f>
        <v>91.323020803703429</v>
      </c>
    </row>
    <row r="5171" spans="1:17" x14ac:dyDescent="0.2">
      <c r="A5171">
        <f>YEAR(D5171)</f>
        <v>2020</v>
      </c>
      <c r="B5171" t="s">
        <v>26</v>
      </c>
      <c r="C5171" s="2" t="s">
        <v>50</v>
      </c>
      <c r="D5171" s="1">
        <v>43993</v>
      </c>
      <c r="E5171">
        <f>MONTH(D5171)</f>
        <v>6</v>
      </c>
      <c r="F5171" s="2" t="s">
        <v>19</v>
      </c>
      <c r="G5171" t="s">
        <v>352</v>
      </c>
      <c r="H5171" t="s">
        <v>623</v>
      </c>
      <c r="I5171" t="s">
        <v>22</v>
      </c>
      <c r="J5171" s="2" t="s">
        <v>42</v>
      </c>
      <c r="K5171" s="2" t="s">
        <v>3019</v>
      </c>
      <c r="L5171" t="s">
        <v>25</v>
      </c>
      <c r="M5171" s="8">
        <v>1.387</v>
      </c>
      <c r="N5171" t="s">
        <v>26</v>
      </c>
      <c r="O5171" s="8">
        <v>1.387</v>
      </c>
      <c r="P5171" s="8">
        <f>EXP(-1.363+3.366*LOG(O5171,10))</f>
        <v>0.41280884754947733</v>
      </c>
      <c r="Q5171" s="8">
        <f>(4488342*100)/4914798</f>
        <v>91.323020803703429</v>
      </c>
    </row>
    <row r="5172" spans="1:17" x14ac:dyDescent="0.2">
      <c r="A5172">
        <f>YEAR(D5172)</f>
        <v>2020</v>
      </c>
      <c r="B5172" t="s">
        <v>26</v>
      </c>
      <c r="C5172" s="2" t="s">
        <v>50</v>
      </c>
      <c r="D5172" s="1">
        <v>43993</v>
      </c>
      <c r="E5172">
        <f>MONTH(D5172)</f>
        <v>6</v>
      </c>
      <c r="F5172" s="2" t="s">
        <v>19</v>
      </c>
      <c r="G5172" t="s">
        <v>352</v>
      </c>
      <c r="H5172" t="s">
        <v>623</v>
      </c>
      <c r="I5172" t="s">
        <v>22</v>
      </c>
      <c r="J5172" s="2" t="s">
        <v>42</v>
      </c>
      <c r="K5172" s="2" t="s">
        <v>3019</v>
      </c>
      <c r="L5172" t="s">
        <v>25</v>
      </c>
      <c r="M5172" s="8">
        <v>1.387</v>
      </c>
      <c r="N5172" t="s">
        <v>26</v>
      </c>
      <c r="O5172" s="8">
        <v>1.387</v>
      </c>
      <c r="P5172" s="8">
        <f>EXP(-1.363+3.366*LOG(O5172,10))</f>
        <v>0.41280884754947733</v>
      </c>
      <c r="Q5172" s="8">
        <f>(4488342*100)/4914798</f>
        <v>91.323020803703429</v>
      </c>
    </row>
    <row r="5173" spans="1:17" x14ac:dyDescent="0.2">
      <c r="A5173">
        <f>YEAR(D5173)</f>
        <v>2020</v>
      </c>
      <c r="B5173" t="s">
        <v>26</v>
      </c>
      <c r="C5173" s="2" t="s">
        <v>50</v>
      </c>
      <c r="D5173" s="1">
        <v>43993</v>
      </c>
      <c r="E5173">
        <f>MONTH(D5173)</f>
        <v>6</v>
      </c>
      <c r="F5173" s="2" t="s">
        <v>19</v>
      </c>
      <c r="G5173" t="s">
        <v>209</v>
      </c>
      <c r="H5173" t="s">
        <v>212</v>
      </c>
      <c r="I5173" t="s">
        <v>22</v>
      </c>
      <c r="J5173" s="2" t="s">
        <v>42</v>
      </c>
      <c r="K5173" s="2" t="s">
        <v>3019</v>
      </c>
      <c r="L5173" t="s">
        <v>187</v>
      </c>
      <c r="M5173" s="8">
        <v>1.6839999999999999</v>
      </c>
      <c r="N5173" t="s">
        <v>26</v>
      </c>
      <c r="O5173" s="8">
        <v>1.6839999999999999</v>
      </c>
      <c r="P5173" s="8">
        <f>EXP(-1.363+3.366*LOG(O5173,10))</f>
        <v>0.54819043975287984</v>
      </c>
      <c r="Q5173" s="8">
        <f>(4488342*100)/4914798</f>
        <v>91.323020803703429</v>
      </c>
    </row>
    <row r="5174" spans="1:17" x14ac:dyDescent="0.2">
      <c r="A5174">
        <f>YEAR(D5174)</f>
        <v>2020</v>
      </c>
      <c r="B5174" t="s">
        <v>26</v>
      </c>
      <c r="C5174" s="2" t="s">
        <v>50</v>
      </c>
      <c r="D5174" s="1">
        <v>43993</v>
      </c>
      <c r="E5174">
        <f>MONTH(D5174)</f>
        <v>6</v>
      </c>
      <c r="F5174" s="2" t="s">
        <v>19</v>
      </c>
      <c r="G5174" t="s">
        <v>352</v>
      </c>
      <c r="H5174" t="s">
        <v>975</v>
      </c>
      <c r="I5174" t="s">
        <v>22</v>
      </c>
      <c r="J5174" s="2" t="s">
        <v>42</v>
      </c>
      <c r="K5174" s="2" t="s">
        <v>3019</v>
      </c>
      <c r="L5174" t="s">
        <v>25</v>
      </c>
      <c r="M5174" s="8">
        <v>1.0693333330000001</v>
      </c>
      <c r="N5174" t="s">
        <v>26</v>
      </c>
      <c r="O5174" s="8">
        <v>1.0693333330000001</v>
      </c>
      <c r="P5174" s="8">
        <f>EXP(-1.363+3.366*LOG(O5174,10))</f>
        <v>0.28223780327142356</v>
      </c>
      <c r="Q5174" s="8">
        <f>(4488342*100)/4914798</f>
        <v>91.323020803703429</v>
      </c>
    </row>
    <row r="5175" spans="1:17" x14ac:dyDescent="0.2">
      <c r="A5175">
        <f>YEAR(D5175)</f>
        <v>2020</v>
      </c>
      <c r="B5175" t="s">
        <v>26</v>
      </c>
      <c r="C5175" s="2" t="s">
        <v>3026</v>
      </c>
      <c r="D5175" s="1">
        <v>44013</v>
      </c>
      <c r="E5175">
        <f>MONTH(D5175)</f>
        <v>7</v>
      </c>
      <c r="F5175" s="2" t="s">
        <v>2098</v>
      </c>
      <c r="G5175" t="s">
        <v>230</v>
      </c>
      <c r="H5175" t="s">
        <v>268</v>
      </c>
      <c r="I5175" t="s">
        <v>22</v>
      </c>
      <c r="J5175" s="2" t="s">
        <v>42</v>
      </c>
      <c r="K5175" s="2" t="s">
        <v>3019</v>
      </c>
      <c r="L5175" t="s">
        <v>25</v>
      </c>
      <c r="M5175" s="8">
        <v>3.5356666670000001</v>
      </c>
      <c r="N5175" t="s">
        <v>26</v>
      </c>
      <c r="O5175" s="8">
        <v>3.5356666670000001</v>
      </c>
      <c r="P5175" s="8">
        <f>EXP(-1.363+3.366*LOG(O5175,10))</f>
        <v>1.6211802664427075</v>
      </c>
      <c r="Q5175" s="8">
        <f>(2317420*100)/2442061</f>
        <v>94.896073439606951</v>
      </c>
    </row>
    <row r="5176" spans="1:17" x14ac:dyDescent="0.2">
      <c r="A5176">
        <f>YEAR(D5176)</f>
        <v>2020</v>
      </c>
      <c r="B5176" t="s">
        <v>26</v>
      </c>
      <c r="C5176" s="2" t="s">
        <v>3026</v>
      </c>
      <c r="D5176" s="1">
        <v>44013</v>
      </c>
      <c r="E5176">
        <f>MONTH(D5176)</f>
        <v>7</v>
      </c>
      <c r="F5176" s="2" t="s">
        <v>2098</v>
      </c>
      <c r="G5176" t="s">
        <v>219</v>
      </c>
      <c r="H5176" t="s">
        <v>220</v>
      </c>
      <c r="I5176" t="s">
        <v>22</v>
      </c>
      <c r="J5176" s="2" t="s">
        <v>42</v>
      </c>
      <c r="K5176" s="2" t="s">
        <v>3019</v>
      </c>
      <c r="L5176" t="s">
        <v>25</v>
      </c>
      <c r="M5176" s="10" t="s">
        <v>26</v>
      </c>
      <c r="N5176" t="s">
        <v>26</v>
      </c>
      <c r="O5176" s="10" t="s">
        <v>26</v>
      </c>
      <c r="P5176" s="8" t="s">
        <v>26</v>
      </c>
      <c r="Q5176" s="8">
        <f>(2317420*100)/2442061</f>
        <v>94.896073439606951</v>
      </c>
    </row>
    <row r="5177" spans="1:17" x14ac:dyDescent="0.2">
      <c r="A5177">
        <f>YEAR(D5177)</f>
        <v>2020</v>
      </c>
      <c r="B5177" t="s">
        <v>26</v>
      </c>
      <c r="C5177" s="2" t="s">
        <v>3026</v>
      </c>
      <c r="D5177" s="1">
        <v>44013</v>
      </c>
      <c r="E5177">
        <f>MONTH(D5177)</f>
        <v>7</v>
      </c>
      <c r="F5177" s="2" t="s">
        <v>2098</v>
      </c>
      <c r="G5177" t="s">
        <v>219</v>
      </c>
      <c r="H5177" t="s">
        <v>220</v>
      </c>
      <c r="I5177" t="s">
        <v>22</v>
      </c>
      <c r="J5177" s="2" t="s">
        <v>42</v>
      </c>
      <c r="K5177" s="2" t="s">
        <v>3019</v>
      </c>
      <c r="L5177" t="s">
        <v>25</v>
      </c>
      <c r="M5177" s="10" t="s">
        <v>26</v>
      </c>
      <c r="N5177" t="s">
        <v>26</v>
      </c>
      <c r="O5177" s="10" t="s">
        <v>26</v>
      </c>
      <c r="P5177" s="8" t="s">
        <v>26</v>
      </c>
      <c r="Q5177" s="8">
        <f>(2317420*100)/2442061</f>
        <v>94.896073439606951</v>
      </c>
    </row>
    <row r="5178" spans="1:17" x14ac:dyDescent="0.2">
      <c r="A5178">
        <f>YEAR(D5178)</f>
        <v>2020</v>
      </c>
      <c r="B5178" t="s">
        <v>26</v>
      </c>
      <c r="C5178" s="2" t="s">
        <v>3026</v>
      </c>
      <c r="D5178" s="1">
        <v>44013</v>
      </c>
      <c r="E5178">
        <f>MONTH(D5178)</f>
        <v>7</v>
      </c>
      <c r="F5178" s="2" t="s">
        <v>2098</v>
      </c>
      <c r="G5178" t="s">
        <v>230</v>
      </c>
      <c r="H5178" t="s">
        <v>268</v>
      </c>
      <c r="I5178" t="s">
        <v>22</v>
      </c>
      <c r="J5178" s="2" t="s">
        <v>42</v>
      </c>
      <c r="K5178" s="2" t="s">
        <v>3019</v>
      </c>
      <c r="L5178" t="s">
        <v>25</v>
      </c>
      <c r="M5178" s="8">
        <v>3.5356666670000001</v>
      </c>
      <c r="N5178" t="s">
        <v>26</v>
      </c>
      <c r="O5178" s="8">
        <v>3.5356666670000001</v>
      </c>
      <c r="P5178" s="8">
        <f>EXP(-1.363+3.366*LOG(O5178,10))</f>
        <v>1.6211802664427075</v>
      </c>
      <c r="Q5178" s="8">
        <f>(2317420*100)/2442061</f>
        <v>94.896073439606951</v>
      </c>
    </row>
    <row r="5179" spans="1:17" x14ac:dyDescent="0.2">
      <c r="A5179">
        <f>YEAR(D5179)</f>
        <v>2020</v>
      </c>
      <c r="B5179" t="s">
        <v>26</v>
      </c>
      <c r="C5179" s="2" t="s">
        <v>3026</v>
      </c>
      <c r="D5179" s="1">
        <v>44013</v>
      </c>
      <c r="E5179">
        <f>MONTH(D5179)</f>
        <v>7</v>
      </c>
      <c r="F5179" s="2" t="s">
        <v>2098</v>
      </c>
      <c r="G5179" t="s">
        <v>230</v>
      </c>
      <c r="H5179" t="s">
        <v>268</v>
      </c>
      <c r="I5179" t="s">
        <v>22</v>
      </c>
      <c r="J5179" s="2" t="s">
        <v>42</v>
      </c>
      <c r="K5179" s="2" t="s">
        <v>3019</v>
      </c>
      <c r="L5179" t="s">
        <v>25</v>
      </c>
      <c r="M5179" s="8">
        <v>3.5356666670000001</v>
      </c>
      <c r="N5179" t="s">
        <v>26</v>
      </c>
      <c r="O5179" s="8">
        <v>3.5356666670000001</v>
      </c>
      <c r="P5179" s="8">
        <f>EXP(-1.363+3.366*LOG(O5179,10))</f>
        <v>1.6211802664427075</v>
      </c>
      <c r="Q5179" s="8">
        <f>(2317420*100)/2442061</f>
        <v>94.896073439606951</v>
      </c>
    </row>
    <row r="5180" spans="1:17" x14ac:dyDescent="0.2">
      <c r="A5180">
        <f>YEAR(D5180)</f>
        <v>2020</v>
      </c>
      <c r="B5180" t="s">
        <v>26</v>
      </c>
      <c r="C5180" s="2" t="s">
        <v>3026</v>
      </c>
      <c r="D5180" s="1">
        <v>44013</v>
      </c>
      <c r="E5180">
        <f>MONTH(D5180)</f>
        <v>7</v>
      </c>
      <c r="F5180" s="2" t="s">
        <v>2098</v>
      </c>
      <c r="G5180" t="s">
        <v>230</v>
      </c>
      <c r="H5180" t="s">
        <v>268</v>
      </c>
      <c r="I5180" t="s">
        <v>22</v>
      </c>
      <c r="J5180" s="2" t="s">
        <v>42</v>
      </c>
      <c r="K5180" s="2" t="s">
        <v>3019</v>
      </c>
      <c r="L5180" t="s">
        <v>25</v>
      </c>
      <c r="M5180" s="8">
        <v>3.5356666670000001</v>
      </c>
      <c r="N5180" t="s">
        <v>26</v>
      </c>
      <c r="O5180" s="8">
        <v>3.5356666670000001</v>
      </c>
      <c r="P5180" s="8">
        <f>EXP(-1.363+3.366*LOG(O5180,10))</f>
        <v>1.6211802664427075</v>
      </c>
      <c r="Q5180" s="8">
        <f>(2317420*100)/2442061</f>
        <v>94.896073439606951</v>
      </c>
    </row>
    <row r="5181" spans="1:17" x14ac:dyDescent="0.2">
      <c r="A5181">
        <f>YEAR(D5181)</f>
        <v>2020</v>
      </c>
      <c r="B5181" t="s">
        <v>26</v>
      </c>
      <c r="C5181" s="2" t="s">
        <v>3026</v>
      </c>
      <c r="D5181" s="1">
        <v>44013</v>
      </c>
      <c r="E5181">
        <f>MONTH(D5181)</f>
        <v>7</v>
      </c>
      <c r="F5181" s="2" t="s">
        <v>2098</v>
      </c>
      <c r="G5181" t="s">
        <v>219</v>
      </c>
      <c r="H5181" t="s">
        <v>220</v>
      </c>
      <c r="I5181" t="s">
        <v>22</v>
      </c>
      <c r="J5181" s="2" t="s">
        <v>42</v>
      </c>
      <c r="K5181" s="2" t="s">
        <v>3019</v>
      </c>
      <c r="L5181" t="s">
        <v>25</v>
      </c>
      <c r="M5181" s="10" t="s">
        <v>26</v>
      </c>
      <c r="N5181" t="s">
        <v>26</v>
      </c>
      <c r="O5181" s="10" t="s">
        <v>26</v>
      </c>
      <c r="P5181" s="8" t="s">
        <v>26</v>
      </c>
      <c r="Q5181" s="8">
        <f>(2317420*100)/2442061</f>
        <v>94.896073439606951</v>
      </c>
    </row>
    <row r="5182" spans="1:17" x14ac:dyDescent="0.2">
      <c r="A5182">
        <f>YEAR(D5182)</f>
        <v>2020</v>
      </c>
      <c r="B5182" t="s">
        <v>26</v>
      </c>
      <c r="C5182" s="2" t="s">
        <v>3026</v>
      </c>
      <c r="D5182" s="1">
        <v>44013</v>
      </c>
      <c r="E5182">
        <f>MONTH(D5182)</f>
        <v>7</v>
      </c>
      <c r="F5182" s="2" t="s">
        <v>2098</v>
      </c>
      <c r="G5182" t="s">
        <v>230</v>
      </c>
      <c r="H5182" t="s">
        <v>268</v>
      </c>
      <c r="I5182" t="s">
        <v>22</v>
      </c>
      <c r="J5182" s="2" t="s">
        <v>42</v>
      </c>
      <c r="K5182" s="2" t="s">
        <v>3019</v>
      </c>
      <c r="L5182" t="s">
        <v>25</v>
      </c>
      <c r="M5182" s="8">
        <v>3.5356666670000001</v>
      </c>
      <c r="N5182" t="s">
        <v>26</v>
      </c>
      <c r="O5182" s="8">
        <v>3.5356666670000001</v>
      </c>
      <c r="P5182" s="8">
        <f>EXP(-1.363+3.366*LOG(O5182,10))</f>
        <v>1.6211802664427075</v>
      </c>
      <c r="Q5182" s="8">
        <f>(2317420*100)/2442061</f>
        <v>94.896073439606951</v>
      </c>
    </row>
    <row r="5183" spans="1:17" x14ac:dyDescent="0.2">
      <c r="A5183">
        <f>YEAR(D5183)</f>
        <v>2020</v>
      </c>
      <c r="B5183" t="s">
        <v>26</v>
      </c>
      <c r="C5183" s="2" t="s">
        <v>3026</v>
      </c>
      <c r="D5183" s="1">
        <v>44013</v>
      </c>
      <c r="E5183">
        <f>MONTH(D5183)</f>
        <v>7</v>
      </c>
      <c r="F5183" s="2" t="s">
        <v>2098</v>
      </c>
      <c r="G5183" t="s">
        <v>230</v>
      </c>
      <c r="H5183" t="s">
        <v>268</v>
      </c>
      <c r="I5183" t="s">
        <v>22</v>
      </c>
      <c r="J5183" s="2" t="s">
        <v>42</v>
      </c>
      <c r="K5183" s="2" t="s">
        <v>3019</v>
      </c>
      <c r="L5183" t="s">
        <v>25</v>
      </c>
      <c r="M5183" s="8">
        <v>3.5356666670000001</v>
      </c>
      <c r="N5183" t="s">
        <v>26</v>
      </c>
      <c r="O5183" s="8">
        <v>3.5356666670000001</v>
      </c>
      <c r="P5183" s="8">
        <f>EXP(-1.363+3.366*LOG(O5183,10))</f>
        <v>1.6211802664427075</v>
      </c>
      <c r="Q5183" s="8">
        <f>(2317420*100)/2442061</f>
        <v>94.896073439606951</v>
      </c>
    </row>
    <row r="5184" spans="1:17" x14ac:dyDescent="0.2">
      <c r="A5184">
        <f>YEAR(D5184)</f>
        <v>2020</v>
      </c>
      <c r="B5184" t="s">
        <v>26</v>
      </c>
      <c r="C5184" s="2" t="s">
        <v>3026</v>
      </c>
      <c r="D5184" s="1">
        <v>44013</v>
      </c>
      <c r="E5184">
        <f>MONTH(D5184)</f>
        <v>7</v>
      </c>
      <c r="F5184" s="2" t="s">
        <v>2098</v>
      </c>
      <c r="G5184" t="s">
        <v>230</v>
      </c>
      <c r="H5184" t="s">
        <v>268</v>
      </c>
      <c r="I5184" t="s">
        <v>22</v>
      </c>
      <c r="J5184" s="2" t="s">
        <v>42</v>
      </c>
      <c r="K5184" s="2" t="s">
        <v>3019</v>
      </c>
      <c r="L5184" t="s">
        <v>25</v>
      </c>
      <c r="M5184" s="8">
        <v>3.5356666670000001</v>
      </c>
      <c r="N5184" t="s">
        <v>26</v>
      </c>
      <c r="O5184" s="8">
        <v>3.5356666670000001</v>
      </c>
      <c r="P5184" s="8">
        <f>EXP(-1.363+3.366*LOG(O5184,10))</f>
        <v>1.6211802664427075</v>
      </c>
      <c r="Q5184" s="8">
        <f>(2317420*100)/2442061</f>
        <v>94.896073439606951</v>
      </c>
    </row>
    <row r="5185" spans="1:17" x14ac:dyDescent="0.2">
      <c r="A5185">
        <f>YEAR(D5185)</f>
        <v>2020</v>
      </c>
      <c r="B5185" t="s">
        <v>26</v>
      </c>
      <c r="C5185" s="2" t="s">
        <v>3026</v>
      </c>
      <c r="D5185" s="1">
        <v>44013</v>
      </c>
      <c r="E5185">
        <f>MONTH(D5185)</f>
        <v>7</v>
      </c>
      <c r="F5185" s="2" t="s">
        <v>2098</v>
      </c>
      <c r="G5185" t="s">
        <v>230</v>
      </c>
      <c r="H5185" t="s">
        <v>268</v>
      </c>
      <c r="I5185" t="s">
        <v>22</v>
      </c>
      <c r="J5185" s="2" t="s">
        <v>42</v>
      </c>
      <c r="K5185" s="2" t="s">
        <v>3019</v>
      </c>
      <c r="L5185" t="s">
        <v>25</v>
      </c>
      <c r="M5185" s="8">
        <v>3.5356666670000001</v>
      </c>
      <c r="N5185" t="s">
        <v>26</v>
      </c>
      <c r="O5185" s="8">
        <v>3.5356666670000001</v>
      </c>
      <c r="P5185" s="8">
        <f>EXP(-1.363+3.366*LOG(O5185,10))</f>
        <v>1.6211802664427075</v>
      </c>
      <c r="Q5185" s="8">
        <f>(2317420*100)/2442061</f>
        <v>94.896073439606951</v>
      </c>
    </row>
    <row r="5186" spans="1:17" x14ac:dyDescent="0.2">
      <c r="A5186">
        <f>YEAR(D5186)</f>
        <v>2020</v>
      </c>
      <c r="B5186" t="s">
        <v>26</v>
      </c>
      <c r="C5186" s="2" t="s">
        <v>3026</v>
      </c>
      <c r="D5186" s="1">
        <v>44013</v>
      </c>
      <c r="E5186">
        <f>MONTH(D5186)</f>
        <v>7</v>
      </c>
      <c r="F5186" s="2" t="s">
        <v>2098</v>
      </c>
      <c r="G5186" t="s">
        <v>352</v>
      </c>
      <c r="H5186" t="s">
        <v>1585</v>
      </c>
      <c r="I5186" t="s">
        <v>36</v>
      </c>
      <c r="J5186" s="2" t="s">
        <v>42</v>
      </c>
      <c r="K5186" s="2" t="s">
        <v>3019</v>
      </c>
      <c r="L5186" t="s">
        <v>25</v>
      </c>
      <c r="M5186" s="8">
        <v>0.73566666700000005</v>
      </c>
      <c r="N5186" t="s">
        <v>26</v>
      </c>
      <c r="O5186" s="8">
        <v>0.73566666700000005</v>
      </c>
      <c r="P5186" s="8">
        <f>EXP(-1.363+3.366*LOG(O5186,10))</f>
        <v>0.16336774920850081</v>
      </c>
      <c r="Q5186" s="8">
        <f>(2317420*100)/2442061</f>
        <v>94.896073439606951</v>
      </c>
    </row>
    <row r="5187" spans="1:17" x14ac:dyDescent="0.2">
      <c r="A5187">
        <f>YEAR(D5187)</f>
        <v>2020</v>
      </c>
      <c r="B5187" t="s">
        <v>26</v>
      </c>
      <c r="C5187" s="2" t="s">
        <v>3026</v>
      </c>
      <c r="D5187" s="1">
        <v>44013</v>
      </c>
      <c r="E5187">
        <f>MONTH(D5187)</f>
        <v>7</v>
      </c>
      <c r="F5187" s="2" t="s">
        <v>2098</v>
      </c>
      <c r="G5187" t="s">
        <v>352</v>
      </c>
      <c r="H5187" t="s">
        <v>353</v>
      </c>
      <c r="I5187" t="s">
        <v>22</v>
      </c>
      <c r="J5187" s="2" t="s">
        <v>42</v>
      </c>
      <c r="K5187" s="2" t="s">
        <v>3019</v>
      </c>
      <c r="L5187" t="s">
        <v>25</v>
      </c>
      <c r="M5187" s="8">
        <v>1.1623333330000001</v>
      </c>
      <c r="N5187" t="s">
        <v>26</v>
      </c>
      <c r="O5187" s="8">
        <v>1.1623333330000001</v>
      </c>
      <c r="P5187" s="8">
        <f>EXP(-1.363+3.366*LOG(O5187,10))</f>
        <v>0.31883010989102206</v>
      </c>
      <c r="Q5187" s="8">
        <f>(2317420*100)/2442061</f>
        <v>94.896073439606951</v>
      </c>
    </row>
    <row r="5188" spans="1:17" x14ac:dyDescent="0.2">
      <c r="A5188">
        <f>YEAR(D5188)</f>
        <v>2020</v>
      </c>
      <c r="B5188" t="s">
        <v>26</v>
      </c>
      <c r="C5188" s="2" t="s">
        <v>3026</v>
      </c>
      <c r="D5188" s="1">
        <v>44013</v>
      </c>
      <c r="E5188">
        <f>MONTH(D5188)</f>
        <v>7</v>
      </c>
      <c r="F5188" s="2" t="s">
        <v>2098</v>
      </c>
      <c r="G5188" t="s">
        <v>352</v>
      </c>
      <c r="H5188" t="s">
        <v>353</v>
      </c>
      <c r="I5188" t="s">
        <v>22</v>
      </c>
      <c r="J5188" s="2" t="s">
        <v>42</v>
      </c>
      <c r="K5188" s="2" t="s">
        <v>3019</v>
      </c>
      <c r="L5188" t="s">
        <v>25</v>
      </c>
      <c r="M5188" s="8">
        <v>1.1623333330000001</v>
      </c>
      <c r="N5188" t="s">
        <v>26</v>
      </c>
      <c r="O5188" s="8">
        <v>1.1623333330000001</v>
      </c>
      <c r="P5188" s="8">
        <f>EXP(-1.363+3.366*LOG(O5188,10))</f>
        <v>0.31883010989102206</v>
      </c>
      <c r="Q5188" s="8">
        <f>(2317420*100)/2442061</f>
        <v>94.896073439606951</v>
      </c>
    </row>
    <row r="5189" spans="1:17" x14ac:dyDescent="0.2">
      <c r="A5189">
        <f>YEAR(D5189)</f>
        <v>2020</v>
      </c>
      <c r="B5189" t="s">
        <v>26</v>
      </c>
      <c r="C5189" s="2" t="s">
        <v>3026</v>
      </c>
      <c r="D5189" s="1">
        <v>44013</v>
      </c>
      <c r="E5189">
        <f>MONTH(D5189)</f>
        <v>7</v>
      </c>
      <c r="F5189" s="2" t="s">
        <v>2098</v>
      </c>
      <c r="G5189" t="s">
        <v>352</v>
      </c>
      <c r="H5189" t="s">
        <v>1585</v>
      </c>
      <c r="I5189" t="s">
        <v>22</v>
      </c>
      <c r="J5189" s="2" t="s">
        <v>42</v>
      </c>
      <c r="K5189" s="2" t="s">
        <v>3019</v>
      </c>
      <c r="L5189" t="s">
        <v>25</v>
      </c>
      <c r="M5189" s="8">
        <v>0.77266666699999997</v>
      </c>
      <c r="N5189" t="s">
        <v>26</v>
      </c>
      <c r="O5189" s="8">
        <v>0.77266666699999997</v>
      </c>
      <c r="P5189" s="8">
        <f>EXP(-1.363+3.366*LOG(O5189,10))</f>
        <v>0.17551718302452865</v>
      </c>
      <c r="Q5189" s="8">
        <f>(2317420*100)/2442061</f>
        <v>94.896073439606951</v>
      </c>
    </row>
    <row r="5190" spans="1:17" x14ac:dyDescent="0.2">
      <c r="A5190">
        <f>YEAR(D5190)</f>
        <v>2020</v>
      </c>
      <c r="B5190" t="s">
        <v>26</v>
      </c>
      <c r="C5190" s="2" t="s">
        <v>3026</v>
      </c>
      <c r="D5190" s="1">
        <v>44013</v>
      </c>
      <c r="E5190">
        <f>MONTH(D5190)</f>
        <v>7</v>
      </c>
      <c r="F5190" s="2" t="s">
        <v>2098</v>
      </c>
      <c r="G5190" t="s">
        <v>230</v>
      </c>
      <c r="H5190" t="s">
        <v>268</v>
      </c>
      <c r="I5190" t="s">
        <v>22</v>
      </c>
      <c r="J5190" s="2" t="s">
        <v>42</v>
      </c>
      <c r="K5190" s="2" t="s">
        <v>3019</v>
      </c>
      <c r="L5190" t="s">
        <v>25</v>
      </c>
      <c r="M5190" s="8">
        <v>3.5356666670000001</v>
      </c>
      <c r="N5190" t="s">
        <v>26</v>
      </c>
      <c r="O5190" s="8">
        <v>3.5356666670000001</v>
      </c>
      <c r="P5190" s="8">
        <f>EXP(-1.363+3.366*LOG(O5190,10))</f>
        <v>1.6211802664427075</v>
      </c>
      <c r="Q5190" s="8">
        <f>(2317420*100)/2442061</f>
        <v>94.896073439606951</v>
      </c>
    </row>
    <row r="5191" spans="1:17" x14ac:dyDescent="0.2">
      <c r="A5191">
        <f>YEAR(D5191)</f>
        <v>2020</v>
      </c>
      <c r="B5191" t="s">
        <v>26</v>
      </c>
      <c r="C5191" s="2" t="s">
        <v>3026</v>
      </c>
      <c r="D5191" s="1">
        <v>44013</v>
      </c>
      <c r="E5191">
        <f>MONTH(D5191)</f>
        <v>7</v>
      </c>
      <c r="F5191" s="2" t="s">
        <v>2098</v>
      </c>
      <c r="G5191" t="s">
        <v>352</v>
      </c>
      <c r="H5191" t="s">
        <v>623</v>
      </c>
      <c r="I5191" t="s">
        <v>22</v>
      </c>
      <c r="J5191" s="2" t="s">
        <v>42</v>
      </c>
      <c r="K5191" s="2" t="s">
        <v>3019</v>
      </c>
      <c r="L5191" t="s">
        <v>25</v>
      </c>
      <c r="M5191" s="8">
        <v>1.387</v>
      </c>
      <c r="N5191" t="s">
        <v>26</v>
      </c>
      <c r="O5191" s="8">
        <v>1.387</v>
      </c>
      <c r="P5191" s="8">
        <f>EXP(-1.363+3.366*LOG(O5191,10))</f>
        <v>0.41280884754947733</v>
      </c>
      <c r="Q5191" s="8">
        <f>(2317420*100)/2442061</f>
        <v>94.896073439606951</v>
      </c>
    </row>
    <row r="5192" spans="1:17" x14ac:dyDescent="0.2">
      <c r="A5192">
        <f>YEAR(D5192)</f>
        <v>2020</v>
      </c>
      <c r="B5192" t="s">
        <v>26</v>
      </c>
      <c r="C5192" s="2" t="s">
        <v>3026</v>
      </c>
      <c r="D5192" s="1">
        <v>44013</v>
      </c>
      <c r="E5192">
        <f>MONTH(D5192)</f>
        <v>7</v>
      </c>
      <c r="F5192" s="2" t="s">
        <v>2098</v>
      </c>
      <c r="G5192" s="2" t="s">
        <v>230</v>
      </c>
      <c r="H5192" t="s">
        <v>3054</v>
      </c>
      <c r="I5192" t="s">
        <v>36</v>
      </c>
      <c r="J5192" s="2" t="s">
        <v>42</v>
      </c>
      <c r="K5192" s="2" t="s">
        <v>3019</v>
      </c>
      <c r="L5192" t="s">
        <v>25</v>
      </c>
      <c r="M5192" s="8">
        <v>3.3713333333333337</v>
      </c>
      <c r="N5192" t="s">
        <v>26</v>
      </c>
      <c r="O5192" s="8">
        <v>3.3713333333333337</v>
      </c>
      <c r="P5192" s="8">
        <f>EXP(-1.363+3.366*LOG(O5192,10))</f>
        <v>1.5122226223843516</v>
      </c>
      <c r="Q5192" s="8">
        <f>(2317420*100)/2442061</f>
        <v>94.896073439606951</v>
      </c>
    </row>
    <row r="5193" spans="1:17" x14ac:dyDescent="0.2">
      <c r="A5193">
        <f>YEAR(D5193)</f>
        <v>2020</v>
      </c>
      <c r="B5193" t="s">
        <v>26</v>
      </c>
      <c r="C5193" s="2" t="s">
        <v>3026</v>
      </c>
      <c r="D5193" s="1">
        <v>44013</v>
      </c>
      <c r="E5193">
        <f>MONTH(D5193)</f>
        <v>7</v>
      </c>
      <c r="F5193" s="2" t="s">
        <v>2098</v>
      </c>
      <c r="G5193" s="2" t="s">
        <v>230</v>
      </c>
      <c r="H5193" t="s">
        <v>3054</v>
      </c>
      <c r="I5193" t="s">
        <v>36</v>
      </c>
      <c r="J5193" s="2" t="s">
        <v>42</v>
      </c>
      <c r="K5193" s="2" t="s">
        <v>3019</v>
      </c>
      <c r="L5193" t="s">
        <v>25</v>
      </c>
      <c r="M5193" s="8">
        <v>3.3713333333333337</v>
      </c>
      <c r="N5193" t="s">
        <v>26</v>
      </c>
      <c r="O5193" s="8">
        <v>3.3713333333333337</v>
      </c>
      <c r="P5193" s="8">
        <f>EXP(-1.363+3.366*LOG(O5193,10))</f>
        <v>1.5122226223843516</v>
      </c>
      <c r="Q5193" s="8">
        <f>(2317420*100)/2442061</f>
        <v>94.896073439606951</v>
      </c>
    </row>
    <row r="5194" spans="1:17" x14ac:dyDescent="0.2">
      <c r="A5194">
        <f>YEAR(D5194)</f>
        <v>2020</v>
      </c>
      <c r="B5194" t="s">
        <v>26</v>
      </c>
      <c r="C5194" s="2" t="s">
        <v>3026</v>
      </c>
      <c r="D5194" s="1">
        <v>44013</v>
      </c>
      <c r="E5194">
        <f>MONTH(D5194)</f>
        <v>7</v>
      </c>
      <c r="F5194" s="2" t="s">
        <v>2098</v>
      </c>
      <c r="G5194" t="s">
        <v>230</v>
      </c>
      <c r="H5194" t="s">
        <v>259</v>
      </c>
      <c r="I5194" t="s">
        <v>36</v>
      </c>
      <c r="J5194" s="2" t="s">
        <v>42</v>
      </c>
      <c r="K5194" s="2" t="s">
        <v>3019</v>
      </c>
      <c r="L5194" t="s">
        <v>25</v>
      </c>
      <c r="M5194" s="8">
        <v>4.745333333333333</v>
      </c>
      <c r="N5194" t="s">
        <v>26</v>
      </c>
      <c r="O5194" s="8">
        <v>4.745333333333333</v>
      </c>
      <c r="P5194" s="8">
        <f>EXP(-1.363+3.366*LOG(O5194,10))</f>
        <v>2.4925687246325761</v>
      </c>
      <c r="Q5194" s="8">
        <f>(2317420*100)/2442061</f>
        <v>94.896073439606951</v>
      </c>
    </row>
    <row r="5195" spans="1:17" x14ac:dyDescent="0.2">
      <c r="A5195">
        <f>YEAR(D5195)</f>
        <v>2020</v>
      </c>
      <c r="B5195" t="s">
        <v>26</v>
      </c>
      <c r="C5195" s="2" t="s">
        <v>3026</v>
      </c>
      <c r="D5195" s="1">
        <v>44013</v>
      </c>
      <c r="E5195">
        <f>MONTH(D5195)</f>
        <v>7</v>
      </c>
      <c r="F5195" s="2" t="s">
        <v>2098</v>
      </c>
      <c r="G5195" t="s">
        <v>230</v>
      </c>
      <c r="H5195" t="s">
        <v>268</v>
      </c>
      <c r="I5195" t="s">
        <v>22</v>
      </c>
      <c r="J5195" s="2" t="s">
        <v>42</v>
      </c>
      <c r="K5195" s="2" t="s">
        <v>3019</v>
      </c>
      <c r="L5195" t="s">
        <v>25</v>
      </c>
      <c r="M5195" s="8">
        <v>3.5356666670000001</v>
      </c>
      <c r="N5195" t="s">
        <v>26</v>
      </c>
      <c r="O5195" s="8">
        <v>3.5356666670000001</v>
      </c>
      <c r="P5195" s="8">
        <f>EXP(-1.363+3.366*LOG(O5195,10))</f>
        <v>1.6211802664427075</v>
      </c>
      <c r="Q5195" s="8">
        <f>(2317420*100)/2442061</f>
        <v>94.896073439606951</v>
      </c>
    </row>
    <row r="5196" spans="1:17" x14ac:dyDescent="0.2">
      <c r="A5196">
        <f>YEAR(D5196)</f>
        <v>2020</v>
      </c>
      <c r="B5196" t="s">
        <v>26</v>
      </c>
      <c r="C5196" s="2" t="s">
        <v>3026</v>
      </c>
      <c r="D5196" s="1">
        <v>44013</v>
      </c>
      <c r="E5196">
        <f>MONTH(D5196)</f>
        <v>7</v>
      </c>
      <c r="F5196" s="2" t="s">
        <v>19</v>
      </c>
      <c r="G5196" t="s">
        <v>352</v>
      </c>
      <c r="H5196" t="s">
        <v>353</v>
      </c>
      <c r="I5196" t="s">
        <v>22</v>
      </c>
      <c r="J5196" s="2" t="s">
        <v>42</v>
      </c>
      <c r="K5196" s="2" t="s">
        <v>3019</v>
      </c>
      <c r="L5196" t="s">
        <v>25</v>
      </c>
      <c r="M5196" s="8">
        <v>1.1623333330000001</v>
      </c>
      <c r="N5196" t="s">
        <v>26</v>
      </c>
      <c r="O5196" s="8">
        <v>1.1623333330000001</v>
      </c>
      <c r="P5196" s="8">
        <f>EXP(-1.363+3.366*LOG(O5196,10))</f>
        <v>0.31883010989102206</v>
      </c>
      <c r="Q5196" s="8">
        <f>(2317420*100)/2442061</f>
        <v>94.896073439606951</v>
      </c>
    </row>
    <row r="5197" spans="1:17" x14ac:dyDescent="0.2">
      <c r="A5197">
        <f>YEAR(D5197)</f>
        <v>2020</v>
      </c>
      <c r="B5197" t="s">
        <v>26</v>
      </c>
      <c r="C5197" s="2" t="s">
        <v>3025</v>
      </c>
      <c r="D5197" s="1">
        <v>44014</v>
      </c>
      <c r="E5197">
        <f>MONTH(D5197)</f>
        <v>7</v>
      </c>
      <c r="F5197" s="2" t="s">
        <v>2098</v>
      </c>
      <c r="G5197" t="s">
        <v>230</v>
      </c>
      <c r="H5197" t="s">
        <v>259</v>
      </c>
      <c r="I5197" t="s">
        <v>36</v>
      </c>
      <c r="J5197" s="2" t="s">
        <v>42</v>
      </c>
      <c r="K5197" s="2" t="s">
        <v>3019</v>
      </c>
      <c r="L5197" t="s">
        <v>25</v>
      </c>
      <c r="M5197" s="8">
        <v>4.745333333333333</v>
      </c>
      <c r="N5197" t="s">
        <v>26</v>
      </c>
      <c r="O5197" s="8">
        <v>4.745333333333333</v>
      </c>
      <c r="P5197" s="8">
        <f>EXP(-1.363+3.366*LOG(O5197,10))</f>
        <v>2.4925687246325761</v>
      </c>
      <c r="Q5197" s="8">
        <f>(1955155*100)/2180255</f>
        <v>89.67551960665152</v>
      </c>
    </row>
    <row r="5198" spans="1:17" x14ac:dyDescent="0.2">
      <c r="A5198">
        <f>YEAR(D5198)</f>
        <v>2020</v>
      </c>
      <c r="B5198" t="s">
        <v>26</v>
      </c>
      <c r="C5198" s="2" t="s">
        <v>3025</v>
      </c>
      <c r="D5198" s="1">
        <v>44014</v>
      </c>
      <c r="E5198">
        <f>MONTH(D5198)</f>
        <v>7</v>
      </c>
      <c r="F5198" s="2" t="s">
        <v>2098</v>
      </c>
      <c r="G5198" t="s">
        <v>230</v>
      </c>
      <c r="H5198" t="s">
        <v>259</v>
      </c>
      <c r="I5198" t="s">
        <v>22</v>
      </c>
      <c r="J5198" s="2" t="s">
        <v>42</v>
      </c>
      <c r="K5198" s="2" t="s">
        <v>3019</v>
      </c>
      <c r="L5198" t="s">
        <v>25</v>
      </c>
      <c r="M5198" s="8">
        <v>4.2283333330000001</v>
      </c>
      <c r="N5198" t="s">
        <v>26</v>
      </c>
      <c r="O5198" s="8">
        <v>4.2283333330000001</v>
      </c>
      <c r="P5198" s="8">
        <f>EXP(-1.363+3.366*LOG(O5198,10))</f>
        <v>2.1057792396965977</v>
      </c>
      <c r="Q5198" s="8">
        <f>(1955155*100)/2180255</f>
        <v>89.67551960665152</v>
      </c>
    </row>
    <row r="5199" spans="1:17" x14ac:dyDescent="0.2">
      <c r="A5199">
        <f>YEAR(D5199)</f>
        <v>2020</v>
      </c>
      <c r="B5199" t="s">
        <v>26</v>
      </c>
      <c r="C5199" s="2" t="s">
        <v>3025</v>
      </c>
      <c r="D5199" s="1">
        <v>44014</v>
      </c>
      <c r="E5199">
        <f>MONTH(D5199)</f>
        <v>7</v>
      </c>
      <c r="F5199" s="2" t="s">
        <v>2098</v>
      </c>
      <c r="G5199" t="s">
        <v>219</v>
      </c>
      <c r="H5199" t="s">
        <v>220</v>
      </c>
      <c r="I5199" t="s">
        <v>22</v>
      </c>
      <c r="J5199" s="2" t="s">
        <v>42</v>
      </c>
      <c r="K5199" s="2" t="s">
        <v>3019</v>
      </c>
      <c r="L5199" t="s">
        <v>25</v>
      </c>
      <c r="M5199" s="10" t="s">
        <v>26</v>
      </c>
      <c r="N5199" t="s">
        <v>26</v>
      </c>
      <c r="O5199" s="10" t="s">
        <v>26</v>
      </c>
      <c r="P5199" s="8" t="s">
        <v>26</v>
      </c>
      <c r="Q5199" s="8">
        <f>(1955155*100)/2180255</f>
        <v>89.67551960665152</v>
      </c>
    </row>
    <row r="5200" spans="1:17" x14ac:dyDescent="0.2">
      <c r="A5200">
        <f>YEAR(D5200)</f>
        <v>2020</v>
      </c>
      <c r="B5200" t="s">
        <v>26</v>
      </c>
      <c r="C5200" s="2" t="s">
        <v>3025</v>
      </c>
      <c r="D5200" s="1">
        <v>44014</v>
      </c>
      <c r="E5200">
        <f>MONTH(D5200)</f>
        <v>7</v>
      </c>
      <c r="F5200" s="2" t="s">
        <v>2098</v>
      </c>
      <c r="G5200" t="s">
        <v>230</v>
      </c>
      <c r="H5200" t="s">
        <v>235</v>
      </c>
      <c r="I5200" t="s">
        <v>22</v>
      </c>
      <c r="J5200" s="2" t="s">
        <v>42</v>
      </c>
      <c r="K5200" s="2" t="s">
        <v>3019</v>
      </c>
      <c r="L5200" t="s">
        <v>25</v>
      </c>
      <c r="M5200" s="8">
        <v>3.4609999999999999</v>
      </c>
      <c r="N5200" t="s">
        <v>26</v>
      </c>
      <c r="O5200" s="8">
        <v>3.4609999999999999</v>
      </c>
      <c r="P5200" s="8">
        <f>EXP(-1.363+3.366*LOG(O5200,10))</f>
        <v>1.5713774371592206</v>
      </c>
      <c r="Q5200" s="8">
        <f>(1955155*100)/2180255</f>
        <v>89.67551960665152</v>
      </c>
    </row>
    <row r="5201" spans="1:17" x14ac:dyDescent="0.2">
      <c r="A5201">
        <f>YEAR(D5201)</f>
        <v>2020</v>
      </c>
      <c r="B5201" t="s">
        <v>26</v>
      </c>
      <c r="C5201" s="2" t="s">
        <v>3025</v>
      </c>
      <c r="D5201" s="1">
        <v>44014</v>
      </c>
      <c r="E5201">
        <f>MONTH(D5201)</f>
        <v>7</v>
      </c>
      <c r="F5201" s="2" t="s">
        <v>2098</v>
      </c>
      <c r="G5201" t="s">
        <v>352</v>
      </c>
      <c r="H5201" t="s">
        <v>610</v>
      </c>
      <c r="I5201" t="s">
        <v>22</v>
      </c>
      <c r="J5201" s="2" t="s">
        <v>42</v>
      </c>
      <c r="K5201" s="2" t="s">
        <v>3019</v>
      </c>
      <c r="L5201" t="s">
        <v>25</v>
      </c>
      <c r="M5201" s="8">
        <v>0.86499999999999999</v>
      </c>
      <c r="N5201" t="s">
        <v>26</v>
      </c>
      <c r="O5201" s="8">
        <v>0.86499999999999999</v>
      </c>
      <c r="P5201" s="8">
        <f>EXP(-1.363+3.366*LOG(O5201,10))</f>
        <v>0.20700676972346591</v>
      </c>
      <c r="Q5201" s="8">
        <f>(1955155*100)/2180255</f>
        <v>89.67551960665152</v>
      </c>
    </row>
    <row r="5202" spans="1:17" x14ac:dyDescent="0.2">
      <c r="A5202">
        <f>YEAR(D5202)</f>
        <v>2020</v>
      </c>
      <c r="B5202" t="s">
        <v>26</v>
      </c>
      <c r="C5202" s="2" t="s">
        <v>3025</v>
      </c>
      <c r="D5202" s="1">
        <v>44014</v>
      </c>
      <c r="E5202">
        <f>MONTH(D5202)</f>
        <v>7</v>
      </c>
      <c r="F5202" s="2" t="s">
        <v>2098</v>
      </c>
      <c r="G5202" t="s">
        <v>352</v>
      </c>
      <c r="H5202" t="s">
        <v>610</v>
      </c>
      <c r="I5202" t="s">
        <v>22</v>
      </c>
      <c r="J5202" s="2" t="s">
        <v>42</v>
      </c>
      <c r="K5202" s="2" t="s">
        <v>3019</v>
      </c>
      <c r="L5202" t="s">
        <v>25</v>
      </c>
      <c r="M5202" s="8">
        <v>0.86499999999999999</v>
      </c>
      <c r="N5202" t="s">
        <v>26</v>
      </c>
      <c r="O5202" s="8">
        <v>0.86499999999999999</v>
      </c>
      <c r="P5202" s="8">
        <f>EXP(-1.363+3.366*LOG(O5202,10))</f>
        <v>0.20700676972346591</v>
      </c>
      <c r="Q5202" s="8">
        <f>(1955155*100)/2180255</f>
        <v>89.67551960665152</v>
      </c>
    </row>
    <row r="5203" spans="1:17" x14ac:dyDescent="0.2">
      <c r="A5203">
        <f>YEAR(D5203)</f>
        <v>2020</v>
      </c>
      <c r="B5203" t="s">
        <v>26</v>
      </c>
      <c r="C5203" s="2" t="s">
        <v>3025</v>
      </c>
      <c r="D5203" s="1">
        <v>44014</v>
      </c>
      <c r="E5203">
        <f>MONTH(D5203)</f>
        <v>7</v>
      </c>
      <c r="F5203" s="2" t="s">
        <v>2098</v>
      </c>
      <c r="G5203" t="s">
        <v>352</v>
      </c>
      <c r="H5203" t="s">
        <v>610</v>
      </c>
      <c r="I5203" t="s">
        <v>22</v>
      </c>
      <c r="J5203" s="2" t="s">
        <v>42</v>
      </c>
      <c r="K5203" s="2" t="s">
        <v>3019</v>
      </c>
      <c r="L5203" t="s">
        <v>25</v>
      </c>
      <c r="M5203" s="8">
        <v>0.86499999999999999</v>
      </c>
      <c r="N5203" t="s">
        <v>26</v>
      </c>
      <c r="O5203" s="8">
        <v>0.86499999999999999</v>
      </c>
      <c r="P5203" s="8">
        <f>EXP(-1.363+3.366*LOG(O5203,10))</f>
        <v>0.20700676972346591</v>
      </c>
      <c r="Q5203" s="8">
        <f>(1955155*100)/2180255</f>
        <v>89.67551960665152</v>
      </c>
    </row>
    <row r="5204" spans="1:17" x14ac:dyDescent="0.2">
      <c r="A5204">
        <f>YEAR(D5204)</f>
        <v>2020</v>
      </c>
      <c r="B5204" t="s">
        <v>26</v>
      </c>
      <c r="C5204" s="2" t="s">
        <v>3025</v>
      </c>
      <c r="D5204" s="1">
        <v>44014</v>
      </c>
      <c r="E5204">
        <f>MONTH(D5204)</f>
        <v>7</v>
      </c>
      <c r="F5204" s="2" t="s">
        <v>2098</v>
      </c>
      <c r="G5204" s="2" t="s">
        <v>1959</v>
      </c>
      <c r="H5204" t="s">
        <v>3067</v>
      </c>
      <c r="I5204" t="s">
        <v>36</v>
      </c>
      <c r="J5204" s="2" t="s">
        <v>42</v>
      </c>
      <c r="K5204" s="2" t="s">
        <v>3019</v>
      </c>
      <c r="L5204" t="s">
        <v>305</v>
      </c>
      <c r="M5204" s="8">
        <v>1.508</v>
      </c>
      <c r="N5204" t="s">
        <v>26</v>
      </c>
      <c r="O5204" s="8">
        <v>1.508</v>
      </c>
      <c r="P5204" s="8">
        <f>EXP(-1.363+3.366*LOG(O5204,10))</f>
        <v>0.46649821531313174</v>
      </c>
      <c r="Q5204" s="8">
        <f>(1955155*100)/2180255</f>
        <v>89.67551960665152</v>
      </c>
    </row>
    <row r="5205" spans="1:17" x14ac:dyDescent="0.2">
      <c r="A5205">
        <f>YEAR(D5205)</f>
        <v>2020</v>
      </c>
      <c r="B5205" t="s">
        <v>26</v>
      </c>
      <c r="C5205" s="2" t="s">
        <v>3025</v>
      </c>
      <c r="D5205" s="1">
        <v>44014</v>
      </c>
      <c r="E5205">
        <f>MONTH(D5205)</f>
        <v>7</v>
      </c>
      <c r="F5205" s="2" t="s">
        <v>2098</v>
      </c>
      <c r="G5205" s="2" t="s">
        <v>323</v>
      </c>
      <c r="H5205" t="s">
        <v>3068</v>
      </c>
      <c r="I5205" t="s">
        <v>22</v>
      </c>
      <c r="J5205" s="2" t="s">
        <v>42</v>
      </c>
      <c r="K5205" s="2" t="s">
        <v>3019</v>
      </c>
      <c r="L5205" t="s">
        <v>25</v>
      </c>
      <c r="M5205" s="8">
        <v>2.2519999999999998</v>
      </c>
      <c r="N5205" t="s">
        <v>26</v>
      </c>
      <c r="O5205" s="8">
        <v>2.2519999999999998</v>
      </c>
      <c r="P5205" s="8">
        <f>EXP(-1.363+3.366*LOG(O5205,10))</f>
        <v>0.83840432053358682</v>
      </c>
      <c r="Q5205" s="8">
        <f>(1955155*100)/2180255</f>
        <v>89.67551960665152</v>
      </c>
    </row>
    <row r="5206" spans="1:17" x14ac:dyDescent="0.2">
      <c r="A5206">
        <f>YEAR(D5206)</f>
        <v>2020</v>
      </c>
      <c r="B5206" t="s">
        <v>26</v>
      </c>
      <c r="C5206" s="2" t="s">
        <v>3025</v>
      </c>
      <c r="D5206" s="1">
        <v>44014</v>
      </c>
      <c r="E5206">
        <f>MONTH(D5206)</f>
        <v>7</v>
      </c>
      <c r="F5206" s="2" t="s">
        <v>2098</v>
      </c>
      <c r="G5206" s="2" t="s">
        <v>323</v>
      </c>
      <c r="H5206" t="s">
        <v>3069</v>
      </c>
      <c r="I5206" t="s">
        <v>36</v>
      </c>
      <c r="J5206" s="2" t="s">
        <v>42</v>
      </c>
      <c r="K5206" s="2" t="s">
        <v>3019</v>
      </c>
      <c r="L5206" t="s">
        <v>187</v>
      </c>
      <c r="M5206" s="8">
        <v>1.8440000000000001</v>
      </c>
      <c r="N5206" t="s">
        <v>26</v>
      </c>
      <c r="O5206" s="8">
        <v>1.8440000000000001</v>
      </c>
      <c r="P5206" s="8">
        <f>EXP(-1.363+3.366*LOG(O5206,10))</f>
        <v>0.62597255272623797</v>
      </c>
      <c r="Q5206" s="8">
        <f>(1955155*100)/2180255</f>
        <v>89.67551960665152</v>
      </c>
    </row>
    <row r="5207" spans="1:17" x14ac:dyDescent="0.2">
      <c r="A5207">
        <f>YEAR(D5207)</f>
        <v>2020</v>
      </c>
      <c r="B5207" t="s">
        <v>26</v>
      </c>
      <c r="C5207" s="2" t="s">
        <v>3025</v>
      </c>
      <c r="D5207" s="1">
        <v>44014</v>
      </c>
      <c r="E5207">
        <f>MONTH(D5207)</f>
        <v>7</v>
      </c>
      <c r="F5207" s="2" t="s">
        <v>2098</v>
      </c>
      <c r="G5207" t="s">
        <v>352</v>
      </c>
      <c r="H5207" t="s">
        <v>494</v>
      </c>
      <c r="I5207" t="s">
        <v>22</v>
      </c>
      <c r="J5207" s="2" t="s">
        <v>42</v>
      </c>
      <c r="K5207" s="2" t="s">
        <v>3019</v>
      </c>
      <c r="L5207" t="s">
        <v>25</v>
      </c>
      <c r="M5207" s="8">
        <v>1.7226666669999999</v>
      </c>
      <c r="N5207" t="s">
        <v>26</v>
      </c>
      <c r="O5207" s="8">
        <v>1.7226666669999999</v>
      </c>
      <c r="P5207" s="8">
        <f>EXP(-1.363+3.366*LOG(O5207,10))</f>
        <v>0.56668788662759551</v>
      </c>
      <c r="Q5207" s="8">
        <f>(1955155*100)/2180255</f>
        <v>89.67551960665152</v>
      </c>
    </row>
    <row r="5208" spans="1:17" x14ac:dyDescent="0.2">
      <c r="A5208">
        <f>YEAR(D5208)</f>
        <v>2020</v>
      </c>
      <c r="B5208" t="s">
        <v>26</v>
      </c>
      <c r="C5208" s="2" t="s">
        <v>3025</v>
      </c>
      <c r="D5208" s="1">
        <v>44014</v>
      </c>
      <c r="E5208">
        <f>MONTH(D5208)</f>
        <v>7</v>
      </c>
      <c r="F5208" s="2" t="s">
        <v>2098</v>
      </c>
      <c r="G5208" t="s">
        <v>352</v>
      </c>
      <c r="H5208" t="s">
        <v>494</v>
      </c>
      <c r="I5208" t="s">
        <v>22</v>
      </c>
      <c r="J5208" s="2" t="s">
        <v>42</v>
      </c>
      <c r="K5208" s="2" t="s">
        <v>3019</v>
      </c>
      <c r="L5208" t="s">
        <v>25</v>
      </c>
      <c r="M5208" s="8">
        <v>1.7226666669999999</v>
      </c>
      <c r="N5208" t="s">
        <v>26</v>
      </c>
      <c r="O5208" s="8">
        <v>1.7226666669999999</v>
      </c>
      <c r="P5208" s="8">
        <f>EXP(-1.363+3.366*LOG(O5208,10))</f>
        <v>0.56668788662759551</v>
      </c>
      <c r="Q5208" s="8">
        <f>(1955155*100)/2180255</f>
        <v>89.67551960665152</v>
      </c>
    </row>
    <row r="5209" spans="1:17" x14ac:dyDescent="0.2">
      <c r="A5209">
        <f>YEAR(D5209)</f>
        <v>2020</v>
      </c>
      <c r="B5209" t="s">
        <v>26</v>
      </c>
      <c r="C5209" s="2" t="s">
        <v>3025</v>
      </c>
      <c r="D5209" s="1">
        <v>44014</v>
      </c>
      <c r="E5209">
        <f>MONTH(D5209)</f>
        <v>7</v>
      </c>
      <c r="F5209" s="2" t="s">
        <v>2098</v>
      </c>
      <c r="G5209" t="s">
        <v>352</v>
      </c>
      <c r="H5209" t="s">
        <v>610</v>
      </c>
      <c r="I5209" t="s">
        <v>22</v>
      </c>
      <c r="J5209" s="2" t="s">
        <v>42</v>
      </c>
      <c r="K5209" s="2" t="s">
        <v>3019</v>
      </c>
      <c r="L5209" t="s">
        <v>25</v>
      </c>
      <c r="M5209" s="8">
        <v>0.86499999999999999</v>
      </c>
      <c r="N5209" t="s">
        <v>26</v>
      </c>
      <c r="O5209" s="8">
        <v>0.86499999999999999</v>
      </c>
      <c r="P5209" s="8">
        <f>EXP(-1.363+3.366*LOG(O5209,10))</f>
        <v>0.20700676972346591</v>
      </c>
      <c r="Q5209" s="8">
        <f>(1955155*100)/2180255</f>
        <v>89.67551960665152</v>
      </c>
    </row>
    <row r="5210" spans="1:17" x14ac:dyDescent="0.2">
      <c r="A5210">
        <f>YEAR(D5210)</f>
        <v>2020</v>
      </c>
      <c r="B5210" t="e">
        <f>CONCATENATE(K5210,#REF!)</f>
        <v>#REF!</v>
      </c>
      <c r="C5210" s="2" t="s">
        <v>3025</v>
      </c>
      <c r="D5210" s="1">
        <v>44014</v>
      </c>
      <c r="E5210">
        <f>MONTH(D5210)</f>
        <v>7</v>
      </c>
      <c r="F5210" s="2" t="s">
        <v>2098</v>
      </c>
      <c r="G5210" s="2" t="s">
        <v>20</v>
      </c>
      <c r="H5210" t="s">
        <v>103</v>
      </c>
      <c r="I5210" t="s">
        <v>22</v>
      </c>
      <c r="J5210" s="2" t="s">
        <v>42</v>
      </c>
      <c r="K5210" s="2" t="s">
        <v>3019</v>
      </c>
      <c r="L5210" t="s">
        <v>25</v>
      </c>
      <c r="M5210" s="8">
        <v>2.177</v>
      </c>
      <c r="N5210" t="s">
        <v>26</v>
      </c>
      <c r="O5210" s="8">
        <v>2.177</v>
      </c>
      <c r="P5210" s="8">
        <f>EXP(-1.363+3.366*LOG(O5210,10))</f>
        <v>0.79790277256387487</v>
      </c>
      <c r="Q5210" s="8">
        <f>(1955155*100)/2180255</f>
        <v>89.67551960665152</v>
      </c>
    </row>
    <row r="5211" spans="1:17" x14ac:dyDescent="0.2">
      <c r="A5211">
        <f>YEAR(D5211)</f>
        <v>2020</v>
      </c>
      <c r="B5211" t="s">
        <v>26</v>
      </c>
      <c r="C5211" s="2" t="s">
        <v>3025</v>
      </c>
      <c r="D5211" s="1">
        <v>44014</v>
      </c>
      <c r="E5211">
        <f>MONTH(D5211)</f>
        <v>7</v>
      </c>
      <c r="F5211" s="2" t="s">
        <v>2098</v>
      </c>
      <c r="G5211" t="s">
        <v>352</v>
      </c>
      <c r="H5211" t="s">
        <v>610</v>
      </c>
      <c r="I5211" t="s">
        <v>22</v>
      </c>
      <c r="J5211" s="2" t="s">
        <v>42</v>
      </c>
      <c r="K5211" s="2" t="s">
        <v>3019</v>
      </c>
      <c r="L5211" t="s">
        <v>25</v>
      </c>
      <c r="M5211" s="8">
        <v>0.86499999999999999</v>
      </c>
      <c r="N5211" t="s">
        <v>26</v>
      </c>
      <c r="O5211" s="8">
        <v>0.86499999999999999</v>
      </c>
      <c r="P5211" s="8">
        <f>EXP(-1.363+3.366*LOG(O5211,10))</f>
        <v>0.20700676972346591</v>
      </c>
      <c r="Q5211" s="8">
        <f>(1955155*100)/2180255</f>
        <v>89.67551960665152</v>
      </c>
    </row>
    <row r="5212" spans="1:17" x14ac:dyDescent="0.2">
      <c r="A5212">
        <f>YEAR(D5212)</f>
        <v>2020</v>
      </c>
      <c r="B5212" t="s">
        <v>26</v>
      </c>
      <c r="C5212" s="2" t="s">
        <v>3025</v>
      </c>
      <c r="D5212" s="1">
        <v>44014</v>
      </c>
      <c r="E5212">
        <f>MONTH(D5212)</f>
        <v>7</v>
      </c>
      <c r="F5212" s="2" t="s">
        <v>2098</v>
      </c>
      <c r="G5212" t="s">
        <v>352</v>
      </c>
      <c r="H5212" t="s">
        <v>610</v>
      </c>
      <c r="I5212" t="s">
        <v>22</v>
      </c>
      <c r="J5212" s="2" t="s">
        <v>42</v>
      </c>
      <c r="K5212" s="2" t="s">
        <v>3019</v>
      </c>
      <c r="L5212" t="s">
        <v>25</v>
      </c>
      <c r="M5212" s="8">
        <v>0.86499999999999999</v>
      </c>
      <c r="N5212" t="s">
        <v>26</v>
      </c>
      <c r="O5212" s="8">
        <v>0.86499999999999999</v>
      </c>
      <c r="P5212" s="8">
        <f>EXP(-1.363+3.366*LOG(O5212,10))</f>
        <v>0.20700676972346591</v>
      </c>
      <c r="Q5212" s="8">
        <f>(1955155*100)/2180255</f>
        <v>89.67551960665152</v>
      </c>
    </row>
    <row r="5213" spans="1:17" x14ac:dyDescent="0.2">
      <c r="A5213">
        <f>YEAR(D5213)</f>
        <v>2020</v>
      </c>
      <c r="B5213" t="s">
        <v>26</v>
      </c>
      <c r="C5213" s="2" t="s">
        <v>3025</v>
      </c>
      <c r="D5213" s="1">
        <v>44014</v>
      </c>
      <c r="E5213">
        <f>MONTH(D5213)</f>
        <v>7</v>
      </c>
      <c r="F5213" s="2" t="s">
        <v>2098</v>
      </c>
      <c r="G5213" t="s">
        <v>209</v>
      </c>
      <c r="H5213" t="s">
        <v>212</v>
      </c>
      <c r="I5213" t="s">
        <v>36</v>
      </c>
      <c r="J5213" s="2" t="s">
        <v>42</v>
      </c>
      <c r="K5213" s="2" t="s">
        <v>3019</v>
      </c>
      <c r="L5213" t="s">
        <v>187</v>
      </c>
      <c r="M5213" s="8">
        <v>1.534</v>
      </c>
      <c r="N5213" t="s">
        <v>26</v>
      </c>
      <c r="O5213" s="8">
        <v>1.534</v>
      </c>
      <c r="P5213" s="8">
        <f>EXP(-1.363+3.366*LOG(O5213,10))</f>
        <v>0.47830252961730491</v>
      </c>
      <c r="Q5213" s="8">
        <f>(1955155*100)/2180255</f>
        <v>89.67551960665152</v>
      </c>
    </row>
    <row r="5214" spans="1:17" x14ac:dyDescent="0.2">
      <c r="A5214">
        <f>YEAR(D5214)</f>
        <v>2020</v>
      </c>
      <c r="B5214" t="s">
        <v>26</v>
      </c>
      <c r="C5214" s="2" t="s">
        <v>3025</v>
      </c>
      <c r="D5214" s="1">
        <v>44014</v>
      </c>
      <c r="E5214">
        <f>MONTH(D5214)</f>
        <v>7</v>
      </c>
      <c r="F5214" s="2" t="s">
        <v>2098</v>
      </c>
      <c r="G5214" t="s">
        <v>362</v>
      </c>
      <c r="H5214" t="s">
        <v>393</v>
      </c>
      <c r="I5214" t="s">
        <v>22</v>
      </c>
      <c r="J5214" s="2" t="s">
        <v>42</v>
      </c>
      <c r="K5214" s="2" t="s">
        <v>3019</v>
      </c>
      <c r="L5214" t="s">
        <v>25</v>
      </c>
      <c r="M5214" s="8">
        <v>2.4239999999999999</v>
      </c>
      <c r="N5214" t="s">
        <v>26</v>
      </c>
      <c r="O5214" s="8">
        <v>2.4239999999999999</v>
      </c>
      <c r="P5214" s="8">
        <f>EXP(-1.363+3.366*LOG(O5214,10))</f>
        <v>0.93364106227732868</v>
      </c>
      <c r="Q5214" s="8">
        <f>(1955155*100)/2180255</f>
        <v>89.67551960665152</v>
      </c>
    </row>
    <row r="5215" spans="1:17" x14ac:dyDescent="0.2">
      <c r="A5215">
        <f>YEAR(D5215)</f>
        <v>2020</v>
      </c>
      <c r="B5215" t="s">
        <v>26</v>
      </c>
      <c r="C5215" s="2" t="s">
        <v>3025</v>
      </c>
      <c r="D5215" s="1">
        <v>44014</v>
      </c>
      <c r="E5215">
        <f>MONTH(D5215)</f>
        <v>7</v>
      </c>
      <c r="F5215" s="2" t="s">
        <v>2098</v>
      </c>
      <c r="G5215" t="s">
        <v>352</v>
      </c>
      <c r="H5215" t="s">
        <v>610</v>
      </c>
      <c r="I5215" t="s">
        <v>22</v>
      </c>
      <c r="J5215" s="2" t="s">
        <v>42</v>
      </c>
      <c r="K5215" s="2" t="s">
        <v>3019</v>
      </c>
      <c r="L5215" t="s">
        <v>25</v>
      </c>
      <c r="M5215" s="8">
        <v>0.86499999999999999</v>
      </c>
      <c r="N5215" t="s">
        <v>26</v>
      </c>
      <c r="O5215" s="8">
        <v>0.86499999999999999</v>
      </c>
      <c r="P5215" s="8">
        <f>EXP(-1.363+3.366*LOG(O5215,10))</f>
        <v>0.20700676972346591</v>
      </c>
      <c r="Q5215" s="8">
        <f>(1955155*100)/2180255</f>
        <v>89.67551960665152</v>
      </c>
    </row>
    <row r="5216" spans="1:17" x14ac:dyDescent="0.2">
      <c r="A5216">
        <f>YEAR(D5216)</f>
        <v>2020</v>
      </c>
      <c r="B5216" t="s">
        <v>26</v>
      </c>
      <c r="C5216" s="2" t="s">
        <v>3025</v>
      </c>
      <c r="D5216" s="1">
        <v>44014</v>
      </c>
      <c r="E5216">
        <f>MONTH(D5216)</f>
        <v>7</v>
      </c>
      <c r="F5216" s="2" t="s">
        <v>2098</v>
      </c>
      <c r="G5216" t="s">
        <v>352</v>
      </c>
      <c r="H5216" t="s">
        <v>610</v>
      </c>
      <c r="I5216" t="s">
        <v>22</v>
      </c>
      <c r="J5216" s="2" t="s">
        <v>42</v>
      </c>
      <c r="K5216" s="2" t="s">
        <v>3019</v>
      </c>
      <c r="L5216" t="s">
        <v>25</v>
      </c>
      <c r="M5216" s="8">
        <v>0.86499999999999999</v>
      </c>
      <c r="N5216" t="s">
        <v>26</v>
      </c>
      <c r="O5216" s="8">
        <v>0.86499999999999999</v>
      </c>
      <c r="P5216" s="8">
        <f>EXP(-1.363+3.366*LOG(O5216,10))</f>
        <v>0.20700676972346591</v>
      </c>
      <c r="Q5216" s="8">
        <f>(1955155*100)/2180255</f>
        <v>89.67551960665152</v>
      </c>
    </row>
    <row r="5217" spans="1:17" x14ac:dyDescent="0.2">
      <c r="A5217">
        <f>YEAR(D5217)</f>
        <v>2020</v>
      </c>
      <c r="B5217" t="s">
        <v>26</v>
      </c>
      <c r="C5217" s="2" t="s">
        <v>3025</v>
      </c>
      <c r="D5217" s="1">
        <v>44014</v>
      </c>
      <c r="E5217">
        <f>MONTH(D5217)</f>
        <v>7</v>
      </c>
      <c r="F5217" s="2" t="s">
        <v>2098</v>
      </c>
      <c r="G5217" t="s">
        <v>352</v>
      </c>
      <c r="H5217" t="s">
        <v>610</v>
      </c>
      <c r="I5217" t="s">
        <v>22</v>
      </c>
      <c r="J5217" s="2" t="s">
        <v>42</v>
      </c>
      <c r="K5217" s="2" t="s">
        <v>3019</v>
      </c>
      <c r="L5217" t="s">
        <v>25</v>
      </c>
      <c r="M5217" s="8">
        <v>0.86499999999999999</v>
      </c>
      <c r="N5217" t="s">
        <v>26</v>
      </c>
      <c r="O5217" s="8">
        <v>0.86499999999999999</v>
      </c>
      <c r="P5217" s="8">
        <f>EXP(-1.363+3.366*LOG(O5217,10))</f>
        <v>0.20700676972346591</v>
      </c>
      <c r="Q5217" s="8">
        <f>(1955155*100)/2180255</f>
        <v>89.67551960665152</v>
      </c>
    </row>
    <row r="5218" spans="1:17" x14ac:dyDescent="0.2">
      <c r="A5218">
        <f>YEAR(D5218)</f>
        <v>2020</v>
      </c>
      <c r="B5218" t="s">
        <v>26</v>
      </c>
      <c r="C5218" s="2" t="s">
        <v>3025</v>
      </c>
      <c r="D5218" s="1">
        <v>44014</v>
      </c>
      <c r="E5218">
        <f>MONTH(D5218)</f>
        <v>7</v>
      </c>
      <c r="F5218" s="2" t="s">
        <v>2098</v>
      </c>
      <c r="G5218" t="s">
        <v>352</v>
      </c>
      <c r="H5218" t="s">
        <v>610</v>
      </c>
      <c r="I5218" t="s">
        <v>22</v>
      </c>
      <c r="J5218" s="2" t="s">
        <v>42</v>
      </c>
      <c r="K5218" s="2" t="s">
        <v>3019</v>
      </c>
      <c r="L5218" t="s">
        <v>25</v>
      </c>
      <c r="M5218" s="8">
        <v>0.86499999999999999</v>
      </c>
      <c r="N5218" t="s">
        <v>26</v>
      </c>
      <c r="O5218" s="8">
        <v>0.86499999999999999</v>
      </c>
      <c r="P5218" s="8">
        <f>EXP(-1.363+3.366*LOG(O5218,10))</f>
        <v>0.20700676972346591</v>
      </c>
      <c r="Q5218" s="8">
        <f>(1955155*100)/2180255</f>
        <v>89.67551960665152</v>
      </c>
    </row>
    <row r="5219" spans="1:17" x14ac:dyDescent="0.2">
      <c r="A5219">
        <f>YEAR(D5219)</f>
        <v>2020</v>
      </c>
      <c r="B5219" t="s">
        <v>26</v>
      </c>
      <c r="C5219" s="2" t="s">
        <v>3025</v>
      </c>
      <c r="D5219" s="1">
        <v>44014</v>
      </c>
      <c r="E5219">
        <f>MONTH(D5219)</f>
        <v>7</v>
      </c>
      <c r="F5219" s="2" t="s">
        <v>2098</v>
      </c>
      <c r="G5219" t="s">
        <v>352</v>
      </c>
      <c r="H5219" t="s">
        <v>1459</v>
      </c>
      <c r="I5219" t="s">
        <v>36</v>
      </c>
      <c r="J5219" s="2" t="s">
        <v>42</v>
      </c>
      <c r="K5219" s="2" t="s">
        <v>3019</v>
      </c>
      <c r="L5219" t="s">
        <v>25</v>
      </c>
      <c r="M5219" s="8">
        <v>1.0913333329999999</v>
      </c>
      <c r="N5219" t="s">
        <v>26</v>
      </c>
      <c r="O5219" s="8">
        <v>1.0913333329999999</v>
      </c>
      <c r="P5219" s="8">
        <f>EXP(-1.363+3.366*LOG(O5219,10))</f>
        <v>0.29076633015787234</v>
      </c>
      <c r="Q5219" s="8">
        <f>(1955155*100)/2180255</f>
        <v>89.67551960665152</v>
      </c>
    </row>
    <row r="5220" spans="1:17" x14ac:dyDescent="0.2">
      <c r="A5220">
        <f>YEAR(D5220)</f>
        <v>2020</v>
      </c>
      <c r="B5220" t="s">
        <v>26</v>
      </c>
      <c r="C5220" s="2" t="s">
        <v>3025</v>
      </c>
      <c r="D5220" s="1">
        <v>44014</v>
      </c>
      <c r="E5220">
        <f>MONTH(D5220)</f>
        <v>7</v>
      </c>
      <c r="F5220" s="2" t="s">
        <v>2098</v>
      </c>
      <c r="G5220" t="s">
        <v>352</v>
      </c>
      <c r="H5220" t="s">
        <v>1459</v>
      </c>
      <c r="I5220" t="s">
        <v>36</v>
      </c>
      <c r="J5220" s="2" t="s">
        <v>42</v>
      </c>
      <c r="K5220" s="2" t="s">
        <v>3019</v>
      </c>
      <c r="L5220" t="s">
        <v>25</v>
      </c>
      <c r="M5220" s="8">
        <v>1.0913333329999999</v>
      </c>
      <c r="N5220" t="s">
        <v>26</v>
      </c>
      <c r="O5220" s="8">
        <v>1.0913333329999999</v>
      </c>
      <c r="P5220" s="8">
        <f>EXP(-1.363+3.366*LOG(O5220,10))</f>
        <v>0.29076633015787234</v>
      </c>
      <c r="Q5220" s="8">
        <f>(1955155*100)/2180255</f>
        <v>89.67551960665152</v>
      </c>
    </row>
    <row r="5221" spans="1:17" x14ac:dyDescent="0.2">
      <c r="A5221">
        <f>YEAR(D5221)</f>
        <v>2020</v>
      </c>
      <c r="B5221" t="s">
        <v>26</v>
      </c>
      <c r="C5221" s="2" t="s">
        <v>3025</v>
      </c>
      <c r="D5221" s="1">
        <v>44014</v>
      </c>
      <c r="E5221">
        <f>MONTH(D5221)</f>
        <v>7</v>
      </c>
      <c r="F5221" s="2" t="s">
        <v>2098</v>
      </c>
      <c r="G5221" t="s">
        <v>352</v>
      </c>
      <c r="H5221" t="s">
        <v>623</v>
      </c>
      <c r="I5221" t="s">
        <v>22</v>
      </c>
      <c r="J5221" s="2" t="s">
        <v>42</v>
      </c>
      <c r="K5221" s="2" t="s">
        <v>3019</v>
      </c>
      <c r="L5221" t="s">
        <v>25</v>
      </c>
      <c r="M5221" s="8">
        <v>1.387</v>
      </c>
      <c r="N5221" t="s">
        <v>26</v>
      </c>
      <c r="O5221" s="8">
        <v>1.387</v>
      </c>
      <c r="P5221" s="8">
        <f>EXP(-1.363+3.366*LOG(O5221,10))</f>
        <v>0.41280884754947733</v>
      </c>
      <c r="Q5221" s="8">
        <f>(1955155*100)/2180255</f>
        <v>89.67551960665152</v>
      </c>
    </row>
    <row r="5222" spans="1:17" x14ac:dyDescent="0.2">
      <c r="A5222">
        <f>YEAR(D5222)</f>
        <v>2020</v>
      </c>
      <c r="B5222" t="s">
        <v>26</v>
      </c>
      <c r="C5222" s="2" t="s">
        <v>3025</v>
      </c>
      <c r="D5222" s="1">
        <v>44014</v>
      </c>
      <c r="E5222">
        <f>MONTH(D5222)</f>
        <v>7</v>
      </c>
      <c r="F5222" s="2" t="s">
        <v>2098</v>
      </c>
      <c r="G5222" t="s">
        <v>352</v>
      </c>
      <c r="H5222" t="s">
        <v>975</v>
      </c>
      <c r="I5222" t="s">
        <v>22</v>
      </c>
      <c r="J5222" s="2" t="s">
        <v>42</v>
      </c>
      <c r="K5222" s="2" t="s">
        <v>3019</v>
      </c>
      <c r="L5222" t="s">
        <v>25</v>
      </c>
      <c r="M5222" s="8">
        <v>1.0693333330000001</v>
      </c>
      <c r="N5222" t="s">
        <v>26</v>
      </c>
      <c r="O5222" s="8">
        <v>1.0693333330000001</v>
      </c>
      <c r="P5222" s="8">
        <f>EXP(-1.363+3.366*LOG(O5222,10))</f>
        <v>0.28223780327142356</v>
      </c>
      <c r="Q5222" s="8">
        <f>(1955155*100)/2180255</f>
        <v>89.67551960665152</v>
      </c>
    </row>
    <row r="5223" spans="1:17" x14ac:dyDescent="0.2">
      <c r="A5223">
        <f>YEAR(D5223)</f>
        <v>2020</v>
      </c>
      <c r="B5223" t="s">
        <v>26</v>
      </c>
      <c r="C5223" s="2" t="s">
        <v>3025</v>
      </c>
      <c r="D5223" s="1">
        <v>44014</v>
      </c>
      <c r="E5223">
        <f>MONTH(D5223)</f>
        <v>7</v>
      </c>
      <c r="F5223" s="2" t="s">
        <v>2098</v>
      </c>
      <c r="G5223" t="s">
        <v>230</v>
      </c>
      <c r="H5223" t="s">
        <v>268</v>
      </c>
      <c r="I5223" t="s">
        <v>22</v>
      </c>
      <c r="J5223" s="2" t="s">
        <v>42</v>
      </c>
      <c r="K5223" s="2" t="s">
        <v>3019</v>
      </c>
      <c r="L5223" t="s">
        <v>25</v>
      </c>
      <c r="M5223" s="8">
        <v>3.5356666670000001</v>
      </c>
      <c r="N5223" t="s">
        <v>26</v>
      </c>
      <c r="O5223" s="8">
        <v>3.5356666670000001</v>
      </c>
      <c r="P5223" s="8">
        <f>EXP(-1.363+3.366*LOG(O5223,10))</f>
        <v>1.6211802664427075</v>
      </c>
      <c r="Q5223" s="8">
        <f>(1955155*100)/2180255</f>
        <v>89.67551960665152</v>
      </c>
    </row>
    <row r="5224" spans="1:17" x14ac:dyDescent="0.2">
      <c r="A5224">
        <f>YEAR(D5224)</f>
        <v>2020</v>
      </c>
      <c r="B5224" t="s">
        <v>26</v>
      </c>
      <c r="C5224" s="2" t="s">
        <v>3025</v>
      </c>
      <c r="D5224" s="1">
        <v>44014</v>
      </c>
      <c r="E5224">
        <f>MONTH(D5224)</f>
        <v>7</v>
      </c>
      <c r="F5224" s="2" t="s">
        <v>2098</v>
      </c>
      <c r="G5224" t="s">
        <v>362</v>
      </c>
      <c r="H5224" t="s">
        <v>393</v>
      </c>
      <c r="I5224" t="s">
        <v>22</v>
      </c>
      <c r="J5224" s="2" t="s">
        <v>42</v>
      </c>
      <c r="K5224" s="2" t="s">
        <v>3019</v>
      </c>
      <c r="L5224" t="s">
        <v>25</v>
      </c>
      <c r="M5224" s="8">
        <v>2.4239999999999999</v>
      </c>
      <c r="N5224" t="s">
        <v>26</v>
      </c>
      <c r="O5224" s="8">
        <v>2.4239999999999999</v>
      </c>
      <c r="P5224" s="8">
        <f>EXP(-1.363+3.366*LOG(O5224,10))</f>
        <v>0.93364106227732868</v>
      </c>
      <c r="Q5224" s="8">
        <f>(1955155*100)/2180255</f>
        <v>89.67551960665152</v>
      </c>
    </row>
    <row r="5225" spans="1:17" x14ac:dyDescent="0.2">
      <c r="A5225">
        <f>YEAR(D5225)</f>
        <v>2020</v>
      </c>
      <c r="B5225" t="s">
        <v>26</v>
      </c>
      <c r="C5225" s="2" t="s">
        <v>3025</v>
      </c>
      <c r="D5225" s="1">
        <v>44014</v>
      </c>
      <c r="E5225">
        <f>MONTH(D5225)</f>
        <v>7</v>
      </c>
      <c r="F5225" s="2" t="s">
        <v>2098</v>
      </c>
      <c r="G5225" t="s">
        <v>362</v>
      </c>
      <c r="H5225" t="s">
        <v>393</v>
      </c>
      <c r="I5225" t="s">
        <v>22</v>
      </c>
      <c r="J5225" s="2" t="s">
        <v>42</v>
      </c>
      <c r="K5225" s="2" t="s">
        <v>3019</v>
      </c>
      <c r="L5225" t="s">
        <v>25</v>
      </c>
      <c r="M5225" s="8">
        <v>2.4239999999999999</v>
      </c>
      <c r="N5225" t="s">
        <v>26</v>
      </c>
      <c r="O5225" s="8">
        <v>2.4239999999999999</v>
      </c>
      <c r="P5225" s="8">
        <f>EXP(-1.363+3.366*LOG(O5225,10))</f>
        <v>0.93364106227732868</v>
      </c>
      <c r="Q5225" s="8">
        <f>(1955155*100)/2180255</f>
        <v>89.67551960665152</v>
      </c>
    </row>
    <row r="5226" spans="1:17" x14ac:dyDescent="0.2">
      <c r="A5226">
        <f>YEAR(D5226)</f>
        <v>2020</v>
      </c>
      <c r="B5226" t="s">
        <v>26</v>
      </c>
      <c r="C5226" s="2" t="s">
        <v>1540</v>
      </c>
      <c r="D5226" s="1">
        <v>44015</v>
      </c>
      <c r="E5226">
        <f>MONTH(D5226)</f>
        <v>7</v>
      </c>
      <c r="F5226" s="2" t="s">
        <v>2098</v>
      </c>
      <c r="G5226" t="s">
        <v>230</v>
      </c>
      <c r="H5226" t="s">
        <v>268</v>
      </c>
      <c r="I5226" t="s">
        <v>22</v>
      </c>
      <c r="J5226" s="2" t="s">
        <v>42</v>
      </c>
      <c r="K5226" s="2" t="s">
        <v>3019</v>
      </c>
      <c r="L5226" t="s">
        <v>25</v>
      </c>
      <c r="M5226" s="8">
        <v>3.5356666670000001</v>
      </c>
      <c r="N5226" t="s">
        <v>26</v>
      </c>
      <c r="O5226" s="8">
        <v>3.5356666670000001</v>
      </c>
      <c r="P5226" s="8">
        <f>EXP(-1.363+3.366*LOG(O5226,10))</f>
        <v>1.6211802664427075</v>
      </c>
      <c r="Q5226" s="8">
        <f>(2618262*100)/2995732</f>
        <v>87.399740697766021</v>
      </c>
    </row>
    <row r="5227" spans="1:17" x14ac:dyDescent="0.2">
      <c r="A5227">
        <f>YEAR(D5227)</f>
        <v>2020</v>
      </c>
      <c r="B5227" t="s">
        <v>26</v>
      </c>
      <c r="C5227" s="2" t="s">
        <v>1540</v>
      </c>
      <c r="D5227" s="1">
        <v>44015</v>
      </c>
      <c r="E5227">
        <f>MONTH(D5227)</f>
        <v>7</v>
      </c>
      <c r="F5227" s="2" t="s">
        <v>2098</v>
      </c>
      <c r="G5227" t="s">
        <v>230</v>
      </c>
      <c r="H5227" t="s">
        <v>255</v>
      </c>
      <c r="I5227" t="s">
        <v>36</v>
      </c>
      <c r="J5227" s="2" t="s">
        <v>42</v>
      </c>
      <c r="K5227" s="2" t="s">
        <v>3019</v>
      </c>
      <c r="L5227" t="s">
        <v>25</v>
      </c>
      <c r="M5227" s="8">
        <v>4.1180000000000003</v>
      </c>
      <c r="N5227" t="s">
        <v>26</v>
      </c>
      <c r="O5227" s="8">
        <v>4.1180000000000003</v>
      </c>
      <c r="P5227" s="8">
        <f>EXP(-1.363+3.366*LOG(O5227,10))</f>
        <v>2.0259408868315871</v>
      </c>
      <c r="Q5227" s="8">
        <f>(2618262*100)/2995732</f>
        <v>87.399740697766021</v>
      </c>
    </row>
    <row r="5228" spans="1:17" x14ac:dyDescent="0.2">
      <c r="A5228">
        <f>YEAR(D5228)</f>
        <v>2020</v>
      </c>
      <c r="B5228" t="s">
        <v>26</v>
      </c>
      <c r="C5228" s="2" t="s">
        <v>1540</v>
      </c>
      <c r="D5228" s="1">
        <v>44015</v>
      </c>
      <c r="E5228">
        <f>MONTH(D5228)</f>
        <v>7</v>
      </c>
      <c r="F5228" s="2" t="s">
        <v>2098</v>
      </c>
      <c r="G5228" t="s">
        <v>230</v>
      </c>
      <c r="H5228" t="s">
        <v>268</v>
      </c>
      <c r="I5228" t="s">
        <v>22</v>
      </c>
      <c r="J5228" s="2" t="s">
        <v>42</v>
      </c>
      <c r="K5228" s="2" t="s">
        <v>3019</v>
      </c>
      <c r="L5228" t="s">
        <v>25</v>
      </c>
      <c r="M5228" s="8">
        <v>3.5356666670000001</v>
      </c>
      <c r="N5228" t="s">
        <v>26</v>
      </c>
      <c r="O5228" s="8">
        <v>3.5356666670000001</v>
      </c>
      <c r="P5228" s="8">
        <f>EXP(-1.363+3.366*LOG(O5228,10))</f>
        <v>1.6211802664427075</v>
      </c>
      <c r="Q5228" s="8">
        <f>(2618262*100)/2995732</f>
        <v>87.399740697766021</v>
      </c>
    </row>
    <row r="5229" spans="1:17" x14ac:dyDescent="0.2">
      <c r="A5229">
        <f>YEAR(D5229)</f>
        <v>2020</v>
      </c>
      <c r="B5229" t="s">
        <v>26</v>
      </c>
      <c r="C5229" s="2" t="s">
        <v>1540</v>
      </c>
      <c r="D5229" s="1">
        <v>44015</v>
      </c>
      <c r="E5229">
        <f>MONTH(D5229)</f>
        <v>7</v>
      </c>
      <c r="F5229" s="2" t="s">
        <v>2098</v>
      </c>
      <c r="G5229" t="s">
        <v>230</v>
      </c>
      <c r="H5229" t="s">
        <v>268</v>
      </c>
      <c r="I5229" t="s">
        <v>22</v>
      </c>
      <c r="J5229" s="2" t="s">
        <v>42</v>
      </c>
      <c r="K5229" s="2" t="s">
        <v>3019</v>
      </c>
      <c r="L5229" t="s">
        <v>25</v>
      </c>
      <c r="M5229" s="8">
        <v>3.5356666670000001</v>
      </c>
      <c r="N5229" t="s">
        <v>26</v>
      </c>
      <c r="O5229" s="8">
        <v>3.5356666670000001</v>
      </c>
      <c r="P5229" s="8">
        <f>EXP(-1.363+3.366*LOG(O5229,10))</f>
        <v>1.6211802664427075</v>
      </c>
      <c r="Q5229" s="8">
        <f>(2618262*100)/2995732</f>
        <v>87.399740697766021</v>
      </c>
    </row>
    <row r="5230" spans="1:17" x14ac:dyDescent="0.2">
      <c r="A5230">
        <f>YEAR(D5230)</f>
        <v>2020</v>
      </c>
      <c r="B5230" t="s">
        <v>26</v>
      </c>
      <c r="C5230" s="2" t="s">
        <v>1540</v>
      </c>
      <c r="D5230" s="1">
        <v>44015</v>
      </c>
      <c r="E5230">
        <f>MONTH(D5230)</f>
        <v>7</v>
      </c>
      <c r="F5230" s="2" t="s">
        <v>2098</v>
      </c>
      <c r="G5230" t="s">
        <v>230</v>
      </c>
      <c r="H5230" t="s">
        <v>268</v>
      </c>
      <c r="I5230" t="s">
        <v>22</v>
      </c>
      <c r="J5230" s="2" t="s">
        <v>42</v>
      </c>
      <c r="K5230" s="2" t="s">
        <v>3019</v>
      </c>
      <c r="L5230" t="s">
        <v>25</v>
      </c>
      <c r="M5230" s="8">
        <v>3.5356666670000001</v>
      </c>
      <c r="N5230" t="s">
        <v>26</v>
      </c>
      <c r="O5230" s="8">
        <v>3.5356666670000001</v>
      </c>
      <c r="P5230" s="8">
        <f>EXP(-1.363+3.366*LOG(O5230,10))</f>
        <v>1.6211802664427075</v>
      </c>
      <c r="Q5230" s="8">
        <f>(2618262*100)/2995732</f>
        <v>87.399740697766021</v>
      </c>
    </row>
    <row r="5231" spans="1:17" x14ac:dyDescent="0.2">
      <c r="A5231">
        <f>YEAR(D5231)</f>
        <v>2020</v>
      </c>
      <c r="B5231" t="s">
        <v>26</v>
      </c>
      <c r="C5231" s="2" t="s">
        <v>1540</v>
      </c>
      <c r="D5231" s="1">
        <v>44015</v>
      </c>
      <c r="E5231">
        <f>MONTH(D5231)</f>
        <v>7</v>
      </c>
      <c r="F5231" s="2" t="s">
        <v>2098</v>
      </c>
      <c r="G5231" t="s">
        <v>219</v>
      </c>
      <c r="H5231" t="s">
        <v>220</v>
      </c>
      <c r="I5231" t="s">
        <v>22</v>
      </c>
      <c r="J5231" s="2" t="s">
        <v>42</v>
      </c>
      <c r="K5231" s="2" t="s">
        <v>3019</v>
      </c>
      <c r="L5231" t="s">
        <v>25</v>
      </c>
      <c r="M5231" s="10" t="s">
        <v>26</v>
      </c>
      <c r="N5231" t="s">
        <v>26</v>
      </c>
      <c r="O5231" s="10" t="s">
        <v>26</v>
      </c>
      <c r="P5231" s="8" t="s">
        <v>26</v>
      </c>
      <c r="Q5231" s="8">
        <f>(2618262*100)/2995732</f>
        <v>87.399740697766021</v>
      </c>
    </row>
    <row r="5232" spans="1:17" x14ac:dyDescent="0.2">
      <c r="A5232">
        <f>YEAR(D5232)</f>
        <v>2020</v>
      </c>
      <c r="B5232" t="s">
        <v>26</v>
      </c>
      <c r="C5232" s="2" t="s">
        <v>1540</v>
      </c>
      <c r="D5232" s="1">
        <v>44015</v>
      </c>
      <c r="E5232">
        <f>MONTH(D5232)</f>
        <v>7</v>
      </c>
      <c r="F5232" s="2" t="s">
        <v>2098</v>
      </c>
      <c r="G5232" t="s">
        <v>219</v>
      </c>
      <c r="H5232" t="s">
        <v>220</v>
      </c>
      <c r="I5232" t="s">
        <v>22</v>
      </c>
      <c r="J5232" s="2" t="s">
        <v>42</v>
      </c>
      <c r="K5232" s="2" t="s">
        <v>3019</v>
      </c>
      <c r="L5232" t="s">
        <v>25</v>
      </c>
      <c r="M5232" s="10" t="s">
        <v>26</v>
      </c>
      <c r="N5232" t="s">
        <v>26</v>
      </c>
      <c r="O5232" s="10" t="s">
        <v>26</v>
      </c>
      <c r="P5232" s="8" t="s">
        <v>26</v>
      </c>
      <c r="Q5232" s="8">
        <f>(2618262*100)/2995732</f>
        <v>87.399740697766021</v>
      </c>
    </row>
    <row r="5233" spans="1:17" x14ac:dyDescent="0.2">
      <c r="A5233">
        <f>YEAR(D5233)</f>
        <v>2020</v>
      </c>
      <c r="B5233" t="s">
        <v>26</v>
      </c>
      <c r="C5233" s="2" t="s">
        <v>1540</v>
      </c>
      <c r="D5233" s="1">
        <v>44015</v>
      </c>
      <c r="E5233">
        <f>MONTH(D5233)</f>
        <v>7</v>
      </c>
      <c r="F5233" s="2" t="s">
        <v>2098</v>
      </c>
      <c r="G5233" t="s">
        <v>219</v>
      </c>
      <c r="H5233" t="s">
        <v>220</v>
      </c>
      <c r="I5233" t="s">
        <v>22</v>
      </c>
      <c r="J5233" s="2" t="s">
        <v>42</v>
      </c>
      <c r="K5233" s="2" t="s">
        <v>3019</v>
      </c>
      <c r="L5233" t="s">
        <v>25</v>
      </c>
      <c r="M5233" s="10" t="s">
        <v>26</v>
      </c>
      <c r="N5233" t="s">
        <v>26</v>
      </c>
      <c r="O5233" s="10" t="s">
        <v>26</v>
      </c>
      <c r="P5233" s="8" t="s">
        <v>26</v>
      </c>
      <c r="Q5233" s="8">
        <f>(2618262*100)/2995732</f>
        <v>87.399740697766021</v>
      </c>
    </row>
    <row r="5234" spans="1:17" x14ac:dyDescent="0.2">
      <c r="A5234">
        <f>YEAR(D5234)</f>
        <v>2020</v>
      </c>
      <c r="B5234" t="s">
        <v>26</v>
      </c>
      <c r="C5234" s="2" t="s">
        <v>1540</v>
      </c>
      <c r="D5234" s="1">
        <v>44015</v>
      </c>
      <c r="E5234">
        <f>MONTH(D5234)</f>
        <v>7</v>
      </c>
      <c r="F5234" s="2" t="s">
        <v>2098</v>
      </c>
      <c r="G5234" t="s">
        <v>219</v>
      </c>
      <c r="H5234" t="s">
        <v>220</v>
      </c>
      <c r="I5234" t="s">
        <v>22</v>
      </c>
      <c r="J5234" s="2" t="s">
        <v>42</v>
      </c>
      <c r="K5234" s="2" t="s">
        <v>3019</v>
      </c>
      <c r="L5234" t="s">
        <v>25</v>
      </c>
      <c r="M5234" s="10" t="s">
        <v>26</v>
      </c>
      <c r="N5234" t="s">
        <v>26</v>
      </c>
      <c r="O5234" s="10" t="s">
        <v>26</v>
      </c>
      <c r="P5234" s="8" t="s">
        <v>26</v>
      </c>
      <c r="Q5234" s="8">
        <f>(2618262*100)/2995732</f>
        <v>87.399740697766021</v>
      </c>
    </row>
    <row r="5235" spans="1:17" x14ac:dyDescent="0.2">
      <c r="A5235">
        <f>YEAR(D5235)</f>
        <v>2020</v>
      </c>
      <c r="B5235" t="s">
        <v>26</v>
      </c>
      <c r="C5235" s="2" t="s">
        <v>1540</v>
      </c>
      <c r="D5235" s="1">
        <v>44015</v>
      </c>
      <c r="E5235">
        <f>MONTH(D5235)</f>
        <v>7</v>
      </c>
      <c r="F5235" s="2" t="s">
        <v>2098</v>
      </c>
      <c r="G5235" t="s">
        <v>219</v>
      </c>
      <c r="H5235" t="s">
        <v>220</v>
      </c>
      <c r="I5235" t="s">
        <v>22</v>
      </c>
      <c r="J5235" s="2" t="s">
        <v>42</v>
      </c>
      <c r="K5235" s="2" t="s">
        <v>3019</v>
      </c>
      <c r="L5235" t="s">
        <v>25</v>
      </c>
      <c r="M5235" s="10" t="s">
        <v>26</v>
      </c>
      <c r="N5235" t="s">
        <v>26</v>
      </c>
      <c r="O5235" s="10" t="s">
        <v>26</v>
      </c>
      <c r="P5235" s="8" t="s">
        <v>26</v>
      </c>
      <c r="Q5235" s="8">
        <f>(2618262*100)/2995732</f>
        <v>87.399740697766021</v>
      </c>
    </row>
    <row r="5236" spans="1:17" x14ac:dyDescent="0.2">
      <c r="A5236">
        <f>YEAR(D5236)</f>
        <v>2020</v>
      </c>
      <c r="B5236" t="s">
        <v>26</v>
      </c>
      <c r="C5236" s="2" t="s">
        <v>1540</v>
      </c>
      <c r="D5236" s="1">
        <v>44015</v>
      </c>
      <c r="E5236">
        <f>MONTH(D5236)</f>
        <v>7</v>
      </c>
      <c r="F5236" s="2" t="s">
        <v>2098</v>
      </c>
      <c r="G5236" t="s">
        <v>219</v>
      </c>
      <c r="H5236" t="s">
        <v>220</v>
      </c>
      <c r="I5236" t="s">
        <v>22</v>
      </c>
      <c r="J5236" s="2" t="s">
        <v>42</v>
      </c>
      <c r="K5236" s="2" t="s">
        <v>3019</v>
      </c>
      <c r="L5236" t="s">
        <v>25</v>
      </c>
      <c r="M5236" s="10" t="s">
        <v>26</v>
      </c>
      <c r="N5236" t="s">
        <v>26</v>
      </c>
      <c r="O5236" s="10" t="s">
        <v>26</v>
      </c>
      <c r="P5236" s="8" t="s">
        <v>26</v>
      </c>
      <c r="Q5236" s="8">
        <f>(2618262*100)/2995732</f>
        <v>87.399740697766021</v>
      </c>
    </row>
    <row r="5237" spans="1:17" x14ac:dyDescent="0.2">
      <c r="A5237">
        <f>YEAR(D5237)</f>
        <v>2020</v>
      </c>
      <c r="B5237" t="s">
        <v>26</v>
      </c>
      <c r="C5237" s="2" t="s">
        <v>1540</v>
      </c>
      <c r="D5237" s="1">
        <v>44015</v>
      </c>
      <c r="E5237">
        <f>MONTH(D5237)</f>
        <v>7</v>
      </c>
      <c r="F5237" s="2" t="s">
        <v>2098</v>
      </c>
      <c r="G5237" t="s">
        <v>219</v>
      </c>
      <c r="H5237" t="s">
        <v>220</v>
      </c>
      <c r="I5237" t="s">
        <v>22</v>
      </c>
      <c r="J5237" s="2" t="s">
        <v>42</v>
      </c>
      <c r="K5237" s="2" t="s">
        <v>3019</v>
      </c>
      <c r="L5237" t="s">
        <v>25</v>
      </c>
      <c r="M5237" s="10" t="s">
        <v>26</v>
      </c>
      <c r="N5237" t="s">
        <v>26</v>
      </c>
      <c r="O5237" s="10" t="s">
        <v>26</v>
      </c>
      <c r="P5237" s="8" t="s">
        <v>26</v>
      </c>
      <c r="Q5237" s="8">
        <f>(2618262*100)/2995732</f>
        <v>87.399740697766021</v>
      </c>
    </row>
    <row r="5238" spans="1:17" x14ac:dyDescent="0.2">
      <c r="A5238">
        <f>YEAR(D5238)</f>
        <v>2020</v>
      </c>
      <c r="B5238" t="s">
        <v>26</v>
      </c>
      <c r="C5238" s="2" t="s">
        <v>1540</v>
      </c>
      <c r="D5238" s="1">
        <v>44015</v>
      </c>
      <c r="E5238">
        <f>MONTH(D5238)</f>
        <v>7</v>
      </c>
      <c r="F5238" s="2" t="s">
        <v>2098</v>
      </c>
      <c r="G5238" t="s">
        <v>219</v>
      </c>
      <c r="H5238" t="s">
        <v>220</v>
      </c>
      <c r="I5238" t="s">
        <v>22</v>
      </c>
      <c r="J5238" s="2" t="s">
        <v>42</v>
      </c>
      <c r="K5238" s="2" t="s">
        <v>3019</v>
      </c>
      <c r="L5238" t="s">
        <v>25</v>
      </c>
      <c r="M5238" s="10" t="s">
        <v>26</v>
      </c>
      <c r="N5238" t="s">
        <v>26</v>
      </c>
      <c r="O5238" s="10" t="s">
        <v>26</v>
      </c>
      <c r="P5238" s="8" t="s">
        <v>26</v>
      </c>
      <c r="Q5238" s="8">
        <f>(2618262*100)/2995732</f>
        <v>87.399740697766021</v>
      </c>
    </row>
    <row r="5239" spans="1:17" x14ac:dyDescent="0.2">
      <c r="A5239">
        <f>YEAR(D5239)</f>
        <v>2020</v>
      </c>
      <c r="B5239" t="s">
        <v>26</v>
      </c>
      <c r="C5239" s="2" t="s">
        <v>1540</v>
      </c>
      <c r="D5239" s="1">
        <v>44015</v>
      </c>
      <c r="E5239">
        <f>MONTH(D5239)</f>
        <v>7</v>
      </c>
      <c r="F5239" s="2" t="s">
        <v>2098</v>
      </c>
      <c r="G5239" t="s">
        <v>219</v>
      </c>
      <c r="H5239" t="s">
        <v>220</v>
      </c>
      <c r="I5239" t="s">
        <v>22</v>
      </c>
      <c r="J5239" s="2" t="s">
        <v>42</v>
      </c>
      <c r="K5239" s="2" t="s">
        <v>3019</v>
      </c>
      <c r="L5239" t="s">
        <v>25</v>
      </c>
      <c r="M5239" s="10" t="s">
        <v>26</v>
      </c>
      <c r="N5239" t="s">
        <v>26</v>
      </c>
      <c r="O5239" s="10" t="s">
        <v>26</v>
      </c>
      <c r="P5239" s="8" t="s">
        <v>26</v>
      </c>
      <c r="Q5239" s="8">
        <f>(2618262*100)/2995732</f>
        <v>87.399740697766021</v>
      </c>
    </row>
    <row r="5240" spans="1:17" x14ac:dyDescent="0.2">
      <c r="A5240">
        <f>YEAR(D5240)</f>
        <v>2020</v>
      </c>
      <c r="B5240" t="s">
        <v>26</v>
      </c>
      <c r="C5240" s="2" t="s">
        <v>1540</v>
      </c>
      <c r="D5240" s="1">
        <v>44015</v>
      </c>
      <c r="E5240">
        <f>MONTH(D5240)</f>
        <v>7</v>
      </c>
      <c r="F5240" s="2" t="s">
        <v>2098</v>
      </c>
      <c r="G5240" t="s">
        <v>219</v>
      </c>
      <c r="H5240" t="s">
        <v>220</v>
      </c>
      <c r="I5240" t="s">
        <v>22</v>
      </c>
      <c r="J5240" s="2" t="s">
        <v>42</v>
      </c>
      <c r="K5240" s="2" t="s">
        <v>3019</v>
      </c>
      <c r="L5240" t="s">
        <v>25</v>
      </c>
      <c r="M5240" s="10" t="s">
        <v>26</v>
      </c>
      <c r="N5240" t="s">
        <v>26</v>
      </c>
      <c r="O5240" s="10" t="s">
        <v>26</v>
      </c>
      <c r="P5240" s="8" t="s">
        <v>26</v>
      </c>
      <c r="Q5240" s="8">
        <f>(2618262*100)/2995732</f>
        <v>87.399740697766021</v>
      </c>
    </row>
    <row r="5241" spans="1:17" x14ac:dyDescent="0.2">
      <c r="A5241">
        <f>YEAR(D5241)</f>
        <v>2020</v>
      </c>
      <c r="B5241" t="s">
        <v>26</v>
      </c>
      <c r="C5241" s="2" t="s">
        <v>1540</v>
      </c>
      <c r="D5241" s="1">
        <v>44015</v>
      </c>
      <c r="E5241">
        <f>MONTH(D5241)</f>
        <v>7</v>
      </c>
      <c r="F5241" s="2" t="s">
        <v>2098</v>
      </c>
      <c r="G5241" t="s">
        <v>219</v>
      </c>
      <c r="H5241" t="s">
        <v>220</v>
      </c>
      <c r="I5241" t="s">
        <v>22</v>
      </c>
      <c r="J5241" s="2" t="s">
        <v>42</v>
      </c>
      <c r="K5241" s="2" t="s">
        <v>3019</v>
      </c>
      <c r="L5241" t="s">
        <v>25</v>
      </c>
      <c r="M5241" s="10" t="s">
        <v>26</v>
      </c>
      <c r="N5241" t="s">
        <v>26</v>
      </c>
      <c r="O5241" s="10" t="s">
        <v>26</v>
      </c>
      <c r="P5241" s="8" t="s">
        <v>26</v>
      </c>
      <c r="Q5241" s="8">
        <f>(2618262*100)/2995732</f>
        <v>87.399740697766021</v>
      </c>
    </row>
    <row r="5242" spans="1:17" x14ac:dyDescent="0.2">
      <c r="A5242">
        <f>YEAR(D5242)</f>
        <v>2020</v>
      </c>
      <c r="B5242" t="s">
        <v>26</v>
      </c>
      <c r="C5242" s="2" t="s">
        <v>1540</v>
      </c>
      <c r="D5242" s="1">
        <v>44015</v>
      </c>
      <c r="E5242">
        <f>MONTH(D5242)</f>
        <v>7</v>
      </c>
      <c r="F5242" s="2" t="s">
        <v>2098</v>
      </c>
      <c r="G5242" t="s">
        <v>219</v>
      </c>
      <c r="H5242" t="s">
        <v>220</v>
      </c>
      <c r="I5242" t="s">
        <v>22</v>
      </c>
      <c r="J5242" s="2" t="s">
        <v>42</v>
      </c>
      <c r="K5242" s="2" t="s">
        <v>3019</v>
      </c>
      <c r="L5242" t="s">
        <v>25</v>
      </c>
      <c r="M5242" s="10" t="s">
        <v>26</v>
      </c>
      <c r="N5242" t="s">
        <v>26</v>
      </c>
      <c r="O5242" s="10" t="s">
        <v>26</v>
      </c>
      <c r="P5242" s="8" t="s">
        <v>26</v>
      </c>
      <c r="Q5242" s="8">
        <f>(2618262*100)/2995732</f>
        <v>87.399740697766021</v>
      </c>
    </row>
    <row r="5243" spans="1:17" x14ac:dyDescent="0.2">
      <c r="A5243">
        <f>YEAR(D5243)</f>
        <v>2020</v>
      </c>
      <c r="B5243" t="s">
        <v>26</v>
      </c>
      <c r="C5243" s="2" t="s">
        <v>1540</v>
      </c>
      <c r="D5243" s="1">
        <v>44015</v>
      </c>
      <c r="E5243">
        <f>MONTH(D5243)</f>
        <v>7</v>
      </c>
      <c r="F5243" s="2" t="s">
        <v>2098</v>
      </c>
      <c r="G5243" t="s">
        <v>219</v>
      </c>
      <c r="H5243" t="s">
        <v>220</v>
      </c>
      <c r="I5243" t="s">
        <v>22</v>
      </c>
      <c r="J5243" s="2" t="s">
        <v>42</v>
      </c>
      <c r="K5243" s="2" t="s">
        <v>3019</v>
      </c>
      <c r="L5243" t="s">
        <v>25</v>
      </c>
      <c r="M5243" s="10" t="s">
        <v>26</v>
      </c>
      <c r="N5243" t="s">
        <v>26</v>
      </c>
      <c r="O5243" s="10" t="s">
        <v>26</v>
      </c>
      <c r="P5243" s="8" t="s">
        <v>26</v>
      </c>
      <c r="Q5243" s="8">
        <f>(2618262*100)/2995732</f>
        <v>87.399740697766021</v>
      </c>
    </row>
    <row r="5244" spans="1:17" x14ac:dyDescent="0.2">
      <c r="A5244">
        <f>YEAR(D5244)</f>
        <v>2020</v>
      </c>
      <c r="B5244" t="s">
        <v>26</v>
      </c>
      <c r="C5244" s="2" t="s">
        <v>1540</v>
      </c>
      <c r="D5244" s="1">
        <v>44015</v>
      </c>
      <c r="E5244">
        <f>MONTH(D5244)</f>
        <v>7</v>
      </c>
      <c r="F5244" s="2" t="s">
        <v>2098</v>
      </c>
      <c r="G5244" t="s">
        <v>219</v>
      </c>
      <c r="H5244" t="s">
        <v>220</v>
      </c>
      <c r="I5244" t="s">
        <v>22</v>
      </c>
      <c r="J5244" s="2" t="s">
        <v>42</v>
      </c>
      <c r="K5244" s="2" t="s">
        <v>3019</v>
      </c>
      <c r="L5244" t="s">
        <v>25</v>
      </c>
      <c r="M5244" s="10" t="s">
        <v>26</v>
      </c>
      <c r="N5244" t="s">
        <v>26</v>
      </c>
      <c r="O5244" s="10" t="s">
        <v>26</v>
      </c>
      <c r="P5244" s="8" t="s">
        <v>26</v>
      </c>
      <c r="Q5244" s="8">
        <f>(2618262*100)/2995732</f>
        <v>87.399740697766021</v>
      </c>
    </row>
    <row r="5245" spans="1:17" x14ac:dyDescent="0.2">
      <c r="A5245">
        <f>YEAR(D5245)</f>
        <v>2020</v>
      </c>
      <c r="B5245" t="s">
        <v>26</v>
      </c>
      <c r="C5245" s="2" t="s">
        <v>1540</v>
      </c>
      <c r="D5245" s="1">
        <v>44015</v>
      </c>
      <c r="E5245">
        <f>MONTH(D5245)</f>
        <v>7</v>
      </c>
      <c r="F5245" s="2" t="s">
        <v>2098</v>
      </c>
      <c r="G5245" t="s">
        <v>219</v>
      </c>
      <c r="H5245" t="s">
        <v>220</v>
      </c>
      <c r="I5245" t="s">
        <v>22</v>
      </c>
      <c r="J5245" s="2" t="s">
        <v>42</v>
      </c>
      <c r="K5245" s="2" t="s">
        <v>3019</v>
      </c>
      <c r="L5245" t="s">
        <v>25</v>
      </c>
      <c r="M5245" s="10" t="s">
        <v>26</v>
      </c>
      <c r="N5245" t="s">
        <v>26</v>
      </c>
      <c r="O5245" s="10" t="s">
        <v>26</v>
      </c>
      <c r="P5245" s="8" t="s">
        <v>26</v>
      </c>
      <c r="Q5245" s="8">
        <f>(2618262*100)/2995732</f>
        <v>87.399740697766021</v>
      </c>
    </row>
    <row r="5246" spans="1:17" x14ac:dyDescent="0.2">
      <c r="A5246">
        <f>YEAR(D5246)</f>
        <v>2020</v>
      </c>
      <c r="B5246" t="s">
        <v>26</v>
      </c>
      <c r="C5246" s="2" t="s">
        <v>1540</v>
      </c>
      <c r="D5246" s="1">
        <v>44015</v>
      </c>
      <c r="E5246">
        <f>MONTH(D5246)</f>
        <v>7</v>
      </c>
      <c r="F5246" s="2" t="s">
        <v>2098</v>
      </c>
      <c r="G5246" t="s">
        <v>219</v>
      </c>
      <c r="H5246" t="s">
        <v>220</v>
      </c>
      <c r="I5246" t="s">
        <v>22</v>
      </c>
      <c r="J5246" s="2" t="s">
        <v>42</v>
      </c>
      <c r="K5246" s="2" t="s">
        <v>3019</v>
      </c>
      <c r="L5246" t="s">
        <v>25</v>
      </c>
      <c r="M5246" s="10" t="s">
        <v>26</v>
      </c>
      <c r="N5246" t="s">
        <v>26</v>
      </c>
      <c r="O5246" s="10" t="s">
        <v>26</v>
      </c>
      <c r="P5246" s="8" t="s">
        <v>26</v>
      </c>
      <c r="Q5246" s="8">
        <f>(2618262*100)/2995732</f>
        <v>87.399740697766021</v>
      </c>
    </row>
    <row r="5247" spans="1:17" x14ac:dyDescent="0.2">
      <c r="A5247">
        <f>YEAR(D5247)</f>
        <v>2020</v>
      </c>
      <c r="B5247" t="s">
        <v>26</v>
      </c>
      <c r="C5247" s="2" t="s">
        <v>1540</v>
      </c>
      <c r="D5247" s="1">
        <v>44015</v>
      </c>
      <c r="E5247">
        <f>MONTH(D5247)</f>
        <v>7</v>
      </c>
      <c r="F5247" s="2" t="s">
        <v>2098</v>
      </c>
      <c r="G5247" t="s">
        <v>219</v>
      </c>
      <c r="H5247" t="s">
        <v>220</v>
      </c>
      <c r="I5247" t="s">
        <v>22</v>
      </c>
      <c r="J5247" s="2" t="s">
        <v>42</v>
      </c>
      <c r="K5247" s="2" t="s">
        <v>3019</v>
      </c>
      <c r="L5247" t="s">
        <v>25</v>
      </c>
      <c r="M5247" s="10" t="s">
        <v>26</v>
      </c>
      <c r="N5247" t="s">
        <v>26</v>
      </c>
      <c r="O5247" s="10" t="s">
        <v>26</v>
      </c>
      <c r="P5247" s="8" t="s">
        <v>26</v>
      </c>
      <c r="Q5247" s="8">
        <f>(2618262*100)/2995732</f>
        <v>87.399740697766021</v>
      </c>
    </row>
    <row r="5248" spans="1:17" x14ac:dyDescent="0.2">
      <c r="A5248">
        <f>YEAR(D5248)</f>
        <v>2020</v>
      </c>
      <c r="B5248" t="s">
        <v>26</v>
      </c>
      <c r="C5248" s="2" t="s">
        <v>1540</v>
      </c>
      <c r="D5248" s="1">
        <v>44015</v>
      </c>
      <c r="E5248">
        <f>MONTH(D5248)</f>
        <v>7</v>
      </c>
      <c r="F5248" s="2" t="s">
        <v>2098</v>
      </c>
      <c r="G5248" t="s">
        <v>219</v>
      </c>
      <c r="H5248" t="s">
        <v>220</v>
      </c>
      <c r="I5248" t="s">
        <v>22</v>
      </c>
      <c r="J5248" s="2" t="s">
        <v>42</v>
      </c>
      <c r="K5248" s="2" t="s">
        <v>3019</v>
      </c>
      <c r="L5248" t="s">
        <v>25</v>
      </c>
      <c r="M5248" s="10" t="s">
        <v>26</v>
      </c>
      <c r="N5248" t="s">
        <v>26</v>
      </c>
      <c r="O5248" s="10" t="s">
        <v>26</v>
      </c>
      <c r="P5248" s="8" t="s">
        <v>26</v>
      </c>
      <c r="Q5248" s="8">
        <f>(2618262*100)/2995732</f>
        <v>87.399740697766021</v>
      </c>
    </row>
    <row r="5249" spans="1:17" x14ac:dyDescent="0.2">
      <c r="A5249">
        <f>YEAR(D5249)</f>
        <v>2020</v>
      </c>
      <c r="B5249" t="s">
        <v>26</v>
      </c>
      <c r="C5249" s="2" t="s">
        <v>1540</v>
      </c>
      <c r="D5249" s="1">
        <v>44015</v>
      </c>
      <c r="E5249">
        <f>MONTH(D5249)</f>
        <v>7</v>
      </c>
      <c r="F5249" s="2" t="s">
        <v>2098</v>
      </c>
      <c r="G5249" t="s">
        <v>219</v>
      </c>
      <c r="H5249" t="s">
        <v>220</v>
      </c>
      <c r="I5249" t="s">
        <v>22</v>
      </c>
      <c r="J5249" s="2" t="s">
        <v>42</v>
      </c>
      <c r="K5249" s="2" t="s">
        <v>3019</v>
      </c>
      <c r="L5249" t="s">
        <v>25</v>
      </c>
      <c r="M5249" s="10" t="s">
        <v>26</v>
      </c>
      <c r="N5249" t="s">
        <v>26</v>
      </c>
      <c r="O5249" s="10" t="s">
        <v>26</v>
      </c>
      <c r="P5249" s="8" t="s">
        <v>26</v>
      </c>
      <c r="Q5249" s="8">
        <f>(2618262*100)/2995732</f>
        <v>87.399740697766021</v>
      </c>
    </row>
    <row r="5250" spans="1:17" x14ac:dyDescent="0.2">
      <c r="A5250">
        <f>YEAR(D5250)</f>
        <v>2020</v>
      </c>
      <c r="B5250" t="s">
        <v>26</v>
      </c>
      <c r="C5250" s="2" t="s">
        <v>1540</v>
      </c>
      <c r="D5250" s="1">
        <v>44015</v>
      </c>
      <c r="E5250">
        <f>MONTH(D5250)</f>
        <v>7</v>
      </c>
      <c r="F5250" s="2" t="s">
        <v>2098</v>
      </c>
      <c r="G5250" t="s">
        <v>219</v>
      </c>
      <c r="H5250" t="s">
        <v>220</v>
      </c>
      <c r="I5250" t="s">
        <v>22</v>
      </c>
      <c r="J5250" s="2" t="s">
        <v>42</v>
      </c>
      <c r="K5250" s="2" t="s">
        <v>3019</v>
      </c>
      <c r="L5250" t="s">
        <v>25</v>
      </c>
      <c r="M5250" s="10" t="s">
        <v>26</v>
      </c>
      <c r="N5250" t="s">
        <v>26</v>
      </c>
      <c r="O5250" s="10" t="s">
        <v>26</v>
      </c>
      <c r="P5250" s="8" t="s">
        <v>26</v>
      </c>
      <c r="Q5250" s="8">
        <f>(2618262*100)/2995732</f>
        <v>87.399740697766021</v>
      </c>
    </row>
    <row r="5251" spans="1:17" x14ac:dyDescent="0.2">
      <c r="A5251">
        <f>YEAR(D5251)</f>
        <v>2020</v>
      </c>
      <c r="B5251" t="s">
        <v>26</v>
      </c>
      <c r="C5251" s="2" t="s">
        <v>1540</v>
      </c>
      <c r="D5251" s="1">
        <v>44015</v>
      </c>
      <c r="E5251">
        <f>MONTH(D5251)</f>
        <v>7</v>
      </c>
      <c r="F5251" s="2" t="s">
        <v>2098</v>
      </c>
      <c r="G5251" t="s">
        <v>230</v>
      </c>
      <c r="H5251" t="s">
        <v>268</v>
      </c>
      <c r="I5251" t="s">
        <v>22</v>
      </c>
      <c r="J5251" s="2" t="s">
        <v>42</v>
      </c>
      <c r="K5251" s="2" t="s">
        <v>3019</v>
      </c>
      <c r="L5251" t="s">
        <v>25</v>
      </c>
      <c r="M5251" s="8">
        <v>3.5356666670000001</v>
      </c>
      <c r="N5251" t="s">
        <v>26</v>
      </c>
      <c r="O5251" s="8">
        <v>3.5356666670000001</v>
      </c>
      <c r="P5251" s="8">
        <f>EXP(-1.363+3.366*LOG(O5251,10))</f>
        <v>1.6211802664427075</v>
      </c>
      <c r="Q5251" s="8">
        <f>(2618262*100)/2995732</f>
        <v>87.399740697766021</v>
      </c>
    </row>
    <row r="5252" spans="1:17" x14ac:dyDescent="0.2">
      <c r="A5252">
        <f>YEAR(D5252)</f>
        <v>2020</v>
      </c>
      <c r="B5252" t="s">
        <v>26</v>
      </c>
      <c r="C5252" s="2" t="s">
        <v>1540</v>
      </c>
      <c r="D5252" s="1">
        <v>44015</v>
      </c>
      <c r="E5252">
        <f>MONTH(D5252)</f>
        <v>7</v>
      </c>
      <c r="F5252" s="2" t="s">
        <v>2098</v>
      </c>
      <c r="G5252" t="s">
        <v>230</v>
      </c>
      <c r="H5252" t="s">
        <v>268</v>
      </c>
      <c r="I5252" t="s">
        <v>22</v>
      </c>
      <c r="J5252" s="2" t="s">
        <v>42</v>
      </c>
      <c r="K5252" s="2" t="s">
        <v>3019</v>
      </c>
      <c r="L5252" t="s">
        <v>25</v>
      </c>
      <c r="M5252" s="8">
        <v>3.5356666670000001</v>
      </c>
      <c r="N5252" t="s">
        <v>26</v>
      </c>
      <c r="O5252" s="8">
        <v>3.5356666670000001</v>
      </c>
      <c r="P5252" s="8">
        <f>EXP(-1.363+3.366*LOG(O5252,10))</f>
        <v>1.6211802664427075</v>
      </c>
      <c r="Q5252" s="8">
        <f>(2618262*100)/2995732</f>
        <v>87.399740697766021</v>
      </c>
    </row>
    <row r="5253" spans="1:17" x14ac:dyDescent="0.2">
      <c r="A5253">
        <f>YEAR(D5253)</f>
        <v>2020</v>
      </c>
      <c r="B5253" t="s">
        <v>26</v>
      </c>
      <c r="C5253" s="2" t="s">
        <v>1540</v>
      </c>
      <c r="D5253" s="1">
        <v>44015</v>
      </c>
      <c r="E5253">
        <f>MONTH(D5253)</f>
        <v>7</v>
      </c>
      <c r="F5253" s="2" t="s">
        <v>2098</v>
      </c>
      <c r="G5253" t="s">
        <v>230</v>
      </c>
      <c r="H5253" t="s">
        <v>268</v>
      </c>
      <c r="I5253" t="s">
        <v>22</v>
      </c>
      <c r="J5253" s="2" t="s">
        <v>42</v>
      </c>
      <c r="K5253" s="2" t="s">
        <v>3019</v>
      </c>
      <c r="L5253" t="s">
        <v>25</v>
      </c>
      <c r="M5253" s="8">
        <v>3.5356666670000001</v>
      </c>
      <c r="N5253" t="s">
        <v>26</v>
      </c>
      <c r="O5253" s="8">
        <v>3.5356666670000001</v>
      </c>
      <c r="P5253" s="8">
        <f>EXP(-1.363+3.366*LOG(O5253,10))</f>
        <v>1.6211802664427075</v>
      </c>
      <c r="Q5253" s="8">
        <f>(2618262*100)/2995732</f>
        <v>87.399740697766021</v>
      </c>
    </row>
    <row r="5254" spans="1:17" x14ac:dyDescent="0.2">
      <c r="A5254">
        <f>YEAR(D5254)</f>
        <v>2020</v>
      </c>
      <c r="B5254" t="s">
        <v>26</v>
      </c>
      <c r="C5254" s="2" t="s">
        <v>1540</v>
      </c>
      <c r="D5254" s="1">
        <v>44015</v>
      </c>
      <c r="E5254">
        <f>MONTH(D5254)</f>
        <v>7</v>
      </c>
      <c r="F5254" s="2" t="s">
        <v>2098</v>
      </c>
      <c r="G5254" t="s">
        <v>230</v>
      </c>
      <c r="H5254" t="s">
        <v>259</v>
      </c>
      <c r="I5254" t="s">
        <v>36</v>
      </c>
      <c r="J5254" s="2" t="s">
        <v>42</v>
      </c>
      <c r="K5254" s="2" t="s">
        <v>3019</v>
      </c>
      <c r="L5254" t="s">
        <v>25</v>
      </c>
      <c r="M5254" s="8">
        <v>4.745333333333333</v>
      </c>
      <c r="N5254" t="s">
        <v>26</v>
      </c>
      <c r="O5254" s="8">
        <v>4.745333333333333</v>
      </c>
      <c r="P5254" s="8">
        <f>EXP(-1.363+3.366*LOG(O5254,10))</f>
        <v>2.4925687246325761</v>
      </c>
      <c r="Q5254" s="8">
        <f>(2618262*100)/2995732</f>
        <v>87.399740697766021</v>
      </c>
    </row>
    <row r="5255" spans="1:17" x14ac:dyDescent="0.2">
      <c r="A5255">
        <f>YEAR(D5255)</f>
        <v>2020</v>
      </c>
      <c r="B5255" t="s">
        <v>26</v>
      </c>
      <c r="C5255" s="2" t="s">
        <v>1540</v>
      </c>
      <c r="D5255" s="1">
        <v>44015</v>
      </c>
      <c r="E5255">
        <f>MONTH(D5255)</f>
        <v>7</v>
      </c>
      <c r="F5255" s="2" t="s">
        <v>2098</v>
      </c>
      <c r="G5255" t="s">
        <v>219</v>
      </c>
      <c r="H5255" t="s">
        <v>220</v>
      </c>
      <c r="I5255" t="s">
        <v>22</v>
      </c>
      <c r="J5255" s="2" t="s">
        <v>42</v>
      </c>
      <c r="K5255" s="2" t="s">
        <v>3019</v>
      </c>
      <c r="L5255" t="s">
        <v>25</v>
      </c>
      <c r="M5255" s="10" t="s">
        <v>26</v>
      </c>
      <c r="N5255" t="s">
        <v>26</v>
      </c>
      <c r="O5255" s="10" t="s">
        <v>26</v>
      </c>
      <c r="P5255" s="8" t="s">
        <v>26</v>
      </c>
      <c r="Q5255" s="8">
        <f>(2618262*100)/2995732</f>
        <v>87.399740697766021</v>
      </c>
    </row>
    <row r="5256" spans="1:17" x14ac:dyDescent="0.2">
      <c r="A5256">
        <f>YEAR(D5256)</f>
        <v>2020</v>
      </c>
      <c r="B5256" t="s">
        <v>26</v>
      </c>
      <c r="C5256" s="2" t="s">
        <v>1540</v>
      </c>
      <c r="D5256" s="1">
        <v>44015</v>
      </c>
      <c r="E5256">
        <f>MONTH(D5256)</f>
        <v>7</v>
      </c>
      <c r="F5256" s="2" t="s">
        <v>2098</v>
      </c>
      <c r="G5256" t="s">
        <v>352</v>
      </c>
      <c r="H5256" t="s">
        <v>1459</v>
      </c>
      <c r="I5256" t="s">
        <v>22</v>
      </c>
      <c r="J5256" s="2" t="s">
        <v>42</v>
      </c>
      <c r="K5256" s="2" t="s">
        <v>3019</v>
      </c>
      <c r="L5256" t="s">
        <v>25</v>
      </c>
      <c r="M5256" s="8">
        <v>1.1910000000000001</v>
      </c>
      <c r="N5256" t="s">
        <v>26</v>
      </c>
      <c r="O5256" s="8">
        <v>1.1910000000000001</v>
      </c>
      <c r="P5256" s="8">
        <f>EXP(-1.363+3.366*LOG(O5256,10))</f>
        <v>0.33039016297752993</v>
      </c>
      <c r="Q5256" s="8">
        <f>(2618262*100)/2995732</f>
        <v>87.399740697766021</v>
      </c>
    </row>
    <row r="5257" spans="1:17" x14ac:dyDescent="0.2">
      <c r="A5257">
        <f>YEAR(D5257)</f>
        <v>2020</v>
      </c>
      <c r="B5257" t="s">
        <v>26</v>
      </c>
      <c r="C5257" s="2" t="s">
        <v>1540</v>
      </c>
      <c r="D5257" s="1">
        <v>44015</v>
      </c>
      <c r="E5257">
        <f>MONTH(D5257)</f>
        <v>7</v>
      </c>
      <c r="F5257" s="2" t="s">
        <v>2098</v>
      </c>
      <c r="G5257" t="s">
        <v>362</v>
      </c>
      <c r="H5257" t="s">
        <v>421</v>
      </c>
      <c r="I5257" t="s">
        <v>22</v>
      </c>
      <c r="J5257" s="2" t="s">
        <v>42</v>
      </c>
      <c r="K5257" s="2" t="s">
        <v>3019</v>
      </c>
      <c r="L5257" t="s">
        <v>25</v>
      </c>
      <c r="M5257" s="8">
        <v>1.921333333</v>
      </c>
      <c r="N5257" t="s">
        <v>26</v>
      </c>
      <c r="O5257" s="8">
        <v>1.921333333</v>
      </c>
      <c r="P5257" s="8">
        <f>EXP(-1.363+3.366*LOG(O5257,10))</f>
        <v>0.66471742502276976</v>
      </c>
      <c r="Q5257" s="8">
        <f>(2618262*100)/2995732</f>
        <v>87.399740697766021</v>
      </c>
    </row>
    <row r="5258" spans="1:17" x14ac:dyDescent="0.2">
      <c r="A5258">
        <f>YEAR(D5258)</f>
        <v>2020</v>
      </c>
      <c r="B5258" t="s">
        <v>26</v>
      </c>
      <c r="C5258" s="2" t="s">
        <v>1540</v>
      </c>
      <c r="D5258" s="1">
        <v>44015</v>
      </c>
      <c r="E5258">
        <f>MONTH(D5258)</f>
        <v>7</v>
      </c>
      <c r="F5258" s="2" t="s">
        <v>2098</v>
      </c>
      <c r="G5258" s="2" t="s">
        <v>20</v>
      </c>
      <c r="H5258" t="s">
        <v>91</v>
      </c>
      <c r="I5258" t="s">
        <v>22</v>
      </c>
      <c r="J5258" s="2" t="s">
        <v>42</v>
      </c>
      <c r="K5258" s="2" t="s">
        <v>3019</v>
      </c>
      <c r="L5258" t="s">
        <v>25</v>
      </c>
      <c r="M5258" s="8">
        <v>2.0630000000000002</v>
      </c>
      <c r="N5258" t="s">
        <v>26</v>
      </c>
      <c r="O5258" s="8">
        <v>2.0630000000000002</v>
      </c>
      <c r="P5258" s="8">
        <f>EXP(-1.363+3.366*LOG(O5258,10))</f>
        <v>0.73756902742293162</v>
      </c>
      <c r="Q5258" s="8">
        <f>(2618262*100)/2995732</f>
        <v>87.399740697766021</v>
      </c>
    </row>
    <row r="5259" spans="1:17" x14ac:dyDescent="0.2">
      <c r="A5259">
        <f>YEAR(D5259)</f>
        <v>2020</v>
      </c>
      <c r="B5259" t="s">
        <v>26</v>
      </c>
      <c r="C5259" s="2" t="s">
        <v>1540</v>
      </c>
      <c r="D5259" s="1">
        <v>44015</v>
      </c>
      <c r="E5259">
        <f>MONTH(D5259)</f>
        <v>7</v>
      </c>
      <c r="F5259" s="2" t="s">
        <v>2098</v>
      </c>
      <c r="G5259" t="s">
        <v>20</v>
      </c>
      <c r="H5259" t="s">
        <v>149</v>
      </c>
      <c r="I5259" t="s">
        <v>22</v>
      </c>
      <c r="J5259" s="2" t="s">
        <v>42</v>
      </c>
      <c r="K5259" s="2" t="s">
        <v>3019</v>
      </c>
      <c r="L5259" t="s">
        <v>25</v>
      </c>
      <c r="M5259" s="8">
        <v>1.45</v>
      </c>
      <c r="N5259" t="s">
        <v>26</v>
      </c>
      <c r="O5259" s="8">
        <v>1.45</v>
      </c>
      <c r="P5259" s="8">
        <f>EXP(-1.363+3.366*LOG(O5259,10))</f>
        <v>0.44050419760124854</v>
      </c>
      <c r="Q5259" s="8">
        <f>(2618262*100)/2995732</f>
        <v>87.399740697766021</v>
      </c>
    </row>
    <row r="5260" spans="1:17" x14ac:dyDescent="0.2">
      <c r="A5260">
        <f>YEAR(D5260)</f>
        <v>2020</v>
      </c>
      <c r="B5260" t="s">
        <v>26</v>
      </c>
      <c r="C5260" s="2" t="s">
        <v>1540</v>
      </c>
      <c r="D5260" s="1">
        <v>44015</v>
      </c>
      <c r="E5260">
        <f>MONTH(D5260)</f>
        <v>7</v>
      </c>
      <c r="F5260" s="2" t="s">
        <v>2098</v>
      </c>
      <c r="G5260" t="s">
        <v>352</v>
      </c>
      <c r="H5260" t="s">
        <v>494</v>
      </c>
      <c r="I5260" t="s">
        <v>36</v>
      </c>
      <c r="J5260" s="2" t="s">
        <v>42</v>
      </c>
      <c r="K5260" s="2" t="s">
        <v>3019</v>
      </c>
      <c r="L5260" t="s">
        <v>25</v>
      </c>
      <c r="M5260" s="8">
        <v>1.5556666666666665</v>
      </c>
      <c r="N5260" t="s">
        <v>26</v>
      </c>
      <c r="O5260" s="8">
        <v>1.5556666666666665</v>
      </c>
      <c r="P5260" s="8">
        <f>EXP(-1.363+3.366*LOG(O5260,10))</f>
        <v>0.48821035747612018</v>
      </c>
      <c r="Q5260" s="8">
        <f>(2618262*100)/2995732</f>
        <v>87.399740697766021</v>
      </c>
    </row>
    <row r="5261" spans="1:17" x14ac:dyDescent="0.2">
      <c r="A5261">
        <f>YEAR(D5261)</f>
        <v>2020</v>
      </c>
      <c r="B5261" t="s">
        <v>26</v>
      </c>
      <c r="C5261" s="2" t="s">
        <v>1552</v>
      </c>
      <c r="D5261" s="1">
        <v>44015</v>
      </c>
      <c r="E5261">
        <f>MONTH(D5261)</f>
        <v>7</v>
      </c>
      <c r="F5261" s="2" t="s">
        <v>2098</v>
      </c>
      <c r="G5261" t="s">
        <v>352</v>
      </c>
      <c r="H5261" t="s">
        <v>1459</v>
      </c>
      <c r="I5261" t="s">
        <v>36</v>
      </c>
      <c r="J5261" s="2" t="s">
        <v>42</v>
      </c>
      <c r="K5261" s="2" t="s">
        <v>3019</v>
      </c>
      <c r="L5261" t="s">
        <v>25</v>
      </c>
      <c r="M5261" s="8">
        <v>1.0913333329999999</v>
      </c>
      <c r="N5261" t="s">
        <v>26</v>
      </c>
      <c r="O5261" s="8">
        <v>1.0913333329999999</v>
      </c>
      <c r="P5261" s="8">
        <f>EXP(-1.363+3.366*LOG(O5261,10))</f>
        <v>0.29076633015787234</v>
      </c>
      <c r="Q5261" s="8">
        <f>(3738946*100)/3915493</f>
        <v>95.491065875995687</v>
      </c>
    </row>
    <row r="5262" spans="1:17" x14ac:dyDescent="0.2">
      <c r="A5262">
        <f>YEAR(D5262)</f>
        <v>2020</v>
      </c>
      <c r="B5262" t="s">
        <v>26</v>
      </c>
      <c r="C5262" s="2" t="s">
        <v>1552</v>
      </c>
      <c r="D5262" s="1">
        <v>44015</v>
      </c>
      <c r="E5262">
        <f>MONTH(D5262)</f>
        <v>7</v>
      </c>
      <c r="F5262" s="2" t="s">
        <v>2098</v>
      </c>
      <c r="G5262" t="s">
        <v>332</v>
      </c>
      <c r="H5262" t="s">
        <v>327</v>
      </c>
      <c r="I5262" t="s">
        <v>36</v>
      </c>
      <c r="J5262" s="2" t="s">
        <v>42</v>
      </c>
      <c r="K5262" s="2" t="s">
        <v>3019</v>
      </c>
      <c r="L5262" t="s">
        <v>25</v>
      </c>
      <c r="M5262" s="8">
        <v>1.0693333330000001</v>
      </c>
      <c r="N5262" t="s">
        <v>26</v>
      </c>
      <c r="O5262" s="8">
        <v>1.0693333330000001</v>
      </c>
      <c r="P5262" s="8">
        <f>EXP(-1.363+3.366*LOG(O5262,10))</f>
        <v>0.28223780327142356</v>
      </c>
      <c r="Q5262" s="8">
        <f>(3738946*100)/3915493</f>
        <v>95.491065875995687</v>
      </c>
    </row>
    <row r="5263" spans="1:17" x14ac:dyDescent="0.2">
      <c r="A5263">
        <f>YEAR(D5263)</f>
        <v>2020</v>
      </c>
      <c r="B5263" t="s">
        <v>26</v>
      </c>
      <c r="C5263" s="2" t="s">
        <v>1552</v>
      </c>
      <c r="D5263" s="1">
        <v>44015</v>
      </c>
      <c r="E5263">
        <f>MONTH(D5263)</f>
        <v>7</v>
      </c>
      <c r="F5263" s="2" t="s">
        <v>2098</v>
      </c>
      <c r="G5263" t="s">
        <v>352</v>
      </c>
      <c r="H5263" t="s">
        <v>1459</v>
      </c>
      <c r="I5263" t="s">
        <v>36</v>
      </c>
      <c r="J5263" s="2" t="s">
        <v>42</v>
      </c>
      <c r="K5263" s="2" t="s">
        <v>3019</v>
      </c>
      <c r="L5263" t="s">
        <v>25</v>
      </c>
      <c r="M5263" s="8">
        <v>1.0913333329999999</v>
      </c>
      <c r="N5263" t="s">
        <v>26</v>
      </c>
      <c r="O5263" s="8">
        <v>1.0913333329999999</v>
      </c>
      <c r="P5263" s="8">
        <f>EXP(-1.363+3.366*LOG(O5263,10))</f>
        <v>0.29076633015787234</v>
      </c>
      <c r="Q5263" s="8">
        <f>(3738946*100)/3915493</f>
        <v>95.491065875995687</v>
      </c>
    </row>
    <row r="5264" spans="1:17" x14ac:dyDescent="0.2">
      <c r="A5264">
        <f>YEAR(D5264)</f>
        <v>2020</v>
      </c>
      <c r="B5264" t="s">
        <v>26</v>
      </c>
      <c r="C5264" s="2" t="s">
        <v>1552</v>
      </c>
      <c r="D5264" s="1">
        <v>44015</v>
      </c>
      <c r="E5264">
        <f>MONTH(D5264)</f>
        <v>7</v>
      </c>
      <c r="F5264" s="2" t="s">
        <v>2098</v>
      </c>
      <c r="G5264" t="s">
        <v>352</v>
      </c>
      <c r="H5264" t="s">
        <v>1459</v>
      </c>
      <c r="I5264" t="s">
        <v>36</v>
      </c>
      <c r="J5264" s="2" t="s">
        <v>42</v>
      </c>
      <c r="K5264" s="2" t="s">
        <v>3019</v>
      </c>
      <c r="L5264" t="s">
        <v>25</v>
      </c>
      <c r="M5264" s="8">
        <v>1.0913333329999999</v>
      </c>
      <c r="N5264" t="s">
        <v>26</v>
      </c>
      <c r="O5264" s="8">
        <v>1.0913333329999999</v>
      </c>
      <c r="P5264" s="8">
        <f>EXP(-1.363+3.366*LOG(O5264,10))</f>
        <v>0.29076633015787234</v>
      </c>
      <c r="Q5264" s="8">
        <f>(3738946*100)/3915493</f>
        <v>95.491065875995687</v>
      </c>
    </row>
    <row r="5265" spans="1:17" x14ac:dyDescent="0.2">
      <c r="A5265">
        <f>YEAR(D5265)</f>
        <v>2020</v>
      </c>
      <c r="B5265" t="s">
        <v>26</v>
      </c>
      <c r="C5265" s="2" t="s">
        <v>1552</v>
      </c>
      <c r="D5265" s="1">
        <v>44015</v>
      </c>
      <c r="E5265">
        <f>MONTH(D5265)</f>
        <v>7</v>
      </c>
      <c r="F5265" s="2" t="s">
        <v>2098</v>
      </c>
      <c r="G5265" t="s">
        <v>352</v>
      </c>
      <c r="H5265" t="s">
        <v>728</v>
      </c>
      <c r="I5265" t="s">
        <v>36</v>
      </c>
      <c r="J5265" s="2" t="s">
        <v>42</v>
      </c>
      <c r="K5265" s="2" t="s">
        <v>3019</v>
      </c>
      <c r="L5265" t="s">
        <v>187</v>
      </c>
      <c r="M5265" s="8">
        <v>1.376333333</v>
      </c>
      <c r="N5265" t="s">
        <v>26</v>
      </c>
      <c r="O5265" s="8">
        <v>1.376333333</v>
      </c>
      <c r="P5265" s="8">
        <f>EXP(-1.363+3.366*LOG(O5265,10))</f>
        <v>0.40817622737824627</v>
      </c>
      <c r="Q5265" s="8">
        <f>(3738946*100)/3915493</f>
        <v>95.491065875995687</v>
      </c>
    </row>
    <row r="5266" spans="1:17" x14ac:dyDescent="0.2">
      <c r="A5266">
        <f>YEAR(D5266)</f>
        <v>2020</v>
      </c>
      <c r="B5266" t="s">
        <v>26</v>
      </c>
      <c r="C5266" s="2" t="s">
        <v>1552</v>
      </c>
      <c r="D5266" s="1">
        <v>44015</v>
      </c>
      <c r="E5266">
        <f>MONTH(D5266)</f>
        <v>7</v>
      </c>
      <c r="F5266" s="2" t="s">
        <v>2098</v>
      </c>
      <c r="G5266" t="s">
        <v>352</v>
      </c>
      <c r="H5266" t="s">
        <v>728</v>
      </c>
      <c r="I5266" t="s">
        <v>36</v>
      </c>
      <c r="J5266" s="2" t="s">
        <v>42</v>
      </c>
      <c r="K5266" s="2" t="s">
        <v>3019</v>
      </c>
      <c r="L5266" t="s">
        <v>187</v>
      </c>
      <c r="M5266" s="8">
        <v>1.376333333</v>
      </c>
      <c r="N5266" t="s">
        <v>26</v>
      </c>
      <c r="O5266" s="8">
        <v>1.376333333</v>
      </c>
      <c r="P5266" s="8">
        <f>EXP(-1.363+3.366*LOG(O5266,10))</f>
        <v>0.40817622737824627</v>
      </c>
      <c r="Q5266" s="8">
        <f>(3738946*100)/3915493</f>
        <v>95.491065875995687</v>
      </c>
    </row>
    <row r="5267" spans="1:17" x14ac:dyDescent="0.2">
      <c r="A5267">
        <f>YEAR(D5267)</f>
        <v>2020</v>
      </c>
      <c r="B5267" t="s">
        <v>26</v>
      </c>
      <c r="C5267" s="2" t="s">
        <v>1552</v>
      </c>
      <c r="D5267" s="1">
        <v>44015</v>
      </c>
      <c r="E5267">
        <f>MONTH(D5267)</f>
        <v>7</v>
      </c>
      <c r="F5267" s="2" t="s">
        <v>2098</v>
      </c>
      <c r="G5267" t="s">
        <v>20</v>
      </c>
      <c r="H5267" t="s">
        <v>149</v>
      </c>
      <c r="I5267" t="s">
        <v>22</v>
      </c>
      <c r="J5267" s="2" t="s">
        <v>42</v>
      </c>
      <c r="K5267" s="2" t="s">
        <v>3019</v>
      </c>
      <c r="L5267" t="s">
        <v>25</v>
      </c>
      <c r="M5267" s="8">
        <v>1.45</v>
      </c>
      <c r="N5267" t="s">
        <v>26</v>
      </c>
      <c r="O5267" s="8">
        <v>1.45</v>
      </c>
      <c r="P5267" s="8">
        <f>EXP(-1.363+3.366*LOG(O5267,10))</f>
        <v>0.44050419760124854</v>
      </c>
      <c r="Q5267" s="8">
        <f>(3738946*100)/3915493</f>
        <v>95.491065875995687</v>
      </c>
    </row>
    <row r="5268" spans="1:17" x14ac:dyDescent="0.2">
      <c r="A5268">
        <f>YEAR(D5268)</f>
        <v>2020</v>
      </c>
      <c r="B5268" t="s">
        <v>26</v>
      </c>
      <c r="C5268" s="2" t="s">
        <v>1552</v>
      </c>
      <c r="D5268" s="1">
        <v>44015</v>
      </c>
      <c r="E5268">
        <f>MONTH(D5268)</f>
        <v>7</v>
      </c>
      <c r="F5268" s="2" t="s">
        <v>2098</v>
      </c>
      <c r="G5268" t="s">
        <v>352</v>
      </c>
      <c r="H5268" t="s">
        <v>728</v>
      </c>
      <c r="I5268" t="s">
        <v>36</v>
      </c>
      <c r="J5268" s="2" t="s">
        <v>42</v>
      </c>
      <c r="K5268" s="2" t="s">
        <v>3019</v>
      </c>
      <c r="L5268" t="s">
        <v>187</v>
      </c>
      <c r="M5268" s="8">
        <v>1.376333333</v>
      </c>
      <c r="N5268" t="s">
        <v>26</v>
      </c>
      <c r="O5268" s="8">
        <v>1.376333333</v>
      </c>
      <c r="P5268" s="8">
        <f>EXP(-1.363+3.366*LOG(O5268,10))</f>
        <v>0.40817622737824627</v>
      </c>
      <c r="Q5268" s="8">
        <f>(3738946*100)/3915493</f>
        <v>95.491065875995687</v>
      </c>
    </row>
    <row r="5269" spans="1:17" x14ac:dyDescent="0.2">
      <c r="A5269">
        <f>YEAR(D5269)</f>
        <v>2020</v>
      </c>
      <c r="B5269" t="s">
        <v>26</v>
      </c>
      <c r="C5269" s="2" t="s">
        <v>1552</v>
      </c>
      <c r="D5269" s="1">
        <v>44015</v>
      </c>
      <c r="E5269">
        <f>MONTH(D5269)</f>
        <v>7</v>
      </c>
      <c r="F5269" s="2" t="s">
        <v>2098</v>
      </c>
      <c r="G5269" t="s">
        <v>352</v>
      </c>
      <c r="H5269" t="s">
        <v>728</v>
      </c>
      <c r="I5269" t="s">
        <v>22</v>
      </c>
      <c r="J5269" s="2" t="s">
        <v>42</v>
      </c>
      <c r="K5269" s="2" t="s">
        <v>3019</v>
      </c>
      <c r="L5269" t="s">
        <v>187</v>
      </c>
      <c r="M5269" s="8">
        <v>1.8093333330000001</v>
      </c>
      <c r="N5269" t="s">
        <v>26</v>
      </c>
      <c r="O5269" s="8">
        <v>1.8093333330000001</v>
      </c>
      <c r="P5269" s="8">
        <f>EXP(-1.363+3.366*LOG(O5269,10))</f>
        <v>0.6088444603462565</v>
      </c>
      <c r="Q5269" s="8">
        <f>(3738946*100)/3915493</f>
        <v>95.491065875995687</v>
      </c>
    </row>
    <row r="5270" spans="1:17" x14ac:dyDescent="0.2">
      <c r="A5270">
        <f>YEAR(D5270)</f>
        <v>2020</v>
      </c>
      <c r="B5270" t="s">
        <v>26</v>
      </c>
      <c r="C5270" s="2" t="s">
        <v>3021</v>
      </c>
      <c r="D5270" s="1">
        <v>44018</v>
      </c>
      <c r="E5270">
        <f>MONTH(D5270)</f>
        <v>7</v>
      </c>
      <c r="F5270" s="2" t="s">
        <v>2098</v>
      </c>
      <c r="G5270" t="s">
        <v>230</v>
      </c>
      <c r="H5270" t="s">
        <v>268</v>
      </c>
      <c r="I5270" t="s">
        <v>22</v>
      </c>
      <c r="J5270" s="2" t="s">
        <v>42</v>
      </c>
      <c r="K5270" s="2" t="s">
        <v>3019</v>
      </c>
      <c r="L5270" t="s">
        <v>25</v>
      </c>
      <c r="M5270" s="8">
        <v>3.5356666670000001</v>
      </c>
      <c r="N5270" t="s">
        <v>26</v>
      </c>
      <c r="O5270" s="8">
        <v>3.5356666670000001</v>
      </c>
      <c r="P5270" s="8">
        <f>EXP(-1.363+3.366*LOG(O5270,10))</f>
        <v>1.6211802664427075</v>
      </c>
      <c r="Q5270" s="8">
        <f>(1845879*100)/1946364</f>
        <v>94.837296620775973</v>
      </c>
    </row>
    <row r="5271" spans="1:17" x14ac:dyDescent="0.2">
      <c r="A5271">
        <f>YEAR(D5271)</f>
        <v>2020</v>
      </c>
      <c r="B5271" t="s">
        <v>26</v>
      </c>
      <c r="C5271" s="2" t="s">
        <v>3021</v>
      </c>
      <c r="D5271" s="1">
        <v>44018</v>
      </c>
      <c r="E5271">
        <f>MONTH(D5271)</f>
        <v>7</v>
      </c>
      <c r="F5271" s="2" t="s">
        <v>2098</v>
      </c>
      <c r="G5271" t="s">
        <v>230</v>
      </c>
      <c r="H5271" t="s">
        <v>268</v>
      </c>
      <c r="I5271" t="s">
        <v>22</v>
      </c>
      <c r="J5271" s="2" t="s">
        <v>42</v>
      </c>
      <c r="K5271" s="2" t="s">
        <v>3019</v>
      </c>
      <c r="L5271" t="s">
        <v>25</v>
      </c>
      <c r="M5271" s="8">
        <v>3.5356666670000001</v>
      </c>
      <c r="N5271" t="s">
        <v>26</v>
      </c>
      <c r="O5271" s="8">
        <v>3.5356666670000001</v>
      </c>
      <c r="P5271" s="8">
        <f>EXP(-1.363+3.366*LOG(O5271,10))</f>
        <v>1.6211802664427075</v>
      </c>
      <c r="Q5271" s="8">
        <f>(1845879*100)/1946364</f>
        <v>94.837296620775973</v>
      </c>
    </row>
    <row r="5272" spans="1:17" x14ac:dyDescent="0.2">
      <c r="A5272">
        <f>YEAR(D5272)</f>
        <v>2020</v>
      </c>
      <c r="B5272" t="s">
        <v>26</v>
      </c>
      <c r="C5272" s="2" t="s">
        <v>3021</v>
      </c>
      <c r="D5272" s="1">
        <v>44018</v>
      </c>
      <c r="E5272">
        <f>MONTH(D5272)</f>
        <v>7</v>
      </c>
      <c r="F5272" s="2" t="s">
        <v>2098</v>
      </c>
      <c r="G5272" t="s">
        <v>230</v>
      </c>
      <c r="H5272" t="s">
        <v>268</v>
      </c>
      <c r="I5272" t="s">
        <v>22</v>
      </c>
      <c r="J5272" s="2" t="s">
        <v>42</v>
      </c>
      <c r="K5272" s="2" t="s">
        <v>3019</v>
      </c>
      <c r="L5272" t="s">
        <v>25</v>
      </c>
      <c r="M5272" s="8">
        <v>3.5356666670000001</v>
      </c>
      <c r="N5272" t="s">
        <v>26</v>
      </c>
      <c r="O5272" s="8">
        <v>3.5356666670000001</v>
      </c>
      <c r="P5272" s="8">
        <f>EXP(-1.363+3.366*LOG(O5272,10))</f>
        <v>1.6211802664427075</v>
      </c>
      <c r="Q5272" s="8">
        <f>(1845879*100)/1946364</f>
        <v>94.837296620775973</v>
      </c>
    </row>
    <row r="5273" spans="1:17" x14ac:dyDescent="0.2">
      <c r="A5273">
        <f>YEAR(D5273)</f>
        <v>2020</v>
      </c>
      <c r="B5273" t="s">
        <v>26</v>
      </c>
      <c r="C5273" s="2" t="s">
        <v>3021</v>
      </c>
      <c r="D5273" s="1">
        <v>44018</v>
      </c>
      <c r="E5273">
        <f>MONTH(D5273)</f>
        <v>7</v>
      </c>
      <c r="F5273" s="2" t="s">
        <v>2098</v>
      </c>
      <c r="G5273" t="s">
        <v>230</v>
      </c>
      <c r="H5273" t="s">
        <v>268</v>
      </c>
      <c r="I5273" t="s">
        <v>22</v>
      </c>
      <c r="J5273" s="2" t="s">
        <v>42</v>
      </c>
      <c r="K5273" s="2" t="s">
        <v>3019</v>
      </c>
      <c r="L5273" t="s">
        <v>25</v>
      </c>
      <c r="M5273" s="8">
        <v>3.5356666670000001</v>
      </c>
      <c r="N5273" t="s">
        <v>26</v>
      </c>
      <c r="O5273" s="8">
        <v>3.5356666670000001</v>
      </c>
      <c r="P5273" s="8">
        <f>EXP(-1.363+3.366*LOG(O5273,10))</f>
        <v>1.6211802664427075</v>
      </c>
      <c r="Q5273" s="8">
        <f>(1845879*100)/1946364</f>
        <v>94.837296620775973</v>
      </c>
    </row>
    <row r="5274" spans="1:17" x14ac:dyDescent="0.2">
      <c r="A5274">
        <f>YEAR(D5274)</f>
        <v>2020</v>
      </c>
      <c r="B5274" t="s">
        <v>26</v>
      </c>
      <c r="C5274" s="2" t="s">
        <v>3021</v>
      </c>
      <c r="D5274" s="1">
        <v>44018</v>
      </c>
      <c r="E5274">
        <f>MONTH(D5274)</f>
        <v>7</v>
      </c>
      <c r="F5274" s="2" t="s">
        <v>2098</v>
      </c>
      <c r="G5274" t="s">
        <v>230</v>
      </c>
      <c r="H5274" t="s">
        <v>268</v>
      </c>
      <c r="I5274" t="s">
        <v>22</v>
      </c>
      <c r="J5274" s="2" t="s">
        <v>42</v>
      </c>
      <c r="K5274" s="2" t="s">
        <v>3019</v>
      </c>
      <c r="L5274" t="s">
        <v>25</v>
      </c>
      <c r="M5274" s="8">
        <v>3.5356666670000001</v>
      </c>
      <c r="N5274" t="s">
        <v>26</v>
      </c>
      <c r="O5274" s="8">
        <v>3.5356666670000001</v>
      </c>
      <c r="P5274" s="8">
        <f>EXP(-1.363+3.366*LOG(O5274,10))</f>
        <v>1.6211802664427075</v>
      </c>
      <c r="Q5274" s="8">
        <f>(1845879*100)/1946364</f>
        <v>94.837296620775973</v>
      </c>
    </row>
    <row r="5275" spans="1:17" x14ac:dyDescent="0.2">
      <c r="A5275">
        <f>YEAR(D5275)</f>
        <v>2020</v>
      </c>
      <c r="B5275" t="s">
        <v>26</v>
      </c>
      <c r="C5275" s="2" t="s">
        <v>3021</v>
      </c>
      <c r="D5275" s="1">
        <v>44018</v>
      </c>
      <c r="E5275">
        <f>MONTH(D5275)</f>
        <v>7</v>
      </c>
      <c r="F5275" s="2" t="s">
        <v>2098</v>
      </c>
      <c r="G5275" t="s">
        <v>230</v>
      </c>
      <c r="H5275" t="s">
        <v>268</v>
      </c>
      <c r="I5275" t="s">
        <v>22</v>
      </c>
      <c r="J5275" s="2" t="s">
        <v>42</v>
      </c>
      <c r="K5275" s="2" t="s">
        <v>3019</v>
      </c>
      <c r="L5275" t="s">
        <v>25</v>
      </c>
      <c r="M5275" s="8">
        <v>3.5356666670000001</v>
      </c>
      <c r="N5275" t="s">
        <v>26</v>
      </c>
      <c r="O5275" s="8">
        <v>3.5356666670000001</v>
      </c>
      <c r="P5275" s="8">
        <f>EXP(-1.363+3.366*LOG(O5275,10))</f>
        <v>1.6211802664427075</v>
      </c>
      <c r="Q5275" s="8">
        <f>(1845879*100)/1946364</f>
        <v>94.837296620775973</v>
      </c>
    </row>
    <row r="5276" spans="1:17" x14ac:dyDescent="0.2">
      <c r="A5276">
        <f>YEAR(D5276)</f>
        <v>2020</v>
      </c>
      <c r="B5276" t="s">
        <v>26</v>
      </c>
      <c r="C5276" s="2" t="s">
        <v>3021</v>
      </c>
      <c r="D5276" s="1">
        <v>44018</v>
      </c>
      <c r="E5276">
        <f>MONTH(D5276)</f>
        <v>7</v>
      </c>
      <c r="F5276" s="2" t="s">
        <v>2098</v>
      </c>
      <c r="G5276" t="s">
        <v>230</v>
      </c>
      <c r="H5276" t="s">
        <v>268</v>
      </c>
      <c r="I5276" t="s">
        <v>22</v>
      </c>
      <c r="J5276" s="2" t="s">
        <v>42</v>
      </c>
      <c r="K5276" s="2" t="s">
        <v>3019</v>
      </c>
      <c r="L5276" t="s">
        <v>25</v>
      </c>
      <c r="M5276" s="8">
        <v>3.5356666670000001</v>
      </c>
      <c r="N5276" t="s">
        <v>26</v>
      </c>
      <c r="O5276" s="8">
        <v>3.5356666670000001</v>
      </c>
      <c r="P5276" s="8">
        <f>EXP(-1.363+3.366*LOG(O5276,10))</f>
        <v>1.6211802664427075</v>
      </c>
      <c r="Q5276" s="8">
        <f>(1845879*100)/1946364</f>
        <v>94.837296620775973</v>
      </c>
    </row>
    <row r="5277" spans="1:17" x14ac:dyDescent="0.2">
      <c r="A5277">
        <f>YEAR(D5277)</f>
        <v>2020</v>
      </c>
      <c r="B5277" t="s">
        <v>26</v>
      </c>
      <c r="C5277" s="2" t="s">
        <v>3020</v>
      </c>
      <c r="D5277" s="1">
        <v>44018</v>
      </c>
      <c r="E5277">
        <f>MONTH(D5277)</f>
        <v>7</v>
      </c>
      <c r="F5277" s="2" t="s">
        <v>2098</v>
      </c>
      <c r="G5277" t="s">
        <v>230</v>
      </c>
      <c r="H5277" t="s">
        <v>268</v>
      </c>
      <c r="I5277" t="s">
        <v>22</v>
      </c>
      <c r="J5277" s="2" t="s">
        <v>42</v>
      </c>
      <c r="K5277" s="2" t="s">
        <v>3019</v>
      </c>
      <c r="L5277" t="s">
        <v>25</v>
      </c>
      <c r="M5277" s="8">
        <v>3.5356666670000001</v>
      </c>
      <c r="N5277" t="s">
        <v>26</v>
      </c>
      <c r="O5277" s="8">
        <v>3.5356666670000001</v>
      </c>
      <c r="P5277" s="8">
        <f>EXP(-1.363+3.366*LOG(O5277,10))</f>
        <v>1.6211802664427075</v>
      </c>
      <c r="Q5277" s="8">
        <f>(3359412*100)/3462762</f>
        <v>97.015388294084318</v>
      </c>
    </row>
    <row r="5278" spans="1:17" x14ac:dyDescent="0.2">
      <c r="A5278">
        <f>YEAR(D5278)</f>
        <v>2020</v>
      </c>
      <c r="B5278" t="s">
        <v>26</v>
      </c>
      <c r="C5278" s="2" t="s">
        <v>3020</v>
      </c>
      <c r="D5278" s="1">
        <v>44018</v>
      </c>
      <c r="E5278">
        <f>MONTH(D5278)</f>
        <v>7</v>
      </c>
      <c r="F5278" s="2" t="s">
        <v>2098</v>
      </c>
      <c r="G5278" t="s">
        <v>230</v>
      </c>
      <c r="H5278" t="s">
        <v>268</v>
      </c>
      <c r="I5278" t="s">
        <v>36</v>
      </c>
      <c r="J5278" s="2" t="s">
        <v>42</v>
      </c>
      <c r="K5278" s="2" t="s">
        <v>3019</v>
      </c>
      <c r="L5278" t="s">
        <v>25</v>
      </c>
      <c r="M5278" s="8">
        <v>3.3683333329999998</v>
      </c>
      <c r="N5278" t="s">
        <v>26</v>
      </c>
      <c r="O5278" s="8">
        <v>3.3683333329999998</v>
      </c>
      <c r="P5278" s="8">
        <f>EXP(-1.363+3.366*LOG(O5278,10))</f>
        <v>1.510255893489963</v>
      </c>
      <c r="Q5278" s="8">
        <f>(3359412*100)/3462762</f>
        <v>97.015388294084318</v>
      </c>
    </row>
    <row r="5279" spans="1:17" x14ac:dyDescent="0.2">
      <c r="A5279">
        <f>YEAR(D5279)</f>
        <v>2020</v>
      </c>
      <c r="B5279" t="s">
        <v>26</v>
      </c>
      <c r="C5279" s="2" t="s">
        <v>3020</v>
      </c>
      <c r="D5279" s="1">
        <v>44018</v>
      </c>
      <c r="E5279">
        <f>MONTH(D5279)</f>
        <v>7</v>
      </c>
      <c r="F5279" s="2" t="s">
        <v>2098</v>
      </c>
      <c r="G5279" t="s">
        <v>230</v>
      </c>
      <c r="H5279" t="s">
        <v>268</v>
      </c>
      <c r="I5279" t="s">
        <v>22</v>
      </c>
      <c r="J5279" s="2" t="s">
        <v>42</v>
      </c>
      <c r="K5279" s="2" t="s">
        <v>3019</v>
      </c>
      <c r="L5279" t="s">
        <v>25</v>
      </c>
      <c r="M5279" s="8">
        <v>3.5356666670000001</v>
      </c>
      <c r="N5279" t="s">
        <v>26</v>
      </c>
      <c r="O5279" s="8">
        <v>3.5356666670000001</v>
      </c>
      <c r="P5279" s="8">
        <f>EXP(-1.363+3.366*LOG(O5279,10))</f>
        <v>1.6211802664427075</v>
      </c>
      <c r="Q5279" s="8">
        <f>(3359412*100)/3462762</f>
        <v>97.015388294084318</v>
      </c>
    </row>
    <row r="5280" spans="1:17" x14ac:dyDescent="0.2">
      <c r="A5280">
        <f>YEAR(D5280)</f>
        <v>2020</v>
      </c>
      <c r="B5280" t="s">
        <v>26</v>
      </c>
      <c r="C5280" s="2" t="s">
        <v>3020</v>
      </c>
      <c r="D5280" s="1">
        <v>44018</v>
      </c>
      <c r="E5280">
        <f>MONTH(D5280)</f>
        <v>7</v>
      </c>
      <c r="F5280" s="2" t="s">
        <v>2098</v>
      </c>
      <c r="G5280" t="s">
        <v>219</v>
      </c>
      <c r="H5280" t="s">
        <v>220</v>
      </c>
      <c r="I5280" t="s">
        <v>22</v>
      </c>
      <c r="J5280" s="2" t="s">
        <v>42</v>
      </c>
      <c r="K5280" s="2" t="s">
        <v>3019</v>
      </c>
      <c r="L5280" t="s">
        <v>25</v>
      </c>
      <c r="M5280" s="10" t="s">
        <v>26</v>
      </c>
      <c r="N5280" t="s">
        <v>26</v>
      </c>
      <c r="O5280" s="10" t="s">
        <v>26</v>
      </c>
      <c r="P5280" s="8" t="s">
        <v>26</v>
      </c>
      <c r="Q5280" s="8">
        <f>(3359412*100)/3462762</f>
        <v>97.015388294084318</v>
      </c>
    </row>
    <row r="5281" spans="1:17" x14ac:dyDescent="0.2">
      <c r="A5281">
        <f>YEAR(D5281)</f>
        <v>2020</v>
      </c>
      <c r="B5281" t="s">
        <v>26</v>
      </c>
      <c r="C5281" s="2" t="s">
        <v>3020</v>
      </c>
      <c r="D5281" s="1">
        <v>44018</v>
      </c>
      <c r="E5281">
        <f>MONTH(D5281)</f>
        <v>7</v>
      </c>
      <c r="F5281" s="2" t="s">
        <v>2098</v>
      </c>
      <c r="G5281" t="s">
        <v>219</v>
      </c>
      <c r="H5281" t="s">
        <v>220</v>
      </c>
      <c r="I5281" t="s">
        <v>22</v>
      </c>
      <c r="J5281" s="2" t="s">
        <v>42</v>
      </c>
      <c r="K5281" s="2" t="s">
        <v>3019</v>
      </c>
      <c r="L5281" t="s">
        <v>25</v>
      </c>
      <c r="M5281" s="10" t="s">
        <v>26</v>
      </c>
      <c r="N5281" t="s">
        <v>26</v>
      </c>
      <c r="O5281" s="10" t="s">
        <v>26</v>
      </c>
      <c r="P5281" s="8" t="s">
        <v>26</v>
      </c>
      <c r="Q5281" s="8">
        <f>(3359412*100)/3462762</f>
        <v>97.015388294084318</v>
      </c>
    </row>
    <row r="5282" spans="1:17" x14ac:dyDescent="0.2">
      <c r="A5282">
        <f>YEAR(D5282)</f>
        <v>2020</v>
      </c>
      <c r="B5282" t="s">
        <v>26</v>
      </c>
      <c r="C5282" s="2" t="s">
        <v>3020</v>
      </c>
      <c r="D5282" s="1">
        <v>44018</v>
      </c>
      <c r="E5282">
        <f>MONTH(D5282)</f>
        <v>7</v>
      </c>
      <c r="F5282" s="2" t="s">
        <v>2098</v>
      </c>
      <c r="G5282" t="s">
        <v>219</v>
      </c>
      <c r="H5282" t="s">
        <v>220</v>
      </c>
      <c r="I5282" t="s">
        <v>22</v>
      </c>
      <c r="J5282" s="2" t="s">
        <v>42</v>
      </c>
      <c r="K5282" s="2" t="s">
        <v>3019</v>
      </c>
      <c r="L5282" t="s">
        <v>25</v>
      </c>
      <c r="M5282" s="10" t="s">
        <v>26</v>
      </c>
      <c r="N5282" t="s">
        <v>26</v>
      </c>
      <c r="O5282" s="10" t="s">
        <v>26</v>
      </c>
      <c r="P5282" s="8" t="s">
        <v>26</v>
      </c>
      <c r="Q5282" s="8">
        <f>(3359412*100)/3462762</f>
        <v>97.015388294084318</v>
      </c>
    </row>
    <row r="5283" spans="1:17" x14ac:dyDescent="0.2">
      <c r="A5283">
        <f>YEAR(D5283)</f>
        <v>2020</v>
      </c>
      <c r="B5283" t="s">
        <v>26</v>
      </c>
      <c r="C5283" s="2" t="s">
        <v>3020</v>
      </c>
      <c r="D5283" s="1">
        <v>44018</v>
      </c>
      <c r="E5283">
        <f>MONTH(D5283)</f>
        <v>7</v>
      </c>
      <c r="F5283" s="2" t="s">
        <v>2098</v>
      </c>
      <c r="G5283" t="s">
        <v>2566</v>
      </c>
      <c r="H5283" t="s">
        <v>2567</v>
      </c>
      <c r="I5283" t="s">
        <v>22</v>
      </c>
      <c r="J5283" s="2" t="s">
        <v>42</v>
      </c>
      <c r="K5283" s="2" t="s">
        <v>3019</v>
      </c>
      <c r="L5283" t="s">
        <v>25</v>
      </c>
      <c r="M5283" s="8">
        <v>2.3330000000000002</v>
      </c>
      <c r="N5283" t="s">
        <v>26</v>
      </c>
      <c r="O5283" s="8">
        <v>2.3330000000000002</v>
      </c>
      <c r="P5283" s="8">
        <f>EXP(-1.363+3.366*LOG(O5283,10))</f>
        <v>0.88285086432213955</v>
      </c>
      <c r="Q5283" s="8">
        <f>(3359412*100)/3462762</f>
        <v>97.015388294084318</v>
      </c>
    </row>
    <row r="5284" spans="1:17" x14ac:dyDescent="0.2">
      <c r="A5284">
        <f>YEAR(D5284)</f>
        <v>2020</v>
      </c>
      <c r="B5284" t="s">
        <v>26</v>
      </c>
      <c r="C5284" s="2" t="s">
        <v>3020</v>
      </c>
      <c r="D5284" s="1">
        <v>44018</v>
      </c>
      <c r="E5284">
        <f>MONTH(D5284)</f>
        <v>7</v>
      </c>
      <c r="F5284" s="2" t="s">
        <v>2098</v>
      </c>
      <c r="G5284" t="s">
        <v>219</v>
      </c>
      <c r="H5284" t="s">
        <v>220</v>
      </c>
      <c r="I5284" t="s">
        <v>22</v>
      </c>
      <c r="J5284" s="2" t="s">
        <v>42</v>
      </c>
      <c r="K5284" s="2" t="s">
        <v>3019</v>
      </c>
      <c r="L5284" t="s">
        <v>25</v>
      </c>
      <c r="M5284" s="10" t="s">
        <v>26</v>
      </c>
      <c r="N5284" t="s">
        <v>26</v>
      </c>
      <c r="O5284" s="10" t="s">
        <v>26</v>
      </c>
      <c r="P5284" s="8" t="s">
        <v>26</v>
      </c>
      <c r="Q5284" s="8">
        <f>(3359412*100)/3462762</f>
        <v>97.015388294084318</v>
      </c>
    </row>
    <row r="5285" spans="1:17" x14ac:dyDescent="0.2">
      <c r="A5285">
        <f>YEAR(D5285)</f>
        <v>2020</v>
      </c>
      <c r="B5285" t="s">
        <v>26</v>
      </c>
      <c r="C5285" s="2" t="s">
        <v>3020</v>
      </c>
      <c r="D5285" s="1">
        <v>44018</v>
      </c>
      <c r="E5285">
        <f>MONTH(D5285)</f>
        <v>7</v>
      </c>
      <c r="F5285" s="2" t="s">
        <v>2098</v>
      </c>
      <c r="G5285" t="s">
        <v>230</v>
      </c>
      <c r="H5285" t="s">
        <v>268</v>
      </c>
      <c r="I5285" t="s">
        <v>22</v>
      </c>
      <c r="J5285" s="2" t="s">
        <v>42</v>
      </c>
      <c r="K5285" s="2" t="s">
        <v>3019</v>
      </c>
      <c r="L5285" t="s">
        <v>25</v>
      </c>
      <c r="M5285" s="8">
        <v>3.5356666670000001</v>
      </c>
      <c r="N5285" t="s">
        <v>26</v>
      </c>
      <c r="O5285" s="8">
        <v>3.5356666670000001</v>
      </c>
      <c r="P5285" s="8">
        <f>EXP(-1.363+3.366*LOG(O5285,10))</f>
        <v>1.6211802664427075</v>
      </c>
      <c r="Q5285" s="8">
        <f>(3359412*100)/3462762</f>
        <v>97.015388294084318</v>
      </c>
    </row>
    <row r="5286" spans="1:17" x14ac:dyDescent="0.2">
      <c r="A5286">
        <f>YEAR(D5286)</f>
        <v>2020</v>
      </c>
      <c r="B5286" t="s">
        <v>26</v>
      </c>
      <c r="C5286" s="2" t="s">
        <v>3020</v>
      </c>
      <c r="D5286" s="1">
        <v>44018</v>
      </c>
      <c r="E5286">
        <f>MONTH(D5286)</f>
        <v>7</v>
      </c>
      <c r="F5286" s="2" t="s">
        <v>2098</v>
      </c>
      <c r="G5286" t="s">
        <v>230</v>
      </c>
      <c r="H5286" t="s">
        <v>268</v>
      </c>
      <c r="I5286" t="s">
        <v>22</v>
      </c>
      <c r="J5286" s="2" t="s">
        <v>42</v>
      </c>
      <c r="K5286" s="2" t="s">
        <v>3019</v>
      </c>
      <c r="L5286" t="s">
        <v>25</v>
      </c>
      <c r="M5286" s="8">
        <v>3.5356666670000001</v>
      </c>
      <c r="N5286" t="s">
        <v>26</v>
      </c>
      <c r="O5286" s="8">
        <v>3.5356666670000001</v>
      </c>
      <c r="P5286" s="8">
        <f>EXP(-1.363+3.366*LOG(O5286,10))</f>
        <v>1.6211802664427075</v>
      </c>
      <c r="Q5286" s="8">
        <f>(3359412*100)/3462762</f>
        <v>97.015388294084318</v>
      </c>
    </row>
    <row r="5287" spans="1:17" x14ac:dyDescent="0.2">
      <c r="A5287">
        <f>YEAR(D5287)</f>
        <v>2020</v>
      </c>
      <c r="B5287" t="s">
        <v>26</v>
      </c>
      <c r="C5287" s="2" t="s">
        <v>3021</v>
      </c>
      <c r="D5287" s="1">
        <v>44018</v>
      </c>
      <c r="E5287">
        <f>MONTH(D5287)</f>
        <v>7</v>
      </c>
      <c r="F5287" s="2" t="s">
        <v>2098</v>
      </c>
      <c r="G5287" t="s">
        <v>352</v>
      </c>
      <c r="H5287" t="s">
        <v>975</v>
      </c>
      <c r="I5287" t="s">
        <v>22</v>
      </c>
      <c r="J5287" s="2" t="s">
        <v>42</v>
      </c>
      <c r="K5287" s="2" t="s">
        <v>3019</v>
      </c>
      <c r="L5287" t="s">
        <v>25</v>
      </c>
      <c r="M5287" s="8">
        <v>1.0693333330000001</v>
      </c>
      <c r="N5287" t="s">
        <v>26</v>
      </c>
      <c r="O5287" s="8">
        <v>1.0693333330000001</v>
      </c>
      <c r="P5287" s="8">
        <f>EXP(-1.363+3.366*LOG(O5287,10))</f>
        <v>0.28223780327142356</v>
      </c>
      <c r="Q5287" s="8">
        <f>(1845879*100)/1946364</f>
        <v>94.837296620775973</v>
      </c>
    </row>
    <row r="5288" spans="1:17" x14ac:dyDescent="0.2">
      <c r="A5288">
        <f>YEAR(D5288)</f>
        <v>2020</v>
      </c>
      <c r="B5288" t="s">
        <v>26</v>
      </c>
      <c r="C5288" s="2" t="s">
        <v>3020</v>
      </c>
      <c r="D5288" s="1">
        <v>44018</v>
      </c>
      <c r="E5288">
        <f>MONTH(D5288)</f>
        <v>7</v>
      </c>
      <c r="F5288" s="2" t="s">
        <v>2098</v>
      </c>
      <c r="G5288" t="s">
        <v>1512</v>
      </c>
      <c r="H5288" t="s">
        <v>1515</v>
      </c>
      <c r="I5288" t="s">
        <v>22</v>
      </c>
      <c r="J5288" s="2" t="s">
        <v>42</v>
      </c>
      <c r="K5288" s="2" t="s">
        <v>3019</v>
      </c>
      <c r="L5288" t="s">
        <v>187</v>
      </c>
      <c r="M5288" s="8">
        <v>1.477333333</v>
      </c>
      <c r="N5288" t="s">
        <v>26</v>
      </c>
      <c r="O5288" s="8">
        <v>1.477333333</v>
      </c>
      <c r="P5288" s="8">
        <f>EXP(-1.363+3.366*LOG(O5288,10))</f>
        <v>0.45269558398500004</v>
      </c>
      <c r="Q5288" s="8">
        <f>(3359412*100)/3462762</f>
        <v>97.015388294084318</v>
      </c>
    </row>
    <row r="5289" spans="1:17" x14ac:dyDescent="0.2">
      <c r="A5289">
        <f>YEAR(D5289)</f>
        <v>2020</v>
      </c>
      <c r="B5289" t="s">
        <v>26</v>
      </c>
      <c r="C5289" s="2" t="s">
        <v>3020</v>
      </c>
      <c r="D5289" s="1">
        <v>44018</v>
      </c>
      <c r="E5289">
        <f>MONTH(D5289)</f>
        <v>7</v>
      </c>
      <c r="F5289" s="2" t="s">
        <v>2098</v>
      </c>
      <c r="G5289" t="s">
        <v>1512</v>
      </c>
      <c r="H5289" t="s">
        <v>1515</v>
      </c>
      <c r="I5289" t="s">
        <v>22</v>
      </c>
      <c r="J5289" s="2" t="s">
        <v>42</v>
      </c>
      <c r="K5289" s="2" t="s">
        <v>3019</v>
      </c>
      <c r="L5289" t="s">
        <v>187</v>
      </c>
      <c r="M5289" s="8">
        <v>1.477333333</v>
      </c>
      <c r="N5289" t="s">
        <v>26</v>
      </c>
      <c r="O5289" s="8">
        <v>1.477333333</v>
      </c>
      <c r="P5289" s="8">
        <f>EXP(-1.363+3.366*LOG(O5289,10))</f>
        <v>0.45269558398500004</v>
      </c>
      <c r="Q5289" s="8">
        <f>(3359412*100)/3462762</f>
        <v>97.015388294084318</v>
      </c>
    </row>
    <row r="5290" spans="1:17" x14ac:dyDescent="0.2">
      <c r="A5290">
        <f>YEAR(D5290)</f>
        <v>2020</v>
      </c>
      <c r="B5290" t="s">
        <v>26</v>
      </c>
      <c r="C5290" s="2" t="s">
        <v>3020</v>
      </c>
      <c r="D5290" s="1">
        <v>44018</v>
      </c>
      <c r="E5290">
        <f>MONTH(D5290)</f>
        <v>7</v>
      </c>
      <c r="F5290" s="2" t="s">
        <v>2098</v>
      </c>
      <c r="G5290" t="s">
        <v>1512</v>
      </c>
      <c r="H5290" t="s">
        <v>1515</v>
      </c>
      <c r="I5290" t="s">
        <v>22</v>
      </c>
      <c r="J5290" s="2" t="s">
        <v>42</v>
      </c>
      <c r="K5290" s="2" t="s">
        <v>3019</v>
      </c>
      <c r="L5290" t="s">
        <v>187</v>
      </c>
      <c r="M5290" s="8">
        <v>1.477333333</v>
      </c>
      <c r="N5290" t="s">
        <v>26</v>
      </c>
      <c r="O5290" s="8">
        <v>1.477333333</v>
      </c>
      <c r="P5290" s="8">
        <f>EXP(-1.363+3.366*LOG(O5290,10))</f>
        <v>0.45269558398500004</v>
      </c>
      <c r="Q5290" s="8">
        <f>(3359412*100)/3462762</f>
        <v>97.015388294084318</v>
      </c>
    </row>
    <row r="5291" spans="1:17" x14ac:dyDescent="0.2">
      <c r="A5291">
        <f>YEAR(D5291)</f>
        <v>2020</v>
      </c>
      <c r="B5291" t="s">
        <v>26</v>
      </c>
      <c r="C5291" s="2" t="s">
        <v>3020</v>
      </c>
      <c r="D5291" s="1">
        <v>44018</v>
      </c>
      <c r="E5291">
        <f>MONTH(D5291)</f>
        <v>7</v>
      </c>
      <c r="F5291" s="2" t="s">
        <v>2098</v>
      </c>
      <c r="G5291" t="s">
        <v>352</v>
      </c>
      <c r="H5291" t="s">
        <v>747</v>
      </c>
      <c r="I5291" t="s">
        <v>22</v>
      </c>
      <c r="J5291" s="2" t="s">
        <v>42</v>
      </c>
      <c r="K5291" s="2" t="s">
        <v>3019</v>
      </c>
      <c r="L5291" t="s">
        <v>25</v>
      </c>
      <c r="M5291" s="8">
        <v>1.3726666670000001</v>
      </c>
      <c r="N5291" t="s">
        <v>26</v>
      </c>
      <c r="O5291" s="8">
        <v>1.3726666670000001</v>
      </c>
      <c r="P5291" s="8">
        <f>EXP(-1.363+3.366*LOG(O5291,10))</f>
        <v>0.40658758379567089</v>
      </c>
      <c r="Q5291" s="8">
        <f>(3359412*100)/3462762</f>
        <v>97.015388294084318</v>
      </c>
    </row>
    <row r="5292" spans="1:17" x14ac:dyDescent="0.2">
      <c r="A5292">
        <f>YEAR(D5292)</f>
        <v>2020</v>
      </c>
      <c r="B5292" t="e">
        <f>CONCATENATE(K5292,#REF!)</f>
        <v>#REF!</v>
      </c>
      <c r="C5292" s="2" t="s">
        <v>3020</v>
      </c>
      <c r="D5292" s="1">
        <v>44018</v>
      </c>
      <c r="E5292">
        <f>MONTH(D5292)</f>
        <v>7</v>
      </c>
      <c r="F5292" s="2" t="s">
        <v>2098</v>
      </c>
      <c r="G5292" s="2" t="s">
        <v>20</v>
      </c>
      <c r="H5292" t="s">
        <v>103</v>
      </c>
      <c r="I5292" t="s">
        <v>22</v>
      </c>
      <c r="J5292" s="2" t="s">
        <v>42</v>
      </c>
      <c r="K5292" s="2" t="s">
        <v>3019</v>
      </c>
      <c r="L5292" t="s">
        <v>25</v>
      </c>
      <c r="M5292" s="8">
        <v>2.177</v>
      </c>
      <c r="N5292" t="s">
        <v>26</v>
      </c>
      <c r="O5292" s="8">
        <v>2.177</v>
      </c>
      <c r="P5292" s="8">
        <f>EXP(-1.363+3.366*LOG(O5292,10))</f>
        <v>0.79790277256387487</v>
      </c>
      <c r="Q5292" s="8">
        <f>(3359412*100)/3462762</f>
        <v>97.015388294084318</v>
      </c>
    </row>
    <row r="5293" spans="1:17" x14ac:dyDescent="0.2">
      <c r="A5293">
        <f>YEAR(D5293)</f>
        <v>2020</v>
      </c>
      <c r="B5293" t="s">
        <v>26</v>
      </c>
      <c r="C5293" s="2" t="s">
        <v>3020</v>
      </c>
      <c r="D5293" s="1">
        <v>44018</v>
      </c>
      <c r="E5293">
        <f>MONTH(D5293)</f>
        <v>7</v>
      </c>
      <c r="F5293" s="2" t="s">
        <v>2098</v>
      </c>
      <c r="G5293" t="s">
        <v>352</v>
      </c>
      <c r="H5293" t="s">
        <v>1459</v>
      </c>
      <c r="I5293" t="s">
        <v>36</v>
      </c>
      <c r="J5293" s="2" t="s">
        <v>42</v>
      </c>
      <c r="K5293" s="2" t="s">
        <v>3019</v>
      </c>
      <c r="L5293" t="s">
        <v>25</v>
      </c>
      <c r="M5293" s="8">
        <v>1.0913333329999999</v>
      </c>
      <c r="N5293" t="s">
        <v>26</v>
      </c>
      <c r="O5293" s="8">
        <v>1.0913333329999999</v>
      </c>
      <c r="P5293" s="8">
        <f>EXP(-1.363+3.366*LOG(O5293,10))</f>
        <v>0.29076633015787234</v>
      </c>
      <c r="Q5293" s="8">
        <f>(3359412*100)/3462762</f>
        <v>97.015388294084318</v>
      </c>
    </row>
    <row r="5294" spans="1:17" x14ac:dyDescent="0.2">
      <c r="A5294">
        <f>YEAR(D5294)</f>
        <v>2020</v>
      </c>
      <c r="B5294" t="s">
        <v>26</v>
      </c>
      <c r="C5294" s="2" t="s">
        <v>3020</v>
      </c>
      <c r="D5294" s="1">
        <v>44018</v>
      </c>
      <c r="E5294">
        <f>MONTH(D5294)</f>
        <v>7</v>
      </c>
      <c r="F5294" s="2" t="s">
        <v>2098</v>
      </c>
      <c r="G5294" t="s">
        <v>1520</v>
      </c>
      <c r="H5294" t="s">
        <v>1528</v>
      </c>
      <c r="I5294" t="s">
        <v>22</v>
      </c>
      <c r="J5294" s="2" t="s">
        <v>42</v>
      </c>
      <c r="K5294" s="2" t="s">
        <v>3019</v>
      </c>
      <c r="L5294" t="s">
        <v>25</v>
      </c>
      <c r="M5294" s="8">
        <v>3.624333333</v>
      </c>
      <c r="N5294" t="s">
        <v>26</v>
      </c>
      <c r="O5294" s="8">
        <v>3.624333333</v>
      </c>
      <c r="P5294" s="8">
        <f>EXP(-1.363+3.366*LOG(O5294,10))</f>
        <v>1.6809546844949765</v>
      </c>
      <c r="Q5294" s="8">
        <f>(3359412*100)/3462762</f>
        <v>97.015388294084318</v>
      </c>
    </row>
    <row r="5295" spans="1:17" x14ac:dyDescent="0.2">
      <c r="A5295">
        <f>YEAR(D5295)</f>
        <v>2020</v>
      </c>
      <c r="B5295" t="s">
        <v>26</v>
      </c>
      <c r="C5295" s="2" t="s">
        <v>3020</v>
      </c>
      <c r="D5295" s="1">
        <v>44018</v>
      </c>
      <c r="E5295">
        <f>MONTH(D5295)</f>
        <v>7</v>
      </c>
      <c r="F5295" s="2" t="s">
        <v>2098</v>
      </c>
      <c r="G5295" s="2" t="s">
        <v>1959</v>
      </c>
      <c r="H5295" t="s">
        <v>3070</v>
      </c>
      <c r="I5295" t="s">
        <v>36</v>
      </c>
      <c r="J5295" s="2" t="s">
        <v>42</v>
      </c>
      <c r="K5295" s="2" t="s">
        <v>3019</v>
      </c>
      <c r="L5295" t="s">
        <v>305</v>
      </c>
      <c r="M5295" s="8">
        <v>1.079</v>
      </c>
      <c r="N5295" t="s">
        <v>26</v>
      </c>
      <c r="O5295" s="8">
        <v>1.079</v>
      </c>
      <c r="P5295" s="8">
        <f>EXP(-1.363+3.366*LOG(O5295,10))</f>
        <v>0.28597530524217868</v>
      </c>
      <c r="Q5295" s="8">
        <f>(3359412*100)/3462762</f>
        <v>97.015388294084318</v>
      </c>
    </row>
    <row r="5296" spans="1:17" x14ac:dyDescent="0.2">
      <c r="A5296">
        <f>YEAR(D5296)</f>
        <v>2020</v>
      </c>
      <c r="B5296" t="s">
        <v>26</v>
      </c>
      <c r="C5296" s="2" t="s">
        <v>3020</v>
      </c>
      <c r="D5296" s="1">
        <v>44018</v>
      </c>
      <c r="E5296">
        <f>MONTH(D5296)</f>
        <v>7</v>
      </c>
      <c r="F5296" s="2" t="s">
        <v>2098</v>
      </c>
      <c r="G5296" t="s">
        <v>303</v>
      </c>
      <c r="H5296" t="s">
        <v>307</v>
      </c>
      <c r="I5296" t="s">
        <v>22</v>
      </c>
      <c r="J5296" s="2" t="s">
        <v>42</v>
      </c>
      <c r="K5296" s="2" t="s">
        <v>3019</v>
      </c>
      <c r="L5296" t="s">
        <v>305</v>
      </c>
      <c r="M5296" s="8">
        <v>1.1000000000000001</v>
      </c>
      <c r="N5296" t="s">
        <v>26</v>
      </c>
      <c r="O5296" s="8">
        <v>1.1000000000000001</v>
      </c>
      <c r="P5296" s="8">
        <f>EXP(-1.363+3.366*LOG(O5296,10))</f>
        <v>0.29414800446794787</v>
      </c>
      <c r="Q5296" s="8">
        <f>(3359412*100)/3462762</f>
        <v>97.015388294084318</v>
      </c>
    </row>
    <row r="5297" spans="1:17" x14ac:dyDescent="0.2">
      <c r="A5297">
        <f>YEAR(D5297)</f>
        <v>2020</v>
      </c>
      <c r="B5297" t="s">
        <v>26</v>
      </c>
      <c r="C5297" s="2" t="s">
        <v>3020</v>
      </c>
      <c r="D5297" s="1">
        <v>44018</v>
      </c>
      <c r="E5297">
        <f>MONTH(D5297)</f>
        <v>7</v>
      </c>
      <c r="F5297" s="2" t="s">
        <v>2098</v>
      </c>
      <c r="G5297" t="s">
        <v>352</v>
      </c>
      <c r="H5297" t="s">
        <v>623</v>
      </c>
      <c r="I5297" t="s">
        <v>36</v>
      </c>
      <c r="J5297" s="2" t="s">
        <v>42</v>
      </c>
      <c r="K5297" s="2" t="s">
        <v>3019</v>
      </c>
      <c r="L5297" t="s">
        <v>25</v>
      </c>
      <c r="M5297" s="8">
        <v>1.1339999999999999</v>
      </c>
      <c r="N5297" t="s">
        <v>26</v>
      </c>
      <c r="O5297" s="8">
        <v>1.1339999999999999</v>
      </c>
      <c r="P5297" s="8">
        <f>EXP(-1.363+3.366*LOG(O5297,10))</f>
        <v>0.30753312979708036</v>
      </c>
      <c r="Q5297" s="8">
        <f>(3359412*100)/3462762</f>
        <v>97.015388294084318</v>
      </c>
    </row>
    <row r="5298" spans="1:17" x14ac:dyDescent="0.2">
      <c r="A5298">
        <f>YEAR(D5298)</f>
        <v>2020</v>
      </c>
      <c r="B5298" t="s">
        <v>26</v>
      </c>
      <c r="C5298" s="2" t="s">
        <v>3020</v>
      </c>
      <c r="D5298" s="1">
        <v>44018</v>
      </c>
      <c r="E5298">
        <f>MONTH(D5298)</f>
        <v>7</v>
      </c>
      <c r="F5298" s="2" t="s">
        <v>2098</v>
      </c>
      <c r="G5298" t="s">
        <v>332</v>
      </c>
      <c r="H5298" t="s">
        <v>330</v>
      </c>
      <c r="I5298" t="s">
        <v>22</v>
      </c>
      <c r="J5298" s="2" t="s">
        <v>42</v>
      </c>
      <c r="K5298" s="2" t="s">
        <v>3019</v>
      </c>
      <c r="L5298" t="s">
        <v>25</v>
      </c>
      <c r="M5298" s="8">
        <v>1.2170000000000001</v>
      </c>
      <c r="N5298" t="s">
        <v>26</v>
      </c>
      <c r="O5298" s="8">
        <v>1.2170000000000001</v>
      </c>
      <c r="P5298" s="8">
        <f>EXP(-1.363+3.366*LOG(O5298,10))</f>
        <v>0.34098666307598596</v>
      </c>
      <c r="Q5298" s="8">
        <f>(3359412*100)/3462762</f>
        <v>97.015388294084318</v>
      </c>
    </row>
    <row r="5299" spans="1:17" x14ac:dyDescent="0.2">
      <c r="A5299">
        <f>YEAR(D5299)</f>
        <v>2020</v>
      </c>
      <c r="B5299" t="s">
        <v>26</v>
      </c>
      <c r="C5299" s="2" t="s">
        <v>3020</v>
      </c>
      <c r="D5299" s="1">
        <v>44018</v>
      </c>
      <c r="E5299">
        <f>MONTH(D5299)</f>
        <v>7</v>
      </c>
      <c r="F5299" s="2" t="s">
        <v>2098</v>
      </c>
      <c r="G5299" t="s">
        <v>362</v>
      </c>
      <c r="H5299" t="s">
        <v>447</v>
      </c>
      <c r="I5299" t="s">
        <v>22</v>
      </c>
      <c r="J5299" s="2" t="s">
        <v>42</v>
      </c>
      <c r="K5299" s="2" t="s">
        <v>3019</v>
      </c>
      <c r="L5299" t="s">
        <v>25</v>
      </c>
      <c r="M5299" s="8">
        <v>1.421</v>
      </c>
      <c r="N5299" t="s">
        <v>26</v>
      </c>
      <c r="O5299" s="8">
        <v>1.421</v>
      </c>
      <c r="P5299" s="8">
        <f>EXP(-1.363+3.366*LOG(O5299,10))</f>
        <v>0.42768500084673816</v>
      </c>
      <c r="Q5299" s="8">
        <f>(3359412*100)/3462762</f>
        <v>97.015388294084318</v>
      </c>
    </row>
    <row r="5300" spans="1:17" x14ac:dyDescent="0.2">
      <c r="A5300">
        <f>YEAR(D5300)</f>
        <v>2020</v>
      </c>
      <c r="B5300" t="s">
        <v>26</v>
      </c>
      <c r="C5300" s="2" t="s">
        <v>3020</v>
      </c>
      <c r="D5300" s="1">
        <v>44018</v>
      </c>
      <c r="E5300">
        <f>MONTH(D5300)</f>
        <v>7</v>
      </c>
      <c r="F5300" s="2" t="s">
        <v>2098</v>
      </c>
      <c r="G5300" t="s">
        <v>352</v>
      </c>
      <c r="H5300" t="s">
        <v>623</v>
      </c>
      <c r="I5300" t="s">
        <v>22</v>
      </c>
      <c r="J5300" s="2" t="s">
        <v>42</v>
      </c>
      <c r="K5300" s="2" t="s">
        <v>3019</v>
      </c>
      <c r="L5300" t="s">
        <v>25</v>
      </c>
      <c r="M5300" s="8">
        <v>1.387</v>
      </c>
      <c r="N5300" t="s">
        <v>26</v>
      </c>
      <c r="O5300" s="8">
        <v>1.387</v>
      </c>
      <c r="P5300" s="8">
        <f>EXP(-1.363+3.366*LOG(O5300,10))</f>
        <v>0.41280884754947733</v>
      </c>
      <c r="Q5300" s="8">
        <f>(3359412*100)/3462762</f>
        <v>97.015388294084318</v>
      </c>
    </row>
    <row r="5301" spans="1:17" x14ac:dyDescent="0.2">
      <c r="A5301">
        <f>YEAR(D5301)</f>
        <v>2020</v>
      </c>
      <c r="B5301" t="s">
        <v>26</v>
      </c>
      <c r="C5301" s="2" t="s">
        <v>3020</v>
      </c>
      <c r="D5301" s="1">
        <v>44018</v>
      </c>
      <c r="E5301">
        <f>MONTH(D5301)</f>
        <v>7</v>
      </c>
      <c r="F5301" s="2" t="s">
        <v>2098</v>
      </c>
      <c r="G5301" t="s">
        <v>20</v>
      </c>
      <c r="H5301" t="s">
        <v>149</v>
      </c>
      <c r="I5301" t="s">
        <v>22</v>
      </c>
      <c r="J5301" s="2" t="s">
        <v>42</v>
      </c>
      <c r="K5301" s="2" t="s">
        <v>3019</v>
      </c>
      <c r="L5301" t="s">
        <v>25</v>
      </c>
      <c r="M5301" s="8">
        <v>1.45</v>
      </c>
      <c r="N5301" t="s">
        <v>26</v>
      </c>
      <c r="O5301" s="8">
        <v>1.45</v>
      </c>
      <c r="P5301" s="8">
        <f>EXP(-1.363+3.366*LOG(O5301,10))</f>
        <v>0.44050419760124854</v>
      </c>
      <c r="Q5301" s="8">
        <f>(3359412*100)/3462762</f>
        <v>97.015388294084318</v>
      </c>
    </row>
    <row r="5302" spans="1:17" x14ac:dyDescent="0.2">
      <c r="A5302">
        <f>YEAR(D5302)</f>
        <v>2020</v>
      </c>
      <c r="B5302" t="s">
        <v>26</v>
      </c>
      <c r="C5302" s="2" t="s">
        <v>3020</v>
      </c>
      <c r="D5302" s="1">
        <v>44018</v>
      </c>
      <c r="E5302">
        <f>MONTH(D5302)</f>
        <v>7</v>
      </c>
      <c r="F5302" s="2" t="s">
        <v>2098</v>
      </c>
      <c r="G5302" t="s">
        <v>332</v>
      </c>
      <c r="H5302" t="s">
        <v>330</v>
      </c>
      <c r="I5302" t="s">
        <v>22</v>
      </c>
      <c r="J5302" s="2" t="s">
        <v>42</v>
      </c>
      <c r="K5302" s="2" t="s">
        <v>3019</v>
      </c>
      <c r="L5302" t="s">
        <v>25</v>
      </c>
      <c r="M5302" s="8">
        <v>1.2170000000000001</v>
      </c>
      <c r="N5302" t="s">
        <v>26</v>
      </c>
      <c r="O5302" s="8">
        <v>1.2170000000000001</v>
      </c>
      <c r="P5302" s="8">
        <f>EXP(-1.363+3.366*LOG(O5302,10))</f>
        <v>0.34098666307598596</v>
      </c>
      <c r="Q5302" s="8">
        <f>(3359412*100)/3462762</f>
        <v>97.015388294084318</v>
      </c>
    </row>
    <row r="5303" spans="1:17" x14ac:dyDescent="0.2">
      <c r="A5303">
        <f>YEAR(D5303)</f>
        <v>2020</v>
      </c>
      <c r="B5303" t="s">
        <v>26</v>
      </c>
      <c r="C5303" s="2" t="s">
        <v>3020</v>
      </c>
      <c r="D5303" s="1">
        <v>44018</v>
      </c>
      <c r="E5303">
        <f>MONTH(D5303)</f>
        <v>7</v>
      </c>
      <c r="F5303" s="2" t="s">
        <v>2098</v>
      </c>
      <c r="G5303" t="s">
        <v>332</v>
      </c>
      <c r="H5303" t="s">
        <v>330</v>
      </c>
      <c r="I5303" t="s">
        <v>22</v>
      </c>
      <c r="J5303" s="2" t="s">
        <v>42</v>
      </c>
      <c r="K5303" s="2" t="s">
        <v>3019</v>
      </c>
      <c r="L5303" t="s">
        <v>25</v>
      </c>
      <c r="M5303" s="8">
        <v>1.2170000000000001</v>
      </c>
      <c r="N5303" t="s">
        <v>26</v>
      </c>
      <c r="O5303" s="8">
        <v>1.2170000000000001</v>
      </c>
      <c r="P5303" s="8">
        <f>EXP(-1.363+3.366*LOG(O5303,10))</f>
        <v>0.34098666307598596</v>
      </c>
      <c r="Q5303" s="8">
        <f>(3359412*100)/3462762</f>
        <v>97.015388294084318</v>
      </c>
    </row>
    <row r="5304" spans="1:17" x14ac:dyDescent="0.2">
      <c r="A5304">
        <f>YEAR(D5304)</f>
        <v>2020</v>
      </c>
      <c r="B5304" t="s">
        <v>26</v>
      </c>
      <c r="C5304" s="2" t="s">
        <v>3020</v>
      </c>
      <c r="D5304" s="1">
        <v>44018</v>
      </c>
      <c r="E5304">
        <f>MONTH(D5304)</f>
        <v>7</v>
      </c>
      <c r="F5304" s="2" t="s">
        <v>2098</v>
      </c>
      <c r="G5304" t="s">
        <v>352</v>
      </c>
      <c r="H5304" t="s">
        <v>1459</v>
      </c>
      <c r="I5304" t="s">
        <v>36</v>
      </c>
      <c r="J5304" s="2" t="s">
        <v>42</v>
      </c>
      <c r="K5304" s="2" t="s">
        <v>3019</v>
      </c>
      <c r="L5304" t="s">
        <v>25</v>
      </c>
      <c r="M5304" s="8">
        <v>1.0913333329999999</v>
      </c>
      <c r="N5304" t="s">
        <v>26</v>
      </c>
      <c r="O5304" s="8">
        <v>1.0913333329999999</v>
      </c>
      <c r="P5304" s="8">
        <f>EXP(-1.363+3.366*LOG(O5304,10))</f>
        <v>0.29076633015787234</v>
      </c>
      <c r="Q5304" s="8">
        <f>(3359412*100)/3462762</f>
        <v>97.015388294084318</v>
      </c>
    </row>
    <row r="5305" spans="1:17" x14ac:dyDescent="0.2">
      <c r="A5305">
        <f>YEAR(D5305)</f>
        <v>2020</v>
      </c>
      <c r="B5305" t="s">
        <v>26</v>
      </c>
      <c r="C5305" s="2" t="s">
        <v>3020</v>
      </c>
      <c r="D5305" s="1">
        <v>44018</v>
      </c>
      <c r="E5305">
        <f>MONTH(D5305)</f>
        <v>7</v>
      </c>
      <c r="F5305" s="2" t="s">
        <v>2098</v>
      </c>
      <c r="G5305" t="s">
        <v>332</v>
      </c>
      <c r="H5305" t="s">
        <v>330</v>
      </c>
      <c r="I5305" t="s">
        <v>22</v>
      </c>
      <c r="J5305" s="2" t="s">
        <v>42</v>
      </c>
      <c r="K5305" s="2" t="s">
        <v>3019</v>
      </c>
      <c r="L5305" t="s">
        <v>25</v>
      </c>
      <c r="M5305" s="8">
        <v>1.2170000000000001</v>
      </c>
      <c r="N5305" t="s">
        <v>26</v>
      </c>
      <c r="O5305" s="8">
        <v>1.2170000000000001</v>
      </c>
      <c r="P5305" s="8">
        <f>EXP(-1.363+3.366*LOG(O5305,10))</f>
        <v>0.34098666307598596</v>
      </c>
      <c r="Q5305" s="8">
        <f>(3359412*100)/3462762</f>
        <v>97.015388294084318</v>
      </c>
    </row>
    <row r="5306" spans="1:17" x14ac:dyDescent="0.2">
      <c r="A5306">
        <f>YEAR(D5306)</f>
        <v>2020</v>
      </c>
      <c r="B5306" t="s">
        <v>26</v>
      </c>
      <c r="C5306" s="2" t="s">
        <v>3020</v>
      </c>
      <c r="D5306" s="1">
        <v>44018</v>
      </c>
      <c r="E5306">
        <f>MONTH(D5306)</f>
        <v>7</v>
      </c>
      <c r="F5306" s="2" t="s">
        <v>2098</v>
      </c>
      <c r="G5306" s="2" t="s">
        <v>3080</v>
      </c>
      <c r="H5306" t="s">
        <v>3060</v>
      </c>
      <c r="I5306" t="s">
        <v>36</v>
      </c>
      <c r="J5306" s="2" t="s">
        <v>42</v>
      </c>
      <c r="K5306" s="2" t="s">
        <v>3019</v>
      </c>
      <c r="L5306" t="s">
        <v>305</v>
      </c>
      <c r="M5306" s="8">
        <v>2.3639999999999994</v>
      </c>
      <c r="N5306" t="s">
        <v>26</v>
      </c>
      <c r="O5306" s="8">
        <v>2.3639999999999994</v>
      </c>
      <c r="P5306" s="8">
        <f>EXP(-1.363+3.366*LOG(O5306,10))</f>
        <v>0.90005211791163175</v>
      </c>
      <c r="Q5306" s="8">
        <f>(3359412*100)/3462762</f>
        <v>97.015388294084318</v>
      </c>
    </row>
    <row r="5307" spans="1:17" x14ac:dyDescent="0.2">
      <c r="A5307">
        <f>YEAR(D5307)</f>
        <v>2020</v>
      </c>
      <c r="B5307" t="s">
        <v>26</v>
      </c>
      <c r="C5307" s="2" t="s">
        <v>3020</v>
      </c>
      <c r="D5307" s="1">
        <v>44018</v>
      </c>
      <c r="E5307">
        <f>MONTH(D5307)</f>
        <v>7</v>
      </c>
      <c r="F5307" s="2" t="s">
        <v>2098</v>
      </c>
      <c r="G5307" t="s">
        <v>230</v>
      </c>
      <c r="H5307" t="s">
        <v>235</v>
      </c>
      <c r="I5307" t="s">
        <v>36</v>
      </c>
      <c r="J5307" s="2" t="s">
        <v>42</v>
      </c>
      <c r="K5307" s="2" t="s">
        <v>3019</v>
      </c>
      <c r="L5307" t="s">
        <v>25</v>
      </c>
      <c r="M5307" s="8">
        <v>3.6166666666666667</v>
      </c>
      <c r="N5307" t="s">
        <v>26</v>
      </c>
      <c r="O5307" s="8">
        <v>3.6166666666666667</v>
      </c>
      <c r="P5307" s="8">
        <f>EXP(-1.363+3.366*LOG(O5307,10))</f>
        <v>1.6757592653929465</v>
      </c>
      <c r="Q5307" s="8">
        <f>(3359412*100)/3462762</f>
        <v>97.015388294084318</v>
      </c>
    </row>
    <row r="5308" spans="1:17" x14ac:dyDescent="0.2">
      <c r="A5308">
        <f>YEAR(D5308)</f>
        <v>2020</v>
      </c>
      <c r="B5308" t="s">
        <v>26</v>
      </c>
      <c r="C5308" s="2" t="s">
        <v>3020</v>
      </c>
      <c r="D5308" s="1">
        <v>44018</v>
      </c>
      <c r="E5308">
        <f>MONTH(D5308)</f>
        <v>7</v>
      </c>
      <c r="F5308" s="2" t="s">
        <v>2098</v>
      </c>
      <c r="G5308" t="s">
        <v>362</v>
      </c>
      <c r="H5308" t="s">
        <v>447</v>
      </c>
      <c r="I5308" t="s">
        <v>36</v>
      </c>
      <c r="J5308" s="2" t="s">
        <v>42</v>
      </c>
      <c r="K5308" s="2" t="s">
        <v>3019</v>
      </c>
      <c r="L5308" t="s">
        <v>25</v>
      </c>
      <c r="M5308" s="8">
        <v>1.0956666669999999</v>
      </c>
      <c r="N5308" t="s">
        <v>26</v>
      </c>
      <c r="O5308" s="8">
        <v>1.0956666669999999</v>
      </c>
      <c r="P5308" s="8">
        <f>EXP(-1.363+3.366*LOG(O5308,10))</f>
        <v>0.29245562330904107</v>
      </c>
      <c r="Q5308" s="8">
        <f>(3359412*100)/3462762</f>
        <v>97.015388294084318</v>
      </c>
    </row>
    <row r="5309" spans="1:17" x14ac:dyDescent="0.2">
      <c r="A5309">
        <f>YEAR(D5309)</f>
        <v>2020</v>
      </c>
      <c r="B5309" t="s">
        <v>26</v>
      </c>
      <c r="C5309" s="2" t="s">
        <v>3020</v>
      </c>
      <c r="D5309" s="1">
        <v>44018</v>
      </c>
      <c r="E5309">
        <f>MONTH(D5309)</f>
        <v>7</v>
      </c>
      <c r="F5309" s="2" t="s">
        <v>2098</v>
      </c>
      <c r="G5309" t="s">
        <v>352</v>
      </c>
      <c r="H5309" t="s">
        <v>975</v>
      </c>
      <c r="I5309" t="s">
        <v>36</v>
      </c>
      <c r="J5309" s="2" t="s">
        <v>42</v>
      </c>
      <c r="K5309" s="2" t="s">
        <v>3019</v>
      </c>
      <c r="L5309" t="s">
        <v>25</v>
      </c>
      <c r="M5309" s="8">
        <v>0.95199999999999996</v>
      </c>
      <c r="N5309" t="s">
        <v>26</v>
      </c>
      <c r="O5309" s="8">
        <v>0.95199999999999996</v>
      </c>
      <c r="P5309" s="8">
        <f>EXP(-1.363+3.366*LOG(O5309,10))</f>
        <v>0.23813726407794436</v>
      </c>
      <c r="Q5309" s="8">
        <f>(3359412*100)/3462762</f>
        <v>97.015388294084318</v>
      </c>
    </row>
    <row r="5310" spans="1:17" x14ac:dyDescent="0.2">
      <c r="A5310">
        <f>YEAR(D5310)</f>
        <v>2020</v>
      </c>
      <c r="B5310" t="s">
        <v>26</v>
      </c>
      <c r="C5310" s="2" t="s">
        <v>3020</v>
      </c>
      <c r="D5310" s="1">
        <v>44018</v>
      </c>
      <c r="E5310">
        <f>MONTH(D5310)</f>
        <v>7</v>
      </c>
      <c r="F5310" s="2" t="s">
        <v>2098</v>
      </c>
      <c r="G5310" t="s">
        <v>332</v>
      </c>
      <c r="H5310" t="s">
        <v>330</v>
      </c>
      <c r="I5310" t="s">
        <v>22</v>
      </c>
      <c r="J5310" s="2" t="s">
        <v>42</v>
      </c>
      <c r="K5310" s="2" t="s">
        <v>3019</v>
      </c>
      <c r="L5310" t="s">
        <v>25</v>
      </c>
      <c r="M5310" s="8">
        <v>1.2170000000000001</v>
      </c>
      <c r="N5310" t="s">
        <v>26</v>
      </c>
      <c r="O5310" s="8">
        <v>1.2170000000000001</v>
      </c>
      <c r="P5310" s="8">
        <f>EXP(-1.363+3.366*LOG(O5310,10))</f>
        <v>0.34098666307598596</v>
      </c>
      <c r="Q5310" s="8">
        <f>(3359412*100)/3462762</f>
        <v>97.015388294084318</v>
      </c>
    </row>
    <row r="5311" spans="1:17" x14ac:dyDescent="0.2">
      <c r="A5311">
        <f>YEAR(D5311)</f>
        <v>2020</v>
      </c>
      <c r="B5311" t="s">
        <v>26</v>
      </c>
      <c r="C5311" s="2" t="s">
        <v>3020</v>
      </c>
      <c r="D5311" s="1">
        <v>44018</v>
      </c>
      <c r="E5311">
        <f>MONTH(D5311)</f>
        <v>7</v>
      </c>
      <c r="F5311" s="2" t="s">
        <v>2098</v>
      </c>
      <c r="G5311" t="s">
        <v>332</v>
      </c>
      <c r="H5311" t="s">
        <v>327</v>
      </c>
      <c r="I5311" t="s">
        <v>22</v>
      </c>
      <c r="J5311" s="2" t="s">
        <v>42</v>
      </c>
      <c r="K5311" s="2" t="s">
        <v>3019</v>
      </c>
      <c r="L5311" t="s">
        <v>25</v>
      </c>
      <c r="M5311" s="8">
        <v>1.239333333</v>
      </c>
      <c r="N5311" t="s">
        <v>26</v>
      </c>
      <c r="O5311" s="8">
        <v>1.239333333</v>
      </c>
      <c r="P5311" s="8">
        <f>EXP(-1.363+3.366*LOG(O5311,10))</f>
        <v>0.35017272283851147</v>
      </c>
      <c r="Q5311" s="8">
        <f>(3359412*100)/3462762</f>
        <v>97.015388294084318</v>
      </c>
    </row>
    <row r="5312" spans="1:17" x14ac:dyDescent="0.2">
      <c r="A5312">
        <f>YEAR(D5312)</f>
        <v>2020</v>
      </c>
      <c r="B5312" t="s">
        <v>26</v>
      </c>
      <c r="C5312" s="2" t="s">
        <v>3020</v>
      </c>
      <c r="D5312" s="1">
        <v>44018</v>
      </c>
      <c r="E5312">
        <f>MONTH(D5312)</f>
        <v>7</v>
      </c>
      <c r="F5312" s="2" t="s">
        <v>2098</v>
      </c>
      <c r="G5312" t="s">
        <v>352</v>
      </c>
      <c r="H5312" t="s">
        <v>975</v>
      </c>
      <c r="I5312" t="s">
        <v>22</v>
      </c>
      <c r="J5312" s="2" t="s">
        <v>42</v>
      </c>
      <c r="K5312" s="2" t="s">
        <v>3019</v>
      </c>
      <c r="L5312" t="s">
        <v>25</v>
      </c>
      <c r="M5312" s="8">
        <v>1.0693333330000001</v>
      </c>
      <c r="N5312" t="s">
        <v>26</v>
      </c>
      <c r="O5312" s="8">
        <v>1.0693333330000001</v>
      </c>
      <c r="P5312" s="8">
        <f>EXP(-1.363+3.366*LOG(O5312,10))</f>
        <v>0.28223780327142356</v>
      </c>
      <c r="Q5312" s="8">
        <f>(3359412*100)/3462762</f>
        <v>97.015388294084318</v>
      </c>
    </row>
    <row r="5313" spans="1:17" x14ac:dyDescent="0.2">
      <c r="A5313">
        <f>YEAR(D5313)</f>
        <v>2020</v>
      </c>
      <c r="B5313" t="s">
        <v>26</v>
      </c>
      <c r="C5313" s="2" t="s">
        <v>3020</v>
      </c>
      <c r="D5313" s="1">
        <v>44018</v>
      </c>
      <c r="E5313">
        <f>MONTH(D5313)</f>
        <v>7</v>
      </c>
      <c r="F5313" s="2" t="s">
        <v>2098</v>
      </c>
      <c r="G5313" t="s">
        <v>352</v>
      </c>
      <c r="H5313" t="s">
        <v>975</v>
      </c>
      <c r="I5313" t="s">
        <v>22</v>
      </c>
      <c r="J5313" s="2" t="s">
        <v>42</v>
      </c>
      <c r="K5313" s="2" t="s">
        <v>3019</v>
      </c>
      <c r="L5313" t="s">
        <v>25</v>
      </c>
      <c r="M5313" s="8">
        <v>1.0693333330000001</v>
      </c>
      <c r="N5313" t="s">
        <v>26</v>
      </c>
      <c r="O5313" s="8">
        <v>1.0693333330000001</v>
      </c>
      <c r="P5313" s="8">
        <f>EXP(-1.363+3.366*LOG(O5313,10))</f>
        <v>0.28223780327142356</v>
      </c>
      <c r="Q5313" s="8">
        <f>(3359412*100)/3462762</f>
        <v>97.015388294084318</v>
      </c>
    </row>
    <row r="5314" spans="1:17" x14ac:dyDescent="0.2">
      <c r="A5314">
        <f>YEAR(D5314)</f>
        <v>2020</v>
      </c>
      <c r="B5314" t="s">
        <v>26</v>
      </c>
      <c r="C5314" s="2" t="s">
        <v>3020</v>
      </c>
      <c r="D5314" s="1">
        <v>44018</v>
      </c>
      <c r="E5314">
        <f>MONTH(D5314)</f>
        <v>7</v>
      </c>
      <c r="F5314" s="2" t="s">
        <v>2098</v>
      </c>
      <c r="G5314" t="s">
        <v>1520</v>
      </c>
      <c r="H5314" t="s">
        <v>1925</v>
      </c>
      <c r="I5314" t="s">
        <v>22</v>
      </c>
      <c r="J5314" s="2" t="s">
        <v>42</v>
      </c>
      <c r="K5314" s="2" t="s">
        <v>3019</v>
      </c>
      <c r="L5314" t="s">
        <v>25</v>
      </c>
      <c r="M5314" s="8">
        <v>2.3010000000000002</v>
      </c>
      <c r="N5314" t="s">
        <v>26</v>
      </c>
      <c r="O5314" s="8">
        <v>2.3010000000000002</v>
      </c>
      <c r="P5314" s="8">
        <f>EXP(-1.363+3.366*LOG(O5314,10))</f>
        <v>0.86520512489057888</v>
      </c>
      <c r="Q5314" s="8">
        <f>(3359412*100)/3462762</f>
        <v>97.015388294084318</v>
      </c>
    </row>
    <row r="5315" spans="1:17" x14ac:dyDescent="0.2">
      <c r="A5315">
        <f>YEAR(D5315)</f>
        <v>2020</v>
      </c>
      <c r="B5315" t="s">
        <v>26</v>
      </c>
      <c r="C5315" s="2" t="s">
        <v>3020</v>
      </c>
      <c r="D5315" s="1">
        <v>44018</v>
      </c>
      <c r="E5315">
        <f>MONTH(D5315)</f>
        <v>7</v>
      </c>
      <c r="F5315" s="2" t="s">
        <v>2098</v>
      </c>
      <c r="G5315" t="s">
        <v>362</v>
      </c>
      <c r="H5315" t="s">
        <v>421</v>
      </c>
      <c r="I5315" t="s">
        <v>22</v>
      </c>
      <c r="J5315" s="2" t="s">
        <v>42</v>
      </c>
      <c r="K5315" s="2" t="s">
        <v>3019</v>
      </c>
      <c r="L5315" t="s">
        <v>25</v>
      </c>
      <c r="M5315" s="8">
        <v>1.921333333</v>
      </c>
      <c r="N5315" t="s">
        <v>26</v>
      </c>
      <c r="O5315" s="8">
        <v>1.921333333</v>
      </c>
      <c r="P5315" s="8">
        <f>EXP(-1.363+3.366*LOG(O5315,10))</f>
        <v>0.66471742502276976</v>
      </c>
      <c r="Q5315" s="8">
        <f>(3359412*100)/3462762</f>
        <v>97.015388294084318</v>
      </c>
    </row>
    <row r="5316" spans="1:17" x14ac:dyDescent="0.2">
      <c r="A5316">
        <f>YEAR(D5316)</f>
        <v>2020</v>
      </c>
      <c r="B5316" t="s">
        <v>26</v>
      </c>
      <c r="C5316" s="2" t="s">
        <v>3020</v>
      </c>
      <c r="D5316" s="1">
        <v>44018</v>
      </c>
      <c r="E5316">
        <f>MONTH(D5316)</f>
        <v>7</v>
      </c>
      <c r="F5316" s="2" t="s">
        <v>2098</v>
      </c>
      <c r="G5316" s="2" t="s">
        <v>20</v>
      </c>
      <c r="H5316" t="s">
        <v>91</v>
      </c>
      <c r="I5316" t="s">
        <v>22</v>
      </c>
      <c r="J5316" s="2" t="s">
        <v>42</v>
      </c>
      <c r="K5316" s="2" t="s">
        <v>3019</v>
      </c>
      <c r="L5316" t="s">
        <v>25</v>
      </c>
      <c r="M5316" s="8">
        <v>2.0630000000000002</v>
      </c>
      <c r="N5316" t="s">
        <v>26</v>
      </c>
      <c r="O5316" s="8">
        <v>2.0630000000000002</v>
      </c>
      <c r="P5316" s="8">
        <f>EXP(-1.363+3.366*LOG(O5316,10))</f>
        <v>0.73756902742293162</v>
      </c>
      <c r="Q5316" s="8">
        <f>(3359412*100)/3462762</f>
        <v>97.015388294084318</v>
      </c>
    </row>
    <row r="5317" spans="1:17" x14ac:dyDescent="0.2">
      <c r="A5317">
        <f>YEAR(D5317)</f>
        <v>2020</v>
      </c>
      <c r="B5317" t="e">
        <f>CONCATENATE(K5317,#REF!)</f>
        <v>#REF!</v>
      </c>
      <c r="C5317" s="2" t="s">
        <v>3020</v>
      </c>
      <c r="D5317" s="1">
        <v>44018</v>
      </c>
      <c r="E5317">
        <f>MONTH(D5317)</f>
        <v>7</v>
      </c>
      <c r="F5317" s="2" t="s">
        <v>2098</v>
      </c>
      <c r="G5317" s="2" t="s">
        <v>20</v>
      </c>
      <c r="H5317" t="s">
        <v>103</v>
      </c>
      <c r="I5317" t="s">
        <v>22</v>
      </c>
      <c r="J5317" s="2" t="s">
        <v>42</v>
      </c>
      <c r="K5317" s="2" t="s">
        <v>3019</v>
      </c>
      <c r="L5317" t="s">
        <v>25</v>
      </c>
      <c r="M5317" s="8">
        <v>2.177</v>
      </c>
      <c r="N5317" t="s">
        <v>26</v>
      </c>
      <c r="O5317" s="8">
        <v>2.177</v>
      </c>
      <c r="P5317" s="8">
        <f>EXP(-1.363+3.366*LOG(O5317,10))</f>
        <v>0.79790277256387487</v>
      </c>
      <c r="Q5317" s="8">
        <f>(3359412*100)/3462762</f>
        <v>97.015388294084318</v>
      </c>
    </row>
    <row r="5318" spans="1:17" x14ac:dyDescent="0.2">
      <c r="A5318">
        <f>YEAR(D5318)</f>
        <v>2020</v>
      </c>
      <c r="B5318" t="s">
        <v>26</v>
      </c>
      <c r="C5318" s="2" t="s">
        <v>50</v>
      </c>
      <c r="D5318" s="1">
        <v>44019</v>
      </c>
      <c r="E5318">
        <f>MONTH(D5318)</f>
        <v>7</v>
      </c>
      <c r="F5318" s="2" t="s">
        <v>2098</v>
      </c>
      <c r="G5318" t="s">
        <v>230</v>
      </c>
      <c r="H5318" t="s">
        <v>268</v>
      </c>
      <c r="I5318" t="s">
        <v>22</v>
      </c>
      <c r="J5318" s="2" t="s">
        <v>42</v>
      </c>
      <c r="K5318" s="2" t="s">
        <v>3019</v>
      </c>
      <c r="L5318" t="s">
        <v>25</v>
      </c>
      <c r="M5318" s="8">
        <v>3.5356666670000001</v>
      </c>
      <c r="N5318" t="s">
        <v>26</v>
      </c>
      <c r="O5318" s="8">
        <v>3.5356666670000001</v>
      </c>
      <c r="P5318" s="8">
        <f>EXP(-1.363+3.366*LOG(O5318,10))</f>
        <v>1.6211802664427075</v>
      </c>
      <c r="Q5318" s="8">
        <f>(4488342*100)/4914798</f>
        <v>91.323020803703429</v>
      </c>
    </row>
    <row r="5319" spans="1:17" ht="16" x14ac:dyDescent="0.2">
      <c r="A5319">
        <f>YEAR(D5319)</f>
        <v>2020</v>
      </c>
      <c r="B5319" t="s">
        <v>26</v>
      </c>
      <c r="C5319" s="2" t="s">
        <v>50</v>
      </c>
      <c r="D5319" s="1">
        <v>44019</v>
      </c>
      <c r="E5319">
        <f>MONTH(D5319)</f>
        <v>7</v>
      </c>
      <c r="F5319" s="2" t="s">
        <v>2098</v>
      </c>
      <c r="G5319" t="s">
        <v>2206</v>
      </c>
      <c r="H5319" t="s">
        <v>2263</v>
      </c>
      <c r="I5319" s="3" t="s">
        <v>26</v>
      </c>
      <c r="J5319" s="2" t="s">
        <v>42</v>
      </c>
      <c r="K5319" s="2" t="s">
        <v>3019</v>
      </c>
      <c r="L5319" t="s">
        <v>25</v>
      </c>
      <c r="M5319" s="10" t="s">
        <v>26</v>
      </c>
      <c r="N5319" t="s">
        <v>26</v>
      </c>
      <c r="O5319" s="8" t="s">
        <v>26</v>
      </c>
      <c r="P5319" s="8" t="s">
        <v>26</v>
      </c>
      <c r="Q5319" s="8">
        <f>(4488342*100)/4914798</f>
        <v>91.323020803703429</v>
      </c>
    </row>
    <row r="5320" spans="1:17" x14ac:dyDescent="0.2">
      <c r="A5320">
        <f>YEAR(D5320)</f>
        <v>2020</v>
      </c>
      <c r="B5320" t="s">
        <v>26</v>
      </c>
      <c r="C5320" s="2" t="s">
        <v>50</v>
      </c>
      <c r="D5320" s="1">
        <v>44019</v>
      </c>
      <c r="E5320">
        <f>MONTH(D5320)</f>
        <v>7</v>
      </c>
      <c r="F5320" s="2" t="s">
        <v>2098</v>
      </c>
      <c r="G5320" t="s">
        <v>230</v>
      </c>
      <c r="H5320" t="s">
        <v>268</v>
      </c>
      <c r="I5320" t="s">
        <v>22</v>
      </c>
      <c r="J5320" s="2" t="s">
        <v>42</v>
      </c>
      <c r="K5320" s="2" t="s">
        <v>3019</v>
      </c>
      <c r="L5320" t="s">
        <v>25</v>
      </c>
      <c r="M5320" s="8">
        <v>3.5356666670000001</v>
      </c>
      <c r="N5320" t="s">
        <v>26</v>
      </c>
      <c r="O5320" s="8">
        <v>3.5356666670000001</v>
      </c>
      <c r="P5320" s="8">
        <f>EXP(-1.363+3.366*LOG(O5320,10))</f>
        <v>1.6211802664427075</v>
      </c>
      <c r="Q5320" s="8">
        <f>(4488342*100)/4914798</f>
        <v>91.323020803703429</v>
      </c>
    </row>
    <row r="5321" spans="1:17" x14ac:dyDescent="0.2">
      <c r="A5321">
        <f>YEAR(D5321)</f>
        <v>2020</v>
      </c>
      <c r="B5321" t="s">
        <v>26</v>
      </c>
      <c r="C5321" s="2" t="s">
        <v>50</v>
      </c>
      <c r="D5321" s="1">
        <v>44019</v>
      </c>
      <c r="E5321">
        <f>MONTH(D5321)</f>
        <v>7</v>
      </c>
      <c r="F5321" s="2" t="s">
        <v>2098</v>
      </c>
      <c r="G5321" t="s">
        <v>219</v>
      </c>
      <c r="H5321" t="s">
        <v>220</v>
      </c>
      <c r="I5321" t="s">
        <v>22</v>
      </c>
      <c r="J5321" s="2" t="s">
        <v>42</v>
      </c>
      <c r="K5321" s="2" t="s">
        <v>3019</v>
      </c>
      <c r="L5321" t="s">
        <v>25</v>
      </c>
      <c r="M5321" s="10" t="s">
        <v>26</v>
      </c>
      <c r="N5321" t="s">
        <v>26</v>
      </c>
      <c r="O5321" s="10" t="s">
        <v>26</v>
      </c>
      <c r="P5321" s="8" t="s">
        <v>26</v>
      </c>
      <c r="Q5321" s="8">
        <f>(4488342*100)/4914798</f>
        <v>91.323020803703429</v>
      </c>
    </row>
    <row r="5322" spans="1:17" x14ac:dyDescent="0.2">
      <c r="A5322">
        <f>YEAR(D5322)</f>
        <v>2020</v>
      </c>
      <c r="B5322" t="s">
        <v>26</v>
      </c>
      <c r="C5322" s="2" t="s">
        <v>50</v>
      </c>
      <c r="D5322" s="1">
        <v>44019</v>
      </c>
      <c r="E5322">
        <f>MONTH(D5322)</f>
        <v>7</v>
      </c>
      <c r="F5322" s="2" t="s">
        <v>2098</v>
      </c>
      <c r="G5322" t="s">
        <v>219</v>
      </c>
      <c r="H5322" t="s">
        <v>220</v>
      </c>
      <c r="I5322" t="s">
        <v>22</v>
      </c>
      <c r="J5322" s="2" t="s">
        <v>42</v>
      </c>
      <c r="K5322" s="2" t="s">
        <v>3019</v>
      </c>
      <c r="L5322" t="s">
        <v>25</v>
      </c>
      <c r="M5322" s="10" t="s">
        <v>26</v>
      </c>
      <c r="N5322" t="s">
        <v>26</v>
      </c>
      <c r="O5322" s="10" t="s">
        <v>26</v>
      </c>
      <c r="P5322" s="8" t="s">
        <v>26</v>
      </c>
      <c r="Q5322" s="8">
        <f>(4488342*100)/4914798</f>
        <v>91.323020803703429</v>
      </c>
    </row>
    <row r="5323" spans="1:17" x14ac:dyDescent="0.2">
      <c r="A5323">
        <f>YEAR(D5323)</f>
        <v>2020</v>
      </c>
      <c r="B5323" t="s">
        <v>26</v>
      </c>
      <c r="C5323" s="2" t="s">
        <v>50</v>
      </c>
      <c r="D5323" s="1">
        <v>44019</v>
      </c>
      <c r="E5323">
        <f>MONTH(D5323)</f>
        <v>7</v>
      </c>
      <c r="F5323" s="2" t="s">
        <v>2098</v>
      </c>
      <c r="G5323" t="s">
        <v>219</v>
      </c>
      <c r="H5323" t="s">
        <v>220</v>
      </c>
      <c r="I5323" t="s">
        <v>22</v>
      </c>
      <c r="J5323" s="2" t="s">
        <v>42</v>
      </c>
      <c r="K5323" s="2" t="s">
        <v>3019</v>
      </c>
      <c r="L5323" t="s">
        <v>25</v>
      </c>
      <c r="M5323" s="10" t="s">
        <v>26</v>
      </c>
      <c r="N5323" t="s">
        <v>26</v>
      </c>
      <c r="O5323" s="10" t="s">
        <v>26</v>
      </c>
      <c r="P5323" s="8" t="s">
        <v>26</v>
      </c>
      <c r="Q5323" s="8">
        <f>(4488342*100)/4914798</f>
        <v>91.323020803703429</v>
      </c>
    </row>
    <row r="5324" spans="1:17" x14ac:dyDescent="0.2">
      <c r="A5324">
        <f>YEAR(D5324)</f>
        <v>2020</v>
      </c>
      <c r="B5324" t="s">
        <v>26</v>
      </c>
      <c r="C5324" s="2" t="s">
        <v>50</v>
      </c>
      <c r="D5324" s="1">
        <v>44019</v>
      </c>
      <c r="E5324">
        <f>MONTH(D5324)</f>
        <v>7</v>
      </c>
      <c r="F5324" s="2" t="s">
        <v>2098</v>
      </c>
      <c r="G5324" t="s">
        <v>352</v>
      </c>
      <c r="H5324" t="s">
        <v>623</v>
      </c>
      <c r="I5324" t="s">
        <v>22</v>
      </c>
      <c r="J5324" s="2" t="s">
        <v>42</v>
      </c>
      <c r="K5324" s="2" t="s">
        <v>3019</v>
      </c>
      <c r="L5324" t="s">
        <v>25</v>
      </c>
      <c r="M5324" s="8">
        <v>1.387</v>
      </c>
      <c r="N5324" t="s">
        <v>26</v>
      </c>
      <c r="O5324" s="8">
        <v>1.387</v>
      </c>
      <c r="P5324" s="8">
        <f>EXP(-1.363+3.366*LOG(O5324,10))</f>
        <v>0.41280884754947733</v>
      </c>
      <c r="Q5324" s="8">
        <f>(4488342*100)/4914798</f>
        <v>91.323020803703429</v>
      </c>
    </row>
    <row r="5325" spans="1:17" x14ac:dyDescent="0.2">
      <c r="A5325">
        <f>YEAR(D5325)</f>
        <v>2020</v>
      </c>
      <c r="B5325" t="s">
        <v>26</v>
      </c>
      <c r="C5325" s="2" t="s">
        <v>50</v>
      </c>
      <c r="D5325" s="1">
        <v>44019</v>
      </c>
      <c r="E5325">
        <f>MONTH(D5325)</f>
        <v>7</v>
      </c>
      <c r="F5325" s="2" t="s">
        <v>2098</v>
      </c>
      <c r="G5325" t="s">
        <v>352</v>
      </c>
      <c r="H5325" t="s">
        <v>728</v>
      </c>
      <c r="I5325" t="s">
        <v>22</v>
      </c>
      <c r="J5325" s="2" t="s">
        <v>42</v>
      </c>
      <c r="K5325" s="2" t="s">
        <v>3019</v>
      </c>
      <c r="L5325" t="s">
        <v>187</v>
      </c>
      <c r="M5325" s="8">
        <v>1.8093333330000001</v>
      </c>
      <c r="N5325" t="s">
        <v>26</v>
      </c>
      <c r="O5325" s="8">
        <v>1.8093333330000001</v>
      </c>
      <c r="P5325" s="8">
        <f>EXP(-1.363+3.366*LOG(O5325,10))</f>
        <v>0.6088444603462565</v>
      </c>
      <c r="Q5325" s="8">
        <f>(4488342*100)/4914798</f>
        <v>91.323020803703429</v>
      </c>
    </row>
    <row r="5326" spans="1:17" x14ac:dyDescent="0.2">
      <c r="A5326">
        <f>YEAR(D5326)</f>
        <v>2020</v>
      </c>
      <c r="B5326" t="s">
        <v>26</v>
      </c>
      <c r="C5326" s="2" t="s">
        <v>50</v>
      </c>
      <c r="D5326" s="1">
        <v>44019</v>
      </c>
      <c r="E5326">
        <f>MONTH(D5326)</f>
        <v>7</v>
      </c>
      <c r="F5326" s="2" t="s">
        <v>2098</v>
      </c>
      <c r="G5326" t="s">
        <v>2206</v>
      </c>
      <c r="H5326" t="s">
        <v>2263</v>
      </c>
      <c r="I5326" t="s">
        <v>22</v>
      </c>
      <c r="J5326" s="2" t="s">
        <v>42</v>
      </c>
      <c r="K5326" s="2" t="s">
        <v>3019</v>
      </c>
      <c r="L5326" t="s">
        <v>25</v>
      </c>
      <c r="M5326" s="8">
        <v>3.7376666670000001</v>
      </c>
      <c r="N5326" t="s">
        <v>26</v>
      </c>
      <c r="O5326" s="8">
        <v>3.7376666670000001</v>
      </c>
      <c r="P5326" s="8">
        <f>EXP(-1.363+3.366*LOG(O5326,10))</f>
        <v>1.7583458516827115</v>
      </c>
      <c r="Q5326" s="8">
        <f>(4488342*100)/4914798</f>
        <v>91.323020803703429</v>
      </c>
    </row>
    <row r="5327" spans="1:17" x14ac:dyDescent="0.2">
      <c r="A5327">
        <f>YEAR(D5327)</f>
        <v>2020</v>
      </c>
      <c r="B5327" t="s">
        <v>26</v>
      </c>
      <c r="C5327" s="2" t="s">
        <v>50</v>
      </c>
      <c r="D5327" s="1">
        <v>44019</v>
      </c>
      <c r="E5327">
        <f>MONTH(D5327)</f>
        <v>7</v>
      </c>
      <c r="F5327" s="2" t="s">
        <v>2098</v>
      </c>
      <c r="G5327" t="s">
        <v>1512</v>
      </c>
      <c r="H5327" t="s">
        <v>1513</v>
      </c>
      <c r="I5327" t="s">
        <v>36</v>
      </c>
      <c r="J5327" s="2" t="s">
        <v>42</v>
      </c>
      <c r="K5327" s="2" t="s">
        <v>3019</v>
      </c>
      <c r="L5327" t="s">
        <v>187</v>
      </c>
      <c r="M5327" s="8">
        <v>1.5229999999999999</v>
      </c>
      <c r="N5327" t="s">
        <v>26</v>
      </c>
      <c r="O5327" s="8">
        <v>1.5229999999999999</v>
      </c>
      <c r="P5327" s="8">
        <f>EXP(-1.363+3.366*LOG(O5327,10))</f>
        <v>0.47329702612300512</v>
      </c>
      <c r="Q5327" s="8">
        <f>(4488342*100)/4914798</f>
        <v>91.323020803703429</v>
      </c>
    </row>
    <row r="5328" spans="1:17" x14ac:dyDescent="0.2">
      <c r="A5328">
        <f>YEAR(D5328)</f>
        <v>2020</v>
      </c>
      <c r="B5328" t="s">
        <v>26</v>
      </c>
      <c r="C5328" s="2" t="s">
        <v>50</v>
      </c>
      <c r="D5328" s="1">
        <v>44019</v>
      </c>
      <c r="E5328">
        <f>MONTH(D5328)</f>
        <v>7</v>
      </c>
      <c r="F5328" s="2" t="s">
        <v>2098</v>
      </c>
      <c r="G5328" t="s">
        <v>1532</v>
      </c>
      <c r="H5328" t="s">
        <v>1995</v>
      </c>
      <c r="I5328" t="s">
        <v>22</v>
      </c>
      <c r="J5328" s="2" t="s">
        <v>42</v>
      </c>
      <c r="K5328" s="2" t="s">
        <v>3019</v>
      </c>
      <c r="L5328" t="s">
        <v>25</v>
      </c>
      <c r="M5328" s="8">
        <v>2.197666667</v>
      </c>
      <c r="N5328" t="s">
        <v>26</v>
      </c>
      <c r="O5328" s="8">
        <v>2.197666667</v>
      </c>
      <c r="P5328" s="8">
        <f>EXP(-1.363+3.366*LOG(O5328,10))</f>
        <v>0.80899988003525158</v>
      </c>
      <c r="Q5328" s="8">
        <f>(4488342*100)/4914798</f>
        <v>91.323020803703429</v>
      </c>
    </row>
    <row r="5329" spans="1:17" x14ac:dyDescent="0.2">
      <c r="A5329">
        <f>YEAR(D5329)</f>
        <v>2020</v>
      </c>
      <c r="B5329" t="s">
        <v>26</v>
      </c>
      <c r="C5329" s="2" t="s">
        <v>50</v>
      </c>
      <c r="D5329" s="1">
        <v>44019</v>
      </c>
      <c r="E5329">
        <f>MONTH(D5329)</f>
        <v>7</v>
      </c>
      <c r="F5329" s="2" t="s">
        <v>2098</v>
      </c>
      <c r="G5329" t="s">
        <v>352</v>
      </c>
      <c r="H5329" t="s">
        <v>2167</v>
      </c>
      <c r="I5329" t="s">
        <v>22</v>
      </c>
      <c r="J5329" s="2" t="s">
        <v>42</v>
      </c>
      <c r="K5329" s="2" t="s">
        <v>3019</v>
      </c>
      <c r="L5329" t="s">
        <v>25</v>
      </c>
      <c r="M5329" s="8">
        <v>1.2443333329999999</v>
      </c>
      <c r="N5329" t="s">
        <v>26</v>
      </c>
      <c r="O5329" s="8">
        <v>1.2443333329999999</v>
      </c>
      <c r="P5329" s="8">
        <f>EXP(-1.363+3.366*LOG(O5329,10))</f>
        <v>0.35223984777902306</v>
      </c>
      <c r="Q5329" s="8">
        <f>(4488342*100)/4914798</f>
        <v>91.323020803703429</v>
      </c>
    </row>
    <row r="5330" spans="1:17" x14ac:dyDescent="0.2">
      <c r="A5330">
        <f>YEAR(D5330)</f>
        <v>2020</v>
      </c>
      <c r="B5330" t="s">
        <v>26</v>
      </c>
      <c r="C5330" s="2" t="s">
        <v>50</v>
      </c>
      <c r="D5330" s="1">
        <v>44019</v>
      </c>
      <c r="E5330">
        <f>MONTH(D5330)</f>
        <v>7</v>
      </c>
      <c r="F5330" s="2" t="s">
        <v>2098</v>
      </c>
      <c r="G5330" t="s">
        <v>209</v>
      </c>
      <c r="H5330" t="s">
        <v>212</v>
      </c>
      <c r="I5330" t="s">
        <v>36</v>
      </c>
      <c r="J5330" s="2" t="s">
        <v>42</v>
      </c>
      <c r="K5330" s="2" t="s">
        <v>3019</v>
      </c>
      <c r="L5330" t="s">
        <v>187</v>
      </c>
      <c r="M5330" s="8">
        <v>1.534</v>
      </c>
      <c r="N5330" t="s">
        <v>26</v>
      </c>
      <c r="O5330" s="8">
        <v>1.534</v>
      </c>
      <c r="P5330" s="8">
        <f>EXP(-1.363+3.366*LOG(O5330,10))</f>
        <v>0.47830252961730491</v>
      </c>
      <c r="Q5330" s="8">
        <f>(4488342*100)/4914798</f>
        <v>91.323020803703429</v>
      </c>
    </row>
    <row r="5331" spans="1:17" x14ac:dyDescent="0.2">
      <c r="A5331">
        <f>YEAR(D5331)</f>
        <v>2020</v>
      </c>
      <c r="B5331" t="s">
        <v>26</v>
      </c>
      <c r="C5331" s="2" t="s">
        <v>50</v>
      </c>
      <c r="D5331" s="1">
        <v>44019</v>
      </c>
      <c r="E5331">
        <f>MONTH(D5331)</f>
        <v>7</v>
      </c>
      <c r="F5331" s="2" t="s">
        <v>2098</v>
      </c>
      <c r="G5331" t="s">
        <v>2206</v>
      </c>
      <c r="H5331" t="s">
        <v>2263</v>
      </c>
      <c r="I5331" t="s">
        <v>36</v>
      </c>
      <c r="J5331" s="2" t="s">
        <v>42</v>
      </c>
      <c r="K5331" s="2" t="s">
        <v>3019</v>
      </c>
      <c r="L5331" t="s">
        <v>25</v>
      </c>
      <c r="M5331" s="8">
        <v>4.1670000000000007</v>
      </c>
      <c r="N5331" t="s">
        <v>26</v>
      </c>
      <c r="O5331" s="8">
        <v>4.1670000000000007</v>
      </c>
      <c r="P5331" s="8">
        <f>EXP(-1.363+3.366*LOG(O5331,10))</f>
        <v>2.0612774305709816</v>
      </c>
      <c r="Q5331" s="8">
        <f>(4488342*100)/4914798</f>
        <v>91.323020803703429</v>
      </c>
    </row>
    <row r="5332" spans="1:17" x14ac:dyDescent="0.2">
      <c r="A5332">
        <f>YEAR(D5332)</f>
        <v>2020</v>
      </c>
      <c r="B5332" t="s">
        <v>26</v>
      </c>
      <c r="C5332" s="2" t="s">
        <v>50</v>
      </c>
      <c r="D5332" s="1">
        <v>44019</v>
      </c>
      <c r="E5332">
        <f>MONTH(D5332)</f>
        <v>7</v>
      </c>
      <c r="F5332" s="2" t="s">
        <v>2098</v>
      </c>
      <c r="G5332" t="s">
        <v>352</v>
      </c>
      <c r="H5332" t="s">
        <v>975</v>
      </c>
      <c r="I5332" t="s">
        <v>22</v>
      </c>
      <c r="J5332" s="2" t="s">
        <v>42</v>
      </c>
      <c r="K5332" s="2" t="s">
        <v>3019</v>
      </c>
      <c r="L5332" t="s">
        <v>25</v>
      </c>
      <c r="M5332" s="8">
        <v>1.0693333330000001</v>
      </c>
      <c r="N5332" t="s">
        <v>26</v>
      </c>
      <c r="O5332" s="8">
        <v>1.0693333330000001</v>
      </c>
      <c r="P5332" s="8">
        <f>EXP(-1.363+3.366*LOG(O5332,10))</f>
        <v>0.28223780327142356</v>
      </c>
      <c r="Q5332" s="8">
        <f>(4488342*100)/4914798</f>
        <v>91.323020803703429</v>
      </c>
    </row>
    <row r="5333" spans="1:17" x14ac:dyDescent="0.2">
      <c r="A5333">
        <f>YEAR(D5333)</f>
        <v>2020</v>
      </c>
      <c r="B5333" t="s">
        <v>26</v>
      </c>
      <c r="C5333" s="2" t="s">
        <v>50</v>
      </c>
      <c r="D5333" s="1">
        <v>44019</v>
      </c>
      <c r="E5333">
        <f>MONTH(D5333)</f>
        <v>7</v>
      </c>
      <c r="F5333" s="2" t="s">
        <v>2098</v>
      </c>
      <c r="G5333" t="s">
        <v>2206</v>
      </c>
      <c r="H5333" t="s">
        <v>2207</v>
      </c>
      <c r="I5333" t="s">
        <v>22</v>
      </c>
      <c r="J5333" s="2" t="s">
        <v>42</v>
      </c>
      <c r="K5333" s="2" t="s">
        <v>3019</v>
      </c>
      <c r="L5333" t="s">
        <v>25</v>
      </c>
      <c r="M5333" s="8">
        <v>3.249333333</v>
      </c>
      <c r="N5333" t="s">
        <v>26</v>
      </c>
      <c r="O5333" s="8">
        <v>3.249333333</v>
      </c>
      <c r="P5333" s="8">
        <f>EXP(-1.363+3.366*LOG(O5333,10))</f>
        <v>1.4328987616438449</v>
      </c>
      <c r="Q5333" s="8">
        <f>(4488342*100)/4914798</f>
        <v>91.323020803703429</v>
      </c>
    </row>
    <row r="5334" spans="1:17" x14ac:dyDescent="0.2">
      <c r="A5334">
        <f>YEAR(D5334)</f>
        <v>2020</v>
      </c>
      <c r="B5334" t="s">
        <v>26</v>
      </c>
      <c r="C5334" s="2" t="s">
        <v>50</v>
      </c>
      <c r="D5334" s="1">
        <v>44019</v>
      </c>
      <c r="E5334">
        <f>MONTH(D5334)</f>
        <v>7</v>
      </c>
      <c r="F5334" s="2" t="s">
        <v>2098</v>
      </c>
      <c r="G5334" t="s">
        <v>2206</v>
      </c>
      <c r="H5334" t="s">
        <v>2207</v>
      </c>
      <c r="I5334" t="s">
        <v>22</v>
      </c>
      <c r="J5334" s="2" t="s">
        <v>42</v>
      </c>
      <c r="K5334" s="2" t="s">
        <v>3019</v>
      </c>
      <c r="L5334" t="s">
        <v>25</v>
      </c>
      <c r="M5334" s="8">
        <v>3.249333333</v>
      </c>
      <c r="N5334" t="s">
        <v>26</v>
      </c>
      <c r="O5334" s="8">
        <v>3.249333333</v>
      </c>
      <c r="P5334" s="8">
        <f>EXP(-1.363+3.366*LOG(O5334,10))</f>
        <v>1.4328987616438449</v>
      </c>
      <c r="Q5334" s="8">
        <f>(4488342*100)/4914798</f>
        <v>91.323020803703429</v>
      </c>
    </row>
    <row r="5335" spans="1:17" x14ac:dyDescent="0.2">
      <c r="A5335">
        <f>YEAR(D5335)</f>
        <v>2020</v>
      </c>
      <c r="B5335" t="s">
        <v>26</v>
      </c>
      <c r="C5335" s="2" t="s">
        <v>50</v>
      </c>
      <c r="D5335" s="1">
        <v>44019</v>
      </c>
      <c r="E5335">
        <f>MONTH(D5335)</f>
        <v>7</v>
      </c>
      <c r="F5335" s="2" t="s">
        <v>2098</v>
      </c>
      <c r="G5335" t="s">
        <v>2206</v>
      </c>
      <c r="H5335" t="s">
        <v>2207</v>
      </c>
      <c r="I5335" t="s">
        <v>22</v>
      </c>
      <c r="J5335" s="2" t="s">
        <v>42</v>
      </c>
      <c r="K5335" s="2" t="s">
        <v>3019</v>
      </c>
      <c r="L5335" t="s">
        <v>25</v>
      </c>
      <c r="M5335" s="8">
        <v>3.249333333</v>
      </c>
      <c r="N5335" t="s">
        <v>26</v>
      </c>
      <c r="O5335" s="8">
        <v>3.249333333</v>
      </c>
      <c r="P5335" s="8">
        <f>EXP(-1.363+3.366*LOG(O5335,10))</f>
        <v>1.4328987616438449</v>
      </c>
      <c r="Q5335" s="8">
        <f>(4488342*100)/4914798</f>
        <v>91.323020803703429</v>
      </c>
    </row>
    <row r="5336" spans="1:17" x14ac:dyDescent="0.2">
      <c r="A5336">
        <f>YEAR(D5336)</f>
        <v>2020</v>
      </c>
      <c r="B5336" t="s">
        <v>26</v>
      </c>
      <c r="C5336" s="2" t="s">
        <v>50</v>
      </c>
      <c r="D5336" s="1">
        <v>44019</v>
      </c>
      <c r="E5336">
        <f>MONTH(D5336)</f>
        <v>7</v>
      </c>
      <c r="F5336" s="2" t="s">
        <v>2098</v>
      </c>
      <c r="G5336" t="s">
        <v>2206</v>
      </c>
      <c r="H5336" t="s">
        <v>2207</v>
      </c>
      <c r="I5336" t="s">
        <v>36</v>
      </c>
      <c r="J5336" s="2" t="s">
        <v>42</v>
      </c>
      <c r="K5336" s="2" t="s">
        <v>3019</v>
      </c>
      <c r="L5336" t="s">
        <v>25</v>
      </c>
      <c r="M5336" s="8">
        <v>3.6386666669999999</v>
      </c>
      <c r="N5336" t="s">
        <v>26</v>
      </c>
      <c r="O5336" s="8">
        <v>3.6386666669999999</v>
      </c>
      <c r="P5336" s="8">
        <f>EXP(-1.363+3.366*LOG(O5336,10))</f>
        <v>1.6906814772344552</v>
      </c>
      <c r="Q5336" s="8">
        <f>(4488342*100)/4914798</f>
        <v>91.323020803703429</v>
      </c>
    </row>
    <row r="5337" spans="1:17" x14ac:dyDescent="0.2">
      <c r="A5337">
        <f>YEAR(D5337)</f>
        <v>2020</v>
      </c>
      <c r="B5337" t="s">
        <v>26</v>
      </c>
      <c r="C5337" s="2" t="s">
        <v>50</v>
      </c>
      <c r="D5337" s="1">
        <v>44019</v>
      </c>
      <c r="E5337">
        <f>MONTH(D5337)</f>
        <v>7</v>
      </c>
      <c r="F5337" s="2" t="s">
        <v>2098</v>
      </c>
      <c r="G5337" t="s">
        <v>352</v>
      </c>
      <c r="H5337" t="s">
        <v>353</v>
      </c>
      <c r="I5337" t="s">
        <v>22</v>
      </c>
      <c r="J5337" s="2" t="s">
        <v>42</v>
      </c>
      <c r="K5337" s="2" t="s">
        <v>3019</v>
      </c>
      <c r="L5337" t="s">
        <v>25</v>
      </c>
      <c r="M5337" s="8">
        <v>1.1623333330000001</v>
      </c>
      <c r="N5337" t="s">
        <v>26</v>
      </c>
      <c r="O5337" s="8">
        <v>1.1623333330000001</v>
      </c>
      <c r="P5337" s="8">
        <f>EXP(-1.363+3.366*LOG(O5337,10))</f>
        <v>0.31883010989102206</v>
      </c>
      <c r="Q5337" s="8">
        <f>(4488342*100)/4914798</f>
        <v>91.323020803703429</v>
      </c>
    </row>
    <row r="5338" spans="1:17" x14ac:dyDescent="0.2">
      <c r="A5338">
        <f>YEAR(D5338)</f>
        <v>2020</v>
      </c>
      <c r="B5338" t="s">
        <v>26</v>
      </c>
      <c r="C5338" s="2" t="s">
        <v>50</v>
      </c>
      <c r="D5338" s="1">
        <v>44019</v>
      </c>
      <c r="E5338">
        <f>MONTH(D5338)</f>
        <v>7</v>
      </c>
      <c r="F5338" s="2" t="s">
        <v>2098</v>
      </c>
      <c r="G5338" t="s">
        <v>1532</v>
      </c>
      <c r="H5338" t="s">
        <v>1995</v>
      </c>
      <c r="I5338" t="s">
        <v>22</v>
      </c>
      <c r="J5338" s="2" t="s">
        <v>42</v>
      </c>
      <c r="K5338" s="2" t="s">
        <v>3019</v>
      </c>
      <c r="L5338" t="s">
        <v>25</v>
      </c>
      <c r="M5338" s="8">
        <v>2.197666667</v>
      </c>
      <c r="N5338" t="s">
        <v>26</v>
      </c>
      <c r="O5338" s="8">
        <v>2.197666667</v>
      </c>
      <c r="P5338" s="8">
        <f>EXP(-1.363+3.366*LOG(O5338,10))</f>
        <v>0.80899988003525158</v>
      </c>
      <c r="Q5338" s="8">
        <f>(4488342*100)/4914798</f>
        <v>91.323020803703429</v>
      </c>
    </row>
    <row r="5339" spans="1:17" x14ac:dyDescent="0.2">
      <c r="A5339">
        <f>YEAR(D5339)</f>
        <v>2020</v>
      </c>
      <c r="B5339" t="s">
        <v>26</v>
      </c>
      <c r="C5339" s="2" t="s">
        <v>50</v>
      </c>
      <c r="D5339" s="1">
        <v>44019</v>
      </c>
      <c r="E5339">
        <f>MONTH(D5339)</f>
        <v>7</v>
      </c>
      <c r="F5339" s="2" t="s">
        <v>2098</v>
      </c>
      <c r="G5339" t="s">
        <v>1520</v>
      </c>
      <c r="H5339" t="s">
        <v>1925</v>
      </c>
      <c r="I5339" t="s">
        <v>22</v>
      </c>
      <c r="J5339" s="2" t="s">
        <v>42</v>
      </c>
      <c r="K5339" s="2" t="s">
        <v>3019</v>
      </c>
      <c r="L5339" t="s">
        <v>25</v>
      </c>
      <c r="M5339" s="8">
        <v>2.3010000000000002</v>
      </c>
      <c r="N5339" t="s">
        <v>26</v>
      </c>
      <c r="O5339" s="8">
        <v>2.3010000000000002</v>
      </c>
      <c r="P5339" s="8">
        <f>EXP(-1.363+3.366*LOG(O5339,10))</f>
        <v>0.86520512489057888</v>
      </c>
      <c r="Q5339" s="8">
        <f>(4488342*100)/4914798</f>
        <v>91.323020803703429</v>
      </c>
    </row>
    <row r="5340" spans="1:17" x14ac:dyDescent="0.2">
      <c r="A5340">
        <f>YEAR(D5340)</f>
        <v>2020</v>
      </c>
      <c r="B5340" t="s">
        <v>26</v>
      </c>
      <c r="C5340" s="2" t="s">
        <v>50</v>
      </c>
      <c r="D5340" s="1">
        <v>44019</v>
      </c>
      <c r="E5340">
        <f>MONTH(D5340)</f>
        <v>7</v>
      </c>
      <c r="F5340" s="2" t="s">
        <v>2098</v>
      </c>
      <c r="G5340" s="2" t="s">
        <v>332</v>
      </c>
      <c r="H5340" t="s">
        <v>3056</v>
      </c>
      <c r="I5340" t="s">
        <v>22</v>
      </c>
      <c r="J5340" s="2" t="s">
        <v>42</v>
      </c>
      <c r="K5340" s="2" t="s">
        <v>3019</v>
      </c>
      <c r="L5340" t="s">
        <v>26</v>
      </c>
      <c r="M5340" s="8">
        <v>0.90349999999999997</v>
      </c>
      <c r="N5340" t="s">
        <v>26</v>
      </c>
      <c r="O5340" s="8">
        <v>0.90349999999999997</v>
      </c>
      <c r="P5340" s="8">
        <f>EXP(-1.363+3.366*LOG(O5340,10))</f>
        <v>0.22061287200562435</v>
      </c>
      <c r="Q5340" s="8">
        <f>(4488342*100)/4914798</f>
        <v>91.323020803703429</v>
      </c>
    </row>
    <row r="5341" spans="1:17" x14ac:dyDescent="0.2">
      <c r="A5341">
        <f>YEAR(D5341)</f>
        <v>2020</v>
      </c>
      <c r="B5341" t="s">
        <v>26</v>
      </c>
      <c r="C5341" s="2" t="s">
        <v>50</v>
      </c>
      <c r="D5341" s="1">
        <v>44019</v>
      </c>
      <c r="E5341">
        <f>MONTH(D5341)</f>
        <v>7</v>
      </c>
      <c r="F5341" s="2" t="s">
        <v>2098</v>
      </c>
      <c r="G5341" t="s">
        <v>352</v>
      </c>
      <c r="H5341" t="s">
        <v>623</v>
      </c>
      <c r="I5341" t="s">
        <v>36</v>
      </c>
      <c r="J5341" s="2" t="s">
        <v>42</v>
      </c>
      <c r="K5341" s="2" t="s">
        <v>3019</v>
      </c>
      <c r="L5341" t="s">
        <v>25</v>
      </c>
      <c r="M5341" s="8">
        <v>1.1339999999999999</v>
      </c>
      <c r="N5341" t="s">
        <v>26</v>
      </c>
      <c r="O5341" s="8">
        <v>1.1339999999999999</v>
      </c>
      <c r="P5341" s="8">
        <f>EXP(-1.363+3.366*LOG(O5341,10))</f>
        <v>0.30753312979708036</v>
      </c>
      <c r="Q5341" s="8">
        <f>(4488342*100)/4914798</f>
        <v>91.323020803703429</v>
      </c>
    </row>
    <row r="5342" spans="1:17" x14ac:dyDescent="0.2">
      <c r="A5342">
        <f>YEAR(D5342)</f>
        <v>2020</v>
      </c>
      <c r="B5342" t="s">
        <v>26</v>
      </c>
      <c r="C5342" s="2" t="s">
        <v>50</v>
      </c>
      <c r="D5342" s="1">
        <v>44019</v>
      </c>
      <c r="E5342">
        <f>MONTH(D5342)</f>
        <v>7</v>
      </c>
      <c r="F5342" s="2" t="s">
        <v>2098</v>
      </c>
      <c r="G5342" t="s">
        <v>352</v>
      </c>
      <c r="H5342" t="s">
        <v>623</v>
      </c>
      <c r="I5342" t="s">
        <v>36</v>
      </c>
      <c r="J5342" s="2" t="s">
        <v>42</v>
      </c>
      <c r="K5342" s="2" t="s">
        <v>3019</v>
      </c>
      <c r="L5342" t="s">
        <v>25</v>
      </c>
      <c r="M5342" s="8">
        <v>1.1339999999999999</v>
      </c>
      <c r="N5342" t="s">
        <v>26</v>
      </c>
      <c r="O5342" s="8">
        <v>1.1339999999999999</v>
      </c>
      <c r="P5342" s="8">
        <f>EXP(-1.363+3.366*LOG(O5342,10))</f>
        <v>0.30753312979708036</v>
      </c>
      <c r="Q5342" s="8">
        <f>(4488342*100)/4914798</f>
        <v>91.323020803703429</v>
      </c>
    </row>
    <row r="5343" spans="1:17" x14ac:dyDescent="0.2">
      <c r="A5343">
        <f>YEAR(D5343)</f>
        <v>2020</v>
      </c>
      <c r="B5343" t="s">
        <v>26</v>
      </c>
      <c r="C5343" s="2" t="s">
        <v>50</v>
      </c>
      <c r="D5343" s="1">
        <v>44019</v>
      </c>
      <c r="E5343">
        <f>MONTH(D5343)</f>
        <v>7</v>
      </c>
      <c r="F5343" s="2" t="s">
        <v>2098</v>
      </c>
      <c r="G5343" t="s">
        <v>352</v>
      </c>
      <c r="H5343" t="s">
        <v>623</v>
      </c>
      <c r="I5343" t="s">
        <v>36</v>
      </c>
      <c r="J5343" s="2" t="s">
        <v>42</v>
      </c>
      <c r="K5343" s="2" t="s">
        <v>3019</v>
      </c>
      <c r="L5343" t="s">
        <v>25</v>
      </c>
      <c r="M5343" s="8">
        <v>1.1339999999999999</v>
      </c>
      <c r="N5343" t="s">
        <v>26</v>
      </c>
      <c r="O5343" s="8">
        <v>1.1339999999999999</v>
      </c>
      <c r="P5343" s="8">
        <f>EXP(-1.363+3.366*LOG(O5343,10))</f>
        <v>0.30753312979708036</v>
      </c>
      <c r="Q5343" s="8">
        <f>(4488342*100)/4914798</f>
        <v>91.323020803703429</v>
      </c>
    </row>
    <row r="5344" spans="1:17" x14ac:dyDescent="0.2">
      <c r="A5344">
        <f>YEAR(D5344)</f>
        <v>2020</v>
      </c>
      <c r="B5344" t="s">
        <v>26</v>
      </c>
      <c r="C5344" s="2" t="s">
        <v>50</v>
      </c>
      <c r="D5344" s="1">
        <v>44019</v>
      </c>
      <c r="E5344">
        <f>MONTH(D5344)</f>
        <v>7</v>
      </c>
      <c r="F5344" s="2" t="s">
        <v>2098</v>
      </c>
      <c r="G5344" s="2" t="s">
        <v>332</v>
      </c>
      <c r="H5344" t="s">
        <v>3066</v>
      </c>
      <c r="I5344" t="s">
        <v>36</v>
      </c>
      <c r="J5344" s="2" t="s">
        <v>42</v>
      </c>
      <c r="K5344" s="2" t="s">
        <v>3019</v>
      </c>
      <c r="L5344" t="s">
        <v>187</v>
      </c>
      <c r="M5344" s="8">
        <v>1.4640000000000002</v>
      </c>
      <c r="N5344" t="s">
        <v>26</v>
      </c>
      <c r="O5344" s="8">
        <v>1.4640000000000002</v>
      </c>
      <c r="P5344" s="8">
        <f>EXP(-1.363+3.366*LOG(O5344,10))</f>
        <v>0.44673543135822941</v>
      </c>
      <c r="Q5344" s="8">
        <f>(4488342*100)/4914798</f>
        <v>91.323020803703429</v>
      </c>
    </row>
    <row r="5345" spans="1:17" x14ac:dyDescent="0.2">
      <c r="A5345">
        <f>YEAR(D5345)</f>
        <v>2020</v>
      </c>
      <c r="B5345" t="s">
        <v>26</v>
      </c>
      <c r="C5345" s="2" t="s">
        <v>50</v>
      </c>
      <c r="D5345" s="1">
        <v>44019</v>
      </c>
      <c r="E5345">
        <f>MONTH(D5345)</f>
        <v>7</v>
      </c>
      <c r="F5345" s="2" t="s">
        <v>2098</v>
      </c>
      <c r="G5345" t="s">
        <v>20</v>
      </c>
      <c r="H5345" t="s">
        <v>149</v>
      </c>
      <c r="I5345" t="s">
        <v>22</v>
      </c>
      <c r="J5345" s="2" t="s">
        <v>42</v>
      </c>
      <c r="K5345" s="2" t="s">
        <v>3019</v>
      </c>
      <c r="L5345" t="s">
        <v>25</v>
      </c>
      <c r="M5345" s="8">
        <v>1.45</v>
      </c>
      <c r="N5345" t="s">
        <v>26</v>
      </c>
      <c r="O5345" s="8">
        <v>1.45</v>
      </c>
      <c r="P5345" s="8">
        <f>EXP(-1.363+3.366*LOG(O5345,10))</f>
        <v>0.44050419760124854</v>
      </c>
      <c r="Q5345" s="8">
        <f>(4488342*100)/4914798</f>
        <v>91.323020803703429</v>
      </c>
    </row>
    <row r="5346" spans="1:17" x14ac:dyDescent="0.2">
      <c r="A5346">
        <f>YEAR(D5346)</f>
        <v>2020</v>
      </c>
      <c r="B5346" t="s">
        <v>26</v>
      </c>
      <c r="C5346" s="2" t="s">
        <v>50</v>
      </c>
      <c r="D5346" s="1">
        <v>44019</v>
      </c>
      <c r="E5346">
        <f>MONTH(D5346)</f>
        <v>7</v>
      </c>
      <c r="F5346" s="2" t="s">
        <v>2098</v>
      </c>
      <c r="G5346" s="2" t="s">
        <v>332</v>
      </c>
      <c r="H5346" t="s">
        <v>3066</v>
      </c>
      <c r="I5346" t="s">
        <v>36</v>
      </c>
      <c r="J5346" s="2" t="s">
        <v>42</v>
      </c>
      <c r="K5346" s="2" t="s">
        <v>3019</v>
      </c>
      <c r="L5346" t="s">
        <v>187</v>
      </c>
      <c r="M5346" s="8">
        <v>1.4640000000000002</v>
      </c>
      <c r="N5346" t="s">
        <v>26</v>
      </c>
      <c r="O5346" s="8">
        <v>1.4640000000000002</v>
      </c>
      <c r="P5346" s="8">
        <f>EXP(-1.363+3.366*LOG(O5346,10))</f>
        <v>0.44673543135822941</v>
      </c>
      <c r="Q5346" s="8">
        <f>(4488342*100)/4914798</f>
        <v>91.323020803703429</v>
      </c>
    </row>
    <row r="5347" spans="1:17" x14ac:dyDescent="0.2">
      <c r="A5347">
        <f>YEAR(D5347)</f>
        <v>2020</v>
      </c>
      <c r="B5347" t="s">
        <v>26</v>
      </c>
      <c r="C5347" s="2" t="s">
        <v>50</v>
      </c>
      <c r="D5347" s="1">
        <v>44019</v>
      </c>
      <c r="E5347">
        <f>MONTH(D5347)</f>
        <v>7</v>
      </c>
      <c r="F5347" s="2" t="s">
        <v>2098</v>
      </c>
      <c r="G5347" s="2" t="s">
        <v>332</v>
      </c>
      <c r="H5347" t="s">
        <v>3066</v>
      </c>
      <c r="I5347" t="s">
        <v>22</v>
      </c>
      <c r="J5347" s="2" t="s">
        <v>42</v>
      </c>
      <c r="K5347" s="2" t="s">
        <v>3019</v>
      </c>
      <c r="L5347" t="s">
        <v>187</v>
      </c>
      <c r="M5347" s="8">
        <v>1.6990000000000001</v>
      </c>
      <c r="N5347" t="s">
        <v>26</v>
      </c>
      <c r="O5347" s="8">
        <v>1.6990000000000001</v>
      </c>
      <c r="P5347" s="8">
        <f>EXP(-1.363+3.366*LOG(O5347,10))</f>
        <v>0.55534313960512893</v>
      </c>
      <c r="Q5347" s="8">
        <f>(4488342*100)/4914798</f>
        <v>91.323020803703429</v>
      </c>
    </row>
    <row r="5348" spans="1:17" x14ac:dyDescent="0.2">
      <c r="A5348">
        <f>YEAR(D5348)</f>
        <v>2020</v>
      </c>
      <c r="B5348" t="s">
        <v>26</v>
      </c>
      <c r="C5348" s="2" t="s">
        <v>50</v>
      </c>
      <c r="D5348" s="1">
        <v>44019</v>
      </c>
      <c r="E5348">
        <f>MONTH(D5348)</f>
        <v>7</v>
      </c>
      <c r="F5348" s="2" t="s">
        <v>2098</v>
      </c>
      <c r="G5348" s="2" t="s">
        <v>332</v>
      </c>
      <c r="H5348" t="s">
        <v>3066</v>
      </c>
      <c r="I5348" t="s">
        <v>22</v>
      </c>
      <c r="J5348" s="2" t="s">
        <v>42</v>
      </c>
      <c r="K5348" s="2" t="s">
        <v>3019</v>
      </c>
      <c r="L5348" t="s">
        <v>187</v>
      </c>
      <c r="M5348" s="8">
        <v>1.6990000000000001</v>
      </c>
      <c r="N5348" t="s">
        <v>26</v>
      </c>
      <c r="O5348" s="8">
        <v>1.6990000000000001</v>
      </c>
      <c r="P5348" s="8">
        <f>EXP(-1.363+3.366*LOG(O5348,10))</f>
        <v>0.55534313960512893</v>
      </c>
      <c r="Q5348" s="8">
        <f>(4488342*100)/4914798</f>
        <v>91.323020803703429</v>
      </c>
    </row>
    <row r="5349" spans="1:17" x14ac:dyDescent="0.2">
      <c r="A5349">
        <f>YEAR(D5349)</f>
        <v>2020</v>
      </c>
      <c r="B5349" t="s">
        <v>26</v>
      </c>
      <c r="C5349" s="2" t="s">
        <v>50</v>
      </c>
      <c r="D5349" s="1">
        <v>44019</v>
      </c>
      <c r="E5349">
        <f>MONTH(D5349)</f>
        <v>7</v>
      </c>
      <c r="F5349" s="2" t="s">
        <v>2098</v>
      </c>
      <c r="G5349" s="2" t="s">
        <v>332</v>
      </c>
      <c r="H5349" t="s">
        <v>3066</v>
      </c>
      <c r="I5349" t="s">
        <v>22</v>
      </c>
      <c r="J5349" s="2" t="s">
        <v>42</v>
      </c>
      <c r="K5349" s="2" t="s">
        <v>3019</v>
      </c>
      <c r="L5349" t="s">
        <v>187</v>
      </c>
      <c r="M5349" s="8">
        <v>1.6990000000000001</v>
      </c>
      <c r="N5349" t="s">
        <v>26</v>
      </c>
      <c r="O5349" s="8">
        <v>1.6990000000000001</v>
      </c>
      <c r="P5349" s="8">
        <f>EXP(-1.363+3.366*LOG(O5349,10))</f>
        <v>0.55534313960512893</v>
      </c>
      <c r="Q5349" s="8">
        <f>(4488342*100)/4914798</f>
        <v>91.323020803703429</v>
      </c>
    </row>
    <row r="5350" spans="1:17" x14ac:dyDescent="0.2">
      <c r="A5350">
        <f>YEAR(D5350)</f>
        <v>2020</v>
      </c>
      <c r="B5350" t="s">
        <v>26</v>
      </c>
      <c r="C5350" s="2" t="s">
        <v>50</v>
      </c>
      <c r="D5350" s="1">
        <v>44019</v>
      </c>
      <c r="E5350">
        <f>MONTH(D5350)</f>
        <v>7</v>
      </c>
      <c r="F5350" s="2" t="s">
        <v>2098</v>
      </c>
      <c r="G5350" t="s">
        <v>352</v>
      </c>
      <c r="H5350" t="s">
        <v>494</v>
      </c>
      <c r="I5350" t="s">
        <v>22</v>
      </c>
      <c r="J5350" s="2" t="s">
        <v>42</v>
      </c>
      <c r="K5350" s="2" t="s">
        <v>3019</v>
      </c>
      <c r="L5350" t="s">
        <v>25</v>
      </c>
      <c r="M5350" s="8">
        <v>1.7226666669999999</v>
      </c>
      <c r="N5350" t="s">
        <v>26</v>
      </c>
      <c r="O5350" s="8">
        <v>1.7226666669999999</v>
      </c>
      <c r="P5350" s="8">
        <f>EXP(-1.363+3.366*LOG(O5350,10))</f>
        <v>0.56668788662759551</v>
      </c>
      <c r="Q5350" s="8">
        <f>(4488342*100)/4914798</f>
        <v>91.323020803703429</v>
      </c>
    </row>
    <row r="5351" spans="1:17" x14ac:dyDescent="0.2">
      <c r="A5351">
        <f>YEAR(D5351)</f>
        <v>2020</v>
      </c>
      <c r="B5351" t="s">
        <v>26</v>
      </c>
      <c r="C5351" s="2" t="s">
        <v>3021</v>
      </c>
      <c r="D5351" s="1">
        <v>44018</v>
      </c>
      <c r="E5351">
        <f>MONTH(D5351)</f>
        <v>7</v>
      </c>
      <c r="F5351" s="2" t="s">
        <v>19</v>
      </c>
      <c r="G5351" t="s">
        <v>352</v>
      </c>
      <c r="H5351" t="s">
        <v>975</v>
      </c>
      <c r="I5351" t="s">
        <v>22</v>
      </c>
      <c r="J5351" s="2" t="s">
        <v>42</v>
      </c>
      <c r="K5351" s="2" t="s">
        <v>3019</v>
      </c>
      <c r="L5351" t="s">
        <v>25</v>
      </c>
      <c r="M5351" s="8">
        <v>1.0693333330000001</v>
      </c>
      <c r="N5351" t="s">
        <v>26</v>
      </c>
      <c r="O5351" s="8">
        <v>1.0693333330000001</v>
      </c>
      <c r="P5351" s="8">
        <f>EXP(-1.363+3.366*LOG(O5351,10))</f>
        <v>0.28223780327142356</v>
      </c>
      <c r="Q5351" s="8">
        <f>(1845879*100)/1946364</f>
        <v>94.837296620775973</v>
      </c>
    </row>
    <row r="5352" spans="1:17" x14ac:dyDescent="0.2">
      <c r="A5352">
        <f>YEAR(D5352)</f>
        <v>2020</v>
      </c>
      <c r="B5352" t="s">
        <v>26</v>
      </c>
      <c r="C5352" s="2" t="s">
        <v>50</v>
      </c>
      <c r="D5352" s="1">
        <v>44019</v>
      </c>
      <c r="E5352">
        <f>MONTH(D5352)</f>
        <v>7</v>
      </c>
      <c r="F5352" s="2" t="s">
        <v>19</v>
      </c>
      <c r="G5352" t="s">
        <v>352</v>
      </c>
      <c r="H5352" t="s">
        <v>623</v>
      </c>
      <c r="I5352" t="s">
        <v>36</v>
      </c>
      <c r="J5352" s="2" t="s">
        <v>42</v>
      </c>
      <c r="K5352" s="2" t="s">
        <v>3019</v>
      </c>
      <c r="L5352" t="s">
        <v>25</v>
      </c>
      <c r="M5352" s="8">
        <v>1.1339999999999999</v>
      </c>
      <c r="N5352" t="s">
        <v>26</v>
      </c>
      <c r="O5352" s="8">
        <v>1.1339999999999999</v>
      </c>
      <c r="P5352" s="8">
        <f>EXP(-1.363+3.366*LOG(O5352,10))</f>
        <v>0.30753312979708036</v>
      </c>
      <c r="Q5352" s="8">
        <f>(4488342*100)/4914798</f>
        <v>91.323020803703429</v>
      </c>
    </row>
    <row r="5353" spans="1:17" x14ac:dyDescent="0.2">
      <c r="A5353">
        <f>YEAR(D5353)</f>
        <v>2020</v>
      </c>
      <c r="B5353" t="s">
        <v>26</v>
      </c>
      <c r="C5353" s="2" t="s">
        <v>50</v>
      </c>
      <c r="D5353" s="1">
        <v>44019</v>
      </c>
      <c r="E5353">
        <f>MONTH(D5353)</f>
        <v>7</v>
      </c>
      <c r="F5353" s="2" t="s">
        <v>19</v>
      </c>
      <c r="G5353" t="s">
        <v>352</v>
      </c>
      <c r="H5353" t="s">
        <v>1142</v>
      </c>
      <c r="I5353" t="s">
        <v>22</v>
      </c>
      <c r="J5353" s="2" t="s">
        <v>42</v>
      </c>
      <c r="K5353" s="2" t="s">
        <v>3019</v>
      </c>
      <c r="L5353" t="s">
        <v>25</v>
      </c>
      <c r="M5353" s="8">
        <v>1.1423333330000001</v>
      </c>
      <c r="N5353" t="s">
        <v>26</v>
      </c>
      <c r="O5353" s="8">
        <v>1.1423333330000001</v>
      </c>
      <c r="P5353" s="8">
        <f>EXP(-1.363+3.366*LOG(O5353,10))</f>
        <v>0.31084239358261528</v>
      </c>
      <c r="Q5353" s="8">
        <f>(4488342*100)/4914798</f>
        <v>91.323020803703429</v>
      </c>
    </row>
    <row r="5354" spans="1:17" x14ac:dyDescent="0.2">
      <c r="A5354">
        <f>YEAR(D5354)</f>
        <v>2020</v>
      </c>
      <c r="B5354" t="s">
        <v>26</v>
      </c>
      <c r="C5354" s="2" t="s">
        <v>3025</v>
      </c>
      <c r="D5354" s="1">
        <v>44014</v>
      </c>
      <c r="E5354">
        <f>MONTH(D5354)</f>
        <v>7</v>
      </c>
      <c r="F5354" s="2" t="s">
        <v>19</v>
      </c>
      <c r="G5354" t="s">
        <v>352</v>
      </c>
      <c r="H5354" t="s">
        <v>610</v>
      </c>
      <c r="I5354" t="s">
        <v>22</v>
      </c>
      <c r="J5354" s="2" t="s">
        <v>42</v>
      </c>
      <c r="K5354" s="2" t="s">
        <v>3019</v>
      </c>
      <c r="L5354" t="s">
        <v>25</v>
      </c>
      <c r="M5354" s="8">
        <v>0.86499999999999999</v>
      </c>
      <c r="N5354" t="s">
        <v>26</v>
      </c>
      <c r="O5354" s="8">
        <v>0.86499999999999999</v>
      </c>
      <c r="P5354" s="8">
        <f>EXP(-1.363+3.366*LOG(O5354,10))</f>
        <v>0.20700676972346591</v>
      </c>
      <c r="Q5354" s="8">
        <f>(1955155*100)/2180255</f>
        <v>89.67551960665152</v>
      </c>
    </row>
    <row r="5355" spans="1:17" x14ac:dyDescent="0.2">
      <c r="A5355">
        <f>YEAR(D5355)</f>
        <v>2020</v>
      </c>
      <c r="B5355" t="s">
        <v>26</v>
      </c>
      <c r="C5355" s="2" t="s">
        <v>3025</v>
      </c>
      <c r="D5355" s="1">
        <v>44014</v>
      </c>
      <c r="E5355">
        <f>MONTH(D5355)</f>
        <v>7</v>
      </c>
      <c r="F5355" s="2" t="s">
        <v>19</v>
      </c>
      <c r="G5355" t="s">
        <v>352</v>
      </c>
      <c r="H5355" t="s">
        <v>610</v>
      </c>
      <c r="I5355" t="s">
        <v>22</v>
      </c>
      <c r="J5355" s="2" t="s">
        <v>42</v>
      </c>
      <c r="K5355" s="2" t="s">
        <v>3019</v>
      </c>
      <c r="L5355" t="s">
        <v>25</v>
      </c>
      <c r="M5355" s="8">
        <v>0.86499999999999999</v>
      </c>
      <c r="N5355" t="s">
        <v>26</v>
      </c>
      <c r="O5355" s="8">
        <v>0.86499999999999999</v>
      </c>
      <c r="P5355" s="8">
        <f>EXP(-1.363+3.366*LOG(O5355,10))</f>
        <v>0.20700676972346591</v>
      </c>
      <c r="Q5355" s="8">
        <f>(1955155*100)/2180255</f>
        <v>89.67551960665152</v>
      </c>
    </row>
    <row r="5356" spans="1:17" x14ac:dyDescent="0.2">
      <c r="A5356">
        <f>YEAR(D5356)</f>
        <v>2020</v>
      </c>
      <c r="B5356" t="s">
        <v>26</v>
      </c>
      <c r="C5356" s="2" t="s">
        <v>50</v>
      </c>
      <c r="D5356" s="1">
        <v>44019</v>
      </c>
      <c r="E5356">
        <f>MONTH(D5356)</f>
        <v>7</v>
      </c>
      <c r="F5356" s="2" t="s">
        <v>19</v>
      </c>
      <c r="G5356" t="s">
        <v>352</v>
      </c>
      <c r="H5356" t="s">
        <v>623</v>
      </c>
      <c r="I5356" t="s">
        <v>22</v>
      </c>
      <c r="J5356" s="2" t="s">
        <v>42</v>
      </c>
      <c r="K5356" s="2" t="s">
        <v>3019</v>
      </c>
      <c r="L5356" t="s">
        <v>25</v>
      </c>
      <c r="M5356" s="8">
        <v>1.387</v>
      </c>
      <c r="N5356" t="s">
        <v>26</v>
      </c>
      <c r="O5356" s="8">
        <v>1.387</v>
      </c>
      <c r="P5356" s="8">
        <f>EXP(-1.363+3.366*LOG(O5356,10))</f>
        <v>0.41280884754947733</v>
      </c>
      <c r="Q5356" s="8">
        <f>(4488342*100)/4914798</f>
        <v>91.323020803703429</v>
      </c>
    </row>
    <row r="5357" spans="1:17" x14ac:dyDescent="0.2">
      <c r="A5357">
        <f>YEAR(D5357)</f>
        <v>2020</v>
      </c>
      <c r="B5357" t="s">
        <v>26</v>
      </c>
      <c r="C5357" s="2" t="s">
        <v>1552</v>
      </c>
      <c r="D5357" s="1">
        <v>44015</v>
      </c>
      <c r="E5357">
        <f>MONTH(D5357)</f>
        <v>7</v>
      </c>
      <c r="F5357" s="2" t="s">
        <v>19</v>
      </c>
      <c r="G5357" t="s">
        <v>352</v>
      </c>
      <c r="H5357" t="s">
        <v>1585</v>
      </c>
      <c r="I5357" t="s">
        <v>22</v>
      </c>
      <c r="J5357" s="2" t="s">
        <v>42</v>
      </c>
      <c r="K5357" s="2" t="s">
        <v>3019</v>
      </c>
      <c r="L5357" t="s">
        <v>25</v>
      </c>
      <c r="M5357" s="8">
        <v>0.77266666699999997</v>
      </c>
      <c r="N5357" t="s">
        <v>26</v>
      </c>
      <c r="O5357" s="8">
        <v>0.77266666699999997</v>
      </c>
      <c r="P5357" s="8">
        <f>EXP(-1.363+3.366*LOG(O5357,10))</f>
        <v>0.17551718302452865</v>
      </c>
      <c r="Q5357" s="8">
        <f>(3738946*100)/3915493</f>
        <v>95.491065875995687</v>
      </c>
    </row>
    <row r="5358" spans="1:17" x14ac:dyDescent="0.2">
      <c r="A5358">
        <f>YEAR(D5358)</f>
        <v>2020</v>
      </c>
      <c r="B5358" t="s">
        <v>26</v>
      </c>
      <c r="C5358" s="2" t="s">
        <v>1552</v>
      </c>
      <c r="D5358" s="1">
        <v>44015</v>
      </c>
      <c r="E5358">
        <f>MONTH(D5358)</f>
        <v>7</v>
      </c>
      <c r="F5358" s="2" t="s">
        <v>19</v>
      </c>
      <c r="G5358" t="s">
        <v>352</v>
      </c>
      <c r="H5358" t="s">
        <v>1585</v>
      </c>
      <c r="I5358" t="s">
        <v>22</v>
      </c>
      <c r="J5358" s="2" t="s">
        <v>42</v>
      </c>
      <c r="K5358" s="2" t="s">
        <v>3019</v>
      </c>
      <c r="L5358" t="s">
        <v>25</v>
      </c>
      <c r="M5358" s="8">
        <v>0.77266666699999997</v>
      </c>
      <c r="N5358" t="s">
        <v>26</v>
      </c>
      <c r="O5358" s="8">
        <v>0.77266666699999997</v>
      </c>
      <c r="P5358" s="8">
        <f>EXP(-1.363+3.366*LOG(O5358,10))</f>
        <v>0.17551718302452865</v>
      </c>
      <c r="Q5358" s="8">
        <f>(3738946*100)/3915493</f>
        <v>95.491065875995687</v>
      </c>
    </row>
    <row r="5359" spans="1:17" x14ac:dyDescent="0.2">
      <c r="A5359">
        <f>YEAR(D5359)</f>
        <v>2020</v>
      </c>
      <c r="B5359" t="s">
        <v>26</v>
      </c>
      <c r="C5359" s="2" t="s">
        <v>3025</v>
      </c>
      <c r="D5359" s="1">
        <v>44014</v>
      </c>
      <c r="E5359">
        <f>MONTH(D5359)</f>
        <v>7</v>
      </c>
      <c r="F5359" s="2" t="s">
        <v>19</v>
      </c>
      <c r="G5359" t="s">
        <v>219</v>
      </c>
      <c r="H5359" t="s">
        <v>220</v>
      </c>
      <c r="I5359" t="s">
        <v>22</v>
      </c>
      <c r="J5359" s="2" t="s">
        <v>42</v>
      </c>
      <c r="K5359" s="2" t="s">
        <v>3019</v>
      </c>
      <c r="L5359" t="s">
        <v>25</v>
      </c>
      <c r="M5359" s="10" t="s">
        <v>26</v>
      </c>
      <c r="N5359" t="s">
        <v>26</v>
      </c>
      <c r="O5359" s="10" t="s">
        <v>26</v>
      </c>
      <c r="P5359" s="8" t="s">
        <v>26</v>
      </c>
      <c r="Q5359" s="8">
        <f>(1955155*100)/2180255</f>
        <v>89.67551960665152</v>
      </c>
    </row>
    <row r="5360" spans="1:17" x14ac:dyDescent="0.2">
      <c r="A5360">
        <f>YEAR(D5360)</f>
        <v>2020</v>
      </c>
      <c r="B5360" t="s">
        <v>26</v>
      </c>
      <c r="C5360" s="2" t="s">
        <v>3025</v>
      </c>
      <c r="D5360" s="1">
        <v>44014</v>
      </c>
      <c r="E5360">
        <f>MONTH(D5360)</f>
        <v>7</v>
      </c>
      <c r="F5360" s="2" t="s">
        <v>19</v>
      </c>
      <c r="G5360" t="s">
        <v>352</v>
      </c>
      <c r="H5360" t="s">
        <v>610</v>
      </c>
      <c r="I5360" t="s">
        <v>22</v>
      </c>
      <c r="J5360" s="2" t="s">
        <v>42</v>
      </c>
      <c r="K5360" s="2" t="s">
        <v>3019</v>
      </c>
      <c r="L5360" t="s">
        <v>25</v>
      </c>
      <c r="M5360" s="8">
        <v>0.86499999999999999</v>
      </c>
      <c r="N5360" t="s">
        <v>26</v>
      </c>
      <c r="O5360" s="8">
        <v>0.86499999999999999</v>
      </c>
      <c r="P5360" s="8">
        <f>EXP(-1.363+3.366*LOG(O5360,10))</f>
        <v>0.20700676972346591</v>
      </c>
      <c r="Q5360" s="8">
        <f>(1955155*100)/2180255</f>
        <v>89.67551960665152</v>
      </c>
    </row>
    <row r="5361" spans="1:17" x14ac:dyDescent="0.2">
      <c r="A5361">
        <f>YEAR(D5361)</f>
        <v>2020</v>
      </c>
      <c r="B5361" t="s">
        <v>26</v>
      </c>
      <c r="C5361" s="2" t="s">
        <v>3021</v>
      </c>
      <c r="D5361" s="1">
        <v>44018</v>
      </c>
      <c r="E5361">
        <f>MONTH(D5361)</f>
        <v>7</v>
      </c>
      <c r="F5361" s="2" t="s">
        <v>19</v>
      </c>
      <c r="G5361" t="s">
        <v>352</v>
      </c>
      <c r="H5361" t="s">
        <v>975</v>
      </c>
      <c r="I5361" t="s">
        <v>22</v>
      </c>
      <c r="J5361" s="2" t="s">
        <v>42</v>
      </c>
      <c r="K5361" s="2" t="s">
        <v>3019</v>
      </c>
      <c r="L5361" t="s">
        <v>25</v>
      </c>
      <c r="M5361" s="8">
        <v>1.0693333330000001</v>
      </c>
      <c r="N5361" t="s">
        <v>26</v>
      </c>
      <c r="O5361" s="8">
        <v>1.0693333330000001</v>
      </c>
      <c r="P5361" s="8">
        <f>EXP(-1.363+3.366*LOG(O5361,10))</f>
        <v>0.28223780327142356</v>
      </c>
      <c r="Q5361" s="8">
        <f>(1845879*100)/1946364</f>
        <v>94.837296620775973</v>
      </c>
    </row>
    <row r="5362" spans="1:17" x14ac:dyDescent="0.2">
      <c r="A5362">
        <f>YEAR(D5362)</f>
        <v>2020</v>
      </c>
      <c r="B5362" t="s">
        <v>26</v>
      </c>
      <c r="C5362" s="2" t="s">
        <v>50</v>
      </c>
      <c r="D5362" s="1">
        <v>44019</v>
      </c>
      <c r="E5362">
        <f>MONTH(D5362)</f>
        <v>7</v>
      </c>
      <c r="F5362" s="2" t="s">
        <v>19</v>
      </c>
      <c r="G5362" t="s">
        <v>352</v>
      </c>
      <c r="H5362" t="s">
        <v>623</v>
      </c>
      <c r="I5362" t="s">
        <v>22</v>
      </c>
      <c r="J5362" s="2" t="s">
        <v>42</v>
      </c>
      <c r="K5362" s="2" t="s">
        <v>3019</v>
      </c>
      <c r="L5362" t="s">
        <v>25</v>
      </c>
      <c r="M5362" s="8">
        <v>1.387</v>
      </c>
      <c r="N5362" t="s">
        <v>26</v>
      </c>
      <c r="O5362" s="8">
        <v>1.387</v>
      </c>
      <c r="P5362" s="8">
        <f>EXP(-1.363+3.366*LOG(O5362,10))</f>
        <v>0.41280884754947733</v>
      </c>
      <c r="Q5362" s="8">
        <f>(4488342*100)/4914798</f>
        <v>91.323020803703429</v>
      </c>
    </row>
    <row r="5363" spans="1:17" x14ac:dyDescent="0.2">
      <c r="A5363">
        <f>YEAR(D5363)</f>
        <v>2020</v>
      </c>
      <c r="B5363" t="s">
        <v>26</v>
      </c>
      <c r="C5363" s="2" t="s">
        <v>3020</v>
      </c>
      <c r="D5363" s="1">
        <v>44018</v>
      </c>
      <c r="E5363">
        <f>MONTH(D5363)</f>
        <v>7</v>
      </c>
      <c r="F5363" s="2" t="s">
        <v>19</v>
      </c>
      <c r="G5363" t="s">
        <v>362</v>
      </c>
      <c r="H5363" t="s">
        <v>447</v>
      </c>
      <c r="I5363" t="s">
        <v>22</v>
      </c>
      <c r="J5363" s="2" t="s">
        <v>42</v>
      </c>
      <c r="K5363" s="2" t="s">
        <v>3019</v>
      </c>
      <c r="L5363" t="s">
        <v>25</v>
      </c>
      <c r="M5363" s="8">
        <v>1.421</v>
      </c>
      <c r="N5363" t="s">
        <v>26</v>
      </c>
      <c r="O5363" s="8">
        <v>1.421</v>
      </c>
      <c r="P5363" s="8">
        <f>EXP(-1.363+3.366*LOG(O5363,10))</f>
        <v>0.42768500084673816</v>
      </c>
      <c r="Q5363" s="8">
        <f>(3359412*100)/3462762</f>
        <v>97.015388294084318</v>
      </c>
    </row>
    <row r="5364" spans="1:17" x14ac:dyDescent="0.2">
      <c r="A5364">
        <f>YEAR(D5364)</f>
        <v>2020</v>
      </c>
      <c r="B5364" t="s">
        <v>26</v>
      </c>
      <c r="C5364" s="2" t="s">
        <v>1540</v>
      </c>
      <c r="D5364" s="1">
        <v>44015</v>
      </c>
      <c r="E5364">
        <f>MONTH(D5364)</f>
        <v>7</v>
      </c>
      <c r="F5364" s="2" t="s">
        <v>19</v>
      </c>
      <c r="G5364" t="s">
        <v>352</v>
      </c>
      <c r="H5364" t="s">
        <v>975</v>
      </c>
      <c r="I5364" t="s">
        <v>22</v>
      </c>
      <c r="J5364" s="2" t="s">
        <v>42</v>
      </c>
      <c r="K5364" s="2" t="s">
        <v>3019</v>
      </c>
      <c r="L5364" t="s">
        <v>25</v>
      </c>
      <c r="M5364" s="8">
        <v>1.0693333330000001</v>
      </c>
      <c r="N5364" t="s">
        <v>26</v>
      </c>
      <c r="O5364" s="8">
        <v>1.0693333330000001</v>
      </c>
      <c r="P5364" s="8">
        <f>EXP(-1.363+3.366*LOG(O5364,10))</f>
        <v>0.28223780327142356</v>
      </c>
      <c r="Q5364" s="8">
        <f>(2618262*100)/2995732</f>
        <v>87.399740697766021</v>
      </c>
    </row>
    <row r="5365" spans="1:17" x14ac:dyDescent="0.2">
      <c r="A5365">
        <f>YEAR(D5365)</f>
        <v>2020</v>
      </c>
      <c r="B5365" t="s">
        <v>26</v>
      </c>
      <c r="C5365" s="2" t="s">
        <v>1552</v>
      </c>
      <c r="D5365" s="1">
        <v>44015</v>
      </c>
      <c r="E5365">
        <f>MONTH(D5365)</f>
        <v>7</v>
      </c>
      <c r="F5365" s="2" t="s">
        <v>19</v>
      </c>
      <c r="G5365" t="s">
        <v>352</v>
      </c>
      <c r="H5365" t="s">
        <v>1585</v>
      </c>
      <c r="I5365" t="s">
        <v>22</v>
      </c>
      <c r="J5365" s="2" t="s">
        <v>42</v>
      </c>
      <c r="K5365" s="2" t="s">
        <v>3019</v>
      </c>
      <c r="L5365" t="s">
        <v>25</v>
      </c>
      <c r="M5365" s="8">
        <v>0.77266666699999997</v>
      </c>
      <c r="N5365" t="s">
        <v>26</v>
      </c>
      <c r="O5365" s="8">
        <v>0.77266666699999997</v>
      </c>
      <c r="P5365" s="8">
        <f>EXP(-1.363+3.366*LOG(O5365,10))</f>
        <v>0.17551718302452865</v>
      </c>
      <c r="Q5365" s="8">
        <f>(3738946*100)/3915493</f>
        <v>95.491065875995687</v>
      </c>
    </row>
    <row r="5366" spans="1:17" x14ac:dyDescent="0.2">
      <c r="A5366">
        <f>YEAR(D5366)</f>
        <v>2020</v>
      </c>
      <c r="B5366" t="s">
        <v>26</v>
      </c>
      <c r="C5366" s="2" t="s">
        <v>1552</v>
      </c>
      <c r="D5366" s="1">
        <v>44015</v>
      </c>
      <c r="E5366">
        <f>MONTH(D5366)</f>
        <v>7</v>
      </c>
      <c r="F5366" s="2" t="s">
        <v>19</v>
      </c>
      <c r="G5366" t="s">
        <v>352</v>
      </c>
      <c r="H5366" t="s">
        <v>975</v>
      </c>
      <c r="I5366" t="s">
        <v>36</v>
      </c>
      <c r="J5366" s="2" t="s">
        <v>42</v>
      </c>
      <c r="K5366" s="2" t="s">
        <v>3019</v>
      </c>
      <c r="L5366" t="s">
        <v>25</v>
      </c>
      <c r="M5366" s="8">
        <v>0.95199999999999996</v>
      </c>
      <c r="N5366" t="s">
        <v>26</v>
      </c>
      <c r="O5366" s="8">
        <v>0.95199999999999996</v>
      </c>
      <c r="P5366" s="8">
        <f>EXP(-1.363+3.366*LOG(O5366,10))</f>
        <v>0.23813726407794436</v>
      </c>
      <c r="Q5366" s="8">
        <f>(3738946*100)/3915493</f>
        <v>95.491065875995687</v>
      </c>
    </row>
    <row r="5367" spans="1:17" x14ac:dyDescent="0.2">
      <c r="A5367">
        <f>YEAR(D5367)</f>
        <v>2020</v>
      </c>
      <c r="B5367" t="s">
        <v>26</v>
      </c>
      <c r="C5367" s="2" t="s">
        <v>1552</v>
      </c>
      <c r="D5367" s="1">
        <v>44015</v>
      </c>
      <c r="E5367">
        <f>MONTH(D5367)</f>
        <v>7</v>
      </c>
      <c r="F5367" s="2" t="s">
        <v>19</v>
      </c>
      <c r="G5367" t="s">
        <v>352</v>
      </c>
      <c r="H5367" t="s">
        <v>1142</v>
      </c>
      <c r="I5367" t="s">
        <v>22</v>
      </c>
      <c r="J5367" s="2" t="s">
        <v>42</v>
      </c>
      <c r="K5367" s="2" t="s">
        <v>3019</v>
      </c>
      <c r="L5367" t="s">
        <v>25</v>
      </c>
      <c r="M5367" s="8">
        <v>1.1423333330000001</v>
      </c>
      <c r="N5367" t="s">
        <v>26</v>
      </c>
      <c r="O5367" s="8">
        <v>1.1423333330000001</v>
      </c>
      <c r="P5367" s="8">
        <f>EXP(-1.363+3.366*LOG(O5367,10))</f>
        <v>0.31084239358261528</v>
      </c>
      <c r="Q5367" s="8">
        <f>(3738946*100)/3915493</f>
        <v>95.491065875995687</v>
      </c>
    </row>
    <row r="5368" spans="1:17" x14ac:dyDescent="0.2">
      <c r="A5368">
        <f>YEAR(D5368)</f>
        <v>2020</v>
      </c>
      <c r="B5368" t="s">
        <v>26</v>
      </c>
      <c r="C5368" s="2" t="s">
        <v>1552</v>
      </c>
      <c r="D5368" s="1">
        <v>44015</v>
      </c>
      <c r="E5368">
        <f>MONTH(D5368)</f>
        <v>7</v>
      </c>
      <c r="F5368" s="2" t="s">
        <v>19</v>
      </c>
      <c r="G5368" t="s">
        <v>332</v>
      </c>
      <c r="H5368" t="s">
        <v>1620</v>
      </c>
      <c r="I5368" t="s">
        <v>36</v>
      </c>
      <c r="J5368" s="2" t="s">
        <v>42</v>
      </c>
      <c r="K5368" s="2" t="s">
        <v>3019</v>
      </c>
      <c r="L5368" t="s">
        <v>25</v>
      </c>
      <c r="M5368" s="8">
        <v>1.036333333</v>
      </c>
      <c r="N5368" t="s">
        <v>26</v>
      </c>
      <c r="O5368" s="8">
        <v>1.036333333</v>
      </c>
      <c r="P5368" s="8">
        <f>EXP(-1.363+3.366*LOG(O5368,10))</f>
        <v>0.26959652393070888</v>
      </c>
      <c r="Q5368" s="8">
        <f>(3738946*100)/3915493</f>
        <v>95.491065875995687</v>
      </c>
    </row>
    <row r="5369" spans="1:17" x14ac:dyDescent="0.2">
      <c r="A5369">
        <f>YEAR(D5369)</f>
        <v>2020</v>
      </c>
      <c r="B5369" t="s">
        <v>26</v>
      </c>
      <c r="C5369" s="2" t="s">
        <v>1552</v>
      </c>
      <c r="D5369" s="1">
        <v>44015</v>
      </c>
      <c r="E5369">
        <f>MONTH(D5369)</f>
        <v>7</v>
      </c>
      <c r="F5369" s="2" t="s">
        <v>19</v>
      </c>
      <c r="G5369" t="s">
        <v>352</v>
      </c>
      <c r="H5369" t="s">
        <v>623</v>
      </c>
      <c r="I5369" t="s">
        <v>22</v>
      </c>
      <c r="J5369" s="2" t="s">
        <v>42</v>
      </c>
      <c r="K5369" s="2" t="s">
        <v>3019</v>
      </c>
      <c r="L5369" t="s">
        <v>25</v>
      </c>
      <c r="M5369" s="8">
        <v>1.387</v>
      </c>
      <c r="N5369" t="s">
        <v>26</v>
      </c>
      <c r="O5369" s="8">
        <v>1.387</v>
      </c>
      <c r="P5369" s="8">
        <f>EXP(-1.363+3.366*LOG(O5369,10))</f>
        <v>0.41280884754947733</v>
      </c>
      <c r="Q5369" s="8">
        <f>(3738946*100)/3915493</f>
        <v>95.491065875995687</v>
      </c>
    </row>
    <row r="5370" spans="1:17" x14ac:dyDescent="0.2">
      <c r="A5370">
        <f>YEAR(D5370)</f>
        <v>2020</v>
      </c>
      <c r="B5370" t="s">
        <v>26</v>
      </c>
      <c r="C5370" s="2" t="s">
        <v>3025</v>
      </c>
      <c r="D5370" s="1">
        <v>44014</v>
      </c>
      <c r="E5370">
        <f>MONTH(D5370)</f>
        <v>7</v>
      </c>
      <c r="F5370" s="2" t="s">
        <v>19</v>
      </c>
      <c r="G5370" t="s">
        <v>352</v>
      </c>
      <c r="H5370" t="s">
        <v>610</v>
      </c>
      <c r="I5370" t="s">
        <v>22</v>
      </c>
      <c r="J5370" s="2" t="s">
        <v>42</v>
      </c>
      <c r="K5370" s="2" t="s">
        <v>3019</v>
      </c>
      <c r="L5370" t="s">
        <v>25</v>
      </c>
      <c r="M5370" s="8">
        <v>0.86499999999999999</v>
      </c>
      <c r="N5370" t="s">
        <v>26</v>
      </c>
      <c r="O5370" s="8">
        <v>0.86499999999999999</v>
      </c>
      <c r="P5370" s="8">
        <f>EXP(-1.363+3.366*LOG(O5370,10))</f>
        <v>0.20700676972346591</v>
      </c>
      <c r="Q5370" s="8">
        <f>(1955155*100)/2180255</f>
        <v>89.67551960665152</v>
      </c>
    </row>
    <row r="5371" spans="1:17" x14ac:dyDescent="0.2">
      <c r="A5371">
        <f>YEAR(D5371)</f>
        <v>2020</v>
      </c>
      <c r="B5371" t="s">
        <v>26</v>
      </c>
      <c r="C5371" s="2" t="s">
        <v>3025</v>
      </c>
      <c r="D5371" s="1">
        <v>44014</v>
      </c>
      <c r="E5371">
        <f>MONTH(D5371)</f>
        <v>7</v>
      </c>
      <c r="F5371" s="2" t="s">
        <v>19</v>
      </c>
      <c r="G5371" t="s">
        <v>352</v>
      </c>
      <c r="H5371" t="s">
        <v>610</v>
      </c>
      <c r="I5371" t="s">
        <v>22</v>
      </c>
      <c r="J5371" s="2" t="s">
        <v>42</v>
      </c>
      <c r="K5371" s="2" t="s">
        <v>3019</v>
      </c>
      <c r="L5371" t="s">
        <v>25</v>
      </c>
      <c r="M5371" s="8">
        <v>0.86499999999999999</v>
      </c>
      <c r="N5371" t="s">
        <v>26</v>
      </c>
      <c r="O5371" s="8">
        <v>0.86499999999999999</v>
      </c>
      <c r="P5371" s="8">
        <f>EXP(-1.363+3.366*LOG(O5371,10))</f>
        <v>0.20700676972346591</v>
      </c>
      <c r="Q5371" s="8">
        <f>(1955155*100)/2180255</f>
        <v>89.67551960665152</v>
      </c>
    </row>
    <row r="5372" spans="1:17" x14ac:dyDescent="0.2">
      <c r="A5372">
        <f>YEAR(D5372)</f>
        <v>2020</v>
      </c>
      <c r="B5372" t="s">
        <v>26</v>
      </c>
      <c r="C5372" s="2" t="s">
        <v>3025</v>
      </c>
      <c r="D5372" s="1">
        <v>44014</v>
      </c>
      <c r="E5372">
        <f>MONTH(D5372)</f>
        <v>7</v>
      </c>
      <c r="F5372" s="2" t="s">
        <v>19</v>
      </c>
      <c r="G5372" t="s">
        <v>352</v>
      </c>
      <c r="H5372" t="s">
        <v>610</v>
      </c>
      <c r="I5372" t="s">
        <v>22</v>
      </c>
      <c r="J5372" s="2" t="s">
        <v>42</v>
      </c>
      <c r="K5372" s="2" t="s">
        <v>3019</v>
      </c>
      <c r="L5372" t="s">
        <v>25</v>
      </c>
      <c r="M5372" s="8">
        <v>0.86499999999999999</v>
      </c>
      <c r="N5372" t="s">
        <v>26</v>
      </c>
      <c r="O5372" s="8">
        <v>0.86499999999999999</v>
      </c>
      <c r="P5372" s="8">
        <f>EXP(-1.363+3.366*LOG(O5372,10))</f>
        <v>0.20700676972346591</v>
      </c>
      <c r="Q5372" s="8">
        <f>(1955155*100)/2180255</f>
        <v>89.67551960665152</v>
      </c>
    </row>
    <row r="5373" spans="1:17" x14ac:dyDescent="0.2">
      <c r="A5373">
        <f>YEAR(D5373)</f>
        <v>2020</v>
      </c>
      <c r="B5373" t="s">
        <v>26</v>
      </c>
      <c r="C5373" s="2" t="s">
        <v>3025</v>
      </c>
      <c r="D5373" s="1">
        <v>44014</v>
      </c>
      <c r="E5373">
        <f>MONTH(D5373)</f>
        <v>7</v>
      </c>
      <c r="F5373" s="2" t="s">
        <v>19</v>
      </c>
      <c r="G5373" s="2" t="s">
        <v>20</v>
      </c>
      <c r="H5373" t="s">
        <v>91</v>
      </c>
      <c r="I5373" t="s">
        <v>22</v>
      </c>
      <c r="J5373" s="2" t="s">
        <v>42</v>
      </c>
      <c r="K5373" s="2" t="s">
        <v>3019</v>
      </c>
      <c r="L5373" t="s">
        <v>25</v>
      </c>
      <c r="M5373" s="8">
        <v>2.0630000000000002</v>
      </c>
      <c r="N5373" t="s">
        <v>26</v>
      </c>
      <c r="O5373" s="8">
        <v>2.0630000000000002</v>
      </c>
      <c r="P5373" s="8">
        <f>EXP(-1.363+3.366*LOG(O5373,10))</f>
        <v>0.73756902742293162</v>
      </c>
      <c r="Q5373" s="8">
        <f>(1955155*100)/2180255</f>
        <v>89.67551960665152</v>
      </c>
    </row>
    <row r="5374" spans="1:17" x14ac:dyDescent="0.2">
      <c r="A5374">
        <f>YEAR(D5374)</f>
        <v>2020</v>
      </c>
      <c r="B5374" t="s">
        <v>26</v>
      </c>
      <c r="C5374" s="2" t="s">
        <v>3021</v>
      </c>
      <c r="D5374" s="1">
        <v>44018</v>
      </c>
      <c r="E5374">
        <f>MONTH(D5374)</f>
        <v>7</v>
      </c>
      <c r="F5374" s="2" t="s">
        <v>19</v>
      </c>
      <c r="G5374" t="s">
        <v>352</v>
      </c>
      <c r="H5374" t="s">
        <v>975</v>
      </c>
      <c r="I5374" t="s">
        <v>22</v>
      </c>
      <c r="J5374" s="2" t="s">
        <v>42</v>
      </c>
      <c r="K5374" s="2" t="s">
        <v>3019</v>
      </c>
      <c r="L5374" t="s">
        <v>25</v>
      </c>
      <c r="M5374" s="8">
        <v>1.0693333330000001</v>
      </c>
      <c r="N5374" t="s">
        <v>26</v>
      </c>
      <c r="O5374" s="8">
        <v>1.0693333330000001</v>
      </c>
      <c r="P5374" s="8">
        <f>EXP(-1.363+3.366*LOG(O5374,10))</f>
        <v>0.28223780327142356</v>
      </c>
      <c r="Q5374" s="8">
        <f>(1845879*100)/1946364</f>
        <v>94.837296620775973</v>
      </c>
    </row>
    <row r="5375" spans="1:17" x14ac:dyDescent="0.2">
      <c r="A5375">
        <f>YEAR(D5375)</f>
        <v>2020</v>
      </c>
      <c r="B5375" t="s">
        <v>26</v>
      </c>
      <c r="C5375" s="2" t="s">
        <v>3020</v>
      </c>
      <c r="D5375" s="1">
        <v>44018</v>
      </c>
      <c r="E5375">
        <f>MONTH(D5375)</f>
        <v>7</v>
      </c>
      <c r="F5375" s="2" t="s">
        <v>19</v>
      </c>
      <c r="G5375" t="s">
        <v>362</v>
      </c>
      <c r="H5375" t="s">
        <v>447</v>
      </c>
      <c r="I5375" t="s">
        <v>22</v>
      </c>
      <c r="J5375" s="2" t="s">
        <v>42</v>
      </c>
      <c r="K5375" s="2" t="s">
        <v>3019</v>
      </c>
      <c r="L5375" t="s">
        <v>25</v>
      </c>
      <c r="M5375" s="8">
        <v>1.421</v>
      </c>
      <c r="N5375" t="s">
        <v>26</v>
      </c>
      <c r="O5375" s="8">
        <v>1.421</v>
      </c>
      <c r="P5375" s="8">
        <f>EXP(-1.363+3.366*LOG(O5375,10))</f>
        <v>0.42768500084673816</v>
      </c>
      <c r="Q5375" s="8">
        <f>(3359412*100)/3462762</f>
        <v>97.015388294084318</v>
      </c>
    </row>
    <row r="5376" spans="1:17" x14ac:dyDescent="0.2">
      <c r="A5376">
        <f>YEAR(D5376)</f>
        <v>2020</v>
      </c>
      <c r="B5376" t="s">
        <v>26</v>
      </c>
      <c r="C5376" s="2" t="s">
        <v>3020</v>
      </c>
      <c r="D5376" s="1">
        <v>44018</v>
      </c>
      <c r="E5376">
        <f>MONTH(D5376)</f>
        <v>7</v>
      </c>
      <c r="F5376" s="2" t="s">
        <v>19</v>
      </c>
      <c r="G5376" t="s">
        <v>362</v>
      </c>
      <c r="H5376" t="s">
        <v>447</v>
      </c>
      <c r="I5376" t="s">
        <v>22</v>
      </c>
      <c r="J5376" s="2" t="s">
        <v>42</v>
      </c>
      <c r="K5376" s="2" t="s">
        <v>3019</v>
      </c>
      <c r="L5376" t="s">
        <v>25</v>
      </c>
      <c r="M5376" s="8">
        <v>1.421</v>
      </c>
      <c r="N5376" t="s">
        <v>26</v>
      </c>
      <c r="O5376" s="8">
        <v>1.421</v>
      </c>
      <c r="P5376" s="8">
        <f>EXP(-1.363+3.366*LOG(O5376,10))</f>
        <v>0.42768500084673816</v>
      </c>
      <c r="Q5376" s="8">
        <f>(3359412*100)/3462762</f>
        <v>97.015388294084318</v>
      </c>
    </row>
    <row r="5377" spans="1:17" x14ac:dyDescent="0.2">
      <c r="A5377">
        <f>YEAR(D5377)</f>
        <v>2020</v>
      </c>
      <c r="B5377" t="s">
        <v>26</v>
      </c>
      <c r="C5377" s="2" t="s">
        <v>3020</v>
      </c>
      <c r="D5377" s="1">
        <v>44018</v>
      </c>
      <c r="E5377">
        <f>MONTH(D5377)</f>
        <v>7</v>
      </c>
      <c r="F5377" s="2" t="s">
        <v>19</v>
      </c>
      <c r="G5377" t="s">
        <v>362</v>
      </c>
      <c r="H5377" t="s">
        <v>447</v>
      </c>
      <c r="I5377" t="s">
        <v>22</v>
      </c>
      <c r="J5377" s="2" t="s">
        <v>42</v>
      </c>
      <c r="K5377" s="2" t="s">
        <v>3019</v>
      </c>
      <c r="L5377" t="s">
        <v>25</v>
      </c>
      <c r="M5377" s="8">
        <v>1.421</v>
      </c>
      <c r="N5377" t="s">
        <v>26</v>
      </c>
      <c r="O5377" s="8">
        <v>1.421</v>
      </c>
      <c r="P5377" s="8">
        <f>EXP(-1.363+3.366*LOG(O5377,10))</f>
        <v>0.42768500084673816</v>
      </c>
      <c r="Q5377" s="8">
        <f>(3359412*100)/3462762</f>
        <v>97.015388294084318</v>
      </c>
    </row>
    <row r="5378" spans="1:17" x14ac:dyDescent="0.2">
      <c r="A5378">
        <f>YEAR(D5378)</f>
        <v>2020</v>
      </c>
      <c r="B5378" t="s">
        <v>26</v>
      </c>
      <c r="C5378" s="2" t="s">
        <v>1540</v>
      </c>
      <c r="D5378" s="1">
        <v>44015</v>
      </c>
      <c r="E5378">
        <f>MONTH(D5378)</f>
        <v>7</v>
      </c>
      <c r="F5378" s="2" t="s">
        <v>19</v>
      </c>
      <c r="G5378" t="s">
        <v>20</v>
      </c>
      <c r="H5378" t="s">
        <v>149</v>
      </c>
      <c r="I5378" t="s">
        <v>36</v>
      </c>
      <c r="J5378" s="2" t="s">
        <v>42</v>
      </c>
      <c r="K5378" s="2" t="s">
        <v>3019</v>
      </c>
      <c r="L5378" t="s">
        <v>25</v>
      </c>
      <c r="M5378" s="8">
        <v>1.032666667</v>
      </c>
      <c r="N5378" t="s">
        <v>26</v>
      </c>
      <c r="O5378" s="8">
        <v>1.032666667</v>
      </c>
      <c r="P5378" s="8">
        <f>EXP(-1.363+3.366*LOG(O5378,10))</f>
        <v>0.26820327281159584</v>
      </c>
      <c r="Q5378" s="8">
        <f>(2618262*100)/2995732</f>
        <v>87.399740697766021</v>
      </c>
    </row>
    <row r="5379" spans="1:17" x14ac:dyDescent="0.2">
      <c r="A5379">
        <f>YEAR(D5379)</f>
        <v>2020</v>
      </c>
      <c r="B5379" t="s">
        <v>26</v>
      </c>
      <c r="C5379" s="2" t="s">
        <v>1540</v>
      </c>
      <c r="D5379" s="1">
        <v>44015</v>
      </c>
      <c r="E5379">
        <f>MONTH(D5379)</f>
        <v>7</v>
      </c>
      <c r="F5379" s="2" t="s">
        <v>19</v>
      </c>
      <c r="G5379" t="s">
        <v>352</v>
      </c>
      <c r="H5379" t="s">
        <v>975</v>
      </c>
      <c r="I5379" t="s">
        <v>22</v>
      </c>
      <c r="J5379" s="2" t="s">
        <v>42</v>
      </c>
      <c r="K5379" s="2" t="s">
        <v>3019</v>
      </c>
      <c r="L5379" t="s">
        <v>25</v>
      </c>
      <c r="M5379" s="8">
        <v>1.0693333330000001</v>
      </c>
      <c r="N5379" t="s">
        <v>26</v>
      </c>
      <c r="O5379" s="8">
        <v>1.0693333330000001</v>
      </c>
      <c r="P5379" s="8">
        <f>EXP(-1.363+3.366*LOG(O5379,10))</f>
        <v>0.28223780327142356</v>
      </c>
      <c r="Q5379" s="8">
        <f>(2618262*100)/2995732</f>
        <v>87.399740697766021</v>
      </c>
    </row>
    <row r="5380" spans="1:17" x14ac:dyDescent="0.2">
      <c r="A5380">
        <f>YEAR(D5380)</f>
        <v>2020</v>
      </c>
      <c r="B5380" t="s">
        <v>26</v>
      </c>
      <c r="C5380" s="2" t="s">
        <v>1540</v>
      </c>
      <c r="D5380" s="1">
        <v>44015</v>
      </c>
      <c r="E5380">
        <f>MONTH(D5380)</f>
        <v>7</v>
      </c>
      <c r="F5380" s="2" t="s">
        <v>19</v>
      </c>
      <c r="G5380" t="s">
        <v>352</v>
      </c>
      <c r="H5380" t="s">
        <v>975</v>
      </c>
      <c r="I5380" t="s">
        <v>22</v>
      </c>
      <c r="J5380" s="2" t="s">
        <v>42</v>
      </c>
      <c r="K5380" s="2" t="s">
        <v>3019</v>
      </c>
      <c r="L5380" t="s">
        <v>25</v>
      </c>
      <c r="M5380" s="8">
        <v>1.0693333330000001</v>
      </c>
      <c r="N5380" t="s">
        <v>26</v>
      </c>
      <c r="O5380" s="8">
        <v>1.0693333330000001</v>
      </c>
      <c r="P5380" s="8">
        <f>EXP(-1.363+3.366*LOG(O5380,10))</f>
        <v>0.28223780327142356</v>
      </c>
      <c r="Q5380" s="8">
        <f>(2618262*100)/2995732</f>
        <v>87.399740697766021</v>
      </c>
    </row>
    <row r="5381" spans="1:17" x14ac:dyDescent="0.2">
      <c r="A5381">
        <f>YEAR(D5381)</f>
        <v>2020</v>
      </c>
      <c r="B5381" t="s">
        <v>26</v>
      </c>
      <c r="C5381" s="2" t="s">
        <v>1540</v>
      </c>
      <c r="D5381" s="1">
        <v>44015</v>
      </c>
      <c r="E5381">
        <f>MONTH(D5381)</f>
        <v>7</v>
      </c>
      <c r="F5381" s="2" t="s">
        <v>19</v>
      </c>
      <c r="G5381" t="s">
        <v>352</v>
      </c>
      <c r="H5381" t="s">
        <v>975</v>
      </c>
      <c r="I5381" t="s">
        <v>22</v>
      </c>
      <c r="J5381" s="2" t="s">
        <v>42</v>
      </c>
      <c r="K5381" s="2" t="s">
        <v>3019</v>
      </c>
      <c r="L5381" t="s">
        <v>25</v>
      </c>
      <c r="M5381" s="8">
        <v>1.0693333330000001</v>
      </c>
      <c r="N5381" t="s">
        <v>26</v>
      </c>
      <c r="O5381" s="8">
        <v>1.0693333330000001</v>
      </c>
      <c r="P5381" s="8">
        <f>EXP(-1.363+3.366*LOG(O5381,10))</f>
        <v>0.28223780327142356</v>
      </c>
      <c r="Q5381" s="8">
        <f>(2618262*100)/2995732</f>
        <v>87.399740697766021</v>
      </c>
    </row>
    <row r="5382" spans="1:17" x14ac:dyDescent="0.2">
      <c r="A5382">
        <f>YEAR(D5382)</f>
        <v>2020</v>
      </c>
      <c r="B5382" t="s">
        <v>26</v>
      </c>
      <c r="C5382" s="2" t="s">
        <v>1540</v>
      </c>
      <c r="D5382" s="1">
        <v>44015</v>
      </c>
      <c r="E5382">
        <f>MONTH(D5382)</f>
        <v>7</v>
      </c>
      <c r="F5382" s="2" t="s">
        <v>19</v>
      </c>
      <c r="G5382" t="s">
        <v>352</v>
      </c>
      <c r="H5382" t="s">
        <v>975</v>
      </c>
      <c r="I5382" t="s">
        <v>22</v>
      </c>
      <c r="J5382" s="2" t="s">
        <v>42</v>
      </c>
      <c r="K5382" s="2" t="s">
        <v>3019</v>
      </c>
      <c r="L5382" t="s">
        <v>25</v>
      </c>
      <c r="M5382" s="8">
        <v>1.0693333330000001</v>
      </c>
      <c r="N5382" t="s">
        <v>26</v>
      </c>
      <c r="O5382" s="8">
        <v>1.0693333330000001</v>
      </c>
      <c r="P5382" s="8">
        <f>EXP(-1.363+3.366*LOG(O5382,10))</f>
        <v>0.28223780327142356</v>
      </c>
      <c r="Q5382" s="8">
        <f>(2618262*100)/2995732</f>
        <v>87.399740697766021</v>
      </c>
    </row>
    <row r="5383" spans="1:17" x14ac:dyDescent="0.2">
      <c r="A5383">
        <f>YEAR(D5383)</f>
        <v>2020</v>
      </c>
      <c r="B5383" t="s">
        <v>26</v>
      </c>
      <c r="C5383" s="2" t="s">
        <v>1540</v>
      </c>
      <c r="D5383" s="1">
        <v>44015</v>
      </c>
      <c r="E5383">
        <f>MONTH(D5383)</f>
        <v>7</v>
      </c>
      <c r="F5383" s="2" t="s">
        <v>19</v>
      </c>
      <c r="G5383" t="s">
        <v>20</v>
      </c>
      <c r="H5383" t="s">
        <v>149</v>
      </c>
      <c r="I5383" t="s">
        <v>22</v>
      </c>
      <c r="J5383" s="2" t="s">
        <v>42</v>
      </c>
      <c r="K5383" s="2" t="s">
        <v>3019</v>
      </c>
      <c r="L5383" t="s">
        <v>25</v>
      </c>
      <c r="M5383" s="8">
        <v>1.45</v>
      </c>
      <c r="N5383" t="s">
        <v>26</v>
      </c>
      <c r="O5383" s="8">
        <v>1.45</v>
      </c>
      <c r="P5383" s="8">
        <f>EXP(-1.363+3.366*LOG(O5383,10))</f>
        <v>0.44050419760124854</v>
      </c>
      <c r="Q5383" s="8">
        <f>(2618262*100)/2995732</f>
        <v>87.399740697766021</v>
      </c>
    </row>
    <row r="5384" spans="1:17" x14ac:dyDescent="0.2">
      <c r="A5384">
        <f>YEAR(D5384)</f>
        <v>2020</v>
      </c>
      <c r="B5384" t="s">
        <v>26</v>
      </c>
      <c r="C5384" s="2" t="s">
        <v>1540</v>
      </c>
      <c r="D5384" s="1">
        <v>44015</v>
      </c>
      <c r="E5384">
        <f>MONTH(D5384)</f>
        <v>7</v>
      </c>
      <c r="F5384" s="2" t="s">
        <v>19</v>
      </c>
      <c r="G5384" t="s">
        <v>352</v>
      </c>
      <c r="H5384" t="s">
        <v>975</v>
      </c>
      <c r="I5384" t="s">
        <v>22</v>
      </c>
      <c r="J5384" s="2" t="s">
        <v>42</v>
      </c>
      <c r="K5384" s="2" t="s">
        <v>3019</v>
      </c>
      <c r="L5384" t="s">
        <v>25</v>
      </c>
      <c r="M5384" s="8">
        <v>1.0693333330000001</v>
      </c>
      <c r="N5384" t="s">
        <v>26</v>
      </c>
      <c r="O5384" s="8">
        <v>1.0693333330000001</v>
      </c>
      <c r="P5384" s="8">
        <f>EXP(-1.363+3.366*LOG(O5384,10))</f>
        <v>0.28223780327142356</v>
      </c>
      <c r="Q5384" s="8">
        <f>(2618262*100)/2995732</f>
        <v>87.399740697766021</v>
      </c>
    </row>
    <row r="5385" spans="1:17" x14ac:dyDescent="0.2">
      <c r="A5385">
        <f>YEAR(D5385)</f>
        <v>2020</v>
      </c>
      <c r="B5385" t="s">
        <v>26</v>
      </c>
      <c r="C5385" s="2" t="s">
        <v>1540</v>
      </c>
      <c r="D5385" s="1">
        <v>44015</v>
      </c>
      <c r="E5385">
        <f>MONTH(D5385)</f>
        <v>7</v>
      </c>
      <c r="F5385" s="2" t="s">
        <v>19</v>
      </c>
      <c r="G5385" t="s">
        <v>352</v>
      </c>
      <c r="H5385" t="s">
        <v>975</v>
      </c>
      <c r="I5385" t="s">
        <v>22</v>
      </c>
      <c r="J5385" s="2" t="s">
        <v>42</v>
      </c>
      <c r="K5385" s="2" t="s">
        <v>3019</v>
      </c>
      <c r="L5385" t="s">
        <v>25</v>
      </c>
      <c r="M5385" s="8">
        <v>1.0693333330000001</v>
      </c>
      <c r="N5385" t="s">
        <v>26</v>
      </c>
      <c r="O5385" s="8">
        <v>1.0693333330000001</v>
      </c>
      <c r="P5385" s="8">
        <f>EXP(-1.363+3.366*LOG(O5385,10))</f>
        <v>0.28223780327142356</v>
      </c>
      <c r="Q5385" s="8">
        <f>(2618262*100)/2995732</f>
        <v>87.399740697766021</v>
      </c>
    </row>
    <row r="5386" spans="1:17" x14ac:dyDescent="0.2">
      <c r="A5386">
        <f>YEAR(D5386)</f>
        <v>2020</v>
      </c>
      <c r="B5386" t="s">
        <v>26</v>
      </c>
      <c r="C5386" s="2" t="s">
        <v>1540</v>
      </c>
      <c r="D5386" s="1">
        <v>44015</v>
      </c>
      <c r="E5386">
        <f>MONTH(D5386)</f>
        <v>7</v>
      </c>
      <c r="F5386" s="2" t="s">
        <v>19</v>
      </c>
      <c r="G5386" t="s">
        <v>352</v>
      </c>
      <c r="H5386" t="s">
        <v>975</v>
      </c>
      <c r="I5386" t="s">
        <v>22</v>
      </c>
      <c r="J5386" s="2" t="s">
        <v>42</v>
      </c>
      <c r="K5386" s="2" t="s">
        <v>3019</v>
      </c>
      <c r="L5386" t="s">
        <v>25</v>
      </c>
      <c r="M5386" s="8">
        <v>1.0693333330000001</v>
      </c>
      <c r="N5386" t="s">
        <v>26</v>
      </c>
      <c r="O5386" s="8">
        <v>1.0693333330000001</v>
      </c>
      <c r="P5386" s="8">
        <f>EXP(-1.363+3.366*LOG(O5386,10))</f>
        <v>0.28223780327142356</v>
      </c>
      <c r="Q5386" s="8">
        <f>(2618262*100)/2995732</f>
        <v>87.399740697766021</v>
      </c>
    </row>
    <row r="5387" spans="1:17" x14ac:dyDescent="0.2">
      <c r="A5387">
        <f>YEAR(D5387)</f>
        <v>2020</v>
      </c>
      <c r="B5387" t="s">
        <v>26</v>
      </c>
      <c r="C5387" s="2" t="s">
        <v>3023</v>
      </c>
      <c r="D5387" s="1">
        <v>44020</v>
      </c>
      <c r="E5387">
        <f>MONTH(D5387)</f>
        <v>7</v>
      </c>
      <c r="F5387" s="2" t="s">
        <v>2098</v>
      </c>
      <c r="G5387" t="s">
        <v>230</v>
      </c>
      <c r="H5387" t="s">
        <v>268</v>
      </c>
      <c r="I5387" t="s">
        <v>22</v>
      </c>
      <c r="J5387" s="2" t="s">
        <v>42</v>
      </c>
      <c r="K5387" s="2" t="s">
        <v>3019</v>
      </c>
      <c r="L5387" t="s">
        <v>25</v>
      </c>
      <c r="M5387" s="8">
        <v>3.5356666670000001</v>
      </c>
      <c r="N5387" t="s">
        <v>26</v>
      </c>
      <c r="O5387" s="8">
        <v>3.5356666670000001</v>
      </c>
      <c r="P5387" s="8">
        <f>EXP(-1.363+3.366*LOG(O5387,10))</f>
        <v>1.6211802664427075</v>
      </c>
      <c r="Q5387" s="8">
        <f>(8197453*100)/8541008</f>
        <v>95.977582505484136</v>
      </c>
    </row>
    <row r="5388" spans="1:17" x14ac:dyDescent="0.2">
      <c r="A5388">
        <f>YEAR(D5388)</f>
        <v>2020</v>
      </c>
      <c r="B5388" t="s">
        <v>26</v>
      </c>
      <c r="C5388" s="2" t="s">
        <v>3023</v>
      </c>
      <c r="D5388" s="1">
        <v>44020</v>
      </c>
      <c r="E5388">
        <f>MONTH(D5388)</f>
        <v>7</v>
      </c>
      <c r="F5388" s="2" t="s">
        <v>2098</v>
      </c>
      <c r="G5388" t="s">
        <v>230</v>
      </c>
      <c r="H5388" t="s">
        <v>268</v>
      </c>
      <c r="I5388" t="s">
        <v>22</v>
      </c>
      <c r="J5388" s="2" t="s">
        <v>42</v>
      </c>
      <c r="K5388" s="2" t="s">
        <v>3019</v>
      </c>
      <c r="L5388" t="s">
        <v>25</v>
      </c>
      <c r="M5388" s="8">
        <v>3.5356666670000001</v>
      </c>
      <c r="N5388" t="s">
        <v>26</v>
      </c>
      <c r="O5388" s="8">
        <v>3.5356666670000001</v>
      </c>
      <c r="P5388" s="8">
        <f>EXP(-1.363+3.366*LOG(O5388,10))</f>
        <v>1.6211802664427075</v>
      </c>
      <c r="Q5388" s="8">
        <f>(8197453*100)/8541008</f>
        <v>95.977582505484136</v>
      </c>
    </row>
    <row r="5389" spans="1:17" x14ac:dyDescent="0.2">
      <c r="A5389">
        <f>YEAR(D5389)</f>
        <v>2020</v>
      </c>
      <c r="B5389" t="s">
        <v>26</v>
      </c>
      <c r="C5389" s="2" t="s">
        <v>3023</v>
      </c>
      <c r="D5389" s="1">
        <v>44020</v>
      </c>
      <c r="E5389">
        <f>MONTH(D5389)</f>
        <v>7</v>
      </c>
      <c r="F5389" s="2" t="s">
        <v>2098</v>
      </c>
      <c r="G5389" t="s">
        <v>230</v>
      </c>
      <c r="H5389" t="s">
        <v>268</v>
      </c>
      <c r="I5389" t="s">
        <v>22</v>
      </c>
      <c r="J5389" s="2" t="s">
        <v>42</v>
      </c>
      <c r="K5389" s="2" t="s">
        <v>3019</v>
      </c>
      <c r="L5389" t="s">
        <v>25</v>
      </c>
      <c r="M5389" s="8">
        <v>3.5356666670000001</v>
      </c>
      <c r="N5389" t="s">
        <v>26</v>
      </c>
      <c r="O5389" s="8">
        <v>3.5356666670000001</v>
      </c>
      <c r="P5389" s="8">
        <f>EXP(-1.363+3.366*LOG(O5389,10))</f>
        <v>1.6211802664427075</v>
      </c>
      <c r="Q5389" s="8">
        <f>(8197453*100)/8541008</f>
        <v>95.977582505484136</v>
      </c>
    </row>
    <row r="5390" spans="1:17" x14ac:dyDescent="0.2">
      <c r="A5390">
        <f>YEAR(D5390)</f>
        <v>2020</v>
      </c>
      <c r="B5390" t="s">
        <v>26</v>
      </c>
      <c r="C5390" s="2" t="s">
        <v>3023</v>
      </c>
      <c r="D5390" s="1">
        <v>44020</v>
      </c>
      <c r="E5390">
        <f>MONTH(D5390)</f>
        <v>7</v>
      </c>
      <c r="F5390" s="2" t="s">
        <v>2098</v>
      </c>
      <c r="G5390" t="s">
        <v>230</v>
      </c>
      <c r="H5390" t="s">
        <v>268</v>
      </c>
      <c r="I5390" t="s">
        <v>22</v>
      </c>
      <c r="J5390" s="2" t="s">
        <v>42</v>
      </c>
      <c r="K5390" s="2" t="s">
        <v>3019</v>
      </c>
      <c r="L5390" t="s">
        <v>25</v>
      </c>
      <c r="M5390" s="8">
        <v>3.5356666670000001</v>
      </c>
      <c r="N5390" t="s">
        <v>26</v>
      </c>
      <c r="O5390" s="8">
        <v>3.5356666670000001</v>
      </c>
      <c r="P5390" s="8">
        <f>EXP(-1.363+3.366*LOG(O5390,10))</f>
        <v>1.6211802664427075</v>
      </c>
      <c r="Q5390" s="8">
        <f>(8197453*100)/8541008</f>
        <v>95.977582505484136</v>
      </c>
    </row>
    <row r="5391" spans="1:17" x14ac:dyDescent="0.2">
      <c r="A5391">
        <f>YEAR(D5391)</f>
        <v>2020</v>
      </c>
      <c r="B5391" t="s">
        <v>26</v>
      </c>
      <c r="C5391" s="2" t="s">
        <v>3023</v>
      </c>
      <c r="D5391" s="1">
        <v>44020</v>
      </c>
      <c r="E5391">
        <f>MONTH(D5391)</f>
        <v>7</v>
      </c>
      <c r="F5391" s="2" t="s">
        <v>2098</v>
      </c>
      <c r="G5391" t="s">
        <v>230</v>
      </c>
      <c r="H5391" t="s">
        <v>268</v>
      </c>
      <c r="I5391" t="s">
        <v>36</v>
      </c>
      <c r="J5391" s="2" t="s">
        <v>42</v>
      </c>
      <c r="K5391" s="2" t="s">
        <v>3019</v>
      </c>
      <c r="L5391" t="s">
        <v>25</v>
      </c>
      <c r="M5391" s="8">
        <v>3.3683333329999998</v>
      </c>
      <c r="N5391" t="s">
        <v>26</v>
      </c>
      <c r="O5391" s="8">
        <v>3.3683333329999998</v>
      </c>
      <c r="P5391" s="8">
        <f>EXP(-1.363+3.366*LOG(O5391,10))</f>
        <v>1.510255893489963</v>
      </c>
      <c r="Q5391" s="8">
        <f>(8197453*100)/8541008</f>
        <v>95.977582505484136</v>
      </c>
    </row>
    <row r="5392" spans="1:17" x14ac:dyDescent="0.2">
      <c r="A5392">
        <f>YEAR(D5392)</f>
        <v>2020</v>
      </c>
      <c r="B5392" t="s">
        <v>26</v>
      </c>
      <c r="C5392" s="2" t="s">
        <v>3023</v>
      </c>
      <c r="D5392" s="1">
        <v>44020</v>
      </c>
      <c r="E5392">
        <f>MONTH(D5392)</f>
        <v>7</v>
      </c>
      <c r="F5392" s="2" t="s">
        <v>2098</v>
      </c>
      <c r="G5392" t="s">
        <v>230</v>
      </c>
      <c r="H5392" t="s">
        <v>268</v>
      </c>
      <c r="I5392" t="s">
        <v>22</v>
      </c>
      <c r="J5392" s="2" t="s">
        <v>42</v>
      </c>
      <c r="K5392" s="2" t="s">
        <v>3019</v>
      </c>
      <c r="L5392" t="s">
        <v>25</v>
      </c>
      <c r="M5392" s="8">
        <v>3.5356666670000001</v>
      </c>
      <c r="N5392" t="s">
        <v>26</v>
      </c>
      <c r="O5392" s="8">
        <v>3.5356666670000001</v>
      </c>
      <c r="P5392" s="8">
        <f>EXP(-1.363+3.366*LOG(O5392,10))</f>
        <v>1.6211802664427075</v>
      </c>
      <c r="Q5392" s="8">
        <f>(8197453*100)/8541008</f>
        <v>95.977582505484136</v>
      </c>
    </row>
    <row r="5393" spans="1:17" x14ac:dyDescent="0.2">
      <c r="A5393">
        <f>YEAR(D5393)</f>
        <v>2020</v>
      </c>
      <c r="B5393" t="s">
        <v>26</v>
      </c>
      <c r="C5393" s="2" t="s">
        <v>3023</v>
      </c>
      <c r="D5393" s="1">
        <v>44020</v>
      </c>
      <c r="E5393">
        <f>MONTH(D5393)</f>
        <v>7</v>
      </c>
      <c r="F5393" s="2" t="s">
        <v>2098</v>
      </c>
      <c r="G5393" t="s">
        <v>230</v>
      </c>
      <c r="H5393" t="s">
        <v>268</v>
      </c>
      <c r="I5393" t="s">
        <v>22</v>
      </c>
      <c r="J5393" s="2" t="s">
        <v>42</v>
      </c>
      <c r="K5393" s="2" t="s">
        <v>3019</v>
      </c>
      <c r="L5393" t="s">
        <v>25</v>
      </c>
      <c r="M5393" s="8">
        <v>3.5356666670000001</v>
      </c>
      <c r="N5393" t="s">
        <v>26</v>
      </c>
      <c r="O5393" s="8">
        <v>3.5356666670000001</v>
      </c>
      <c r="P5393" s="8">
        <f>EXP(-1.363+3.366*LOG(O5393,10))</f>
        <v>1.6211802664427075</v>
      </c>
      <c r="Q5393" s="8">
        <f>(8197453*100)/8541008</f>
        <v>95.977582505484136</v>
      </c>
    </row>
    <row r="5394" spans="1:17" x14ac:dyDescent="0.2">
      <c r="A5394">
        <f>YEAR(D5394)</f>
        <v>2020</v>
      </c>
      <c r="B5394" t="s">
        <v>26</v>
      </c>
      <c r="C5394" s="2" t="s">
        <v>3023</v>
      </c>
      <c r="D5394" s="1">
        <v>44020</v>
      </c>
      <c r="E5394">
        <f>MONTH(D5394)</f>
        <v>7</v>
      </c>
      <c r="F5394" s="2" t="s">
        <v>2098</v>
      </c>
      <c r="G5394" t="s">
        <v>230</v>
      </c>
      <c r="H5394" t="s">
        <v>268</v>
      </c>
      <c r="I5394" t="s">
        <v>22</v>
      </c>
      <c r="J5394" s="2" t="s">
        <v>42</v>
      </c>
      <c r="K5394" s="2" t="s">
        <v>3019</v>
      </c>
      <c r="L5394" t="s">
        <v>25</v>
      </c>
      <c r="M5394" s="8">
        <v>3.5356666670000001</v>
      </c>
      <c r="N5394" t="s">
        <v>26</v>
      </c>
      <c r="O5394" s="8">
        <v>3.5356666670000001</v>
      </c>
      <c r="P5394" s="8">
        <f>EXP(-1.363+3.366*LOG(O5394,10))</f>
        <v>1.6211802664427075</v>
      </c>
      <c r="Q5394" s="8">
        <f>(8197453*100)/8541008</f>
        <v>95.977582505484136</v>
      </c>
    </row>
    <row r="5395" spans="1:17" x14ac:dyDescent="0.2">
      <c r="A5395">
        <f>YEAR(D5395)</f>
        <v>2020</v>
      </c>
      <c r="B5395" t="s">
        <v>26</v>
      </c>
      <c r="C5395" s="2" t="s">
        <v>3023</v>
      </c>
      <c r="D5395" s="1">
        <v>44020</v>
      </c>
      <c r="E5395">
        <f>MONTH(D5395)</f>
        <v>7</v>
      </c>
      <c r="F5395" s="2" t="s">
        <v>2098</v>
      </c>
      <c r="G5395" t="s">
        <v>230</v>
      </c>
      <c r="H5395" t="s">
        <v>268</v>
      </c>
      <c r="I5395" t="s">
        <v>22</v>
      </c>
      <c r="J5395" s="2" t="s">
        <v>42</v>
      </c>
      <c r="K5395" s="2" t="s">
        <v>3019</v>
      </c>
      <c r="L5395" t="s">
        <v>25</v>
      </c>
      <c r="M5395" s="8">
        <v>3.5356666670000001</v>
      </c>
      <c r="N5395" t="s">
        <v>26</v>
      </c>
      <c r="O5395" s="8">
        <v>3.5356666670000001</v>
      </c>
      <c r="P5395" s="8">
        <f>EXP(-1.363+3.366*LOG(O5395,10))</f>
        <v>1.6211802664427075</v>
      </c>
      <c r="Q5395" s="8">
        <f>(8197453*100)/8541008</f>
        <v>95.977582505484136</v>
      </c>
    </row>
    <row r="5396" spans="1:17" x14ac:dyDescent="0.2">
      <c r="A5396">
        <f>YEAR(D5396)</f>
        <v>2020</v>
      </c>
      <c r="B5396" t="s">
        <v>26</v>
      </c>
      <c r="C5396" s="2" t="s">
        <v>3023</v>
      </c>
      <c r="D5396" s="1">
        <v>44020</v>
      </c>
      <c r="E5396">
        <f>MONTH(D5396)</f>
        <v>7</v>
      </c>
      <c r="F5396" s="2" t="s">
        <v>2098</v>
      </c>
      <c r="G5396" t="s">
        <v>219</v>
      </c>
      <c r="H5396" t="s">
        <v>220</v>
      </c>
      <c r="I5396" t="s">
        <v>22</v>
      </c>
      <c r="J5396" s="2" t="s">
        <v>42</v>
      </c>
      <c r="K5396" s="2" t="s">
        <v>3019</v>
      </c>
      <c r="L5396" t="s">
        <v>25</v>
      </c>
      <c r="M5396" s="10" t="s">
        <v>26</v>
      </c>
      <c r="N5396" t="s">
        <v>26</v>
      </c>
      <c r="O5396" s="10" t="s">
        <v>26</v>
      </c>
      <c r="P5396" s="8" t="s">
        <v>26</v>
      </c>
      <c r="Q5396" s="8">
        <f>(8197453*100)/8541008</f>
        <v>95.977582505484136</v>
      </c>
    </row>
    <row r="5397" spans="1:17" x14ac:dyDescent="0.2">
      <c r="A5397">
        <f>YEAR(D5397)</f>
        <v>2020</v>
      </c>
      <c r="B5397" t="s">
        <v>26</v>
      </c>
      <c r="C5397" s="2" t="s">
        <v>3023</v>
      </c>
      <c r="D5397" s="1">
        <v>44020</v>
      </c>
      <c r="E5397">
        <f>MONTH(D5397)</f>
        <v>7</v>
      </c>
      <c r="F5397" s="2" t="s">
        <v>2098</v>
      </c>
      <c r="G5397" t="s">
        <v>219</v>
      </c>
      <c r="H5397" t="s">
        <v>220</v>
      </c>
      <c r="I5397" t="s">
        <v>22</v>
      </c>
      <c r="J5397" s="2" t="s">
        <v>42</v>
      </c>
      <c r="K5397" s="2" t="s">
        <v>3019</v>
      </c>
      <c r="L5397" t="s">
        <v>25</v>
      </c>
      <c r="M5397" s="10" t="s">
        <v>26</v>
      </c>
      <c r="N5397" t="s">
        <v>26</v>
      </c>
      <c r="O5397" s="10" t="s">
        <v>26</v>
      </c>
      <c r="P5397" s="8" t="s">
        <v>26</v>
      </c>
      <c r="Q5397" s="8">
        <f>(8197453*100)/8541008</f>
        <v>95.977582505484136</v>
      </c>
    </row>
    <row r="5398" spans="1:17" x14ac:dyDescent="0.2">
      <c r="A5398">
        <f>YEAR(D5398)</f>
        <v>2020</v>
      </c>
      <c r="B5398" t="s">
        <v>26</v>
      </c>
      <c r="C5398" s="2" t="s">
        <v>3023</v>
      </c>
      <c r="D5398" s="1">
        <v>44020</v>
      </c>
      <c r="E5398">
        <f>MONTH(D5398)</f>
        <v>7</v>
      </c>
      <c r="F5398" s="2" t="s">
        <v>2098</v>
      </c>
      <c r="G5398" t="s">
        <v>219</v>
      </c>
      <c r="H5398" t="s">
        <v>220</v>
      </c>
      <c r="I5398" t="s">
        <v>22</v>
      </c>
      <c r="J5398" s="2" t="s">
        <v>42</v>
      </c>
      <c r="K5398" s="2" t="s">
        <v>3019</v>
      </c>
      <c r="L5398" t="s">
        <v>25</v>
      </c>
      <c r="M5398" s="10" t="s">
        <v>26</v>
      </c>
      <c r="N5398" t="s">
        <v>26</v>
      </c>
      <c r="O5398" s="10" t="s">
        <v>26</v>
      </c>
      <c r="P5398" s="8" t="s">
        <v>26</v>
      </c>
      <c r="Q5398" s="8">
        <f>(8197453*100)/8541008</f>
        <v>95.977582505484136</v>
      </c>
    </row>
    <row r="5399" spans="1:17" x14ac:dyDescent="0.2">
      <c r="A5399">
        <f>YEAR(D5399)</f>
        <v>2020</v>
      </c>
      <c r="B5399" t="s">
        <v>26</v>
      </c>
      <c r="C5399" s="2" t="s">
        <v>3023</v>
      </c>
      <c r="D5399" s="1">
        <v>44020</v>
      </c>
      <c r="E5399">
        <f>MONTH(D5399)</f>
        <v>7</v>
      </c>
      <c r="F5399" s="2" t="s">
        <v>2098</v>
      </c>
      <c r="G5399" t="s">
        <v>219</v>
      </c>
      <c r="H5399" t="s">
        <v>220</v>
      </c>
      <c r="I5399" t="s">
        <v>22</v>
      </c>
      <c r="J5399" s="2" t="s">
        <v>42</v>
      </c>
      <c r="K5399" s="2" t="s">
        <v>3019</v>
      </c>
      <c r="L5399" t="s">
        <v>25</v>
      </c>
      <c r="M5399" s="10" t="s">
        <v>26</v>
      </c>
      <c r="N5399" t="s">
        <v>26</v>
      </c>
      <c r="O5399" s="10" t="s">
        <v>26</v>
      </c>
      <c r="P5399" s="8" t="s">
        <v>26</v>
      </c>
      <c r="Q5399" s="8">
        <f>(8197453*100)/8541008</f>
        <v>95.977582505484136</v>
      </c>
    </row>
    <row r="5400" spans="1:17" x14ac:dyDescent="0.2">
      <c r="A5400">
        <f>YEAR(D5400)</f>
        <v>2020</v>
      </c>
      <c r="B5400" t="s">
        <v>26</v>
      </c>
      <c r="C5400" s="2" t="s">
        <v>3022</v>
      </c>
      <c r="D5400" s="1">
        <v>44020</v>
      </c>
      <c r="E5400">
        <f>MONTH(D5400)</f>
        <v>7</v>
      </c>
      <c r="F5400" s="2" t="s">
        <v>2098</v>
      </c>
      <c r="G5400" t="s">
        <v>219</v>
      </c>
      <c r="H5400" t="s">
        <v>220</v>
      </c>
      <c r="I5400" t="s">
        <v>22</v>
      </c>
      <c r="J5400" s="2" t="s">
        <v>42</v>
      </c>
      <c r="K5400" s="2" t="s">
        <v>3019</v>
      </c>
      <c r="L5400" t="s">
        <v>25</v>
      </c>
      <c r="M5400" s="10" t="s">
        <v>26</v>
      </c>
      <c r="N5400" t="s">
        <v>26</v>
      </c>
      <c r="O5400" s="10" t="s">
        <v>26</v>
      </c>
      <c r="P5400" s="8" t="s">
        <v>26</v>
      </c>
      <c r="Q5400" s="8">
        <f>(4437920*100)/4638971</f>
        <v>95.666043180696747</v>
      </c>
    </row>
    <row r="5401" spans="1:17" x14ac:dyDescent="0.2">
      <c r="A5401">
        <f>YEAR(D5401)</f>
        <v>2020</v>
      </c>
      <c r="B5401" t="s">
        <v>26</v>
      </c>
      <c r="C5401" s="2" t="s">
        <v>3022</v>
      </c>
      <c r="D5401" s="1">
        <v>44020</v>
      </c>
      <c r="E5401">
        <f>MONTH(D5401)</f>
        <v>7</v>
      </c>
      <c r="F5401" s="2" t="s">
        <v>2098</v>
      </c>
      <c r="G5401" t="s">
        <v>219</v>
      </c>
      <c r="H5401" t="s">
        <v>220</v>
      </c>
      <c r="I5401" t="s">
        <v>22</v>
      </c>
      <c r="J5401" s="2" t="s">
        <v>42</v>
      </c>
      <c r="K5401" s="2" t="s">
        <v>3019</v>
      </c>
      <c r="L5401" t="s">
        <v>25</v>
      </c>
      <c r="M5401" s="10" t="s">
        <v>26</v>
      </c>
      <c r="N5401" t="s">
        <v>26</v>
      </c>
      <c r="O5401" s="10" t="s">
        <v>26</v>
      </c>
      <c r="P5401" s="8" t="s">
        <v>26</v>
      </c>
      <c r="Q5401" s="8">
        <f>(4437920*100)/4638971</f>
        <v>95.666043180696747</v>
      </c>
    </row>
    <row r="5402" spans="1:17" x14ac:dyDescent="0.2">
      <c r="A5402">
        <f>YEAR(D5402)</f>
        <v>2020</v>
      </c>
      <c r="B5402" t="s">
        <v>26</v>
      </c>
      <c r="C5402" s="2" t="s">
        <v>3022</v>
      </c>
      <c r="D5402" s="1">
        <v>44020</v>
      </c>
      <c r="E5402">
        <f>MONTH(D5402)</f>
        <v>7</v>
      </c>
      <c r="F5402" s="2" t="s">
        <v>2098</v>
      </c>
      <c r="G5402" t="s">
        <v>219</v>
      </c>
      <c r="H5402" t="s">
        <v>220</v>
      </c>
      <c r="I5402" t="s">
        <v>22</v>
      </c>
      <c r="J5402" s="2" t="s">
        <v>42</v>
      </c>
      <c r="K5402" s="2" t="s">
        <v>3019</v>
      </c>
      <c r="L5402" t="s">
        <v>25</v>
      </c>
      <c r="M5402" s="10" t="s">
        <v>26</v>
      </c>
      <c r="N5402" t="s">
        <v>26</v>
      </c>
      <c r="O5402" s="10" t="s">
        <v>26</v>
      </c>
      <c r="P5402" s="8" t="s">
        <v>26</v>
      </c>
      <c r="Q5402" s="8">
        <f>(4437920*100)/4638971</f>
        <v>95.666043180696747</v>
      </c>
    </row>
    <row r="5403" spans="1:17" x14ac:dyDescent="0.2">
      <c r="A5403">
        <f>YEAR(D5403)</f>
        <v>2020</v>
      </c>
      <c r="B5403" t="s">
        <v>26</v>
      </c>
      <c r="C5403" s="2" t="s">
        <v>3022</v>
      </c>
      <c r="D5403" s="1">
        <v>44020</v>
      </c>
      <c r="E5403">
        <f>MONTH(D5403)</f>
        <v>7</v>
      </c>
      <c r="F5403" s="2" t="s">
        <v>2098</v>
      </c>
      <c r="G5403" t="s">
        <v>219</v>
      </c>
      <c r="H5403" t="s">
        <v>220</v>
      </c>
      <c r="I5403" t="s">
        <v>22</v>
      </c>
      <c r="J5403" s="2" t="s">
        <v>42</v>
      </c>
      <c r="K5403" s="2" t="s">
        <v>3019</v>
      </c>
      <c r="L5403" t="s">
        <v>25</v>
      </c>
      <c r="M5403" s="10" t="s">
        <v>26</v>
      </c>
      <c r="N5403" t="s">
        <v>26</v>
      </c>
      <c r="O5403" s="10" t="s">
        <v>26</v>
      </c>
      <c r="P5403" s="8" t="s">
        <v>26</v>
      </c>
      <c r="Q5403" s="8">
        <f>(4437920*100)/4638971</f>
        <v>95.666043180696747</v>
      </c>
    </row>
    <row r="5404" spans="1:17" x14ac:dyDescent="0.2">
      <c r="A5404">
        <f>YEAR(D5404)</f>
        <v>2020</v>
      </c>
      <c r="B5404" t="s">
        <v>26</v>
      </c>
      <c r="C5404" s="2" t="s">
        <v>3022</v>
      </c>
      <c r="D5404" s="1">
        <v>44020</v>
      </c>
      <c r="E5404">
        <f>MONTH(D5404)</f>
        <v>7</v>
      </c>
      <c r="F5404" s="2" t="s">
        <v>2098</v>
      </c>
      <c r="G5404" t="s">
        <v>219</v>
      </c>
      <c r="H5404" t="s">
        <v>220</v>
      </c>
      <c r="I5404" t="s">
        <v>22</v>
      </c>
      <c r="J5404" s="2" t="s">
        <v>42</v>
      </c>
      <c r="K5404" s="2" t="s">
        <v>3019</v>
      </c>
      <c r="L5404" t="s">
        <v>25</v>
      </c>
      <c r="M5404" s="10" t="s">
        <v>26</v>
      </c>
      <c r="N5404" t="s">
        <v>26</v>
      </c>
      <c r="O5404" s="10" t="s">
        <v>26</v>
      </c>
      <c r="P5404" s="8" t="s">
        <v>26</v>
      </c>
      <c r="Q5404" s="8">
        <f>(4437920*100)/4638971</f>
        <v>95.666043180696747</v>
      </c>
    </row>
    <row r="5405" spans="1:17" x14ac:dyDescent="0.2">
      <c r="A5405">
        <f>YEAR(D5405)</f>
        <v>2020</v>
      </c>
      <c r="B5405" t="s">
        <v>26</v>
      </c>
      <c r="C5405" s="2" t="s">
        <v>3022</v>
      </c>
      <c r="D5405" s="1">
        <v>44020</v>
      </c>
      <c r="E5405">
        <f>MONTH(D5405)</f>
        <v>7</v>
      </c>
      <c r="F5405" s="2" t="s">
        <v>2098</v>
      </c>
      <c r="G5405" t="s">
        <v>219</v>
      </c>
      <c r="H5405" t="s">
        <v>220</v>
      </c>
      <c r="I5405" t="s">
        <v>22</v>
      </c>
      <c r="J5405" s="2" t="s">
        <v>42</v>
      </c>
      <c r="K5405" s="2" t="s">
        <v>3019</v>
      </c>
      <c r="L5405" t="s">
        <v>25</v>
      </c>
      <c r="M5405" s="10" t="s">
        <v>26</v>
      </c>
      <c r="N5405" t="s">
        <v>26</v>
      </c>
      <c r="O5405" s="10" t="s">
        <v>26</v>
      </c>
      <c r="P5405" s="8" t="s">
        <v>26</v>
      </c>
      <c r="Q5405" s="8">
        <f>(4437920*100)/4638971</f>
        <v>95.666043180696747</v>
      </c>
    </row>
    <row r="5406" spans="1:17" x14ac:dyDescent="0.2">
      <c r="A5406">
        <f>YEAR(D5406)</f>
        <v>2020</v>
      </c>
      <c r="B5406" t="s">
        <v>26</v>
      </c>
      <c r="C5406" s="2" t="s">
        <v>3022</v>
      </c>
      <c r="D5406" s="1">
        <v>44020</v>
      </c>
      <c r="E5406">
        <f>MONTH(D5406)</f>
        <v>7</v>
      </c>
      <c r="F5406" s="2" t="s">
        <v>2098</v>
      </c>
      <c r="G5406" t="s">
        <v>219</v>
      </c>
      <c r="H5406" t="s">
        <v>220</v>
      </c>
      <c r="I5406" t="s">
        <v>22</v>
      </c>
      <c r="J5406" s="2" t="s">
        <v>42</v>
      </c>
      <c r="K5406" s="2" t="s">
        <v>3019</v>
      </c>
      <c r="L5406" t="s">
        <v>25</v>
      </c>
      <c r="M5406" s="10" t="s">
        <v>26</v>
      </c>
      <c r="N5406" t="s">
        <v>26</v>
      </c>
      <c r="O5406" s="10" t="s">
        <v>26</v>
      </c>
      <c r="P5406" s="8" t="s">
        <v>26</v>
      </c>
      <c r="Q5406" s="8">
        <f>(4437920*100)/4638971</f>
        <v>95.666043180696747</v>
      </c>
    </row>
    <row r="5407" spans="1:17" x14ac:dyDescent="0.2">
      <c r="A5407">
        <f>YEAR(D5407)</f>
        <v>2020</v>
      </c>
      <c r="B5407" t="s">
        <v>26</v>
      </c>
      <c r="C5407" s="2" t="s">
        <v>3022</v>
      </c>
      <c r="D5407" s="1">
        <v>44020</v>
      </c>
      <c r="E5407">
        <f>MONTH(D5407)</f>
        <v>7</v>
      </c>
      <c r="F5407" s="2" t="s">
        <v>2098</v>
      </c>
      <c r="G5407" t="s">
        <v>219</v>
      </c>
      <c r="H5407" t="s">
        <v>220</v>
      </c>
      <c r="I5407" t="s">
        <v>22</v>
      </c>
      <c r="J5407" s="2" t="s">
        <v>42</v>
      </c>
      <c r="K5407" s="2" t="s">
        <v>3019</v>
      </c>
      <c r="L5407" t="s">
        <v>25</v>
      </c>
      <c r="M5407" s="10" t="s">
        <v>26</v>
      </c>
      <c r="N5407" t="s">
        <v>26</v>
      </c>
      <c r="O5407" s="10" t="s">
        <v>26</v>
      </c>
      <c r="P5407" s="8" t="s">
        <v>26</v>
      </c>
      <c r="Q5407" s="8">
        <f>(4437920*100)/4638971</f>
        <v>95.666043180696747</v>
      </c>
    </row>
    <row r="5408" spans="1:17" x14ac:dyDescent="0.2">
      <c r="A5408">
        <f>YEAR(D5408)</f>
        <v>2020</v>
      </c>
      <c r="B5408" t="s">
        <v>26</v>
      </c>
      <c r="C5408" s="2" t="s">
        <v>3022</v>
      </c>
      <c r="D5408" s="1">
        <v>44020</v>
      </c>
      <c r="E5408">
        <f>MONTH(D5408)</f>
        <v>7</v>
      </c>
      <c r="F5408" s="2" t="s">
        <v>2098</v>
      </c>
      <c r="G5408" t="s">
        <v>219</v>
      </c>
      <c r="H5408" t="s">
        <v>220</v>
      </c>
      <c r="I5408" t="s">
        <v>22</v>
      </c>
      <c r="J5408" s="2" t="s">
        <v>42</v>
      </c>
      <c r="K5408" s="2" t="s">
        <v>3019</v>
      </c>
      <c r="L5408" t="s">
        <v>25</v>
      </c>
      <c r="M5408" s="10" t="s">
        <v>26</v>
      </c>
      <c r="N5408" t="s">
        <v>26</v>
      </c>
      <c r="O5408" s="10" t="s">
        <v>26</v>
      </c>
      <c r="P5408" s="8" t="s">
        <v>26</v>
      </c>
      <c r="Q5408" s="8">
        <f>(4437920*100)/4638971</f>
        <v>95.666043180696747</v>
      </c>
    </row>
    <row r="5409" spans="1:17" x14ac:dyDescent="0.2">
      <c r="A5409">
        <f>YEAR(D5409)</f>
        <v>2020</v>
      </c>
      <c r="B5409" t="s">
        <v>26</v>
      </c>
      <c r="C5409" s="2" t="s">
        <v>3022</v>
      </c>
      <c r="D5409" s="1">
        <v>44020</v>
      </c>
      <c r="E5409">
        <f>MONTH(D5409)</f>
        <v>7</v>
      </c>
      <c r="F5409" s="2" t="s">
        <v>2098</v>
      </c>
      <c r="G5409" t="s">
        <v>219</v>
      </c>
      <c r="H5409" t="s">
        <v>220</v>
      </c>
      <c r="I5409" t="s">
        <v>22</v>
      </c>
      <c r="J5409" s="2" t="s">
        <v>42</v>
      </c>
      <c r="K5409" s="2" t="s">
        <v>3019</v>
      </c>
      <c r="L5409" t="s">
        <v>25</v>
      </c>
      <c r="M5409" s="10" t="s">
        <v>26</v>
      </c>
      <c r="N5409" t="s">
        <v>26</v>
      </c>
      <c r="O5409" s="10" t="s">
        <v>26</v>
      </c>
      <c r="P5409" s="8" t="s">
        <v>26</v>
      </c>
      <c r="Q5409" s="8">
        <f>(4437920*100)/4638971</f>
        <v>95.666043180696747</v>
      </c>
    </row>
    <row r="5410" spans="1:17" x14ac:dyDescent="0.2">
      <c r="A5410">
        <f>YEAR(D5410)</f>
        <v>2020</v>
      </c>
      <c r="B5410" t="s">
        <v>26</v>
      </c>
      <c r="C5410" s="2" t="s">
        <v>3022</v>
      </c>
      <c r="D5410" s="1">
        <v>44020</v>
      </c>
      <c r="E5410">
        <f>MONTH(D5410)</f>
        <v>7</v>
      </c>
      <c r="F5410" s="2" t="s">
        <v>2098</v>
      </c>
      <c r="G5410" t="s">
        <v>219</v>
      </c>
      <c r="H5410" t="s">
        <v>220</v>
      </c>
      <c r="I5410" t="s">
        <v>22</v>
      </c>
      <c r="J5410" s="2" t="s">
        <v>42</v>
      </c>
      <c r="K5410" s="2" t="s">
        <v>3019</v>
      </c>
      <c r="L5410" t="s">
        <v>25</v>
      </c>
      <c r="M5410" s="10" t="s">
        <v>26</v>
      </c>
      <c r="N5410" t="s">
        <v>26</v>
      </c>
      <c r="O5410" s="10" t="s">
        <v>26</v>
      </c>
      <c r="P5410" s="8" t="s">
        <v>26</v>
      </c>
      <c r="Q5410" s="8">
        <f>(4437920*100)/4638971</f>
        <v>95.666043180696747</v>
      </c>
    </row>
    <row r="5411" spans="1:17" x14ac:dyDescent="0.2">
      <c r="A5411">
        <f>YEAR(D5411)</f>
        <v>2020</v>
      </c>
      <c r="B5411" t="s">
        <v>26</v>
      </c>
      <c r="C5411" s="2" t="s">
        <v>3022</v>
      </c>
      <c r="D5411" s="1">
        <v>44020</v>
      </c>
      <c r="E5411">
        <f>MONTH(D5411)</f>
        <v>7</v>
      </c>
      <c r="F5411" s="2" t="s">
        <v>2098</v>
      </c>
      <c r="G5411" t="s">
        <v>230</v>
      </c>
      <c r="H5411" t="s">
        <v>268</v>
      </c>
      <c r="I5411" t="s">
        <v>22</v>
      </c>
      <c r="J5411" s="2" t="s">
        <v>42</v>
      </c>
      <c r="K5411" s="2" t="s">
        <v>3019</v>
      </c>
      <c r="L5411" t="s">
        <v>25</v>
      </c>
      <c r="M5411" s="8">
        <v>3.5356666670000001</v>
      </c>
      <c r="N5411" t="s">
        <v>26</v>
      </c>
      <c r="O5411" s="8">
        <v>3.5356666670000001</v>
      </c>
      <c r="P5411" s="8">
        <f>EXP(-1.363+3.366*LOG(O5411,10))</f>
        <v>1.6211802664427075</v>
      </c>
      <c r="Q5411" s="8">
        <f>(4437920*100)/4638971</f>
        <v>95.666043180696747</v>
      </c>
    </row>
    <row r="5412" spans="1:17" x14ac:dyDescent="0.2">
      <c r="A5412">
        <f>YEAR(D5412)</f>
        <v>2020</v>
      </c>
      <c r="B5412" t="s">
        <v>26</v>
      </c>
      <c r="C5412" s="2" t="s">
        <v>3022</v>
      </c>
      <c r="D5412" s="1">
        <v>44020</v>
      </c>
      <c r="E5412">
        <f>MONTH(D5412)</f>
        <v>7</v>
      </c>
      <c r="F5412" s="2" t="s">
        <v>2098</v>
      </c>
      <c r="G5412" t="s">
        <v>230</v>
      </c>
      <c r="H5412" t="s">
        <v>268</v>
      </c>
      <c r="I5412" t="s">
        <v>22</v>
      </c>
      <c r="J5412" s="2" t="s">
        <v>42</v>
      </c>
      <c r="K5412" s="2" t="s">
        <v>3019</v>
      </c>
      <c r="L5412" t="s">
        <v>25</v>
      </c>
      <c r="M5412" s="8">
        <v>3.5356666670000001</v>
      </c>
      <c r="N5412" t="s">
        <v>26</v>
      </c>
      <c r="O5412" s="8">
        <v>3.5356666670000001</v>
      </c>
      <c r="P5412" s="8">
        <f>EXP(-1.363+3.366*LOG(O5412,10))</f>
        <v>1.6211802664427075</v>
      </c>
      <c r="Q5412" s="8">
        <f>(4437920*100)/4638971</f>
        <v>95.666043180696747</v>
      </c>
    </row>
    <row r="5413" spans="1:17" x14ac:dyDescent="0.2">
      <c r="A5413">
        <f>YEAR(D5413)</f>
        <v>2020</v>
      </c>
      <c r="B5413" t="s">
        <v>26</v>
      </c>
      <c r="C5413" s="2" t="s">
        <v>3022</v>
      </c>
      <c r="D5413" s="1">
        <v>44020</v>
      </c>
      <c r="E5413">
        <f>MONTH(D5413)</f>
        <v>7</v>
      </c>
      <c r="F5413" s="2" t="s">
        <v>2098</v>
      </c>
      <c r="G5413" t="s">
        <v>219</v>
      </c>
      <c r="H5413" t="s">
        <v>220</v>
      </c>
      <c r="I5413" t="s">
        <v>22</v>
      </c>
      <c r="J5413" s="2" t="s">
        <v>42</v>
      </c>
      <c r="K5413" s="2" t="s">
        <v>3019</v>
      </c>
      <c r="L5413" t="s">
        <v>25</v>
      </c>
      <c r="M5413" s="10" t="s">
        <v>26</v>
      </c>
      <c r="N5413" t="s">
        <v>26</v>
      </c>
      <c r="O5413" s="10" t="s">
        <v>26</v>
      </c>
      <c r="P5413" s="8" t="s">
        <v>26</v>
      </c>
      <c r="Q5413" s="8">
        <f>(4437920*100)/4638971</f>
        <v>95.666043180696747</v>
      </c>
    </row>
    <row r="5414" spans="1:17" x14ac:dyDescent="0.2">
      <c r="A5414">
        <f>YEAR(D5414)</f>
        <v>2020</v>
      </c>
      <c r="B5414" t="s">
        <v>26</v>
      </c>
      <c r="C5414" s="2" t="s">
        <v>3022</v>
      </c>
      <c r="D5414" s="1">
        <v>44020</v>
      </c>
      <c r="E5414">
        <f>MONTH(D5414)</f>
        <v>7</v>
      </c>
      <c r="F5414" s="2" t="s">
        <v>2098</v>
      </c>
      <c r="G5414" t="s">
        <v>219</v>
      </c>
      <c r="H5414" t="s">
        <v>220</v>
      </c>
      <c r="I5414" t="s">
        <v>22</v>
      </c>
      <c r="J5414" s="2" t="s">
        <v>42</v>
      </c>
      <c r="K5414" s="2" t="s">
        <v>3019</v>
      </c>
      <c r="L5414" t="s">
        <v>25</v>
      </c>
      <c r="M5414" s="10" t="s">
        <v>26</v>
      </c>
      <c r="N5414" t="s">
        <v>26</v>
      </c>
      <c r="O5414" s="10" t="s">
        <v>26</v>
      </c>
      <c r="P5414" s="8" t="s">
        <v>26</v>
      </c>
      <c r="Q5414" s="8">
        <f>(4437920*100)/4638971</f>
        <v>95.666043180696747</v>
      </c>
    </row>
    <row r="5415" spans="1:17" x14ac:dyDescent="0.2">
      <c r="A5415">
        <f>YEAR(D5415)</f>
        <v>2020</v>
      </c>
      <c r="B5415" t="s">
        <v>26</v>
      </c>
      <c r="C5415" s="2" t="s">
        <v>3022</v>
      </c>
      <c r="D5415" s="1">
        <v>44020</v>
      </c>
      <c r="E5415">
        <f>MONTH(D5415)</f>
        <v>7</v>
      </c>
      <c r="F5415" s="2" t="s">
        <v>2098</v>
      </c>
      <c r="G5415" t="s">
        <v>230</v>
      </c>
      <c r="H5415" t="s">
        <v>259</v>
      </c>
      <c r="I5415" t="s">
        <v>22</v>
      </c>
      <c r="J5415" s="2" t="s">
        <v>42</v>
      </c>
      <c r="K5415" s="2" t="s">
        <v>3019</v>
      </c>
      <c r="L5415" t="s">
        <v>25</v>
      </c>
      <c r="M5415" s="8">
        <v>4.2283333330000001</v>
      </c>
      <c r="N5415" t="s">
        <v>26</v>
      </c>
      <c r="O5415" s="8">
        <v>4.2283333330000001</v>
      </c>
      <c r="P5415" s="8">
        <f>EXP(-1.363+3.366*LOG(O5415,10))</f>
        <v>2.1057792396965977</v>
      </c>
      <c r="Q5415" s="8">
        <f>(4437920*100)/4638971</f>
        <v>95.666043180696747</v>
      </c>
    </row>
    <row r="5416" spans="1:17" x14ac:dyDescent="0.2">
      <c r="A5416">
        <f>YEAR(D5416)</f>
        <v>2020</v>
      </c>
      <c r="B5416" t="s">
        <v>26</v>
      </c>
      <c r="C5416" s="2" t="s">
        <v>3022</v>
      </c>
      <c r="D5416" s="1">
        <v>44020</v>
      </c>
      <c r="E5416">
        <f>MONTH(D5416)</f>
        <v>7</v>
      </c>
      <c r="F5416" s="2" t="s">
        <v>2098</v>
      </c>
      <c r="G5416" t="s">
        <v>230</v>
      </c>
      <c r="H5416" t="s">
        <v>259</v>
      </c>
      <c r="I5416" t="s">
        <v>22</v>
      </c>
      <c r="J5416" s="2" t="s">
        <v>42</v>
      </c>
      <c r="K5416" s="2" t="s">
        <v>3019</v>
      </c>
      <c r="L5416" t="s">
        <v>25</v>
      </c>
      <c r="M5416" s="8">
        <v>4.2283333330000001</v>
      </c>
      <c r="N5416" t="s">
        <v>26</v>
      </c>
      <c r="O5416" s="8">
        <v>4.2283333330000001</v>
      </c>
      <c r="P5416" s="8">
        <f>EXP(-1.363+3.366*LOG(O5416,10))</f>
        <v>2.1057792396965977</v>
      </c>
      <c r="Q5416" s="8">
        <f>(4437920*100)/4638971</f>
        <v>95.666043180696747</v>
      </c>
    </row>
    <row r="5417" spans="1:17" x14ac:dyDescent="0.2">
      <c r="A5417">
        <f>YEAR(D5417)</f>
        <v>2020</v>
      </c>
      <c r="B5417" t="s">
        <v>26</v>
      </c>
      <c r="C5417" s="2" t="s">
        <v>3022</v>
      </c>
      <c r="D5417" s="1">
        <v>44020</v>
      </c>
      <c r="E5417">
        <f>MONTH(D5417)</f>
        <v>7</v>
      </c>
      <c r="F5417" s="2" t="s">
        <v>2098</v>
      </c>
      <c r="G5417" t="s">
        <v>230</v>
      </c>
      <c r="H5417" t="s">
        <v>268</v>
      </c>
      <c r="I5417" t="s">
        <v>22</v>
      </c>
      <c r="J5417" s="2" t="s">
        <v>42</v>
      </c>
      <c r="K5417" s="2" t="s">
        <v>3019</v>
      </c>
      <c r="L5417" t="s">
        <v>25</v>
      </c>
      <c r="M5417" s="8">
        <v>3.5356666670000001</v>
      </c>
      <c r="N5417" t="s">
        <v>26</v>
      </c>
      <c r="O5417" s="8">
        <v>3.5356666670000001</v>
      </c>
      <c r="P5417" s="8">
        <f>EXP(-1.363+3.366*LOG(O5417,10))</f>
        <v>1.6211802664427075</v>
      </c>
      <c r="Q5417" s="8">
        <f>(4437920*100)/4638971</f>
        <v>95.666043180696747</v>
      </c>
    </row>
    <row r="5418" spans="1:17" x14ac:dyDescent="0.2">
      <c r="A5418">
        <f>YEAR(D5418)</f>
        <v>2020</v>
      </c>
      <c r="B5418" t="s">
        <v>26</v>
      </c>
      <c r="C5418" s="2" t="s">
        <v>3022</v>
      </c>
      <c r="D5418" s="1">
        <v>44020</v>
      </c>
      <c r="E5418">
        <f>MONTH(D5418)</f>
        <v>7</v>
      </c>
      <c r="F5418" s="2" t="s">
        <v>2098</v>
      </c>
      <c r="G5418" t="s">
        <v>230</v>
      </c>
      <c r="H5418" t="s">
        <v>268</v>
      </c>
      <c r="I5418" t="s">
        <v>22</v>
      </c>
      <c r="J5418" s="2" t="s">
        <v>42</v>
      </c>
      <c r="K5418" s="2" t="s">
        <v>3019</v>
      </c>
      <c r="L5418" t="s">
        <v>25</v>
      </c>
      <c r="M5418" s="8">
        <v>3.5356666670000001</v>
      </c>
      <c r="N5418" t="s">
        <v>26</v>
      </c>
      <c r="O5418" s="8">
        <v>3.5356666670000001</v>
      </c>
      <c r="P5418" s="8">
        <f>EXP(-1.363+3.366*LOG(O5418,10))</f>
        <v>1.6211802664427075</v>
      </c>
      <c r="Q5418" s="8">
        <f>(4437920*100)/4638971</f>
        <v>95.666043180696747</v>
      </c>
    </row>
    <row r="5419" spans="1:17" x14ac:dyDescent="0.2">
      <c r="A5419">
        <f>YEAR(D5419)</f>
        <v>2020</v>
      </c>
      <c r="B5419" t="s">
        <v>26</v>
      </c>
      <c r="C5419" s="2" t="s">
        <v>3022</v>
      </c>
      <c r="D5419" s="1">
        <v>44020</v>
      </c>
      <c r="E5419">
        <f>MONTH(D5419)</f>
        <v>7</v>
      </c>
      <c r="F5419" s="2" t="s">
        <v>2098</v>
      </c>
      <c r="G5419" t="s">
        <v>230</v>
      </c>
      <c r="H5419" t="s">
        <v>268</v>
      </c>
      <c r="I5419" t="s">
        <v>22</v>
      </c>
      <c r="J5419" s="2" t="s">
        <v>42</v>
      </c>
      <c r="K5419" s="2" t="s">
        <v>3019</v>
      </c>
      <c r="L5419" t="s">
        <v>25</v>
      </c>
      <c r="M5419" s="8">
        <v>3.5356666670000001</v>
      </c>
      <c r="N5419" t="s">
        <v>26</v>
      </c>
      <c r="O5419" s="8">
        <v>3.5356666670000001</v>
      </c>
      <c r="P5419" s="8">
        <f>EXP(-1.363+3.366*LOG(O5419,10))</f>
        <v>1.6211802664427075</v>
      </c>
      <c r="Q5419" s="8">
        <f>(4437920*100)/4638971</f>
        <v>95.666043180696747</v>
      </c>
    </row>
    <row r="5420" spans="1:17" x14ac:dyDescent="0.2">
      <c r="A5420">
        <f>YEAR(D5420)</f>
        <v>2020</v>
      </c>
      <c r="B5420" t="s">
        <v>26</v>
      </c>
      <c r="C5420" s="2" t="s">
        <v>3022</v>
      </c>
      <c r="D5420" s="1">
        <v>44020</v>
      </c>
      <c r="E5420">
        <f>MONTH(D5420)</f>
        <v>7</v>
      </c>
      <c r="F5420" s="2" t="s">
        <v>2098</v>
      </c>
      <c r="G5420" t="s">
        <v>230</v>
      </c>
      <c r="H5420" t="s">
        <v>268</v>
      </c>
      <c r="I5420" t="s">
        <v>22</v>
      </c>
      <c r="J5420" s="2" t="s">
        <v>42</v>
      </c>
      <c r="K5420" s="2" t="s">
        <v>3019</v>
      </c>
      <c r="L5420" t="s">
        <v>25</v>
      </c>
      <c r="M5420" s="8">
        <v>3.5356666670000001</v>
      </c>
      <c r="N5420" t="s">
        <v>26</v>
      </c>
      <c r="O5420" s="8">
        <v>3.5356666670000001</v>
      </c>
      <c r="P5420" s="8">
        <f>EXP(-1.363+3.366*LOG(O5420,10))</f>
        <v>1.6211802664427075</v>
      </c>
      <c r="Q5420" s="8">
        <f>(4437920*100)/4638971</f>
        <v>95.666043180696747</v>
      </c>
    </row>
    <row r="5421" spans="1:17" x14ac:dyDescent="0.2">
      <c r="A5421">
        <f>YEAR(D5421)</f>
        <v>2020</v>
      </c>
      <c r="B5421" t="s">
        <v>26</v>
      </c>
      <c r="C5421" s="2" t="s">
        <v>3022</v>
      </c>
      <c r="D5421" s="1">
        <v>44020</v>
      </c>
      <c r="E5421">
        <f>MONTH(D5421)</f>
        <v>7</v>
      </c>
      <c r="F5421" s="2" t="s">
        <v>2098</v>
      </c>
      <c r="G5421" t="s">
        <v>230</v>
      </c>
      <c r="H5421" t="s">
        <v>268</v>
      </c>
      <c r="I5421" t="s">
        <v>22</v>
      </c>
      <c r="J5421" s="2" t="s">
        <v>42</v>
      </c>
      <c r="K5421" s="2" t="s">
        <v>3019</v>
      </c>
      <c r="L5421" t="s">
        <v>25</v>
      </c>
      <c r="M5421" s="8">
        <v>3.5356666670000001</v>
      </c>
      <c r="N5421" t="s">
        <v>26</v>
      </c>
      <c r="O5421" s="8">
        <v>3.5356666670000001</v>
      </c>
      <c r="P5421" s="8">
        <f>EXP(-1.363+3.366*LOG(O5421,10))</f>
        <v>1.6211802664427075</v>
      </c>
      <c r="Q5421" s="8">
        <f>(4437920*100)/4638971</f>
        <v>95.666043180696747</v>
      </c>
    </row>
    <row r="5422" spans="1:17" x14ac:dyDescent="0.2">
      <c r="A5422">
        <f>YEAR(D5422)</f>
        <v>2020</v>
      </c>
      <c r="B5422" t="s">
        <v>26</v>
      </c>
      <c r="C5422" s="2" t="s">
        <v>3022</v>
      </c>
      <c r="D5422" s="1">
        <v>44020</v>
      </c>
      <c r="E5422">
        <f>MONTH(D5422)</f>
        <v>7</v>
      </c>
      <c r="F5422" s="2" t="s">
        <v>2098</v>
      </c>
      <c r="G5422" t="s">
        <v>219</v>
      </c>
      <c r="H5422" t="s">
        <v>220</v>
      </c>
      <c r="I5422" t="s">
        <v>22</v>
      </c>
      <c r="J5422" s="2" t="s">
        <v>42</v>
      </c>
      <c r="K5422" s="2" t="s">
        <v>3019</v>
      </c>
      <c r="L5422" t="s">
        <v>25</v>
      </c>
      <c r="M5422" s="10" t="s">
        <v>26</v>
      </c>
      <c r="N5422" t="s">
        <v>26</v>
      </c>
      <c r="O5422" s="10" t="s">
        <v>26</v>
      </c>
      <c r="P5422" s="8" t="s">
        <v>26</v>
      </c>
      <c r="Q5422" s="8">
        <f>(4437920*100)/4638971</f>
        <v>95.666043180696747</v>
      </c>
    </row>
    <row r="5423" spans="1:17" x14ac:dyDescent="0.2">
      <c r="A5423">
        <f>YEAR(D5423)</f>
        <v>2020</v>
      </c>
      <c r="B5423" t="s">
        <v>26</v>
      </c>
      <c r="C5423" s="2" t="s">
        <v>3022</v>
      </c>
      <c r="D5423" s="1">
        <v>44020</v>
      </c>
      <c r="E5423">
        <f>MONTH(D5423)</f>
        <v>7</v>
      </c>
      <c r="F5423" s="2" t="s">
        <v>2098</v>
      </c>
      <c r="G5423" t="s">
        <v>219</v>
      </c>
      <c r="H5423" t="s">
        <v>220</v>
      </c>
      <c r="I5423" t="s">
        <v>22</v>
      </c>
      <c r="J5423" s="2" t="s">
        <v>42</v>
      </c>
      <c r="K5423" s="2" t="s">
        <v>3019</v>
      </c>
      <c r="L5423" t="s">
        <v>25</v>
      </c>
      <c r="M5423" s="10" t="s">
        <v>26</v>
      </c>
      <c r="N5423" t="s">
        <v>26</v>
      </c>
      <c r="O5423" s="10" t="s">
        <v>26</v>
      </c>
      <c r="P5423" s="8" t="s">
        <v>26</v>
      </c>
      <c r="Q5423" s="8">
        <f>(4437920*100)/4638971</f>
        <v>95.666043180696747</v>
      </c>
    </row>
    <row r="5424" spans="1:17" x14ac:dyDescent="0.2">
      <c r="A5424">
        <f>YEAR(D5424)</f>
        <v>2020</v>
      </c>
      <c r="B5424" t="s">
        <v>26</v>
      </c>
      <c r="C5424" s="2" t="s">
        <v>3022</v>
      </c>
      <c r="D5424" s="1">
        <v>44020</v>
      </c>
      <c r="E5424">
        <f>MONTH(D5424)</f>
        <v>7</v>
      </c>
      <c r="F5424" s="2" t="s">
        <v>2098</v>
      </c>
      <c r="G5424" t="s">
        <v>219</v>
      </c>
      <c r="H5424" t="s">
        <v>220</v>
      </c>
      <c r="I5424" t="s">
        <v>22</v>
      </c>
      <c r="J5424" s="2" t="s">
        <v>42</v>
      </c>
      <c r="K5424" s="2" t="s">
        <v>3019</v>
      </c>
      <c r="L5424" t="s">
        <v>25</v>
      </c>
      <c r="M5424" s="10" t="s">
        <v>26</v>
      </c>
      <c r="N5424" t="s">
        <v>26</v>
      </c>
      <c r="O5424" s="10" t="s">
        <v>26</v>
      </c>
      <c r="P5424" s="8" t="s">
        <v>26</v>
      </c>
      <c r="Q5424" s="8">
        <f>(4437920*100)/4638971</f>
        <v>95.666043180696747</v>
      </c>
    </row>
    <row r="5425" spans="1:17" x14ac:dyDescent="0.2">
      <c r="A5425">
        <f>YEAR(D5425)</f>
        <v>2020</v>
      </c>
      <c r="B5425" t="s">
        <v>26</v>
      </c>
      <c r="C5425" s="2" t="s">
        <v>3022</v>
      </c>
      <c r="D5425" s="1">
        <v>44020</v>
      </c>
      <c r="E5425">
        <f>MONTH(D5425)</f>
        <v>7</v>
      </c>
      <c r="F5425" s="2" t="s">
        <v>2098</v>
      </c>
      <c r="G5425" t="s">
        <v>219</v>
      </c>
      <c r="H5425" t="s">
        <v>220</v>
      </c>
      <c r="I5425" t="s">
        <v>22</v>
      </c>
      <c r="J5425" s="2" t="s">
        <v>42</v>
      </c>
      <c r="K5425" s="2" t="s">
        <v>3019</v>
      </c>
      <c r="L5425" t="s">
        <v>25</v>
      </c>
      <c r="M5425" s="10" t="s">
        <v>26</v>
      </c>
      <c r="N5425" t="s">
        <v>26</v>
      </c>
      <c r="O5425" s="10" t="s">
        <v>26</v>
      </c>
      <c r="P5425" s="8" t="s">
        <v>26</v>
      </c>
      <c r="Q5425" s="8">
        <f>(4437920*100)/4638971</f>
        <v>95.666043180696747</v>
      </c>
    </row>
    <row r="5426" spans="1:17" x14ac:dyDescent="0.2">
      <c r="A5426">
        <f>YEAR(D5426)</f>
        <v>2020</v>
      </c>
      <c r="B5426" t="s">
        <v>26</v>
      </c>
      <c r="C5426" s="2" t="s">
        <v>3022</v>
      </c>
      <c r="D5426" s="1">
        <v>44020</v>
      </c>
      <c r="E5426">
        <f>MONTH(D5426)</f>
        <v>7</v>
      </c>
      <c r="F5426" s="2" t="s">
        <v>2098</v>
      </c>
      <c r="G5426" t="s">
        <v>219</v>
      </c>
      <c r="H5426" t="s">
        <v>220</v>
      </c>
      <c r="I5426" t="s">
        <v>22</v>
      </c>
      <c r="J5426" s="2" t="s">
        <v>42</v>
      </c>
      <c r="K5426" s="2" t="s">
        <v>3019</v>
      </c>
      <c r="L5426" t="s">
        <v>25</v>
      </c>
      <c r="M5426" s="10" t="s">
        <v>26</v>
      </c>
      <c r="N5426" t="s">
        <v>26</v>
      </c>
      <c r="O5426" s="10" t="s">
        <v>26</v>
      </c>
      <c r="P5426" s="8" t="s">
        <v>26</v>
      </c>
      <c r="Q5426" s="8">
        <f>(4437920*100)/4638971</f>
        <v>95.666043180696747</v>
      </c>
    </row>
    <row r="5427" spans="1:17" x14ac:dyDescent="0.2">
      <c r="A5427">
        <f>YEAR(D5427)</f>
        <v>2020</v>
      </c>
      <c r="B5427" t="s">
        <v>26</v>
      </c>
      <c r="C5427" s="2" t="s">
        <v>3022</v>
      </c>
      <c r="D5427" s="1">
        <v>44020</v>
      </c>
      <c r="E5427">
        <f>MONTH(D5427)</f>
        <v>7</v>
      </c>
      <c r="F5427" s="2" t="s">
        <v>2098</v>
      </c>
      <c r="G5427" t="s">
        <v>219</v>
      </c>
      <c r="H5427" t="s">
        <v>220</v>
      </c>
      <c r="I5427" t="s">
        <v>22</v>
      </c>
      <c r="J5427" s="2" t="s">
        <v>42</v>
      </c>
      <c r="K5427" s="2" t="s">
        <v>3019</v>
      </c>
      <c r="L5427" t="s">
        <v>25</v>
      </c>
      <c r="M5427" s="10" t="s">
        <v>26</v>
      </c>
      <c r="N5427" t="s">
        <v>26</v>
      </c>
      <c r="O5427" s="10" t="s">
        <v>26</v>
      </c>
      <c r="P5427" s="8" t="s">
        <v>26</v>
      </c>
      <c r="Q5427" s="8">
        <f>(4437920*100)/4638971</f>
        <v>95.666043180696747</v>
      </c>
    </row>
    <row r="5428" spans="1:17" x14ac:dyDescent="0.2">
      <c r="A5428">
        <f>YEAR(D5428)</f>
        <v>2020</v>
      </c>
      <c r="B5428" t="s">
        <v>26</v>
      </c>
      <c r="C5428" s="2" t="s">
        <v>3022</v>
      </c>
      <c r="D5428" s="1">
        <v>44020</v>
      </c>
      <c r="E5428">
        <f>MONTH(D5428)</f>
        <v>7</v>
      </c>
      <c r="F5428" s="2" t="s">
        <v>2098</v>
      </c>
      <c r="G5428" t="s">
        <v>219</v>
      </c>
      <c r="H5428" t="s">
        <v>220</v>
      </c>
      <c r="I5428" t="s">
        <v>22</v>
      </c>
      <c r="J5428" s="2" t="s">
        <v>42</v>
      </c>
      <c r="K5428" s="2" t="s">
        <v>3019</v>
      </c>
      <c r="L5428" t="s">
        <v>25</v>
      </c>
      <c r="M5428" s="10" t="s">
        <v>26</v>
      </c>
      <c r="N5428" t="s">
        <v>26</v>
      </c>
      <c r="O5428" s="10" t="s">
        <v>26</v>
      </c>
      <c r="P5428" s="8" t="s">
        <v>26</v>
      </c>
      <c r="Q5428" s="8">
        <f>(4437920*100)/4638971</f>
        <v>95.666043180696747</v>
      </c>
    </row>
    <row r="5429" spans="1:17" x14ac:dyDescent="0.2">
      <c r="A5429">
        <f>YEAR(D5429)</f>
        <v>2020</v>
      </c>
      <c r="B5429" t="s">
        <v>26</v>
      </c>
      <c r="C5429" s="2" t="s">
        <v>3022</v>
      </c>
      <c r="D5429" s="1">
        <v>44020</v>
      </c>
      <c r="E5429">
        <f>MONTH(D5429)</f>
        <v>7</v>
      </c>
      <c r="F5429" s="2" t="s">
        <v>2098</v>
      </c>
      <c r="G5429" t="s">
        <v>219</v>
      </c>
      <c r="H5429" t="s">
        <v>220</v>
      </c>
      <c r="I5429" t="s">
        <v>22</v>
      </c>
      <c r="J5429" s="2" t="s">
        <v>42</v>
      </c>
      <c r="K5429" s="2" t="s">
        <v>3019</v>
      </c>
      <c r="L5429" t="s">
        <v>25</v>
      </c>
      <c r="M5429" s="10" t="s">
        <v>26</v>
      </c>
      <c r="N5429" t="s">
        <v>26</v>
      </c>
      <c r="O5429" s="10" t="s">
        <v>26</v>
      </c>
      <c r="P5429" s="8" t="s">
        <v>26</v>
      </c>
      <c r="Q5429" s="8">
        <f>(4437920*100)/4638971</f>
        <v>95.666043180696747</v>
      </c>
    </row>
    <row r="5430" spans="1:17" x14ac:dyDescent="0.2">
      <c r="A5430">
        <f>YEAR(D5430)</f>
        <v>2020</v>
      </c>
      <c r="B5430" t="s">
        <v>26</v>
      </c>
      <c r="C5430" s="2" t="s">
        <v>3022</v>
      </c>
      <c r="D5430" s="1">
        <v>44020</v>
      </c>
      <c r="E5430">
        <f>MONTH(D5430)</f>
        <v>7</v>
      </c>
      <c r="F5430" s="2" t="s">
        <v>2098</v>
      </c>
      <c r="G5430" t="s">
        <v>230</v>
      </c>
      <c r="H5430" t="s">
        <v>268</v>
      </c>
      <c r="I5430" t="s">
        <v>22</v>
      </c>
      <c r="J5430" s="2" t="s">
        <v>42</v>
      </c>
      <c r="K5430" s="2" t="s">
        <v>3019</v>
      </c>
      <c r="L5430" t="s">
        <v>25</v>
      </c>
      <c r="M5430" s="8">
        <v>3.5356666670000001</v>
      </c>
      <c r="N5430" t="s">
        <v>26</v>
      </c>
      <c r="O5430" s="8">
        <v>3.5356666670000001</v>
      </c>
      <c r="P5430" s="8">
        <f>EXP(-1.363+3.366*LOG(O5430,10))</f>
        <v>1.6211802664427075</v>
      </c>
      <c r="Q5430" s="8">
        <f>(4437920*100)/4638971</f>
        <v>95.666043180696747</v>
      </c>
    </row>
    <row r="5431" spans="1:17" x14ac:dyDescent="0.2">
      <c r="A5431">
        <f>YEAR(D5431)</f>
        <v>2020</v>
      </c>
      <c r="B5431" t="s">
        <v>26</v>
      </c>
      <c r="C5431" s="2" t="s">
        <v>3022</v>
      </c>
      <c r="D5431" s="1">
        <v>44020</v>
      </c>
      <c r="E5431">
        <f>MONTH(D5431)</f>
        <v>7</v>
      </c>
      <c r="F5431" s="2" t="s">
        <v>2098</v>
      </c>
      <c r="G5431" t="s">
        <v>219</v>
      </c>
      <c r="H5431" t="s">
        <v>220</v>
      </c>
      <c r="I5431" t="s">
        <v>22</v>
      </c>
      <c r="J5431" s="2" t="s">
        <v>42</v>
      </c>
      <c r="K5431" s="2" t="s">
        <v>3019</v>
      </c>
      <c r="L5431" t="s">
        <v>25</v>
      </c>
      <c r="M5431" s="10" t="s">
        <v>26</v>
      </c>
      <c r="N5431" t="s">
        <v>26</v>
      </c>
      <c r="O5431" s="10" t="s">
        <v>26</v>
      </c>
      <c r="P5431" s="8" t="s">
        <v>26</v>
      </c>
      <c r="Q5431" s="8">
        <f>(4437920*100)/4638971</f>
        <v>95.666043180696747</v>
      </c>
    </row>
    <row r="5432" spans="1:17" x14ac:dyDescent="0.2">
      <c r="A5432">
        <f>YEAR(D5432)</f>
        <v>2020</v>
      </c>
      <c r="B5432" t="s">
        <v>26</v>
      </c>
      <c r="C5432" s="2" t="s">
        <v>3023</v>
      </c>
      <c r="D5432" s="1">
        <v>44020</v>
      </c>
      <c r="E5432">
        <f>MONTH(D5432)</f>
        <v>7</v>
      </c>
      <c r="F5432" s="2" t="s">
        <v>2098</v>
      </c>
      <c r="G5432" t="s">
        <v>1512</v>
      </c>
      <c r="H5432" t="s">
        <v>1515</v>
      </c>
      <c r="I5432" t="s">
        <v>22</v>
      </c>
      <c r="J5432" s="2" t="s">
        <v>42</v>
      </c>
      <c r="K5432" s="2" t="s">
        <v>3019</v>
      </c>
      <c r="L5432" t="s">
        <v>187</v>
      </c>
      <c r="M5432" s="8">
        <v>1.477333333</v>
      </c>
      <c r="N5432" t="s">
        <v>26</v>
      </c>
      <c r="O5432" s="8">
        <v>1.477333333</v>
      </c>
      <c r="P5432" s="8">
        <f>EXP(-1.363+3.366*LOG(O5432,10))</f>
        <v>0.45269558398500004</v>
      </c>
      <c r="Q5432" s="8">
        <f>(8197453*100)/8541008</f>
        <v>95.977582505484136</v>
      </c>
    </row>
    <row r="5433" spans="1:17" x14ac:dyDescent="0.2">
      <c r="A5433">
        <f>YEAR(D5433)</f>
        <v>2020</v>
      </c>
      <c r="B5433" t="s">
        <v>26</v>
      </c>
      <c r="C5433" s="2" t="s">
        <v>3023</v>
      </c>
      <c r="D5433" s="1">
        <v>44020</v>
      </c>
      <c r="E5433">
        <f>MONTH(D5433)</f>
        <v>7</v>
      </c>
      <c r="F5433" s="2" t="s">
        <v>2098</v>
      </c>
      <c r="G5433" t="s">
        <v>362</v>
      </c>
      <c r="H5433" t="s">
        <v>2030</v>
      </c>
      <c r="I5433" t="s">
        <v>22</v>
      </c>
      <c r="J5433" s="2" t="s">
        <v>42</v>
      </c>
      <c r="K5433" s="2" t="s">
        <v>3019</v>
      </c>
      <c r="L5433" t="s">
        <v>25</v>
      </c>
      <c r="M5433" s="8">
        <v>1.4923333329999999</v>
      </c>
      <c r="N5433" t="s">
        <v>26</v>
      </c>
      <c r="O5433" s="8">
        <v>1.4923333329999999</v>
      </c>
      <c r="P5433" s="8">
        <f>EXP(-1.363+3.366*LOG(O5433,10))</f>
        <v>0.45943050733617752</v>
      </c>
      <c r="Q5433" s="8">
        <f>(8197453*100)/8541008</f>
        <v>95.977582505484136</v>
      </c>
    </row>
    <row r="5434" spans="1:17" s="6" customFormat="1" x14ac:dyDescent="0.2">
      <c r="A5434">
        <f>YEAR(D5434)</f>
        <v>2020</v>
      </c>
      <c r="B5434" t="s">
        <v>26</v>
      </c>
      <c r="C5434" s="2" t="s">
        <v>3023</v>
      </c>
      <c r="D5434" s="1">
        <v>44020</v>
      </c>
      <c r="E5434">
        <f>MONTH(D5434)</f>
        <v>7</v>
      </c>
      <c r="F5434" s="2" t="s">
        <v>2098</v>
      </c>
      <c r="G5434" t="s">
        <v>362</v>
      </c>
      <c r="H5434" t="s">
        <v>393</v>
      </c>
      <c r="I5434" t="s">
        <v>22</v>
      </c>
      <c r="J5434" s="2" t="s">
        <v>42</v>
      </c>
      <c r="K5434" s="2" t="s">
        <v>3019</v>
      </c>
      <c r="L5434" t="s">
        <v>25</v>
      </c>
      <c r="M5434" s="8">
        <v>2.4239999999999999</v>
      </c>
      <c r="N5434" t="s">
        <v>26</v>
      </c>
      <c r="O5434" s="8">
        <v>2.4239999999999999</v>
      </c>
      <c r="P5434" s="8">
        <f>EXP(-1.363+3.366*LOG(O5434,10))</f>
        <v>0.93364106227732868</v>
      </c>
      <c r="Q5434" s="8">
        <f>(8197453*100)/8541008</f>
        <v>95.977582505484136</v>
      </c>
    </row>
    <row r="5435" spans="1:17" x14ac:dyDescent="0.2">
      <c r="A5435">
        <f>YEAR(D5435)</f>
        <v>2020</v>
      </c>
      <c r="B5435" t="s">
        <v>26</v>
      </c>
      <c r="C5435" s="2" t="s">
        <v>3023</v>
      </c>
      <c r="D5435" s="1">
        <v>44020</v>
      </c>
      <c r="E5435">
        <f>MONTH(D5435)</f>
        <v>7</v>
      </c>
      <c r="F5435" s="2" t="s">
        <v>2098</v>
      </c>
      <c r="G5435" t="s">
        <v>362</v>
      </c>
      <c r="H5435" t="s">
        <v>393</v>
      </c>
      <c r="I5435" t="s">
        <v>22</v>
      </c>
      <c r="J5435" s="2" t="s">
        <v>42</v>
      </c>
      <c r="K5435" s="2" t="s">
        <v>3019</v>
      </c>
      <c r="L5435" t="s">
        <v>25</v>
      </c>
      <c r="M5435" s="8">
        <v>2.4239999999999999</v>
      </c>
      <c r="N5435" t="s">
        <v>26</v>
      </c>
      <c r="O5435" s="8">
        <v>2.4239999999999999</v>
      </c>
      <c r="P5435" s="8">
        <f>EXP(-1.363+3.366*LOG(O5435,10))</f>
        <v>0.93364106227732868</v>
      </c>
      <c r="Q5435" s="8">
        <f>(8197453*100)/8541008</f>
        <v>95.977582505484136</v>
      </c>
    </row>
    <row r="5436" spans="1:17" x14ac:dyDescent="0.2">
      <c r="A5436">
        <f>YEAR(D5436)</f>
        <v>2020</v>
      </c>
      <c r="B5436" t="s">
        <v>26</v>
      </c>
      <c r="C5436" s="2" t="s">
        <v>3023</v>
      </c>
      <c r="D5436" s="1">
        <v>44020</v>
      </c>
      <c r="E5436">
        <f>MONTH(D5436)</f>
        <v>7</v>
      </c>
      <c r="F5436" s="2" t="s">
        <v>2098</v>
      </c>
      <c r="G5436" t="s">
        <v>362</v>
      </c>
      <c r="H5436" t="s">
        <v>393</v>
      </c>
      <c r="I5436" t="s">
        <v>22</v>
      </c>
      <c r="J5436" s="2" t="s">
        <v>42</v>
      </c>
      <c r="K5436" s="2" t="s">
        <v>3019</v>
      </c>
      <c r="L5436" t="s">
        <v>25</v>
      </c>
      <c r="M5436" s="8">
        <v>2.4239999999999999</v>
      </c>
      <c r="N5436" t="s">
        <v>26</v>
      </c>
      <c r="O5436" s="8">
        <v>2.4239999999999999</v>
      </c>
      <c r="P5436" s="8">
        <f>EXP(-1.363+3.366*LOG(O5436,10))</f>
        <v>0.93364106227732868</v>
      </c>
      <c r="Q5436" s="8">
        <f>(8197453*100)/8541008</f>
        <v>95.977582505484136</v>
      </c>
    </row>
    <row r="5437" spans="1:17" x14ac:dyDescent="0.2">
      <c r="A5437">
        <f>YEAR(D5437)</f>
        <v>2020</v>
      </c>
      <c r="B5437" t="s">
        <v>26</v>
      </c>
      <c r="C5437" s="2" t="s">
        <v>3023</v>
      </c>
      <c r="D5437" s="1">
        <v>44020</v>
      </c>
      <c r="E5437">
        <f>MONTH(D5437)</f>
        <v>7</v>
      </c>
      <c r="F5437" s="2" t="s">
        <v>2098</v>
      </c>
      <c r="G5437" t="s">
        <v>1538</v>
      </c>
      <c r="H5437" t="s">
        <v>2238</v>
      </c>
      <c r="I5437" t="s">
        <v>22</v>
      </c>
      <c r="J5437" s="2" t="s">
        <v>42</v>
      </c>
      <c r="K5437" s="2" t="s">
        <v>3019</v>
      </c>
      <c r="L5437" t="s">
        <v>187</v>
      </c>
      <c r="M5437" s="8">
        <v>2.6509999999999998</v>
      </c>
      <c r="N5437" t="s">
        <v>26</v>
      </c>
      <c r="O5437" s="8">
        <v>2.6509999999999998</v>
      </c>
      <c r="P5437" s="8">
        <f>EXP(-1.363+3.366*LOG(O5437,10))</f>
        <v>1.064172118718421</v>
      </c>
      <c r="Q5437" s="8">
        <f>(8197453*100)/8541008</f>
        <v>95.977582505484136</v>
      </c>
    </row>
    <row r="5438" spans="1:17" x14ac:dyDescent="0.2">
      <c r="A5438">
        <f>YEAR(D5438)</f>
        <v>2020</v>
      </c>
      <c r="B5438" t="s">
        <v>26</v>
      </c>
      <c r="C5438" s="2" t="s">
        <v>3023</v>
      </c>
      <c r="D5438" s="1">
        <v>44020</v>
      </c>
      <c r="E5438">
        <f>MONTH(D5438)</f>
        <v>7</v>
      </c>
      <c r="F5438" s="2" t="s">
        <v>2098</v>
      </c>
      <c r="G5438" t="s">
        <v>1472</v>
      </c>
      <c r="H5438" t="s">
        <v>1509</v>
      </c>
      <c r="I5438" t="s">
        <v>22</v>
      </c>
      <c r="J5438" s="2" t="s">
        <v>42</v>
      </c>
      <c r="K5438" s="2" t="s">
        <v>3019</v>
      </c>
      <c r="L5438" t="s">
        <v>187</v>
      </c>
      <c r="M5438" s="8">
        <v>1.365</v>
      </c>
      <c r="N5438" t="s">
        <v>26</v>
      </c>
      <c r="O5438" s="8">
        <v>1.365</v>
      </c>
      <c r="P5438" s="8">
        <f>EXP(-1.363+3.366*LOG(O5438,10))</f>
        <v>0.40327220618198095</v>
      </c>
      <c r="Q5438" s="8">
        <f>(8197453*100)/8541008</f>
        <v>95.977582505484136</v>
      </c>
    </row>
    <row r="5439" spans="1:17" x14ac:dyDescent="0.2">
      <c r="A5439">
        <f>YEAR(D5439)</f>
        <v>2020</v>
      </c>
      <c r="B5439" t="s">
        <v>26</v>
      </c>
      <c r="C5439" s="2" t="s">
        <v>3023</v>
      </c>
      <c r="D5439" s="1">
        <v>44020</v>
      </c>
      <c r="E5439">
        <f>MONTH(D5439)</f>
        <v>7</v>
      </c>
      <c r="F5439" s="2" t="s">
        <v>2098</v>
      </c>
      <c r="G5439" t="s">
        <v>1520</v>
      </c>
      <c r="H5439" t="s">
        <v>1925</v>
      </c>
      <c r="I5439" t="s">
        <v>22</v>
      </c>
      <c r="J5439" s="2" t="s">
        <v>42</v>
      </c>
      <c r="K5439" s="2" t="s">
        <v>3019</v>
      </c>
      <c r="L5439" t="s">
        <v>25</v>
      </c>
      <c r="M5439" s="8">
        <v>2.3010000000000002</v>
      </c>
      <c r="N5439" t="s">
        <v>26</v>
      </c>
      <c r="O5439" s="8">
        <v>2.3010000000000002</v>
      </c>
      <c r="P5439" s="8">
        <f>EXP(-1.363+3.366*LOG(O5439,10))</f>
        <v>0.86520512489057888</v>
      </c>
      <c r="Q5439" s="8">
        <f>(8197453*100)/8541008</f>
        <v>95.977582505484136</v>
      </c>
    </row>
    <row r="5440" spans="1:17" x14ac:dyDescent="0.2">
      <c r="A5440">
        <f>YEAR(D5440)</f>
        <v>2020</v>
      </c>
      <c r="B5440" t="s">
        <v>26</v>
      </c>
      <c r="C5440" s="2" t="s">
        <v>3023</v>
      </c>
      <c r="D5440" s="1">
        <v>44020</v>
      </c>
      <c r="E5440">
        <f>MONTH(D5440)</f>
        <v>7</v>
      </c>
      <c r="F5440" s="2" t="s">
        <v>2098</v>
      </c>
      <c r="G5440" t="s">
        <v>1520</v>
      </c>
      <c r="H5440" t="s">
        <v>1521</v>
      </c>
      <c r="I5440" t="s">
        <v>36</v>
      </c>
      <c r="J5440" s="2" t="s">
        <v>42</v>
      </c>
      <c r="K5440" s="2" t="s">
        <v>3019</v>
      </c>
      <c r="L5440" t="s">
        <v>25</v>
      </c>
      <c r="M5440" s="8">
        <v>2.3340000000000001</v>
      </c>
      <c r="N5440" t="s">
        <v>26</v>
      </c>
      <c r="O5440" s="8">
        <v>2.3340000000000001</v>
      </c>
      <c r="P5440" s="8">
        <f>EXP(-1.363+3.366*LOG(O5440,10))</f>
        <v>0.88340410488080767</v>
      </c>
      <c r="Q5440" s="8">
        <f>(8197453*100)/8541008</f>
        <v>95.977582505484136</v>
      </c>
    </row>
    <row r="5441" spans="1:17" x14ac:dyDescent="0.2">
      <c r="A5441">
        <f>YEAR(D5441)</f>
        <v>2020</v>
      </c>
      <c r="B5441" t="s">
        <v>26</v>
      </c>
      <c r="C5441" s="2" t="s">
        <v>3023</v>
      </c>
      <c r="D5441" s="1">
        <v>44020</v>
      </c>
      <c r="E5441">
        <f>MONTH(D5441)</f>
        <v>7</v>
      </c>
      <c r="F5441" s="2" t="s">
        <v>2098</v>
      </c>
      <c r="G5441" t="s">
        <v>1538</v>
      </c>
      <c r="H5441" t="s">
        <v>2238</v>
      </c>
      <c r="I5441" t="s">
        <v>22</v>
      </c>
      <c r="J5441" s="2" t="s">
        <v>42</v>
      </c>
      <c r="K5441" s="2" t="s">
        <v>3019</v>
      </c>
      <c r="L5441" t="s">
        <v>187</v>
      </c>
      <c r="M5441" s="8">
        <v>2.6509999999999998</v>
      </c>
      <c r="N5441" t="s">
        <v>26</v>
      </c>
      <c r="O5441" s="8">
        <v>2.6509999999999998</v>
      </c>
      <c r="P5441" s="8">
        <f>EXP(-1.363+3.366*LOG(O5441,10))</f>
        <v>1.064172118718421</v>
      </c>
      <c r="Q5441" s="8">
        <f>(8197453*100)/8541008</f>
        <v>95.977582505484136</v>
      </c>
    </row>
    <row r="5442" spans="1:17" x14ac:dyDescent="0.2">
      <c r="A5442">
        <f>YEAR(D5442)</f>
        <v>2020</v>
      </c>
      <c r="B5442" t="s">
        <v>26</v>
      </c>
      <c r="C5442" s="2" t="s">
        <v>3023</v>
      </c>
      <c r="D5442" s="1">
        <v>44020</v>
      </c>
      <c r="E5442">
        <f>MONTH(D5442)</f>
        <v>7</v>
      </c>
      <c r="F5442" s="2" t="s">
        <v>2098</v>
      </c>
      <c r="G5442" t="s">
        <v>1538</v>
      </c>
      <c r="H5442" t="s">
        <v>2238</v>
      </c>
      <c r="I5442" t="s">
        <v>36</v>
      </c>
      <c r="J5442" s="2" t="s">
        <v>42</v>
      </c>
      <c r="K5442" s="2" t="s">
        <v>3019</v>
      </c>
      <c r="L5442" t="s">
        <v>187</v>
      </c>
      <c r="M5442" s="8">
        <v>2.2810000000000001</v>
      </c>
      <c r="N5442" t="s">
        <v>26</v>
      </c>
      <c r="O5442" s="8">
        <v>2.2810000000000001</v>
      </c>
      <c r="P5442" s="8">
        <f>EXP(-1.363+3.366*LOG(O5442,10))</f>
        <v>0.8542338533138143</v>
      </c>
      <c r="Q5442" s="8">
        <f>(8197453*100)/8541008</f>
        <v>95.977582505484136</v>
      </c>
    </row>
    <row r="5443" spans="1:17" x14ac:dyDescent="0.2">
      <c r="A5443">
        <f>YEAR(D5443)</f>
        <v>2020</v>
      </c>
      <c r="B5443" t="s">
        <v>26</v>
      </c>
      <c r="C5443" s="2" t="s">
        <v>3023</v>
      </c>
      <c r="D5443" s="1">
        <v>44020</v>
      </c>
      <c r="E5443">
        <f>MONTH(D5443)</f>
        <v>7</v>
      </c>
      <c r="F5443" s="2" t="s">
        <v>2098</v>
      </c>
      <c r="G5443" t="s">
        <v>352</v>
      </c>
      <c r="H5443" t="s">
        <v>1459</v>
      </c>
      <c r="I5443" t="s">
        <v>36</v>
      </c>
      <c r="J5443" s="2" t="s">
        <v>42</v>
      </c>
      <c r="K5443" s="2" t="s">
        <v>3019</v>
      </c>
      <c r="L5443" t="s">
        <v>25</v>
      </c>
      <c r="M5443" s="8">
        <v>1.0913333329999999</v>
      </c>
      <c r="N5443" t="s">
        <v>26</v>
      </c>
      <c r="O5443" s="8">
        <v>1.0913333329999999</v>
      </c>
      <c r="P5443" s="8">
        <f>EXP(-1.363+3.366*LOG(O5443,10))</f>
        <v>0.29076633015787234</v>
      </c>
      <c r="Q5443" s="8">
        <f>(8197453*100)/8541008</f>
        <v>95.977582505484136</v>
      </c>
    </row>
    <row r="5444" spans="1:17" x14ac:dyDescent="0.2">
      <c r="A5444">
        <f>YEAR(D5444)</f>
        <v>2020</v>
      </c>
      <c r="B5444" t="s">
        <v>26</v>
      </c>
      <c r="C5444" s="2" t="s">
        <v>3023</v>
      </c>
      <c r="D5444" s="1">
        <v>44020</v>
      </c>
      <c r="E5444">
        <f>MONTH(D5444)</f>
        <v>7</v>
      </c>
      <c r="F5444" s="2" t="s">
        <v>2098</v>
      </c>
      <c r="G5444" t="s">
        <v>352</v>
      </c>
      <c r="H5444" t="s">
        <v>623</v>
      </c>
      <c r="I5444" t="s">
        <v>36</v>
      </c>
      <c r="J5444" s="2" t="s">
        <v>42</v>
      </c>
      <c r="K5444" s="2" t="s">
        <v>3019</v>
      </c>
      <c r="L5444" t="s">
        <v>25</v>
      </c>
      <c r="M5444" s="8">
        <v>1.1339999999999999</v>
      </c>
      <c r="N5444" t="s">
        <v>26</v>
      </c>
      <c r="O5444" s="8">
        <v>1.1339999999999999</v>
      </c>
      <c r="P5444" s="8">
        <f>EXP(-1.363+3.366*LOG(O5444,10))</f>
        <v>0.30753312979708036</v>
      </c>
      <c r="Q5444" s="8">
        <f>(8197453*100)/8541008</f>
        <v>95.977582505484136</v>
      </c>
    </row>
    <row r="5445" spans="1:17" x14ac:dyDescent="0.2">
      <c r="A5445">
        <f>YEAR(D5445)</f>
        <v>2020</v>
      </c>
      <c r="B5445" t="s">
        <v>26</v>
      </c>
      <c r="C5445" s="2" t="s">
        <v>3023</v>
      </c>
      <c r="D5445" s="1">
        <v>44020</v>
      </c>
      <c r="E5445">
        <f>MONTH(D5445)</f>
        <v>7</v>
      </c>
      <c r="F5445" s="2" t="s">
        <v>2098</v>
      </c>
      <c r="G5445" t="s">
        <v>352</v>
      </c>
      <c r="H5445" t="s">
        <v>1459</v>
      </c>
      <c r="I5445" t="s">
        <v>22</v>
      </c>
      <c r="J5445" s="2" t="s">
        <v>42</v>
      </c>
      <c r="K5445" s="2" t="s">
        <v>3019</v>
      </c>
      <c r="L5445" t="s">
        <v>25</v>
      </c>
      <c r="M5445" s="8">
        <v>1.1910000000000001</v>
      </c>
      <c r="N5445" t="s">
        <v>26</v>
      </c>
      <c r="O5445" s="8">
        <v>1.1910000000000001</v>
      </c>
      <c r="P5445" s="8">
        <f>EXP(-1.363+3.366*LOG(O5445,10))</f>
        <v>0.33039016297752993</v>
      </c>
      <c r="Q5445" s="8">
        <f>(8197453*100)/8541008</f>
        <v>95.977582505484136</v>
      </c>
    </row>
    <row r="5446" spans="1:17" x14ac:dyDescent="0.2">
      <c r="A5446">
        <f>YEAR(D5446)</f>
        <v>2020</v>
      </c>
      <c r="B5446" t="s">
        <v>26</v>
      </c>
      <c r="C5446" s="2" t="s">
        <v>3023</v>
      </c>
      <c r="D5446" s="1">
        <v>44020</v>
      </c>
      <c r="E5446">
        <f>MONTH(D5446)</f>
        <v>7</v>
      </c>
      <c r="F5446" s="2" t="s">
        <v>2098</v>
      </c>
      <c r="G5446" t="s">
        <v>352</v>
      </c>
      <c r="H5446" t="s">
        <v>1459</v>
      </c>
      <c r="I5446" t="s">
        <v>22</v>
      </c>
      <c r="J5446" s="2" t="s">
        <v>42</v>
      </c>
      <c r="K5446" s="2" t="s">
        <v>3019</v>
      </c>
      <c r="L5446" t="s">
        <v>25</v>
      </c>
      <c r="M5446" s="8">
        <v>1.1910000000000001</v>
      </c>
      <c r="N5446" t="s">
        <v>26</v>
      </c>
      <c r="O5446" s="8">
        <v>1.1910000000000001</v>
      </c>
      <c r="P5446" s="8">
        <f>EXP(-1.363+3.366*LOG(O5446,10))</f>
        <v>0.33039016297752993</v>
      </c>
      <c r="Q5446" s="8">
        <f>(8197453*100)/8541008</f>
        <v>95.977582505484136</v>
      </c>
    </row>
    <row r="5447" spans="1:17" x14ac:dyDescent="0.2">
      <c r="A5447">
        <f>YEAR(D5447)</f>
        <v>2020</v>
      </c>
      <c r="B5447" t="s">
        <v>26</v>
      </c>
      <c r="C5447" s="2" t="s">
        <v>3023</v>
      </c>
      <c r="D5447" s="1">
        <v>44020</v>
      </c>
      <c r="E5447">
        <f>MONTH(D5447)</f>
        <v>7</v>
      </c>
      <c r="F5447" s="2" t="s">
        <v>2098</v>
      </c>
      <c r="G5447" t="s">
        <v>352</v>
      </c>
      <c r="H5447" t="s">
        <v>1459</v>
      </c>
      <c r="I5447" t="s">
        <v>22</v>
      </c>
      <c r="J5447" s="2" t="s">
        <v>42</v>
      </c>
      <c r="K5447" s="2" t="s">
        <v>3019</v>
      </c>
      <c r="L5447" t="s">
        <v>25</v>
      </c>
      <c r="M5447" s="8">
        <v>1.1910000000000001</v>
      </c>
      <c r="N5447" t="s">
        <v>26</v>
      </c>
      <c r="O5447" s="8">
        <v>1.1910000000000001</v>
      </c>
      <c r="P5447" s="8">
        <f>EXP(-1.363+3.366*LOG(O5447,10))</f>
        <v>0.33039016297752993</v>
      </c>
      <c r="Q5447" s="8">
        <f>(8197453*100)/8541008</f>
        <v>95.977582505484136</v>
      </c>
    </row>
    <row r="5448" spans="1:17" x14ac:dyDescent="0.2">
      <c r="A5448">
        <f>YEAR(D5448)</f>
        <v>2020</v>
      </c>
      <c r="B5448" t="s">
        <v>26</v>
      </c>
      <c r="C5448" s="2" t="s">
        <v>3023</v>
      </c>
      <c r="D5448" s="1">
        <v>44020</v>
      </c>
      <c r="E5448">
        <f>MONTH(D5448)</f>
        <v>7</v>
      </c>
      <c r="F5448" s="2" t="s">
        <v>2098</v>
      </c>
      <c r="G5448" t="s">
        <v>352</v>
      </c>
      <c r="H5448" t="s">
        <v>1459</v>
      </c>
      <c r="I5448" t="s">
        <v>22</v>
      </c>
      <c r="J5448" s="2" t="s">
        <v>42</v>
      </c>
      <c r="K5448" s="2" t="s">
        <v>3019</v>
      </c>
      <c r="L5448" t="s">
        <v>25</v>
      </c>
      <c r="M5448" s="8">
        <v>1.1910000000000001</v>
      </c>
      <c r="N5448" t="s">
        <v>26</v>
      </c>
      <c r="O5448" s="8">
        <v>1.1910000000000001</v>
      </c>
      <c r="P5448" s="8">
        <f>EXP(-1.363+3.366*LOG(O5448,10))</f>
        <v>0.33039016297752993</v>
      </c>
      <c r="Q5448" s="8">
        <f>(8197453*100)/8541008</f>
        <v>95.977582505484136</v>
      </c>
    </row>
    <row r="5449" spans="1:17" x14ac:dyDescent="0.2">
      <c r="A5449">
        <f>YEAR(D5449)</f>
        <v>2020</v>
      </c>
      <c r="B5449" t="s">
        <v>26</v>
      </c>
      <c r="C5449" s="2" t="s">
        <v>3023</v>
      </c>
      <c r="D5449" s="1">
        <v>44020</v>
      </c>
      <c r="E5449">
        <f>MONTH(D5449)</f>
        <v>7</v>
      </c>
      <c r="F5449" s="2" t="s">
        <v>2098</v>
      </c>
      <c r="G5449" t="s">
        <v>352</v>
      </c>
      <c r="H5449" t="s">
        <v>1459</v>
      </c>
      <c r="I5449" t="s">
        <v>22</v>
      </c>
      <c r="J5449" s="2" t="s">
        <v>42</v>
      </c>
      <c r="K5449" s="2" t="s">
        <v>3019</v>
      </c>
      <c r="L5449" t="s">
        <v>25</v>
      </c>
      <c r="M5449" s="8">
        <v>1.1910000000000001</v>
      </c>
      <c r="N5449" t="s">
        <v>26</v>
      </c>
      <c r="O5449" s="8">
        <v>1.1910000000000001</v>
      </c>
      <c r="P5449" s="8">
        <f>EXP(-1.363+3.366*LOG(O5449,10))</f>
        <v>0.33039016297752993</v>
      </c>
      <c r="Q5449" s="8">
        <f>(8197453*100)/8541008</f>
        <v>95.977582505484136</v>
      </c>
    </row>
    <row r="5450" spans="1:17" x14ac:dyDescent="0.2">
      <c r="A5450">
        <f>YEAR(D5450)</f>
        <v>2020</v>
      </c>
      <c r="B5450" t="s">
        <v>26</v>
      </c>
      <c r="C5450" s="2" t="s">
        <v>3023</v>
      </c>
      <c r="D5450" s="1">
        <v>44020</v>
      </c>
      <c r="E5450">
        <f>MONTH(D5450)</f>
        <v>7</v>
      </c>
      <c r="F5450" s="2" t="s">
        <v>2098</v>
      </c>
      <c r="G5450" t="s">
        <v>352</v>
      </c>
      <c r="H5450" t="s">
        <v>1459</v>
      </c>
      <c r="I5450" t="s">
        <v>22</v>
      </c>
      <c r="J5450" s="2" t="s">
        <v>42</v>
      </c>
      <c r="K5450" s="2" t="s">
        <v>3019</v>
      </c>
      <c r="L5450" t="s">
        <v>25</v>
      </c>
      <c r="M5450" s="8">
        <v>1.1910000000000001</v>
      </c>
      <c r="N5450" t="s">
        <v>26</v>
      </c>
      <c r="O5450" s="8">
        <v>1.1910000000000001</v>
      </c>
      <c r="P5450" s="8">
        <f>EXP(-1.363+3.366*LOG(O5450,10))</f>
        <v>0.33039016297752993</v>
      </c>
      <c r="Q5450" s="8">
        <f>(8197453*100)/8541008</f>
        <v>95.977582505484136</v>
      </c>
    </row>
    <row r="5451" spans="1:17" x14ac:dyDescent="0.2">
      <c r="A5451">
        <f>YEAR(D5451)</f>
        <v>2020</v>
      </c>
      <c r="B5451" t="s">
        <v>26</v>
      </c>
      <c r="C5451" s="2" t="s">
        <v>3023</v>
      </c>
      <c r="D5451" s="1">
        <v>44020</v>
      </c>
      <c r="E5451">
        <f>MONTH(D5451)</f>
        <v>7</v>
      </c>
      <c r="F5451" s="2" t="s">
        <v>2098</v>
      </c>
      <c r="G5451" t="s">
        <v>352</v>
      </c>
      <c r="H5451" t="s">
        <v>1459</v>
      </c>
      <c r="I5451" t="s">
        <v>36</v>
      </c>
      <c r="J5451" s="2" t="s">
        <v>42</v>
      </c>
      <c r="K5451" s="2" t="s">
        <v>3019</v>
      </c>
      <c r="L5451" t="s">
        <v>25</v>
      </c>
      <c r="M5451" s="8">
        <v>1.0913333329999999</v>
      </c>
      <c r="N5451" t="s">
        <v>26</v>
      </c>
      <c r="O5451" s="8">
        <v>1.0913333329999999</v>
      </c>
      <c r="P5451" s="8">
        <f>EXP(-1.363+3.366*LOG(O5451,10))</f>
        <v>0.29076633015787234</v>
      </c>
      <c r="Q5451" s="8">
        <f>(8197453*100)/8541008</f>
        <v>95.977582505484136</v>
      </c>
    </row>
    <row r="5452" spans="1:17" x14ac:dyDescent="0.2">
      <c r="A5452">
        <f>YEAR(D5452)</f>
        <v>2020</v>
      </c>
      <c r="B5452" t="s">
        <v>26</v>
      </c>
      <c r="C5452" s="2" t="s">
        <v>3023</v>
      </c>
      <c r="D5452" s="1">
        <v>44020</v>
      </c>
      <c r="E5452">
        <f>MONTH(D5452)</f>
        <v>7</v>
      </c>
      <c r="F5452" s="2" t="s">
        <v>2098</v>
      </c>
      <c r="G5452" t="s">
        <v>352</v>
      </c>
      <c r="H5452" t="s">
        <v>1459</v>
      </c>
      <c r="I5452" t="s">
        <v>22</v>
      </c>
      <c r="J5452" s="2" t="s">
        <v>42</v>
      </c>
      <c r="K5452" s="2" t="s">
        <v>3019</v>
      </c>
      <c r="L5452" t="s">
        <v>25</v>
      </c>
      <c r="M5452" s="8">
        <v>1.1910000000000001</v>
      </c>
      <c r="N5452" t="s">
        <v>26</v>
      </c>
      <c r="O5452" s="8">
        <v>1.1910000000000001</v>
      </c>
      <c r="P5452" s="8">
        <f>EXP(-1.363+3.366*LOG(O5452,10))</f>
        <v>0.33039016297752993</v>
      </c>
      <c r="Q5452" s="8">
        <f>(8197453*100)/8541008</f>
        <v>95.977582505484136</v>
      </c>
    </row>
    <row r="5453" spans="1:17" x14ac:dyDescent="0.2">
      <c r="A5453">
        <f>YEAR(D5453)</f>
        <v>2020</v>
      </c>
      <c r="B5453" t="s">
        <v>26</v>
      </c>
      <c r="C5453" s="2" t="s">
        <v>3023</v>
      </c>
      <c r="D5453" s="1">
        <v>44020</v>
      </c>
      <c r="E5453">
        <f>MONTH(D5453)</f>
        <v>7</v>
      </c>
      <c r="F5453" s="2" t="s">
        <v>2098</v>
      </c>
      <c r="G5453" t="s">
        <v>352</v>
      </c>
      <c r="H5453" t="s">
        <v>1459</v>
      </c>
      <c r="I5453" t="s">
        <v>22</v>
      </c>
      <c r="J5453" s="2" t="s">
        <v>42</v>
      </c>
      <c r="K5453" s="2" t="s">
        <v>3019</v>
      </c>
      <c r="L5453" t="s">
        <v>25</v>
      </c>
      <c r="M5453" s="8">
        <v>1.1910000000000001</v>
      </c>
      <c r="N5453" t="s">
        <v>26</v>
      </c>
      <c r="O5453" s="8">
        <v>1.1910000000000001</v>
      </c>
      <c r="P5453" s="8">
        <f>EXP(-1.363+3.366*LOG(O5453,10))</f>
        <v>0.33039016297752993</v>
      </c>
      <c r="Q5453" s="8">
        <f>(8197453*100)/8541008</f>
        <v>95.977582505484136</v>
      </c>
    </row>
    <row r="5454" spans="1:17" x14ac:dyDescent="0.2">
      <c r="A5454">
        <f>YEAR(D5454)</f>
        <v>2020</v>
      </c>
      <c r="B5454" t="e">
        <f>CONCATENATE(K5454,#REF!)</f>
        <v>#REF!</v>
      </c>
      <c r="C5454" s="2" t="s">
        <v>3023</v>
      </c>
      <c r="D5454" s="1">
        <v>44020</v>
      </c>
      <c r="E5454">
        <f>MONTH(D5454)</f>
        <v>7</v>
      </c>
      <c r="F5454" s="2" t="s">
        <v>2098</v>
      </c>
      <c r="G5454" s="2" t="s">
        <v>20</v>
      </c>
      <c r="H5454" t="s">
        <v>103</v>
      </c>
      <c r="I5454" t="s">
        <v>22</v>
      </c>
      <c r="J5454" s="2" t="s">
        <v>42</v>
      </c>
      <c r="K5454" s="2" t="s">
        <v>3019</v>
      </c>
      <c r="L5454" t="s">
        <v>25</v>
      </c>
      <c r="M5454" s="8">
        <v>2.177</v>
      </c>
      <c r="N5454" t="s">
        <v>26</v>
      </c>
      <c r="O5454" s="8">
        <v>2.177</v>
      </c>
      <c r="P5454" s="8">
        <f>EXP(-1.363+3.366*LOG(O5454,10))</f>
        <v>0.79790277256387487</v>
      </c>
      <c r="Q5454" s="8">
        <f>(8197453*100)/8541008</f>
        <v>95.977582505484136</v>
      </c>
    </row>
    <row r="5455" spans="1:17" x14ac:dyDescent="0.2">
      <c r="A5455">
        <f>YEAR(D5455)</f>
        <v>2020</v>
      </c>
      <c r="B5455" t="e">
        <f>CONCATENATE(K5455,#REF!)</f>
        <v>#REF!</v>
      </c>
      <c r="C5455" s="2" t="s">
        <v>3023</v>
      </c>
      <c r="D5455" s="1">
        <v>44020</v>
      </c>
      <c r="E5455">
        <f>MONTH(D5455)</f>
        <v>7</v>
      </c>
      <c r="F5455" s="2" t="s">
        <v>2098</v>
      </c>
      <c r="G5455" s="2" t="s">
        <v>20</v>
      </c>
      <c r="H5455" t="s">
        <v>103</v>
      </c>
      <c r="I5455" t="s">
        <v>22</v>
      </c>
      <c r="J5455" s="2" t="s">
        <v>42</v>
      </c>
      <c r="K5455" s="2" t="s">
        <v>3019</v>
      </c>
      <c r="L5455" t="s">
        <v>25</v>
      </c>
      <c r="M5455" s="8">
        <v>2.177</v>
      </c>
      <c r="N5455" t="s">
        <v>26</v>
      </c>
      <c r="O5455" s="8">
        <v>2.177</v>
      </c>
      <c r="P5455" s="8">
        <f>EXP(-1.363+3.366*LOG(O5455,10))</f>
        <v>0.79790277256387487</v>
      </c>
      <c r="Q5455" s="8">
        <f>(8197453*100)/8541008</f>
        <v>95.977582505484136</v>
      </c>
    </row>
    <row r="5456" spans="1:17" x14ac:dyDescent="0.2">
      <c r="A5456">
        <f>YEAR(D5456)</f>
        <v>2020</v>
      </c>
      <c r="B5456" t="s">
        <v>26</v>
      </c>
      <c r="C5456" s="2" t="s">
        <v>3023</v>
      </c>
      <c r="D5456" s="1">
        <v>44020</v>
      </c>
      <c r="E5456">
        <f>MONTH(D5456)</f>
        <v>7</v>
      </c>
      <c r="F5456" s="2" t="s">
        <v>2098</v>
      </c>
      <c r="G5456" t="s">
        <v>362</v>
      </c>
      <c r="H5456" t="s">
        <v>393</v>
      </c>
      <c r="I5456" t="s">
        <v>22</v>
      </c>
      <c r="J5456" s="2" t="s">
        <v>42</v>
      </c>
      <c r="K5456" s="2" t="s">
        <v>3019</v>
      </c>
      <c r="L5456" t="s">
        <v>25</v>
      </c>
      <c r="M5456" s="8">
        <v>2.4239999999999999</v>
      </c>
      <c r="N5456" t="s">
        <v>26</v>
      </c>
      <c r="O5456" s="8">
        <v>2.4239999999999999</v>
      </c>
      <c r="P5456" s="8">
        <f>EXP(-1.363+3.366*LOG(O5456,10))</f>
        <v>0.93364106227732868</v>
      </c>
      <c r="Q5456" s="8">
        <f>(8197453*100)/8541008</f>
        <v>95.977582505484136</v>
      </c>
    </row>
    <row r="5457" spans="1:17" x14ac:dyDescent="0.2">
      <c r="A5457">
        <f>YEAR(D5457)</f>
        <v>2020</v>
      </c>
      <c r="B5457" t="s">
        <v>26</v>
      </c>
      <c r="C5457" s="2" t="s">
        <v>3023</v>
      </c>
      <c r="D5457" s="1">
        <v>44020</v>
      </c>
      <c r="E5457">
        <f>MONTH(D5457)</f>
        <v>7</v>
      </c>
      <c r="F5457" s="2" t="s">
        <v>2098</v>
      </c>
      <c r="G5457" t="s">
        <v>362</v>
      </c>
      <c r="H5457" t="s">
        <v>393</v>
      </c>
      <c r="I5457" t="s">
        <v>22</v>
      </c>
      <c r="J5457" s="2" t="s">
        <v>42</v>
      </c>
      <c r="K5457" s="2" t="s">
        <v>3019</v>
      </c>
      <c r="L5457" t="s">
        <v>25</v>
      </c>
      <c r="M5457" s="8">
        <v>2.4239999999999999</v>
      </c>
      <c r="N5457" t="s">
        <v>26</v>
      </c>
      <c r="O5457" s="8">
        <v>2.4239999999999999</v>
      </c>
      <c r="P5457" s="8">
        <f>EXP(-1.363+3.366*LOG(O5457,10))</f>
        <v>0.93364106227732868</v>
      </c>
      <c r="Q5457" s="8">
        <f>(8197453*100)/8541008</f>
        <v>95.977582505484136</v>
      </c>
    </row>
    <row r="5458" spans="1:17" x14ac:dyDescent="0.2">
      <c r="A5458">
        <f>YEAR(D5458)</f>
        <v>2020</v>
      </c>
      <c r="B5458" t="s">
        <v>26</v>
      </c>
      <c r="C5458" s="2" t="s">
        <v>3023</v>
      </c>
      <c r="D5458" s="1">
        <v>44020</v>
      </c>
      <c r="E5458">
        <f>MONTH(D5458)</f>
        <v>7</v>
      </c>
      <c r="F5458" s="2" t="s">
        <v>2098</v>
      </c>
      <c r="G5458" s="2" t="s">
        <v>20</v>
      </c>
      <c r="H5458" t="s">
        <v>91</v>
      </c>
      <c r="I5458" t="s">
        <v>22</v>
      </c>
      <c r="J5458" s="2" t="s">
        <v>42</v>
      </c>
      <c r="K5458" s="2" t="s">
        <v>3019</v>
      </c>
      <c r="L5458" t="s">
        <v>25</v>
      </c>
      <c r="M5458" s="8">
        <v>2.0630000000000002</v>
      </c>
      <c r="N5458" t="s">
        <v>26</v>
      </c>
      <c r="O5458" s="8">
        <v>2.0630000000000002</v>
      </c>
      <c r="P5458" s="8">
        <f>EXP(-1.363+3.366*LOG(O5458,10))</f>
        <v>0.73756902742293162</v>
      </c>
      <c r="Q5458" s="8">
        <f>(8197453*100)/8541008</f>
        <v>95.977582505484136</v>
      </c>
    </row>
    <row r="5459" spans="1:17" x14ac:dyDescent="0.2">
      <c r="A5459">
        <f>YEAR(D5459)</f>
        <v>2020</v>
      </c>
      <c r="B5459" t="s">
        <v>26</v>
      </c>
      <c r="C5459" s="2" t="s">
        <v>3022</v>
      </c>
      <c r="D5459" s="1">
        <v>44020</v>
      </c>
      <c r="E5459">
        <f>MONTH(D5459)</f>
        <v>7</v>
      </c>
      <c r="F5459" s="2" t="s">
        <v>2098</v>
      </c>
      <c r="G5459" s="2" t="s">
        <v>20</v>
      </c>
      <c r="H5459" t="s">
        <v>91</v>
      </c>
      <c r="I5459" t="s">
        <v>22</v>
      </c>
      <c r="J5459" s="2" t="s">
        <v>42</v>
      </c>
      <c r="K5459" s="2" t="s">
        <v>3019</v>
      </c>
      <c r="L5459" t="s">
        <v>25</v>
      </c>
      <c r="M5459" s="8">
        <v>2.0630000000000002</v>
      </c>
      <c r="N5459" t="s">
        <v>26</v>
      </c>
      <c r="O5459" s="8">
        <v>2.0630000000000002</v>
      </c>
      <c r="P5459" s="8">
        <f>EXP(-1.363+3.366*LOG(O5459,10))</f>
        <v>0.73756902742293162</v>
      </c>
      <c r="Q5459" s="8">
        <f>(4437920*100)/4638971</f>
        <v>95.666043180696747</v>
      </c>
    </row>
    <row r="5460" spans="1:17" x14ac:dyDescent="0.2">
      <c r="A5460">
        <f>YEAR(D5460)</f>
        <v>2020</v>
      </c>
      <c r="B5460" t="s">
        <v>26</v>
      </c>
      <c r="C5460" s="2" t="s">
        <v>3022</v>
      </c>
      <c r="D5460" s="1">
        <v>44020</v>
      </c>
      <c r="E5460">
        <f>MONTH(D5460)</f>
        <v>7</v>
      </c>
      <c r="F5460" s="2" t="s">
        <v>2098</v>
      </c>
      <c r="G5460" t="s">
        <v>362</v>
      </c>
      <c r="H5460" t="s">
        <v>393</v>
      </c>
      <c r="I5460" t="s">
        <v>36</v>
      </c>
      <c r="J5460" s="2" t="s">
        <v>42</v>
      </c>
      <c r="K5460" s="2" t="s">
        <v>3019</v>
      </c>
      <c r="L5460" t="s">
        <v>25</v>
      </c>
      <c r="M5460" s="8">
        <v>2.2189999999999999</v>
      </c>
      <c r="N5460" t="s">
        <v>26</v>
      </c>
      <c r="O5460" s="8">
        <v>2.2189999999999999</v>
      </c>
      <c r="P5460" s="8">
        <f>EXP(-1.363+3.366*LOG(O5460,10))</f>
        <v>0.82050561861036375</v>
      </c>
      <c r="Q5460" s="8">
        <f>(4437920*100)/4638971</f>
        <v>95.666043180696747</v>
      </c>
    </row>
    <row r="5461" spans="1:17" x14ac:dyDescent="0.2">
      <c r="A5461">
        <f>YEAR(D5461)</f>
        <v>2020</v>
      </c>
      <c r="B5461" t="s">
        <v>26</v>
      </c>
      <c r="C5461" s="2" t="s">
        <v>3022</v>
      </c>
      <c r="D5461" s="1">
        <v>44020</v>
      </c>
      <c r="E5461">
        <f>MONTH(D5461)</f>
        <v>7</v>
      </c>
      <c r="F5461" s="2" t="s">
        <v>2098</v>
      </c>
      <c r="G5461" t="s">
        <v>352</v>
      </c>
      <c r="H5461" t="s">
        <v>975</v>
      </c>
      <c r="I5461" t="s">
        <v>22</v>
      </c>
      <c r="J5461" s="2" t="s">
        <v>42</v>
      </c>
      <c r="K5461" s="2" t="s">
        <v>3019</v>
      </c>
      <c r="L5461" t="s">
        <v>25</v>
      </c>
      <c r="M5461" s="8">
        <v>1.0693333330000001</v>
      </c>
      <c r="N5461" t="s">
        <v>26</v>
      </c>
      <c r="O5461" s="8">
        <v>1.0693333330000001</v>
      </c>
      <c r="P5461" s="8">
        <f>EXP(-1.363+3.366*LOG(O5461,10))</f>
        <v>0.28223780327142356</v>
      </c>
      <c r="Q5461" s="8">
        <f>(4437920*100)/4638971</f>
        <v>95.666043180696747</v>
      </c>
    </row>
    <row r="5462" spans="1:17" x14ac:dyDescent="0.2">
      <c r="A5462">
        <f>YEAR(D5462)</f>
        <v>2020</v>
      </c>
      <c r="B5462" t="s">
        <v>26</v>
      </c>
      <c r="C5462" s="2" t="s">
        <v>3022</v>
      </c>
      <c r="D5462" s="1">
        <v>44020</v>
      </c>
      <c r="E5462">
        <f>MONTH(D5462)</f>
        <v>7</v>
      </c>
      <c r="F5462" s="2" t="s">
        <v>2098</v>
      </c>
      <c r="G5462" t="s">
        <v>352</v>
      </c>
      <c r="H5462" t="s">
        <v>975</v>
      </c>
      <c r="I5462" t="s">
        <v>22</v>
      </c>
      <c r="J5462" s="2" t="s">
        <v>42</v>
      </c>
      <c r="K5462" s="2" t="s">
        <v>3019</v>
      </c>
      <c r="L5462" t="s">
        <v>25</v>
      </c>
      <c r="M5462" s="8">
        <v>1.0693333330000001</v>
      </c>
      <c r="N5462" t="s">
        <v>26</v>
      </c>
      <c r="O5462" s="8">
        <v>1.0693333330000001</v>
      </c>
      <c r="P5462" s="8">
        <f>EXP(-1.363+3.366*LOG(O5462,10))</f>
        <v>0.28223780327142356</v>
      </c>
      <c r="Q5462" s="8">
        <f>(4437920*100)/4638971</f>
        <v>95.666043180696747</v>
      </c>
    </row>
    <row r="5463" spans="1:17" x14ac:dyDescent="0.2">
      <c r="A5463">
        <f>YEAR(D5463)</f>
        <v>2020</v>
      </c>
      <c r="B5463" t="s">
        <v>26</v>
      </c>
      <c r="C5463" s="2" t="s">
        <v>3022</v>
      </c>
      <c r="D5463" s="1">
        <v>44020</v>
      </c>
      <c r="E5463">
        <f>MONTH(D5463)</f>
        <v>7</v>
      </c>
      <c r="F5463" s="2" t="s">
        <v>2098</v>
      </c>
      <c r="G5463" t="s">
        <v>352</v>
      </c>
      <c r="H5463" t="s">
        <v>975</v>
      </c>
      <c r="I5463" t="s">
        <v>22</v>
      </c>
      <c r="J5463" s="2" t="s">
        <v>42</v>
      </c>
      <c r="K5463" s="2" t="s">
        <v>3019</v>
      </c>
      <c r="L5463" t="s">
        <v>25</v>
      </c>
      <c r="M5463" s="8">
        <v>1.0693333330000001</v>
      </c>
      <c r="N5463" t="s">
        <v>26</v>
      </c>
      <c r="O5463" s="8">
        <v>1.0693333330000001</v>
      </c>
      <c r="P5463" s="8">
        <f>EXP(-1.363+3.366*LOG(O5463,10))</f>
        <v>0.28223780327142356</v>
      </c>
      <c r="Q5463" s="8">
        <f>(4437920*100)/4638971</f>
        <v>95.666043180696747</v>
      </c>
    </row>
    <row r="5464" spans="1:17" x14ac:dyDescent="0.2">
      <c r="A5464">
        <f>YEAR(D5464)</f>
        <v>2020</v>
      </c>
      <c r="B5464" t="s">
        <v>26</v>
      </c>
      <c r="C5464" s="2" t="s">
        <v>3022</v>
      </c>
      <c r="D5464" s="1">
        <v>44020</v>
      </c>
      <c r="E5464">
        <f>MONTH(D5464)</f>
        <v>7</v>
      </c>
      <c r="F5464" s="2" t="s">
        <v>2098</v>
      </c>
      <c r="G5464" t="s">
        <v>230</v>
      </c>
      <c r="H5464" t="s">
        <v>255</v>
      </c>
      <c r="I5464" t="s">
        <v>36</v>
      </c>
      <c r="J5464" s="2" t="s">
        <v>42</v>
      </c>
      <c r="K5464" s="2" t="s">
        <v>3019</v>
      </c>
      <c r="L5464" t="s">
        <v>25</v>
      </c>
      <c r="M5464" s="8">
        <v>4.1180000000000003</v>
      </c>
      <c r="N5464" t="s">
        <v>26</v>
      </c>
      <c r="O5464" s="8">
        <v>4.1180000000000003</v>
      </c>
      <c r="P5464" s="8">
        <f>EXP(-1.363+3.366*LOG(O5464,10))</f>
        <v>2.0259408868315871</v>
      </c>
      <c r="Q5464" s="8">
        <f>(4437920*100)/4638971</f>
        <v>95.666043180696747</v>
      </c>
    </row>
    <row r="5465" spans="1:17" x14ac:dyDescent="0.2">
      <c r="A5465">
        <f>YEAR(D5465)</f>
        <v>2020</v>
      </c>
      <c r="B5465" t="s">
        <v>26</v>
      </c>
      <c r="C5465" s="2" t="s">
        <v>3022</v>
      </c>
      <c r="D5465" s="1">
        <v>44020</v>
      </c>
      <c r="E5465">
        <f>MONTH(D5465)</f>
        <v>7</v>
      </c>
      <c r="F5465" s="2" t="s">
        <v>2098</v>
      </c>
      <c r="G5465" t="s">
        <v>230</v>
      </c>
      <c r="H5465" t="s">
        <v>235</v>
      </c>
      <c r="I5465" t="s">
        <v>36</v>
      </c>
      <c r="J5465" s="2" t="s">
        <v>42</v>
      </c>
      <c r="K5465" s="2" t="s">
        <v>3019</v>
      </c>
      <c r="L5465" t="s">
        <v>25</v>
      </c>
      <c r="M5465" s="8">
        <v>3.6166666666666667</v>
      </c>
      <c r="N5465" t="s">
        <v>26</v>
      </c>
      <c r="O5465" s="8">
        <v>3.6166666666666667</v>
      </c>
      <c r="P5465" s="8">
        <f>EXP(-1.363+3.366*LOG(O5465,10))</f>
        <v>1.6757592653929465</v>
      </c>
      <c r="Q5465" s="8">
        <f>(4437920*100)/4638971</f>
        <v>95.666043180696747</v>
      </c>
    </row>
    <row r="5466" spans="1:17" x14ac:dyDescent="0.2">
      <c r="A5466">
        <f>YEAR(D5466)</f>
        <v>2020</v>
      </c>
      <c r="B5466" t="s">
        <v>26</v>
      </c>
      <c r="C5466" s="2" t="s">
        <v>3022</v>
      </c>
      <c r="D5466" s="1">
        <v>44020</v>
      </c>
      <c r="E5466">
        <f>MONTH(D5466)</f>
        <v>7</v>
      </c>
      <c r="F5466" s="2" t="s">
        <v>2098</v>
      </c>
      <c r="G5466" t="s">
        <v>230</v>
      </c>
      <c r="H5466" t="s">
        <v>235</v>
      </c>
      <c r="I5466" t="s">
        <v>36</v>
      </c>
      <c r="J5466" s="2" t="s">
        <v>42</v>
      </c>
      <c r="K5466" s="2" t="s">
        <v>3019</v>
      </c>
      <c r="L5466" t="s">
        <v>25</v>
      </c>
      <c r="M5466" s="8">
        <v>3.6166666666666667</v>
      </c>
      <c r="N5466" t="s">
        <v>26</v>
      </c>
      <c r="O5466" s="8">
        <v>3.6166666666666667</v>
      </c>
      <c r="P5466" s="8">
        <f>EXP(-1.363+3.366*LOG(O5466,10))</f>
        <v>1.6757592653929465</v>
      </c>
      <c r="Q5466" s="8">
        <f>(4437920*100)/4638971</f>
        <v>95.666043180696747</v>
      </c>
    </row>
    <row r="5467" spans="1:17" x14ac:dyDescent="0.2">
      <c r="A5467">
        <f>YEAR(D5467)</f>
        <v>2020</v>
      </c>
      <c r="B5467" t="s">
        <v>26</v>
      </c>
      <c r="C5467" s="2" t="s">
        <v>3022</v>
      </c>
      <c r="D5467" s="1">
        <v>44020</v>
      </c>
      <c r="E5467">
        <f>MONTH(D5467)</f>
        <v>7</v>
      </c>
      <c r="F5467" s="2" t="s">
        <v>2098</v>
      </c>
      <c r="G5467" t="s">
        <v>230</v>
      </c>
      <c r="H5467" t="s">
        <v>255</v>
      </c>
      <c r="I5467" t="s">
        <v>36</v>
      </c>
      <c r="J5467" s="2" t="s">
        <v>42</v>
      </c>
      <c r="K5467" s="2" t="s">
        <v>3019</v>
      </c>
      <c r="L5467" t="s">
        <v>25</v>
      </c>
      <c r="M5467" s="8">
        <v>4.1180000000000003</v>
      </c>
      <c r="N5467" t="s">
        <v>26</v>
      </c>
      <c r="O5467" s="8">
        <v>4.1180000000000003</v>
      </c>
      <c r="P5467" s="8">
        <f>EXP(-1.363+3.366*LOG(O5467,10))</f>
        <v>2.0259408868315871</v>
      </c>
      <c r="Q5467" s="8">
        <f>(4437920*100)/4638971</f>
        <v>95.666043180696747</v>
      </c>
    </row>
    <row r="5468" spans="1:17" x14ac:dyDescent="0.2">
      <c r="A5468">
        <f>YEAR(D5468)</f>
        <v>2020</v>
      </c>
      <c r="B5468" t="s">
        <v>26</v>
      </c>
      <c r="C5468" s="2" t="s">
        <v>3022</v>
      </c>
      <c r="D5468" s="1">
        <v>44020</v>
      </c>
      <c r="E5468">
        <f>MONTH(D5468)</f>
        <v>7</v>
      </c>
      <c r="F5468" s="2" t="s">
        <v>2098</v>
      </c>
      <c r="G5468" t="s">
        <v>1520</v>
      </c>
      <c r="H5468" t="s">
        <v>1521</v>
      </c>
      <c r="I5468" t="s">
        <v>36</v>
      </c>
      <c r="J5468" s="2" t="s">
        <v>42</v>
      </c>
      <c r="K5468" s="2" t="s">
        <v>3019</v>
      </c>
      <c r="L5468" t="s">
        <v>25</v>
      </c>
      <c r="M5468" s="8">
        <v>2.3340000000000001</v>
      </c>
      <c r="N5468" t="s">
        <v>26</v>
      </c>
      <c r="O5468" s="8">
        <v>2.3340000000000001</v>
      </c>
      <c r="P5468" s="8">
        <f>EXP(-1.363+3.366*LOG(O5468,10))</f>
        <v>0.88340410488080767</v>
      </c>
      <c r="Q5468" s="8">
        <f>(4437920*100)/4638971</f>
        <v>95.666043180696747</v>
      </c>
    </row>
    <row r="5469" spans="1:17" x14ac:dyDescent="0.2">
      <c r="A5469">
        <f>YEAR(D5469)</f>
        <v>2020</v>
      </c>
      <c r="B5469" t="s">
        <v>26</v>
      </c>
      <c r="C5469" s="2" t="s">
        <v>3022</v>
      </c>
      <c r="D5469" s="1">
        <v>44020</v>
      </c>
      <c r="E5469">
        <f>MONTH(D5469)</f>
        <v>7</v>
      </c>
      <c r="F5469" s="2" t="s">
        <v>2098</v>
      </c>
      <c r="G5469" t="s">
        <v>332</v>
      </c>
      <c r="H5469" t="s">
        <v>327</v>
      </c>
      <c r="I5469" t="s">
        <v>36</v>
      </c>
      <c r="J5469" s="2" t="s">
        <v>42</v>
      </c>
      <c r="K5469" s="2" t="s">
        <v>3019</v>
      </c>
      <c r="L5469" t="s">
        <v>25</v>
      </c>
      <c r="M5469" s="8">
        <v>1.0693333330000001</v>
      </c>
      <c r="N5469" t="s">
        <v>26</v>
      </c>
      <c r="O5469" s="8">
        <v>1.0693333330000001</v>
      </c>
      <c r="P5469" s="8">
        <f>EXP(-1.363+3.366*LOG(O5469,10))</f>
        <v>0.28223780327142356</v>
      </c>
      <c r="Q5469" s="8">
        <f>(4437920*100)/4638971</f>
        <v>95.666043180696747</v>
      </c>
    </row>
    <row r="5470" spans="1:17" x14ac:dyDescent="0.2">
      <c r="A5470">
        <f>YEAR(D5470)</f>
        <v>2020</v>
      </c>
      <c r="B5470" t="s">
        <v>26</v>
      </c>
      <c r="C5470" s="2" t="s">
        <v>3022</v>
      </c>
      <c r="D5470" s="1">
        <v>44020</v>
      </c>
      <c r="E5470">
        <f>MONTH(D5470)</f>
        <v>7</v>
      </c>
      <c r="F5470" s="2" t="s">
        <v>2098</v>
      </c>
      <c r="G5470" t="s">
        <v>352</v>
      </c>
      <c r="H5470" t="s">
        <v>1344</v>
      </c>
      <c r="I5470" t="s">
        <v>22</v>
      </c>
      <c r="J5470" s="2" t="s">
        <v>42</v>
      </c>
      <c r="K5470" s="2" t="s">
        <v>3019</v>
      </c>
      <c r="L5470" t="s">
        <v>25</v>
      </c>
      <c r="M5470" s="8">
        <v>0.91800000000000004</v>
      </c>
      <c r="N5470" t="s">
        <v>26</v>
      </c>
      <c r="O5470" s="8">
        <v>0.91800000000000004</v>
      </c>
      <c r="P5470" s="8">
        <f>EXP(-1.363+3.366*LOG(O5470,10))</f>
        <v>0.22580769814771504</v>
      </c>
      <c r="Q5470" s="8">
        <f>(4437920*100)/4638971</f>
        <v>95.666043180696747</v>
      </c>
    </row>
    <row r="5471" spans="1:17" x14ac:dyDescent="0.2">
      <c r="A5471">
        <f>YEAR(D5471)</f>
        <v>2020</v>
      </c>
      <c r="B5471" t="s">
        <v>26</v>
      </c>
      <c r="C5471" s="2" t="s">
        <v>3022</v>
      </c>
      <c r="D5471" s="1">
        <v>44020</v>
      </c>
      <c r="E5471">
        <f>MONTH(D5471)</f>
        <v>7</v>
      </c>
      <c r="F5471" s="2" t="s">
        <v>2098</v>
      </c>
      <c r="G5471" t="s">
        <v>352</v>
      </c>
      <c r="H5471" t="s">
        <v>623</v>
      </c>
      <c r="I5471" t="s">
        <v>22</v>
      </c>
      <c r="J5471" s="2" t="s">
        <v>42</v>
      </c>
      <c r="K5471" s="2" t="s">
        <v>3019</v>
      </c>
      <c r="L5471" t="s">
        <v>25</v>
      </c>
      <c r="M5471" s="8">
        <v>1.387</v>
      </c>
      <c r="N5471" t="s">
        <v>26</v>
      </c>
      <c r="O5471" s="8">
        <v>1.387</v>
      </c>
      <c r="P5471" s="8">
        <f>EXP(-1.363+3.366*LOG(O5471,10))</f>
        <v>0.41280884754947733</v>
      </c>
      <c r="Q5471" s="8">
        <f>(4437920*100)/4638971</f>
        <v>95.666043180696747</v>
      </c>
    </row>
    <row r="5472" spans="1:17" x14ac:dyDescent="0.2">
      <c r="A5472">
        <f>YEAR(D5472)</f>
        <v>2020</v>
      </c>
      <c r="B5472" t="s">
        <v>26</v>
      </c>
      <c r="C5472" s="2" t="s">
        <v>3022</v>
      </c>
      <c r="D5472" s="1">
        <v>44020</v>
      </c>
      <c r="E5472">
        <f>MONTH(D5472)</f>
        <v>7</v>
      </c>
      <c r="F5472" s="2" t="s">
        <v>2098</v>
      </c>
      <c r="G5472" t="s">
        <v>352</v>
      </c>
      <c r="H5472" t="s">
        <v>494</v>
      </c>
      <c r="I5472" t="s">
        <v>22</v>
      </c>
      <c r="J5472" s="2" t="s">
        <v>42</v>
      </c>
      <c r="K5472" s="2" t="s">
        <v>3019</v>
      </c>
      <c r="L5472" t="s">
        <v>25</v>
      </c>
      <c r="M5472" s="8">
        <v>1.7226666669999999</v>
      </c>
      <c r="N5472" t="s">
        <v>26</v>
      </c>
      <c r="O5472" s="8">
        <v>1.7226666669999999</v>
      </c>
      <c r="P5472" s="8">
        <f>EXP(-1.363+3.366*LOG(O5472,10))</f>
        <v>0.56668788662759551</v>
      </c>
      <c r="Q5472" s="8">
        <f>(4437920*100)/4638971</f>
        <v>95.666043180696747</v>
      </c>
    </row>
    <row r="5473" spans="1:17" x14ac:dyDescent="0.2">
      <c r="A5473">
        <f>YEAR(D5473)</f>
        <v>2020</v>
      </c>
      <c r="B5473" t="e">
        <f>CONCATENATE(K5473,#REF!)</f>
        <v>#REF!</v>
      </c>
      <c r="C5473" s="2" t="s">
        <v>3022</v>
      </c>
      <c r="D5473" s="1">
        <v>44020</v>
      </c>
      <c r="E5473">
        <f>MONTH(D5473)</f>
        <v>7</v>
      </c>
      <c r="F5473" s="2" t="s">
        <v>2098</v>
      </c>
      <c r="G5473" s="2" t="s">
        <v>20</v>
      </c>
      <c r="H5473" t="s">
        <v>103</v>
      </c>
      <c r="I5473" t="s">
        <v>22</v>
      </c>
      <c r="J5473" s="2" t="s">
        <v>42</v>
      </c>
      <c r="K5473" s="2" t="s">
        <v>3019</v>
      </c>
      <c r="L5473" t="s">
        <v>25</v>
      </c>
      <c r="M5473" s="8">
        <v>2.177</v>
      </c>
      <c r="N5473" t="s">
        <v>26</v>
      </c>
      <c r="O5473" s="8">
        <v>2.177</v>
      </c>
      <c r="P5473" s="8">
        <f>EXP(-1.363+3.366*LOG(O5473,10))</f>
        <v>0.79790277256387487</v>
      </c>
      <c r="Q5473" s="8">
        <f>(4437920*100)/4638971</f>
        <v>95.666043180696747</v>
      </c>
    </row>
    <row r="5474" spans="1:17" x14ac:dyDescent="0.2">
      <c r="A5474">
        <f>YEAR(D5474)</f>
        <v>2020</v>
      </c>
      <c r="B5474" t="s">
        <v>26</v>
      </c>
      <c r="C5474" s="2" t="s">
        <v>3022</v>
      </c>
      <c r="D5474" s="1">
        <v>44020</v>
      </c>
      <c r="E5474">
        <f>MONTH(D5474)</f>
        <v>7</v>
      </c>
      <c r="F5474" s="2" t="s">
        <v>2098</v>
      </c>
      <c r="G5474" s="2" t="s">
        <v>20</v>
      </c>
      <c r="H5474" t="s">
        <v>91</v>
      </c>
      <c r="I5474" t="s">
        <v>22</v>
      </c>
      <c r="J5474" s="2" t="s">
        <v>42</v>
      </c>
      <c r="K5474" s="2" t="s">
        <v>3019</v>
      </c>
      <c r="L5474" t="s">
        <v>25</v>
      </c>
      <c r="M5474" s="8">
        <v>2.0630000000000002</v>
      </c>
      <c r="N5474" t="s">
        <v>26</v>
      </c>
      <c r="O5474" s="8">
        <v>2.0630000000000002</v>
      </c>
      <c r="P5474" s="8">
        <f>EXP(-1.363+3.366*LOG(O5474,10))</f>
        <v>0.73756902742293162</v>
      </c>
      <c r="Q5474" s="8">
        <f>(4437920*100)/4638971</f>
        <v>95.666043180696747</v>
      </c>
    </row>
    <row r="5475" spans="1:17" x14ac:dyDescent="0.2">
      <c r="A5475">
        <f>YEAR(D5475)</f>
        <v>2020</v>
      </c>
      <c r="B5475" t="s">
        <v>26</v>
      </c>
      <c r="C5475" s="2" t="s">
        <v>3022</v>
      </c>
      <c r="D5475" s="1">
        <v>44020</v>
      </c>
      <c r="E5475">
        <f>MONTH(D5475)</f>
        <v>7</v>
      </c>
      <c r="F5475" s="2" t="s">
        <v>19</v>
      </c>
      <c r="G5475" t="s">
        <v>352</v>
      </c>
      <c r="H5475" t="s">
        <v>975</v>
      </c>
      <c r="I5475" t="s">
        <v>22</v>
      </c>
      <c r="J5475" s="2" t="s">
        <v>42</v>
      </c>
      <c r="K5475" s="2" t="s">
        <v>3019</v>
      </c>
      <c r="L5475" t="s">
        <v>25</v>
      </c>
      <c r="M5475" s="8">
        <v>1.0693333330000001</v>
      </c>
      <c r="N5475" t="s">
        <v>26</v>
      </c>
      <c r="O5475" s="8">
        <v>1.0693333330000001</v>
      </c>
      <c r="P5475" s="8">
        <f>EXP(-1.363+3.366*LOG(O5475,10))</f>
        <v>0.28223780327142356</v>
      </c>
      <c r="Q5475" s="8">
        <f>(4437920*100)/4638971</f>
        <v>95.666043180696747</v>
      </c>
    </row>
    <row r="5476" spans="1:17" x14ac:dyDescent="0.2">
      <c r="A5476">
        <f>YEAR(D5476)</f>
        <v>2020</v>
      </c>
      <c r="B5476" t="s">
        <v>26</v>
      </c>
      <c r="C5476" s="2" t="s">
        <v>3023</v>
      </c>
      <c r="D5476" s="1">
        <v>44020</v>
      </c>
      <c r="E5476">
        <f>MONTH(D5476)</f>
        <v>7</v>
      </c>
      <c r="F5476" s="2" t="s">
        <v>19</v>
      </c>
      <c r="G5476" t="s">
        <v>352</v>
      </c>
      <c r="H5476" t="s">
        <v>1344</v>
      </c>
      <c r="I5476" t="s">
        <v>22</v>
      </c>
      <c r="J5476" s="2" t="s">
        <v>42</v>
      </c>
      <c r="K5476" s="2" t="s">
        <v>3019</v>
      </c>
      <c r="L5476" t="s">
        <v>25</v>
      </c>
      <c r="M5476" s="8">
        <v>0.91800000000000004</v>
      </c>
      <c r="N5476" t="s">
        <v>26</v>
      </c>
      <c r="O5476" s="8">
        <v>0.91800000000000004</v>
      </c>
      <c r="P5476" s="8">
        <f>EXP(-1.363+3.366*LOG(O5476,10))</f>
        <v>0.22580769814771504</v>
      </c>
      <c r="Q5476" s="8">
        <f>(8197453*100)/8541008</f>
        <v>95.977582505484136</v>
      </c>
    </row>
    <row r="5477" spans="1:17" x14ac:dyDescent="0.2">
      <c r="A5477">
        <f>YEAR(D5477)</f>
        <v>2020</v>
      </c>
      <c r="B5477" t="s">
        <v>26</v>
      </c>
      <c r="C5477" s="2" t="s">
        <v>3023</v>
      </c>
      <c r="D5477" s="1">
        <v>44020</v>
      </c>
      <c r="E5477">
        <f>MONTH(D5477)</f>
        <v>7</v>
      </c>
      <c r="F5477" s="2" t="s">
        <v>19</v>
      </c>
      <c r="G5477" t="s">
        <v>1472</v>
      </c>
      <c r="H5477" t="s">
        <v>1509</v>
      </c>
      <c r="I5477" t="s">
        <v>36</v>
      </c>
      <c r="J5477" s="2" t="s">
        <v>42</v>
      </c>
      <c r="K5477" s="2" t="s">
        <v>3019</v>
      </c>
      <c r="L5477" t="s">
        <v>187</v>
      </c>
      <c r="M5477" s="8">
        <v>1.6445000000000001</v>
      </c>
      <c r="N5477" t="s">
        <v>26</v>
      </c>
      <c r="O5477" s="8">
        <v>1.6445000000000001</v>
      </c>
      <c r="P5477" s="8">
        <f>EXP(-1.363+3.366*LOG(O5477,10))</f>
        <v>0.52949584168250452</v>
      </c>
      <c r="Q5477" s="8">
        <f>(8197453*100)/8541008</f>
        <v>95.977582505484136</v>
      </c>
    </row>
    <row r="5478" spans="1:17" x14ac:dyDescent="0.2">
      <c r="A5478">
        <f>YEAR(D5478)</f>
        <v>2020</v>
      </c>
      <c r="B5478" t="s">
        <v>26</v>
      </c>
      <c r="C5478" s="2" t="s">
        <v>3022</v>
      </c>
      <c r="D5478" s="1">
        <v>44020</v>
      </c>
      <c r="E5478">
        <f>MONTH(D5478)</f>
        <v>7</v>
      </c>
      <c r="F5478" s="2" t="s">
        <v>19</v>
      </c>
      <c r="G5478" t="s">
        <v>352</v>
      </c>
      <c r="H5478" t="s">
        <v>975</v>
      </c>
      <c r="I5478" t="s">
        <v>22</v>
      </c>
      <c r="J5478" s="2" t="s">
        <v>42</v>
      </c>
      <c r="K5478" s="2" t="s">
        <v>3019</v>
      </c>
      <c r="L5478" t="s">
        <v>25</v>
      </c>
      <c r="M5478" s="8">
        <v>1.0693333330000001</v>
      </c>
      <c r="N5478" t="s">
        <v>26</v>
      </c>
      <c r="O5478" s="8">
        <v>1.0693333330000001</v>
      </c>
      <c r="P5478" s="8">
        <f>EXP(-1.363+3.366*LOG(O5478,10))</f>
        <v>0.28223780327142356</v>
      </c>
      <c r="Q5478" s="8">
        <f>(4437920*100)/4638971</f>
        <v>95.666043180696747</v>
      </c>
    </row>
    <row r="5479" spans="1:17" x14ac:dyDescent="0.2">
      <c r="A5479">
        <f>YEAR(D5479)</f>
        <v>2020</v>
      </c>
      <c r="B5479" t="s">
        <v>26</v>
      </c>
      <c r="C5479" s="2" t="s">
        <v>3022</v>
      </c>
      <c r="D5479" s="1">
        <v>44020</v>
      </c>
      <c r="E5479">
        <f>MONTH(D5479)</f>
        <v>7</v>
      </c>
      <c r="F5479" s="2" t="s">
        <v>19</v>
      </c>
      <c r="G5479" t="s">
        <v>20</v>
      </c>
      <c r="H5479" t="s">
        <v>149</v>
      </c>
      <c r="I5479" t="s">
        <v>22</v>
      </c>
      <c r="J5479" s="2" t="s">
        <v>42</v>
      </c>
      <c r="K5479" s="2" t="s">
        <v>3019</v>
      </c>
      <c r="L5479" t="s">
        <v>25</v>
      </c>
      <c r="M5479" s="8">
        <v>1.45</v>
      </c>
      <c r="N5479" t="s">
        <v>26</v>
      </c>
      <c r="O5479" s="8">
        <v>1.45</v>
      </c>
      <c r="P5479" s="8">
        <f>EXP(-1.363+3.366*LOG(O5479,10))</f>
        <v>0.44050419760124854</v>
      </c>
      <c r="Q5479" s="8">
        <f>(4437920*100)/4638971</f>
        <v>95.666043180696747</v>
      </c>
    </row>
    <row r="5480" spans="1:17" x14ac:dyDescent="0.2">
      <c r="A5480">
        <f>YEAR(D5480)</f>
        <v>2020</v>
      </c>
      <c r="B5480" t="s">
        <v>26</v>
      </c>
      <c r="C5480" s="2" t="s">
        <v>3025</v>
      </c>
      <c r="D5480" s="1">
        <v>44014</v>
      </c>
      <c r="E5480">
        <f>MONTH(D5480)</f>
        <v>7</v>
      </c>
      <c r="F5480" s="2" t="s">
        <v>19</v>
      </c>
      <c r="G5480" t="s">
        <v>352</v>
      </c>
      <c r="H5480" t="s">
        <v>610</v>
      </c>
      <c r="I5480" t="s">
        <v>22</v>
      </c>
      <c r="J5480" s="2" t="s">
        <v>42</v>
      </c>
      <c r="K5480" s="2" t="s">
        <v>3019</v>
      </c>
      <c r="L5480" t="s">
        <v>25</v>
      </c>
      <c r="M5480" s="8">
        <v>0.86499999999999999</v>
      </c>
      <c r="N5480" t="s">
        <v>26</v>
      </c>
      <c r="O5480" s="8">
        <v>0.86499999999999999</v>
      </c>
      <c r="P5480" s="8">
        <f>EXP(-1.363+3.366*LOG(O5480,10))</f>
        <v>0.20700676972346591</v>
      </c>
      <c r="Q5480" s="8">
        <f>(1955155*100)/2180255</f>
        <v>89.67551960665152</v>
      </c>
    </row>
    <row r="5481" spans="1:17" x14ac:dyDescent="0.2">
      <c r="A5481">
        <f>YEAR(D5481)</f>
        <v>2020</v>
      </c>
      <c r="B5481" t="s">
        <v>26</v>
      </c>
      <c r="C5481" s="2" t="s">
        <v>3025</v>
      </c>
      <c r="D5481" s="1">
        <v>44014</v>
      </c>
      <c r="E5481">
        <f>MONTH(D5481)</f>
        <v>7</v>
      </c>
      <c r="F5481" s="2" t="s">
        <v>19</v>
      </c>
      <c r="G5481" t="s">
        <v>352</v>
      </c>
      <c r="H5481" t="s">
        <v>610</v>
      </c>
      <c r="I5481" t="s">
        <v>22</v>
      </c>
      <c r="J5481" s="2" t="s">
        <v>42</v>
      </c>
      <c r="K5481" s="2" t="s">
        <v>3019</v>
      </c>
      <c r="L5481" t="s">
        <v>25</v>
      </c>
      <c r="M5481" s="8">
        <v>0.86499999999999999</v>
      </c>
      <c r="N5481" t="s">
        <v>26</v>
      </c>
      <c r="O5481" s="8">
        <v>0.86499999999999999</v>
      </c>
      <c r="P5481" s="8">
        <f>EXP(-1.363+3.366*LOG(O5481,10))</f>
        <v>0.20700676972346591</v>
      </c>
      <c r="Q5481" s="8">
        <f>(1955155*100)/2180255</f>
        <v>89.67551960665152</v>
      </c>
    </row>
    <row r="5482" spans="1:17" x14ac:dyDescent="0.2">
      <c r="A5482">
        <f>YEAR(D5482)</f>
        <v>2020</v>
      </c>
      <c r="B5482" t="s">
        <v>26</v>
      </c>
      <c r="C5482" s="2" t="s">
        <v>3025</v>
      </c>
      <c r="D5482" s="1">
        <v>44014</v>
      </c>
      <c r="E5482">
        <f>MONTH(D5482)</f>
        <v>7</v>
      </c>
      <c r="F5482" s="2" t="s">
        <v>19</v>
      </c>
      <c r="G5482" t="s">
        <v>352</v>
      </c>
      <c r="H5482" t="s">
        <v>610</v>
      </c>
      <c r="I5482" t="s">
        <v>22</v>
      </c>
      <c r="J5482" s="2" t="s">
        <v>42</v>
      </c>
      <c r="K5482" s="2" t="s">
        <v>3019</v>
      </c>
      <c r="L5482" t="s">
        <v>25</v>
      </c>
      <c r="M5482" s="8">
        <v>0.86499999999999999</v>
      </c>
      <c r="N5482" t="s">
        <v>26</v>
      </c>
      <c r="O5482" s="8">
        <v>0.86499999999999999</v>
      </c>
      <c r="P5482" s="8">
        <f>EXP(-1.363+3.366*LOG(O5482,10))</f>
        <v>0.20700676972346591</v>
      </c>
      <c r="Q5482" s="8">
        <f>(1955155*100)/2180255</f>
        <v>89.67551960665152</v>
      </c>
    </row>
    <row r="5483" spans="1:17" x14ac:dyDescent="0.2">
      <c r="A5483">
        <f>YEAR(D5483)</f>
        <v>2020</v>
      </c>
      <c r="B5483" t="s">
        <v>26</v>
      </c>
      <c r="C5483" s="2" t="s">
        <v>3025</v>
      </c>
      <c r="D5483" s="1">
        <v>44014</v>
      </c>
      <c r="E5483">
        <f>MONTH(D5483)</f>
        <v>7</v>
      </c>
      <c r="F5483" s="2" t="s">
        <v>19</v>
      </c>
      <c r="G5483" t="s">
        <v>352</v>
      </c>
      <c r="H5483" t="s">
        <v>623</v>
      </c>
      <c r="I5483" t="s">
        <v>36</v>
      </c>
      <c r="J5483" s="2" t="s">
        <v>42</v>
      </c>
      <c r="K5483" s="2" t="s">
        <v>3019</v>
      </c>
      <c r="L5483" t="s">
        <v>25</v>
      </c>
      <c r="M5483" s="8">
        <v>1.1339999999999999</v>
      </c>
      <c r="N5483" t="s">
        <v>26</v>
      </c>
      <c r="O5483" s="8">
        <v>1.1339999999999999</v>
      </c>
      <c r="P5483" s="8">
        <f>EXP(-1.363+3.366*LOG(O5483,10))</f>
        <v>0.30753312979708036</v>
      </c>
      <c r="Q5483" s="8">
        <f>(1955155*100)/2180255</f>
        <v>89.67551960665152</v>
      </c>
    </row>
    <row r="5484" spans="1:17" x14ac:dyDescent="0.2">
      <c r="A5484">
        <f>YEAR(D5484)</f>
        <v>2020</v>
      </c>
      <c r="B5484" t="s">
        <v>26</v>
      </c>
      <c r="C5484" s="2" t="s">
        <v>3025</v>
      </c>
      <c r="D5484" s="1">
        <v>44014</v>
      </c>
      <c r="E5484">
        <f>MONTH(D5484)</f>
        <v>7</v>
      </c>
      <c r="F5484" s="2" t="s">
        <v>19</v>
      </c>
      <c r="G5484" t="s">
        <v>352</v>
      </c>
      <c r="H5484" t="s">
        <v>1142</v>
      </c>
      <c r="I5484" t="s">
        <v>22</v>
      </c>
      <c r="J5484" s="2" t="s">
        <v>42</v>
      </c>
      <c r="K5484" s="2" t="s">
        <v>3019</v>
      </c>
      <c r="L5484" t="s">
        <v>25</v>
      </c>
      <c r="M5484" s="8">
        <v>1.1423333330000001</v>
      </c>
      <c r="N5484" t="s">
        <v>26</v>
      </c>
      <c r="O5484" s="8">
        <v>1.1423333330000001</v>
      </c>
      <c r="P5484" s="8">
        <f>EXP(-1.363+3.366*LOG(O5484,10))</f>
        <v>0.31084239358261528</v>
      </c>
      <c r="Q5484" s="8">
        <f>(1955155*100)/2180255</f>
        <v>89.67551960665152</v>
      </c>
    </row>
    <row r="5485" spans="1:17" x14ac:dyDescent="0.2">
      <c r="A5485">
        <f>YEAR(D5485)</f>
        <v>2020</v>
      </c>
      <c r="B5485" t="s">
        <v>26</v>
      </c>
      <c r="C5485" s="2" t="s">
        <v>3023</v>
      </c>
      <c r="D5485" s="1">
        <v>44020</v>
      </c>
      <c r="E5485">
        <f>MONTH(D5485)</f>
        <v>7</v>
      </c>
      <c r="F5485" s="2" t="s">
        <v>19</v>
      </c>
      <c r="G5485" t="s">
        <v>352</v>
      </c>
      <c r="H5485" t="s">
        <v>1585</v>
      </c>
      <c r="I5485" t="s">
        <v>22</v>
      </c>
      <c r="J5485" s="2" t="s">
        <v>42</v>
      </c>
      <c r="K5485" s="2" t="s">
        <v>3019</v>
      </c>
      <c r="L5485" t="s">
        <v>25</v>
      </c>
      <c r="M5485" s="8">
        <v>0.77266666699999997</v>
      </c>
      <c r="N5485" t="s">
        <v>26</v>
      </c>
      <c r="O5485" s="8">
        <v>0.77266666699999997</v>
      </c>
      <c r="P5485" s="8">
        <f>EXP(-1.363+3.366*LOG(O5485,10))</f>
        <v>0.17551718302452865</v>
      </c>
      <c r="Q5485" s="8">
        <f>(8197453*100)/8541008</f>
        <v>95.977582505484136</v>
      </c>
    </row>
    <row r="5486" spans="1:17" x14ac:dyDescent="0.2">
      <c r="A5486">
        <f>YEAR(D5486)</f>
        <v>2020</v>
      </c>
      <c r="B5486" t="s">
        <v>26</v>
      </c>
      <c r="C5486" s="2" t="s">
        <v>3023</v>
      </c>
      <c r="D5486" s="1">
        <v>44020</v>
      </c>
      <c r="E5486">
        <f>MONTH(D5486)</f>
        <v>7</v>
      </c>
      <c r="F5486" s="2" t="s">
        <v>19</v>
      </c>
      <c r="G5486" t="s">
        <v>352</v>
      </c>
      <c r="H5486" t="s">
        <v>1585</v>
      </c>
      <c r="I5486" t="s">
        <v>22</v>
      </c>
      <c r="J5486" s="2" t="s">
        <v>42</v>
      </c>
      <c r="K5486" s="2" t="s">
        <v>3019</v>
      </c>
      <c r="L5486" t="s">
        <v>25</v>
      </c>
      <c r="M5486" s="8">
        <v>0.77266666699999997</v>
      </c>
      <c r="N5486" t="s">
        <v>26</v>
      </c>
      <c r="O5486" s="8">
        <v>0.77266666699999997</v>
      </c>
      <c r="P5486" s="8">
        <f>EXP(-1.363+3.366*LOG(O5486,10))</f>
        <v>0.17551718302452865</v>
      </c>
      <c r="Q5486" s="8">
        <f>(8197453*100)/8541008</f>
        <v>95.977582505484136</v>
      </c>
    </row>
    <row r="5487" spans="1:17" x14ac:dyDescent="0.2">
      <c r="A5487">
        <f>YEAR(D5487)</f>
        <v>2020</v>
      </c>
      <c r="B5487" t="s">
        <v>26</v>
      </c>
      <c r="C5487" s="2" t="s">
        <v>3023</v>
      </c>
      <c r="D5487" s="1">
        <v>44020</v>
      </c>
      <c r="E5487">
        <f>MONTH(D5487)</f>
        <v>7</v>
      </c>
      <c r="F5487" s="2" t="s">
        <v>19</v>
      </c>
      <c r="G5487" t="s">
        <v>352</v>
      </c>
      <c r="H5487" t="s">
        <v>975</v>
      </c>
      <c r="I5487" t="s">
        <v>22</v>
      </c>
      <c r="J5487" s="2" t="s">
        <v>42</v>
      </c>
      <c r="K5487" s="2" t="s">
        <v>3019</v>
      </c>
      <c r="L5487" t="s">
        <v>25</v>
      </c>
      <c r="M5487" s="8">
        <v>1.0693333330000001</v>
      </c>
      <c r="N5487" t="s">
        <v>26</v>
      </c>
      <c r="O5487" s="8">
        <v>1.0693333330000001</v>
      </c>
      <c r="P5487" s="8">
        <f>EXP(-1.363+3.366*LOG(O5487,10))</f>
        <v>0.28223780327142356</v>
      </c>
      <c r="Q5487" s="8">
        <f>(8197453*100)/8541008</f>
        <v>95.977582505484136</v>
      </c>
    </row>
    <row r="5488" spans="1:17" x14ac:dyDescent="0.2">
      <c r="A5488">
        <f>YEAR(D5488)</f>
        <v>2020</v>
      </c>
      <c r="B5488" t="s">
        <v>26</v>
      </c>
      <c r="C5488" s="2" t="s">
        <v>3023</v>
      </c>
      <c r="D5488" s="1">
        <v>44020</v>
      </c>
      <c r="E5488">
        <f>MONTH(D5488)</f>
        <v>7</v>
      </c>
      <c r="F5488" s="2" t="s">
        <v>19</v>
      </c>
      <c r="G5488" t="s">
        <v>362</v>
      </c>
      <c r="H5488" t="s">
        <v>2030</v>
      </c>
      <c r="I5488" t="s">
        <v>36</v>
      </c>
      <c r="J5488" s="2" t="s">
        <v>42</v>
      </c>
      <c r="K5488" s="2" t="s">
        <v>3019</v>
      </c>
      <c r="L5488" t="s">
        <v>25</v>
      </c>
      <c r="M5488" s="8">
        <v>1.383</v>
      </c>
      <c r="N5488" t="s">
        <v>26</v>
      </c>
      <c r="O5488" s="8">
        <v>1.383</v>
      </c>
      <c r="P5488" s="8">
        <f>EXP(-1.363+3.366*LOG(O5488,10))</f>
        <v>0.41106967974959296</v>
      </c>
      <c r="Q5488" s="8">
        <f>(8197453*100)/8541008</f>
        <v>95.977582505484136</v>
      </c>
    </row>
    <row r="5489" spans="1:17" x14ac:dyDescent="0.2">
      <c r="A5489">
        <f>YEAR(D5489)</f>
        <v>2020</v>
      </c>
      <c r="B5489" t="s">
        <v>26</v>
      </c>
      <c r="C5489" s="2" t="s">
        <v>3023</v>
      </c>
      <c r="D5489" s="1">
        <v>44020</v>
      </c>
      <c r="E5489">
        <f>MONTH(D5489)</f>
        <v>7</v>
      </c>
      <c r="F5489" s="2" t="s">
        <v>19</v>
      </c>
      <c r="G5489" t="s">
        <v>362</v>
      </c>
      <c r="H5489" t="s">
        <v>2030</v>
      </c>
      <c r="I5489" t="s">
        <v>36</v>
      </c>
      <c r="J5489" s="2" t="s">
        <v>42</v>
      </c>
      <c r="K5489" s="2" t="s">
        <v>3019</v>
      </c>
      <c r="L5489" t="s">
        <v>25</v>
      </c>
      <c r="M5489" s="8">
        <v>1.383</v>
      </c>
      <c r="N5489" t="s">
        <v>26</v>
      </c>
      <c r="O5489" s="8">
        <v>1.383</v>
      </c>
      <c r="P5489" s="8">
        <f>EXP(-1.363+3.366*LOG(O5489,10))</f>
        <v>0.41106967974959296</v>
      </c>
      <c r="Q5489" s="8">
        <f>(8197453*100)/8541008</f>
        <v>95.977582505484136</v>
      </c>
    </row>
    <row r="5490" spans="1:17" x14ac:dyDescent="0.2">
      <c r="A5490">
        <f>YEAR(D5490)</f>
        <v>2020</v>
      </c>
      <c r="B5490" t="s">
        <v>26</v>
      </c>
      <c r="C5490" s="2" t="s">
        <v>3023</v>
      </c>
      <c r="D5490" s="1">
        <v>44020</v>
      </c>
      <c r="E5490">
        <f>MONTH(D5490)</f>
        <v>7</v>
      </c>
      <c r="F5490" s="2" t="s">
        <v>19</v>
      </c>
      <c r="G5490" t="s">
        <v>209</v>
      </c>
      <c r="H5490" t="s">
        <v>212</v>
      </c>
      <c r="I5490" t="s">
        <v>36</v>
      </c>
      <c r="J5490" s="2" t="s">
        <v>42</v>
      </c>
      <c r="K5490" s="2" t="s">
        <v>3019</v>
      </c>
      <c r="L5490" t="s">
        <v>187</v>
      </c>
      <c r="M5490" s="8">
        <v>1.534</v>
      </c>
      <c r="N5490" t="s">
        <v>26</v>
      </c>
      <c r="O5490" s="8">
        <v>1.534</v>
      </c>
      <c r="P5490" s="8">
        <f>EXP(-1.363+3.366*LOG(O5490,10))</f>
        <v>0.47830252961730491</v>
      </c>
      <c r="Q5490" s="8">
        <f>(8197453*100)/8541008</f>
        <v>95.977582505484136</v>
      </c>
    </row>
    <row r="5491" spans="1:17" x14ac:dyDescent="0.2">
      <c r="A5491">
        <f>YEAR(D5491)</f>
        <v>2020</v>
      </c>
      <c r="B5491" t="s">
        <v>26</v>
      </c>
      <c r="C5491" s="2" t="s">
        <v>1552</v>
      </c>
      <c r="D5491" s="1">
        <v>44015</v>
      </c>
      <c r="E5491">
        <f>MONTH(D5491)</f>
        <v>7</v>
      </c>
      <c r="F5491" s="2" t="s">
        <v>19</v>
      </c>
      <c r="G5491" t="s">
        <v>219</v>
      </c>
      <c r="H5491" t="s">
        <v>220</v>
      </c>
      <c r="I5491" t="s">
        <v>22</v>
      </c>
      <c r="J5491" s="2" t="s">
        <v>42</v>
      </c>
      <c r="K5491" s="2" t="s">
        <v>3019</v>
      </c>
      <c r="L5491" t="s">
        <v>25</v>
      </c>
      <c r="M5491" s="10" t="s">
        <v>26</v>
      </c>
      <c r="N5491" t="s">
        <v>26</v>
      </c>
      <c r="O5491" s="10" t="s">
        <v>26</v>
      </c>
      <c r="P5491" s="8" t="s">
        <v>26</v>
      </c>
      <c r="Q5491" s="8">
        <f>(3738946*100)/3915493</f>
        <v>95.491065875995687</v>
      </c>
    </row>
    <row r="5492" spans="1:17" x14ac:dyDescent="0.2">
      <c r="A5492">
        <f>YEAR(D5492)</f>
        <v>2020</v>
      </c>
      <c r="B5492" t="s">
        <v>26</v>
      </c>
      <c r="C5492" s="2" t="s">
        <v>1552</v>
      </c>
      <c r="D5492" s="1">
        <v>44015</v>
      </c>
      <c r="E5492">
        <f>MONTH(D5492)</f>
        <v>7</v>
      </c>
      <c r="F5492" s="2" t="s">
        <v>19</v>
      </c>
      <c r="G5492" t="s">
        <v>352</v>
      </c>
      <c r="H5492" t="s">
        <v>623</v>
      </c>
      <c r="I5492" t="s">
        <v>36</v>
      </c>
      <c r="J5492" s="2" t="s">
        <v>42</v>
      </c>
      <c r="K5492" s="2" t="s">
        <v>3019</v>
      </c>
      <c r="L5492" t="s">
        <v>25</v>
      </c>
      <c r="M5492" s="8">
        <v>1.1339999999999999</v>
      </c>
      <c r="N5492" t="s">
        <v>26</v>
      </c>
      <c r="O5492" s="8">
        <v>1.1339999999999999</v>
      </c>
      <c r="P5492" s="8">
        <f>EXP(-1.363+3.366*LOG(O5492,10))</f>
        <v>0.30753312979708036</v>
      </c>
      <c r="Q5492" s="8">
        <f>(3738946*100)/3915493</f>
        <v>95.491065875995687</v>
      </c>
    </row>
    <row r="5493" spans="1:17" x14ac:dyDescent="0.2">
      <c r="A5493">
        <f>YEAR(D5493)</f>
        <v>2020</v>
      </c>
      <c r="B5493" t="s">
        <v>26</v>
      </c>
      <c r="C5493" s="2" t="s">
        <v>1552</v>
      </c>
      <c r="D5493" s="1">
        <v>44015</v>
      </c>
      <c r="E5493">
        <f>MONTH(D5493)</f>
        <v>7</v>
      </c>
      <c r="F5493" s="2" t="s">
        <v>19</v>
      </c>
      <c r="G5493" t="s">
        <v>352</v>
      </c>
      <c r="H5493" t="s">
        <v>975</v>
      </c>
      <c r="I5493" t="s">
        <v>22</v>
      </c>
      <c r="J5493" s="2" t="s">
        <v>42</v>
      </c>
      <c r="K5493" s="2" t="s">
        <v>3019</v>
      </c>
      <c r="L5493" t="s">
        <v>25</v>
      </c>
      <c r="M5493" s="8">
        <v>1.0693333330000001</v>
      </c>
      <c r="N5493" t="s">
        <v>26</v>
      </c>
      <c r="O5493" s="8">
        <v>1.0693333330000001</v>
      </c>
      <c r="P5493" s="8">
        <f>EXP(-1.363+3.366*LOG(O5493,10))</f>
        <v>0.28223780327142356</v>
      </c>
      <c r="Q5493" s="8">
        <f>(3738946*100)/3915493</f>
        <v>95.491065875995687</v>
      </c>
    </row>
    <row r="5494" spans="1:17" x14ac:dyDescent="0.2">
      <c r="A5494">
        <f>YEAR(D5494)</f>
        <v>2020</v>
      </c>
      <c r="B5494" t="s">
        <v>26</v>
      </c>
      <c r="C5494" s="2" t="s">
        <v>1552</v>
      </c>
      <c r="D5494" s="1">
        <v>44015</v>
      </c>
      <c r="E5494">
        <f>MONTH(D5494)</f>
        <v>7</v>
      </c>
      <c r="F5494" s="2" t="s">
        <v>19</v>
      </c>
      <c r="G5494" t="s">
        <v>352</v>
      </c>
      <c r="H5494" t="s">
        <v>975</v>
      </c>
      <c r="I5494" t="s">
        <v>22</v>
      </c>
      <c r="J5494" s="2" t="s">
        <v>42</v>
      </c>
      <c r="K5494" s="2" t="s">
        <v>3019</v>
      </c>
      <c r="L5494" t="s">
        <v>25</v>
      </c>
      <c r="M5494" s="8">
        <v>1.0693333330000001</v>
      </c>
      <c r="N5494" t="s">
        <v>26</v>
      </c>
      <c r="O5494" s="8">
        <v>1.0693333330000001</v>
      </c>
      <c r="P5494" s="8">
        <f>EXP(-1.363+3.366*LOG(O5494,10))</f>
        <v>0.28223780327142356</v>
      </c>
      <c r="Q5494" s="8">
        <f>(3738946*100)/3915493</f>
        <v>95.491065875995687</v>
      </c>
    </row>
    <row r="5495" spans="1:17" x14ac:dyDescent="0.2">
      <c r="A5495">
        <f>YEAR(D5495)</f>
        <v>2020</v>
      </c>
      <c r="B5495" t="s">
        <v>26</v>
      </c>
      <c r="C5495" s="2" t="s">
        <v>1552</v>
      </c>
      <c r="D5495" s="1">
        <v>44015</v>
      </c>
      <c r="E5495">
        <f>MONTH(D5495)</f>
        <v>7</v>
      </c>
      <c r="F5495" s="2" t="s">
        <v>19</v>
      </c>
      <c r="G5495" t="s">
        <v>352</v>
      </c>
      <c r="H5495" t="s">
        <v>975</v>
      </c>
      <c r="I5495" t="s">
        <v>22</v>
      </c>
      <c r="J5495" s="2" t="s">
        <v>42</v>
      </c>
      <c r="K5495" s="2" t="s">
        <v>3019</v>
      </c>
      <c r="L5495" t="s">
        <v>25</v>
      </c>
      <c r="M5495" s="8">
        <v>1.0693333330000001</v>
      </c>
      <c r="N5495" t="s">
        <v>26</v>
      </c>
      <c r="O5495" s="8">
        <v>1.0693333330000001</v>
      </c>
      <c r="P5495" s="8">
        <f>EXP(-1.363+3.366*LOG(O5495,10))</f>
        <v>0.28223780327142356</v>
      </c>
      <c r="Q5495" s="8">
        <f>(3738946*100)/3915493</f>
        <v>95.491065875995687</v>
      </c>
    </row>
    <row r="5496" spans="1:17" x14ac:dyDescent="0.2">
      <c r="A5496">
        <f>YEAR(D5496)</f>
        <v>2020</v>
      </c>
      <c r="B5496" t="s">
        <v>26</v>
      </c>
      <c r="C5496" s="2" t="s">
        <v>1552</v>
      </c>
      <c r="D5496" s="1">
        <v>44015</v>
      </c>
      <c r="E5496">
        <f>MONTH(D5496)</f>
        <v>7</v>
      </c>
      <c r="F5496" s="2" t="s">
        <v>19</v>
      </c>
      <c r="G5496" t="s">
        <v>352</v>
      </c>
      <c r="H5496" t="s">
        <v>623</v>
      </c>
      <c r="I5496" t="s">
        <v>22</v>
      </c>
      <c r="J5496" s="2" t="s">
        <v>42</v>
      </c>
      <c r="K5496" s="2" t="s">
        <v>3019</v>
      </c>
      <c r="L5496" t="s">
        <v>25</v>
      </c>
      <c r="M5496" s="8">
        <v>1.387</v>
      </c>
      <c r="N5496" t="s">
        <v>26</v>
      </c>
      <c r="O5496" s="8">
        <v>1.387</v>
      </c>
      <c r="P5496" s="8">
        <f>EXP(-1.363+3.366*LOG(O5496,10))</f>
        <v>0.41280884754947733</v>
      </c>
      <c r="Q5496" s="8">
        <f>(3738946*100)/3915493</f>
        <v>95.491065875995687</v>
      </c>
    </row>
    <row r="5497" spans="1:17" x14ac:dyDescent="0.2">
      <c r="A5497">
        <f>YEAR(D5497)</f>
        <v>2020</v>
      </c>
      <c r="B5497" t="s">
        <v>26</v>
      </c>
      <c r="C5497" s="2" t="s">
        <v>1552</v>
      </c>
      <c r="D5497" s="1">
        <v>44015</v>
      </c>
      <c r="E5497">
        <f>MONTH(D5497)</f>
        <v>7</v>
      </c>
      <c r="F5497" s="2" t="s">
        <v>19</v>
      </c>
      <c r="G5497" t="s">
        <v>362</v>
      </c>
      <c r="H5497" t="s">
        <v>447</v>
      </c>
      <c r="I5497" t="s">
        <v>22</v>
      </c>
      <c r="J5497" s="2" t="s">
        <v>42</v>
      </c>
      <c r="K5497" s="2" t="s">
        <v>3019</v>
      </c>
      <c r="L5497" t="s">
        <v>25</v>
      </c>
      <c r="M5497" s="8">
        <v>1.421</v>
      </c>
      <c r="N5497" t="s">
        <v>26</v>
      </c>
      <c r="O5497" s="8">
        <v>1.421</v>
      </c>
      <c r="P5497" s="8">
        <f>EXP(-1.363+3.366*LOG(O5497,10))</f>
        <v>0.42768500084673816</v>
      </c>
      <c r="Q5497" s="8">
        <f>(3738946*100)/3915493</f>
        <v>95.491065875995687</v>
      </c>
    </row>
    <row r="5498" spans="1:17" x14ac:dyDescent="0.2">
      <c r="A5498">
        <f>YEAR(D5498)</f>
        <v>2020</v>
      </c>
      <c r="B5498" t="s">
        <v>26</v>
      </c>
      <c r="C5498" s="2" t="s">
        <v>1552</v>
      </c>
      <c r="D5498" s="1">
        <v>44015</v>
      </c>
      <c r="E5498">
        <f>MONTH(D5498)</f>
        <v>7</v>
      </c>
      <c r="F5498" s="2" t="s">
        <v>19</v>
      </c>
      <c r="G5498" t="s">
        <v>20</v>
      </c>
      <c r="H5498" t="s">
        <v>149</v>
      </c>
      <c r="I5498" t="s">
        <v>22</v>
      </c>
      <c r="J5498" s="2" t="s">
        <v>42</v>
      </c>
      <c r="K5498" s="2" t="s">
        <v>3019</v>
      </c>
      <c r="L5498" t="s">
        <v>25</v>
      </c>
      <c r="M5498" s="8">
        <v>1.45</v>
      </c>
      <c r="N5498" t="s">
        <v>26</v>
      </c>
      <c r="O5498" s="8">
        <v>1.45</v>
      </c>
      <c r="P5498" s="8">
        <f>EXP(-1.363+3.366*LOG(O5498,10))</f>
        <v>0.44050419760124854</v>
      </c>
      <c r="Q5498" s="8">
        <f>(3738946*100)/3915493</f>
        <v>95.491065875995687</v>
      </c>
    </row>
    <row r="5499" spans="1:17" x14ac:dyDescent="0.2">
      <c r="A5499">
        <f>YEAR(D5499)</f>
        <v>2020</v>
      </c>
      <c r="B5499" t="s">
        <v>26</v>
      </c>
      <c r="C5499" s="2" t="s">
        <v>3018</v>
      </c>
      <c r="D5499" s="1">
        <v>44022</v>
      </c>
      <c r="E5499">
        <f>MONTH(D5499)</f>
        <v>7</v>
      </c>
      <c r="F5499" s="2" t="s">
        <v>2098</v>
      </c>
      <c r="G5499" t="s">
        <v>230</v>
      </c>
      <c r="H5499" t="s">
        <v>259</v>
      </c>
      <c r="I5499" t="s">
        <v>36</v>
      </c>
      <c r="J5499" s="2" t="s">
        <v>42</v>
      </c>
      <c r="K5499" s="2" t="s">
        <v>3019</v>
      </c>
      <c r="L5499" t="s">
        <v>25</v>
      </c>
      <c r="M5499" s="8">
        <v>4.745333333333333</v>
      </c>
      <c r="N5499" t="s">
        <v>26</v>
      </c>
      <c r="O5499" s="8">
        <v>4.745333333333333</v>
      </c>
      <c r="P5499" s="8">
        <f>EXP(-1.363+3.366*LOG(O5499,10))</f>
        <v>2.4925687246325761</v>
      </c>
      <c r="Q5499" s="8">
        <f>(5996898*100)/6073515</f>
        <v>98.738506449724753</v>
      </c>
    </row>
    <row r="5500" spans="1:17" x14ac:dyDescent="0.2">
      <c r="A5500">
        <f>YEAR(D5500)</f>
        <v>2020</v>
      </c>
      <c r="B5500" t="s">
        <v>26</v>
      </c>
      <c r="C5500" s="2" t="s">
        <v>3018</v>
      </c>
      <c r="D5500" s="1">
        <v>44022</v>
      </c>
      <c r="E5500">
        <f>MONTH(D5500)</f>
        <v>7</v>
      </c>
      <c r="F5500" s="2" t="s">
        <v>2098</v>
      </c>
      <c r="G5500" t="s">
        <v>230</v>
      </c>
      <c r="H5500" t="s">
        <v>268</v>
      </c>
      <c r="I5500" t="s">
        <v>22</v>
      </c>
      <c r="J5500" s="2" t="s">
        <v>42</v>
      </c>
      <c r="K5500" s="2" t="s">
        <v>3019</v>
      </c>
      <c r="L5500" t="s">
        <v>25</v>
      </c>
      <c r="M5500" s="8">
        <v>3.5356666670000001</v>
      </c>
      <c r="N5500" t="s">
        <v>26</v>
      </c>
      <c r="O5500" s="8">
        <v>3.5356666670000001</v>
      </c>
      <c r="P5500" s="8">
        <f>EXP(-1.363+3.366*LOG(O5500,10))</f>
        <v>1.6211802664427075</v>
      </c>
      <c r="Q5500" s="8">
        <f>(5996898*100)/6073515</f>
        <v>98.738506449724753</v>
      </c>
    </row>
    <row r="5501" spans="1:17" x14ac:dyDescent="0.2">
      <c r="A5501">
        <f>YEAR(D5501)</f>
        <v>2020</v>
      </c>
      <c r="B5501" t="s">
        <v>26</v>
      </c>
      <c r="C5501" s="2" t="s">
        <v>3018</v>
      </c>
      <c r="D5501" s="1">
        <v>44022</v>
      </c>
      <c r="E5501">
        <f>MONTH(D5501)</f>
        <v>7</v>
      </c>
      <c r="F5501" s="2" t="s">
        <v>2098</v>
      </c>
      <c r="G5501" t="s">
        <v>230</v>
      </c>
      <c r="H5501" t="s">
        <v>268</v>
      </c>
      <c r="I5501" t="s">
        <v>22</v>
      </c>
      <c r="J5501" s="2" t="s">
        <v>42</v>
      </c>
      <c r="K5501" s="2" t="s">
        <v>3019</v>
      </c>
      <c r="L5501" t="s">
        <v>25</v>
      </c>
      <c r="M5501" s="8">
        <v>3.5356666670000001</v>
      </c>
      <c r="N5501" t="s">
        <v>26</v>
      </c>
      <c r="O5501" s="8">
        <v>3.5356666670000001</v>
      </c>
      <c r="P5501" s="8">
        <f>EXP(-1.363+3.366*LOG(O5501,10))</f>
        <v>1.6211802664427075</v>
      </c>
      <c r="Q5501" s="8">
        <f>(5996898*100)/6073515</f>
        <v>98.738506449724753</v>
      </c>
    </row>
    <row r="5502" spans="1:17" x14ac:dyDescent="0.2">
      <c r="A5502">
        <f>YEAR(D5502)</f>
        <v>2020</v>
      </c>
      <c r="B5502" t="s">
        <v>26</v>
      </c>
      <c r="C5502" s="2" t="s">
        <v>3018</v>
      </c>
      <c r="D5502" s="1">
        <v>44022</v>
      </c>
      <c r="E5502">
        <f>MONTH(D5502)</f>
        <v>7</v>
      </c>
      <c r="F5502" s="2" t="s">
        <v>2098</v>
      </c>
      <c r="G5502" t="s">
        <v>230</v>
      </c>
      <c r="H5502" t="s">
        <v>268</v>
      </c>
      <c r="I5502" t="s">
        <v>22</v>
      </c>
      <c r="J5502" s="2" t="s">
        <v>42</v>
      </c>
      <c r="K5502" s="2" t="s">
        <v>3019</v>
      </c>
      <c r="L5502" t="s">
        <v>25</v>
      </c>
      <c r="M5502" s="8">
        <v>3.5356666670000001</v>
      </c>
      <c r="N5502" t="s">
        <v>26</v>
      </c>
      <c r="O5502" s="8">
        <v>3.5356666670000001</v>
      </c>
      <c r="P5502" s="8">
        <f>EXP(-1.363+3.366*LOG(O5502,10))</f>
        <v>1.6211802664427075</v>
      </c>
      <c r="Q5502" s="8">
        <f>(5996898*100)/6073515</f>
        <v>98.738506449724753</v>
      </c>
    </row>
    <row r="5503" spans="1:17" x14ac:dyDescent="0.2">
      <c r="A5503">
        <f>YEAR(D5503)</f>
        <v>2020</v>
      </c>
      <c r="B5503" t="s">
        <v>26</v>
      </c>
      <c r="C5503" s="2" t="s">
        <v>3018</v>
      </c>
      <c r="D5503" s="1">
        <v>44022</v>
      </c>
      <c r="E5503">
        <f>MONTH(D5503)</f>
        <v>7</v>
      </c>
      <c r="F5503" s="2" t="s">
        <v>2098</v>
      </c>
      <c r="G5503" t="s">
        <v>230</v>
      </c>
      <c r="H5503" t="s">
        <v>268</v>
      </c>
      <c r="I5503" t="s">
        <v>22</v>
      </c>
      <c r="J5503" s="2" t="s">
        <v>42</v>
      </c>
      <c r="K5503" s="2" t="s">
        <v>3019</v>
      </c>
      <c r="L5503" t="s">
        <v>25</v>
      </c>
      <c r="M5503" s="8">
        <v>3.5356666670000001</v>
      </c>
      <c r="N5503" t="s">
        <v>26</v>
      </c>
      <c r="O5503" s="8">
        <v>3.5356666670000001</v>
      </c>
      <c r="P5503" s="8">
        <f>EXP(-1.363+3.366*LOG(O5503,10))</f>
        <v>1.6211802664427075</v>
      </c>
      <c r="Q5503" s="8">
        <f>(5996898*100)/6073515</f>
        <v>98.738506449724753</v>
      </c>
    </row>
    <row r="5504" spans="1:17" x14ac:dyDescent="0.2">
      <c r="A5504">
        <f>YEAR(D5504)</f>
        <v>2020</v>
      </c>
      <c r="B5504" t="s">
        <v>26</v>
      </c>
      <c r="C5504" s="2" t="s">
        <v>3018</v>
      </c>
      <c r="D5504" s="1">
        <v>44022</v>
      </c>
      <c r="E5504">
        <f>MONTH(D5504)</f>
        <v>7</v>
      </c>
      <c r="F5504" s="2" t="s">
        <v>2098</v>
      </c>
      <c r="G5504" t="s">
        <v>230</v>
      </c>
      <c r="H5504" t="s">
        <v>268</v>
      </c>
      <c r="I5504" t="s">
        <v>22</v>
      </c>
      <c r="J5504" s="2" t="s">
        <v>42</v>
      </c>
      <c r="K5504" s="2" t="s">
        <v>3019</v>
      </c>
      <c r="L5504" t="s">
        <v>25</v>
      </c>
      <c r="M5504" s="8">
        <v>3.5356666670000001</v>
      </c>
      <c r="N5504" t="s">
        <v>26</v>
      </c>
      <c r="O5504" s="8">
        <v>3.5356666670000001</v>
      </c>
      <c r="P5504" s="8">
        <f>EXP(-1.363+3.366*LOG(O5504,10))</f>
        <v>1.6211802664427075</v>
      </c>
      <c r="Q5504" s="8">
        <f>(5996898*100)/6073515</f>
        <v>98.738506449724753</v>
      </c>
    </row>
    <row r="5505" spans="1:17" x14ac:dyDescent="0.2">
      <c r="A5505">
        <f>YEAR(D5505)</f>
        <v>2020</v>
      </c>
      <c r="B5505" t="s">
        <v>26</v>
      </c>
      <c r="C5505" s="2" t="s">
        <v>3018</v>
      </c>
      <c r="D5505" s="1">
        <v>44022</v>
      </c>
      <c r="E5505">
        <f>MONTH(D5505)</f>
        <v>7</v>
      </c>
      <c r="F5505" s="2" t="s">
        <v>2098</v>
      </c>
      <c r="G5505" t="s">
        <v>219</v>
      </c>
      <c r="H5505" t="s">
        <v>220</v>
      </c>
      <c r="I5505" t="s">
        <v>22</v>
      </c>
      <c r="J5505" s="2" t="s">
        <v>42</v>
      </c>
      <c r="K5505" s="2" t="s">
        <v>3019</v>
      </c>
      <c r="L5505" t="s">
        <v>25</v>
      </c>
      <c r="M5505" s="10" t="s">
        <v>26</v>
      </c>
      <c r="N5505" t="s">
        <v>26</v>
      </c>
      <c r="O5505" s="10" t="s">
        <v>26</v>
      </c>
      <c r="P5505" s="8" t="s">
        <v>26</v>
      </c>
      <c r="Q5505" s="8">
        <f>(5996898*100)/6073515</f>
        <v>98.738506449724753</v>
      </c>
    </row>
    <row r="5506" spans="1:17" x14ac:dyDescent="0.2">
      <c r="A5506">
        <f>YEAR(D5506)</f>
        <v>2020</v>
      </c>
      <c r="B5506" t="s">
        <v>26</v>
      </c>
      <c r="C5506" s="2" t="s">
        <v>3018</v>
      </c>
      <c r="D5506" s="1">
        <v>44022</v>
      </c>
      <c r="E5506">
        <f>MONTH(D5506)</f>
        <v>7</v>
      </c>
      <c r="F5506" s="2" t="s">
        <v>2098</v>
      </c>
      <c r="G5506" t="s">
        <v>219</v>
      </c>
      <c r="H5506" t="s">
        <v>220</v>
      </c>
      <c r="I5506" t="s">
        <v>22</v>
      </c>
      <c r="J5506" s="2" t="s">
        <v>42</v>
      </c>
      <c r="K5506" s="2" t="s">
        <v>3019</v>
      </c>
      <c r="L5506" t="s">
        <v>25</v>
      </c>
      <c r="M5506" s="10" t="s">
        <v>26</v>
      </c>
      <c r="N5506" t="s">
        <v>26</v>
      </c>
      <c r="O5506" s="10" t="s">
        <v>26</v>
      </c>
      <c r="P5506" s="8" t="s">
        <v>26</v>
      </c>
      <c r="Q5506" s="8">
        <f>(5996898*100)/6073515</f>
        <v>98.738506449724753</v>
      </c>
    </row>
    <row r="5507" spans="1:17" x14ac:dyDescent="0.2">
      <c r="A5507">
        <f>YEAR(D5507)</f>
        <v>2020</v>
      </c>
      <c r="B5507" t="s">
        <v>26</v>
      </c>
      <c r="C5507" s="2" t="s">
        <v>3018</v>
      </c>
      <c r="D5507" s="1">
        <v>44022</v>
      </c>
      <c r="E5507">
        <f>MONTH(D5507)</f>
        <v>7</v>
      </c>
      <c r="F5507" s="2" t="s">
        <v>2098</v>
      </c>
      <c r="G5507" t="s">
        <v>230</v>
      </c>
      <c r="H5507" t="s">
        <v>268</v>
      </c>
      <c r="I5507" t="s">
        <v>22</v>
      </c>
      <c r="J5507" s="2" t="s">
        <v>42</v>
      </c>
      <c r="K5507" s="2" t="s">
        <v>3019</v>
      </c>
      <c r="L5507" t="s">
        <v>25</v>
      </c>
      <c r="M5507" s="8">
        <v>3.5356666670000001</v>
      </c>
      <c r="N5507" t="s">
        <v>26</v>
      </c>
      <c r="O5507" s="8">
        <v>3.5356666670000001</v>
      </c>
      <c r="P5507" s="8">
        <f>EXP(-1.363+3.366*LOG(O5507,10))</f>
        <v>1.6211802664427075</v>
      </c>
      <c r="Q5507" s="8">
        <f>(5996898*100)/6073515</f>
        <v>98.738506449724753</v>
      </c>
    </row>
    <row r="5508" spans="1:17" x14ac:dyDescent="0.2">
      <c r="A5508">
        <f>YEAR(D5508)</f>
        <v>2020</v>
      </c>
      <c r="B5508" t="s">
        <v>26</v>
      </c>
      <c r="C5508" s="2" t="s">
        <v>3018</v>
      </c>
      <c r="D5508" s="1">
        <v>44022</v>
      </c>
      <c r="E5508">
        <f>MONTH(D5508)</f>
        <v>7</v>
      </c>
      <c r="F5508" s="2" t="s">
        <v>2098</v>
      </c>
      <c r="G5508" t="s">
        <v>230</v>
      </c>
      <c r="H5508" t="s">
        <v>268</v>
      </c>
      <c r="I5508" t="s">
        <v>22</v>
      </c>
      <c r="J5508" s="2" t="s">
        <v>42</v>
      </c>
      <c r="K5508" s="2" t="s">
        <v>3019</v>
      </c>
      <c r="L5508" t="s">
        <v>25</v>
      </c>
      <c r="M5508" s="8">
        <v>3.5356666670000001</v>
      </c>
      <c r="N5508" t="s">
        <v>26</v>
      </c>
      <c r="O5508" s="8">
        <v>3.5356666670000001</v>
      </c>
      <c r="P5508" s="8">
        <f>EXP(-1.363+3.366*LOG(O5508,10))</f>
        <v>1.6211802664427075</v>
      </c>
      <c r="Q5508" s="8">
        <f>(5996898*100)/6073515</f>
        <v>98.738506449724753</v>
      </c>
    </row>
    <row r="5509" spans="1:17" x14ac:dyDescent="0.2">
      <c r="A5509">
        <f>YEAR(D5509)</f>
        <v>2020</v>
      </c>
      <c r="B5509" t="s">
        <v>26</v>
      </c>
      <c r="C5509" s="2" t="s">
        <v>3018</v>
      </c>
      <c r="D5509" s="1">
        <v>44022</v>
      </c>
      <c r="E5509">
        <f>MONTH(D5509)</f>
        <v>7</v>
      </c>
      <c r="F5509" s="2" t="s">
        <v>2098</v>
      </c>
      <c r="G5509" t="s">
        <v>230</v>
      </c>
      <c r="H5509" t="s">
        <v>268</v>
      </c>
      <c r="I5509" t="s">
        <v>22</v>
      </c>
      <c r="J5509" s="2" t="s">
        <v>42</v>
      </c>
      <c r="K5509" s="2" t="s">
        <v>3019</v>
      </c>
      <c r="L5509" t="s">
        <v>25</v>
      </c>
      <c r="M5509" s="8">
        <v>3.5356666670000001</v>
      </c>
      <c r="N5509" t="s">
        <v>26</v>
      </c>
      <c r="O5509" s="8">
        <v>3.5356666670000001</v>
      </c>
      <c r="P5509" s="8">
        <f>EXP(-1.363+3.366*LOG(O5509,10))</f>
        <v>1.6211802664427075</v>
      </c>
      <c r="Q5509" s="8">
        <f>(5996898*100)/6073515</f>
        <v>98.738506449724753</v>
      </c>
    </row>
    <row r="5510" spans="1:17" x14ac:dyDescent="0.2">
      <c r="A5510">
        <f>YEAR(D5510)</f>
        <v>2020</v>
      </c>
      <c r="B5510" t="s">
        <v>26</v>
      </c>
      <c r="C5510" s="2" t="s">
        <v>3018</v>
      </c>
      <c r="D5510" s="1">
        <v>44022</v>
      </c>
      <c r="E5510">
        <f>MONTH(D5510)</f>
        <v>7</v>
      </c>
      <c r="F5510" s="2" t="s">
        <v>2098</v>
      </c>
      <c r="G5510" t="s">
        <v>230</v>
      </c>
      <c r="H5510" t="s">
        <v>268</v>
      </c>
      <c r="I5510" t="s">
        <v>22</v>
      </c>
      <c r="J5510" s="2" t="s">
        <v>42</v>
      </c>
      <c r="K5510" s="2" t="s">
        <v>3019</v>
      </c>
      <c r="L5510" t="s">
        <v>25</v>
      </c>
      <c r="M5510" s="8">
        <v>3.5356666670000001</v>
      </c>
      <c r="N5510" t="s">
        <v>26</v>
      </c>
      <c r="O5510" s="8">
        <v>3.5356666670000001</v>
      </c>
      <c r="P5510" s="8">
        <f>EXP(-1.363+3.366*LOG(O5510,10))</f>
        <v>1.6211802664427075</v>
      </c>
      <c r="Q5510" s="8">
        <f>(5996898*100)/6073515</f>
        <v>98.738506449724753</v>
      </c>
    </row>
    <row r="5511" spans="1:17" x14ac:dyDescent="0.2">
      <c r="A5511">
        <f>YEAR(D5511)</f>
        <v>2020</v>
      </c>
      <c r="B5511" t="s">
        <v>26</v>
      </c>
      <c r="C5511" s="2" t="s">
        <v>3018</v>
      </c>
      <c r="D5511" s="1">
        <v>44022</v>
      </c>
      <c r="E5511">
        <f>MONTH(D5511)</f>
        <v>7</v>
      </c>
      <c r="F5511" s="2" t="s">
        <v>2098</v>
      </c>
      <c r="G5511" t="s">
        <v>230</v>
      </c>
      <c r="H5511" t="s">
        <v>268</v>
      </c>
      <c r="I5511" t="s">
        <v>22</v>
      </c>
      <c r="J5511" s="2" t="s">
        <v>42</v>
      </c>
      <c r="K5511" s="2" t="s">
        <v>3019</v>
      </c>
      <c r="L5511" t="s">
        <v>25</v>
      </c>
      <c r="M5511" s="8">
        <v>3.5356666670000001</v>
      </c>
      <c r="N5511" t="s">
        <v>26</v>
      </c>
      <c r="O5511" s="8">
        <v>3.5356666670000001</v>
      </c>
      <c r="P5511" s="8">
        <f>EXP(-1.363+3.366*LOG(O5511,10))</f>
        <v>1.6211802664427075</v>
      </c>
      <c r="Q5511" s="8">
        <f>(5996898*100)/6073515</f>
        <v>98.738506449724753</v>
      </c>
    </row>
    <row r="5512" spans="1:17" x14ac:dyDescent="0.2">
      <c r="A5512">
        <f>YEAR(D5512)</f>
        <v>2020</v>
      </c>
      <c r="B5512" t="s">
        <v>26</v>
      </c>
      <c r="C5512" s="2" t="s">
        <v>3018</v>
      </c>
      <c r="D5512" s="1">
        <v>44022</v>
      </c>
      <c r="E5512">
        <f>MONTH(D5512)</f>
        <v>7</v>
      </c>
      <c r="F5512" s="2" t="s">
        <v>2098</v>
      </c>
      <c r="G5512" t="s">
        <v>230</v>
      </c>
      <c r="H5512" t="s">
        <v>268</v>
      </c>
      <c r="I5512" t="s">
        <v>22</v>
      </c>
      <c r="J5512" s="2" t="s">
        <v>42</v>
      </c>
      <c r="K5512" s="2" t="s">
        <v>3019</v>
      </c>
      <c r="L5512" t="s">
        <v>25</v>
      </c>
      <c r="M5512" s="8">
        <v>3.5356666670000001</v>
      </c>
      <c r="N5512" t="s">
        <v>26</v>
      </c>
      <c r="O5512" s="8">
        <v>3.5356666670000001</v>
      </c>
      <c r="P5512" s="8">
        <f>EXP(-1.363+3.366*LOG(O5512,10))</f>
        <v>1.6211802664427075</v>
      </c>
      <c r="Q5512" s="8">
        <f>(5996898*100)/6073515</f>
        <v>98.738506449724753</v>
      </c>
    </row>
    <row r="5513" spans="1:17" x14ac:dyDescent="0.2">
      <c r="A5513">
        <f>YEAR(D5513)</f>
        <v>2020</v>
      </c>
      <c r="B5513" t="s">
        <v>26</v>
      </c>
      <c r="C5513" s="2" t="s">
        <v>3018</v>
      </c>
      <c r="D5513" s="1">
        <v>44022</v>
      </c>
      <c r="E5513">
        <f>MONTH(D5513)</f>
        <v>7</v>
      </c>
      <c r="F5513" s="2" t="s">
        <v>2098</v>
      </c>
      <c r="G5513" t="s">
        <v>230</v>
      </c>
      <c r="H5513" t="s">
        <v>268</v>
      </c>
      <c r="I5513" t="s">
        <v>22</v>
      </c>
      <c r="J5513" s="2" t="s">
        <v>42</v>
      </c>
      <c r="K5513" s="2" t="s">
        <v>3019</v>
      </c>
      <c r="L5513" t="s">
        <v>25</v>
      </c>
      <c r="M5513" s="8">
        <v>3.5356666670000001</v>
      </c>
      <c r="N5513" t="s">
        <v>26</v>
      </c>
      <c r="O5513" s="8">
        <v>3.5356666670000001</v>
      </c>
      <c r="P5513" s="8">
        <f>EXP(-1.363+3.366*LOG(O5513,10))</f>
        <v>1.6211802664427075</v>
      </c>
      <c r="Q5513" s="8">
        <f>(5996898*100)/6073515</f>
        <v>98.738506449724753</v>
      </c>
    </row>
    <row r="5514" spans="1:17" x14ac:dyDescent="0.2">
      <c r="A5514">
        <f>YEAR(D5514)</f>
        <v>2020</v>
      </c>
      <c r="B5514" t="s">
        <v>26</v>
      </c>
      <c r="C5514" s="2" t="s">
        <v>3018</v>
      </c>
      <c r="D5514" s="1">
        <v>44022</v>
      </c>
      <c r="E5514">
        <f>MONTH(D5514)</f>
        <v>7</v>
      </c>
      <c r="F5514" s="2" t="s">
        <v>2098</v>
      </c>
      <c r="G5514" t="s">
        <v>230</v>
      </c>
      <c r="H5514" t="s">
        <v>268</v>
      </c>
      <c r="I5514" t="s">
        <v>22</v>
      </c>
      <c r="J5514" s="2" t="s">
        <v>42</v>
      </c>
      <c r="K5514" s="2" t="s">
        <v>3019</v>
      </c>
      <c r="L5514" t="s">
        <v>25</v>
      </c>
      <c r="M5514" s="8">
        <v>3.5356666670000001</v>
      </c>
      <c r="N5514" t="s">
        <v>26</v>
      </c>
      <c r="O5514" s="8">
        <v>3.5356666670000001</v>
      </c>
      <c r="P5514" s="8">
        <f>EXP(-1.363+3.366*LOG(O5514,10))</f>
        <v>1.6211802664427075</v>
      </c>
      <c r="Q5514" s="8">
        <f>(5996898*100)/6073515</f>
        <v>98.738506449724753</v>
      </c>
    </row>
    <row r="5515" spans="1:17" x14ac:dyDescent="0.2">
      <c r="A5515">
        <f>YEAR(D5515)</f>
        <v>2020</v>
      </c>
      <c r="B5515" t="s">
        <v>26</v>
      </c>
      <c r="C5515" s="2" t="s">
        <v>3018</v>
      </c>
      <c r="D5515" s="1">
        <v>44022</v>
      </c>
      <c r="E5515">
        <f>MONTH(D5515)</f>
        <v>7</v>
      </c>
      <c r="F5515" s="2" t="s">
        <v>2098</v>
      </c>
      <c r="G5515" t="s">
        <v>230</v>
      </c>
      <c r="H5515" t="s">
        <v>268</v>
      </c>
      <c r="I5515" t="s">
        <v>22</v>
      </c>
      <c r="J5515" s="2" t="s">
        <v>42</v>
      </c>
      <c r="K5515" s="2" t="s">
        <v>3019</v>
      </c>
      <c r="L5515" t="s">
        <v>25</v>
      </c>
      <c r="M5515" s="8">
        <v>3.5356666670000001</v>
      </c>
      <c r="N5515" t="s">
        <v>26</v>
      </c>
      <c r="O5515" s="8">
        <v>3.5356666670000001</v>
      </c>
      <c r="P5515" s="8">
        <f>EXP(-1.363+3.366*LOG(O5515,10))</f>
        <v>1.6211802664427075</v>
      </c>
      <c r="Q5515" s="8">
        <f>(5996898*100)/6073515</f>
        <v>98.738506449724753</v>
      </c>
    </row>
    <row r="5516" spans="1:17" x14ac:dyDescent="0.2">
      <c r="A5516">
        <f>YEAR(D5516)</f>
        <v>2020</v>
      </c>
      <c r="B5516" t="s">
        <v>26</v>
      </c>
      <c r="C5516" s="2" t="s">
        <v>3018</v>
      </c>
      <c r="D5516" s="1">
        <v>44022</v>
      </c>
      <c r="E5516">
        <f>MONTH(D5516)</f>
        <v>7</v>
      </c>
      <c r="F5516" s="2" t="s">
        <v>2098</v>
      </c>
      <c r="G5516" t="s">
        <v>230</v>
      </c>
      <c r="H5516" t="s">
        <v>268</v>
      </c>
      <c r="I5516" t="s">
        <v>22</v>
      </c>
      <c r="J5516" s="2" t="s">
        <v>42</v>
      </c>
      <c r="K5516" s="2" t="s">
        <v>3019</v>
      </c>
      <c r="L5516" t="s">
        <v>25</v>
      </c>
      <c r="M5516" s="8">
        <v>3.5356666670000001</v>
      </c>
      <c r="N5516" t="s">
        <v>26</v>
      </c>
      <c r="O5516" s="8">
        <v>3.5356666670000001</v>
      </c>
      <c r="P5516" s="8">
        <f>EXP(-1.363+3.366*LOG(O5516,10))</f>
        <v>1.6211802664427075</v>
      </c>
      <c r="Q5516" s="8">
        <f>(5996898*100)/6073515</f>
        <v>98.738506449724753</v>
      </c>
    </row>
    <row r="5517" spans="1:17" x14ac:dyDescent="0.2">
      <c r="A5517">
        <f>YEAR(D5517)</f>
        <v>2020</v>
      </c>
      <c r="B5517" t="s">
        <v>26</v>
      </c>
      <c r="C5517" s="2" t="s">
        <v>3018</v>
      </c>
      <c r="D5517" s="1">
        <v>44022</v>
      </c>
      <c r="E5517">
        <f>MONTH(D5517)</f>
        <v>7</v>
      </c>
      <c r="F5517" s="2" t="s">
        <v>2098</v>
      </c>
      <c r="G5517" t="s">
        <v>230</v>
      </c>
      <c r="H5517" t="s">
        <v>268</v>
      </c>
      <c r="I5517" t="s">
        <v>22</v>
      </c>
      <c r="J5517" s="2" t="s">
        <v>42</v>
      </c>
      <c r="K5517" s="2" t="s">
        <v>3019</v>
      </c>
      <c r="L5517" t="s">
        <v>25</v>
      </c>
      <c r="M5517" s="8">
        <v>3.5356666670000001</v>
      </c>
      <c r="N5517" t="s">
        <v>26</v>
      </c>
      <c r="O5517" s="8">
        <v>3.5356666670000001</v>
      </c>
      <c r="P5517" s="8">
        <f>EXP(-1.363+3.366*LOG(O5517,10))</f>
        <v>1.6211802664427075</v>
      </c>
      <c r="Q5517" s="8">
        <f>(5996898*100)/6073515</f>
        <v>98.738506449724753</v>
      </c>
    </row>
    <row r="5518" spans="1:17" x14ac:dyDescent="0.2">
      <c r="A5518">
        <f>YEAR(D5518)</f>
        <v>2020</v>
      </c>
      <c r="B5518" t="s">
        <v>26</v>
      </c>
      <c r="C5518" s="2" t="s">
        <v>3018</v>
      </c>
      <c r="D5518" s="1">
        <v>44022</v>
      </c>
      <c r="E5518">
        <f>MONTH(D5518)</f>
        <v>7</v>
      </c>
      <c r="F5518" s="2" t="s">
        <v>2098</v>
      </c>
      <c r="G5518" t="s">
        <v>230</v>
      </c>
      <c r="H5518" t="s">
        <v>268</v>
      </c>
      <c r="I5518" t="s">
        <v>36</v>
      </c>
      <c r="J5518" s="2" t="s">
        <v>42</v>
      </c>
      <c r="K5518" s="2" t="s">
        <v>3019</v>
      </c>
      <c r="L5518" t="s">
        <v>25</v>
      </c>
      <c r="M5518" s="8">
        <v>3.3683333329999998</v>
      </c>
      <c r="N5518" t="s">
        <v>26</v>
      </c>
      <c r="O5518" s="8">
        <v>3.3683333329999998</v>
      </c>
      <c r="P5518" s="8">
        <f>EXP(-1.363+3.366*LOG(O5518,10))</f>
        <v>1.510255893489963</v>
      </c>
      <c r="Q5518" s="8">
        <f>(5996898*100)/6073515</f>
        <v>98.738506449724753</v>
      </c>
    </row>
    <row r="5519" spans="1:17" x14ac:dyDescent="0.2">
      <c r="A5519">
        <f>YEAR(D5519)</f>
        <v>2020</v>
      </c>
      <c r="B5519" t="s">
        <v>26</v>
      </c>
      <c r="C5519" s="2" t="s">
        <v>3018</v>
      </c>
      <c r="D5519" s="1">
        <v>44022</v>
      </c>
      <c r="E5519">
        <f>MONTH(D5519)</f>
        <v>7</v>
      </c>
      <c r="F5519" s="2" t="s">
        <v>2098</v>
      </c>
      <c r="G5519" t="s">
        <v>230</v>
      </c>
      <c r="H5519" t="s">
        <v>268</v>
      </c>
      <c r="I5519" t="s">
        <v>36</v>
      </c>
      <c r="J5519" s="2" t="s">
        <v>42</v>
      </c>
      <c r="K5519" s="2" t="s">
        <v>3019</v>
      </c>
      <c r="L5519" t="s">
        <v>25</v>
      </c>
      <c r="M5519" s="8">
        <v>3.3683333329999998</v>
      </c>
      <c r="N5519" t="s">
        <v>26</v>
      </c>
      <c r="O5519" s="8">
        <v>3.3683333329999998</v>
      </c>
      <c r="P5519" s="8">
        <f>EXP(-1.363+3.366*LOG(O5519,10))</f>
        <v>1.510255893489963</v>
      </c>
      <c r="Q5519" s="8">
        <f>(5996898*100)/6073515</f>
        <v>98.738506449724753</v>
      </c>
    </row>
    <row r="5520" spans="1:17" x14ac:dyDescent="0.2">
      <c r="A5520">
        <f>YEAR(D5520)</f>
        <v>2020</v>
      </c>
      <c r="B5520" t="s">
        <v>26</v>
      </c>
      <c r="C5520" s="2" t="s">
        <v>3018</v>
      </c>
      <c r="D5520" s="1">
        <v>44022</v>
      </c>
      <c r="E5520">
        <f>MONTH(D5520)</f>
        <v>7</v>
      </c>
      <c r="F5520" s="2" t="s">
        <v>2098</v>
      </c>
      <c r="G5520" t="s">
        <v>230</v>
      </c>
      <c r="H5520" t="s">
        <v>235</v>
      </c>
      <c r="I5520" t="s">
        <v>36</v>
      </c>
      <c r="J5520" s="2" t="s">
        <v>42</v>
      </c>
      <c r="K5520" s="2" t="s">
        <v>3019</v>
      </c>
      <c r="L5520" t="s">
        <v>25</v>
      </c>
      <c r="M5520" s="8">
        <v>3.6166666666666667</v>
      </c>
      <c r="N5520" t="s">
        <v>26</v>
      </c>
      <c r="O5520" s="8">
        <v>3.6166666666666667</v>
      </c>
      <c r="P5520" s="8">
        <f>EXP(-1.363+3.366*LOG(O5520,10))</f>
        <v>1.6757592653929465</v>
      </c>
      <c r="Q5520" s="8">
        <f>(5996898*100)/6073515</f>
        <v>98.738506449724753</v>
      </c>
    </row>
    <row r="5521" spans="1:17" x14ac:dyDescent="0.2">
      <c r="A5521">
        <f>YEAR(D5521)</f>
        <v>2020</v>
      </c>
      <c r="B5521" t="s">
        <v>26</v>
      </c>
      <c r="C5521" s="2" t="s">
        <v>3018</v>
      </c>
      <c r="D5521" s="1">
        <v>44022</v>
      </c>
      <c r="E5521">
        <f>MONTH(D5521)</f>
        <v>7</v>
      </c>
      <c r="F5521" s="2" t="s">
        <v>2098</v>
      </c>
      <c r="G5521" t="s">
        <v>230</v>
      </c>
      <c r="H5521" t="s">
        <v>259</v>
      </c>
      <c r="I5521" t="s">
        <v>36</v>
      </c>
      <c r="J5521" s="2" t="s">
        <v>42</v>
      </c>
      <c r="K5521" s="2" t="s">
        <v>3019</v>
      </c>
      <c r="L5521" t="s">
        <v>25</v>
      </c>
      <c r="M5521" s="8">
        <v>4.745333333333333</v>
      </c>
      <c r="N5521" t="s">
        <v>26</v>
      </c>
      <c r="O5521" s="8">
        <v>4.745333333333333</v>
      </c>
      <c r="P5521" s="8">
        <f>EXP(-1.363+3.366*LOG(O5521,10))</f>
        <v>2.4925687246325761</v>
      </c>
      <c r="Q5521" s="8">
        <f>(5996898*100)/6073515</f>
        <v>98.738506449724753</v>
      </c>
    </row>
    <row r="5522" spans="1:17" x14ac:dyDescent="0.2">
      <c r="A5522">
        <f>YEAR(D5522)</f>
        <v>2020</v>
      </c>
      <c r="B5522" t="s">
        <v>26</v>
      </c>
      <c r="C5522" s="2" t="s">
        <v>3018</v>
      </c>
      <c r="D5522" s="1">
        <v>44022</v>
      </c>
      <c r="E5522">
        <f>MONTH(D5522)</f>
        <v>7</v>
      </c>
      <c r="F5522" s="2" t="s">
        <v>2098</v>
      </c>
      <c r="G5522" t="s">
        <v>230</v>
      </c>
      <c r="H5522" t="s">
        <v>259</v>
      </c>
      <c r="I5522" t="s">
        <v>36</v>
      </c>
      <c r="J5522" s="2" t="s">
        <v>42</v>
      </c>
      <c r="K5522" s="2" t="s">
        <v>3019</v>
      </c>
      <c r="L5522" t="s">
        <v>25</v>
      </c>
      <c r="M5522" s="8">
        <v>4.745333333333333</v>
      </c>
      <c r="N5522" t="s">
        <v>26</v>
      </c>
      <c r="O5522" s="8">
        <v>4.745333333333333</v>
      </c>
      <c r="P5522" s="8">
        <f>EXP(-1.363+3.366*LOG(O5522,10))</f>
        <v>2.4925687246325761</v>
      </c>
      <c r="Q5522" s="8">
        <f>(5996898*100)/6073515</f>
        <v>98.738506449724753</v>
      </c>
    </row>
    <row r="5523" spans="1:17" x14ac:dyDescent="0.2">
      <c r="A5523">
        <f>YEAR(D5523)</f>
        <v>2020</v>
      </c>
      <c r="B5523" t="s">
        <v>26</v>
      </c>
      <c r="C5523" s="2" t="s">
        <v>3018</v>
      </c>
      <c r="D5523" s="1">
        <v>44022</v>
      </c>
      <c r="E5523">
        <f>MONTH(D5523)</f>
        <v>7</v>
      </c>
      <c r="F5523" s="2" t="s">
        <v>2098</v>
      </c>
      <c r="G5523" t="s">
        <v>219</v>
      </c>
      <c r="H5523" t="s">
        <v>220</v>
      </c>
      <c r="I5523" t="s">
        <v>22</v>
      </c>
      <c r="J5523" s="2" t="s">
        <v>42</v>
      </c>
      <c r="K5523" s="2" t="s">
        <v>3019</v>
      </c>
      <c r="L5523" t="s">
        <v>25</v>
      </c>
      <c r="M5523" s="10" t="s">
        <v>26</v>
      </c>
      <c r="N5523" t="s">
        <v>26</v>
      </c>
      <c r="O5523" s="10" t="s">
        <v>26</v>
      </c>
      <c r="P5523" s="8" t="s">
        <v>26</v>
      </c>
      <c r="Q5523" s="8">
        <f>(5996898*100)/6073515</f>
        <v>98.738506449724753</v>
      </c>
    </row>
    <row r="5524" spans="1:17" x14ac:dyDescent="0.2">
      <c r="A5524">
        <f>YEAR(D5524)</f>
        <v>2020</v>
      </c>
      <c r="B5524" t="s">
        <v>26</v>
      </c>
      <c r="C5524" s="2" t="s">
        <v>3018</v>
      </c>
      <c r="D5524" s="1">
        <v>44022</v>
      </c>
      <c r="E5524">
        <f>MONTH(D5524)</f>
        <v>7</v>
      </c>
      <c r="F5524" s="2" t="s">
        <v>2098</v>
      </c>
      <c r="G5524" t="s">
        <v>219</v>
      </c>
      <c r="H5524" t="s">
        <v>220</v>
      </c>
      <c r="I5524" t="s">
        <v>22</v>
      </c>
      <c r="J5524" s="2" t="s">
        <v>42</v>
      </c>
      <c r="K5524" s="2" t="s">
        <v>3019</v>
      </c>
      <c r="L5524" t="s">
        <v>25</v>
      </c>
      <c r="M5524" s="10" t="s">
        <v>26</v>
      </c>
      <c r="N5524" t="s">
        <v>26</v>
      </c>
      <c r="O5524" s="10" t="s">
        <v>26</v>
      </c>
      <c r="P5524" s="8" t="s">
        <v>26</v>
      </c>
      <c r="Q5524" s="8">
        <f>(5996898*100)/6073515</f>
        <v>98.738506449724753</v>
      </c>
    </row>
    <row r="5525" spans="1:17" x14ac:dyDescent="0.2">
      <c r="A5525">
        <f>YEAR(D5525)</f>
        <v>2020</v>
      </c>
      <c r="B5525" t="s">
        <v>26</v>
      </c>
      <c r="C5525" s="2" t="s">
        <v>3018</v>
      </c>
      <c r="D5525" s="1">
        <v>44022</v>
      </c>
      <c r="E5525">
        <f>MONTH(D5525)</f>
        <v>7</v>
      </c>
      <c r="F5525" s="2" t="s">
        <v>2098</v>
      </c>
      <c r="G5525" t="s">
        <v>230</v>
      </c>
      <c r="H5525" t="s">
        <v>268</v>
      </c>
      <c r="I5525" t="s">
        <v>22</v>
      </c>
      <c r="J5525" s="2" t="s">
        <v>42</v>
      </c>
      <c r="K5525" s="2" t="s">
        <v>3019</v>
      </c>
      <c r="L5525" t="s">
        <v>25</v>
      </c>
      <c r="M5525" s="8">
        <v>3.5356666670000001</v>
      </c>
      <c r="N5525" t="s">
        <v>26</v>
      </c>
      <c r="O5525" s="8">
        <v>3.5356666670000001</v>
      </c>
      <c r="P5525" s="8">
        <f>EXP(-1.363+3.366*LOG(O5525,10))</f>
        <v>1.6211802664427075</v>
      </c>
      <c r="Q5525" s="8">
        <f>(5996898*100)/6073515</f>
        <v>98.738506449724753</v>
      </c>
    </row>
    <row r="5526" spans="1:17" x14ac:dyDescent="0.2">
      <c r="A5526">
        <f>YEAR(D5526)</f>
        <v>2020</v>
      </c>
      <c r="B5526" t="s">
        <v>26</v>
      </c>
      <c r="C5526" s="2" t="s">
        <v>3018</v>
      </c>
      <c r="D5526" s="1">
        <v>44022</v>
      </c>
      <c r="E5526">
        <f>MONTH(D5526)</f>
        <v>7</v>
      </c>
      <c r="F5526" s="2" t="s">
        <v>2098</v>
      </c>
      <c r="G5526" t="s">
        <v>230</v>
      </c>
      <c r="H5526" t="s">
        <v>268</v>
      </c>
      <c r="I5526" t="s">
        <v>36</v>
      </c>
      <c r="J5526" s="2" t="s">
        <v>42</v>
      </c>
      <c r="K5526" s="2" t="s">
        <v>3019</v>
      </c>
      <c r="L5526" t="s">
        <v>25</v>
      </c>
      <c r="M5526" s="8">
        <v>3.3683333329999998</v>
      </c>
      <c r="N5526" t="s">
        <v>26</v>
      </c>
      <c r="O5526" s="8">
        <v>3.3683333329999998</v>
      </c>
      <c r="P5526" s="8">
        <f>EXP(-1.363+3.366*LOG(O5526,10))</f>
        <v>1.510255893489963</v>
      </c>
      <c r="Q5526" s="8">
        <f>(5996898*100)/6073515</f>
        <v>98.738506449724753</v>
      </c>
    </row>
    <row r="5527" spans="1:17" x14ac:dyDescent="0.2">
      <c r="A5527">
        <f>YEAR(D5527)</f>
        <v>2020</v>
      </c>
      <c r="B5527" t="s">
        <v>26</v>
      </c>
      <c r="C5527" s="2" t="s">
        <v>3018</v>
      </c>
      <c r="D5527" s="1">
        <v>44022</v>
      </c>
      <c r="E5527">
        <f>MONTH(D5527)</f>
        <v>7</v>
      </c>
      <c r="F5527" s="2" t="s">
        <v>2098</v>
      </c>
      <c r="G5527" t="s">
        <v>230</v>
      </c>
      <c r="H5527" t="s">
        <v>268</v>
      </c>
      <c r="I5527" t="s">
        <v>36</v>
      </c>
      <c r="J5527" s="2" t="s">
        <v>42</v>
      </c>
      <c r="K5527" s="2" t="s">
        <v>3019</v>
      </c>
      <c r="L5527" t="s">
        <v>25</v>
      </c>
      <c r="M5527" s="8">
        <v>3.3683333329999998</v>
      </c>
      <c r="N5527" t="s">
        <v>26</v>
      </c>
      <c r="O5527" s="8">
        <v>3.3683333329999998</v>
      </c>
      <c r="P5527" s="8">
        <f>EXP(-1.363+3.366*LOG(O5527,10))</f>
        <v>1.510255893489963</v>
      </c>
      <c r="Q5527" s="8">
        <f>(5996898*100)/6073515</f>
        <v>98.738506449724753</v>
      </c>
    </row>
    <row r="5528" spans="1:17" x14ac:dyDescent="0.2">
      <c r="A5528">
        <f>YEAR(D5528)</f>
        <v>2020</v>
      </c>
      <c r="B5528" t="s">
        <v>26</v>
      </c>
      <c r="C5528" s="2" t="s">
        <v>3018</v>
      </c>
      <c r="D5528" s="1">
        <v>44022</v>
      </c>
      <c r="E5528">
        <f>MONTH(D5528)</f>
        <v>7</v>
      </c>
      <c r="F5528" s="2" t="s">
        <v>2098</v>
      </c>
      <c r="G5528" t="s">
        <v>230</v>
      </c>
      <c r="H5528" t="s">
        <v>268</v>
      </c>
      <c r="I5528" t="s">
        <v>36</v>
      </c>
      <c r="J5528" s="2" t="s">
        <v>42</v>
      </c>
      <c r="K5528" s="2" t="s">
        <v>3019</v>
      </c>
      <c r="L5528" t="s">
        <v>25</v>
      </c>
      <c r="M5528" s="8">
        <v>3.3683333329999998</v>
      </c>
      <c r="N5528" t="s">
        <v>26</v>
      </c>
      <c r="O5528" s="8">
        <v>3.3683333329999998</v>
      </c>
      <c r="P5528" s="8">
        <f>EXP(-1.363+3.366*LOG(O5528,10))</f>
        <v>1.510255893489963</v>
      </c>
      <c r="Q5528" s="8">
        <f>(5996898*100)/6073515</f>
        <v>98.738506449724753</v>
      </c>
    </row>
    <row r="5529" spans="1:17" x14ac:dyDescent="0.2">
      <c r="A5529">
        <f>YEAR(D5529)</f>
        <v>2020</v>
      </c>
      <c r="B5529" t="s">
        <v>26</v>
      </c>
      <c r="C5529" s="2" t="s">
        <v>3018</v>
      </c>
      <c r="D5529" s="1">
        <v>44022</v>
      </c>
      <c r="E5529">
        <f>MONTH(D5529)</f>
        <v>7</v>
      </c>
      <c r="F5529" s="2" t="s">
        <v>2098</v>
      </c>
      <c r="G5529" t="s">
        <v>230</v>
      </c>
      <c r="H5529" t="s">
        <v>268</v>
      </c>
      <c r="I5529" t="s">
        <v>36</v>
      </c>
      <c r="J5529" s="2" t="s">
        <v>42</v>
      </c>
      <c r="K5529" s="2" t="s">
        <v>3019</v>
      </c>
      <c r="L5529" t="s">
        <v>25</v>
      </c>
      <c r="M5529" s="8">
        <v>3.3683333329999998</v>
      </c>
      <c r="N5529" t="s">
        <v>26</v>
      </c>
      <c r="O5529" s="8">
        <v>3.3683333329999998</v>
      </c>
      <c r="P5529" s="8">
        <f>EXP(-1.363+3.366*LOG(O5529,10))</f>
        <v>1.510255893489963</v>
      </c>
      <c r="Q5529" s="8">
        <f>(5996898*100)/6073515</f>
        <v>98.738506449724753</v>
      </c>
    </row>
    <row r="5530" spans="1:17" x14ac:dyDescent="0.2">
      <c r="A5530">
        <f>YEAR(D5530)</f>
        <v>2020</v>
      </c>
      <c r="B5530" t="s">
        <v>26</v>
      </c>
      <c r="C5530" s="2" t="s">
        <v>3018</v>
      </c>
      <c r="D5530" s="1">
        <v>44022</v>
      </c>
      <c r="E5530">
        <f>MONTH(D5530)</f>
        <v>7</v>
      </c>
      <c r="F5530" s="2" t="s">
        <v>2098</v>
      </c>
      <c r="G5530" t="s">
        <v>230</v>
      </c>
      <c r="H5530" t="s">
        <v>255</v>
      </c>
      <c r="I5530" t="s">
        <v>36</v>
      </c>
      <c r="J5530" s="2" t="s">
        <v>42</v>
      </c>
      <c r="K5530" s="2" t="s">
        <v>3019</v>
      </c>
      <c r="L5530" t="s">
        <v>25</v>
      </c>
      <c r="M5530" s="8">
        <v>4.1180000000000003</v>
      </c>
      <c r="N5530" t="s">
        <v>26</v>
      </c>
      <c r="O5530" s="8">
        <v>4.1180000000000003</v>
      </c>
      <c r="P5530" s="8">
        <f>EXP(-1.363+3.366*LOG(O5530,10))</f>
        <v>2.0259408868315871</v>
      </c>
      <c r="Q5530" s="8">
        <f>(5996898*100)/6073515</f>
        <v>98.738506449724753</v>
      </c>
    </row>
    <row r="5531" spans="1:17" x14ac:dyDescent="0.2">
      <c r="A5531">
        <f>YEAR(D5531)</f>
        <v>2020</v>
      </c>
      <c r="B5531" t="s">
        <v>26</v>
      </c>
      <c r="C5531" s="2" t="s">
        <v>3018</v>
      </c>
      <c r="D5531" s="1">
        <v>44022</v>
      </c>
      <c r="E5531">
        <f>MONTH(D5531)</f>
        <v>7</v>
      </c>
      <c r="F5531" s="2" t="s">
        <v>2098</v>
      </c>
      <c r="G5531" t="s">
        <v>230</v>
      </c>
      <c r="H5531" t="s">
        <v>259</v>
      </c>
      <c r="I5531" t="s">
        <v>36</v>
      </c>
      <c r="J5531" s="2" t="s">
        <v>42</v>
      </c>
      <c r="K5531" s="2" t="s">
        <v>3019</v>
      </c>
      <c r="L5531" t="s">
        <v>25</v>
      </c>
      <c r="M5531" s="8">
        <v>4.745333333333333</v>
      </c>
      <c r="N5531" t="s">
        <v>26</v>
      </c>
      <c r="O5531" s="8">
        <v>4.745333333333333</v>
      </c>
      <c r="P5531" s="8">
        <f>EXP(-1.363+3.366*LOG(O5531,10))</f>
        <v>2.4925687246325761</v>
      </c>
      <c r="Q5531" s="8">
        <f>(5996898*100)/6073515</f>
        <v>98.738506449724753</v>
      </c>
    </row>
    <row r="5532" spans="1:17" x14ac:dyDescent="0.2">
      <c r="A5532">
        <f>YEAR(D5532)</f>
        <v>2020</v>
      </c>
      <c r="B5532" t="s">
        <v>26</v>
      </c>
      <c r="C5532" s="2" t="s">
        <v>3018</v>
      </c>
      <c r="D5532" s="1">
        <v>44022</v>
      </c>
      <c r="E5532">
        <f>MONTH(D5532)</f>
        <v>7</v>
      </c>
      <c r="F5532" s="2" t="s">
        <v>2098</v>
      </c>
      <c r="G5532" t="s">
        <v>230</v>
      </c>
      <c r="H5532" t="s">
        <v>259</v>
      </c>
      <c r="I5532" t="s">
        <v>36</v>
      </c>
      <c r="J5532" s="2" t="s">
        <v>42</v>
      </c>
      <c r="K5532" s="2" t="s">
        <v>3019</v>
      </c>
      <c r="L5532" t="s">
        <v>25</v>
      </c>
      <c r="M5532" s="8">
        <v>4.745333333333333</v>
      </c>
      <c r="N5532" t="s">
        <v>26</v>
      </c>
      <c r="O5532" s="8">
        <v>4.745333333333333</v>
      </c>
      <c r="P5532" s="8">
        <f>EXP(-1.363+3.366*LOG(O5532,10))</f>
        <v>2.4925687246325761</v>
      </c>
      <c r="Q5532" s="8">
        <f>(5996898*100)/6073515</f>
        <v>98.738506449724753</v>
      </c>
    </row>
    <row r="5533" spans="1:17" x14ac:dyDescent="0.2">
      <c r="A5533">
        <f>YEAR(D5533)</f>
        <v>2020</v>
      </c>
      <c r="B5533" t="s">
        <v>26</v>
      </c>
      <c r="C5533" s="2" t="s">
        <v>3018</v>
      </c>
      <c r="D5533" s="1">
        <v>44022</v>
      </c>
      <c r="E5533">
        <f>MONTH(D5533)</f>
        <v>7</v>
      </c>
      <c r="F5533" s="2" t="s">
        <v>2098</v>
      </c>
      <c r="G5533" t="s">
        <v>230</v>
      </c>
      <c r="H5533" t="s">
        <v>259</v>
      </c>
      <c r="I5533" t="s">
        <v>36</v>
      </c>
      <c r="J5533" s="2" t="s">
        <v>42</v>
      </c>
      <c r="K5533" s="2" t="s">
        <v>3019</v>
      </c>
      <c r="L5533" t="s">
        <v>25</v>
      </c>
      <c r="M5533" s="8">
        <v>4.745333333333333</v>
      </c>
      <c r="N5533" t="s">
        <v>26</v>
      </c>
      <c r="O5533" s="8">
        <v>4.745333333333333</v>
      </c>
      <c r="P5533" s="8">
        <f>EXP(-1.363+3.366*LOG(O5533,10))</f>
        <v>2.4925687246325761</v>
      </c>
      <c r="Q5533" s="8">
        <f>(5996898*100)/6073515</f>
        <v>98.738506449724753</v>
      </c>
    </row>
    <row r="5534" spans="1:17" x14ac:dyDescent="0.2">
      <c r="A5534">
        <f>YEAR(D5534)</f>
        <v>2020</v>
      </c>
      <c r="B5534" t="s">
        <v>26</v>
      </c>
      <c r="C5534" s="2" t="s">
        <v>3018</v>
      </c>
      <c r="D5534" s="1">
        <v>44022</v>
      </c>
      <c r="E5534">
        <f>MONTH(D5534)</f>
        <v>7</v>
      </c>
      <c r="F5534" s="2" t="s">
        <v>2098</v>
      </c>
      <c r="G5534" t="s">
        <v>230</v>
      </c>
      <c r="H5534" t="s">
        <v>255</v>
      </c>
      <c r="I5534" t="s">
        <v>36</v>
      </c>
      <c r="J5534" s="2" t="s">
        <v>42</v>
      </c>
      <c r="K5534" s="2" t="s">
        <v>3019</v>
      </c>
      <c r="L5534" t="s">
        <v>25</v>
      </c>
      <c r="M5534" s="8">
        <v>4.1180000000000003</v>
      </c>
      <c r="N5534" t="s">
        <v>26</v>
      </c>
      <c r="O5534" s="8">
        <v>4.1180000000000003</v>
      </c>
      <c r="P5534" s="8">
        <f>EXP(-1.363+3.366*LOG(O5534,10))</f>
        <v>2.0259408868315871</v>
      </c>
      <c r="Q5534" s="8">
        <f>(5996898*100)/6073515</f>
        <v>98.738506449724753</v>
      </c>
    </row>
    <row r="5535" spans="1:17" x14ac:dyDescent="0.2">
      <c r="A5535">
        <f>YEAR(D5535)</f>
        <v>2020</v>
      </c>
      <c r="B5535" t="s">
        <v>26</v>
      </c>
      <c r="C5535" s="2" t="s">
        <v>3018</v>
      </c>
      <c r="D5535" s="1">
        <v>44022</v>
      </c>
      <c r="E5535">
        <f>MONTH(D5535)</f>
        <v>7</v>
      </c>
      <c r="F5535" s="2" t="s">
        <v>2098</v>
      </c>
      <c r="G5535" t="s">
        <v>230</v>
      </c>
      <c r="H5535" t="s">
        <v>255</v>
      </c>
      <c r="I5535" t="s">
        <v>36</v>
      </c>
      <c r="J5535" s="2" t="s">
        <v>42</v>
      </c>
      <c r="K5535" s="2" t="s">
        <v>3019</v>
      </c>
      <c r="L5535" t="s">
        <v>25</v>
      </c>
      <c r="M5535" s="8">
        <v>4.1180000000000003</v>
      </c>
      <c r="N5535" t="s">
        <v>26</v>
      </c>
      <c r="O5535" s="8">
        <v>4.1180000000000003</v>
      </c>
      <c r="P5535" s="8">
        <f>EXP(-1.363+3.366*LOG(O5535,10))</f>
        <v>2.0259408868315871</v>
      </c>
      <c r="Q5535" s="8">
        <f>(5996898*100)/6073515</f>
        <v>98.738506449724753</v>
      </c>
    </row>
    <row r="5536" spans="1:17" x14ac:dyDescent="0.2">
      <c r="A5536">
        <f>YEAR(D5536)</f>
        <v>2020</v>
      </c>
      <c r="B5536" t="s">
        <v>26</v>
      </c>
      <c r="C5536" s="2" t="s">
        <v>3027</v>
      </c>
      <c r="D5536" s="1">
        <v>44022</v>
      </c>
      <c r="E5536">
        <f>MONTH(D5536)</f>
        <v>7</v>
      </c>
      <c r="F5536" s="2" t="s">
        <v>2098</v>
      </c>
      <c r="G5536" t="s">
        <v>230</v>
      </c>
      <c r="H5536" t="s">
        <v>268</v>
      </c>
      <c r="I5536" t="s">
        <v>36</v>
      </c>
      <c r="J5536" s="2" t="s">
        <v>42</v>
      </c>
      <c r="K5536" s="2" t="s">
        <v>3019</v>
      </c>
      <c r="L5536" t="s">
        <v>25</v>
      </c>
      <c r="M5536" s="8">
        <v>3.3683333329999998</v>
      </c>
      <c r="N5536" t="s">
        <v>26</v>
      </c>
      <c r="O5536" s="8">
        <v>3.3683333329999998</v>
      </c>
      <c r="P5536" s="8">
        <f>EXP(-1.363+3.366*LOG(O5536,10))</f>
        <v>1.510255893489963</v>
      </c>
      <c r="Q5536" s="8">
        <f>(3939723*100)/4442581</f>
        <v>88.680949204977921</v>
      </c>
    </row>
    <row r="5537" spans="1:17" x14ac:dyDescent="0.2">
      <c r="A5537">
        <f>YEAR(D5537)</f>
        <v>2020</v>
      </c>
      <c r="B5537" t="s">
        <v>26</v>
      </c>
      <c r="C5537" s="2" t="s">
        <v>3027</v>
      </c>
      <c r="D5537" s="1">
        <v>44022</v>
      </c>
      <c r="E5537">
        <f>MONTH(D5537)</f>
        <v>7</v>
      </c>
      <c r="F5537" s="2" t="s">
        <v>2098</v>
      </c>
      <c r="G5537" t="s">
        <v>230</v>
      </c>
      <c r="H5537" t="s">
        <v>268</v>
      </c>
      <c r="I5537" t="s">
        <v>22</v>
      </c>
      <c r="J5537" s="2" t="s">
        <v>42</v>
      </c>
      <c r="K5537" s="2" t="s">
        <v>3019</v>
      </c>
      <c r="L5537" t="s">
        <v>25</v>
      </c>
      <c r="M5537" s="8">
        <v>3.5356666670000001</v>
      </c>
      <c r="N5537" t="s">
        <v>26</v>
      </c>
      <c r="O5537" s="8">
        <v>3.5356666670000001</v>
      </c>
      <c r="P5537" s="8">
        <f>EXP(-1.363+3.366*LOG(O5537,10))</f>
        <v>1.6211802664427075</v>
      </c>
      <c r="Q5537" s="8">
        <f>(3939723*100)/4442581</f>
        <v>88.680949204977921</v>
      </c>
    </row>
    <row r="5538" spans="1:17" x14ac:dyDescent="0.2">
      <c r="A5538">
        <f>YEAR(D5538)</f>
        <v>2020</v>
      </c>
      <c r="B5538" t="s">
        <v>26</v>
      </c>
      <c r="C5538" s="2" t="s">
        <v>3027</v>
      </c>
      <c r="D5538" s="1">
        <v>44022</v>
      </c>
      <c r="E5538">
        <f>MONTH(D5538)</f>
        <v>7</v>
      </c>
      <c r="F5538" s="2" t="s">
        <v>2098</v>
      </c>
      <c r="G5538" t="s">
        <v>230</v>
      </c>
      <c r="H5538" t="s">
        <v>268</v>
      </c>
      <c r="I5538" t="s">
        <v>22</v>
      </c>
      <c r="J5538" s="2" t="s">
        <v>42</v>
      </c>
      <c r="K5538" s="2" t="s">
        <v>3019</v>
      </c>
      <c r="L5538" t="s">
        <v>25</v>
      </c>
      <c r="M5538" s="8">
        <v>3.5356666670000001</v>
      </c>
      <c r="N5538" t="s">
        <v>26</v>
      </c>
      <c r="O5538" s="8">
        <v>3.5356666670000001</v>
      </c>
      <c r="P5538" s="8">
        <f>EXP(-1.363+3.366*LOG(O5538,10))</f>
        <v>1.6211802664427075</v>
      </c>
      <c r="Q5538" s="8">
        <f>(3939723*100)/4442581</f>
        <v>88.680949204977921</v>
      </c>
    </row>
    <row r="5539" spans="1:17" x14ac:dyDescent="0.2">
      <c r="A5539">
        <f>YEAR(D5539)</f>
        <v>2020</v>
      </c>
      <c r="B5539" t="s">
        <v>26</v>
      </c>
      <c r="C5539" s="2" t="s">
        <v>3027</v>
      </c>
      <c r="D5539" s="1">
        <v>44022</v>
      </c>
      <c r="E5539">
        <f>MONTH(D5539)</f>
        <v>7</v>
      </c>
      <c r="F5539" s="2" t="s">
        <v>2098</v>
      </c>
      <c r="G5539" t="s">
        <v>230</v>
      </c>
      <c r="H5539" t="s">
        <v>268</v>
      </c>
      <c r="I5539" t="s">
        <v>36</v>
      </c>
      <c r="J5539" s="2" t="s">
        <v>42</v>
      </c>
      <c r="K5539" s="2" t="s">
        <v>3019</v>
      </c>
      <c r="L5539" t="s">
        <v>25</v>
      </c>
      <c r="M5539" s="8">
        <v>3.3683333329999998</v>
      </c>
      <c r="N5539" t="s">
        <v>26</v>
      </c>
      <c r="O5539" s="8">
        <v>3.3683333329999998</v>
      </c>
      <c r="P5539" s="8">
        <f>EXP(-1.363+3.366*LOG(O5539,10))</f>
        <v>1.510255893489963</v>
      </c>
      <c r="Q5539" s="8">
        <f>(3939723*100)/4442581</f>
        <v>88.680949204977921</v>
      </c>
    </row>
    <row r="5540" spans="1:17" x14ac:dyDescent="0.2">
      <c r="A5540">
        <f>YEAR(D5540)</f>
        <v>2020</v>
      </c>
      <c r="B5540" t="s">
        <v>26</v>
      </c>
      <c r="C5540" s="2" t="s">
        <v>3027</v>
      </c>
      <c r="D5540" s="1">
        <v>44022</v>
      </c>
      <c r="E5540">
        <f>MONTH(D5540)</f>
        <v>7</v>
      </c>
      <c r="F5540" s="2" t="s">
        <v>2098</v>
      </c>
      <c r="G5540" t="s">
        <v>230</v>
      </c>
      <c r="H5540" t="s">
        <v>268</v>
      </c>
      <c r="I5540" t="s">
        <v>36</v>
      </c>
      <c r="J5540" s="2" t="s">
        <v>42</v>
      </c>
      <c r="K5540" s="2" t="s">
        <v>3019</v>
      </c>
      <c r="L5540" t="s">
        <v>25</v>
      </c>
      <c r="M5540" s="8">
        <v>3.3683333329999998</v>
      </c>
      <c r="N5540" t="s">
        <v>26</v>
      </c>
      <c r="O5540" s="8">
        <v>3.3683333329999998</v>
      </c>
      <c r="P5540" s="8">
        <f>EXP(-1.363+3.366*LOG(O5540,10))</f>
        <v>1.510255893489963</v>
      </c>
      <c r="Q5540" s="8">
        <f>(3939723*100)/4442581</f>
        <v>88.680949204977921</v>
      </c>
    </row>
    <row r="5541" spans="1:17" x14ac:dyDescent="0.2">
      <c r="A5541">
        <f>YEAR(D5541)</f>
        <v>2020</v>
      </c>
      <c r="B5541" t="s">
        <v>26</v>
      </c>
      <c r="C5541" s="2" t="s">
        <v>3027</v>
      </c>
      <c r="D5541" s="1">
        <v>44022</v>
      </c>
      <c r="E5541">
        <f>MONTH(D5541)</f>
        <v>7</v>
      </c>
      <c r="F5541" s="2" t="s">
        <v>2098</v>
      </c>
      <c r="G5541" t="s">
        <v>230</v>
      </c>
      <c r="H5541" t="s">
        <v>268</v>
      </c>
      <c r="I5541" t="s">
        <v>36</v>
      </c>
      <c r="J5541" s="2" t="s">
        <v>42</v>
      </c>
      <c r="K5541" s="2" t="s">
        <v>3019</v>
      </c>
      <c r="L5541" t="s">
        <v>25</v>
      </c>
      <c r="M5541" s="8">
        <v>3.3683333329999998</v>
      </c>
      <c r="N5541" t="s">
        <v>26</v>
      </c>
      <c r="O5541" s="8">
        <v>3.3683333329999998</v>
      </c>
      <c r="P5541" s="8">
        <f>EXP(-1.363+3.366*LOG(O5541,10))</f>
        <v>1.510255893489963</v>
      </c>
      <c r="Q5541" s="8">
        <f>(3939723*100)/4442581</f>
        <v>88.680949204977921</v>
      </c>
    </row>
    <row r="5542" spans="1:17" x14ac:dyDescent="0.2">
      <c r="A5542">
        <f>YEAR(D5542)</f>
        <v>2020</v>
      </c>
      <c r="B5542" t="s">
        <v>26</v>
      </c>
      <c r="C5542" s="2" t="s">
        <v>3027</v>
      </c>
      <c r="D5542" s="1">
        <v>44022</v>
      </c>
      <c r="E5542">
        <f>MONTH(D5542)</f>
        <v>7</v>
      </c>
      <c r="F5542" s="2" t="s">
        <v>2098</v>
      </c>
      <c r="G5542" t="s">
        <v>230</v>
      </c>
      <c r="H5542" t="s">
        <v>255</v>
      </c>
      <c r="I5542" t="s">
        <v>36</v>
      </c>
      <c r="J5542" s="2" t="s">
        <v>42</v>
      </c>
      <c r="K5542" s="2" t="s">
        <v>3019</v>
      </c>
      <c r="L5542" t="s">
        <v>25</v>
      </c>
      <c r="M5542" s="8">
        <v>4.1180000000000003</v>
      </c>
      <c r="N5542" t="s">
        <v>26</v>
      </c>
      <c r="O5542" s="8">
        <v>4.1180000000000003</v>
      </c>
      <c r="P5542" s="8">
        <f>EXP(-1.363+3.366*LOG(O5542,10))</f>
        <v>2.0259408868315871</v>
      </c>
      <c r="Q5542" s="8">
        <f>(3939723*100)/4442581</f>
        <v>88.680949204977921</v>
      </c>
    </row>
    <row r="5543" spans="1:17" x14ac:dyDescent="0.2">
      <c r="A5543">
        <f>YEAR(D5543)</f>
        <v>2020</v>
      </c>
      <c r="B5543" t="s">
        <v>26</v>
      </c>
      <c r="C5543" s="2" t="s">
        <v>3018</v>
      </c>
      <c r="D5543" s="1">
        <v>44022</v>
      </c>
      <c r="E5543">
        <f>MONTH(D5543)</f>
        <v>7</v>
      </c>
      <c r="F5543" s="2" t="s">
        <v>2098</v>
      </c>
      <c r="G5543" s="2" t="s">
        <v>352</v>
      </c>
      <c r="H5543" t="s">
        <v>3071</v>
      </c>
      <c r="I5543" t="s">
        <v>22</v>
      </c>
      <c r="J5543" s="2" t="s">
        <v>42</v>
      </c>
      <c r="K5543" s="2" t="s">
        <v>3019</v>
      </c>
      <c r="L5543" t="s">
        <v>25</v>
      </c>
      <c r="M5543" s="8">
        <v>0.81599999999999995</v>
      </c>
      <c r="N5543" t="s">
        <v>26</v>
      </c>
      <c r="O5543" s="8">
        <v>0.81599999999999995</v>
      </c>
      <c r="P5543" s="8">
        <f>EXP(-1.363+3.366*LOG(O5543,10))</f>
        <v>0.19009127534271844</v>
      </c>
      <c r="Q5543" s="8">
        <f>(5996898*100)/6073515</f>
        <v>98.738506449724753</v>
      </c>
    </row>
    <row r="5544" spans="1:17" x14ac:dyDescent="0.2">
      <c r="A5544">
        <f>YEAR(D5544)</f>
        <v>2020</v>
      </c>
      <c r="B5544" t="s">
        <v>26</v>
      </c>
      <c r="C5544" s="2" t="s">
        <v>3018</v>
      </c>
      <c r="D5544" s="1">
        <v>44022</v>
      </c>
      <c r="E5544">
        <f>MONTH(D5544)</f>
        <v>7</v>
      </c>
      <c r="F5544" s="2" t="s">
        <v>2098</v>
      </c>
      <c r="G5544" t="s">
        <v>332</v>
      </c>
      <c r="H5544" t="s">
        <v>330</v>
      </c>
      <c r="I5544" t="s">
        <v>22</v>
      </c>
      <c r="J5544" s="2" t="s">
        <v>42</v>
      </c>
      <c r="K5544" s="2" t="s">
        <v>3019</v>
      </c>
      <c r="L5544" t="s">
        <v>25</v>
      </c>
      <c r="M5544" s="8">
        <v>1.2170000000000001</v>
      </c>
      <c r="N5544" t="s">
        <v>26</v>
      </c>
      <c r="O5544" s="8">
        <v>1.2170000000000001</v>
      </c>
      <c r="P5544" s="8">
        <f>EXP(-1.363+3.366*LOG(O5544,10))</f>
        <v>0.34098666307598596</v>
      </c>
      <c r="Q5544" s="8">
        <f>(5996898*100)/6073515</f>
        <v>98.738506449724753</v>
      </c>
    </row>
    <row r="5545" spans="1:17" x14ac:dyDescent="0.2">
      <c r="A5545">
        <f>YEAR(D5545)</f>
        <v>2020</v>
      </c>
      <c r="B5545" t="s">
        <v>26</v>
      </c>
      <c r="C5545" s="2" t="s">
        <v>3018</v>
      </c>
      <c r="D5545" s="1">
        <v>44022</v>
      </c>
      <c r="E5545">
        <f>MONTH(D5545)</f>
        <v>7</v>
      </c>
      <c r="F5545" s="2" t="s">
        <v>2098</v>
      </c>
      <c r="G5545" t="s">
        <v>332</v>
      </c>
      <c r="H5545" t="s">
        <v>330</v>
      </c>
      <c r="I5545" t="s">
        <v>22</v>
      </c>
      <c r="J5545" s="2" t="s">
        <v>42</v>
      </c>
      <c r="K5545" s="2" t="s">
        <v>3019</v>
      </c>
      <c r="L5545" t="s">
        <v>25</v>
      </c>
      <c r="M5545" s="8">
        <v>1.2170000000000001</v>
      </c>
      <c r="N5545" t="s">
        <v>26</v>
      </c>
      <c r="O5545" s="8">
        <v>1.2170000000000001</v>
      </c>
      <c r="P5545" s="8">
        <f>EXP(-1.363+3.366*LOG(O5545,10))</f>
        <v>0.34098666307598596</v>
      </c>
      <c r="Q5545" s="8">
        <f>(5996898*100)/6073515</f>
        <v>98.738506449724753</v>
      </c>
    </row>
    <row r="5546" spans="1:17" x14ac:dyDescent="0.2">
      <c r="A5546">
        <f>YEAR(D5546)</f>
        <v>2020</v>
      </c>
      <c r="B5546" t="s">
        <v>26</v>
      </c>
      <c r="C5546" s="2" t="s">
        <v>3018</v>
      </c>
      <c r="D5546" s="1">
        <v>44022</v>
      </c>
      <c r="E5546">
        <f>MONTH(D5546)</f>
        <v>7</v>
      </c>
      <c r="F5546" s="2" t="s">
        <v>2098</v>
      </c>
      <c r="G5546" t="s">
        <v>352</v>
      </c>
      <c r="H5546" t="s">
        <v>1142</v>
      </c>
      <c r="I5546" t="s">
        <v>22</v>
      </c>
      <c r="J5546" s="2" t="s">
        <v>42</v>
      </c>
      <c r="K5546" s="2" t="s">
        <v>3019</v>
      </c>
      <c r="L5546" t="s">
        <v>25</v>
      </c>
      <c r="M5546" s="8">
        <v>1.1423333330000001</v>
      </c>
      <c r="N5546" t="s">
        <v>26</v>
      </c>
      <c r="O5546" s="8">
        <v>1.1423333330000001</v>
      </c>
      <c r="P5546" s="8">
        <f>EXP(-1.363+3.366*LOG(O5546,10))</f>
        <v>0.31084239358261528</v>
      </c>
      <c r="Q5546" s="8">
        <f>(5996898*100)/6073515</f>
        <v>98.738506449724753</v>
      </c>
    </row>
    <row r="5547" spans="1:17" x14ac:dyDescent="0.2">
      <c r="A5547">
        <f>YEAR(D5547)</f>
        <v>2020</v>
      </c>
      <c r="B5547" t="s">
        <v>26</v>
      </c>
      <c r="C5547" s="2" t="s">
        <v>3018</v>
      </c>
      <c r="D5547" s="1">
        <v>44022</v>
      </c>
      <c r="E5547">
        <f>MONTH(D5547)</f>
        <v>7</v>
      </c>
      <c r="F5547" s="2" t="s">
        <v>2098</v>
      </c>
      <c r="G5547" t="s">
        <v>332</v>
      </c>
      <c r="H5547" t="s">
        <v>330</v>
      </c>
      <c r="I5547" t="s">
        <v>36</v>
      </c>
      <c r="J5547" s="2" t="s">
        <v>42</v>
      </c>
      <c r="K5547" s="2" t="s">
        <v>3019</v>
      </c>
      <c r="L5547" t="s">
        <v>25</v>
      </c>
      <c r="M5547" s="8">
        <v>1.100666667</v>
      </c>
      <c r="N5547" t="s">
        <v>26</v>
      </c>
      <c r="O5547" s="8">
        <v>1.100666667</v>
      </c>
      <c r="P5547" s="8">
        <f>EXP(-1.363+3.366*LOG(O5547,10))</f>
        <v>0.29440864465042604</v>
      </c>
      <c r="Q5547" s="8">
        <f>(5996898*100)/6073515</f>
        <v>98.738506449724753</v>
      </c>
    </row>
    <row r="5548" spans="1:17" x14ac:dyDescent="0.2">
      <c r="A5548">
        <f>YEAR(D5548)</f>
        <v>2020</v>
      </c>
      <c r="B5548" t="s">
        <v>26</v>
      </c>
      <c r="C5548" s="2" t="s">
        <v>3018</v>
      </c>
      <c r="D5548" s="1">
        <v>44022</v>
      </c>
      <c r="E5548">
        <f>MONTH(D5548)</f>
        <v>7</v>
      </c>
      <c r="F5548" s="2" t="s">
        <v>2098</v>
      </c>
      <c r="G5548" t="s">
        <v>332</v>
      </c>
      <c r="H5548" t="s">
        <v>330</v>
      </c>
      <c r="I5548" t="s">
        <v>22</v>
      </c>
      <c r="J5548" s="2" t="s">
        <v>42</v>
      </c>
      <c r="K5548" s="2" t="s">
        <v>3019</v>
      </c>
      <c r="L5548" t="s">
        <v>25</v>
      </c>
      <c r="M5548" s="8">
        <v>1.2170000000000001</v>
      </c>
      <c r="N5548" t="s">
        <v>26</v>
      </c>
      <c r="O5548" s="8">
        <v>1.2170000000000001</v>
      </c>
      <c r="P5548" s="8">
        <f>EXP(-1.363+3.366*LOG(O5548,10))</f>
        <v>0.34098666307598596</v>
      </c>
      <c r="Q5548" s="8">
        <f>(5996898*100)/6073515</f>
        <v>98.738506449724753</v>
      </c>
    </row>
    <row r="5549" spans="1:17" x14ac:dyDescent="0.2">
      <c r="A5549">
        <f>YEAR(D5549)</f>
        <v>2020</v>
      </c>
      <c r="B5549" t="s">
        <v>26</v>
      </c>
      <c r="C5549" s="2" t="s">
        <v>3018</v>
      </c>
      <c r="D5549" s="1">
        <v>44022</v>
      </c>
      <c r="E5549">
        <f>MONTH(D5549)</f>
        <v>7</v>
      </c>
      <c r="F5549" s="2" t="s">
        <v>2098</v>
      </c>
      <c r="G5549" t="s">
        <v>332</v>
      </c>
      <c r="H5549" t="s">
        <v>330</v>
      </c>
      <c r="I5549" t="s">
        <v>22</v>
      </c>
      <c r="J5549" s="2" t="s">
        <v>42</v>
      </c>
      <c r="K5549" s="2" t="s">
        <v>3019</v>
      </c>
      <c r="L5549" t="s">
        <v>25</v>
      </c>
      <c r="M5549" s="8">
        <v>1.2170000000000001</v>
      </c>
      <c r="N5549" t="s">
        <v>26</v>
      </c>
      <c r="O5549" s="8">
        <v>1.2170000000000001</v>
      </c>
      <c r="P5549" s="8">
        <f>EXP(-1.363+3.366*LOG(O5549,10))</f>
        <v>0.34098666307598596</v>
      </c>
      <c r="Q5549" s="8">
        <f>(5996898*100)/6073515</f>
        <v>98.738506449724753</v>
      </c>
    </row>
    <row r="5550" spans="1:17" x14ac:dyDescent="0.2">
      <c r="A5550">
        <f>YEAR(D5550)</f>
        <v>2020</v>
      </c>
      <c r="B5550" t="s">
        <v>26</v>
      </c>
      <c r="C5550" s="2" t="s">
        <v>3018</v>
      </c>
      <c r="D5550" s="1">
        <v>44022</v>
      </c>
      <c r="E5550">
        <f>MONTH(D5550)</f>
        <v>7</v>
      </c>
      <c r="F5550" s="2" t="s">
        <v>2098</v>
      </c>
      <c r="G5550" t="s">
        <v>332</v>
      </c>
      <c r="H5550" t="s">
        <v>330</v>
      </c>
      <c r="I5550" t="s">
        <v>22</v>
      </c>
      <c r="J5550" s="2" t="s">
        <v>42</v>
      </c>
      <c r="K5550" s="2" t="s">
        <v>3019</v>
      </c>
      <c r="L5550" t="s">
        <v>25</v>
      </c>
      <c r="M5550" s="8">
        <v>1.2170000000000001</v>
      </c>
      <c r="N5550" t="s">
        <v>26</v>
      </c>
      <c r="O5550" s="8">
        <v>1.2170000000000001</v>
      </c>
      <c r="P5550" s="8">
        <f>EXP(-1.363+3.366*LOG(O5550,10))</f>
        <v>0.34098666307598596</v>
      </c>
      <c r="Q5550" s="8">
        <f>(5996898*100)/6073515</f>
        <v>98.738506449724753</v>
      </c>
    </row>
    <row r="5551" spans="1:17" x14ac:dyDescent="0.2">
      <c r="A5551">
        <f>YEAR(D5551)</f>
        <v>2020</v>
      </c>
      <c r="B5551" t="s">
        <v>26</v>
      </c>
      <c r="C5551" s="2" t="s">
        <v>3018</v>
      </c>
      <c r="D5551" s="1">
        <v>44022</v>
      </c>
      <c r="E5551">
        <f>MONTH(D5551)</f>
        <v>7</v>
      </c>
      <c r="F5551" s="2" t="s">
        <v>2098</v>
      </c>
      <c r="G5551" t="s">
        <v>20</v>
      </c>
      <c r="H5551" t="s">
        <v>149</v>
      </c>
      <c r="I5551" t="s">
        <v>22</v>
      </c>
      <c r="J5551" s="2" t="s">
        <v>42</v>
      </c>
      <c r="K5551" s="2" t="s">
        <v>3019</v>
      </c>
      <c r="L5551" t="s">
        <v>25</v>
      </c>
      <c r="M5551" s="8">
        <v>1.45</v>
      </c>
      <c r="N5551" t="s">
        <v>26</v>
      </c>
      <c r="O5551" s="8">
        <v>1.45</v>
      </c>
      <c r="P5551" s="8">
        <f>EXP(-1.363+3.366*LOG(O5551,10))</f>
        <v>0.44050419760124854</v>
      </c>
      <c r="Q5551" s="8">
        <f>(5996898*100)/6073515</f>
        <v>98.738506449724753</v>
      </c>
    </row>
    <row r="5552" spans="1:17" x14ac:dyDescent="0.2">
      <c r="A5552">
        <f>YEAR(D5552)</f>
        <v>2020</v>
      </c>
      <c r="B5552" t="s">
        <v>26</v>
      </c>
      <c r="C5552" s="2" t="s">
        <v>3018</v>
      </c>
      <c r="D5552" s="1">
        <v>44022</v>
      </c>
      <c r="E5552">
        <f>MONTH(D5552)</f>
        <v>7</v>
      </c>
      <c r="F5552" s="2" t="s">
        <v>2098</v>
      </c>
      <c r="G5552" t="s">
        <v>352</v>
      </c>
      <c r="H5552" t="s">
        <v>623</v>
      </c>
      <c r="I5552" t="s">
        <v>22</v>
      </c>
      <c r="J5552" s="2" t="s">
        <v>42</v>
      </c>
      <c r="K5552" s="2" t="s">
        <v>3019</v>
      </c>
      <c r="L5552" t="s">
        <v>25</v>
      </c>
      <c r="M5552" s="8">
        <v>1.387</v>
      </c>
      <c r="N5552" t="s">
        <v>26</v>
      </c>
      <c r="O5552" s="8">
        <v>1.387</v>
      </c>
      <c r="P5552" s="8">
        <f>EXP(-1.363+3.366*LOG(O5552,10))</f>
        <v>0.41280884754947733</v>
      </c>
      <c r="Q5552" s="8">
        <f>(5996898*100)/6073515</f>
        <v>98.738506449724753</v>
      </c>
    </row>
    <row r="5553" spans="1:17" x14ac:dyDescent="0.2">
      <c r="A5553">
        <f>YEAR(D5553)</f>
        <v>2020</v>
      </c>
      <c r="B5553" t="s">
        <v>26</v>
      </c>
      <c r="C5553" s="2" t="s">
        <v>3018</v>
      </c>
      <c r="D5553" s="1">
        <v>44022</v>
      </c>
      <c r="E5553">
        <f>MONTH(D5553)</f>
        <v>7</v>
      </c>
      <c r="F5553" s="2" t="s">
        <v>2098</v>
      </c>
      <c r="G5553" t="s">
        <v>352</v>
      </c>
      <c r="H5553" t="s">
        <v>623</v>
      </c>
      <c r="I5553" t="s">
        <v>22</v>
      </c>
      <c r="J5553" s="2" t="s">
        <v>42</v>
      </c>
      <c r="K5553" s="2" t="s">
        <v>3019</v>
      </c>
      <c r="L5553" t="s">
        <v>25</v>
      </c>
      <c r="M5553" s="8">
        <v>1.387</v>
      </c>
      <c r="N5553" t="s">
        <v>26</v>
      </c>
      <c r="O5553" s="8">
        <v>1.387</v>
      </c>
      <c r="P5553" s="8">
        <f>EXP(-1.363+3.366*LOG(O5553,10))</f>
        <v>0.41280884754947733</v>
      </c>
      <c r="Q5553" s="8">
        <f>(5996898*100)/6073515</f>
        <v>98.738506449724753</v>
      </c>
    </row>
    <row r="5554" spans="1:17" x14ac:dyDescent="0.2">
      <c r="A5554">
        <f>YEAR(D5554)</f>
        <v>2020</v>
      </c>
      <c r="B5554" t="s">
        <v>26</v>
      </c>
      <c r="C5554" s="2" t="s">
        <v>3018</v>
      </c>
      <c r="D5554" s="1">
        <v>44022</v>
      </c>
      <c r="E5554">
        <f>MONTH(D5554)</f>
        <v>7</v>
      </c>
      <c r="F5554" s="2" t="s">
        <v>2098</v>
      </c>
      <c r="G5554" t="s">
        <v>362</v>
      </c>
      <c r="H5554" t="s">
        <v>393</v>
      </c>
      <c r="I5554" t="s">
        <v>22</v>
      </c>
      <c r="J5554" s="2" t="s">
        <v>42</v>
      </c>
      <c r="K5554" s="2" t="s">
        <v>3019</v>
      </c>
      <c r="L5554" t="s">
        <v>25</v>
      </c>
      <c r="M5554" s="8">
        <v>2.4239999999999999</v>
      </c>
      <c r="N5554" t="s">
        <v>26</v>
      </c>
      <c r="O5554" s="8">
        <v>2.4239999999999999</v>
      </c>
      <c r="P5554" s="8">
        <f>EXP(-1.363+3.366*LOG(O5554,10))</f>
        <v>0.93364106227732868</v>
      </c>
      <c r="Q5554" s="8">
        <f>(5996898*100)/6073515</f>
        <v>98.738506449724753</v>
      </c>
    </row>
    <row r="5555" spans="1:17" x14ac:dyDescent="0.2">
      <c r="A5555">
        <f>YEAR(D5555)</f>
        <v>2020</v>
      </c>
      <c r="B5555" t="s">
        <v>26</v>
      </c>
      <c r="C5555" s="2" t="s">
        <v>3027</v>
      </c>
      <c r="D5555" s="1">
        <v>44022</v>
      </c>
      <c r="E5555">
        <f>MONTH(D5555)</f>
        <v>7</v>
      </c>
      <c r="F5555" s="2" t="s">
        <v>2098</v>
      </c>
      <c r="G5555" t="s">
        <v>362</v>
      </c>
      <c r="H5555" t="s">
        <v>421</v>
      </c>
      <c r="I5555" t="s">
        <v>22</v>
      </c>
      <c r="J5555" s="2" t="s">
        <v>42</v>
      </c>
      <c r="K5555" s="2" t="s">
        <v>3019</v>
      </c>
      <c r="L5555" t="s">
        <v>25</v>
      </c>
      <c r="M5555" s="8">
        <v>1.921333333</v>
      </c>
      <c r="N5555" t="s">
        <v>26</v>
      </c>
      <c r="O5555" s="8">
        <v>1.921333333</v>
      </c>
      <c r="P5555" s="8">
        <f>EXP(-1.363+3.366*LOG(O5555,10))</f>
        <v>0.66471742502276976</v>
      </c>
      <c r="Q5555" s="8">
        <f>(3939723*100)/4442581</f>
        <v>88.680949204977921</v>
      </c>
    </row>
    <row r="5556" spans="1:17" x14ac:dyDescent="0.2">
      <c r="A5556">
        <f>YEAR(D5556)</f>
        <v>2020</v>
      </c>
      <c r="B5556" t="s">
        <v>26</v>
      </c>
      <c r="C5556" s="2" t="s">
        <v>3027</v>
      </c>
      <c r="D5556" s="1">
        <v>44022</v>
      </c>
      <c r="E5556">
        <f>MONTH(D5556)</f>
        <v>7</v>
      </c>
      <c r="F5556" s="2" t="s">
        <v>2098</v>
      </c>
      <c r="G5556" t="s">
        <v>352</v>
      </c>
      <c r="H5556" t="s">
        <v>1459</v>
      </c>
      <c r="I5556" t="s">
        <v>36</v>
      </c>
      <c r="J5556" s="2" t="s">
        <v>42</v>
      </c>
      <c r="K5556" s="2" t="s">
        <v>3019</v>
      </c>
      <c r="L5556" t="s">
        <v>25</v>
      </c>
      <c r="M5556" s="8">
        <v>1.0913333329999999</v>
      </c>
      <c r="N5556" t="s">
        <v>26</v>
      </c>
      <c r="O5556" s="8">
        <v>1.0913333329999999</v>
      </c>
      <c r="P5556" s="8">
        <f>EXP(-1.363+3.366*LOG(O5556,10))</f>
        <v>0.29076633015787234</v>
      </c>
      <c r="Q5556" s="8">
        <f>(3939723*100)/4442581</f>
        <v>88.680949204977921</v>
      </c>
    </row>
    <row r="5557" spans="1:17" x14ac:dyDescent="0.2">
      <c r="A5557">
        <f>YEAR(D5557)</f>
        <v>2020</v>
      </c>
      <c r="B5557" t="s">
        <v>26</v>
      </c>
      <c r="C5557" s="2" t="s">
        <v>3027</v>
      </c>
      <c r="D5557" s="1">
        <v>44022</v>
      </c>
      <c r="E5557">
        <f>MONTH(D5557)</f>
        <v>7</v>
      </c>
      <c r="F5557" s="2" t="s">
        <v>2098</v>
      </c>
      <c r="G5557" t="s">
        <v>352</v>
      </c>
      <c r="H5557" t="s">
        <v>623</v>
      </c>
      <c r="I5557" t="s">
        <v>36</v>
      </c>
      <c r="J5557" s="2" t="s">
        <v>42</v>
      </c>
      <c r="K5557" s="2" t="s">
        <v>3019</v>
      </c>
      <c r="L5557" t="s">
        <v>25</v>
      </c>
      <c r="M5557" s="8">
        <v>1.1339999999999999</v>
      </c>
      <c r="N5557" t="s">
        <v>26</v>
      </c>
      <c r="O5557" s="8">
        <v>1.1339999999999999</v>
      </c>
      <c r="P5557" s="8">
        <f>EXP(-1.363+3.366*LOG(O5557,10))</f>
        <v>0.30753312979708036</v>
      </c>
      <c r="Q5557" s="8">
        <f>(3939723*100)/4442581</f>
        <v>88.680949204977921</v>
      </c>
    </row>
    <row r="5558" spans="1:17" x14ac:dyDescent="0.2">
      <c r="A5558">
        <f>YEAR(D5558)</f>
        <v>2020</v>
      </c>
      <c r="B5558" t="s">
        <v>26</v>
      </c>
      <c r="C5558" s="2" t="s">
        <v>3027</v>
      </c>
      <c r="D5558" s="1">
        <v>44022</v>
      </c>
      <c r="E5558">
        <f>MONTH(D5558)</f>
        <v>7</v>
      </c>
      <c r="F5558" s="2" t="s">
        <v>2098</v>
      </c>
      <c r="G5558" t="s">
        <v>352</v>
      </c>
      <c r="H5558" t="s">
        <v>1459</v>
      </c>
      <c r="I5558" t="s">
        <v>36</v>
      </c>
      <c r="J5558" s="2" t="s">
        <v>42</v>
      </c>
      <c r="K5558" s="2" t="s">
        <v>3019</v>
      </c>
      <c r="L5558" t="s">
        <v>25</v>
      </c>
      <c r="M5558" s="8">
        <v>1.0913333329999999</v>
      </c>
      <c r="N5558" t="s">
        <v>26</v>
      </c>
      <c r="O5558" s="8">
        <v>1.0913333329999999</v>
      </c>
      <c r="P5558" s="8">
        <f>EXP(-1.363+3.366*LOG(O5558,10))</f>
        <v>0.29076633015787234</v>
      </c>
      <c r="Q5558" s="8">
        <f>(3939723*100)/4442581</f>
        <v>88.680949204977921</v>
      </c>
    </row>
    <row r="5559" spans="1:17" x14ac:dyDescent="0.2">
      <c r="A5559">
        <f>YEAR(D5559)</f>
        <v>2020</v>
      </c>
      <c r="B5559" t="s">
        <v>26</v>
      </c>
      <c r="C5559" s="2" t="s">
        <v>3027</v>
      </c>
      <c r="D5559" s="1">
        <v>44022</v>
      </c>
      <c r="E5559">
        <f>MONTH(D5559)</f>
        <v>7</v>
      </c>
      <c r="F5559" s="2" t="s">
        <v>2098</v>
      </c>
      <c r="G5559" t="s">
        <v>352</v>
      </c>
      <c r="H5559" t="s">
        <v>1459</v>
      </c>
      <c r="I5559" t="s">
        <v>22</v>
      </c>
      <c r="J5559" s="2" t="s">
        <v>42</v>
      </c>
      <c r="K5559" s="2" t="s">
        <v>3019</v>
      </c>
      <c r="L5559" t="s">
        <v>25</v>
      </c>
      <c r="M5559" s="8">
        <v>1.1910000000000001</v>
      </c>
      <c r="N5559" t="s">
        <v>26</v>
      </c>
      <c r="O5559" s="8">
        <v>1.1910000000000001</v>
      </c>
      <c r="P5559" s="8">
        <f>EXP(-1.363+3.366*LOG(O5559,10))</f>
        <v>0.33039016297752993</v>
      </c>
      <c r="Q5559" s="8">
        <f>(3939723*100)/4442581</f>
        <v>88.680949204977921</v>
      </c>
    </row>
    <row r="5560" spans="1:17" x14ac:dyDescent="0.2">
      <c r="A5560">
        <f>YEAR(D5560)</f>
        <v>2020</v>
      </c>
      <c r="B5560" t="s">
        <v>26</v>
      </c>
      <c r="C5560" s="2" t="s">
        <v>3027</v>
      </c>
      <c r="D5560" s="1">
        <v>44022</v>
      </c>
      <c r="E5560">
        <f>MONTH(D5560)</f>
        <v>7</v>
      </c>
      <c r="F5560" s="2" t="s">
        <v>2098</v>
      </c>
      <c r="G5560" t="s">
        <v>362</v>
      </c>
      <c r="H5560" t="s">
        <v>421</v>
      </c>
      <c r="I5560" t="s">
        <v>22</v>
      </c>
      <c r="J5560" s="2" t="s">
        <v>42</v>
      </c>
      <c r="K5560" s="2" t="s">
        <v>3019</v>
      </c>
      <c r="L5560" t="s">
        <v>25</v>
      </c>
      <c r="M5560" s="8">
        <v>1.921333333</v>
      </c>
      <c r="N5560" t="s">
        <v>26</v>
      </c>
      <c r="O5560" s="8">
        <v>1.921333333</v>
      </c>
      <c r="P5560" s="8">
        <f>EXP(-1.363+3.366*LOG(O5560,10))</f>
        <v>0.66471742502276976</v>
      </c>
      <c r="Q5560" s="8">
        <f>(3939723*100)/4442581</f>
        <v>88.680949204977921</v>
      </c>
    </row>
    <row r="5561" spans="1:17" x14ac:dyDescent="0.2">
      <c r="A5561">
        <f>YEAR(D5561)</f>
        <v>2020</v>
      </c>
      <c r="B5561" t="s">
        <v>26</v>
      </c>
      <c r="C5561" s="2" t="s">
        <v>3027</v>
      </c>
      <c r="D5561" s="1">
        <v>44022</v>
      </c>
      <c r="E5561">
        <f>MONTH(D5561)</f>
        <v>7</v>
      </c>
      <c r="F5561" s="2" t="s">
        <v>2098</v>
      </c>
      <c r="G5561" t="s">
        <v>1520</v>
      </c>
      <c r="H5561" t="s">
        <v>1521</v>
      </c>
      <c r="I5561" t="s">
        <v>22</v>
      </c>
      <c r="J5561" s="2" t="s">
        <v>42</v>
      </c>
      <c r="K5561" s="2" t="s">
        <v>3019</v>
      </c>
      <c r="L5561" t="s">
        <v>25</v>
      </c>
      <c r="M5561" s="8">
        <v>2.952</v>
      </c>
      <c r="N5561" t="s">
        <v>26</v>
      </c>
      <c r="O5561" s="8">
        <v>2.952</v>
      </c>
      <c r="P5561" s="8">
        <f>EXP(-1.363+3.366*LOG(O5561,10))</f>
        <v>1.2453438103764427</v>
      </c>
      <c r="Q5561" s="8">
        <f>(3939723*100)/4442581</f>
        <v>88.680949204977921</v>
      </c>
    </row>
    <row r="5562" spans="1:17" x14ac:dyDescent="0.2">
      <c r="A5562">
        <f>YEAR(D5562)</f>
        <v>2020</v>
      </c>
      <c r="B5562" t="s">
        <v>26</v>
      </c>
      <c r="C5562" s="2" t="s">
        <v>3027</v>
      </c>
      <c r="D5562" s="1">
        <v>44022</v>
      </c>
      <c r="E5562">
        <f>MONTH(D5562)</f>
        <v>7</v>
      </c>
      <c r="F5562" s="2" t="s">
        <v>2098</v>
      </c>
      <c r="G5562" t="s">
        <v>352</v>
      </c>
      <c r="H5562" t="s">
        <v>1344</v>
      </c>
      <c r="I5562" t="s">
        <v>22</v>
      </c>
      <c r="J5562" s="2" t="s">
        <v>42</v>
      </c>
      <c r="K5562" s="2" t="s">
        <v>3019</v>
      </c>
      <c r="L5562" t="s">
        <v>25</v>
      </c>
      <c r="M5562" s="8">
        <v>0.91800000000000004</v>
      </c>
      <c r="N5562" t="s">
        <v>26</v>
      </c>
      <c r="O5562" s="8">
        <v>0.91800000000000004</v>
      </c>
      <c r="P5562" s="8">
        <f>EXP(-1.363+3.366*LOG(O5562,10))</f>
        <v>0.22580769814771504</v>
      </c>
      <c r="Q5562" s="8">
        <f>(3939723*100)/4442581</f>
        <v>88.680949204977921</v>
      </c>
    </row>
    <row r="5563" spans="1:17" x14ac:dyDescent="0.2">
      <c r="A5563">
        <f>YEAR(D5563)</f>
        <v>2020</v>
      </c>
      <c r="B5563" t="s">
        <v>26</v>
      </c>
      <c r="C5563" s="2" t="s">
        <v>3027</v>
      </c>
      <c r="D5563" s="1">
        <v>44022</v>
      </c>
      <c r="E5563">
        <f>MONTH(D5563)</f>
        <v>7</v>
      </c>
      <c r="F5563" s="2" t="s">
        <v>2098</v>
      </c>
      <c r="G5563" t="s">
        <v>352</v>
      </c>
      <c r="H5563" t="s">
        <v>975</v>
      </c>
      <c r="I5563" t="s">
        <v>22</v>
      </c>
      <c r="J5563" s="2" t="s">
        <v>42</v>
      </c>
      <c r="K5563" s="2" t="s">
        <v>3019</v>
      </c>
      <c r="L5563" t="s">
        <v>25</v>
      </c>
      <c r="M5563" s="8">
        <v>1.0693333330000001</v>
      </c>
      <c r="N5563" t="s">
        <v>26</v>
      </c>
      <c r="O5563" s="8">
        <v>1.0693333330000001</v>
      </c>
      <c r="P5563" s="8">
        <f>EXP(-1.363+3.366*LOG(O5563,10))</f>
        <v>0.28223780327142356</v>
      </c>
      <c r="Q5563" s="8">
        <f>(3939723*100)/4442581</f>
        <v>88.680949204977921</v>
      </c>
    </row>
    <row r="5564" spans="1:17" x14ac:dyDescent="0.2">
      <c r="A5564">
        <f>YEAR(D5564)</f>
        <v>2020</v>
      </c>
      <c r="B5564" t="s">
        <v>26</v>
      </c>
      <c r="C5564" s="2" t="s">
        <v>3027</v>
      </c>
      <c r="D5564" s="1">
        <v>44022</v>
      </c>
      <c r="E5564">
        <f>MONTH(D5564)</f>
        <v>7</v>
      </c>
      <c r="F5564" s="2" t="s">
        <v>2098</v>
      </c>
      <c r="G5564" t="s">
        <v>352</v>
      </c>
      <c r="H5564" t="s">
        <v>975</v>
      </c>
      <c r="I5564" t="s">
        <v>22</v>
      </c>
      <c r="J5564" s="2" t="s">
        <v>42</v>
      </c>
      <c r="K5564" s="2" t="s">
        <v>3019</v>
      </c>
      <c r="L5564" t="s">
        <v>25</v>
      </c>
      <c r="M5564" s="8">
        <v>1.0693333330000001</v>
      </c>
      <c r="N5564" t="s">
        <v>26</v>
      </c>
      <c r="O5564" s="8">
        <v>1.0693333330000001</v>
      </c>
      <c r="P5564" s="8">
        <f>EXP(-1.363+3.366*LOG(O5564,10))</f>
        <v>0.28223780327142356</v>
      </c>
      <c r="Q5564" s="8">
        <f>(3939723*100)/4442581</f>
        <v>88.680949204977921</v>
      </c>
    </row>
    <row r="5565" spans="1:17" x14ac:dyDescent="0.2">
      <c r="A5565">
        <f>YEAR(D5565)</f>
        <v>2020</v>
      </c>
      <c r="B5565" t="s">
        <v>26</v>
      </c>
      <c r="C5565" s="2" t="s">
        <v>3027</v>
      </c>
      <c r="D5565" s="1">
        <v>44022</v>
      </c>
      <c r="E5565">
        <f>MONTH(D5565)</f>
        <v>7</v>
      </c>
      <c r="F5565" s="2" t="s">
        <v>2098</v>
      </c>
      <c r="G5565" t="s">
        <v>352</v>
      </c>
      <c r="H5565" t="s">
        <v>975</v>
      </c>
      <c r="I5565" t="s">
        <v>22</v>
      </c>
      <c r="J5565" s="2" t="s">
        <v>42</v>
      </c>
      <c r="K5565" s="2" t="s">
        <v>3019</v>
      </c>
      <c r="L5565" t="s">
        <v>25</v>
      </c>
      <c r="M5565" s="8">
        <v>1.0693333330000001</v>
      </c>
      <c r="N5565" t="s">
        <v>26</v>
      </c>
      <c r="O5565" s="8">
        <v>1.0693333330000001</v>
      </c>
      <c r="P5565" s="8">
        <f>EXP(-1.363+3.366*LOG(O5565,10))</f>
        <v>0.28223780327142356</v>
      </c>
      <c r="Q5565" s="8">
        <f>(3939723*100)/4442581</f>
        <v>88.680949204977921</v>
      </c>
    </row>
    <row r="5566" spans="1:17" x14ac:dyDescent="0.2">
      <c r="A5566">
        <f>YEAR(D5566)</f>
        <v>2020</v>
      </c>
      <c r="B5566" t="s">
        <v>26</v>
      </c>
      <c r="C5566" s="2" t="s">
        <v>3027</v>
      </c>
      <c r="D5566" s="1">
        <v>44022</v>
      </c>
      <c r="E5566">
        <f>MONTH(D5566)</f>
        <v>7</v>
      </c>
      <c r="F5566" s="2" t="s">
        <v>2098</v>
      </c>
      <c r="G5566" t="s">
        <v>352</v>
      </c>
      <c r="H5566" t="s">
        <v>975</v>
      </c>
      <c r="I5566" t="s">
        <v>22</v>
      </c>
      <c r="J5566" s="2" t="s">
        <v>42</v>
      </c>
      <c r="K5566" s="2" t="s">
        <v>3019</v>
      </c>
      <c r="L5566" t="s">
        <v>25</v>
      </c>
      <c r="M5566" s="8">
        <v>1.0693333330000001</v>
      </c>
      <c r="N5566" t="s">
        <v>26</v>
      </c>
      <c r="O5566" s="8">
        <v>1.0693333330000001</v>
      </c>
      <c r="P5566" s="8">
        <f>EXP(-1.363+3.366*LOG(O5566,10))</f>
        <v>0.28223780327142356</v>
      </c>
      <c r="Q5566" s="8">
        <f>(3939723*100)/4442581</f>
        <v>88.680949204977921</v>
      </c>
    </row>
    <row r="5567" spans="1:17" x14ac:dyDescent="0.2">
      <c r="A5567">
        <f>YEAR(D5567)</f>
        <v>2020</v>
      </c>
      <c r="B5567" t="s">
        <v>26</v>
      </c>
      <c r="C5567" s="2" t="s">
        <v>3027</v>
      </c>
      <c r="D5567" s="1">
        <v>44022</v>
      </c>
      <c r="E5567">
        <f>MONTH(D5567)</f>
        <v>7</v>
      </c>
      <c r="F5567" s="2" t="s">
        <v>2098</v>
      </c>
      <c r="G5567" t="s">
        <v>352</v>
      </c>
      <c r="H5567" t="s">
        <v>975</v>
      </c>
      <c r="I5567" t="s">
        <v>22</v>
      </c>
      <c r="J5567" s="2" t="s">
        <v>42</v>
      </c>
      <c r="K5567" s="2" t="s">
        <v>3019</v>
      </c>
      <c r="L5567" t="s">
        <v>25</v>
      </c>
      <c r="M5567" s="8">
        <v>1.0693333330000001</v>
      </c>
      <c r="N5567" t="s">
        <v>26</v>
      </c>
      <c r="O5567" s="8">
        <v>1.0693333330000001</v>
      </c>
      <c r="P5567" s="8">
        <f>EXP(-1.363+3.366*LOG(O5567,10))</f>
        <v>0.28223780327142356</v>
      </c>
      <c r="Q5567" s="8">
        <f>(3939723*100)/4442581</f>
        <v>88.680949204977921</v>
      </c>
    </row>
    <row r="5568" spans="1:17" x14ac:dyDescent="0.2">
      <c r="A5568">
        <f>YEAR(D5568)</f>
        <v>2020</v>
      </c>
      <c r="B5568" t="s">
        <v>26</v>
      </c>
      <c r="C5568" s="2" t="s">
        <v>3027</v>
      </c>
      <c r="D5568" s="1">
        <v>44022</v>
      </c>
      <c r="E5568">
        <f>MONTH(D5568)</f>
        <v>7</v>
      </c>
      <c r="F5568" s="2" t="s">
        <v>2098</v>
      </c>
      <c r="G5568" s="2" t="s">
        <v>3079</v>
      </c>
      <c r="H5568" t="s">
        <v>3072</v>
      </c>
      <c r="I5568" t="s">
        <v>22</v>
      </c>
      <c r="J5568" s="2" t="s">
        <v>42</v>
      </c>
      <c r="K5568" s="2" t="s">
        <v>3019</v>
      </c>
      <c r="L5568" t="s">
        <v>187</v>
      </c>
      <c r="M5568" s="8">
        <v>2.3069999999999999</v>
      </c>
      <c r="N5568" t="s">
        <v>26</v>
      </c>
      <c r="O5568" s="8">
        <v>2.3069999999999999</v>
      </c>
      <c r="P5568" s="8">
        <f>EXP(-1.363+3.366*LOG(O5568,10))</f>
        <v>0.86850512108972044</v>
      </c>
      <c r="Q5568" s="8">
        <f>(3939723*100)/4442581</f>
        <v>88.680949204977921</v>
      </c>
    </row>
    <row r="5569" spans="1:17" x14ac:dyDescent="0.2">
      <c r="A5569">
        <f>YEAR(D5569)</f>
        <v>2020</v>
      </c>
      <c r="B5569" t="s">
        <v>26</v>
      </c>
      <c r="C5569" s="2" t="s">
        <v>3027</v>
      </c>
      <c r="D5569" s="1">
        <v>44022</v>
      </c>
      <c r="E5569">
        <f>MONTH(D5569)</f>
        <v>7</v>
      </c>
      <c r="F5569" s="2" t="s">
        <v>2098</v>
      </c>
      <c r="G5569" t="s">
        <v>352</v>
      </c>
      <c r="H5569" t="s">
        <v>1142</v>
      </c>
      <c r="I5569" t="s">
        <v>22</v>
      </c>
      <c r="J5569" s="2" t="s">
        <v>42</v>
      </c>
      <c r="K5569" s="2" t="s">
        <v>3019</v>
      </c>
      <c r="L5569" t="s">
        <v>25</v>
      </c>
      <c r="M5569" s="8">
        <v>1.1423333330000001</v>
      </c>
      <c r="N5569" t="s">
        <v>26</v>
      </c>
      <c r="O5569" s="8">
        <v>1.1423333330000001</v>
      </c>
      <c r="P5569" s="8">
        <f>EXP(-1.363+3.366*LOG(O5569,10))</f>
        <v>0.31084239358261528</v>
      </c>
      <c r="Q5569" s="8">
        <f>(3939723*100)/4442581</f>
        <v>88.680949204977921</v>
      </c>
    </row>
    <row r="5570" spans="1:17" x14ac:dyDescent="0.2">
      <c r="A5570">
        <f>YEAR(D5570)</f>
        <v>2020</v>
      </c>
      <c r="B5570" t="s">
        <v>26</v>
      </c>
      <c r="C5570" s="2" t="s">
        <v>3027</v>
      </c>
      <c r="D5570" s="1">
        <v>44022</v>
      </c>
      <c r="E5570">
        <f>MONTH(D5570)</f>
        <v>7</v>
      </c>
      <c r="F5570" s="2" t="s">
        <v>2098</v>
      </c>
      <c r="G5570" t="s">
        <v>362</v>
      </c>
      <c r="H5570" t="s">
        <v>421</v>
      </c>
      <c r="I5570" t="s">
        <v>22</v>
      </c>
      <c r="J5570" s="2" t="s">
        <v>42</v>
      </c>
      <c r="K5570" s="2" t="s">
        <v>3019</v>
      </c>
      <c r="L5570" t="s">
        <v>25</v>
      </c>
      <c r="M5570" s="8">
        <v>1.921333333</v>
      </c>
      <c r="N5570" t="s">
        <v>26</v>
      </c>
      <c r="O5570" s="8">
        <v>1.921333333</v>
      </c>
      <c r="P5570" s="8">
        <f>EXP(-1.363+3.366*LOG(O5570,10))</f>
        <v>0.66471742502276976</v>
      </c>
      <c r="Q5570" s="8">
        <f>(3939723*100)/4442581</f>
        <v>88.680949204977921</v>
      </c>
    </row>
    <row r="5571" spans="1:17" x14ac:dyDescent="0.2">
      <c r="A5571">
        <f>YEAR(D5571)</f>
        <v>2020</v>
      </c>
      <c r="B5571" t="s">
        <v>26</v>
      </c>
      <c r="C5571" s="2" t="s">
        <v>3027</v>
      </c>
      <c r="D5571" s="1">
        <v>44022</v>
      </c>
      <c r="E5571">
        <f>MONTH(D5571)</f>
        <v>7</v>
      </c>
      <c r="F5571" s="2" t="s">
        <v>2098</v>
      </c>
      <c r="G5571" t="s">
        <v>362</v>
      </c>
      <c r="H5571" t="s">
        <v>421</v>
      </c>
      <c r="I5571" t="s">
        <v>22</v>
      </c>
      <c r="J5571" s="2" t="s">
        <v>42</v>
      </c>
      <c r="K5571" s="2" t="s">
        <v>3019</v>
      </c>
      <c r="L5571" t="s">
        <v>25</v>
      </c>
      <c r="M5571" s="8">
        <v>1.921333333</v>
      </c>
      <c r="N5571" t="s">
        <v>26</v>
      </c>
      <c r="O5571" s="8">
        <v>1.921333333</v>
      </c>
      <c r="P5571" s="8">
        <f>EXP(-1.363+3.366*LOG(O5571,10))</f>
        <v>0.66471742502276976</v>
      </c>
      <c r="Q5571" s="8">
        <f>(3939723*100)/4442581</f>
        <v>88.680949204977921</v>
      </c>
    </row>
    <row r="5572" spans="1:17" x14ac:dyDescent="0.2">
      <c r="A5572">
        <f>YEAR(D5572)</f>
        <v>2020</v>
      </c>
      <c r="B5572" t="s">
        <v>26</v>
      </c>
      <c r="C5572" s="2" t="s">
        <v>3027</v>
      </c>
      <c r="D5572" s="1">
        <v>44022</v>
      </c>
      <c r="E5572">
        <f>MONTH(D5572)</f>
        <v>7</v>
      </c>
      <c r="F5572" s="2" t="s">
        <v>2098</v>
      </c>
      <c r="G5572" t="s">
        <v>2206</v>
      </c>
      <c r="H5572" t="s">
        <v>2207</v>
      </c>
      <c r="I5572" t="s">
        <v>22</v>
      </c>
      <c r="J5572" s="2" t="s">
        <v>42</v>
      </c>
      <c r="K5572" s="2" t="s">
        <v>3019</v>
      </c>
      <c r="L5572" t="s">
        <v>25</v>
      </c>
      <c r="M5572" s="8">
        <v>3.249333333</v>
      </c>
      <c r="N5572" t="s">
        <v>26</v>
      </c>
      <c r="O5572" s="8">
        <v>3.249333333</v>
      </c>
      <c r="P5572" s="8">
        <f>EXP(-1.363+3.366*LOG(O5572,10))</f>
        <v>1.4328987616438449</v>
      </c>
      <c r="Q5572" s="8">
        <f>(3939723*100)/4442581</f>
        <v>88.680949204977921</v>
      </c>
    </row>
    <row r="5573" spans="1:17" x14ac:dyDescent="0.2">
      <c r="A5573">
        <f>YEAR(D5573)</f>
        <v>2020</v>
      </c>
      <c r="B5573" t="s">
        <v>26</v>
      </c>
      <c r="C5573" s="2" t="s">
        <v>3020</v>
      </c>
      <c r="D5573" s="1">
        <v>44018</v>
      </c>
      <c r="E5573">
        <f>MONTH(D5573)</f>
        <v>7</v>
      </c>
      <c r="F5573" s="2" t="s">
        <v>19</v>
      </c>
      <c r="G5573" t="s">
        <v>362</v>
      </c>
      <c r="H5573" t="s">
        <v>447</v>
      </c>
      <c r="I5573" t="s">
        <v>22</v>
      </c>
      <c r="J5573" s="2" t="s">
        <v>42</v>
      </c>
      <c r="K5573" s="2" t="s">
        <v>3019</v>
      </c>
      <c r="L5573" t="s">
        <v>25</v>
      </c>
      <c r="M5573" s="8">
        <v>1.421</v>
      </c>
      <c r="N5573" t="s">
        <v>26</v>
      </c>
      <c r="O5573" s="8">
        <v>1.421</v>
      </c>
      <c r="P5573" s="8">
        <f>EXP(-1.363+3.366*LOG(O5573,10))</f>
        <v>0.42768500084673816</v>
      </c>
      <c r="Q5573" s="8">
        <f>(3359412*100)/3462762</f>
        <v>97.015388294084318</v>
      </c>
    </row>
    <row r="5574" spans="1:17" x14ac:dyDescent="0.2">
      <c r="A5574">
        <f>YEAR(D5574)</f>
        <v>2020</v>
      </c>
      <c r="B5574" t="s">
        <v>26</v>
      </c>
      <c r="C5574" s="2" t="s">
        <v>3018</v>
      </c>
      <c r="D5574" s="1">
        <v>44022</v>
      </c>
      <c r="E5574">
        <f>MONTH(D5574)</f>
        <v>7</v>
      </c>
      <c r="F5574" s="2" t="s">
        <v>19</v>
      </c>
      <c r="G5574" t="s">
        <v>219</v>
      </c>
      <c r="H5574" t="s">
        <v>220</v>
      </c>
      <c r="I5574" t="s">
        <v>22</v>
      </c>
      <c r="J5574" s="2" t="s">
        <v>42</v>
      </c>
      <c r="K5574" s="2" t="s">
        <v>3019</v>
      </c>
      <c r="L5574" t="s">
        <v>25</v>
      </c>
      <c r="M5574" s="10" t="s">
        <v>26</v>
      </c>
      <c r="N5574" t="s">
        <v>26</v>
      </c>
      <c r="O5574" s="10" t="s">
        <v>26</v>
      </c>
      <c r="P5574" s="8" t="s">
        <v>26</v>
      </c>
      <c r="Q5574" s="8">
        <f>(5996898*100)/6073515</f>
        <v>98.738506449724753</v>
      </c>
    </row>
    <row r="5575" spans="1:17" x14ac:dyDescent="0.2">
      <c r="A5575">
        <f>YEAR(D5575)</f>
        <v>2020</v>
      </c>
      <c r="B5575" t="s">
        <v>26</v>
      </c>
      <c r="C5575" s="2" t="s">
        <v>3018</v>
      </c>
      <c r="D5575" s="1">
        <v>44022</v>
      </c>
      <c r="E5575">
        <f>MONTH(D5575)</f>
        <v>7</v>
      </c>
      <c r="F5575" s="2" t="s">
        <v>19</v>
      </c>
      <c r="G5575" t="s">
        <v>352</v>
      </c>
      <c r="H5575" t="s">
        <v>1142</v>
      </c>
      <c r="I5575" t="s">
        <v>36</v>
      </c>
      <c r="J5575" s="2" t="s">
        <v>42</v>
      </c>
      <c r="K5575" s="2" t="s">
        <v>3019</v>
      </c>
      <c r="L5575" t="s">
        <v>25</v>
      </c>
      <c r="M5575" s="8">
        <v>0.93500000000000005</v>
      </c>
      <c r="N5575" t="s">
        <v>26</v>
      </c>
      <c r="O5575" s="8">
        <v>0.93500000000000005</v>
      </c>
      <c r="P5575" s="8">
        <f>EXP(-1.363+3.366*LOG(O5575,10))</f>
        <v>0.23194659731411651</v>
      </c>
      <c r="Q5575" s="8">
        <f>(5996898*100)/6073515</f>
        <v>98.738506449724753</v>
      </c>
    </row>
    <row r="5576" spans="1:17" x14ac:dyDescent="0.2">
      <c r="A5576">
        <f>YEAR(D5576)</f>
        <v>2020</v>
      </c>
      <c r="B5576" t="s">
        <v>26</v>
      </c>
      <c r="C5576" s="2" t="s">
        <v>3018</v>
      </c>
      <c r="D5576" s="1">
        <v>44022</v>
      </c>
      <c r="E5576">
        <f>MONTH(D5576)</f>
        <v>7</v>
      </c>
      <c r="F5576" s="2" t="s">
        <v>19</v>
      </c>
      <c r="G5576" t="s">
        <v>352</v>
      </c>
      <c r="H5576" t="s">
        <v>975</v>
      </c>
      <c r="I5576" t="s">
        <v>22</v>
      </c>
      <c r="J5576" s="2" t="s">
        <v>42</v>
      </c>
      <c r="K5576" s="2" t="s">
        <v>3019</v>
      </c>
      <c r="L5576" t="s">
        <v>25</v>
      </c>
      <c r="M5576" s="8">
        <v>1.0693333330000001</v>
      </c>
      <c r="N5576" t="s">
        <v>26</v>
      </c>
      <c r="O5576" s="8">
        <v>1.0693333330000001</v>
      </c>
      <c r="P5576" s="8">
        <f>EXP(-1.363+3.366*LOG(O5576,10))</f>
        <v>0.28223780327142356</v>
      </c>
      <c r="Q5576" s="8">
        <f>(5996898*100)/6073515</f>
        <v>98.738506449724753</v>
      </c>
    </row>
    <row r="5577" spans="1:17" x14ac:dyDescent="0.2">
      <c r="A5577">
        <f>YEAR(D5577)</f>
        <v>2020</v>
      </c>
      <c r="B5577" t="s">
        <v>26</v>
      </c>
      <c r="C5577" s="2" t="s">
        <v>3018</v>
      </c>
      <c r="D5577" s="1">
        <v>44022</v>
      </c>
      <c r="E5577">
        <f>MONTH(D5577)</f>
        <v>7</v>
      </c>
      <c r="F5577" s="2" t="s">
        <v>19</v>
      </c>
      <c r="G5577" t="s">
        <v>20</v>
      </c>
      <c r="H5577" t="s">
        <v>171</v>
      </c>
      <c r="I5577" t="s">
        <v>22</v>
      </c>
      <c r="J5577" s="2" t="s">
        <v>42</v>
      </c>
      <c r="K5577" s="2" t="s">
        <v>3019</v>
      </c>
      <c r="L5577" t="s">
        <v>25</v>
      </c>
      <c r="M5577" s="8">
        <v>1.258</v>
      </c>
      <c r="N5577" t="s">
        <v>26</v>
      </c>
      <c r="O5577" s="8">
        <v>1.258</v>
      </c>
      <c r="P5577" s="8">
        <f>EXP(-1.363+3.366*LOG(O5577,10))</f>
        <v>0.35790955576548023</v>
      </c>
      <c r="Q5577" s="8">
        <f>(5996898*100)/6073515</f>
        <v>98.738506449724753</v>
      </c>
    </row>
    <row r="5578" spans="1:17" x14ac:dyDescent="0.2">
      <c r="A5578">
        <f>YEAR(D5578)</f>
        <v>2020</v>
      </c>
      <c r="B5578" t="s">
        <v>26</v>
      </c>
      <c r="C5578" s="2" t="s">
        <v>3018</v>
      </c>
      <c r="D5578" s="1">
        <v>44022</v>
      </c>
      <c r="E5578">
        <f>MONTH(D5578)</f>
        <v>7</v>
      </c>
      <c r="F5578" s="2" t="s">
        <v>19</v>
      </c>
      <c r="G5578" t="s">
        <v>352</v>
      </c>
      <c r="H5578" t="s">
        <v>623</v>
      </c>
      <c r="I5578" t="s">
        <v>22</v>
      </c>
      <c r="J5578" s="2" t="s">
        <v>42</v>
      </c>
      <c r="K5578" s="2" t="s">
        <v>3019</v>
      </c>
      <c r="L5578" t="s">
        <v>25</v>
      </c>
      <c r="M5578" s="8">
        <v>1.387</v>
      </c>
      <c r="N5578" t="s">
        <v>26</v>
      </c>
      <c r="O5578" s="8">
        <v>1.387</v>
      </c>
      <c r="P5578" s="8">
        <f>EXP(-1.363+3.366*LOG(O5578,10))</f>
        <v>0.41280884754947733</v>
      </c>
      <c r="Q5578" s="8">
        <f>(5996898*100)/6073515</f>
        <v>98.738506449724753</v>
      </c>
    </row>
    <row r="5579" spans="1:17" x14ac:dyDescent="0.2">
      <c r="A5579">
        <f>YEAR(D5579)</f>
        <v>2020</v>
      </c>
      <c r="B5579" t="e">
        <f>CONCATENATE(K5579,#REF!)</f>
        <v>#REF!</v>
      </c>
      <c r="C5579" s="2" t="s">
        <v>3018</v>
      </c>
      <c r="D5579" s="1">
        <v>44022</v>
      </c>
      <c r="E5579">
        <f>MONTH(D5579)</f>
        <v>7</v>
      </c>
      <c r="F5579" s="2" t="s">
        <v>19</v>
      </c>
      <c r="G5579" s="2" t="s">
        <v>20</v>
      </c>
      <c r="H5579" t="s">
        <v>103</v>
      </c>
      <c r="I5579" t="s">
        <v>22</v>
      </c>
      <c r="J5579" s="2" t="s">
        <v>42</v>
      </c>
      <c r="K5579" s="2" t="s">
        <v>3019</v>
      </c>
      <c r="L5579" t="s">
        <v>25</v>
      </c>
      <c r="M5579" s="8">
        <v>2.177</v>
      </c>
      <c r="N5579" t="s">
        <v>26</v>
      </c>
      <c r="O5579" s="8">
        <v>2.177</v>
      </c>
      <c r="P5579" s="8">
        <f>EXP(-1.363+3.366*LOG(O5579,10))</f>
        <v>0.79790277256387487</v>
      </c>
      <c r="Q5579" s="8">
        <f>(5996898*100)/6073515</f>
        <v>98.738506449724753</v>
      </c>
    </row>
    <row r="5580" spans="1:17" x14ac:dyDescent="0.2">
      <c r="A5580">
        <f>YEAR(D5580)</f>
        <v>2020</v>
      </c>
      <c r="B5580" t="s">
        <v>26</v>
      </c>
      <c r="C5580" s="2" t="s">
        <v>3027</v>
      </c>
      <c r="D5580" s="1">
        <v>44022</v>
      </c>
      <c r="E5580">
        <f>MONTH(D5580)</f>
        <v>7</v>
      </c>
      <c r="F5580" s="2" t="s">
        <v>19</v>
      </c>
      <c r="G5580" t="s">
        <v>352</v>
      </c>
      <c r="H5580" t="s">
        <v>623</v>
      </c>
      <c r="I5580" t="s">
        <v>36</v>
      </c>
      <c r="J5580" s="2" t="s">
        <v>42</v>
      </c>
      <c r="K5580" s="2" t="s">
        <v>3019</v>
      </c>
      <c r="L5580" t="s">
        <v>25</v>
      </c>
      <c r="M5580" s="8">
        <v>1.1339999999999999</v>
      </c>
      <c r="N5580" t="s">
        <v>26</v>
      </c>
      <c r="O5580" s="8">
        <v>1.1339999999999999</v>
      </c>
      <c r="P5580" s="8">
        <f>EXP(-1.363+3.366*LOG(O5580,10))</f>
        <v>0.30753312979708036</v>
      </c>
      <c r="Q5580" s="8">
        <f>(3939723*100)/4442581</f>
        <v>88.680949204977921</v>
      </c>
    </row>
    <row r="5581" spans="1:17" x14ac:dyDescent="0.2">
      <c r="A5581">
        <f>YEAR(D5581)</f>
        <v>2020</v>
      </c>
      <c r="B5581" t="s">
        <v>26</v>
      </c>
      <c r="C5581" s="2" t="s">
        <v>3027</v>
      </c>
      <c r="D5581" s="1">
        <v>44022</v>
      </c>
      <c r="E5581">
        <f>MONTH(D5581)</f>
        <v>7</v>
      </c>
      <c r="F5581" s="2" t="s">
        <v>19</v>
      </c>
      <c r="G5581" t="s">
        <v>352</v>
      </c>
      <c r="H5581" t="s">
        <v>975</v>
      </c>
      <c r="I5581" t="s">
        <v>22</v>
      </c>
      <c r="J5581" s="2" t="s">
        <v>42</v>
      </c>
      <c r="K5581" s="2" t="s">
        <v>3019</v>
      </c>
      <c r="L5581" t="s">
        <v>25</v>
      </c>
      <c r="M5581" s="8">
        <v>1.0693333330000001</v>
      </c>
      <c r="N5581" t="s">
        <v>26</v>
      </c>
      <c r="O5581" s="8">
        <v>1.0693333330000001</v>
      </c>
      <c r="P5581" s="8">
        <f>EXP(-1.363+3.366*LOG(O5581,10))</f>
        <v>0.28223780327142356</v>
      </c>
      <c r="Q5581" s="8">
        <f>(3939723*100)/4442581</f>
        <v>88.680949204977921</v>
      </c>
    </row>
    <row r="5582" spans="1:17" x14ac:dyDescent="0.2">
      <c r="A5582">
        <f>YEAR(D5582)</f>
        <v>2020</v>
      </c>
      <c r="B5582" t="s">
        <v>26</v>
      </c>
      <c r="C5582" s="2" t="s">
        <v>3027</v>
      </c>
      <c r="D5582" s="1">
        <v>44022</v>
      </c>
      <c r="E5582">
        <f>MONTH(D5582)</f>
        <v>7</v>
      </c>
      <c r="F5582" s="2" t="s">
        <v>19</v>
      </c>
      <c r="G5582" t="s">
        <v>352</v>
      </c>
      <c r="H5582" t="s">
        <v>623</v>
      </c>
      <c r="I5582" t="s">
        <v>22</v>
      </c>
      <c r="J5582" s="2" t="s">
        <v>42</v>
      </c>
      <c r="K5582" s="2" t="s">
        <v>3019</v>
      </c>
      <c r="L5582" t="s">
        <v>25</v>
      </c>
      <c r="M5582" s="8">
        <v>1.387</v>
      </c>
      <c r="N5582" t="s">
        <v>26</v>
      </c>
      <c r="O5582" s="8">
        <v>1.387</v>
      </c>
      <c r="P5582" s="8">
        <f>EXP(-1.363+3.366*LOG(O5582,10))</f>
        <v>0.41280884754947733</v>
      </c>
      <c r="Q5582" s="8">
        <f>(3939723*100)/4442581</f>
        <v>88.680949204977921</v>
      </c>
    </row>
    <row r="5583" spans="1:17" x14ac:dyDescent="0.2">
      <c r="A5583">
        <f>YEAR(D5583)</f>
        <v>2020</v>
      </c>
      <c r="B5583" t="s">
        <v>26</v>
      </c>
      <c r="C5583" s="2" t="s">
        <v>3027</v>
      </c>
      <c r="D5583" s="1">
        <v>44022</v>
      </c>
      <c r="E5583">
        <f>MONTH(D5583)</f>
        <v>7</v>
      </c>
      <c r="F5583" s="2" t="s">
        <v>19</v>
      </c>
      <c r="G5583" t="s">
        <v>352</v>
      </c>
      <c r="H5583" t="s">
        <v>623</v>
      </c>
      <c r="I5583" t="s">
        <v>22</v>
      </c>
      <c r="J5583" s="2" t="s">
        <v>42</v>
      </c>
      <c r="K5583" s="2" t="s">
        <v>3019</v>
      </c>
      <c r="L5583" t="s">
        <v>25</v>
      </c>
      <c r="M5583" s="8">
        <v>1.387</v>
      </c>
      <c r="N5583" t="s">
        <v>26</v>
      </c>
      <c r="O5583" s="8">
        <v>1.387</v>
      </c>
      <c r="P5583" s="8">
        <f>EXP(-1.363+3.366*LOG(O5583,10))</f>
        <v>0.41280884754947733</v>
      </c>
      <c r="Q5583" s="8">
        <f>(3939723*100)/4442581</f>
        <v>88.680949204977921</v>
      </c>
    </row>
    <row r="5584" spans="1:17" x14ac:dyDescent="0.2">
      <c r="A5584">
        <f>YEAR(D5584)</f>
        <v>2020</v>
      </c>
      <c r="B5584" t="s">
        <v>26</v>
      </c>
      <c r="C5584" s="2" t="s">
        <v>3027</v>
      </c>
      <c r="D5584" s="1">
        <v>44022</v>
      </c>
      <c r="E5584">
        <f>MONTH(D5584)</f>
        <v>7</v>
      </c>
      <c r="F5584" s="2" t="s">
        <v>19</v>
      </c>
      <c r="G5584" t="s">
        <v>352</v>
      </c>
      <c r="H5584" t="s">
        <v>975</v>
      </c>
      <c r="I5584" t="s">
        <v>22</v>
      </c>
      <c r="J5584" s="2" t="s">
        <v>42</v>
      </c>
      <c r="K5584" s="2" t="s">
        <v>3019</v>
      </c>
      <c r="L5584" t="s">
        <v>25</v>
      </c>
      <c r="M5584" s="8">
        <v>1.0693333330000001</v>
      </c>
      <c r="N5584" t="s">
        <v>26</v>
      </c>
      <c r="O5584" s="8">
        <v>1.0693333330000001</v>
      </c>
      <c r="P5584" s="8">
        <f>EXP(-1.363+3.366*LOG(O5584,10))</f>
        <v>0.28223780327142356</v>
      </c>
      <c r="Q5584" s="8">
        <f>(3939723*100)/4442581</f>
        <v>88.680949204977921</v>
      </c>
    </row>
    <row r="5585" spans="1:17" x14ac:dyDescent="0.2">
      <c r="A5585">
        <f>YEAR(D5585)</f>
        <v>2020</v>
      </c>
      <c r="B5585" t="s">
        <v>26</v>
      </c>
      <c r="C5585" s="2" t="s">
        <v>3018</v>
      </c>
      <c r="D5585" s="1">
        <v>44022</v>
      </c>
      <c r="E5585">
        <f>MONTH(D5585)</f>
        <v>7</v>
      </c>
      <c r="F5585" s="2" t="s">
        <v>19</v>
      </c>
      <c r="G5585" s="2" t="s">
        <v>303</v>
      </c>
      <c r="H5585" t="s">
        <v>3057</v>
      </c>
      <c r="I5585" t="s">
        <v>22</v>
      </c>
      <c r="J5585" s="2" t="s">
        <v>42</v>
      </c>
      <c r="K5585" s="2" t="s">
        <v>3019</v>
      </c>
      <c r="L5585" t="s">
        <v>305</v>
      </c>
      <c r="M5585" s="8">
        <v>0.94299999999999995</v>
      </c>
      <c r="N5585" t="s">
        <v>26</v>
      </c>
      <c r="O5585" s="8">
        <v>0.94299999999999995</v>
      </c>
      <c r="P5585" s="8">
        <f>EXP(-1.363+3.366*LOG(O5585,10))</f>
        <v>0.23485343453327462</v>
      </c>
      <c r="Q5585" s="8">
        <f>(5996898*100)/6073515</f>
        <v>98.738506449724753</v>
      </c>
    </row>
    <row r="5586" spans="1:17" x14ac:dyDescent="0.2">
      <c r="A5586">
        <f>YEAR(D5586)</f>
        <v>2020</v>
      </c>
      <c r="B5586" t="s">
        <v>26</v>
      </c>
      <c r="C5586" s="2" t="s">
        <v>3018</v>
      </c>
      <c r="D5586" s="1">
        <v>44022</v>
      </c>
      <c r="E5586">
        <f>MONTH(D5586)</f>
        <v>7</v>
      </c>
      <c r="F5586" s="2" t="s">
        <v>19</v>
      </c>
      <c r="G5586" t="s">
        <v>352</v>
      </c>
      <c r="H5586" t="s">
        <v>1394</v>
      </c>
      <c r="I5586" t="s">
        <v>22</v>
      </c>
      <c r="J5586" s="2" t="s">
        <v>42</v>
      </c>
      <c r="K5586" s="2" t="s">
        <v>3019</v>
      </c>
      <c r="L5586" t="s">
        <v>25</v>
      </c>
      <c r="M5586" s="8">
        <v>1.2776666670000001</v>
      </c>
      <c r="N5586" t="s">
        <v>26</v>
      </c>
      <c r="O5586" s="8">
        <v>1.2776666670000001</v>
      </c>
      <c r="P5586" s="8">
        <f>EXP(-1.363+3.366*LOG(O5586,10))</f>
        <v>0.36611840850570582</v>
      </c>
      <c r="Q5586" s="8">
        <f>(5996898*100)/6073515</f>
        <v>98.738506449724753</v>
      </c>
    </row>
    <row r="5587" spans="1:17" x14ac:dyDescent="0.2">
      <c r="A5587">
        <f>YEAR(D5587)</f>
        <v>2020</v>
      </c>
      <c r="B5587" t="s">
        <v>26</v>
      </c>
      <c r="C5587" s="2" t="s">
        <v>3018</v>
      </c>
      <c r="D5587" s="1">
        <v>44022</v>
      </c>
      <c r="E5587">
        <f>MONTH(D5587)</f>
        <v>7</v>
      </c>
      <c r="F5587" s="2" t="s">
        <v>19</v>
      </c>
      <c r="G5587" t="s">
        <v>352</v>
      </c>
      <c r="H5587" t="s">
        <v>1459</v>
      </c>
      <c r="I5587" t="s">
        <v>22</v>
      </c>
      <c r="J5587" s="2" t="s">
        <v>42</v>
      </c>
      <c r="K5587" s="2" t="s">
        <v>3019</v>
      </c>
      <c r="L5587" t="s">
        <v>25</v>
      </c>
      <c r="M5587" s="8">
        <v>1.1910000000000001</v>
      </c>
      <c r="N5587" t="s">
        <v>26</v>
      </c>
      <c r="O5587" s="8">
        <v>1.1910000000000001</v>
      </c>
      <c r="P5587" s="8">
        <f>EXP(-1.363+3.366*LOG(O5587,10))</f>
        <v>0.33039016297752993</v>
      </c>
      <c r="Q5587" s="8">
        <f>(5996898*100)/6073515</f>
        <v>98.738506449724753</v>
      </c>
    </row>
    <row r="5588" spans="1:17" x14ac:dyDescent="0.2">
      <c r="A5588">
        <f>YEAR(D5588)</f>
        <v>2020</v>
      </c>
      <c r="B5588" t="s">
        <v>26</v>
      </c>
      <c r="C5588" s="2" t="s">
        <v>3018</v>
      </c>
      <c r="D5588" s="1">
        <v>44022</v>
      </c>
      <c r="E5588">
        <f>MONTH(D5588)</f>
        <v>7</v>
      </c>
      <c r="F5588" s="2" t="s">
        <v>19</v>
      </c>
      <c r="G5588" t="s">
        <v>352</v>
      </c>
      <c r="H5588" t="s">
        <v>623</v>
      </c>
      <c r="I5588" t="s">
        <v>22</v>
      </c>
      <c r="J5588" s="2" t="s">
        <v>42</v>
      </c>
      <c r="K5588" s="2" t="s">
        <v>3019</v>
      </c>
      <c r="L5588" t="s">
        <v>25</v>
      </c>
      <c r="M5588" s="8">
        <v>1.387</v>
      </c>
      <c r="N5588" t="s">
        <v>26</v>
      </c>
      <c r="O5588" s="8">
        <v>1.387</v>
      </c>
      <c r="P5588" s="8">
        <f>EXP(-1.363+3.366*LOG(O5588,10))</f>
        <v>0.41280884754947733</v>
      </c>
      <c r="Q5588" s="8">
        <f>(5996898*100)/6073515</f>
        <v>98.738506449724753</v>
      </c>
    </row>
    <row r="5589" spans="1:17" x14ac:dyDescent="0.2">
      <c r="A5589">
        <f>YEAR(D5589)</f>
        <v>2020</v>
      </c>
      <c r="B5589" t="e">
        <f>CONCATENATE(K5589,#REF!)</f>
        <v>#REF!</v>
      </c>
      <c r="C5589" s="2" t="s">
        <v>3018</v>
      </c>
      <c r="D5589" s="1">
        <v>44022</v>
      </c>
      <c r="E5589">
        <f>MONTH(D5589)</f>
        <v>7</v>
      </c>
      <c r="F5589" s="2" t="s">
        <v>19</v>
      </c>
      <c r="G5589" s="2" t="s">
        <v>20</v>
      </c>
      <c r="H5589" t="s">
        <v>103</v>
      </c>
      <c r="I5589" t="s">
        <v>22</v>
      </c>
      <c r="J5589" s="2" t="s">
        <v>42</v>
      </c>
      <c r="K5589" s="2" t="s">
        <v>3019</v>
      </c>
      <c r="L5589" t="s">
        <v>25</v>
      </c>
      <c r="M5589" s="8">
        <v>2.177</v>
      </c>
      <c r="N5589" t="s">
        <v>26</v>
      </c>
      <c r="O5589" s="8">
        <v>2.177</v>
      </c>
      <c r="P5589" s="8">
        <f>EXP(-1.363+3.366*LOG(O5589,10))</f>
        <v>0.79790277256387487</v>
      </c>
      <c r="Q5589" s="8">
        <f>(5996898*100)/6073515</f>
        <v>98.738506449724753</v>
      </c>
    </row>
    <row r="5590" spans="1:17" x14ac:dyDescent="0.2">
      <c r="A5590">
        <f>YEAR(D5590)</f>
        <v>2020</v>
      </c>
      <c r="B5590" t="s">
        <v>26</v>
      </c>
      <c r="C5590" s="2" t="s">
        <v>3018</v>
      </c>
      <c r="D5590" s="1">
        <v>44022</v>
      </c>
      <c r="E5590">
        <f>MONTH(D5590)</f>
        <v>7</v>
      </c>
      <c r="F5590" s="2" t="s">
        <v>19</v>
      </c>
      <c r="G5590" t="s">
        <v>352</v>
      </c>
      <c r="H5590" t="s">
        <v>975</v>
      </c>
      <c r="I5590" t="s">
        <v>22</v>
      </c>
      <c r="J5590" s="2" t="s">
        <v>42</v>
      </c>
      <c r="K5590" s="2" t="s">
        <v>3019</v>
      </c>
      <c r="L5590" t="s">
        <v>25</v>
      </c>
      <c r="M5590" s="8">
        <v>1.0693333330000001</v>
      </c>
      <c r="N5590" t="s">
        <v>26</v>
      </c>
      <c r="O5590" s="8">
        <v>1.0693333330000001</v>
      </c>
      <c r="P5590" s="8">
        <f>EXP(-1.363+3.366*LOG(O5590,10))</f>
        <v>0.28223780327142356</v>
      </c>
      <c r="Q5590" s="8">
        <f>(5996898*100)/6073515</f>
        <v>98.738506449724753</v>
      </c>
    </row>
    <row r="5591" spans="1:17" x14ac:dyDescent="0.2">
      <c r="A5591">
        <f>YEAR(D5591)</f>
        <v>2020</v>
      </c>
      <c r="B5591" t="s">
        <v>26</v>
      </c>
      <c r="C5591" s="2" t="s">
        <v>3018</v>
      </c>
      <c r="D5591" s="1">
        <v>44022</v>
      </c>
      <c r="E5591">
        <f>MONTH(D5591)</f>
        <v>7</v>
      </c>
      <c r="F5591" s="2" t="s">
        <v>19</v>
      </c>
      <c r="G5591" t="s">
        <v>352</v>
      </c>
      <c r="H5591" t="s">
        <v>623</v>
      </c>
      <c r="I5591" t="s">
        <v>22</v>
      </c>
      <c r="J5591" s="2" t="s">
        <v>42</v>
      </c>
      <c r="K5591" s="2" t="s">
        <v>3019</v>
      </c>
      <c r="L5591" t="s">
        <v>25</v>
      </c>
      <c r="M5591" s="8">
        <v>1.387</v>
      </c>
      <c r="N5591" t="s">
        <v>26</v>
      </c>
      <c r="O5591" s="8">
        <v>1.387</v>
      </c>
      <c r="P5591" s="8">
        <f>EXP(-1.363+3.366*LOG(O5591,10))</f>
        <v>0.41280884754947733</v>
      </c>
      <c r="Q5591" s="8">
        <f>(5996898*100)/6073515</f>
        <v>98.738506449724753</v>
      </c>
    </row>
    <row r="5592" spans="1:17" x14ac:dyDescent="0.2">
      <c r="A5592">
        <f>YEAR(D5592)</f>
        <v>2020</v>
      </c>
      <c r="B5592" t="s">
        <v>26</v>
      </c>
      <c r="C5592" s="2" t="s">
        <v>3018</v>
      </c>
      <c r="D5592" s="1">
        <v>44022</v>
      </c>
      <c r="E5592">
        <f>MONTH(D5592)</f>
        <v>7</v>
      </c>
      <c r="F5592" s="2" t="s">
        <v>19</v>
      </c>
      <c r="G5592" t="s">
        <v>20</v>
      </c>
      <c r="H5592" t="s">
        <v>149</v>
      </c>
      <c r="I5592" t="s">
        <v>22</v>
      </c>
      <c r="J5592" s="2" t="s">
        <v>42</v>
      </c>
      <c r="K5592" s="2" t="s">
        <v>3019</v>
      </c>
      <c r="L5592" t="s">
        <v>25</v>
      </c>
      <c r="M5592" s="8">
        <v>1.45</v>
      </c>
      <c r="N5592" t="s">
        <v>26</v>
      </c>
      <c r="O5592" s="8">
        <v>1.45</v>
      </c>
      <c r="P5592" s="8">
        <f>EXP(-1.363+3.366*LOG(O5592,10))</f>
        <v>0.44050419760124854</v>
      </c>
      <c r="Q5592" s="8">
        <f>(5996898*100)/6073515</f>
        <v>98.738506449724753</v>
      </c>
    </row>
    <row r="5593" spans="1:17" x14ac:dyDescent="0.2">
      <c r="A5593">
        <f>YEAR(D5593)</f>
        <v>2020</v>
      </c>
      <c r="B5593" t="s">
        <v>26</v>
      </c>
      <c r="C5593" s="2" t="s">
        <v>3023</v>
      </c>
      <c r="D5593" s="1">
        <v>44020</v>
      </c>
      <c r="E5593">
        <f>MONTH(D5593)</f>
        <v>7</v>
      </c>
      <c r="F5593" s="2" t="s">
        <v>19</v>
      </c>
      <c r="G5593" s="2" t="s">
        <v>332</v>
      </c>
      <c r="H5593" t="s">
        <v>3055</v>
      </c>
      <c r="I5593" t="s">
        <v>22</v>
      </c>
      <c r="J5593" s="2" t="s">
        <v>42</v>
      </c>
      <c r="K5593" s="2" t="s">
        <v>3019</v>
      </c>
      <c r="L5593" t="s">
        <v>25</v>
      </c>
      <c r="M5593" s="8">
        <v>1.2350000000000001</v>
      </c>
      <c r="N5593" t="s">
        <v>26</v>
      </c>
      <c r="O5593" s="8">
        <v>1.2350000000000001</v>
      </c>
      <c r="P5593" s="8">
        <f>EXP(-1.363+3.366*LOG(O5593,10))</f>
        <v>0.34838432697611055</v>
      </c>
      <c r="Q5593" s="8">
        <f>(8197453*100)/8541008</f>
        <v>95.977582505484136</v>
      </c>
    </row>
    <row r="5594" spans="1:17" x14ac:dyDescent="0.2">
      <c r="A5594">
        <f>YEAR(D5594)</f>
        <v>2020</v>
      </c>
      <c r="B5594" t="s">
        <v>26</v>
      </c>
      <c r="C5594" s="2" t="s">
        <v>3023</v>
      </c>
      <c r="D5594" s="1">
        <v>44020</v>
      </c>
      <c r="E5594">
        <f>MONTH(D5594)</f>
        <v>7</v>
      </c>
      <c r="F5594" s="2" t="s">
        <v>19</v>
      </c>
      <c r="G5594" t="s">
        <v>20</v>
      </c>
      <c r="H5594" t="s">
        <v>149</v>
      </c>
      <c r="I5594" t="s">
        <v>36</v>
      </c>
      <c r="J5594" s="2" t="s">
        <v>42</v>
      </c>
      <c r="K5594" s="2" t="s">
        <v>3019</v>
      </c>
      <c r="L5594" t="s">
        <v>25</v>
      </c>
      <c r="M5594" s="8">
        <v>1.032666667</v>
      </c>
      <c r="N5594" t="s">
        <v>26</v>
      </c>
      <c r="O5594" s="8">
        <v>1.032666667</v>
      </c>
      <c r="P5594" s="8">
        <f>EXP(-1.363+3.366*LOG(O5594,10))</f>
        <v>0.26820327281159584</v>
      </c>
      <c r="Q5594" s="8">
        <f>(8197453*100)/8541008</f>
        <v>95.977582505484136</v>
      </c>
    </row>
    <row r="5595" spans="1:17" x14ac:dyDescent="0.2">
      <c r="A5595">
        <f>YEAR(D5595)</f>
        <v>2020</v>
      </c>
      <c r="B5595" t="s">
        <v>26</v>
      </c>
      <c r="C5595" s="2" t="s">
        <v>1540</v>
      </c>
      <c r="D5595" s="1">
        <v>44015</v>
      </c>
      <c r="E5595">
        <f>MONTH(D5595)</f>
        <v>7</v>
      </c>
      <c r="F5595" s="2" t="s">
        <v>19</v>
      </c>
      <c r="G5595" t="s">
        <v>352</v>
      </c>
      <c r="H5595" t="s">
        <v>975</v>
      </c>
      <c r="I5595" t="s">
        <v>22</v>
      </c>
      <c r="J5595" s="2" t="s">
        <v>42</v>
      </c>
      <c r="K5595" s="2" t="s">
        <v>3019</v>
      </c>
      <c r="L5595" t="s">
        <v>25</v>
      </c>
      <c r="M5595" s="8">
        <v>1.0693333330000001</v>
      </c>
      <c r="N5595" t="s">
        <v>26</v>
      </c>
      <c r="O5595" s="8">
        <v>1.0693333330000001</v>
      </c>
      <c r="P5595" s="8">
        <f>EXP(-1.363+3.366*LOG(O5595,10))</f>
        <v>0.28223780327142356</v>
      </c>
      <c r="Q5595" s="8">
        <f>(2618262*100)/2995732</f>
        <v>87.399740697766021</v>
      </c>
    </row>
    <row r="5596" spans="1:17" x14ac:dyDescent="0.2">
      <c r="A5596">
        <f>YEAR(D5596)</f>
        <v>2020</v>
      </c>
      <c r="B5596" t="s">
        <v>26</v>
      </c>
      <c r="C5596" s="2" t="s">
        <v>1540</v>
      </c>
      <c r="D5596" s="1">
        <v>44015</v>
      </c>
      <c r="E5596">
        <f>MONTH(D5596)</f>
        <v>7</v>
      </c>
      <c r="F5596" s="2" t="s">
        <v>19</v>
      </c>
      <c r="G5596" t="s">
        <v>352</v>
      </c>
      <c r="H5596" t="s">
        <v>623</v>
      </c>
      <c r="I5596" t="s">
        <v>22</v>
      </c>
      <c r="J5596" s="2" t="s">
        <v>42</v>
      </c>
      <c r="K5596" s="2" t="s">
        <v>3019</v>
      </c>
      <c r="L5596" t="s">
        <v>25</v>
      </c>
      <c r="M5596" s="8">
        <v>1.387</v>
      </c>
      <c r="N5596" t="s">
        <v>26</v>
      </c>
      <c r="O5596" s="8">
        <v>1.387</v>
      </c>
      <c r="P5596" s="8">
        <f>EXP(-1.363+3.366*LOG(O5596,10))</f>
        <v>0.41280884754947733</v>
      </c>
      <c r="Q5596" s="8">
        <f>(2618262*100)/2995732</f>
        <v>87.399740697766021</v>
      </c>
    </row>
    <row r="5597" spans="1:17" x14ac:dyDescent="0.2">
      <c r="A5597">
        <f>YEAR(D5597)</f>
        <v>2020</v>
      </c>
      <c r="B5597" t="s">
        <v>26</v>
      </c>
      <c r="C5597" s="2" t="s">
        <v>1540</v>
      </c>
      <c r="D5597" s="1">
        <v>44015</v>
      </c>
      <c r="E5597">
        <f>MONTH(D5597)</f>
        <v>7</v>
      </c>
      <c r="F5597" s="2" t="s">
        <v>19</v>
      </c>
      <c r="G5597" t="s">
        <v>352</v>
      </c>
      <c r="H5597" t="s">
        <v>747</v>
      </c>
      <c r="I5597" t="s">
        <v>22</v>
      </c>
      <c r="J5597" s="2" t="s">
        <v>42</v>
      </c>
      <c r="K5597" s="2" t="s">
        <v>3019</v>
      </c>
      <c r="L5597" t="s">
        <v>25</v>
      </c>
      <c r="M5597" s="8">
        <v>1.3726666670000001</v>
      </c>
      <c r="N5597" t="s">
        <v>26</v>
      </c>
      <c r="O5597" s="8">
        <v>1.3726666670000001</v>
      </c>
      <c r="P5597" s="8">
        <f>EXP(-1.363+3.366*LOG(O5597,10))</f>
        <v>0.40658758379567089</v>
      </c>
      <c r="Q5597" s="8">
        <f>(2618262*100)/2995732</f>
        <v>87.399740697766021</v>
      </c>
    </row>
    <row r="5598" spans="1:17" x14ac:dyDescent="0.2">
      <c r="A5598">
        <f>YEAR(D5598)</f>
        <v>2020</v>
      </c>
      <c r="B5598" t="s">
        <v>26</v>
      </c>
      <c r="C5598" s="2" t="s">
        <v>3025</v>
      </c>
      <c r="D5598" s="1">
        <v>44014</v>
      </c>
      <c r="E5598">
        <f>MONTH(D5598)</f>
        <v>7</v>
      </c>
      <c r="F5598" s="2" t="s">
        <v>19</v>
      </c>
      <c r="G5598" t="s">
        <v>352</v>
      </c>
      <c r="H5598" t="s">
        <v>610</v>
      </c>
      <c r="I5598" t="s">
        <v>22</v>
      </c>
      <c r="J5598" s="2" t="s">
        <v>42</v>
      </c>
      <c r="K5598" s="2" t="s">
        <v>3019</v>
      </c>
      <c r="L5598" t="s">
        <v>25</v>
      </c>
      <c r="M5598" s="8">
        <v>0.86499999999999999</v>
      </c>
      <c r="N5598" t="s">
        <v>26</v>
      </c>
      <c r="O5598" s="8">
        <v>0.86499999999999999</v>
      </c>
      <c r="P5598" s="8">
        <f>EXP(-1.363+3.366*LOG(O5598,10))</f>
        <v>0.20700676972346591</v>
      </c>
      <c r="Q5598" s="8">
        <f>(1955155*100)/2180255</f>
        <v>89.67551960665152</v>
      </c>
    </row>
    <row r="5599" spans="1:17" x14ac:dyDescent="0.2">
      <c r="A5599">
        <f>YEAR(D5599)</f>
        <v>2020</v>
      </c>
      <c r="B5599" t="s">
        <v>26</v>
      </c>
      <c r="C5599" s="2" t="s">
        <v>3025</v>
      </c>
      <c r="D5599" s="1">
        <v>44014</v>
      </c>
      <c r="E5599">
        <f>MONTH(D5599)</f>
        <v>7</v>
      </c>
      <c r="F5599" s="2" t="s">
        <v>19</v>
      </c>
      <c r="G5599" t="s">
        <v>352</v>
      </c>
      <c r="H5599" t="s">
        <v>610</v>
      </c>
      <c r="I5599" t="s">
        <v>36</v>
      </c>
      <c r="J5599" s="2" t="s">
        <v>42</v>
      </c>
      <c r="K5599" s="2" t="s">
        <v>3019</v>
      </c>
      <c r="L5599" t="s">
        <v>25</v>
      </c>
      <c r="M5599" s="8">
        <v>0.878</v>
      </c>
      <c r="N5599" t="s">
        <v>26</v>
      </c>
      <c r="O5599" s="8">
        <v>0.878</v>
      </c>
      <c r="P5599" s="8">
        <f>EXP(-1.363+3.366*LOG(O5599,10))</f>
        <v>0.2115704033642706</v>
      </c>
      <c r="Q5599" s="8">
        <f>(1955155*100)/2180255</f>
        <v>89.67551960665152</v>
      </c>
    </row>
    <row r="5600" spans="1:17" x14ac:dyDescent="0.2">
      <c r="A5600">
        <f>YEAR(D5600)</f>
        <v>2020</v>
      </c>
      <c r="B5600" t="s">
        <v>26</v>
      </c>
      <c r="C5600" s="2" t="s">
        <v>3025</v>
      </c>
      <c r="D5600" s="1">
        <v>44014</v>
      </c>
      <c r="E5600">
        <f>MONTH(D5600)</f>
        <v>7</v>
      </c>
      <c r="F5600" s="2" t="s">
        <v>19</v>
      </c>
      <c r="G5600" t="s">
        <v>352</v>
      </c>
      <c r="H5600" t="s">
        <v>610</v>
      </c>
      <c r="I5600" t="s">
        <v>22</v>
      </c>
      <c r="J5600" s="2" t="s">
        <v>42</v>
      </c>
      <c r="K5600" s="2" t="s">
        <v>3019</v>
      </c>
      <c r="L5600" t="s">
        <v>25</v>
      </c>
      <c r="M5600" s="8">
        <v>0.86499999999999999</v>
      </c>
      <c r="N5600" t="s">
        <v>26</v>
      </c>
      <c r="O5600" s="8">
        <v>0.86499999999999999</v>
      </c>
      <c r="P5600" s="8">
        <f>EXP(-1.363+3.366*LOG(O5600,10))</f>
        <v>0.20700676972346591</v>
      </c>
      <c r="Q5600" s="8">
        <f>(1955155*100)/2180255</f>
        <v>89.67551960665152</v>
      </c>
    </row>
    <row r="5601" spans="1:17" x14ac:dyDescent="0.2">
      <c r="A5601">
        <f>YEAR(D5601)</f>
        <v>2020</v>
      </c>
      <c r="B5601" t="s">
        <v>26</v>
      </c>
      <c r="C5601" s="2" t="s">
        <v>3025</v>
      </c>
      <c r="D5601" s="1">
        <v>44014</v>
      </c>
      <c r="E5601">
        <f>MONTH(D5601)</f>
        <v>7</v>
      </c>
      <c r="F5601" s="2" t="s">
        <v>19</v>
      </c>
      <c r="G5601" t="s">
        <v>352</v>
      </c>
      <c r="H5601" t="s">
        <v>1344</v>
      </c>
      <c r="I5601" t="s">
        <v>22</v>
      </c>
      <c r="J5601" s="2" t="s">
        <v>42</v>
      </c>
      <c r="K5601" s="2" t="s">
        <v>3019</v>
      </c>
      <c r="L5601" t="s">
        <v>25</v>
      </c>
      <c r="M5601" s="8">
        <v>0.91800000000000004</v>
      </c>
      <c r="N5601" t="s">
        <v>26</v>
      </c>
      <c r="O5601" s="8">
        <v>0.91800000000000004</v>
      </c>
      <c r="P5601" s="8">
        <f>EXP(-1.363+3.366*LOG(O5601,10))</f>
        <v>0.22580769814771504</v>
      </c>
      <c r="Q5601" s="8">
        <f>(1955155*100)/2180255</f>
        <v>89.67551960665152</v>
      </c>
    </row>
    <row r="5602" spans="1:17" x14ac:dyDescent="0.2">
      <c r="A5602">
        <f>YEAR(D5602)</f>
        <v>2020</v>
      </c>
      <c r="B5602" t="s">
        <v>26</v>
      </c>
      <c r="C5602" s="2" t="s">
        <v>3025</v>
      </c>
      <c r="D5602" s="1">
        <v>44014</v>
      </c>
      <c r="E5602">
        <f>MONTH(D5602)</f>
        <v>7</v>
      </c>
      <c r="F5602" s="2" t="s">
        <v>19</v>
      </c>
      <c r="G5602" t="s">
        <v>352</v>
      </c>
      <c r="H5602" t="s">
        <v>975</v>
      </c>
      <c r="I5602" t="s">
        <v>36</v>
      </c>
      <c r="J5602" s="2" t="s">
        <v>42</v>
      </c>
      <c r="K5602" s="2" t="s">
        <v>3019</v>
      </c>
      <c r="L5602" t="s">
        <v>25</v>
      </c>
      <c r="M5602" s="8">
        <v>0.95199999999999996</v>
      </c>
      <c r="N5602" t="s">
        <v>26</v>
      </c>
      <c r="O5602" s="8">
        <v>0.95199999999999996</v>
      </c>
      <c r="P5602" s="8">
        <f>EXP(-1.363+3.366*LOG(O5602,10))</f>
        <v>0.23813726407794436</v>
      </c>
      <c r="Q5602" s="8">
        <f>(1955155*100)/2180255</f>
        <v>89.67551960665152</v>
      </c>
    </row>
    <row r="5603" spans="1:17" x14ac:dyDescent="0.2">
      <c r="A5603">
        <f>YEAR(D5603)</f>
        <v>2020</v>
      </c>
      <c r="B5603" t="s">
        <v>26</v>
      </c>
      <c r="C5603" s="2" t="s">
        <v>3025</v>
      </c>
      <c r="D5603" s="1">
        <v>44014</v>
      </c>
      <c r="E5603">
        <f>MONTH(D5603)</f>
        <v>7</v>
      </c>
      <c r="F5603" s="2" t="s">
        <v>19</v>
      </c>
      <c r="G5603" t="s">
        <v>352</v>
      </c>
      <c r="H5603" t="s">
        <v>747</v>
      </c>
      <c r="I5603" t="s">
        <v>22</v>
      </c>
      <c r="J5603" s="2" t="s">
        <v>42</v>
      </c>
      <c r="K5603" s="2" t="s">
        <v>3019</v>
      </c>
      <c r="L5603" t="s">
        <v>25</v>
      </c>
      <c r="M5603" s="8">
        <v>1.3726666670000001</v>
      </c>
      <c r="N5603" t="s">
        <v>26</v>
      </c>
      <c r="O5603" s="8">
        <v>1.3726666670000001</v>
      </c>
      <c r="P5603" s="8">
        <f>EXP(-1.363+3.366*LOG(O5603,10))</f>
        <v>0.40658758379567089</v>
      </c>
      <c r="Q5603" s="8">
        <f>(1955155*100)/2180255</f>
        <v>89.67551960665152</v>
      </c>
    </row>
    <row r="5604" spans="1:17" x14ac:dyDescent="0.2">
      <c r="A5604">
        <f>YEAR(D5604)</f>
        <v>2020</v>
      </c>
      <c r="B5604" t="s">
        <v>26</v>
      </c>
      <c r="C5604" s="2" t="s">
        <v>3025</v>
      </c>
      <c r="D5604" s="1">
        <v>44014</v>
      </c>
      <c r="E5604">
        <f>MONTH(D5604)</f>
        <v>7</v>
      </c>
      <c r="F5604" s="2" t="s">
        <v>19</v>
      </c>
      <c r="G5604" t="s">
        <v>352</v>
      </c>
      <c r="H5604" t="s">
        <v>1142</v>
      </c>
      <c r="I5604" t="s">
        <v>22</v>
      </c>
      <c r="J5604" s="2" t="s">
        <v>42</v>
      </c>
      <c r="K5604" s="2" t="s">
        <v>3019</v>
      </c>
      <c r="L5604" t="s">
        <v>25</v>
      </c>
      <c r="M5604" s="8">
        <v>1.1423333330000001</v>
      </c>
      <c r="N5604" t="s">
        <v>26</v>
      </c>
      <c r="O5604" s="8">
        <v>1.1423333330000001</v>
      </c>
      <c r="P5604" s="8">
        <f>EXP(-1.363+3.366*LOG(O5604,10))</f>
        <v>0.31084239358261528</v>
      </c>
      <c r="Q5604" s="8">
        <f>(1955155*100)/2180255</f>
        <v>89.67551960665152</v>
      </c>
    </row>
    <row r="5605" spans="1:17" x14ac:dyDescent="0.2">
      <c r="A5605">
        <f>YEAR(D5605)</f>
        <v>2020</v>
      </c>
      <c r="B5605" t="s">
        <v>26</v>
      </c>
      <c r="C5605" s="2" t="s">
        <v>3025</v>
      </c>
      <c r="D5605" s="1">
        <v>44014</v>
      </c>
      <c r="E5605">
        <f>MONTH(D5605)</f>
        <v>7</v>
      </c>
      <c r="F5605" s="2" t="s">
        <v>19</v>
      </c>
      <c r="G5605" t="s">
        <v>352</v>
      </c>
      <c r="H5605" t="s">
        <v>747</v>
      </c>
      <c r="I5605" t="s">
        <v>22</v>
      </c>
      <c r="J5605" s="2" t="s">
        <v>42</v>
      </c>
      <c r="K5605" s="2" t="s">
        <v>3019</v>
      </c>
      <c r="L5605" t="s">
        <v>25</v>
      </c>
      <c r="M5605" s="8">
        <v>1.3726666670000001</v>
      </c>
      <c r="N5605" t="s">
        <v>26</v>
      </c>
      <c r="O5605" s="8">
        <v>1.3726666670000001</v>
      </c>
      <c r="P5605" s="8">
        <f>EXP(-1.363+3.366*LOG(O5605,10))</f>
        <v>0.40658758379567089</v>
      </c>
      <c r="Q5605" s="8">
        <f>(1955155*100)/2180255</f>
        <v>89.67551960665152</v>
      </c>
    </row>
    <row r="5606" spans="1:17" x14ac:dyDescent="0.2">
      <c r="A5606">
        <f>YEAR(D5606)</f>
        <v>2020</v>
      </c>
      <c r="B5606" t="s">
        <v>26</v>
      </c>
      <c r="C5606" s="2" t="s">
        <v>3018</v>
      </c>
      <c r="D5606" s="1">
        <v>44022</v>
      </c>
      <c r="E5606">
        <f>MONTH(D5606)</f>
        <v>7</v>
      </c>
      <c r="F5606" s="2" t="s">
        <v>19</v>
      </c>
      <c r="G5606" t="s">
        <v>352</v>
      </c>
      <c r="H5606" t="s">
        <v>353</v>
      </c>
      <c r="I5606" t="s">
        <v>22</v>
      </c>
      <c r="J5606" s="2" t="s">
        <v>42</v>
      </c>
      <c r="K5606" s="2" t="s">
        <v>3019</v>
      </c>
      <c r="L5606" t="s">
        <v>25</v>
      </c>
      <c r="M5606" s="8">
        <v>1.1623333330000001</v>
      </c>
      <c r="N5606" t="s">
        <v>26</v>
      </c>
      <c r="O5606" s="8">
        <v>1.1623333330000001</v>
      </c>
      <c r="P5606" s="8">
        <f>EXP(-1.363+3.366*LOG(O5606,10))</f>
        <v>0.31883010989102206</v>
      </c>
      <c r="Q5606" s="8">
        <f>(5996898*100)/6073515</f>
        <v>98.738506449724753</v>
      </c>
    </row>
    <row r="5607" spans="1:17" x14ac:dyDescent="0.2">
      <c r="A5607">
        <f>YEAR(D5607)</f>
        <v>2020</v>
      </c>
      <c r="B5607" t="s">
        <v>26</v>
      </c>
      <c r="C5607" s="2" t="s">
        <v>3020</v>
      </c>
      <c r="D5607" s="1">
        <v>44018</v>
      </c>
      <c r="E5607">
        <f>MONTH(D5607)</f>
        <v>7</v>
      </c>
      <c r="F5607" s="2" t="s">
        <v>19</v>
      </c>
      <c r="G5607" t="s">
        <v>352</v>
      </c>
      <c r="H5607" t="s">
        <v>975</v>
      </c>
      <c r="I5607" t="s">
        <v>36</v>
      </c>
      <c r="J5607" s="2" t="s">
        <v>42</v>
      </c>
      <c r="K5607" s="2" t="s">
        <v>3019</v>
      </c>
      <c r="L5607" t="s">
        <v>25</v>
      </c>
      <c r="M5607" s="8">
        <v>0.95199999999999996</v>
      </c>
      <c r="N5607" t="s">
        <v>26</v>
      </c>
      <c r="O5607" s="8">
        <v>0.95199999999999996</v>
      </c>
      <c r="P5607" s="8">
        <f>EXP(-1.363+3.366*LOG(O5607,10))</f>
        <v>0.23813726407794436</v>
      </c>
      <c r="Q5607" s="8">
        <f>(3359412*100)/3462762</f>
        <v>97.015388294084318</v>
      </c>
    </row>
    <row r="5608" spans="1:17" x14ac:dyDescent="0.2">
      <c r="A5608">
        <f>YEAR(D5608)</f>
        <v>2020</v>
      </c>
      <c r="B5608" t="s">
        <v>26</v>
      </c>
      <c r="C5608" s="2" t="s">
        <v>3020</v>
      </c>
      <c r="D5608" s="1">
        <v>44018</v>
      </c>
      <c r="E5608">
        <f>MONTH(D5608)</f>
        <v>7</v>
      </c>
      <c r="F5608" s="2" t="s">
        <v>19</v>
      </c>
      <c r="G5608" t="s">
        <v>1472</v>
      </c>
      <c r="H5608" t="s">
        <v>1473</v>
      </c>
      <c r="I5608" t="s">
        <v>36</v>
      </c>
      <c r="J5608" s="2" t="s">
        <v>42</v>
      </c>
      <c r="K5608" s="2" t="s">
        <v>3019</v>
      </c>
      <c r="L5608" t="s">
        <v>187</v>
      </c>
      <c r="M5608" s="8">
        <v>0.91300000000000003</v>
      </c>
      <c r="N5608" t="s">
        <v>26</v>
      </c>
      <c r="O5608" s="8">
        <v>0.91300000000000003</v>
      </c>
      <c r="P5608" s="8">
        <f>EXP(-1.363+3.366*LOG(O5608,10))</f>
        <v>0.22401206592984921</v>
      </c>
      <c r="Q5608" s="8">
        <f>(3359412*100)/3462762</f>
        <v>97.015388294084318</v>
      </c>
    </row>
    <row r="5609" spans="1:17" x14ac:dyDescent="0.2">
      <c r="A5609">
        <f>YEAR(D5609)</f>
        <v>2020</v>
      </c>
      <c r="B5609" t="s">
        <v>26</v>
      </c>
      <c r="C5609" s="2" t="s">
        <v>3020</v>
      </c>
      <c r="D5609" s="1">
        <v>44018</v>
      </c>
      <c r="E5609">
        <f>MONTH(D5609)</f>
        <v>7</v>
      </c>
      <c r="F5609" s="2" t="s">
        <v>19</v>
      </c>
      <c r="G5609" t="s">
        <v>362</v>
      </c>
      <c r="H5609" t="s">
        <v>447</v>
      </c>
      <c r="I5609" t="s">
        <v>36</v>
      </c>
      <c r="J5609" s="2" t="s">
        <v>42</v>
      </c>
      <c r="K5609" s="2" t="s">
        <v>3019</v>
      </c>
      <c r="L5609" t="s">
        <v>25</v>
      </c>
      <c r="M5609" s="8">
        <v>1.0956666669999999</v>
      </c>
      <c r="N5609" t="s">
        <v>26</v>
      </c>
      <c r="O5609" s="8">
        <v>1.0956666669999999</v>
      </c>
      <c r="P5609" s="8">
        <f>EXP(-1.363+3.366*LOG(O5609,10))</f>
        <v>0.29245562330904107</v>
      </c>
      <c r="Q5609" s="8">
        <f>(3359412*100)/3462762</f>
        <v>97.015388294084318</v>
      </c>
    </row>
    <row r="5610" spans="1:17" x14ac:dyDescent="0.2">
      <c r="A5610">
        <f>YEAR(D5610)</f>
        <v>2020</v>
      </c>
      <c r="B5610" t="s">
        <v>26</v>
      </c>
      <c r="C5610" s="2" t="s">
        <v>3020</v>
      </c>
      <c r="D5610" s="1">
        <v>44018</v>
      </c>
      <c r="E5610">
        <f>MONTH(D5610)</f>
        <v>7</v>
      </c>
      <c r="F5610" s="2" t="s">
        <v>19</v>
      </c>
      <c r="G5610" t="s">
        <v>362</v>
      </c>
      <c r="H5610" t="s">
        <v>447</v>
      </c>
      <c r="I5610" t="s">
        <v>22</v>
      </c>
      <c r="J5610" s="2" t="s">
        <v>42</v>
      </c>
      <c r="K5610" s="2" t="s">
        <v>3019</v>
      </c>
      <c r="L5610" t="s">
        <v>25</v>
      </c>
      <c r="M5610" s="8">
        <v>1.421</v>
      </c>
      <c r="N5610" t="s">
        <v>26</v>
      </c>
      <c r="O5610" s="8">
        <v>1.421</v>
      </c>
      <c r="P5610" s="8">
        <f>EXP(-1.363+3.366*LOG(O5610,10))</f>
        <v>0.42768500084673816</v>
      </c>
      <c r="Q5610" s="8">
        <f>(3359412*100)/3462762</f>
        <v>97.015388294084318</v>
      </c>
    </row>
    <row r="5611" spans="1:17" x14ac:dyDescent="0.2">
      <c r="A5611">
        <f>YEAR(D5611)</f>
        <v>2020</v>
      </c>
      <c r="B5611" t="s">
        <v>26</v>
      </c>
      <c r="C5611" s="2" t="s">
        <v>3020</v>
      </c>
      <c r="D5611" s="1">
        <v>44018</v>
      </c>
      <c r="E5611">
        <f>MONTH(D5611)</f>
        <v>7</v>
      </c>
      <c r="F5611" s="2" t="s">
        <v>19</v>
      </c>
      <c r="G5611" t="s">
        <v>362</v>
      </c>
      <c r="H5611" t="s">
        <v>447</v>
      </c>
      <c r="I5611" t="s">
        <v>22</v>
      </c>
      <c r="J5611" s="2" t="s">
        <v>42</v>
      </c>
      <c r="K5611" s="2" t="s">
        <v>3019</v>
      </c>
      <c r="L5611" t="s">
        <v>25</v>
      </c>
      <c r="M5611" s="8">
        <v>1.421</v>
      </c>
      <c r="N5611" t="s">
        <v>26</v>
      </c>
      <c r="O5611" s="8">
        <v>1.421</v>
      </c>
      <c r="P5611" s="8">
        <f>EXP(-1.363+3.366*LOG(O5611,10))</f>
        <v>0.42768500084673816</v>
      </c>
      <c r="Q5611" s="8">
        <f>(3359412*100)/3462762</f>
        <v>97.015388294084318</v>
      </c>
    </row>
    <row r="5612" spans="1:17" x14ac:dyDescent="0.2">
      <c r="A5612">
        <f>YEAR(D5612)</f>
        <v>2020</v>
      </c>
      <c r="B5612" t="s">
        <v>26</v>
      </c>
      <c r="C5612" s="2" t="s">
        <v>3020</v>
      </c>
      <c r="D5612" s="1">
        <v>44018</v>
      </c>
      <c r="E5612">
        <f>MONTH(D5612)</f>
        <v>7</v>
      </c>
      <c r="F5612" s="2" t="s">
        <v>19</v>
      </c>
      <c r="G5612" t="s">
        <v>362</v>
      </c>
      <c r="H5612" t="s">
        <v>447</v>
      </c>
      <c r="I5612" t="s">
        <v>22</v>
      </c>
      <c r="J5612" s="2" t="s">
        <v>42</v>
      </c>
      <c r="K5612" s="2" t="s">
        <v>3019</v>
      </c>
      <c r="L5612" t="s">
        <v>25</v>
      </c>
      <c r="M5612" s="8">
        <v>1.421</v>
      </c>
      <c r="N5612" t="s">
        <v>26</v>
      </c>
      <c r="O5612" s="8">
        <v>1.421</v>
      </c>
      <c r="P5612" s="8">
        <f>EXP(-1.363+3.366*LOG(O5612,10))</f>
        <v>0.42768500084673816</v>
      </c>
      <c r="Q5612" s="8">
        <f>(3359412*100)/3462762</f>
        <v>97.015388294084318</v>
      </c>
    </row>
    <row r="5613" spans="1:17" x14ac:dyDescent="0.2">
      <c r="A5613">
        <f>YEAR(D5613)</f>
        <v>2020</v>
      </c>
      <c r="B5613" t="s">
        <v>26</v>
      </c>
      <c r="C5613" s="2" t="s">
        <v>3020</v>
      </c>
      <c r="D5613" s="1">
        <v>44018</v>
      </c>
      <c r="E5613">
        <f>MONTH(D5613)</f>
        <v>7</v>
      </c>
      <c r="F5613" s="2" t="s">
        <v>19</v>
      </c>
      <c r="G5613" t="s">
        <v>362</v>
      </c>
      <c r="H5613" t="s">
        <v>447</v>
      </c>
      <c r="I5613" t="s">
        <v>22</v>
      </c>
      <c r="J5613" s="2" t="s">
        <v>42</v>
      </c>
      <c r="K5613" s="2" t="s">
        <v>3019</v>
      </c>
      <c r="L5613" t="s">
        <v>25</v>
      </c>
      <c r="M5613" s="8">
        <v>1.421</v>
      </c>
      <c r="N5613" t="s">
        <v>26</v>
      </c>
      <c r="O5613" s="8">
        <v>1.421</v>
      </c>
      <c r="P5613" s="8">
        <f>EXP(-1.363+3.366*LOG(O5613,10))</f>
        <v>0.42768500084673816</v>
      </c>
      <c r="Q5613" s="8">
        <f>(3359412*100)/3462762</f>
        <v>97.015388294084318</v>
      </c>
    </row>
    <row r="5614" spans="1:17" x14ac:dyDescent="0.2">
      <c r="A5614">
        <f>YEAR(D5614)</f>
        <v>2020</v>
      </c>
      <c r="B5614" t="s">
        <v>26</v>
      </c>
      <c r="C5614" s="2" t="s">
        <v>50</v>
      </c>
      <c r="D5614" s="1">
        <v>44019</v>
      </c>
      <c r="E5614">
        <f>MONTH(D5614)</f>
        <v>7</v>
      </c>
      <c r="F5614" s="2" t="s">
        <v>19</v>
      </c>
      <c r="G5614" t="s">
        <v>332</v>
      </c>
      <c r="H5614" t="s">
        <v>2034</v>
      </c>
      <c r="I5614" t="s">
        <v>36</v>
      </c>
      <c r="J5614" s="2" t="s">
        <v>42</v>
      </c>
      <c r="K5614" s="2" t="s">
        <v>3019</v>
      </c>
      <c r="L5614" t="s">
        <v>25</v>
      </c>
      <c r="M5614" s="8">
        <v>0.81599999999999995</v>
      </c>
      <c r="N5614" t="s">
        <v>26</v>
      </c>
      <c r="O5614" s="8">
        <v>0.81599999999999995</v>
      </c>
      <c r="P5614" s="8">
        <f>EXP(-1.363+3.366*LOG(O5614,10))</f>
        <v>0.19009127534271844</v>
      </c>
      <c r="Q5614" s="8">
        <f>(4488342*100)/4914798</f>
        <v>91.323020803703429</v>
      </c>
    </row>
    <row r="5615" spans="1:17" x14ac:dyDescent="0.2">
      <c r="A5615">
        <f>YEAR(D5615)</f>
        <v>2020</v>
      </c>
      <c r="B5615" t="s">
        <v>26</v>
      </c>
      <c r="C5615" s="2" t="s">
        <v>50</v>
      </c>
      <c r="D5615" s="1">
        <v>44019</v>
      </c>
      <c r="E5615">
        <f>MONTH(D5615)</f>
        <v>7</v>
      </c>
      <c r="F5615" s="2" t="s">
        <v>19</v>
      </c>
      <c r="G5615" t="s">
        <v>352</v>
      </c>
      <c r="H5615" t="s">
        <v>623</v>
      </c>
      <c r="I5615" t="s">
        <v>36</v>
      </c>
      <c r="J5615" s="2" t="s">
        <v>42</v>
      </c>
      <c r="K5615" s="2" t="s">
        <v>3019</v>
      </c>
      <c r="L5615" t="s">
        <v>25</v>
      </c>
      <c r="M5615" s="8">
        <v>1.1339999999999999</v>
      </c>
      <c r="N5615" t="s">
        <v>26</v>
      </c>
      <c r="O5615" s="8">
        <v>1.1339999999999999</v>
      </c>
      <c r="P5615" s="8">
        <f>EXP(-1.363+3.366*LOG(O5615,10))</f>
        <v>0.30753312979708036</v>
      </c>
      <c r="Q5615" s="8">
        <f>(4488342*100)/4914798</f>
        <v>91.323020803703429</v>
      </c>
    </row>
    <row r="5616" spans="1:17" x14ac:dyDescent="0.2">
      <c r="A5616">
        <f>YEAR(D5616)</f>
        <v>2020</v>
      </c>
      <c r="B5616" t="s">
        <v>26</v>
      </c>
      <c r="C5616" s="2" t="s">
        <v>50</v>
      </c>
      <c r="D5616" s="1">
        <v>44019</v>
      </c>
      <c r="E5616">
        <f>MONTH(D5616)</f>
        <v>7</v>
      </c>
      <c r="F5616" s="2" t="s">
        <v>19</v>
      </c>
      <c r="G5616" t="s">
        <v>352</v>
      </c>
      <c r="H5616" t="s">
        <v>975</v>
      </c>
      <c r="I5616" t="s">
        <v>22</v>
      </c>
      <c r="J5616" s="2" t="s">
        <v>42</v>
      </c>
      <c r="K5616" s="2" t="s">
        <v>3019</v>
      </c>
      <c r="L5616" t="s">
        <v>25</v>
      </c>
      <c r="M5616" s="8">
        <v>1.0693333330000001</v>
      </c>
      <c r="N5616" t="s">
        <v>26</v>
      </c>
      <c r="O5616" s="8">
        <v>1.0693333330000001</v>
      </c>
      <c r="P5616" s="8">
        <f>EXP(-1.363+3.366*LOG(O5616,10))</f>
        <v>0.28223780327142356</v>
      </c>
      <c r="Q5616" s="8">
        <f>(4488342*100)/4914798</f>
        <v>91.323020803703429</v>
      </c>
    </row>
    <row r="5617" spans="1:17" x14ac:dyDescent="0.2">
      <c r="A5617">
        <f>YEAR(D5617)</f>
        <v>2020</v>
      </c>
      <c r="B5617" t="s">
        <v>26</v>
      </c>
      <c r="C5617" s="2" t="s">
        <v>50</v>
      </c>
      <c r="D5617" s="1">
        <v>44019</v>
      </c>
      <c r="E5617">
        <f>MONTH(D5617)</f>
        <v>7</v>
      </c>
      <c r="F5617" s="2" t="s">
        <v>19</v>
      </c>
      <c r="G5617" t="s">
        <v>352</v>
      </c>
      <c r="H5617" t="s">
        <v>1344</v>
      </c>
      <c r="I5617" t="s">
        <v>22</v>
      </c>
      <c r="J5617" s="2" t="s">
        <v>42</v>
      </c>
      <c r="K5617" s="2" t="s">
        <v>3019</v>
      </c>
      <c r="L5617" t="s">
        <v>25</v>
      </c>
      <c r="M5617" s="8">
        <v>0.91800000000000004</v>
      </c>
      <c r="N5617" t="s">
        <v>26</v>
      </c>
      <c r="O5617" s="8">
        <v>0.91800000000000004</v>
      </c>
      <c r="P5617" s="8">
        <f>EXP(-1.363+3.366*LOG(O5617,10))</f>
        <v>0.22580769814771504</v>
      </c>
      <c r="Q5617" s="8">
        <f>(4488342*100)/4914798</f>
        <v>91.323020803703429</v>
      </c>
    </row>
    <row r="5618" spans="1:17" x14ac:dyDescent="0.2">
      <c r="A5618">
        <f>YEAR(D5618)</f>
        <v>2020</v>
      </c>
      <c r="B5618" t="s">
        <v>26</v>
      </c>
      <c r="C5618" s="2" t="s">
        <v>50</v>
      </c>
      <c r="D5618" s="1">
        <v>44019</v>
      </c>
      <c r="E5618">
        <f>MONTH(D5618)</f>
        <v>7</v>
      </c>
      <c r="F5618" s="2" t="s">
        <v>19</v>
      </c>
      <c r="G5618" t="s">
        <v>352</v>
      </c>
      <c r="H5618" t="s">
        <v>975</v>
      </c>
      <c r="I5618" t="s">
        <v>22</v>
      </c>
      <c r="J5618" s="2" t="s">
        <v>42</v>
      </c>
      <c r="K5618" s="2" t="s">
        <v>3019</v>
      </c>
      <c r="L5618" t="s">
        <v>25</v>
      </c>
      <c r="M5618" s="8">
        <v>1.0693333330000001</v>
      </c>
      <c r="N5618" t="s">
        <v>26</v>
      </c>
      <c r="O5618" s="8">
        <v>1.0693333330000001</v>
      </c>
      <c r="P5618" s="8">
        <f>EXP(-1.363+3.366*LOG(O5618,10))</f>
        <v>0.28223780327142356</v>
      </c>
      <c r="Q5618" s="8">
        <f>(4488342*100)/4914798</f>
        <v>91.323020803703429</v>
      </c>
    </row>
    <row r="5619" spans="1:17" x14ac:dyDescent="0.2">
      <c r="A5619">
        <f>YEAR(D5619)</f>
        <v>2020</v>
      </c>
      <c r="B5619" t="s">
        <v>26</v>
      </c>
      <c r="C5619" s="2" t="s">
        <v>50</v>
      </c>
      <c r="D5619" s="1">
        <v>44019</v>
      </c>
      <c r="E5619">
        <f>MONTH(D5619)</f>
        <v>7</v>
      </c>
      <c r="F5619" s="2" t="s">
        <v>19</v>
      </c>
      <c r="G5619" t="s">
        <v>352</v>
      </c>
      <c r="H5619" t="s">
        <v>1142</v>
      </c>
      <c r="I5619" t="s">
        <v>36</v>
      </c>
      <c r="J5619" s="2" t="s">
        <v>42</v>
      </c>
      <c r="K5619" s="2" t="s">
        <v>3019</v>
      </c>
      <c r="L5619" t="s">
        <v>25</v>
      </c>
      <c r="M5619" s="8">
        <v>0.93500000000000005</v>
      </c>
      <c r="N5619" t="s">
        <v>26</v>
      </c>
      <c r="O5619" s="8">
        <v>0.93500000000000005</v>
      </c>
      <c r="P5619" s="8">
        <f>EXP(-1.363+3.366*LOG(O5619,10))</f>
        <v>0.23194659731411651</v>
      </c>
      <c r="Q5619" s="8">
        <f>(4488342*100)/4914798</f>
        <v>91.323020803703429</v>
      </c>
    </row>
    <row r="5620" spans="1:17" x14ac:dyDescent="0.2">
      <c r="A5620">
        <f>YEAR(D5620)</f>
        <v>2020</v>
      </c>
      <c r="B5620" t="s">
        <v>26</v>
      </c>
      <c r="C5620" s="2" t="s">
        <v>50</v>
      </c>
      <c r="D5620" s="1">
        <v>44019</v>
      </c>
      <c r="E5620">
        <f>MONTH(D5620)</f>
        <v>7</v>
      </c>
      <c r="F5620" s="2" t="s">
        <v>19</v>
      </c>
      <c r="G5620" t="s">
        <v>352</v>
      </c>
      <c r="H5620" t="s">
        <v>975</v>
      </c>
      <c r="I5620" t="s">
        <v>22</v>
      </c>
      <c r="J5620" s="2" t="s">
        <v>42</v>
      </c>
      <c r="K5620" s="2" t="s">
        <v>3019</v>
      </c>
      <c r="L5620" t="s">
        <v>25</v>
      </c>
      <c r="M5620" s="8">
        <v>1.0693333330000001</v>
      </c>
      <c r="N5620" t="s">
        <v>26</v>
      </c>
      <c r="O5620" s="8">
        <v>1.0693333330000001</v>
      </c>
      <c r="P5620" s="8">
        <f>EXP(-1.363+3.366*LOG(O5620,10))</f>
        <v>0.28223780327142356</v>
      </c>
      <c r="Q5620" s="8">
        <f>(4488342*100)/4914798</f>
        <v>91.323020803703429</v>
      </c>
    </row>
    <row r="5621" spans="1:17" x14ac:dyDescent="0.2">
      <c r="A5621">
        <f>YEAR(D5621)</f>
        <v>2020</v>
      </c>
      <c r="B5621" t="s">
        <v>26</v>
      </c>
      <c r="C5621" s="2" t="s">
        <v>50</v>
      </c>
      <c r="D5621" s="1">
        <v>44019</v>
      </c>
      <c r="E5621">
        <f>MONTH(D5621)</f>
        <v>7</v>
      </c>
      <c r="F5621" s="2" t="s">
        <v>19</v>
      </c>
      <c r="G5621" t="s">
        <v>362</v>
      </c>
      <c r="H5621" t="s">
        <v>447</v>
      </c>
      <c r="I5621" t="s">
        <v>22</v>
      </c>
      <c r="J5621" s="2" t="s">
        <v>42</v>
      </c>
      <c r="K5621" s="2" t="s">
        <v>3019</v>
      </c>
      <c r="L5621" t="s">
        <v>25</v>
      </c>
      <c r="M5621" s="8">
        <v>1.421</v>
      </c>
      <c r="N5621" t="s">
        <v>26</v>
      </c>
      <c r="O5621" s="8">
        <v>1.421</v>
      </c>
      <c r="P5621" s="8">
        <f>EXP(-1.363+3.366*LOG(O5621,10))</f>
        <v>0.42768500084673816</v>
      </c>
      <c r="Q5621" s="8">
        <f>(4488342*100)/4914798</f>
        <v>91.323020803703429</v>
      </c>
    </row>
    <row r="5622" spans="1:17" x14ac:dyDescent="0.2">
      <c r="A5622">
        <f>YEAR(D5622)</f>
        <v>2020</v>
      </c>
      <c r="B5622" t="s">
        <v>26</v>
      </c>
      <c r="C5622" s="2" t="s">
        <v>50</v>
      </c>
      <c r="D5622" s="1">
        <v>44019</v>
      </c>
      <c r="E5622">
        <f>MONTH(D5622)</f>
        <v>7</v>
      </c>
      <c r="F5622" s="2" t="s">
        <v>19</v>
      </c>
      <c r="G5622" t="s">
        <v>352</v>
      </c>
      <c r="H5622" t="s">
        <v>975</v>
      </c>
      <c r="I5622" t="s">
        <v>22</v>
      </c>
      <c r="J5622" s="2" t="s">
        <v>42</v>
      </c>
      <c r="K5622" s="2" t="s">
        <v>3019</v>
      </c>
      <c r="L5622" t="s">
        <v>25</v>
      </c>
      <c r="M5622" s="8">
        <v>1.0693333330000001</v>
      </c>
      <c r="N5622" t="s">
        <v>26</v>
      </c>
      <c r="O5622" s="8">
        <v>1.0693333330000001</v>
      </c>
      <c r="P5622" s="8">
        <f>EXP(-1.363+3.366*LOG(O5622,10))</f>
        <v>0.28223780327142356</v>
      </c>
      <c r="Q5622" s="8">
        <f>(4488342*100)/4914798</f>
        <v>91.323020803703429</v>
      </c>
    </row>
    <row r="5623" spans="1:17" x14ac:dyDescent="0.2">
      <c r="A5623">
        <f>YEAR(D5623)</f>
        <v>2020</v>
      </c>
      <c r="B5623" t="s">
        <v>26</v>
      </c>
      <c r="C5623" s="2" t="s">
        <v>50</v>
      </c>
      <c r="D5623" s="1">
        <v>44019</v>
      </c>
      <c r="E5623">
        <f>MONTH(D5623)</f>
        <v>7</v>
      </c>
      <c r="F5623" s="2" t="s">
        <v>19</v>
      </c>
      <c r="G5623" t="s">
        <v>352</v>
      </c>
      <c r="H5623" t="s">
        <v>975</v>
      </c>
      <c r="I5623" t="s">
        <v>22</v>
      </c>
      <c r="J5623" s="2" t="s">
        <v>42</v>
      </c>
      <c r="K5623" s="2" t="s">
        <v>3019</v>
      </c>
      <c r="L5623" t="s">
        <v>25</v>
      </c>
      <c r="M5623" s="8">
        <v>1.0693333330000001</v>
      </c>
      <c r="N5623" t="s">
        <v>26</v>
      </c>
      <c r="O5623" s="8">
        <v>1.0693333330000001</v>
      </c>
      <c r="P5623" s="8">
        <f>EXP(-1.363+3.366*LOG(O5623,10))</f>
        <v>0.28223780327142356</v>
      </c>
      <c r="Q5623" s="8">
        <f>(4488342*100)/4914798</f>
        <v>91.323020803703429</v>
      </c>
    </row>
    <row r="5624" spans="1:17" x14ac:dyDescent="0.2">
      <c r="A5624">
        <f>YEAR(D5624)</f>
        <v>2020</v>
      </c>
      <c r="B5624" t="s">
        <v>26</v>
      </c>
      <c r="C5624" s="2" t="s">
        <v>50</v>
      </c>
      <c r="D5624" s="1">
        <v>44019</v>
      </c>
      <c r="E5624">
        <f>MONTH(D5624)</f>
        <v>7</v>
      </c>
      <c r="F5624" s="2" t="s">
        <v>19</v>
      </c>
      <c r="G5624" t="s">
        <v>352</v>
      </c>
      <c r="H5624" t="s">
        <v>975</v>
      </c>
      <c r="I5624" t="s">
        <v>22</v>
      </c>
      <c r="J5624" s="2" t="s">
        <v>42</v>
      </c>
      <c r="K5624" s="2" t="s">
        <v>3019</v>
      </c>
      <c r="L5624" t="s">
        <v>25</v>
      </c>
      <c r="M5624" s="8">
        <v>1.0693333330000001</v>
      </c>
      <c r="N5624" t="s">
        <v>26</v>
      </c>
      <c r="O5624" s="8">
        <v>1.0693333330000001</v>
      </c>
      <c r="P5624" s="8">
        <f>EXP(-1.363+3.366*LOG(O5624,10))</f>
        <v>0.28223780327142356</v>
      </c>
      <c r="Q5624" s="8">
        <f>(4488342*100)/4914798</f>
        <v>91.323020803703429</v>
      </c>
    </row>
    <row r="5625" spans="1:17" x14ac:dyDescent="0.2">
      <c r="A5625">
        <f>YEAR(D5625)</f>
        <v>2020</v>
      </c>
      <c r="B5625" t="s">
        <v>26</v>
      </c>
      <c r="C5625" s="2" t="s">
        <v>50</v>
      </c>
      <c r="D5625" s="1">
        <v>44019</v>
      </c>
      <c r="E5625">
        <f>MONTH(D5625)</f>
        <v>7</v>
      </c>
      <c r="F5625" s="2" t="s">
        <v>19</v>
      </c>
      <c r="G5625" t="s">
        <v>352</v>
      </c>
      <c r="H5625" t="s">
        <v>623</v>
      </c>
      <c r="I5625" t="s">
        <v>22</v>
      </c>
      <c r="J5625" s="2" t="s">
        <v>42</v>
      </c>
      <c r="K5625" s="2" t="s">
        <v>3019</v>
      </c>
      <c r="L5625" t="s">
        <v>25</v>
      </c>
      <c r="M5625" s="8">
        <v>1.387</v>
      </c>
      <c r="N5625" t="s">
        <v>26</v>
      </c>
      <c r="O5625" s="8">
        <v>1.387</v>
      </c>
      <c r="P5625" s="8">
        <f>EXP(-1.363+3.366*LOG(O5625,10))</f>
        <v>0.41280884754947733</v>
      </c>
      <c r="Q5625" s="8">
        <f>(4488342*100)/4914798</f>
        <v>91.323020803703429</v>
      </c>
    </row>
    <row r="5626" spans="1:17" x14ac:dyDescent="0.2">
      <c r="A5626">
        <f>YEAR(D5626)</f>
        <v>2020</v>
      </c>
      <c r="B5626" t="s">
        <v>26</v>
      </c>
      <c r="C5626" s="2" t="s">
        <v>50</v>
      </c>
      <c r="D5626" s="1">
        <v>44019</v>
      </c>
      <c r="E5626">
        <f>MONTH(D5626)</f>
        <v>7</v>
      </c>
      <c r="F5626" s="2" t="s">
        <v>19</v>
      </c>
      <c r="G5626" t="s">
        <v>352</v>
      </c>
      <c r="H5626" t="s">
        <v>975</v>
      </c>
      <c r="I5626" t="s">
        <v>22</v>
      </c>
      <c r="J5626" s="2" t="s">
        <v>42</v>
      </c>
      <c r="K5626" s="2" t="s">
        <v>3019</v>
      </c>
      <c r="L5626" t="s">
        <v>25</v>
      </c>
      <c r="M5626" s="8">
        <v>1.0693333330000001</v>
      </c>
      <c r="N5626" t="s">
        <v>26</v>
      </c>
      <c r="O5626" s="8">
        <v>1.0693333330000001</v>
      </c>
      <c r="P5626" s="8">
        <f>EXP(-1.363+3.366*LOG(O5626,10))</f>
        <v>0.28223780327142356</v>
      </c>
      <c r="Q5626" s="8">
        <f>(4488342*100)/4914798</f>
        <v>91.323020803703429</v>
      </c>
    </row>
    <row r="5627" spans="1:17" x14ac:dyDescent="0.2">
      <c r="A5627">
        <f>YEAR(D5627)</f>
        <v>2020</v>
      </c>
      <c r="B5627" t="s">
        <v>26</v>
      </c>
      <c r="C5627" s="2" t="s">
        <v>50</v>
      </c>
      <c r="D5627" s="1">
        <v>44019</v>
      </c>
      <c r="E5627">
        <f>MONTH(D5627)</f>
        <v>7</v>
      </c>
      <c r="F5627" s="2" t="s">
        <v>19</v>
      </c>
      <c r="G5627" t="s">
        <v>352</v>
      </c>
      <c r="H5627" t="s">
        <v>1142</v>
      </c>
      <c r="I5627" t="s">
        <v>22</v>
      </c>
      <c r="J5627" s="2" t="s">
        <v>42</v>
      </c>
      <c r="K5627" s="2" t="s">
        <v>3019</v>
      </c>
      <c r="L5627" t="s">
        <v>25</v>
      </c>
      <c r="M5627" s="8">
        <v>1.1423333330000001</v>
      </c>
      <c r="N5627" t="s">
        <v>26</v>
      </c>
      <c r="O5627" s="8">
        <v>1.1423333330000001</v>
      </c>
      <c r="P5627" s="8">
        <f>EXP(-1.363+3.366*LOG(O5627,10))</f>
        <v>0.31084239358261528</v>
      </c>
      <c r="Q5627" s="8">
        <f>(4488342*100)/4914798</f>
        <v>91.323020803703429</v>
      </c>
    </row>
    <row r="5628" spans="1:17" x14ac:dyDescent="0.2">
      <c r="A5628">
        <f>YEAR(D5628)</f>
        <v>2020</v>
      </c>
      <c r="B5628" t="s">
        <v>26</v>
      </c>
      <c r="C5628" s="2" t="s">
        <v>50</v>
      </c>
      <c r="D5628" s="1">
        <v>44019</v>
      </c>
      <c r="E5628">
        <f>MONTH(D5628)</f>
        <v>7</v>
      </c>
      <c r="F5628" s="2" t="s">
        <v>19</v>
      </c>
      <c r="G5628" t="s">
        <v>352</v>
      </c>
      <c r="H5628" t="s">
        <v>975</v>
      </c>
      <c r="I5628" t="s">
        <v>22</v>
      </c>
      <c r="J5628" s="2" t="s">
        <v>42</v>
      </c>
      <c r="K5628" s="2" t="s">
        <v>3019</v>
      </c>
      <c r="L5628" t="s">
        <v>25</v>
      </c>
      <c r="M5628" s="8">
        <v>1.0693333330000001</v>
      </c>
      <c r="N5628" t="s">
        <v>26</v>
      </c>
      <c r="O5628" s="8">
        <v>1.0693333330000001</v>
      </c>
      <c r="P5628" s="8">
        <f>EXP(-1.363+3.366*LOG(O5628,10))</f>
        <v>0.28223780327142356</v>
      </c>
      <c r="Q5628" s="8">
        <f>(4488342*100)/4914798</f>
        <v>91.323020803703429</v>
      </c>
    </row>
    <row r="5629" spans="1:17" x14ac:dyDescent="0.2">
      <c r="A5629">
        <f>YEAR(D5629)</f>
        <v>2020</v>
      </c>
      <c r="B5629" t="s">
        <v>26</v>
      </c>
      <c r="C5629" s="2" t="s">
        <v>50</v>
      </c>
      <c r="D5629" s="1">
        <v>44019</v>
      </c>
      <c r="E5629">
        <f>MONTH(D5629)</f>
        <v>7</v>
      </c>
      <c r="F5629" s="2" t="s">
        <v>19</v>
      </c>
      <c r="G5629" t="s">
        <v>352</v>
      </c>
      <c r="H5629" t="s">
        <v>623</v>
      </c>
      <c r="I5629" t="s">
        <v>22</v>
      </c>
      <c r="J5629" s="2" t="s">
        <v>42</v>
      </c>
      <c r="K5629" s="2" t="s">
        <v>3019</v>
      </c>
      <c r="L5629" t="s">
        <v>25</v>
      </c>
      <c r="M5629" s="8">
        <v>1.387</v>
      </c>
      <c r="N5629" t="s">
        <v>26</v>
      </c>
      <c r="O5629" s="8">
        <v>1.387</v>
      </c>
      <c r="P5629" s="8">
        <f>EXP(-1.363+3.366*LOG(O5629,10))</f>
        <v>0.41280884754947733</v>
      </c>
      <c r="Q5629" s="8">
        <f>(4488342*100)/4914798</f>
        <v>91.323020803703429</v>
      </c>
    </row>
    <row r="5630" spans="1:17" x14ac:dyDescent="0.2">
      <c r="A5630">
        <f>YEAR(D5630)</f>
        <v>2020</v>
      </c>
      <c r="B5630" t="s">
        <v>26</v>
      </c>
      <c r="C5630" s="2" t="s">
        <v>50</v>
      </c>
      <c r="D5630" s="1">
        <v>44019</v>
      </c>
      <c r="E5630">
        <f>MONTH(D5630)</f>
        <v>7</v>
      </c>
      <c r="F5630" s="2" t="s">
        <v>19</v>
      </c>
      <c r="G5630" t="s">
        <v>209</v>
      </c>
      <c r="H5630" t="s">
        <v>212</v>
      </c>
      <c r="I5630" t="s">
        <v>36</v>
      </c>
      <c r="J5630" s="2" t="s">
        <v>42</v>
      </c>
      <c r="K5630" s="2" t="s">
        <v>3019</v>
      </c>
      <c r="L5630" t="s">
        <v>187</v>
      </c>
      <c r="M5630" s="8">
        <v>1.534</v>
      </c>
      <c r="N5630" t="s">
        <v>26</v>
      </c>
      <c r="O5630" s="8">
        <v>1.534</v>
      </c>
      <c r="P5630" s="8">
        <f>EXP(-1.363+3.366*LOG(O5630,10))</f>
        <v>0.47830252961730491</v>
      </c>
      <c r="Q5630" s="8">
        <f>(4488342*100)/4914798</f>
        <v>91.323020803703429</v>
      </c>
    </row>
    <row r="5631" spans="1:17" x14ac:dyDescent="0.2">
      <c r="A5631">
        <f>YEAR(D5631)</f>
        <v>2020</v>
      </c>
      <c r="B5631" t="s">
        <v>26</v>
      </c>
      <c r="C5631" s="2" t="s">
        <v>3021</v>
      </c>
      <c r="D5631" s="1">
        <v>44018</v>
      </c>
      <c r="E5631">
        <f>MONTH(D5631)</f>
        <v>7</v>
      </c>
      <c r="F5631" s="2" t="s">
        <v>19</v>
      </c>
      <c r="G5631" t="s">
        <v>352</v>
      </c>
      <c r="H5631" t="s">
        <v>975</v>
      </c>
      <c r="I5631" t="s">
        <v>22</v>
      </c>
      <c r="J5631" s="2" t="s">
        <v>42</v>
      </c>
      <c r="K5631" s="2" t="s">
        <v>3019</v>
      </c>
      <c r="L5631" t="s">
        <v>25</v>
      </c>
      <c r="M5631" s="8">
        <v>1.0693333330000001</v>
      </c>
      <c r="N5631" t="s">
        <v>26</v>
      </c>
      <c r="O5631" s="8">
        <v>1.0693333330000001</v>
      </c>
      <c r="P5631" s="8">
        <f>EXP(-1.363+3.366*LOG(O5631,10))</f>
        <v>0.28223780327142356</v>
      </c>
      <c r="Q5631" s="8">
        <f>(1845879*100)/1946364</f>
        <v>94.837296620775973</v>
      </c>
    </row>
    <row r="5632" spans="1:17" x14ac:dyDescent="0.2">
      <c r="A5632">
        <f>YEAR(D5632)</f>
        <v>2020</v>
      </c>
      <c r="B5632" t="s">
        <v>26</v>
      </c>
      <c r="C5632" s="2" t="s">
        <v>3021</v>
      </c>
      <c r="D5632" s="1">
        <v>44018</v>
      </c>
      <c r="E5632">
        <f>MONTH(D5632)</f>
        <v>7</v>
      </c>
      <c r="F5632" s="2" t="s">
        <v>19</v>
      </c>
      <c r="G5632" t="s">
        <v>352</v>
      </c>
      <c r="H5632" t="s">
        <v>975</v>
      </c>
      <c r="I5632" t="s">
        <v>22</v>
      </c>
      <c r="J5632" s="2" t="s">
        <v>42</v>
      </c>
      <c r="K5632" s="2" t="s">
        <v>3019</v>
      </c>
      <c r="L5632" t="s">
        <v>25</v>
      </c>
      <c r="M5632" s="8">
        <v>1.0693333330000001</v>
      </c>
      <c r="N5632" t="s">
        <v>26</v>
      </c>
      <c r="O5632" s="8">
        <v>1.0693333330000001</v>
      </c>
      <c r="P5632" s="8">
        <f>EXP(-1.363+3.366*LOG(O5632,10))</f>
        <v>0.28223780327142356</v>
      </c>
      <c r="Q5632" s="8">
        <f>(1845879*100)/1946364</f>
        <v>94.837296620775973</v>
      </c>
    </row>
    <row r="5633" spans="1:17" x14ac:dyDescent="0.2">
      <c r="A5633">
        <f>YEAR(D5633)</f>
        <v>2020</v>
      </c>
      <c r="B5633" t="s">
        <v>26</v>
      </c>
      <c r="C5633" s="2" t="s">
        <v>3020</v>
      </c>
      <c r="D5633" s="1">
        <v>44018</v>
      </c>
      <c r="E5633">
        <f>MONTH(D5633)</f>
        <v>7</v>
      </c>
      <c r="F5633" s="2" t="s">
        <v>19</v>
      </c>
      <c r="G5633" t="s">
        <v>352</v>
      </c>
      <c r="H5633" t="s">
        <v>975</v>
      </c>
      <c r="I5633" t="s">
        <v>22</v>
      </c>
      <c r="J5633" s="2" t="s">
        <v>42</v>
      </c>
      <c r="K5633" s="2" t="s">
        <v>3019</v>
      </c>
      <c r="L5633" t="s">
        <v>25</v>
      </c>
      <c r="M5633" s="8">
        <v>1.0693333330000001</v>
      </c>
      <c r="N5633" t="s">
        <v>26</v>
      </c>
      <c r="O5633" s="8">
        <v>1.0693333330000001</v>
      </c>
      <c r="P5633" s="8">
        <f>EXP(-1.363+3.366*LOG(O5633,10))</f>
        <v>0.28223780327142356</v>
      </c>
      <c r="Q5633" s="8">
        <f>(3359412*100)/3462762</f>
        <v>97.015388294084318</v>
      </c>
    </row>
    <row r="5634" spans="1:17" x14ac:dyDescent="0.2">
      <c r="A5634">
        <f>YEAR(D5634)</f>
        <v>2020</v>
      </c>
      <c r="B5634" t="s">
        <v>26</v>
      </c>
      <c r="C5634" s="2" t="s">
        <v>3020</v>
      </c>
      <c r="D5634" s="1">
        <v>44018</v>
      </c>
      <c r="E5634">
        <f>MONTH(D5634)</f>
        <v>7</v>
      </c>
      <c r="F5634" s="2" t="s">
        <v>19</v>
      </c>
      <c r="G5634" t="s">
        <v>352</v>
      </c>
      <c r="H5634" t="s">
        <v>975</v>
      </c>
      <c r="I5634" t="s">
        <v>22</v>
      </c>
      <c r="J5634" s="2" t="s">
        <v>42</v>
      </c>
      <c r="K5634" s="2" t="s">
        <v>3019</v>
      </c>
      <c r="L5634" t="s">
        <v>25</v>
      </c>
      <c r="M5634" s="8">
        <v>1.0693333330000001</v>
      </c>
      <c r="N5634" t="s">
        <v>26</v>
      </c>
      <c r="O5634" s="8">
        <v>1.0693333330000001</v>
      </c>
      <c r="P5634" s="8">
        <f>EXP(-1.363+3.366*LOG(O5634,10))</f>
        <v>0.28223780327142356</v>
      </c>
      <c r="Q5634" s="8">
        <f>(3359412*100)/3462762</f>
        <v>97.015388294084318</v>
      </c>
    </row>
    <row r="5635" spans="1:17" x14ac:dyDescent="0.2">
      <c r="A5635">
        <f>YEAR(D5635)</f>
        <v>2020</v>
      </c>
      <c r="B5635" t="s">
        <v>26</v>
      </c>
      <c r="C5635" s="2" t="s">
        <v>3020</v>
      </c>
      <c r="D5635" s="1">
        <v>44018</v>
      </c>
      <c r="E5635">
        <f>MONTH(D5635)</f>
        <v>7</v>
      </c>
      <c r="F5635" s="2" t="s">
        <v>19</v>
      </c>
      <c r="G5635" t="s">
        <v>1532</v>
      </c>
      <c r="H5635" t="s">
        <v>1995</v>
      </c>
      <c r="I5635" t="s">
        <v>36</v>
      </c>
      <c r="J5635" s="2" t="s">
        <v>42</v>
      </c>
      <c r="K5635" s="2" t="s">
        <v>3019</v>
      </c>
      <c r="L5635" t="s">
        <v>25</v>
      </c>
      <c r="M5635" s="8">
        <v>1.8935</v>
      </c>
      <c r="N5635" t="s">
        <v>26</v>
      </c>
      <c r="O5635" s="8">
        <v>1.8935</v>
      </c>
      <c r="P5635" s="8">
        <f>EXP(-1.363+3.366*LOG(O5635,10))</f>
        <v>0.65068802990639008</v>
      </c>
      <c r="Q5635" s="8">
        <f>(3359412*100)/3462762</f>
        <v>97.015388294084318</v>
      </c>
    </row>
    <row r="5636" spans="1:17" x14ac:dyDescent="0.2">
      <c r="A5636">
        <f>YEAR(D5636)</f>
        <v>2020</v>
      </c>
      <c r="B5636" t="s">
        <v>26</v>
      </c>
      <c r="C5636" s="2" t="s">
        <v>3020</v>
      </c>
      <c r="D5636" s="1">
        <v>44018</v>
      </c>
      <c r="E5636">
        <f>MONTH(D5636)</f>
        <v>7</v>
      </c>
      <c r="F5636" s="2" t="s">
        <v>19</v>
      </c>
      <c r="G5636" t="s">
        <v>1520</v>
      </c>
      <c r="H5636" t="s">
        <v>1925</v>
      </c>
      <c r="I5636" t="s">
        <v>36</v>
      </c>
      <c r="J5636" s="2" t="s">
        <v>42</v>
      </c>
      <c r="K5636" s="2" t="s">
        <v>3019</v>
      </c>
      <c r="L5636" t="s">
        <v>25</v>
      </c>
      <c r="M5636" s="8">
        <v>2.1076666670000002</v>
      </c>
      <c r="N5636" t="s">
        <v>26</v>
      </c>
      <c r="O5636" s="8">
        <v>2.1076666670000002</v>
      </c>
      <c r="P5636" s="8">
        <f>EXP(-1.363+3.366*LOG(O5636,10))</f>
        <v>0.76102983783378542</v>
      </c>
      <c r="Q5636" s="8">
        <f>(3359412*100)/3462762</f>
        <v>97.015388294084318</v>
      </c>
    </row>
    <row r="5637" spans="1:17" x14ac:dyDescent="0.2">
      <c r="A5637">
        <f>YEAR(D5637)</f>
        <v>2020</v>
      </c>
      <c r="B5637" t="s">
        <v>26</v>
      </c>
      <c r="C5637" s="2" t="s">
        <v>3020</v>
      </c>
      <c r="D5637" s="1">
        <v>44018</v>
      </c>
      <c r="E5637">
        <f>MONTH(D5637)</f>
        <v>7</v>
      </c>
      <c r="F5637" s="2" t="s">
        <v>19</v>
      </c>
      <c r="G5637" s="2" t="s">
        <v>20</v>
      </c>
      <c r="H5637" t="s">
        <v>91</v>
      </c>
      <c r="I5637" t="s">
        <v>22</v>
      </c>
      <c r="J5637" s="2" t="s">
        <v>42</v>
      </c>
      <c r="K5637" s="2" t="s">
        <v>3019</v>
      </c>
      <c r="L5637" t="s">
        <v>25</v>
      </c>
      <c r="M5637" s="8">
        <v>2.0630000000000002</v>
      </c>
      <c r="N5637" t="s">
        <v>26</v>
      </c>
      <c r="O5637" s="8">
        <v>2.0630000000000002</v>
      </c>
      <c r="P5637" s="8">
        <f>EXP(-1.363+3.366*LOG(O5637,10))</f>
        <v>0.73756902742293162</v>
      </c>
      <c r="Q5637" s="8">
        <f>(3359412*100)/3462762</f>
        <v>97.015388294084318</v>
      </c>
    </row>
    <row r="5638" spans="1:17" x14ac:dyDescent="0.2">
      <c r="A5638">
        <f>YEAR(D5638)</f>
        <v>2020</v>
      </c>
      <c r="B5638" t="s">
        <v>26</v>
      </c>
      <c r="C5638" s="2" t="s">
        <v>3021</v>
      </c>
      <c r="D5638" s="1">
        <v>44018</v>
      </c>
      <c r="E5638">
        <f>MONTH(D5638)</f>
        <v>7</v>
      </c>
      <c r="F5638" s="2" t="s">
        <v>19</v>
      </c>
      <c r="G5638" t="s">
        <v>352</v>
      </c>
      <c r="H5638" t="s">
        <v>975</v>
      </c>
      <c r="I5638" t="s">
        <v>22</v>
      </c>
      <c r="J5638" s="2" t="s">
        <v>42</v>
      </c>
      <c r="K5638" s="2" t="s">
        <v>3019</v>
      </c>
      <c r="L5638" t="s">
        <v>25</v>
      </c>
      <c r="M5638" s="8">
        <v>1.0693333330000001</v>
      </c>
      <c r="N5638" t="s">
        <v>26</v>
      </c>
      <c r="O5638" s="8">
        <v>1.0693333330000001</v>
      </c>
      <c r="P5638" s="8">
        <f>EXP(-1.363+3.366*LOG(O5638,10))</f>
        <v>0.28223780327142356</v>
      </c>
      <c r="Q5638" s="8">
        <f>(1845879*100)/1946364</f>
        <v>94.837296620775973</v>
      </c>
    </row>
    <row r="5639" spans="1:17" x14ac:dyDescent="0.2">
      <c r="A5639">
        <f>YEAR(D5639)</f>
        <v>2020</v>
      </c>
      <c r="B5639" t="s">
        <v>26</v>
      </c>
      <c r="C5639" s="2" t="s">
        <v>3021</v>
      </c>
      <c r="D5639" s="1">
        <v>44018</v>
      </c>
      <c r="E5639">
        <f>MONTH(D5639)</f>
        <v>7</v>
      </c>
      <c r="F5639" s="2" t="s">
        <v>19</v>
      </c>
      <c r="G5639" t="s">
        <v>352</v>
      </c>
      <c r="H5639" t="s">
        <v>975</v>
      </c>
      <c r="I5639" t="s">
        <v>22</v>
      </c>
      <c r="J5639" s="2" t="s">
        <v>42</v>
      </c>
      <c r="K5639" s="2" t="s">
        <v>3019</v>
      </c>
      <c r="L5639" t="s">
        <v>25</v>
      </c>
      <c r="M5639" s="8">
        <v>1.0693333330000001</v>
      </c>
      <c r="N5639" t="s">
        <v>26</v>
      </c>
      <c r="O5639" s="8">
        <v>1.0693333330000001</v>
      </c>
      <c r="P5639" s="8">
        <f>EXP(-1.363+3.366*LOG(O5639,10))</f>
        <v>0.28223780327142356</v>
      </c>
      <c r="Q5639" s="8">
        <f>(1845879*100)/1946364</f>
        <v>94.837296620775973</v>
      </c>
    </row>
    <row r="5640" spans="1:17" x14ac:dyDescent="0.2">
      <c r="A5640">
        <f>YEAR(D5640)</f>
        <v>2020</v>
      </c>
      <c r="B5640" t="s">
        <v>26</v>
      </c>
      <c r="C5640" s="2" t="s">
        <v>3021</v>
      </c>
      <c r="D5640" s="1">
        <v>44018</v>
      </c>
      <c r="E5640">
        <f>MONTH(D5640)</f>
        <v>7</v>
      </c>
      <c r="F5640" s="2" t="s">
        <v>19</v>
      </c>
      <c r="G5640" t="s">
        <v>352</v>
      </c>
      <c r="H5640" t="s">
        <v>975</v>
      </c>
      <c r="I5640" t="s">
        <v>22</v>
      </c>
      <c r="J5640" s="2" t="s">
        <v>42</v>
      </c>
      <c r="K5640" s="2" t="s">
        <v>3019</v>
      </c>
      <c r="L5640" t="s">
        <v>25</v>
      </c>
      <c r="M5640" s="8">
        <v>1.0693333330000001</v>
      </c>
      <c r="N5640" t="s">
        <v>26</v>
      </c>
      <c r="O5640" s="8">
        <v>1.0693333330000001</v>
      </c>
      <c r="P5640" s="8">
        <f>EXP(-1.363+3.366*LOG(O5640,10))</f>
        <v>0.28223780327142356</v>
      </c>
      <c r="Q5640" s="8">
        <f>(1845879*100)/1946364</f>
        <v>94.837296620775973</v>
      </c>
    </row>
    <row r="5641" spans="1:17" x14ac:dyDescent="0.2">
      <c r="A5641">
        <f>YEAR(D5641)</f>
        <v>2020</v>
      </c>
      <c r="B5641" t="s">
        <v>26</v>
      </c>
      <c r="C5641" s="2" t="s">
        <v>3021</v>
      </c>
      <c r="D5641" s="1">
        <v>44018</v>
      </c>
      <c r="E5641">
        <f>MONTH(D5641)</f>
        <v>7</v>
      </c>
      <c r="F5641" s="2" t="s">
        <v>19</v>
      </c>
      <c r="G5641" t="s">
        <v>352</v>
      </c>
      <c r="H5641" t="s">
        <v>975</v>
      </c>
      <c r="I5641" t="s">
        <v>22</v>
      </c>
      <c r="J5641" s="2" t="s">
        <v>42</v>
      </c>
      <c r="K5641" s="2" t="s">
        <v>3019</v>
      </c>
      <c r="L5641" t="s">
        <v>25</v>
      </c>
      <c r="M5641" s="8">
        <v>1.0693333330000001</v>
      </c>
      <c r="N5641" t="s">
        <v>26</v>
      </c>
      <c r="O5641" s="8">
        <v>1.0693333330000001</v>
      </c>
      <c r="P5641" s="8">
        <f>EXP(-1.363+3.366*LOG(O5641,10))</f>
        <v>0.28223780327142356</v>
      </c>
      <c r="Q5641" s="8">
        <f>(1845879*100)/1946364</f>
        <v>94.837296620775973</v>
      </c>
    </row>
    <row r="5642" spans="1:17" x14ac:dyDescent="0.2">
      <c r="A5642">
        <f>YEAR(D5642)</f>
        <v>2020</v>
      </c>
      <c r="B5642" t="s">
        <v>26</v>
      </c>
      <c r="C5642" s="2" t="s">
        <v>3021</v>
      </c>
      <c r="D5642" s="1">
        <v>44018</v>
      </c>
      <c r="E5642">
        <f>MONTH(D5642)</f>
        <v>7</v>
      </c>
      <c r="F5642" s="2" t="s">
        <v>19</v>
      </c>
      <c r="G5642" t="s">
        <v>20</v>
      </c>
      <c r="H5642" t="s">
        <v>149</v>
      </c>
      <c r="I5642" t="s">
        <v>22</v>
      </c>
      <c r="J5642" s="2" t="s">
        <v>42</v>
      </c>
      <c r="K5642" s="2" t="s">
        <v>3019</v>
      </c>
      <c r="L5642" t="s">
        <v>25</v>
      </c>
      <c r="M5642" s="8">
        <v>1.45</v>
      </c>
      <c r="N5642" t="s">
        <v>26</v>
      </c>
      <c r="O5642" s="8">
        <v>1.45</v>
      </c>
      <c r="P5642" s="8">
        <f>EXP(-1.363+3.366*LOG(O5642,10))</f>
        <v>0.44050419760124854</v>
      </c>
      <c r="Q5642" s="8">
        <f>(1845879*100)/1946364</f>
        <v>94.837296620775973</v>
      </c>
    </row>
    <row r="5643" spans="1:17" x14ac:dyDescent="0.2">
      <c r="A5643">
        <f>YEAR(D5643)</f>
        <v>2020</v>
      </c>
      <c r="B5643" t="s">
        <v>26</v>
      </c>
      <c r="C5643" s="2" t="s">
        <v>3021</v>
      </c>
      <c r="D5643" s="1">
        <v>44018</v>
      </c>
      <c r="E5643">
        <f>MONTH(D5643)</f>
        <v>7</v>
      </c>
      <c r="F5643" s="2" t="s">
        <v>19</v>
      </c>
      <c r="G5643" t="s">
        <v>20</v>
      </c>
      <c r="H5643" t="s">
        <v>149</v>
      </c>
      <c r="I5643" t="s">
        <v>22</v>
      </c>
      <c r="J5643" s="2" t="s">
        <v>42</v>
      </c>
      <c r="K5643" s="2" t="s">
        <v>3019</v>
      </c>
      <c r="L5643" t="s">
        <v>25</v>
      </c>
      <c r="M5643" s="8">
        <v>1.45</v>
      </c>
      <c r="N5643" t="s">
        <v>26</v>
      </c>
      <c r="O5643" s="8">
        <v>1.45</v>
      </c>
      <c r="P5643" s="8">
        <f>EXP(-1.363+3.366*LOG(O5643,10))</f>
        <v>0.44050419760124854</v>
      </c>
      <c r="Q5643" s="8">
        <f>(1845879*100)/1946364</f>
        <v>94.837296620775973</v>
      </c>
    </row>
    <row r="5644" spans="1:17" x14ac:dyDescent="0.2">
      <c r="A5644">
        <f>YEAR(D5644)</f>
        <v>2020</v>
      </c>
      <c r="B5644" t="s">
        <v>26</v>
      </c>
      <c r="C5644" s="2" t="s">
        <v>3020</v>
      </c>
      <c r="D5644" s="1">
        <v>44018</v>
      </c>
      <c r="E5644">
        <f>MONTH(D5644)</f>
        <v>7</v>
      </c>
      <c r="F5644" s="2" t="s">
        <v>19</v>
      </c>
      <c r="G5644" t="s">
        <v>219</v>
      </c>
      <c r="H5644" t="s">
        <v>220</v>
      </c>
      <c r="I5644" t="s">
        <v>22</v>
      </c>
      <c r="J5644" s="2" t="s">
        <v>42</v>
      </c>
      <c r="K5644" s="2" t="s">
        <v>3019</v>
      </c>
      <c r="L5644" t="s">
        <v>25</v>
      </c>
      <c r="M5644" s="10" t="s">
        <v>26</v>
      </c>
      <c r="N5644" t="s">
        <v>26</v>
      </c>
      <c r="O5644" s="10" t="s">
        <v>26</v>
      </c>
      <c r="P5644" s="8" t="s">
        <v>26</v>
      </c>
      <c r="Q5644" s="8">
        <f>(3359412*100)/3462762</f>
        <v>97.015388294084318</v>
      </c>
    </row>
    <row r="5645" spans="1:17" x14ac:dyDescent="0.2">
      <c r="A5645">
        <f>YEAR(D5645)</f>
        <v>2020</v>
      </c>
      <c r="B5645" t="s">
        <v>26</v>
      </c>
      <c r="C5645" s="2" t="s">
        <v>3020</v>
      </c>
      <c r="D5645" s="1">
        <v>44018</v>
      </c>
      <c r="E5645">
        <f>MONTH(D5645)</f>
        <v>7</v>
      </c>
      <c r="F5645" s="2" t="s">
        <v>19</v>
      </c>
      <c r="G5645" t="s">
        <v>230</v>
      </c>
      <c r="H5645" t="s">
        <v>268</v>
      </c>
      <c r="I5645" t="s">
        <v>22</v>
      </c>
      <c r="J5645" s="2" t="s">
        <v>42</v>
      </c>
      <c r="K5645" s="2" t="s">
        <v>3019</v>
      </c>
      <c r="L5645" t="s">
        <v>25</v>
      </c>
      <c r="M5645" s="8">
        <v>3.5356666670000001</v>
      </c>
      <c r="N5645" t="s">
        <v>26</v>
      </c>
      <c r="O5645" s="8">
        <v>3.5356666670000001</v>
      </c>
      <c r="P5645" s="8">
        <f>EXP(-1.363+3.366*LOG(O5645,10))</f>
        <v>1.6211802664427075</v>
      </c>
      <c r="Q5645" s="8">
        <f>(3359412*100)/3462762</f>
        <v>97.015388294084318</v>
      </c>
    </row>
    <row r="5646" spans="1:17" x14ac:dyDescent="0.2">
      <c r="A5646">
        <f>YEAR(D5646)</f>
        <v>2020</v>
      </c>
      <c r="B5646" t="s">
        <v>26</v>
      </c>
      <c r="C5646" s="2" t="s">
        <v>3020</v>
      </c>
      <c r="D5646" s="1">
        <v>44018</v>
      </c>
      <c r="E5646">
        <f>MONTH(D5646)</f>
        <v>7</v>
      </c>
      <c r="F5646" s="2" t="s">
        <v>19</v>
      </c>
      <c r="G5646" t="s">
        <v>332</v>
      </c>
      <c r="H5646" t="s">
        <v>1620</v>
      </c>
      <c r="I5646" t="s">
        <v>36</v>
      </c>
      <c r="J5646" s="2" t="s">
        <v>42</v>
      </c>
      <c r="K5646" s="2" t="s">
        <v>3019</v>
      </c>
      <c r="L5646" t="s">
        <v>25</v>
      </c>
      <c r="M5646" s="8">
        <v>1.036333333</v>
      </c>
      <c r="N5646" t="s">
        <v>26</v>
      </c>
      <c r="O5646" s="8">
        <v>1.036333333</v>
      </c>
      <c r="P5646" s="8">
        <f>EXP(-1.363+3.366*LOG(O5646,10))</f>
        <v>0.26959652393070888</v>
      </c>
      <c r="Q5646" s="8">
        <f>(3359412*100)/3462762</f>
        <v>97.015388294084318</v>
      </c>
    </row>
    <row r="5647" spans="1:17" x14ac:dyDescent="0.2">
      <c r="A5647">
        <f>YEAR(D5647)</f>
        <v>2020</v>
      </c>
      <c r="B5647" t="s">
        <v>26</v>
      </c>
      <c r="C5647" s="2" t="s">
        <v>3020</v>
      </c>
      <c r="D5647" s="1">
        <v>44018</v>
      </c>
      <c r="E5647">
        <f>MONTH(D5647)</f>
        <v>7</v>
      </c>
      <c r="F5647" s="2" t="s">
        <v>19</v>
      </c>
      <c r="G5647" t="s">
        <v>352</v>
      </c>
      <c r="H5647" t="s">
        <v>610</v>
      </c>
      <c r="I5647" t="s">
        <v>36</v>
      </c>
      <c r="J5647" s="2" t="s">
        <v>42</v>
      </c>
      <c r="K5647" s="2" t="s">
        <v>3019</v>
      </c>
      <c r="L5647" t="s">
        <v>25</v>
      </c>
      <c r="M5647" s="8">
        <v>0.878</v>
      </c>
      <c r="N5647" t="s">
        <v>26</v>
      </c>
      <c r="O5647" s="8">
        <v>0.878</v>
      </c>
      <c r="P5647" s="8">
        <f>EXP(-1.363+3.366*LOG(O5647,10))</f>
        <v>0.2115704033642706</v>
      </c>
      <c r="Q5647" s="8">
        <f>(3359412*100)/3462762</f>
        <v>97.015388294084318</v>
      </c>
    </row>
    <row r="5648" spans="1:17" x14ac:dyDescent="0.2">
      <c r="A5648">
        <f>YEAR(D5648)</f>
        <v>2020</v>
      </c>
      <c r="B5648" t="s">
        <v>26</v>
      </c>
      <c r="C5648" s="2" t="s">
        <v>3020</v>
      </c>
      <c r="D5648" s="1">
        <v>44018</v>
      </c>
      <c r="E5648">
        <f>MONTH(D5648)</f>
        <v>7</v>
      </c>
      <c r="F5648" s="2" t="s">
        <v>19</v>
      </c>
      <c r="G5648" t="s">
        <v>332</v>
      </c>
      <c r="H5648" t="s">
        <v>1620</v>
      </c>
      <c r="I5648" t="s">
        <v>22</v>
      </c>
      <c r="J5648" s="2" t="s">
        <v>42</v>
      </c>
      <c r="K5648" s="2" t="s">
        <v>3019</v>
      </c>
      <c r="L5648" t="s">
        <v>25</v>
      </c>
      <c r="M5648" s="8">
        <v>1.1595</v>
      </c>
      <c r="N5648" t="s">
        <v>26</v>
      </c>
      <c r="O5648" s="8">
        <v>1.1595</v>
      </c>
      <c r="P5648" s="8">
        <f>EXP(-1.363+3.366*LOG(O5648,10))</f>
        <v>0.31769462844280599</v>
      </c>
      <c r="Q5648" s="8">
        <f>(3359412*100)/3462762</f>
        <v>97.015388294084318</v>
      </c>
    </row>
    <row r="5649" spans="1:17" x14ac:dyDescent="0.2">
      <c r="A5649">
        <f>YEAR(D5649)</f>
        <v>2020</v>
      </c>
      <c r="B5649" t="s">
        <v>26</v>
      </c>
      <c r="C5649" s="2" t="s">
        <v>3020</v>
      </c>
      <c r="D5649" s="1">
        <v>44018</v>
      </c>
      <c r="E5649">
        <f>MONTH(D5649)</f>
        <v>7</v>
      </c>
      <c r="F5649" s="2" t="s">
        <v>19</v>
      </c>
      <c r="G5649" t="s">
        <v>352</v>
      </c>
      <c r="H5649" t="s">
        <v>1142</v>
      </c>
      <c r="I5649" t="s">
        <v>22</v>
      </c>
      <c r="J5649" s="2" t="s">
        <v>42</v>
      </c>
      <c r="K5649" s="2" t="s">
        <v>3019</v>
      </c>
      <c r="L5649" t="s">
        <v>25</v>
      </c>
      <c r="M5649" s="8">
        <v>1.1423333330000001</v>
      </c>
      <c r="N5649" t="s">
        <v>26</v>
      </c>
      <c r="O5649" s="8">
        <v>1.1423333330000001</v>
      </c>
      <c r="P5649" s="8">
        <f>EXP(-1.363+3.366*LOG(O5649,10))</f>
        <v>0.31084239358261528</v>
      </c>
      <c r="Q5649" s="8">
        <f>(3359412*100)/3462762</f>
        <v>97.015388294084318</v>
      </c>
    </row>
    <row r="5650" spans="1:17" x14ac:dyDescent="0.2">
      <c r="A5650">
        <f>YEAR(D5650)</f>
        <v>2020</v>
      </c>
      <c r="B5650" t="s">
        <v>26</v>
      </c>
      <c r="C5650" s="2" t="s">
        <v>3020</v>
      </c>
      <c r="D5650" s="1">
        <v>44018</v>
      </c>
      <c r="E5650">
        <f>MONTH(D5650)</f>
        <v>7</v>
      </c>
      <c r="F5650" s="2" t="s">
        <v>19</v>
      </c>
      <c r="G5650" t="s">
        <v>362</v>
      </c>
      <c r="H5650" t="s">
        <v>447</v>
      </c>
      <c r="I5650" t="s">
        <v>22</v>
      </c>
      <c r="J5650" s="2" t="s">
        <v>42</v>
      </c>
      <c r="K5650" s="2" t="s">
        <v>3019</v>
      </c>
      <c r="L5650" t="s">
        <v>25</v>
      </c>
      <c r="M5650" s="8">
        <v>1.421</v>
      </c>
      <c r="N5650" t="s">
        <v>26</v>
      </c>
      <c r="O5650" s="8">
        <v>1.421</v>
      </c>
      <c r="P5650" s="8">
        <f>EXP(-1.363+3.366*LOG(O5650,10))</f>
        <v>0.42768500084673816</v>
      </c>
      <c r="Q5650" s="8">
        <f>(3359412*100)/3462762</f>
        <v>97.015388294084318</v>
      </c>
    </row>
    <row r="5651" spans="1:17" x14ac:dyDescent="0.2">
      <c r="A5651">
        <f>YEAR(D5651)</f>
        <v>2020</v>
      </c>
      <c r="B5651" t="s">
        <v>26</v>
      </c>
      <c r="C5651" s="2" t="s">
        <v>3020</v>
      </c>
      <c r="D5651" s="1">
        <v>44018</v>
      </c>
      <c r="E5651">
        <f>MONTH(D5651)</f>
        <v>7</v>
      </c>
      <c r="F5651" s="2" t="s">
        <v>19</v>
      </c>
      <c r="G5651" t="s">
        <v>1520</v>
      </c>
      <c r="H5651" t="s">
        <v>1925</v>
      </c>
      <c r="I5651" t="s">
        <v>36</v>
      </c>
      <c r="J5651" s="2" t="s">
        <v>42</v>
      </c>
      <c r="K5651" s="2" t="s">
        <v>3019</v>
      </c>
      <c r="L5651" t="s">
        <v>25</v>
      </c>
      <c r="M5651" s="8">
        <v>2.1076666670000002</v>
      </c>
      <c r="N5651" t="s">
        <v>26</v>
      </c>
      <c r="O5651" s="8">
        <v>2.1076666670000002</v>
      </c>
      <c r="P5651" s="8">
        <f>EXP(-1.363+3.366*LOG(O5651,10))</f>
        <v>0.76102983783378542</v>
      </c>
      <c r="Q5651" s="8">
        <f>(3359412*100)/3462762</f>
        <v>97.015388294084318</v>
      </c>
    </row>
    <row r="5652" spans="1:17" x14ac:dyDescent="0.2">
      <c r="A5652">
        <f>YEAR(D5652)</f>
        <v>2020</v>
      </c>
      <c r="B5652" t="s">
        <v>26</v>
      </c>
      <c r="C5652" s="2" t="s">
        <v>3024</v>
      </c>
      <c r="D5652" s="1">
        <v>44029</v>
      </c>
      <c r="E5652">
        <f>MONTH(D5652)</f>
        <v>7</v>
      </c>
      <c r="F5652" s="2" t="s">
        <v>2098</v>
      </c>
      <c r="G5652" t="s">
        <v>230</v>
      </c>
      <c r="H5652" t="s">
        <v>268</v>
      </c>
      <c r="I5652" t="s">
        <v>22</v>
      </c>
      <c r="J5652" s="2" t="s">
        <v>42</v>
      </c>
      <c r="K5652" s="2" t="s">
        <v>3019</v>
      </c>
      <c r="L5652" t="s">
        <v>25</v>
      </c>
      <c r="M5652" s="8">
        <v>3.5356666670000001</v>
      </c>
      <c r="N5652" t="s">
        <v>26</v>
      </c>
      <c r="O5652" s="8">
        <v>3.5356666670000001</v>
      </c>
      <c r="P5652" s="8">
        <f>EXP(-1.363+3.366*LOG(O5652,10))</f>
        <v>1.6211802664427075</v>
      </c>
      <c r="Q5652" s="8">
        <f>(2412691*100)/2623642</f>
        <v>91.959611867777696</v>
      </c>
    </row>
    <row r="5653" spans="1:17" x14ac:dyDescent="0.2">
      <c r="A5653">
        <f>YEAR(D5653)</f>
        <v>2020</v>
      </c>
      <c r="B5653" t="s">
        <v>26</v>
      </c>
      <c r="C5653" s="2" t="s">
        <v>3024</v>
      </c>
      <c r="D5653" s="1">
        <v>44029</v>
      </c>
      <c r="E5653">
        <f>MONTH(D5653)</f>
        <v>7</v>
      </c>
      <c r="F5653" s="2" t="s">
        <v>2098</v>
      </c>
      <c r="G5653" t="s">
        <v>230</v>
      </c>
      <c r="H5653" t="s">
        <v>268</v>
      </c>
      <c r="I5653" t="s">
        <v>22</v>
      </c>
      <c r="J5653" s="2" t="s">
        <v>42</v>
      </c>
      <c r="K5653" s="2" t="s">
        <v>3019</v>
      </c>
      <c r="L5653" t="s">
        <v>25</v>
      </c>
      <c r="M5653" s="8">
        <v>3.5356666670000001</v>
      </c>
      <c r="N5653" t="s">
        <v>26</v>
      </c>
      <c r="O5653" s="8">
        <v>3.5356666670000001</v>
      </c>
      <c r="P5653" s="8">
        <f>EXP(-1.363+3.366*LOG(O5653,10))</f>
        <v>1.6211802664427075</v>
      </c>
      <c r="Q5653" s="8">
        <f>(2412691*100)/2623642</f>
        <v>91.959611867777696</v>
      </c>
    </row>
    <row r="5654" spans="1:17" x14ac:dyDescent="0.2">
      <c r="A5654">
        <f>YEAR(D5654)</f>
        <v>2020</v>
      </c>
      <c r="B5654" t="s">
        <v>26</v>
      </c>
      <c r="C5654" s="2" t="s">
        <v>3024</v>
      </c>
      <c r="D5654" s="1">
        <v>44029</v>
      </c>
      <c r="E5654">
        <f>MONTH(D5654)</f>
        <v>7</v>
      </c>
      <c r="F5654" s="2" t="s">
        <v>2098</v>
      </c>
      <c r="G5654" t="s">
        <v>230</v>
      </c>
      <c r="H5654" t="s">
        <v>268</v>
      </c>
      <c r="I5654" t="s">
        <v>22</v>
      </c>
      <c r="J5654" s="2" t="s">
        <v>42</v>
      </c>
      <c r="K5654" s="2" t="s">
        <v>3019</v>
      </c>
      <c r="L5654" t="s">
        <v>25</v>
      </c>
      <c r="M5654" s="8">
        <v>3.5356666670000001</v>
      </c>
      <c r="N5654" t="s">
        <v>26</v>
      </c>
      <c r="O5654" s="8">
        <v>3.5356666670000001</v>
      </c>
      <c r="P5654" s="8">
        <f>EXP(-1.363+3.366*LOG(O5654,10))</f>
        <v>1.6211802664427075</v>
      </c>
      <c r="Q5654" s="8">
        <f>(2412691*100)/2623642</f>
        <v>91.959611867777696</v>
      </c>
    </row>
    <row r="5655" spans="1:17" x14ac:dyDescent="0.2">
      <c r="A5655">
        <f>YEAR(D5655)</f>
        <v>2020</v>
      </c>
      <c r="B5655" t="s">
        <v>26</v>
      </c>
      <c r="C5655" s="2" t="s">
        <v>3024</v>
      </c>
      <c r="D5655" s="1">
        <v>44029</v>
      </c>
      <c r="E5655">
        <f>MONTH(D5655)</f>
        <v>7</v>
      </c>
      <c r="F5655" s="2" t="s">
        <v>2098</v>
      </c>
      <c r="G5655" t="s">
        <v>230</v>
      </c>
      <c r="H5655" t="s">
        <v>268</v>
      </c>
      <c r="I5655" t="s">
        <v>22</v>
      </c>
      <c r="J5655" s="2" t="s">
        <v>42</v>
      </c>
      <c r="K5655" s="2" t="s">
        <v>3019</v>
      </c>
      <c r="L5655" t="s">
        <v>25</v>
      </c>
      <c r="M5655" s="8">
        <v>3.5356666670000001</v>
      </c>
      <c r="N5655" t="s">
        <v>26</v>
      </c>
      <c r="O5655" s="8">
        <v>3.5356666670000001</v>
      </c>
      <c r="P5655" s="8">
        <f>EXP(-1.363+3.366*LOG(O5655,10))</f>
        <v>1.6211802664427075</v>
      </c>
      <c r="Q5655" s="8">
        <f>(2412691*100)/2623642</f>
        <v>91.959611867777696</v>
      </c>
    </row>
    <row r="5656" spans="1:17" x14ac:dyDescent="0.2">
      <c r="A5656">
        <f>YEAR(D5656)</f>
        <v>2020</v>
      </c>
      <c r="B5656" t="s">
        <v>26</v>
      </c>
      <c r="C5656" s="2" t="s">
        <v>3024</v>
      </c>
      <c r="D5656" s="1">
        <v>44029</v>
      </c>
      <c r="E5656">
        <f>MONTH(D5656)</f>
        <v>7</v>
      </c>
      <c r="F5656" s="2" t="s">
        <v>2098</v>
      </c>
      <c r="G5656" t="s">
        <v>219</v>
      </c>
      <c r="H5656" t="s">
        <v>220</v>
      </c>
      <c r="I5656" t="s">
        <v>22</v>
      </c>
      <c r="J5656" s="2" t="s">
        <v>42</v>
      </c>
      <c r="K5656" s="2" t="s">
        <v>3019</v>
      </c>
      <c r="L5656" t="s">
        <v>25</v>
      </c>
      <c r="M5656" s="10" t="s">
        <v>26</v>
      </c>
      <c r="N5656" t="s">
        <v>26</v>
      </c>
      <c r="O5656" s="10" t="s">
        <v>26</v>
      </c>
      <c r="P5656" s="8" t="s">
        <v>26</v>
      </c>
      <c r="Q5656" s="8">
        <f>(2412691*100)/2623642</f>
        <v>91.959611867777696</v>
      </c>
    </row>
    <row r="5657" spans="1:17" x14ac:dyDescent="0.2">
      <c r="A5657">
        <f>YEAR(D5657)</f>
        <v>2020</v>
      </c>
      <c r="B5657" t="s">
        <v>26</v>
      </c>
      <c r="C5657" s="2" t="s">
        <v>3024</v>
      </c>
      <c r="D5657" s="1">
        <v>44029</v>
      </c>
      <c r="E5657">
        <f>MONTH(D5657)</f>
        <v>7</v>
      </c>
      <c r="F5657" s="2" t="s">
        <v>2098</v>
      </c>
      <c r="G5657" t="s">
        <v>230</v>
      </c>
      <c r="H5657" t="s">
        <v>268</v>
      </c>
      <c r="I5657" t="s">
        <v>22</v>
      </c>
      <c r="J5657" s="2" t="s">
        <v>42</v>
      </c>
      <c r="K5657" s="2" t="s">
        <v>3019</v>
      </c>
      <c r="L5657" t="s">
        <v>25</v>
      </c>
      <c r="M5657" s="8">
        <v>3.5356666670000001</v>
      </c>
      <c r="N5657" t="s">
        <v>26</v>
      </c>
      <c r="O5657" s="8">
        <v>3.5356666670000001</v>
      </c>
      <c r="P5657" s="8">
        <f>EXP(-1.363+3.366*LOG(O5657,10))</f>
        <v>1.6211802664427075</v>
      </c>
      <c r="Q5657" s="8">
        <f>(2412691*100)/2623642</f>
        <v>91.959611867777696</v>
      </c>
    </row>
    <row r="5658" spans="1:17" x14ac:dyDescent="0.2">
      <c r="A5658">
        <f>YEAR(D5658)</f>
        <v>2020</v>
      </c>
      <c r="B5658" t="s">
        <v>26</v>
      </c>
      <c r="C5658" s="2" t="s">
        <v>3024</v>
      </c>
      <c r="D5658" s="1">
        <v>44029</v>
      </c>
      <c r="E5658">
        <f>MONTH(D5658)</f>
        <v>7</v>
      </c>
      <c r="F5658" s="2" t="s">
        <v>2098</v>
      </c>
      <c r="G5658" t="s">
        <v>230</v>
      </c>
      <c r="H5658" t="s">
        <v>268</v>
      </c>
      <c r="I5658" t="s">
        <v>36</v>
      </c>
      <c r="J5658" s="2" t="s">
        <v>42</v>
      </c>
      <c r="K5658" s="2" t="s">
        <v>3019</v>
      </c>
      <c r="L5658" t="s">
        <v>25</v>
      </c>
      <c r="M5658" s="8">
        <v>3.3683333329999998</v>
      </c>
      <c r="N5658" t="s">
        <v>26</v>
      </c>
      <c r="O5658" s="8">
        <v>3.3683333329999998</v>
      </c>
      <c r="P5658" s="8">
        <f>EXP(-1.363+3.366*LOG(O5658,10))</f>
        <v>1.510255893489963</v>
      </c>
      <c r="Q5658" s="8">
        <f>(2412691*100)/2623642</f>
        <v>91.959611867777696</v>
      </c>
    </row>
    <row r="5659" spans="1:17" x14ac:dyDescent="0.2">
      <c r="A5659">
        <f>YEAR(D5659)</f>
        <v>2020</v>
      </c>
      <c r="B5659" t="s">
        <v>26</v>
      </c>
      <c r="C5659" s="2" t="s">
        <v>3024</v>
      </c>
      <c r="D5659" s="1">
        <v>44029</v>
      </c>
      <c r="E5659">
        <f>MONTH(D5659)</f>
        <v>7</v>
      </c>
      <c r="F5659" s="2" t="s">
        <v>2098</v>
      </c>
      <c r="G5659" t="s">
        <v>230</v>
      </c>
      <c r="H5659" t="s">
        <v>268</v>
      </c>
      <c r="I5659" t="s">
        <v>22</v>
      </c>
      <c r="J5659" s="2" t="s">
        <v>42</v>
      </c>
      <c r="K5659" s="2" t="s">
        <v>3019</v>
      </c>
      <c r="L5659" t="s">
        <v>25</v>
      </c>
      <c r="M5659" s="8">
        <v>3.5356666670000001</v>
      </c>
      <c r="N5659" t="s">
        <v>26</v>
      </c>
      <c r="O5659" s="8">
        <v>3.5356666670000001</v>
      </c>
      <c r="P5659" s="8">
        <f>EXP(-1.363+3.366*LOG(O5659,10))</f>
        <v>1.6211802664427075</v>
      </c>
      <c r="Q5659" s="8">
        <f>(2412691*100)/2623642</f>
        <v>91.959611867777696</v>
      </c>
    </row>
    <row r="5660" spans="1:17" x14ac:dyDescent="0.2">
      <c r="A5660">
        <f>YEAR(D5660)</f>
        <v>2020</v>
      </c>
      <c r="B5660" t="s">
        <v>26</v>
      </c>
      <c r="C5660" s="2" t="s">
        <v>3024</v>
      </c>
      <c r="D5660" s="1">
        <v>44029</v>
      </c>
      <c r="E5660">
        <f>MONTH(D5660)</f>
        <v>7</v>
      </c>
      <c r="F5660" s="2" t="s">
        <v>2098</v>
      </c>
      <c r="G5660" t="s">
        <v>219</v>
      </c>
      <c r="H5660" t="s">
        <v>220</v>
      </c>
      <c r="I5660" t="s">
        <v>22</v>
      </c>
      <c r="J5660" s="2" t="s">
        <v>42</v>
      </c>
      <c r="K5660" s="2" t="s">
        <v>3019</v>
      </c>
      <c r="L5660" t="s">
        <v>25</v>
      </c>
      <c r="M5660" s="10" t="s">
        <v>26</v>
      </c>
      <c r="N5660" t="s">
        <v>26</v>
      </c>
      <c r="O5660" s="10" t="s">
        <v>26</v>
      </c>
      <c r="P5660" s="8" t="s">
        <v>26</v>
      </c>
      <c r="Q5660" s="8">
        <f>(2412691*100)/2623642</f>
        <v>91.959611867777696</v>
      </c>
    </row>
    <row r="5661" spans="1:17" x14ac:dyDescent="0.2">
      <c r="A5661">
        <f>YEAR(D5661)</f>
        <v>2020</v>
      </c>
      <c r="B5661" t="s">
        <v>26</v>
      </c>
      <c r="C5661" s="2" t="s">
        <v>3024</v>
      </c>
      <c r="D5661" s="1">
        <v>44029</v>
      </c>
      <c r="E5661">
        <f>MONTH(D5661)</f>
        <v>7</v>
      </c>
      <c r="F5661" s="2" t="s">
        <v>2098</v>
      </c>
      <c r="G5661" t="s">
        <v>219</v>
      </c>
      <c r="H5661" t="s">
        <v>220</v>
      </c>
      <c r="I5661" t="s">
        <v>22</v>
      </c>
      <c r="J5661" s="2" t="s">
        <v>42</v>
      </c>
      <c r="K5661" s="2" t="s">
        <v>3019</v>
      </c>
      <c r="L5661" t="s">
        <v>25</v>
      </c>
      <c r="M5661" s="10" t="s">
        <v>26</v>
      </c>
      <c r="N5661" t="s">
        <v>26</v>
      </c>
      <c r="O5661" s="10" t="s">
        <v>26</v>
      </c>
      <c r="P5661" s="8" t="s">
        <v>26</v>
      </c>
      <c r="Q5661" s="8">
        <f>(2412691*100)/2623642</f>
        <v>91.959611867777696</v>
      </c>
    </row>
    <row r="5662" spans="1:17" x14ac:dyDescent="0.2">
      <c r="A5662">
        <f>YEAR(D5662)</f>
        <v>2020</v>
      </c>
      <c r="B5662" t="s">
        <v>26</v>
      </c>
      <c r="C5662" s="2" t="s">
        <v>3024</v>
      </c>
      <c r="D5662" s="1">
        <v>44029</v>
      </c>
      <c r="E5662">
        <f>MONTH(D5662)</f>
        <v>7</v>
      </c>
      <c r="F5662" s="2" t="s">
        <v>19</v>
      </c>
      <c r="G5662" t="s">
        <v>219</v>
      </c>
      <c r="H5662" t="s">
        <v>220</v>
      </c>
      <c r="I5662" t="s">
        <v>22</v>
      </c>
      <c r="J5662" s="2" t="s">
        <v>42</v>
      </c>
      <c r="K5662" s="2" t="s">
        <v>3019</v>
      </c>
      <c r="L5662" t="s">
        <v>25</v>
      </c>
      <c r="M5662" s="10" t="s">
        <v>26</v>
      </c>
      <c r="N5662" t="s">
        <v>26</v>
      </c>
      <c r="O5662" s="10" t="s">
        <v>26</v>
      </c>
      <c r="P5662" s="8" t="s">
        <v>26</v>
      </c>
      <c r="Q5662" s="8">
        <f>(2412691*100)/2623642</f>
        <v>91.959611867777696</v>
      </c>
    </row>
    <row r="5663" spans="1:17" x14ac:dyDescent="0.2">
      <c r="A5663">
        <f>YEAR(D5663)</f>
        <v>2020</v>
      </c>
      <c r="B5663" t="s">
        <v>26</v>
      </c>
      <c r="C5663" s="2" t="s">
        <v>3024</v>
      </c>
      <c r="D5663" s="1">
        <v>44029</v>
      </c>
      <c r="E5663">
        <f>MONTH(D5663)</f>
        <v>7</v>
      </c>
      <c r="F5663" s="2" t="s">
        <v>2098</v>
      </c>
      <c r="G5663" t="s">
        <v>1959</v>
      </c>
      <c r="H5663" t="s">
        <v>2994</v>
      </c>
      <c r="I5663" t="s">
        <v>36</v>
      </c>
      <c r="J5663" s="2" t="s">
        <v>42</v>
      </c>
      <c r="K5663" s="2" t="s">
        <v>3019</v>
      </c>
      <c r="L5663" t="s">
        <v>305</v>
      </c>
      <c r="M5663" s="8">
        <v>0.90500000000000003</v>
      </c>
      <c r="N5663" t="s">
        <v>26</v>
      </c>
      <c r="O5663" s="8">
        <v>0.90500000000000003</v>
      </c>
      <c r="P5663" s="8">
        <f>EXP(-1.363+3.366*LOG(O5663,10))</f>
        <v>0.22114849447619145</v>
      </c>
      <c r="Q5663" s="8">
        <f>(2412691*100)/2623642</f>
        <v>91.959611867777696</v>
      </c>
    </row>
    <row r="5664" spans="1:17" x14ac:dyDescent="0.2">
      <c r="A5664">
        <f>YEAR(D5664)</f>
        <v>2020</v>
      </c>
      <c r="B5664" t="s">
        <v>26</v>
      </c>
      <c r="C5664" s="2" t="s">
        <v>3024</v>
      </c>
      <c r="D5664" s="1">
        <v>44029</v>
      </c>
      <c r="E5664">
        <f>MONTH(D5664)</f>
        <v>7</v>
      </c>
      <c r="F5664" s="2" t="s">
        <v>2098</v>
      </c>
      <c r="G5664" t="s">
        <v>332</v>
      </c>
      <c r="H5664" t="s">
        <v>327</v>
      </c>
      <c r="I5664" t="s">
        <v>36</v>
      </c>
      <c r="J5664" s="2" t="s">
        <v>42</v>
      </c>
      <c r="K5664" s="2" t="s">
        <v>3019</v>
      </c>
      <c r="L5664" t="s">
        <v>25</v>
      </c>
      <c r="M5664" s="8">
        <v>1.0693333330000001</v>
      </c>
      <c r="N5664" t="s">
        <v>26</v>
      </c>
      <c r="O5664" s="8">
        <v>1.0693333330000001</v>
      </c>
      <c r="P5664" s="8">
        <f>EXP(-1.363+3.366*LOG(O5664,10))</f>
        <v>0.28223780327142356</v>
      </c>
      <c r="Q5664" s="8">
        <f>(2412691*100)/2623642</f>
        <v>91.959611867777696</v>
      </c>
    </row>
    <row r="5665" spans="1:17" x14ac:dyDescent="0.2">
      <c r="A5665">
        <f>YEAR(D5665)</f>
        <v>2020</v>
      </c>
      <c r="B5665" t="s">
        <v>26</v>
      </c>
      <c r="C5665" s="2" t="s">
        <v>3024</v>
      </c>
      <c r="D5665" s="1">
        <v>44029</v>
      </c>
      <c r="E5665">
        <f>MONTH(D5665)</f>
        <v>7</v>
      </c>
      <c r="F5665" s="2" t="s">
        <v>2098</v>
      </c>
      <c r="G5665" t="s">
        <v>2206</v>
      </c>
      <c r="H5665" t="s">
        <v>2207</v>
      </c>
      <c r="I5665" t="s">
        <v>22</v>
      </c>
      <c r="J5665" s="2" t="s">
        <v>42</v>
      </c>
      <c r="K5665" s="2" t="s">
        <v>3019</v>
      </c>
      <c r="L5665" t="s">
        <v>25</v>
      </c>
      <c r="M5665" s="8">
        <v>3.249333333</v>
      </c>
      <c r="N5665" t="s">
        <v>26</v>
      </c>
      <c r="O5665" s="8">
        <v>3.249333333</v>
      </c>
      <c r="P5665" s="8">
        <f>EXP(-1.363+3.366*LOG(O5665,10))</f>
        <v>1.4328987616438449</v>
      </c>
      <c r="Q5665" s="8">
        <f>(2412691*100)/2623642</f>
        <v>91.959611867777696</v>
      </c>
    </row>
    <row r="5666" spans="1:17" x14ac:dyDescent="0.2">
      <c r="A5666">
        <f>YEAR(D5666)</f>
        <v>2020</v>
      </c>
      <c r="B5666" t="s">
        <v>26</v>
      </c>
      <c r="C5666" s="2" t="s">
        <v>3024</v>
      </c>
      <c r="D5666" s="1">
        <v>44029</v>
      </c>
      <c r="E5666">
        <f>MONTH(D5666)</f>
        <v>7</v>
      </c>
      <c r="F5666" s="2" t="s">
        <v>2098</v>
      </c>
      <c r="G5666" t="s">
        <v>352</v>
      </c>
      <c r="H5666" t="s">
        <v>1142</v>
      </c>
      <c r="I5666" t="s">
        <v>36</v>
      </c>
      <c r="J5666" s="2" t="s">
        <v>42</v>
      </c>
      <c r="K5666" s="2" t="s">
        <v>3019</v>
      </c>
      <c r="L5666" t="s">
        <v>25</v>
      </c>
      <c r="M5666" s="8">
        <v>0.93500000000000005</v>
      </c>
      <c r="N5666" t="s">
        <v>26</v>
      </c>
      <c r="O5666" s="8">
        <v>0.93500000000000005</v>
      </c>
      <c r="P5666" s="8">
        <f>EXP(-1.363+3.366*LOG(O5666,10))</f>
        <v>0.23194659731411651</v>
      </c>
      <c r="Q5666" s="8">
        <f>(2412691*100)/2623642</f>
        <v>91.959611867777696</v>
      </c>
    </row>
    <row r="5667" spans="1:17" x14ac:dyDescent="0.2">
      <c r="A5667">
        <f>YEAR(D5667)</f>
        <v>2020</v>
      </c>
      <c r="B5667" t="s">
        <v>26</v>
      </c>
      <c r="C5667" s="2" t="s">
        <v>3024</v>
      </c>
      <c r="D5667" s="1">
        <v>44029</v>
      </c>
      <c r="E5667">
        <f>MONTH(D5667)</f>
        <v>7</v>
      </c>
      <c r="F5667" s="2" t="s">
        <v>2098</v>
      </c>
      <c r="G5667" t="s">
        <v>352</v>
      </c>
      <c r="H5667" t="s">
        <v>975</v>
      </c>
      <c r="I5667" t="s">
        <v>22</v>
      </c>
      <c r="J5667" s="2" t="s">
        <v>42</v>
      </c>
      <c r="K5667" s="2" t="s">
        <v>3019</v>
      </c>
      <c r="L5667" t="s">
        <v>25</v>
      </c>
      <c r="M5667" s="8">
        <v>1.0693333330000001</v>
      </c>
      <c r="N5667" t="s">
        <v>26</v>
      </c>
      <c r="O5667" s="8">
        <v>1.0693333330000001</v>
      </c>
      <c r="P5667" s="8">
        <f>EXP(-1.363+3.366*LOG(O5667,10))</f>
        <v>0.28223780327142356</v>
      </c>
      <c r="Q5667" s="8">
        <f>(2412691*100)/2623642</f>
        <v>91.959611867777696</v>
      </c>
    </row>
    <row r="5668" spans="1:17" x14ac:dyDescent="0.2">
      <c r="A5668">
        <f>YEAR(D5668)</f>
        <v>2020</v>
      </c>
      <c r="B5668" t="s">
        <v>26</v>
      </c>
      <c r="C5668" s="2" t="s">
        <v>3024</v>
      </c>
      <c r="D5668" s="1">
        <v>44029</v>
      </c>
      <c r="E5668">
        <f>MONTH(D5668)</f>
        <v>7</v>
      </c>
      <c r="F5668" s="2" t="s">
        <v>2098</v>
      </c>
      <c r="G5668" t="s">
        <v>20</v>
      </c>
      <c r="H5668" t="s">
        <v>149</v>
      </c>
      <c r="I5668" t="s">
        <v>36</v>
      </c>
      <c r="J5668" s="2" t="s">
        <v>42</v>
      </c>
      <c r="K5668" s="2" t="s">
        <v>3019</v>
      </c>
      <c r="L5668" t="s">
        <v>25</v>
      </c>
      <c r="M5668" s="8">
        <v>1.032666667</v>
      </c>
      <c r="N5668" t="s">
        <v>26</v>
      </c>
      <c r="O5668" s="8">
        <v>1.032666667</v>
      </c>
      <c r="P5668" s="8">
        <f>EXP(-1.363+3.366*LOG(O5668,10))</f>
        <v>0.26820327281159584</v>
      </c>
      <c r="Q5668" s="8">
        <f>(2412691*100)/2623642</f>
        <v>91.959611867777696</v>
      </c>
    </row>
    <row r="5669" spans="1:17" x14ac:dyDescent="0.2">
      <c r="A5669">
        <f>YEAR(D5669)</f>
        <v>2020</v>
      </c>
      <c r="B5669" t="s">
        <v>26</v>
      </c>
      <c r="C5669" s="2" t="s">
        <v>3024</v>
      </c>
      <c r="D5669" s="1">
        <v>44029</v>
      </c>
      <c r="E5669">
        <f>MONTH(D5669)</f>
        <v>7</v>
      </c>
      <c r="F5669" s="2" t="s">
        <v>2098</v>
      </c>
      <c r="G5669" t="s">
        <v>352</v>
      </c>
      <c r="H5669" t="s">
        <v>975</v>
      </c>
      <c r="I5669" t="s">
        <v>22</v>
      </c>
      <c r="J5669" s="2" t="s">
        <v>42</v>
      </c>
      <c r="K5669" s="2" t="s">
        <v>3019</v>
      </c>
      <c r="L5669" t="s">
        <v>25</v>
      </c>
      <c r="M5669" s="8">
        <v>1.0693333330000001</v>
      </c>
      <c r="N5669" t="s">
        <v>26</v>
      </c>
      <c r="O5669" s="8">
        <v>1.0693333330000001</v>
      </c>
      <c r="P5669" s="8">
        <f>EXP(-1.363+3.366*LOG(O5669,10))</f>
        <v>0.28223780327142356</v>
      </c>
      <c r="Q5669" s="8">
        <f>(2412691*100)/2623642</f>
        <v>91.959611867777696</v>
      </c>
    </row>
    <row r="5670" spans="1:17" x14ac:dyDescent="0.2">
      <c r="A5670">
        <f>YEAR(D5670)</f>
        <v>2020</v>
      </c>
      <c r="B5670" t="s">
        <v>26</v>
      </c>
      <c r="C5670" s="2" t="s">
        <v>3024</v>
      </c>
      <c r="D5670" s="1">
        <v>44029</v>
      </c>
      <c r="E5670">
        <f>MONTH(D5670)</f>
        <v>7</v>
      </c>
      <c r="F5670" s="2" t="s">
        <v>2098</v>
      </c>
      <c r="G5670" t="s">
        <v>352</v>
      </c>
      <c r="H5670" t="s">
        <v>623</v>
      </c>
      <c r="I5670" t="s">
        <v>22</v>
      </c>
      <c r="J5670" s="2" t="s">
        <v>42</v>
      </c>
      <c r="K5670" s="2" t="s">
        <v>3019</v>
      </c>
      <c r="L5670" t="s">
        <v>25</v>
      </c>
      <c r="M5670" s="8">
        <v>1.387</v>
      </c>
      <c r="N5670" t="s">
        <v>26</v>
      </c>
      <c r="O5670" s="8">
        <v>1.387</v>
      </c>
      <c r="P5670" s="8">
        <f>EXP(-1.363+3.366*LOG(O5670,10))</f>
        <v>0.41280884754947733</v>
      </c>
      <c r="Q5670" s="8">
        <f>(2412691*100)/2623642</f>
        <v>91.959611867777696</v>
      </c>
    </row>
    <row r="5671" spans="1:17" x14ac:dyDescent="0.2">
      <c r="A5671">
        <f>YEAR(D5671)</f>
        <v>2020</v>
      </c>
      <c r="B5671" t="s">
        <v>26</v>
      </c>
      <c r="C5671" s="2" t="s">
        <v>3024</v>
      </c>
      <c r="D5671" s="1">
        <v>44029</v>
      </c>
      <c r="E5671">
        <f>MONTH(D5671)</f>
        <v>7</v>
      </c>
      <c r="F5671" s="2" t="s">
        <v>2098</v>
      </c>
      <c r="G5671" t="s">
        <v>352</v>
      </c>
      <c r="H5671" t="s">
        <v>494</v>
      </c>
      <c r="I5671" t="s">
        <v>36</v>
      </c>
      <c r="J5671" s="2" t="s">
        <v>42</v>
      </c>
      <c r="K5671" s="2" t="s">
        <v>3019</v>
      </c>
      <c r="L5671" t="s">
        <v>25</v>
      </c>
      <c r="M5671" s="8">
        <v>1.5556666666666665</v>
      </c>
      <c r="N5671" t="s">
        <v>26</v>
      </c>
      <c r="O5671" s="8">
        <v>1.5556666666666665</v>
      </c>
      <c r="P5671" s="8">
        <f>EXP(-1.363+3.366*LOG(O5671,10))</f>
        <v>0.48821035747612018</v>
      </c>
      <c r="Q5671" s="8">
        <f>(2412691*100)/2623642</f>
        <v>91.959611867777696</v>
      </c>
    </row>
    <row r="5672" spans="1:17" x14ac:dyDescent="0.2">
      <c r="A5672">
        <f>YEAR(D5672)</f>
        <v>2020</v>
      </c>
      <c r="B5672" t="s">
        <v>26</v>
      </c>
      <c r="C5672" s="2" t="s">
        <v>3024</v>
      </c>
      <c r="D5672" s="1">
        <v>44029</v>
      </c>
      <c r="E5672">
        <f>MONTH(D5672)</f>
        <v>7</v>
      </c>
      <c r="F5672" s="2" t="s">
        <v>2098</v>
      </c>
      <c r="G5672" s="2" t="s">
        <v>323</v>
      </c>
      <c r="H5672" t="s">
        <v>3069</v>
      </c>
      <c r="I5672" t="s">
        <v>36</v>
      </c>
      <c r="J5672" s="2" t="s">
        <v>42</v>
      </c>
      <c r="K5672" s="2" t="s">
        <v>3019</v>
      </c>
      <c r="L5672" t="s">
        <v>187</v>
      </c>
      <c r="M5672" s="8">
        <v>1.8440000000000001</v>
      </c>
      <c r="N5672" t="s">
        <v>26</v>
      </c>
      <c r="O5672" s="8">
        <v>1.8440000000000001</v>
      </c>
      <c r="P5672" s="8">
        <f>EXP(-1.363+3.366*LOG(O5672,10))</f>
        <v>0.62597255272623797</v>
      </c>
      <c r="Q5672" s="8">
        <f>(2412691*100)/2623642</f>
        <v>91.959611867777696</v>
      </c>
    </row>
    <row r="5673" spans="1:17" x14ac:dyDescent="0.2">
      <c r="A5673">
        <f>YEAR(D5673)</f>
        <v>2020</v>
      </c>
      <c r="B5673" t="s">
        <v>26</v>
      </c>
      <c r="C5673" s="2" t="s">
        <v>3024</v>
      </c>
      <c r="D5673" s="1">
        <v>44029</v>
      </c>
      <c r="E5673">
        <f>MONTH(D5673)</f>
        <v>7</v>
      </c>
      <c r="F5673" s="2" t="s">
        <v>2098</v>
      </c>
      <c r="G5673" t="s">
        <v>1472</v>
      </c>
      <c r="H5673" t="s">
        <v>1473</v>
      </c>
      <c r="I5673" t="s">
        <v>22</v>
      </c>
      <c r="J5673" s="2" t="s">
        <v>42</v>
      </c>
      <c r="K5673" s="2" t="s">
        <v>3019</v>
      </c>
      <c r="L5673" t="s">
        <v>187</v>
      </c>
      <c r="M5673" s="8">
        <v>0.72499999999999998</v>
      </c>
      <c r="N5673" t="s">
        <v>26</v>
      </c>
      <c r="O5673" s="8">
        <v>0.72499999999999998</v>
      </c>
      <c r="P5673" s="8">
        <f>EXP(-1.363+3.366*LOG(O5673,10))</f>
        <v>0.15991669271395978</v>
      </c>
      <c r="Q5673" s="8">
        <f>(2412691*100)/2623642</f>
        <v>91.959611867777696</v>
      </c>
    </row>
    <row r="5674" spans="1:17" x14ac:dyDescent="0.2">
      <c r="A5674">
        <f>YEAR(D5674)</f>
        <v>2020</v>
      </c>
      <c r="B5674" t="s">
        <v>26</v>
      </c>
      <c r="C5674" s="2" t="s">
        <v>3024</v>
      </c>
      <c r="D5674" s="1">
        <v>44029</v>
      </c>
      <c r="E5674">
        <f>MONTH(D5674)</f>
        <v>7</v>
      </c>
      <c r="F5674" s="2" t="s">
        <v>2098</v>
      </c>
      <c r="G5674" t="s">
        <v>332</v>
      </c>
      <c r="H5674" t="s">
        <v>327</v>
      </c>
      <c r="I5674" t="s">
        <v>22</v>
      </c>
      <c r="J5674" s="2" t="s">
        <v>42</v>
      </c>
      <c r="K5674" s="2" t="s">
        <v>3019</v>
      </c>
      <c r="L5674" t="s">
        <v>25</v>
      </c>
      <c r="M5674" s="8">
        <v>1.239333333</v>
      </c>
      <c r="N5674" t="s">
        <v>26</v>
      </c>
      <c r="O5674" s="8">
        <v>1.239333333</v>
      </c>
      <c r="P5674" s="8">
        <f>EXP(-1.363+3.366*LOG(O5674,10))</f>
        <v>0.35017272283851147</v>
      </c>
      <c r="Q5674" s="8">
        <f>(2412691*100)/2623642</f>
        <v>91.959611867777696</v>
      </c>
    </row>
    <row r="5675" spans="1:17" x14ac:dyDescent="0.2">
      <c r="A5675">
        <f>YEAR(D5675)</f>
        <v>2020</v>
      </c>
      <c r="B5675" t="s">
        <v>26</v>
      </c>
      <c r="C5675" s="2" t="s">
        <v>3024</v>
      </c>
      <c r="D5675" s="1">
        <v>44029</v>
      </c>
      <c r="E5675">
        <f>MONTH(D5675)</f>
        <v>7</v>
      </c>
      <c r="F5675" s="2" t="s">
        <v>2098</v>
      </c>
      <c r="G5675" t="s">
        <v>352</v>
      </c>
      <c r="H5675" t="s">
        <v>494</v>
      </c>
      <c r="I5675" t="s">
        <v>22</v>
      </c>
      <c r="J5675" s="2" t="s">
        <v>42</v>
      </c>
      <c r="K5675" s="2" t="s">
        <v>3019</v>
      </c>
      <c r="L5675" t="s">
        <v>25</v>
      </c>
      <c r="M5675" s="8">
        <v>1.7226666669999999</v>
      </c>
      <c r="N5675" t="s">
        <v>26</v>
      </c>
      <c r="O5675" s="8">
        <v>1.7226666669999999</v>
      </c>
      <c r="P5675" s="8">
        <f>EXP(-1.363+3.366*LOG(O5675,10))</f>
        <v>0.56668788662759551</v>
      </c>
      <c r="Q5675" s="8">
        <f>(2412691*100)/2623642</f>
        <v>91.959611867777696</v>
      </c>
    </row>
    <row r="5676" spans="1:17" x14ac:dyDescent="0.2">
      <c r="A5676">
        <f>YEAR(D5676)</f>
        <v>2020</v>
      </c>
      <c r="B5676" t="s">
        <v>26</v>
      </c>
      <c r="C5676" s="2" t="s">
        <v>3024</v>
      </c>
      <c r="D5676" s="1">
        <v>44029</v>
      </c>
      <c r="E5676">
        <f>MONTH(D5676)</f>
        <v>7</v>
      </c>
      <c r="F5676" s="2" t="s">
        <v>2098</v>
      </c>
      <c r="G5676" s="2" t="s">
        <v>20</v>
      </c>
      <c r="H5676" t="s">
        <v>91</v>
      </c>
      <c r="I5676" t="s">
        <v>22</v>
      </c>
      <c r="J5676" s="2" t="s">
        <v>42</v>
      </c>
      <c r="K5676" s="2" t="s">
        <v>3019</v>
      </c>
      <c r="L5676" t="s">
        <v>25</v>
      </c>
      <c r="M5676" s="8">
        <v>2.0630000000000002</v>
      </c>
      <c r="N5676" t="s">
        <v>26</v>
      </c>
      <c r="O5676" s="8">
        <v>2.0630000000000002</v>
      </c>
      <c r="P5676" s="8">
        <f>EXP(-1.363+3.366*LOG(O5676,10))</f>
        <v>0.73756902742293162</v>
      </c>
      <c r="Q5676" s="8">
        <f>(2412691*100)/2623642</f>
        <v>91.959611867777696</v>
      </c>
    </row>
    <row r="5677" spans="1:17" x14ac:dyDescent="0.2">
      <c r="A5677">
        <f>YEAR(D5677)</f>
        <v>2020</v>
      </c>
      <c r="B5677" t="s">
        <v>26</v>
      </c>
      <c r="C5677" s="2" t="s">
        <v>3024</v>
      </c>
      <c r="D5677" s="1">
        <v>44029</v>
      </c>
      <c r="E5677">
        <f>MONTH(D5677)</f>
        <v>7</v>
      </c>
      <c r="F5677" s="2" t="s">
        <v>19</v>
      </c>
      <c r="G5677" t="s">
        <v>352</v>
      </c>
      <c r="H5677" t="s">
        <v>623</v>
      </c>
      <c r="I5677" t="s">
        <v>22</v>
      </c>
      <c r="J5677" s="2" t="s">
        <v>42</v>
      </c>
      <c r="K5677" s="2" t="s">
        <v>3019</v>
      </c>
      <c r="L5677" t="s">
        <v>25</v>
      </c>
      <c r="M5677" s="8">
        <v>1.387</v>
      </c>
      <c r="N5677" t="s">
        <v>26</v>
      </c>
      <c r="O5677" s="8">
        <v>1.387</v>
      </c>
      <c r="P5677" s="8">
        <f>EXP(-1.363+3.366*LOG(O5677,10))</f>
        <v>0.41280884754947733</v>
      </c>
      <c r="Q5677" s="8">
        <f>(2412691*100)/2623642</f>
        <v>91.959611867777696</v>
      </c>
    </row>
    <row r="5678" spans="1:17" x14ac:dyDescent="0.2">
      <c r="A5678">
        <f>YEAR(D5678)</f>
        <v>2020</v>
      </c>
      <c r="B5678" t="s">
        <v>26</v>
      </c>
      <c r="C5678" s="2" t="s">
        <v>3024</v>
      </c>
      <c r="D5678" s="1">
        <v>44029</v>
      </c>
      <c r="E5678">
        <f>MONTH(D5678)</f>
        <v>7</v>
      </c>
      <c r="F5678" s="2" t="s">
        <v>19</v>
      </c>
      <c r="G5678" t="s">
        <v>352</v>
      </c>
      <c r="H5678" t="s">
        <v>623</v>
      </c>
      <c r="I5678" t="s">
        <v>22</v>
      </c>
      <c r="J5678" s="2" t="s">
        <v>42</v>
      </c>
      <c r="K5678" s="2" t="s">
        <v>3019</v>
      </c>
      <c r="L5678" t="s">
        <v>25</v>
      </c>
      <c r="M5678" s="8">
        <v>1.387</v>
      </c>
      <c r="N5678" t="s">
        <v>26</v>
      </c>
      <c r="O5678" s="8">
        <v>1.387</v>
      </c>
      <c r="P5678" s="8">
        <f>EXP(-1.363+3.366*LOG(O5678,10))</f>
        <v>0.41280884754947733</v>
      </c>
      <c r="Q5678" s="8">
        <f>(2412691*100)/2623642</f>
        <v>91.959611867777696</v>
      </c>
    </row>
    <row r="5679" spans="1:17" x14ac:dyDescent="0.2">
      <c r="A5679">
        <f>YEAR(D5679)</f>
        <v>2020</v>
      </c>
      <c r="B5679" t="s">
        <v>26</v>
      </c>
      <c r="C5679" s="2" t="s">
        <v>3024</v>
      </c>
      <c r="D5679" s="1">
        <v>44029</v>
      </c>
      <c r="E5679">
        <f>MONTH(D5679)</f>
        <v>7</v>
      </c>
      <c r="F5679" s="2" t="s">
        <v>19</v>
      </c>
      <c r="G5679" t="s">
        <v>352</v>
      </c>
      <c r="H5679" t="s">
        <v>975</v>
      </c>
      <c r="I5679" t="s">
        <v>22</v>
      </c>
      <c r="J5679" s="2" t="s">
        <v>42</v>
      </c>
      <c r="K5679" s="2" t="s">
        <v>3019</v>
      </c>
      <c r="L5679" t="s">
        <v>25</v>
      </c>
      <c r="M5679" s="8">
        <v>1.0693333330000001</v>
      </c>
      <c r="N5679" t="s">
        <v>26</v>
      </c>
      <c r="O5679" s="8">
        <v>1.0693333330000001</v>
      </c>
      <c r="P5679" s="8">
        <f>EXP(-1.363+3.366*LOG(O5679,10))</f>
        <v>0.28223780327142356</v>
      </c>
      <c r="Q5679" s="8">
        <f>(2412691*100)/2623642</f>
        <v>91.959611867777696</v>
      </c>
    </row>
    <row r="5680" spans="1:17" x14ac:dyDescent="0.2">
      <c r="A5680">
        <f>YEAR(D5680)</f>
        <v>2020</v>
      </c>
      <c r="B5680" t="s">
        <v>26</v>
      </c>
      <c r="C5680" s="2" t="s">
        <v>3024</v>
      </c>
      <c r="D5680" s="1">
        <v>44029</v>
      </c>
      <c r="E5680">
        <f>MONTH(D5680)</f>
        <v>7</v>
      </c>
      <c r="F5680" s="2" t="s">
        <v>19</v>
      </c>
      <c r="G5680" s="2" t="s">
        <v>1959</v>
      </c>
      <c r="H5680" t="s">
        <v>3065</v>
      </c>
      <c r="I5680" t="s">
        <v>22</v>
      </c>
      <c r="J5680" s="2" t="s">
        <v>42</v>
      </c>
      <c r="K5680" s="2" t="s">
        <v>3019</v>
      </c>
      <c r="L5680" t="s">
        <v>305</v>
      </c>
      <c r="M5680" s="8">
        <v>0.94699999999999995</v>
      </c>
      <c r="N5680" t="s">
        <v>26</v>
      </c>
      <c r="O5680" s="8">
        <v>0.94699999999999995</v>
      </c>
      <c r="P5680" s="8">
        <f>EXP(-1.363+3.366*LOG(O5680,10))</f>
        <v>0.23631113569058521</v>
      </c>
      <c r="Q5680" s="8">
        <f>(2412691*100)/2623642</f>
        <v>91.959611867777696</v>
      </c>
    </row>
    <row r="5681" spans="1:17" x14ac:dyDescent="0.2">
      <c r="A5681">
        <f>YEAR(D5681)</f>
        <v>2020</v>
      </c>
      <c r="B5681" t="s">
        <v>26</v>
      </c>
      <c r="C5681" s="2" t="s">
        <v>3024</v>
      </c>
      <c r="D5681" s="1">
        <v>44029</v>
      </c>
      <c r="E5681">
        <f>MONTH(D5681)</f>
        <v>7</v>
      </c>
      <c r="F5681" s="2" t="s">
        <v>19</v>
      </c>
      <c r="G5681" t="s">
        <v>362</v>
      </c>
      <c r="H5681" t="s">
        <v>2030</v>
      </c>
      <c r="I5681" t="s">
        <v>22</v>
      </c>
      <c r="J5681" s="2" t="s">
        <v>42</v>
      </c>
      <c r="K5681" s="2" t="s">
        <v>3019</v>
      </c>
      <c r="L5681" t="s">
        <v>25</v>
      </c>
      <c r="M5681" s="8">
        <v>1.4923333329999999</v>
      </c>
      <c r="N5681" t="s">
        <v>26</v>
      </c>
      <c r="O5681" s="8">
        <v>1.4923333329999999</v>
      </c>
      <c r="P5681" s="8">
        <f>EXP(-1.363+3.366*LOG(O5681,10))</f>
        <v>0.45943050733617752</v>
      </c>
      <c r="Q5681" s="8">
        <f>(2412691*100)/2623642</f>
        <v>91.959611867777696</v>
      </c>
    </row>
    <row r="5682" spans="1:17" x14ac:dyDescent="0.2">
      <c r="A5682">
        <f>YEAR(D5682)</f>
        <v>2020</v>
      </c>
      <c r="B5682" t="s">
        <v>26</v>
      </c>
      <c r="C5682" s="2" t="s">
        <v>3024</v>
      </c>
      <c r="D5682" s="1">
        <v>44029</v>
      </c>
      <c r="E5682">
        <f>MONTH(D5682)</f>
        <v>7</v>
      </c>
      <c r="F5682" s="2" t="s">
        <v>19</v>
      </c>
      <c r="G5682" t="s">
        <v>352</v>
      </c>
      <c r="H5682" t="s">
        <v>623</v>
      </c>
      <c r="I5682" t="s">
        <v>22</v>
      </c>
      <c r="J5682" s="2" t="s">
        <v>42</v>
      </c>
      <c r="K5682" s="2" t="s">
        <v>3019</v>
      </c>
      <c r="L5682" t="s">
        <v>25</v>
      </c>
      <c r="M5682" s="8">
        <v>1.387</v>
      </c>
      <c r="N5682" t="s">
        <v>26</v>
      </c>
      <c r="O5682" s="8">
        <v>1.387</v>
      </c>
      <c r="P5682" s="8">
        <f>EXP(-1.363+3.366*LOG(O5682,10))</f>
        <v>0.41280884754947733</v>
      </c>
      <c r="Q5682" s="8">
        <f>(2412691*100)/2623642</f>
        <v>91.959611867777696</v>
      </c>
    </row>
    <row r="5683" spans="1:17" x14ac:dyDescent="0.2">
      <c r="A5683">
        <f>YEAR(D5683)</f>
        <v>2020</v>
      </c>
      <c r="B5683" t="s">
        <v>26</v>
      </c>
      <c r="C5683" s="2" t="s">
        <v>3024</v>
      </c>
      <c r="D5683" s="1">
        <v>44029</v>
      </c>
      <c r="E5683">
        <f>MONTH(D5683)</f>
        <v>7</v>
      </c>
      <c r="F5683" s="2" t="s">
        <v>19</v>
      </c>
      <c r="G5683" t="s">
        <v>362</v>
      </c>
      <c r="H5683" t="s">
        <v>421</v>
      </c>
      <c r="I5683" t="s">
        <v>22</v>
      </c>
      <c r="J5683" s="2" t="s">
        <v>42</v>
      </c>
      <c r="K5683" s="2" t="s">
        <v>3019</v>
      </c>
      <c r="L5683" t="s">
        <v>25</v>
      </c>
      <c r="M5683" s="8">
        <v>1.921333333</v>
      </c>
      <c r="N5683" t="s">
        <v>26</v>
      </c>
      <c r="O5683" s="8">
        <v>1.921333333</v>
      </c>
      <c r="P5683" s="8">
        <f>EXP(-1.363+3.366*LOG(O5683,10))</f>
        <v>0.66471742502276976</v>
      </c>
      <c r="Q5683" s="8">
        <f>(2412691*100)/2623642</f>
        <v>91.959611867777696</v>
      </c>
    </row>
    <row r="5684" spans="1:17" x14ac:dyDescent="0.2">
      <c r="A5684">
        <f>YEAR(D5684)</f>
        <v>2020</v>
      </c>
      <c r="B5684" t="s">
        <v>26</v>
      </c>
      <c r="C5684" s="2" t="s">
        <v>3024</v>
      </c>
      <c r="D5684" s="1">
        <v>44029</v>
      </c>
      <c r="E5684">
        <f>MONTH(D5684)</f>
        <v>7</v>
      </c>
      <c r="F5684" s="2" t="s">
        <v>19</v>
      </c>
      <c r="G5684" t="s">
        <v>352</v>
      </c>
      <c r="H5684" t="s">
        <v>975</v>
      </c>
      <c r="I5684" t="s">
        <v>22</v>
      </c>
      <c r="J5684" s="2" t="s">
        <v>42</v>
      </c>
      <c r="K5684" s="2" t="s">
        <v>3019</v>
      </c>
      <c r="L5684" t="s">
        <v>25</v>
      </c>
      <c r="M5684" s="8">
        <v>1.0693333330000001</v>
      </c>
      <c r="N5684" t="s">
        <v>26</v>
      </c>
      <c r="O5684" s="8">
        <v>1.0693333330000001</v>
      </c>
      <c r="P5684" s="8">
        <f>EXP(-1.363+3.366*LOG(O5684,10))</f>
        <v>0.28223780327142356</v>
      </c>
      <c r="Q5684" s="8">
        <f>(2412691*100)/2623642</f>
        <v>91.959611867777696</v>
      </c>
    </row>
    <row r="5685" spans="1:17" x14ac:dyDescent="0.2">
      <c r="A5685">
        <f>YEAR(D5685)</f>
        <v>2020</v>
      </c>
      <c r="B5685" t="s">
        <v>26</v>
      </c>
      <c r="C5685" s="2" t="s">
        <v>3024</v>
      </c>
      <c r="D5685" s="1">
        <v>44029</v>
      </c>
      <c r="E5685">
        <f>MONTH(D5685)</f>
        <v>7</v>
      </c>
      <c r="F5685" s="2" t="s">
        <v>19</v>
      </c>
      <c r="G5685" t="s">
        <v>352</v>
      </c>
      <c r="H5685" t="s">
        <v>975</v>
      </c>
      <c r="I5685" t="s">
        <v>22</v>
      </c>
      <c r="J5685" s="2" t="s">
        <v>42</v>
      </c>
      <c r="K5685" s="2" t="s">
        <v>3019</v>
      </c>
      <c r="L5685" t="s">
        <v>25</v>
      </c>
      <c r="M5685" s="8">
        <v>1.0693333330000001</v>
      </c>
      <c r="N5685" t="s">
        <v>26</v>
      </c>
      <c r="O5685" s="8">
        <v>1.0693333330000001</v>
      </c>
      <c r="P5685" s="8">
        <f>EXP(-1.363+3.366*LOG(O5685,10))</f>
        <v>0.28223780327142356</v>
      </c>
      <c r="Q5685" s="8">
        <f>(2412691*100)/2623642</f>
        <v>91.959611867777696</v>
      </c>
    </row>
    <row r="5686" spans="1:17" x14ac:dyDescent="0.2">
      <c r="A5686">
        <f>YEAR(D5686)</f>
        <v>2020</v>
      </c>
      <c r="B5686" t="s">
        <v>26</v>
      </c>
      <c r="C5686" s="2" t="s">
        <v>3024</v>
      </c>
      <c r="D5686" s="1">
        <v>44029</v>
      </c>
      <c r="E5686">
        <f>MONTH(D5686)</f>
        <v>7</v>
      </c>
      <c r="F5686" s="2" t="s">
        <v>19</v>
      </c>
      <c r="G5686" t="s">
        <v>352</v>
      </c>
      <c r="H5686" t="s">
        <v>623</v>
      </c>
      <c r="I5686" t="s">
        <v>22</v>
      </c>
      <c r="J5686" s="2" t="s">
        <v>42</v>
      </c>
      <c r="K5686" s="2" t="s">
        <v>3019</v>
      </c>
      <c r="L5686" t="s">
        <v>25</v>
      </c>
      <c r="M5686" s="8">
        <v>1.387</v>
      </c>
      <c r="N5686" t="s">
        <v>26</v>
      </c>
      <c r="O5686" s="8">
        <v>1.387</v>
      </c>
      <c r="P5686" s="8">
        <f>EXP(-1.363+3.366*LOG(O5686,10))</f>
        <v>0.41280884754947733</v>
      </c>
      <c r="Q5686" s="8">
        <f>(2412691*100)/2623642</f>
        <v>91.959611867777696</v>
      </c>
    </row>
    <row r="5687" spans="1:17" x14ac:dyDescent="0.2">
      <c r="A5687">
        <f>YEAR(D5687)</f>
        <v>2020</v>
      </c>
      <c r="B5687" t="s">
        <v>26</v>
      </c>
      <c r="C5687" s="2" t="s">
        <v>50</v>
      </c>
      <c r="D5687" s="1">
        <v>44046</v>
      </c>
      <c r="E5687">
        <f>MONTH(D5687)</f>
        <v>8</v>
      </c>
      <c r="F5687" s="2" t="s">
        <v>2098</v>
      </c>
      <c r="G5687" t="s">
        <v>230</v>
      </c>
      <c r="H5687" t="s">
        <v>268</v>
      </c>
      <c r="I5687" t="s">
        <v>22</v>
      </c>
      <c r="J5687" s="2" t="s">
        <v>42</v>
      </c>
      <c r="K5687" s="2" t="s">
        <v>3019</v>
      </c>
      <c r="L5687" t="s">
        <v>25</v>
      </c>
      <c r="M5687" s="8">
        <v>3.5356666670000001</v>
      </c>
      <c r="N5687" t="s">
        <v>26</v>
      </c>
      <c r="O5687" s="8">
        <v>3.5356666670000001</v>
      </c>
      <c r="P5687" s="8">
        <f>EXP(-1.363+3.366*LOG(O5687,10))</f>
        <v>1.6211802664427075</v>
      </c>
      <c r="Q5687" s="8">
        <f>(4488342*100)/4914798</f>
        <v>91.323020803703429</v>
      </c>
    </row>
    <row r="5688" spans="1:17" x14ac:dyDescent="0.2">
      <c r="A5688">
        <f>YEAR(D5688)</f>
        <v>2020</v>
      </c>
      <c r="B5688" t="s">
        <v>26</v>
      </c>
      <c r="C5688" s="2" t="s">
        <v>50</v>
      </c>
      <c r="D5688" s="1">
        <v>44046</v>
      </c>
      <c r="E5688">
        <f>MONTH(D5688)</f>
        <v>8</v>
      </c>
      <c r="F5688" s="2" t="s">
        <v>2098</v>
      </c>
      <c r="G5688" t="s">
        <v>219</v>
      </c>
      <c r="H5688" t="s">
        <v>220</v>
      </c>
      <c r="I5688" t="s">
        <v>22</v>
      </c>
      <c r="J5688" s="2" t="s">
        <v>42</v>
      </c>
      <c r="K5688" s="2" t="s">
        <v>3019</v>
      </c>
      <c r="L5688" t="s">
        <v>25</v>
      </c>
      <c r="M5688" s="10" t="s">
        <v>26</v>
      </c>
      <c r="N5688" t="s">
        <v>26</v>
      </c>
      <c r="O5688" s="10" t="s">
        <v>26</v>
      </c>
      <c r="P5688" s="8" t="s">
        <v>26</v>
      </c>
      <c r="Q5688" s="8">
        <f>(4488342*100)/4914798</f>
        <v>91.323020803703429</v>
      </c>
    </row>
    <row r="5689" spans="1:17" x14ac:dyDescent="0.2">
      <c r="A5689">
        <f>YEAR(D5689)</f>
        <v>2020</v>
      </c>
      <c r="B5689" t="s">
        <v>26</v>
      </c>
      <c r="C5689" s="2" t="s">
        <v>50</v>
      </c>
      <c r="D5689" s="1">
        <v>44046</v>
      </c>
      <c r="E5689">
        <f>MONTH(D5689)</f>
        <v>8</v>
      </c>
      <c r="F5689" s="2" t="s">
        <v>2098</v>
      </c>
      <c r="G5689" t="s">
        <v>219</v>
      </c>
      <c r="H5689" t="s">
        <v>220</v>
      </c>
      <c r="I5689" t="s">
        <v>22</v>
      </c>
      <c r="J5689" s="2" t="s">
        <v>42</v>
      </c>
      <c r="K5689" s="2" t="s">
        <v>3019</v>
      </c>
      <c r="L5689" t="s">
        <v>25</v>
      </c>
      <c r="M5689" s="10" t="s">
        <v>26</v>
      </c>
      <c r="N5689" t="s">
        <v>26</v>
      </c>
      <c r="O5689" s="10" t="s">
        <v>26</v>
      </c>
      <c r="P5689" s="8" t="s">
        <v>26</v>
      </c>
      <c r="Q5689" s="8">
        <f>(4488342*100)/4914798</f>
        <v>91.323020803703429</v>
      </c>
    </row>
    <row r="5690" spans="1:17" x14ac:dyDescent="0.2">
      <c r="A5690">
        <f>YEAR(D5690)</f>
        <v>2020</v>
      </c>
      <c r="B5690" t="s">
        <v>26</v>
      </c>
      <c r="C5690" s="2" t="s">
        <v>50</v>
      </c>
      <c r="D5690" s="1">
        <v>44046</v>
      </c>
      <c r="E5690">
        <f>MONTH(D5690)</f>
        <v>8</v>
      </c>
      <c r="F5690" s="2" t="s">
        <v>2098</v>
      </c>
      <c r="G5690" t="s">
        <v>219</v>
      </c>
      <c r="H5690" t="s">
        <v>220</v>
      </c>
      <c r="I5690" t="s">
        <v>22</v>
      </c>
      <c r="J5690" s="2" t="s">
        <v>42</v>
      </c>
      <c r="K5690" s="2" t="s">
        <v>3019</v>
      </c>
      <c r="L5690" t="s">
        <v>25</v>
      </c>
      <c r="M5690" s="10" t="s">
        <v>26</v>
      </c>
      <c r="N5690" t="s">
        <v>26</v>
      </c>
      <c r="O5690" s="10" t="s">
        <v>26</v>
      </c>
      <c r="P5690" s="8" t="s">
        <v>26</v>
      </c>
      <c r="Q5690" s="8">
        <f>(4488342*100)/4914798</f>
        <v>91.323020803703429</v>
      </c>
    </row>
    <row r="5691" spans="1:17" x14ac:dyDescent="0.2">
      <c r="A5691">
        <f>YEAR(D5691)</f>
        <v>2020</v>
      </c>
      <c r="B5691" t="s">
        <v>26</v>
      </c>
      <c r="C5691" s="2" t="s">
        <v>50</v>
      </c>
      <c r="D5691" s="1">
        <v>44046</v>
      </c>
      <c r="E5691">
        <f>MONTH(D5691)</f>
        <v>8</v>
      </c>
      <c r="F5691" s="2" t="s">
        <v>2098</v>
      </c>
      <c r="G5691" s="2" t="s">
        <v>323</v>
      </c>
      <c r="H5691" t="s">
        <v>3073</v>
      </c>
      <c r="I5691" t="s">
        <v>36</v>
      </c>
      <c r="J5691" s="2" t="s">
        <v>42</v>
      </c>
      <c r="K5691" s="2" t="s">
        <v>3019</v>
      </c>
      <c r="L5691" t="s">
        <v>187</v>
      </c>
      <c r="M5691" s="8">
        <v>1.9725000000000001</v>
      </c>
      <c r="N5691" t="s">
        <v>26</v>
      </c>
      <c r="O5691" s="8">
        <v>1.9725000000000001</v>
      </c>
      <c r="P5691" s="8">
        <f>EXP(-1.363+3.366*LOG(O5691,10))</f>
        <v>0.69075316168851753</v>
      </c>
      <c r="Q5691" s="8">
        <f>(4488342*100)/4914798</f>
        <v>91.323020803703429</v>
      </c>
    </row>
    <row r="5692" spans="1:17" x14ac:dyDescent="0.2">
      <c r="A5692">
        <f>YEAR(D5692)</f>
        <v>2020</v>
      </c>
      <c r="B5692" t="s">
        <v>26</v>
      </c>
      <c r="C5692" s="2" t="s">
        <v>50</v>
      </c>
      <c r="D5692" s="1">
        <v>44046</v>
      </c>
      <c r="E5692">
        <f>MONTH(D5692)</f>
        <v>8</v>
      </c>
      <c r="F5692" s="2" t="s">
        <v>2098</v>
      </c>
      <c r="G5692" s="2" t="s">
        <v>323</v>
      </c>
      <c r="H5692" t="s">
        <v>3073</v>
      </c>
      <c r="I5692" t="s">
        <v>36</v>
      </c>
      <c r="J5692" s="2" t="s">
        <v>42</v>
      </c>
      <c r="K5692" s="2" t="s">
        <v>3019</v>
      </c>
      <c r="L5692" t="s">
        <v>187</v>
      </c>
      <c r="M5692" s="8">
        <v>1.9725000000000001</v>
      </c>
      <c r="N5692" t="s">
        <v>26</v>
      </c>
      <c r="O5692" s="8">
        <v>1.9725000000000001</v>
      </c>
      <c r="P5692" s="8">
        <f>EXP(-1.363+3.366*LOG(O5692,10))</f>
        <v>0.69075316168851753</v>
      </c>
      <c r="Q5692" s="8">
        <f>(4488342*100)/4914798</f>
        <v>91.323020803703429</v>
      </c>
    </row>
    <row r="5693" spans="1:17" x14ac:dyDescent="0.2">
      <c r="A5693">
        <f>YEAR(D5693)</f>
        <v>2020</v>
      </c>
      <c r="B5693" t="s">
        <v>26</v>
      </c>
      <c r="C5693" s="2" t="s">
        <v>50</v>
      </c>
      <c r="D5693" s="1">
        <v>44046</v>
      </c>
      <c r="E5693">
        <f>MONTH(D5693)</f>
        <v>8</v>
      </c>
      <c r="F5693" s="2" t="s">
        <v>2098</v>
      </c>
      <c r="G5693" t="s">
        <v>362</v>
      </c>
      <c r="H5693" t="s">
        <v>2030</v>
      </c>
      <c r="I5693" t="s">
        <v>22</v>
      </c>
      <c r="J5693" s="2" t="s">
        <v>42</v>
      </c>
      <c r="K5693" s="2" t="s">
        <v>3019</v>
      </c>
      <c r="L5693" t="s">
        <v>25</v>
      </c>
      <c r="M5693" s="8">
        <v>1.4923333329999999</v>
      </c>
      <c r="N5693" t="s">
        <v>26</v>
      </c>
      <c r="O5693" s="8">
        <v>1.4923333329999999</v>
      </c>
      <c r="P5693" s="8">
        <f>EXP(-1.363+3.366*LOG(O5693,10))</f>
        <v>0.45943050733617752</v>
      </c>
      <c r="Q5693" s="8">
        <f>(4488342*100)/4914798</f>
        <v>91.323020803703429</v>
      </c>
    </row>
    <row r="5694" spans="1:17" x14ac:dyDescent="0.2">
      <c r="A5694">
        <f>YEAR(D5694)</f>
        <v>2020</v>
      </c>
      <c r="B5694" t="s">
        <v>26</v>
      </c>
      <c r="C5694" s="2" t="s">
        <v>50</v>
      </c>
      <c r="D5694" s="1">
        <v>44046</v>
      </c>
      <c r="E5694">
        <f>MONTH(D5694)</f>
        <v>8</v>
      </c>
      <c r="F5694" s="2" t="s">
        <v>2098</v>
      </c>
      <c r="G5694" t="s">
        <v>362</v>
      </c>
      <c r="H5694" t="s">
        <v>2030</v>
      </c>
      <c r="I5694" t="s">
        <v>22</v>
      </c>
      <c r="J5694" s="2" t="s">
        <v>42</v>
      </c>
      <c r="K5694" s="2" t="s">
        <v>3019</v>
      </c>
      <c r="L5694" t="s">
        <v>25</v>
      </c>
      <c r="M5694" s="8">
        <v>1.4923333329999999</v>
      </c>
      <c r="N5694" t="s">
        <v>26</v>
      </c>
      <c r="O5694" s="8">
        <v>1.4923333329999999</v>
      </c>
      <c r="P5694" s="8">
        <f>EXP(-1.363+3.366*LOG(O5694,10))</f>
        <v>0.45943050733617752</v>
      </c>
      <c r="Q5694" s="8">
        <f>(4488342*100)/4914798</f>
        <v>91.323020803703429</v>
      </c>
    </row>
    <row r="5695" spans="1:17" x14ac:dyDescent="0.2">
      <c r="A5695">
        <f>YEAR(D5695)</f>
        <v>2020</v>
      </c>
      <c r="B5695" t="s">
        <v>26</v>
      </c>
      <c r="C5695" s="2" t="s">
        <v>50</v>
      </c>
      <c r="D5695" s="1">
        <v>44046</v>
      </c>
      <c r="E5695">
        <f>MONTH(D5695)</f>
        <v>8</v>
      </c>
      <c r="F5695" s="2" t="s">
        <v>2098</v>
      </c>
      <c r="G5695" t="s">
        <v>352</v>
      </c>
      <c r="H5695" t="s">
        <v>610</v>
      </c>
      <c r="I5695" t="s">
        <v>36</v>
      </c>
      <c r="J5695" s="2" t="s">
        <v>42</v>
      </c>
      <c r="K5695" s="2" t="s">
        <v>3019</v>
      </c>
      <c r="L5695" t="s">
        <v>25</v>
      </c>
      <c r="M5695" s="8">
        <v>0.878</v>
      </c>
      <c r="N5695" t="s">
        <v>26</v>
      </c>
      <c r="O5695" s="8">
        <v>0.878</v>
      </c>
      <c r="P5695" s="8">
        <f>EXP(-1.363+3.366*LOG(O5695,10))</f>
        <v>0.2115704033642706</v>
      </c>
      <c r="Q5695" s="8">
        <f>(4488342*100)/4914798</f>
        <v>91.323020803703429</v>
      </c>
    </row>
    <row r="5696" spans="1:17" x14ac:dyDescent="0.2">
      <c r="A5696">
        <f>YEAR(D5696)</f>
        <v>2020</v>
      </c>
      <c r="B5696" t="s">
        <v>26</v>
      </c>
      <c r="C5696" s="2" t="s">
        <v>50</v>
      </c>
      <c r="D5696" s="1">
        <v>44046</v>
      </c>
      <c r="E5696">
        <f>MONTH(D5696)</f>
        <v>8</v>
      </c>
      <c r="F5696" s="2" t="s">
        <v>2098</v>
      </c>
      <c r="G5696" t="s">
        <v>2206</v>
      </c>
      <c r="H5696" t="s">
        <v>2207</v>
      </c>
      <c r="I5696" t="s">
        <v>22</v>
      </c>
      <c r="J5696" s="2" t="s">
        <v>42</v>
      </c>
      <c r="K5696" s="2" t="s">
        <v>3019</v>
      </c>
      <c r="L5696" t="s">
        <v>25</v>
      </c>
      <c r="M5696" s="8">
        <v>3.249333333</v>
      </c>
      <c r="N5696" t="s">
        <v>26</v>
      </c>
      <c r="O5696" s="8">
        <v>3.249333333</v>
      </c>
      <c r="P5696" s="8">
        <f>EXP(-1.363+3.366*LOG(O5696,10))</f>
        <v>1.4328987616438449</v>
      </c>
      <c r="Q5696" s="8">
        <f>(4488342*100)/4914798</f>
        <v>91.323020803703429</v>
      </c>
    </row>
    <row r="5697" spans="1:17" x14ac:dyDescent="0.2">
      <c r="A5697">
        <f>YEAR(D5697)</f>
        <v>2020</v>
      </c>
      <c r="B5697" t="s">
        <v>26</v>
      </c>
      <c r="C5697" s="2" t="s">
        <v>50</v>
      </c>
      <c r="D5697" s="1">
        <v>44046</v>
      </c>
      <c r="E5697">
        <f>MONTH(D5697)</f>
        <v>8</v>
      </c>
      <c r="F5697" s="2" t="s">
        <v>2098</v>
      </c>
      <c r="G5697" t="s">
        <v>352</v>
      </c>
      <c r="H5697" t="s">
        <v>2167</v>
      </c>
      <c r="I5697" t="s">
        <v>36</v>
      </c>
      <c r="J5697" s="2" t="s">
        <v>42</v>
      </c>
      <c r="K5697" s="2" t="s">
        <v>3019</v>
      </c>
      <c r="L5697" t="s">
        <v>25</v>
      </c>
      <c r="M5697" s="8">
        <v>1.121</v>
      </c>
      <c r="N5697" t="s">
        <v>26</v>
      </c>
      <c r="O5697" s="8">
        <v>1.121</v>
      </c>
      <c r="P5697" s="8">
        <f>EXP(-1.363+3.366*LOG(O5697,10))</f>
        <v>0.30239308318454866</v>
      </c>
      <c r="Q5697" s="8">
        <f>(4488342*100)/4914798</f>
        <v>91.323020803703429</v>
      </c>
    </row>
    <row r="5698" spans="1:17" x14ac:dyDescent="0.2">
      <c r="A5698">
        <f>YEAR(D5698)</f>
        <v>2020</v>
      </c>
      <c r="B5698" t="s">
        <v>26</v>
      </c>
      <c r="C5698" s="2" t="s">
        <v>50</v>
      </c>
      <c r="D5698" s="1">
        <v>44046</v>
      </c>
      <c r="E5698">
        <f>MONTH(D5698)</f>
        <v>8</v>
      </c>
      <c r="F5698" s="2" t="s">
        <v>2098</v>
      </c>
      <c r="G5698" t="s">
        <v>362</v>
      </c>
      <c r="H5698" t="s">
        <v>393</v>
      </c>
      <c r="I5698" t="s">
        <v>36</v>
      </c>
      <c r="J5698" s="2" t="s">
        <v>42</v>
      </c>
      <c r="K5698" s="2" t="s">
        <v>3019</v>
      </c>
      <c r="L5698" t="s">
        <v>25</v>
      </c>
      <c r="M5698" s="8">
        <v>2.2189999999999999</v>
      </c>
      <c r="N5698" t="s">
        <v>26</v>
      </c>
      <c r="O5698" s="8">
        <v>2.2189999999999999</v>
      </c>
      <c r="P5698" s="8">
        <f>EXP(-1.363+3.366*LOG(O5698,10))</f>
        <v>0.82050561861036375</v>
      </c>
      <c r="Q5698" s="8">
        <f>(4488342*100)/4914798</f>
        <v>91.323020803703429</v>
      </c>
    </row>
    <row r="5699" spans="1:17" x14ac:dyDescent="0.2">
      <c r="A5699">
        <f>YEAR(D5699)</f>
        <v>2020</v>
      </c>
      <c r="B5699" t="s">
        <v>26</v>
      </c>
      <c r="C5699" s="2" t="s">
        <v>50</v>
      </c>
      <c r="D5699" s="1">
        <v>44046</v>
      </c>
      <c r="E5699">
        <f>MONTH(D5699)</f>
        <v>8</v>
      </c>
      <c r="F5699" s="2" t="s">
        <v>2098</v>
      </c>
      <c r="G5699" t="s">
        <v>2206</v>
      </c>
      <c r="H5699" t="s">
        <v>2207</v>
      </c>
      <c r="I5699" t="s">
        <v>36</v>
      </c>
      <c r="J5699" s="2" t="s">
        <v>42</v>
      </c>
      <c r="K5699" s="2" t="s">
        <v>3019</v>
      </c>
      <c r="L5699" t="s">
        <v>25</v>
      </c>
      <c r="M5699" s="8">
        <v>3.6386666669999999</v>
      </c>
      <c r="N5699" t="s">
        <v>26</v>
      </c>
      <c r="O5699" s="8">
        <v>3.6386666669999999</v>
      </c>
      <c r="P5699" s="8">
        <f>EXP(-1.363+3.366*LOG(O5699,10))</f>
        <v>1.6906814772344552</v>
      </c>
      <c r="Q5699" s="8">
        <f>(4488342*100)/4914798</f>
        <v>91.323020803703429</v>
      </c>
    </row>
    <row r="5700" spans="1:17" x14ac:dyDescent="0.2">
      <c r="A5700">
        <f>YEAR(D5700)</f>
        <v>2020</v>
      </c>
      <c r="B5700" t="s">
        <v>26</v>
      </c>
      <c r="C5700" s="2" t="s">
        <v>50</v>
      </c>
      <c r="D5700" s="1">
        <v>44046</v>
      </c>
      <c r="E5700">
        <f>MONTH(D5700)</f>
        <v>8</v>
      </c>
      <c r="F5700" s="2" t="s">
        <v>2098</v>
      </c>
      <c r="G5700" t="s">
        <v>2206</v>
      </c>
      <c r="H5700" t="s">
        <v>2207</v>
      </c>
      <c r="I5700" t="s">
        <v>36</v>
      </c>
      <c r="J5700" s="2" t="s">
        <v>42</v>
      </c>
      <c r="K5700" s="2" t="s">
        <v>3019</v>
      </c>
      <c r="L5700" t="s">
        <v>25</v>
      </c>
      <c r="M5700" s="8">
        <v>3.6386666669999999</v>
      </c>
      <c r="N5700" t="s">
        <v>26</v>
      </c>
      <c r="O5700" s="8">
        <v>3.6386666669999999</v>
      </c>
      <c r="P5700" s="8">
        <f>EXP(-1.363+3.366*LOG(O5700,10))</f>
        <v>1.6906814772344552</v>
      </c>
      <c r="Q5700" s="8">
        <f>(4488342*100)/4914798</f>
        <v>91.323020803703429</v>
      </c>
    </row>
    <row r="5701" spans="1:17" x14ac:dyDescent="0.2">
      <c r="A5701">
        <f>YEAR(D5701)</f>
        <v>2020</v>
      </c>
      <c r="B5701" t="s">
        <v>26</v>
      </c>
      <c r="C5701" s="2" t="s">
        <v>50</v>
      </c>
      <c r="D5701" s="1">
        <v>44046</v>
      </c>
      <c r="E5701">
        <f>MONTH(D5701)</f>
        <v>8</v>
      </c>
      <c r="F5701" s="2" t="s">
        <v>2098</v>
      </c>
      <c r="G5701" t="s">
        <v>2206</v>
      </c>
      <c r="H5701" t="s">
        <v>2207</v>
      </c>
      <c r="I5701" t="s">
        <v>22</v>
      </c>
      <c r="J5701" s="2" t="s">
        <v>42</v>
      </c>
      <c r="K5701" s="2" t="s">
        <v>3019</v>
      </c>
      <c r="L5701" t="s">
        <v>25</v>
      </c>
      <c r="M5701" s="8">
        <v>3.249333333</v>
      </c>
      <c r="N5701" t="s">
        <v>26</v>
      </c>
      <c r="O5701" s="8">
        <v>3.249333333</v>
      </c>
      <c r="P5701" s="8">
        <f>EXP(-1.363+3.366*LOG(O5701,10))</f>
        <v>1.4328987616438449</v>
      </c>
      <c r="Q5701" s="8">
        <f>(4488342*100)/4914798</f>
        <v>91.323020803703429</v>
      </c>
    </row>
    <row r="5702" spans="1:17" x14ac:dyDescent="0.2">
      <c r="A5702">
        <f>YEAR(D5702)</f>
        <v>2020</v>
      </c>
      <c r="B5702" t="s">
        <v>26</v>
      </c>
      <c r="C5702" s="2" t="s">
        <v>50</v>
      </c>
      <c r="D5702" s="1">
        <v>44046</v>
      </c>
      <c r="E5702">
        <f>MONTH(D5702)</f>
        <v>8</v>
      </c>
      <c r="F5702" s="2" t="s">
        <v>2098</v>
      </c>
      <c r="G5702" t="s">
        <v>2206</v>
      </c>
      <c r="H5702" t="s">
        <v>2207</v>
      </c>
      <c r="I5702" t="s">
        <v>22</v>
      </c>
      <c r="J5702" s="2" t="s">
        <v>42</v>
      </c>
      <c r="K5702" s="2" t="s">
        <v>3019</v>
      </c>
      <c r="L5702" t="s">
        <v>25</v>
      </c>
      <c r="M5702" s="8">
        <v>3.249333333</v>
      </c>
      <c r="N5702" t="s">
        <v>26</v>
      </c>
      <c r="O5702" s="8">
        <v>3.249333333</v>
      </c>
      <c r="P5702" s="8">
        <f>EXP(-1.363+3.366*LOG(O5702,10))</f>
        <v>1.4328987616438449</v>
      </c>
      <c r="Q5702" s="8">
        <f>(4488342*100)/4914798</f>
        <v>91.323020803703429</v>
      </c>
    </row>
    <row r="5703" spans="1:17" x14ac:dyDescent="0.2">
      <c r="A5703">
        <f>YEAR(D5703)</f>
        <v>2020</v>
      </c>
      <c r="B5703" t="s">
        <v>26</v>
      </c>
      <c r="C5703" s="2" t="s">
        <v>50</v>
      </c>
      <c r="D5703" s="1">
        <v>44046</v>
      </c>
      <c r="E5703">
        <f>MONTH(D5703)</f>
        <v>8</v>
      </c>
      <c r="F5703" s="2" t="s">
        <v>2098</v>
      </c>
      <c r="G5703" t="s">
        <v>2206</v>
      </c>
      <c r="H5703" t="s">
        <v>2207</v>
      </c>
      <c r="I5703" t="s">
        <v>22</v>
      </c>
      <c r="J5703" s="2" t="s">
        <v>42</v>
      </c>
      <c r="K5703" s="2" t="s">
        <v>3019</v>
      </c>
      <c r="L5703" t="s">
        <v>25</v>
      </c>
      <c r="M5703" s="8">
        <v>3.249333333</v>
      </c>
      <c r="N5703" t="s">
        <v>26</v>
      </c>
      <c r="O5703" s="8">
        <v>3.249333333</v>
      </c>
      <c r="P5703" s="8">
        <f>EXP(-1.363+3.366*LOG(O5703,10))</f>
        <v>1.4328987616438449</v>
      </c>
      <c r="Q5703" s="8">
        <f>(4488342*100)/4914798</f>
        <v>91.323020803703429</v>
      </c>
    </row>
    <row r="5704" spans="1:17" x14ac:dyDescent="0.2">
      <c r="A5704">
        <f>YEAR(D5704)</f>
        <v>2020</v>
      </c>
      <c r="B5704" t="s">
        <v>26</v>
      </c>
      <c r="C5704" s="2" t="s">
        <v>3027</v>
      </c>
      <c r="D5704" s="1">
        <v>44047</v>
      </c>
      <c r="E5704">
        <f>MONTH(D5704)</f>
        <v>8</v>
      </c>
      <c r="F5704" s="2" t="s">
        <v>2098</v>
      </c>
      <c r="G5704" t="s">
        <v>230</v>
      </c>
      <c r="H5704" t="s">
        <v>268</v>
      </c>
      <c r="I5704" t="s">
        <v>36</v>
      </c>
      <c r="J5704" s="2" t="s">
        <v>42</v>
      </c>
      <c r="K5704" s="2" t="s">
        <v>3019</v>
      </c>
      <c r="L5704" t="s">
        <v>25</v>
      </c>
      <c r="M5704" s="8">
        <v>3.3683333329999998</v>
      </c>
      <c r="N5704" t="s">
        <v>26</v>
      </c>
      <c r="O5704" s="8">
        <v>3.3683333329999998</v>
      </c>
      <c r="P5704" s="8">
        <f>EXP(-1.363+3.366*LOG(O5704,10))</f>
        <v>1.510255893489963</v>
      </c>
      <c r="Q5704" s="8">
        <f>(3939723*100)/4442581</f>
        <v>88.680949204977921</v>
      </c>
    </row>
    <row r="5705" spans="1:17" x14ac:dyDescent="0.2">
      <c r="A5705">
        <f>YEAR(D5705)</f>
        <v>2020</v>
      </c>
      <c r="B5705" t="s">
        <v>26</v>
      </c>
      <c r="C5705" s="2" t="s">
        <v>3027</v>
      </c>
      <c r="D5705" s="1">
        <v>44047</v>
      </c>
      <c r="E5705">
        <f>MONTH(D5705)</f>
        <v>8</v>
      </c>
      <c r="F5705" s="2" t="s">
        <v>2098</v>
      </c>
      <c r="G5705" t="s">
        <v>230</v>
      </c>
      <c r="H5705" t="s">
        <v>268</v>
      </c>
      <c r="I5705" t="s">
        <v>22</v>
      </c>
      <c r="J5705" s="2" t="s">
        <v>42</v>
      </c>
      <c r="K5705" s="2" t="s">
        <v>3019</v>
      </c>
      <c r="L5705" t="s">
        <v>25</v>
      </c>
      <c r="M5705" s="8">
        <v>3.5356666670000001</v>
      </c>
      <c r="N5705" t="s">
        <v>26</v>
      </c>
      <c r="O5705" s="8">
        <v>3.5356666670000001</v>
      </c>
      <c r="P5705" s="8">
        <f>EXP(-1.363+3.366*LOG(O5705,10))</f>
        <v>1.6211802664427075</v>
      </c>
      <c r="Q5705" s="8">
        <f>(3939723*100)/4442581</f>
        <v>88.680949204977921</v>
      </c>
    </row>
    <row r="5706" spans="1:17" x14ac:dyDescent="0.2">
      <c r="A5706">
        <f>YEAR(D5706)</f>
        <v>2020</v>
      </c>
      <c r="B5706" t="s">
        <v>26</v>
      </c>
      <c r="C5706" s="2" t="s">
        <v>3027</v>
      </c>
      <c r="D5706" s="1">
        <v>44047</v>
      </c>
      <c r="E5706">
        <f>MONTH(D5706)</f>
        <v>8</v>
      </c>
      <c r="F5706" s="2" t="s">
        <v>2098</v>
      </c>
      <c r="G5706" t="s">
        <v>230</v>
      </c>
      <c r="H5706" t="s">
        <v>268</v>
      </c>
      <c r="I5706" t="s">
        <v>22</v>
      </c>
      <c r="J5706" s="2" t="s">
        <v>42</v>
      </c>
      <c r="K5706" s="2" t="s">
        <v>3019</v>
      </c>
      <c r="L5706" t="s">
        <v>25</v>
      </c>
      <c r="M5706" s="8">
        <v>3.5356666670000001</v>
      </c>
      <c r="N5706" t="s">
        <v>26</v>
      </c>
      <c r="O5706" s="8">
        <v>3.5356666670000001</v>
      </c>
      <c r="P5706" s="8">
        <f>EXP(-1.363+3.366*LOG(O5706,10))</f>
        <v>1.6211802664427075</v>
      </c>
      <c r="Q5706" s="8">
        <f>(3939723*100)/4442581</f>
        <v>88.680949204977921</v>
      </c>
    </row>
    <row r="5707" spans="1:17" x14ac:dyDescent="0.2">
      <c r="A5707">
        <f>YEAR(D5707)</f>
        <v>2020</v>
      </c>
      <c r="B5707" t="s">
        <v>26</v>
      </c>
      <c r="C5707" s="2" t="s">
        <v>3018</v>
      </c>
      <c r="D5707" s="1">
        <v>44047</v>
      </c>
      <c r="E5707">
        <f>MONTH(D5707)</f>
        <v>8</v>
      </c>
      <c r="F5707" s="2" t="s">
        <v>2098</v>
      </c>
      <c r="G5707" t="s">
        <v>230</v>
      </c>
      <c r="H5707" t="s">
        <v>268</v>
      </c>
      <c r="I5707" t="s">
        <v>22</v>
      </c>
      <c r="J5707" s="2" t="s">
        <v>42</v>
      </c>
      <c r="K5707" s="2" t="s">
        <v>3019</v>
      </c>
      <c r="L5707" t="s">
        <v>25</v>
      </c>
      <c r="M5707" s="8">
        <v>3.5356666670000001</v>
      </c>
      <c r="N5707" t="s">
        <v>26</v>
      </c>
      <c r="O5707" s="8">
        <v>3.5356666670000001</v>
      </c>
      <c r="P5707" s="8">
        <f>EXP(-1.363+3.366*LOG(O5707,10))</f>
        <v>1.6211802664427075</v>
      </c>
      <c r="Q5707" s="8">
        <f>(5996898*100)/6073515</f>
        <v>98.738506449724753</v>
      </c>
    </row>
    <row r="5708" spans="1:17" x14ac:dyDescent="0.2">
      <c r="A5708">
        <f>YEAR(D5708)</f>
        <v>2020</v>
      </c>
      <c r="B5708" t="s">
        <v>26</v>
      </c>
      <c r="C5708" s="2" t="s">
        <v>3018</v>
      </c>
      <c r="D5708" s="1">
        <v>44047</v>
      </c>
      <c r="E5708">
        <f>MONTH(D5708)</f>
        <v>8</v>
      </c>
      <c r="F5708" s="2" t="s">
        <v>2098</v>
      </c>
      <c r="G5708" t="s">
        <v>230</v>
      </c>
      <c r="H5708" t="s">
        <v>268</v>
      </c>
      <c r="I5708" t="s">
        <v>22</v>
      </c>
      <c r="J5708" s="2" t="s">
        <v>42</v>
      </c>
      <c r="K5708" s="2" t="s">
        <v>3019</v>
      </c>
      <c r="L5708" t="s">
        <v>25</v>
      </c>
      <c r="M5708" s="8">
        <v>3.5356666670000001</v>
      </c>
      <c r="N5708" t="s">
        <v>26</v>
      </c>
      <c r="O5708" s="8">
        <v>3.5356666670000001</v>
      </c>
      <c r="P5708" s="8">
        <f>EXP(-1.363+3.366*LOG(O5708,10))</f>
        <v>1.6211802664427075</v>
      </c>
      <c r="Q5708" s="8">
        <f>(5996898*100)/6073515</f>
        <v>98.738506449724753</v>
      </c>
    </row>
    <row r="5709" spans="1:17" x14ac:dyDescent="0.2">
      <c r="A5709">
        <f>YEAR(D5709)</f>
        <v>2020</v>
      </c>
      <c r="B5709" t="s">
        <v>26</v>
      </c>
      <c r="C5709" s="2" t="s">
        <v>3018</v>
      </c>
      <c r="D5709" s="1">
        <v>44047</v>
      </c>
      <c r="E5709">
        <f>MONTH(D5709)</f>
        <v>8</v>
      </c>
      <c r="F5709" s="2" t="s">
        <v>2098</v>
      </c>
      <c r="G5709" t="s">
        <v>230</v>
      </c>
      <c r="H5709" t="s">
        <v>268</v>
      </c>
      <c r="I5709" t="s">
        <v>22</v>
      </c>
      <c r="J5709" s="2" t="s">
        <v>42</v>
      </c>
      <c r="K5709" s="2" t="s">
        <v>3019</v>
      </c>
      <c r="L5709" t="s">
        <v>25</v>
      </c>
      <c r="M5709" s="8">
        <v>3.5356666670000001</v>
      </c>
      <c r="N5709" t="s">
        <v>26</v>
      </c>
      <c r="O5709" s="8">
        <v>3.5356666670000001</v>
      </c>
      <c r="P5709" s="8">
        <f>EXP(-1.363+3.366*LOG(O5709,10))</f>
        <v>1.6211802664427075</v>
      </c>
      <c r="Q5709" s="8">
        <f>(5996898*100)/6073515</f>
        <v>98.738506449724753</v>
      </c>
    </row>
    <row r="5710" spans="1:17" x14ac:dyDescent="0.2">
      <c r="A5710">
        <f>YEAR(D5710)</f>
        <v>2020</v>
      </c>
      <c r="B5710" t="s">
        <v>26</v>
      </c>
      <c r="C5710" s="2" t="s">
        <v>3018</v>
      </c>
      <c r="D5710" s="1">
        <v>44047</v>
      </c>
      <c r="E5710">
        <f>MONTH(D5710)</f>
        <v>8</v>
      </c>
      <c r="F5710" s="2" t="s">
        <v>2098</v>
      </c>
      <c r="G5710" t="s">
        <v>219</v>
      </c>
      <c r="H5710" t="s">
        <v>220</v>
      </c>
      <c r="I5710" t="s">
        <v>22</v>
      </c>
      <c r="J5710" s="2" t="s">
        <v>42</v>
      </c>
      <c r="K5710" s="2" t="s">
        <v>3019</v>
      </c>
      <c r="L5710" t="s">
        <v>25</v>
      </c>
      <c r="M5710" s="10" t="s">
        <v>26</v>
      </c>
      <c r="N5710" t="s">
        <v>26</v>
      </c>
      <c r="O5710" s="10" t="s">
        <v>26</v>
      </c>
      <c r="P5710" s="8" t="s">
        <v>26</v>
      </c>
      <c r="Q5710" s="8">
        <f>(5996898*100)/6073515</f>
        <v>98.738506449724753</v>
      </c>
    </row>
    <row r="5711" spans="1:17" x14ac:dyDescent="0.2">
      <c r="A5711">
        <f>YEAR(D5711)</f>
        <v>2020</v>
      </c>
      <c r="B5711" t="s">
        <v>26</v>
      </c>
      <c r="C5711" s="2" t="s">
        <v>3018</v>
      </c>
      <c r="D5711" s="1">
        <v>44047</v>
      </c>
      <c r="E5711">
        <f>MONTH(D5711)</f>
        <v>8</v>
      </c>
      <c r="F5711" s="2" t="s">
        <v>2098</v>
      </c>
      <c r="G5711" t="s">
        <v>219</v>
      </c>
      <c r="H5711" t="s">
        <v>220</v>
      </c>
      <c r="I5711" t="s">
        <v>22</v>
      </c>
      <c r="J5711" s="2" t="s">
        <v>42</v>
      </c>
      <c r="K5711" s="2" t="s">
        <v>3019</v>
      </c>
      <c r="L5711" t="s">
        <v>25</v>
      </c>
      <c r="M5711" s="10" t="s">
        <v>26</v>
      </c>
      <c r="N5711" t="s">
        <v>26</v>
      </c>
      <c r="O5711" s="10" t="s">
        <v>26</v>
      </c>
      <c r="P5711" s="8" t="s">
        <v>26</v>
      </c>
      <c r="Q5711" s="8">
        <f>(5996898*100)/6073515</f>
        <v>98.738506449724753</v>
      </c>
    </row>
    <row r="5712" spans="1:17" x14ac:dyDescent="0.2">
      <c r="A5712">
        <f>YEAR(D5712)</f>
        <v>2020</v>
      </c>
      <c r="B5712" t="s">
        <v>26</v>
      </c>
      <c r="C5712" s="2" t="s">
        <v>3018</v>
      </c>
      <c r="D5712" s="1">
        <v>44047</v>
      </c>
      <c r="E5712">
        <f>MONTH(D5712)</f>
        <v>8</v>
      </c>
      <c r="F5712" s="2" t="s">
        <v>2098</v>
      </c>
      <c r="G5712" t="s">
        <v>219</v>
      </c>
      <c r="H5712" t="s">
        <v>220</v>
      </c>
      <c r="I5712" t="s">
        <v>22</v>
      </c>
      <c r="J5712" s="2" t="s">
        <v>42</v>
      </c>
      <c r="K5712" s="2" t="s">
        <v>3019</v>
      </c>
      <c r="L5712" t="s">
        <v>25</v>
      </c>
      <c r="M5712" s="10" t="s">
        <v>26</v>
      </c>
      <c r="N5712" t="s">
        <v>26</v>
      </c>
      <c r="O5712" s="10" t="s">
        <v>26</v>
      </c>
      <c r="P5712" s="8" t="s">
        <v>26</v>
      </c>
      <c r="Q5712" s="8">
        <f>(5996898*100)/6073515</f>
        <v>98.738506449724753</v>
      </c>
    </row>
    <row r="5713" spans="1:17" x14ac:dyDescent="0.2">
      <c r="A5713">
        <f>YEAR(D5713)</f>
        <v>2020</v>
      </c>
      <c r="B5713" t="s">
        <v>26</v>
      </c>
      <c r="C5713" s="2" t="s">
        <v>3018</v>
      </c>
      <c r="D5713" s="1">
        <v>44047</v>
      </c>
      <c r="E5713">
        <f>MONTH(D5713)</f>
        <v>8</v>
      </c>
      <c r="F5713" s="2" t="s">
        <v>2098</v>
      </c>
      <c r="G5713" t="s">
        <v>219</v>
      </c>
      <c r="H5713" t="s">
        <v>220</v>
      </c>
      <c r="I5713" t="s">
        <v>22</v>
      </c>
      <c r="J5713" s="2" t="s">
        <v>42</v>
      </c>
      <c r="K5713" s="2" t="s">
        <v>3019</v>
      </c>
      <c r="L5713" t="s">
        <v>25</v>
      </c>
      <c r="M5713" s="10" t="s">
        <v>26</v>
      </c>
      <c r="N5713" t="s">
        <v>26</v>
      </c>
      <c r="O5713" s="10" t="s">
        <v>26</v>
      </c>
      <c r="P5713" s="8" t="s">
        <v>26</v>
      </c>
      <c r="Q5713" s="8">
        <f>(5996898*100)/6073515</f>
        <v>98.738506449724753</v>
      </c>
    </row>
    <row r="5714" spans="1:17" x14ac:dyDescent="0.2">
      <c r="A5714">
        <f>YEAR(D5714)</f>
        <v>2020</v>
      </c>
      <c r="B5714" t="s">
        <v>26</v>
      </c>
      <c r="C5714" s="2" t="s">
        <v>3018</v>
      </c>
      <c r="D5714" s="1">
        <v>44047</v>
      </c>
      <c r="E5714">
        <f>MONTH(D5714)</f>
        <v>8</v>
      </c>
      <c r="F5714" s="2" t="s">
        <v>2098</v>
      </c>
      <c r="G5714" t="s">
        <v>219</v>
      </c>
      <c r="H5714" t="s">
        <v>220</v>
      </c>
      <c r="I5714" t="s">
        <v>22</v>
      </c>
      <c r="J5714" s="2" t="s">
        <v>42</v>
      </c>
      <c r="K5714" s="2" t="s">
        <v>3019</v>
      </c>
      <c r="L5714" t="s">
        <v>25</v>
      </c>
      <c r="M5714" s="10" t="s">
        <v>26</v>
      </c>
      <c r="N5714" t="s">
        <v>26</v>
      </c>
      <c r="O5714" s="10" t="s">
        <v>26</v>
      </c>
      <c r="P5714" s="8" t="s">
        <v>26</v>
      </c>
      <c r="Q5714" s="8">
        <f>(5996898*100)/6073515</f>
        <v>98.738506449724753</v>
      </c>
    </row>
    <row r="5715" spans="1:17" x14ac:dyDescent="0.2">
      <c r="A5715">
        <f>YEAR(D5715)</f>
        <v>2020</v>
      </c>
      <c r="B5715" t="s">
        <v>26</v>
      </c>
      <c r="C5715" s="2" t="s">
        <v>3018</v>
      </c>
      <c r="D5715" s="1">
        <v>44047</v>
      </c>
      <c r="E5715">
        <f>MONTH(D5715)</f>
        <v>8</v>
      </c>
      <c r="F5715" s="2" t="s">
        <v>2098</v>
      </c>
      <c r="G5715" t="s">
        <v>230</v>
      </c>
      <c r="H5715" t="s">
        <v>268</v>
      </c>
      <c r="I5715" t="s">
        <v>22</v>
      </c>
      <c r="J5715" s="2" t="s">
        <v>42</v>
      </c>
      <c r="K5715" s="2" t="s">
        <v>3019</v>
      </c>
      <c r="L5715" t="s">
        <v>25</v>
      </c>
      <c r="M5715" s="8">
        <v>3.5356666670000001</v>
      </c>
      <c r="N5715" t="s">
        <v>26</v>
      </c>
      <c r="O5715" s="8">
        <v>3.5356666670000001</v>
      </c>
      <c r="P5715" s="8">
        <f>EXP(-1.363+3.366*LOG(O5715,10))</f>
        <v>1.6211802664427075</v>
      </c>
      <c r="Q5715" s="8">
        <f>(5996898*100)/6073515</f>
        <v>98.738506449724753</v>
      </c>
    </row>
    <row r="5716" spans="1:17" x14ac:dyDescent="0.2">
      <c r="A5716">
        <f>YEAR(D5716)</f>
        <v>2020</v>
      </c>
      <c r="B5716" t="s">
        <v>26</v>
      </c>
      <c r="C5716" s="2" t="s">
        <v>3018</v>
      </c>
      <c r="D5716" s="1">
        <v>44047</v>
      </c>
      <c r="E5716">
        <f>MONTH(D5716)</f>
        <v>8</v>
      </c>
      <c r="F5716" s="2" t="s">
        <v>2098</v>
      </c>
      <c r="G5716" t="s">
        <v>230</v>
      </c>
      <c r="H5716" t="s">
        <v>268</v>
      </c>
      <c r="I5716" t="s">
        <v>22</v>
      </c>
      <c r="J5716" s="2" t="s">
        <v>42</v>
      </c>
      <c r="K5716" s="2" t="s">
        <v>3019</v>
      </c>
      <c r="L5716" t="s">
        <v>25</v>
      </c>
      <c r="M5716" s="8">
        <v>3.5356666670000001</v>
      </c>
      <c r="N5716" t="s">
        <v>26</v>
      </c>
      <c r="O5716" s="8">
        <v>3.5356666670000001</v>
      </c>
      <c r="P5716" s="8">
        <f>EXP(-1.363+3.366*LOG(O5716,10))</f>
        <v>1.6211802664427075</v>
      </c>
      <c r="Q5716" s="8">
        <f>(5996898*100)/6073515</f>
        <v>98.738506449724753</v>
      </c>
    </row>
    <row r="5717" spans="1:17" x14ac:dyDescent="0.2">
      <c r="A5717">
        <f>YEAR(D5717)</f>
        <v>2020</v>
      </c>
      <c r="B5717" t="s">
        <v>26</v>
      </c>
      <c r="C5717" s="2" t="s">
        <v>3018</v>
      </c>
      <c r="D5717" s="1">
        <v>44047</v>
      </c>
      <c r="E5717">
        <f>MONTH(D5717)</f>
        <v>8</v>
      </c>
      <c r="F5717" s="2" t="s">
        <v>2098</v>
      </c>
      <c r="G5717" t="s">
        <v>219</v>
      </c>
      <c r="H5717" t="s">
        <v>220</v>
      </c>
      <c r="I5717" t="s">
        <v>22</v>
      </c>
      <c r="J5717" s="2" t="s">
        <v>42</v>
      </c>
      <c r="K5717" s="2" t="s">
        <v>3019</v>
      </c>
      <c r="L5717" t="s">
        <v>25</v>
      </c>
      <c r="M5717" s="10" t="s">
        <v>26</v>
      </c>
      <c r="N5717" t="s">
        <v>26</v>
      </c>
      <c r="O5717" s="10" t="s">
        <v>26</v>
      </c>
      <c r="P5717" s="8" t="s">
        <v>26</v>
      </c>
      <c r="Q5717" s="8">
        <f>(5996898*100)/6073515</f>
        <v>98.738506449724753</v>
      </c>
    </row>
    <row r="5718" spans="1:17" x14ac:dyDescent="0.2">
      <c r="A5718">
        <f>YEAR(D5718)</f>
        <v>2020</v>
      </c>
      <c r="B5718" t="s">
        <v>26</v>
      </c>
      <c r="C5718" s="2" t="s">
        <v>3018</v>
      </c>
      <c r="D5718" s="1">
        <v>44047</v>
      </c>
      <c r="E5718">
        <f>MONTH(D5718)</f>
        <v>8</v>
      </c>
      <c r="F5718" s="2" t="s">
        <v>2098</v>
      </c>
      <c r="G5718" t="s">
        <v>230</v>
      </c>
      <c r="H5718" t="s">
        <v>268</v>
      </c>
      <c r="I5718" t="s">
        <v>36</v>
      </c>
      <c r="J5718" s="2" t="s">
        <v>42</v>
      </c>
      <c r="K5718" s="2" t="s">
        <v>3019</v>
      </c>
      <c r="L5718" t="s">
        <v>25</v>
      </c>
      <c r="M5718" s="8">
        <v>3.3683333329999998</v>
      </c>
      <c r="N5718" t="s">
        <v>26</v>
      </c>
      <c r="O5718" s="8">
        <v>3.3683333329999998</v>
      </c>
      <c r="P5718" s="8">
        <f>EXP(-1.363+3.366*LOG(O5718,10))</f>
        <v>1.510255893489963</v>
      </c>
      <c r="Q5718" s="8">
        <f>(5996898*100)/6073515</f>
        <v>98.738506449724753</v>
      </c>
    </row>
    <row r="5719" spans="1:17" x14ac:dyDescent="0.2">
      <c r="A5719">
        <f>YEAR(D5719)</f>
        <v>2020</v>
      </c>
      <c r="B5719" t="s">
        <v>26</v>
      </c>
      <c r="C5719" s="2" t="s">
        <v>3018</v>
      </c>
      <c r="D5719" s="1">
        <v>44047</v>
      </c>
      <c r="E5719">
        <f>MONTH(D5719)</f>
        <v>8</v>
      </c>
      <c r="F5719" s="2" t="s">
        <v>2098</v>
      </c>
      <c r="G5719" t="s">
        <v>230</v>
      </c>
      <c r="H5719" t="s">
        <v>268</v>
      </c>
      <c r="I5719" t="s">
        <v>22</v>
      </c>
      <c r="J5719" s="2" t="s">
        <v>42</v>
      </c>
      <c r="K5719" s="2" t="s">
        <v>3019</v>
      </c>
      <c r="L5719" t="s">
        <v>25</v>
      </c>
      <c r="M5719" s="8">
        <v>3.5356666670000001</v>
      </c>
      <c r="N5719" t="s">
        <v>26</v>
      </c>
      <c r="O5719" s="8">
        <v>3.5356666670000001</v>
      </c>
      <c r="P5719" s="8">
        <f>EXP(-1.363+3.366*LOG(O5719,10))</f>
        <v>1.6211802664427075</v>
      </c>
      <c r="Q5719" s="8">
        <f>(5996898*100)/6073515</f>
        <v>98.738506449724753</v>
      </c>
    </row>
    <row r="5720" spans="1:17" x14ac:dyDescent="0.2">
      <c r="A5720">
        <f>YEAR(D5720)</f>
        <v>2020</v>
      </c>
      <c r="B5720" t="s">
        <v>26</v>
      </c>
      <c r="C5720" s="2" t="s">
        <v>3018</v>
      </c>
      <c r="D5720" s="1">
        <v>44047</v>
      </c>
      <c r="E5720">
        <f>MONTH(D5720)</f>
        <v>8</v>
      </c>
      <c r="F5720" s="2" t="s">
        <v>2098</v>
      </c>
      <c r="G5720" t="s">
        <v>230</v>
      </c>
      <c r="H5720" t="s">
        <v>268</v>
      </c>
      <c r="I5720" t="s">
        <v>22</v>
      </c>
      <c r="J5720" s="2" t="s">
        <v>42</v>
      </c>
      <c r="K5720" s="2" t="s">
        <v>3019</v>
      </c>
      <c r="L5720" t="s">
        <v>25</v>
      </c>
      <c r="M5720" s="8">
        <v>3.5356666670000001</v>
      </c>
      <c r="N5720" t="s">
        <v>26</v>
      </c>
      <c r="O5720" s="8">
        <v>3.5356666670000001</v>
      </c>
      <c r="P5720" s="8">
        <f>EXP(-1.363+3.366*LOG(O5720,10))</f>
        <v>1.6211802664427075</v>
      </c>
      <c r="Q5720" s="8">
        <f>(5996898*100)/6073515</f>
        <v>98.738506449724753</v>
      </c>
    </row>
    <row r="5721" spans="1:17" x14ac:dyDescent="0.2">
      <c r="A5721">
        <f>YEAR(D5721)</f>
        <v>2020</v>
      </c>
      <c r="B5721" t="s">
        <v>26</v>
      </c>
      <c r="C5721" s="2" t="s">
        <v>3018</v>
      </c>
      <c r="D5721" s="1">
        <v>44047</v>
      </c>
      <c r="E5721">
        <f>MONTH(D5721)</f>
        <v>8</v>
      </c>
      <c r="F5721" s="2" t="s">
        <v>2098</v>
      </c>
      <c r="G5721" t="s">
        <v>230</v>
      </c>
      <c r="H5721" t="s">
        <v>268</v>
      </c>
      <c r="I5721" t="s">
        <v>22</v>
      </c>
      <c r="J5721" s="2" t="s">
        <v>42</v>
      </c>
      <c r="K5721" s="2" t="s">
        <v>3019</v>
      </c>
      <c r="L5721" t="s">
        <v>25</v>
      </c>
      <c r="M5721" s="8">
        <v>3.5356666670000001</v>
      </c>
      <c r="N5721" t="s">
        <v>26</v>
      </c>
      <c r="O5721" s="8">
        <v>3.5356666670000001</v>
      </c>
      <c r="P5721" s="8">
        <f>EXP(-1.363+3.366*LOG(O5721,10))</f>
        <v>1.6211802664427075</v>
      </c>
      <c r="Q5721" s="8">
        <f>(5996898*100)/6073515</f>
        <v>98.738506449724753</v>
      </c>
    </row>
    <row r="5722" spans="1:17" x14ac:dyDescent="0.2">
      <c r="A5722">
        <f>YEAR(D5722)</f>
        <v>2020</v>
      </c>
      <c r="B5722" t="s">
        <v>26</v>
      </c>
      <c r="C5722" s="2" t="s">
        <v>3018</v>
      </c>
      <c r="D5722" s="1">
        <v>44047</v>
      </c>
      <c r="E5722">
        <f>MONTH(D5722)</f>
        <v>8</v>
      </c>
      <c r="F5722" s="2" t="s">
        <v>2098</v>
      </c>
      <c r="G5722" t="s">
        <v>230</v>
      </c>
      <c r="H5722" t="s">
        <v>268</v>
      </c>
      <c r="I5722" t="s">
        <v>22</v>
      </c>
      <c r="J5722" s="2" t="s">
        <v>42</v>
      </c>
      <c r="K5722" s="2" t="s">
        <v>3019</v>
      </c>
      <c r="L5722" t="s">
        <v>25</v>
      </c>
      <c r="M5722" s="8">
        <v>3.5356666670000001</v>
      </c>
      <c r="N5722" t="s">
        <v>26</v>
      </c>
      <c r="O5722" s="8">
        <v>3.5356666670000001</v>
      </c>
      <c r="P5722" s="8">
        <f>EXP(-1.363+3.366*LOG(O5722,10))</f>
        <v>1.6211802664427075</v>
      </c>
      <c r="Q5722" s="8">
        <f>(5996898*100)/6073515</f>
        <v>98.738506449724753</v>
      </c>
    </row>
    <row r="5723" spans="1:17" x14ac:dyDescent="0.2">
      <c r="A5723">
        <f>YEAR(D5723)</f>
        <v>2020</v>
      </c>
      <c r="B5723" t="s">
        <v>26</v>
      </c>
      <c r="C5723" s="2" t="s">
        <v>3018</v>
      </c>
      <c r="D5723" s="1">
        <v>44047</v>
      </c>
      <c r="E5723">
        <f>MONTH(D5723)</f>
        <v>8</v>
      </c>
      <c r="F5723" s="2" t="s">
        <v>2098</v>
      </c>
      <c r="G5723" t="s">
        <v>230</v>
      </c>
      <c r="H5723" t="s">
        <v>268</v>
      </c>
      <c r="I5723" t="s">
        <v>22</v>
      </c>
      <c r="J5723" s="2" t="s">
        <v>42</v>
      </c>
      <c r="K5723" s="2" t="s">
        <v>3019</v>
      </c>
      <c r="L5723" t="s">
        <v>25</v>
      </c>
      <c r="M5723" s="8">
        <v>3.5356666670000001</v>
      </c>
      <c r="N5723" t="s">
        <v>26</v>
      </c>
      <c r="O5723" s="8">
        <v>3.5356666670000001</v>
      </c>
      <c r="P5723" s="8">
        <f>EXP(-1.363+3.366*LOG(O5723,10))</f>
        <v>1.6211802664427075</v>
      </c>
      <c r="Q5723" s="8">
        <f>(5996898*100)/6073515</f>
        <v>98.738506449724753</v>
      </c>
    </row>
    <row r="5724" spans="1:17" x14ac:dyDescent="0.2">
      <c r="A5724">
        <f>YEAR(D5724)</f>
        <v>2020</v>
      </c>
      <c r="B5724" t="s">
        <v>26</v>
      </c>
      <c r="C5724" s="2" t="s">
        <v>3018</v>
      </c>
      <c r="D5724" s="1">
        <v>44047</v>
      </c>
      <c r="E5724">
        <f>MONTH(D5724)</f>
        <v>8</v>
      </c>
      <c r="F5724" s="2" t="s">
        <v>2098</v>
      </c>
      <c r="G5724" t="s">
        <v>219</v>
      </c>
      <c r="H5724" t="s">
        <v>220</v>
      </c>
      <c r="I5724" t="s">
        <v>22</v>
      </c>
      <c r="J5724" s="2" t="s">
        <v>42</v>
      </c>
      <c r="K5724" s="2" t="s">
        <v>3019</v>
      </c>
      <c r="L5724" t="s">
        <v>25</v>
      </c>
      <c r="M5724" s="10" t="s">
        <v>26</v>
      </c>
      <c r="N5724" t="s">
        <v>26</v>
      </c>
      <c r="O5724" s="10" t="s">
        <v>26</v>
      </c>
      <c r="P5724" s="8" t="s">
        <v>26</v>
      </c>
      <c r="Q5724" s="8">
        <f>(5996898*100)/6073515</f>
        <v>98.738506449724753</v>
      </c>
    </row>
    <row r="5725" spans="1:17" x14ac:dyDescent="0.2">
      <c r="A5725">
        <f>YEAR(D5725)</f>
        <v>2020</v>
      </c>
      <c r="B5725" t="s">
        <v>26</v>
      </c>
      <c r="C5725" s="2" t="s">
        <v>3018</v>
      </c>
      <c r="D5725" s="1">
        <v>44047</v>
      </c>
      <c r="E5725">
        <f>MONTH(D5725)</f>
        <v>8</v>
      </c>
      <c r="F5725" s="2" t="s">
        <v>2098</v>
      </c>
      <c r="G5725" t="s">
        <v>219</v>
      </c>
      <c r="H5725" t="s">
        <v>220</v>
      </c>
      <c r="I5725" t="s">
        <v>22</v>
      </c>
      <c r="J5725" s="2" t="s">
        <v>42</v>
      </c>
      <c r="K5725" s="2" t="s">
        <v>3019</v>
      </c>
      <c r="L5725" t="s">
        <v>25</v>
      </c>
      <c r="M5725" s="10" t="s">
        <v>26</v>
      </c>
      <c r="N5725" t="s">
        <v>26</v>
      </c>
      <c r="O5725" s="10" t="s">
        <v>26</v>
      </c>
      <c r="P5725" s="8" t="s">
        <v>26</v>
      </c>
      <c r="Q5725" s="8">
        <f>(5996898*100)/6073515</f>
        <v>98.738506449724753</v>
      </c>
    </row>
    <row r="5726" spans="1:17" x14ac:dyDescent="0.2">
      <c r="A5726">
        <f>YEAR(D5726)</f>
        <v>2020</v>
      </c>
      <c r="B5726" t="s">
        <v>26</v>
      </c>
      <c r="C5726" s="2" t="s">
        <v>3018</v>
      </c>
      <c r="D5726" s="1">
        <v>44047</v>
      </c>
      <c r="E5726">
        <f>MONTH(D5726)</f>
        <v>8</v>
      </c>
      <c r="F5726" s="2" t="s">
        <v>2098</v>
      </c>
      <c r="G5726" t="s">
        <v>230</v>
      </c>
      <c r="H5726" t="s">
        <v>268</v>
      </c>
      <c r="I5726" t="s">
        <v>22</v>
      </c>
      <c r="J5726" s="2" t="s">
        <v>42</v>
      </c>
      <c r="K5726" s="2" t="s">
        <v>3019</v>
      </c>
      <c r="L5726" t="s">
        <v>25</v>
      </c>
      <c r="M5726" s="8">
        <v>3.5356666670000001</v>
      </c>
      <c r="N5726" t="s">
        <v>26</v>
      </c>
      <c r="O5726" s="8">
        <v>3.5356666670000001</v>
      </c>
      <c r="P5726" s="8">
        <f>EXP(-1.363+3.366*LOG(O5726,10))</f>
        <v>1.6211802664427075</v>
      </c>
      <c r="Q5726" s="8">
        <f>(5996898*100)/6073515</f>
        <v>98.738506449724753</v>
      </c>
    </row>
    <row r="5727" spans="1:17" x14ac:dyDescent="0.2">
      <c r="A5727">
        <f>YEAR(D5727)</f>
        <v>2020</v>
      </c>
      <c r="B5727" t="s">
        <v>26</v>
      </c>
      <c r="C5727" s="2" t="s">
        <v>3018</v>
      </c>
      <c r="D5727" s="1">
        <v>44047</v>
      </c>
      <c r="E5727">
        <f>MONTH(D5727)</f>
        <v>8</v>
      </c>
      <c r="F5727" s="2" t="s">
        <v>2098</v>
      </c>
      <c r="G5727" t="s">
        <v>230</v>
      </c>
      <c r="H5727" t="s">
        <v>268</v>
      </c>
      <c r="I5727" t="s">
        <v>22</v>
      </c>
      <c r="J5727" s="2" t="s">
        <v>42</v>
      </c>
      <c r="K5727" s="2" t="s">
        <v>3019</v>
      </c>
      <c r="L5727" t="s">
        <v>25</v>
      </c>
      <c r="M5727" s="8">
        <v>3.5356666670000001</v>
      </c>
      <c r="N5727" t="s">
        <v>26</v>
      </c>
      <c r="O5727" s="8">
        <v>3.5356666670000001</v>
      </c>
      <c r="P5727" s="8">
        <f>EXP(-1.363+3.366*LOG(O5727,10))</f>
        <v>1.6211802664427075</v>
      </c>
      <c r="Q5727" s="8">
        <f>(5996898*100)/6073515</f>
        <v>98.738506449724753</v>
      </c>
    </row>
    <row r="5728" spans="1:17" x14ac:dyDescent="0.2">
      <c r="A5728">
        <f>YEAR(D5728)</f>
        <v>2020</v>
      </c>
      <c r="B5728" t="s">
        <v>26</v>
      </c>
      <c r="C5728" s="2" t="s">
        <v>3018</v>
      </c>
      <c r="D5728" s="1">
        <v>44047</v>
      </c>
      <c r="E5728">
        <f>MONTH(D5728)</f>
        <v>8</v>
      </c>
      <c r="F5728" s="2" t="s">
        <v>2098</v>
      </c>
      <c r="G5728" t="s">
        <v>230</v>
      </c>
      <c r="H5728" t="s">
        <v>268</v>
      </c>
      <c r="I5728" t="s">
        <v>22</v>
      </c>
      <c r="J5728" s="2" t="s">
        <v>42</v>
      </c>
      <c r="K5728" s="2" t="s">
        <v>3019</v>
      </c>
      <c r="L5728" t="s">
        <v>25</v>
      </c>
      <c r="M5728" s="8">
        <v>3.5356666670000001</v>
      </c>
      <c r="N5728" t="s">
        <v>26</v>
      </c>
      <c r="O5728" s="8">
        <v>3.5356666670000001</v>
      </c>
      <c r="P5728" s="8">
        <f>EXP(-1.363+3.366*LOG(O5728,10))</f>
        <v>1.6211802664427075</v>
      </c>
      <c r="Q5728" s="8">
        <f>(5996898*100)/6073515</f>
        <v>98.738506449724753</v>
      </c>
    </row>
    <row r="5729" spans="1:17" x14ac:dyDescent="0.2">
      <c r="A5729">
        <f>YEAR(D5729)</f>
        <v>2020</v>
      </c>
      <c r="B5729" t="s">
        <v>26</v>
      </c>
      <c r="C5729" s="2" t="s">
        <v>3018</v>
      </c>
      <c r="D5729" s="1">
        <v>44047</v>
      </c>
      <c r="E5729">
        <f>MONTH(D5729)</f>
        <v>8</v>
      </c>
      <c r="F5729" s="2" t="s">
        <v>2098</v>
      </c>
      <c r="G5729" t="s">
        <v>230</v>
      </c>
      <c r="H5729" t="s">
        <v>268</v>
      </c>
      <c r="I5729" t="s">
        <v>22</v>
      </c>
      <c r="J5729" s="2" t="s">
        <v>42</v>
      </c>
      <c r="K5729" s="2" t="s">
        <v>3019</v>
      </c>
      <c r="L5729" t="s">
        <v>25</v>
      </c>
      <c r="M5729" s="8">
        <v>3.5356666670000001</v>
      </c>
      <c r="N5729" t="s">
        <v>26</v>
      </c>
      <c r="O5729" s="8">
        <v>3.5356666670000001</v>
      </c>
      <c r="P5729" s="8">
        <f>EXP(-1.363+3.366*LOG(O5729,10))</f>
        <v>1.6211802664427075</v>
      </c>
      <c r="Q5729" s="8">
        <f>(5996898*100)/6073515</f>
        <v>98.738506449724753</v>
      </c>
    </row>
    <row r="5730" spans="1:17" x14ac:dyDescent="0.2">
      <c r="A5730">
        <f>YEAR(D5730)</f>
        <v>2020</v>
      </c>
      <c r="B5730" t="s">
        <v>26</v>
      </c>
      <c r="C5730" s="2" t="s">
        <v>3018</v>
      </c>
      <c r="D5730" s="1">
        <v>44047</v>
      </c>
      <c r="E5730">
        <f>MONTH(D5730)</f>
        <v>8</v>
      </c>
      <c r="F5730" s="2" t="s">
        <v>2098</v>
      </c>
      <c r="G5730" t="s">
        <v>230</v>
      </c>
      <c r="H5730" t="s">
        <v>268</v>
      </c>
      <c r="I5730" t="s">
        <v>22</v>
      </c>
      <c r="J5730" s="2" t="s">
        <v>42</v>
      </c>
      <c r="K5730" s="2" t="s">
        <v>3019</v>
      </c>
      <c r="L5730" t="s">
        <v>25</v>
      </c>
      <c r="M5730" s="8">
        <v>3.5356666670000001</v>
      </c>
      <c r="N5730" t="s">
        <v>26</v>
      </c>
      <c r="O5730" s="8">
        <v>3.5356666670000001</v>
      </c>
      <c r="P5730" s="8">
        <f>EXP(-1.363+3.366*LOG(O5730,10))</f>
        <v>1.6211802664427075</v>
      </c>
      <c r="Q5730" s="8">
        <f>(5996898*100)/6073515</f>
        <v>98.738506449724753</v>
      </c>
    </row>
    <row r="5731" spans="1:17" x14ac:dyDescent="0.2">
      <c r="A5731">
        <f>YEAR(D5731)</f>
        <v>2020</v>
      </c>
      <c r="B5731" t="s">
        <v>26</v>
      </c>
      <c r="C5731" s="2" t="s">
        <v>3018</v>
      </c>
      <c r="D5731" s="1">
        <v>44047</v>
      </c>
      <c r="E5731">
        <f>MONTH(D5731)</f>
        <v>8</v>
      </c>
      <c r="F5731" s="2" t="s">
        <v>2098</v>
      </c>
      <c r="G5731" t="s">
        <v>230</v>
      </c>
      <c r="H5731" t="s">
        <v>268</v>
      </c>
      <c r="I5731" t="s">
        <v>22</v>
      </c>
      <c r="J5731" s="2" t="s">
        <v>42</v>
      </c>
      <c r="K5731" s="2" t="s">
        <v>3019</v>
      </c>
      <c r="L5731" t="s">
        <v>25</v>
      </c>
      <c r="M5731" s="8">
        <v>3.5356666670000001</v>
      </c>
      <c r="N5731" t="s">
        <v>26</v>
      </c>
      <c r="O5731" s="8">
        <v>3.5356666670000001</v>
      </c>
      <c r="P5731" s="8">
        <f>EXP(-1.363+3.366*LOG(O5731,10))</f>
        <v>1.6211802664427075</v>
      </c>
      <c r="Q5731" s="8">
        <f>(5996898*100)/6073515</f>
        <v>98.738506449724753</v>
      </c>
    </row>
    <row r="5732" spans="1:17" x14ac:dyDescent="0.2">
      <c r="A5732">
        <f>YEAR(D5732)</f>
        <v>2020</v>
      </c>
      <c r="B5732" t="s">
        <v>26</v>
      </c>
      <c r="C5732" s="2" t="s">
        <v>3018</v>
      </c>
      <c r="D5732" s="1">
        <v>44047</v>
      </c>
      <c r="E5732">
        <f>MONTH(D5732)</f>
        <v>8</v>
      </c>
      <c r="F5732" s="2" t="s">
        <v>2098</v>
      </c>
      <c r="G5732" t="s">
        <v>219</v>
      </c>
      <c r="H5732" t="s">
        <v>220</v>
      </c>
      <c r="I5732" t="s">
        <v>22</v>
      </c>
      <c r="J5732" s="2" t="s">
        <v>42</v>
      </c>
      <c r="K5732" s="2" t="s">
        <v>3019</v>
      </c>
      <c r="L5732" t="s">
        <v>25</v>
      </c>
      <c r="M5732" s="10" t="s">
        <v>26</v>
      </c>
      <c r="N5732" t="s">
        <v>26</v>
      </c>
      <c r="O5732" s="10" t="s">
        <v>26</v>
      </c>
      <c r="P5732" s="8" t="s">
        <v>26</v>
      </c>
      <c r="Q5732" s="8">
        <f>(5996898*100)/6073515</f>
        <v>98.738506449724753</v>
      </c>
    </row>
    <row r="5733" spans="1:17" x14ac:dyDescent="0.2">
      <c r="A5733">
        <f>YEAR(D5733)</f>
        <v>2020</v>
      </c>
      <c r="B5733" t="s">
        <v>26</v>
      </c>
      <c r="C5733" s="2" t="s">
        <v>3027</v>
      </c>
      <c r="D5733" s="1">
        <v>44047</v>
      </c>
      <c r="E5733">
        <f>MONTH(D5733)</f>
        <v>8</v>
      </c>
      <c r="F5733" s="2" t="s">
        <v>2098</v>
      </c>
      <c r="G5733" t="s">
        <v>1512</v>
      </c>
      <c r="H5733" t="s">
        <v>1515</v>
      </c>
      <c r="I5733" t="s">
        <v>22</v>
      </c>
      <c r="J5733" s="2" t="s">
        <v>42</v>
      </c>
      <c r="K5733" s="2" t="s">
        <v>3019</v>
      </c>
      <c r="L5733" t="s">
        <v>187</v>
      </c>
      <c r="M5733" s="8">
        <v>1.477333333</v>
      </c>
      <c r="N5733" t="s">
        <v>26</v>
      </c>
      <c r="O5733" s="8">
        <v>1.477333333</v>
      </c>
      <c r="P5733" s="8">
        <f>EXP(-1.363+3.366*LOG(O5733,10))</f>
        <v>0.45269558398500004</v>
      </c>
      <c r="Q5733" s="8">
        <f>(3939723*100)/4442581</f>
        <v>88.680949204977921</v>
      </c>
    </row>
    <row r="5734" spans="1:17" x14ac:dyDescent="0.2">
      <c r="A5734">
        <f>YEAR(D5734)</f>
        <v>2020</v>
      </c>
      <c r="B5734" t="s">
        <v>26</v>
      </c>
      <c r="C5734" s="2" t="s">
        <v>3027</v>
      </c>
      <c r="D5734" s="1">
        <v>44047</v>
      </c>
      <c r="E5734">
        <f>MONTH(D5734)</f>
        <v>8</v>
      </c>
      <c r="F5734" s="2" t="s">
        <v>2098</v>
      </c>
      <c r="G5734" t="s">
        <v>352</v>
      </c>
      <c r="H5734" t="s">
        <v>1459</v>
      </c>
      <c r="I5734" t="s">
        <v>22</v>
      </c>
      <c r="J5734" s="2" t="s">
        <v>42</v>
      </c>
      <c r="K5734" s="2" t="s">
        <v>3019</v>
      </c>
      <c r="L5734" t="s">
        <v>25</v>
      </c>
      <c r="M5734" s="8">
        <v>1.1910000000000001</v>
      </c>
      <c r="N5734" t="s">
        <v>26</v>
      </c>
      <c r="O5734" s="8">
        <v>1.1910000000000001</v>
      </c>
      <c r="P5734" s="8">
        <f>EXP(-1.363+3.366*LOG(O5734,10))</f>
        <v>0.33039016297752993</v>
      </c>
      <c r="Q5734" s="8">
        <f>(3939723*100)/4442581</f>
        <v>88.680949204977921</v>
      </c>
    </row>
    <row r="5735" spans="1:17" x14ac:dyDescent="0.2">
      <c r="A5735">
        <f>YEAR(D5735)</f>
        <v>2020</v>
      </c>
      <c r="B5735" t="s">
        <v>26</v>
      </c>
      <c r="C5735" s="2" t="s">
        <v>3027</v>
      </c>
      <c r="D5735" s="1">
        <v>44047</v>
      </c>
      <c r="E5735">
        <f>MONTH(D5735)</f>
        <v>8</v>
      </c>
      <c r="F5735" s="2" t="s">
        <v>2098</v>
      </c>
      <c r="G5735" t="s">
        <v>352</v>
      </c>
      <c r="H5735" t="s">
        <v>1459</v>
      </c>
      <c r="I5735" t="s">
        <v>22</v>
      </c>
      <c r="J5735" s="2" t="s">
        <v>42</v>
      </c>
      <c r="K5735" s="2" t="s">
        <v>3019</v>
      </c>
      <c r="L5735" t="s">
        <v>25</v>
      </c>
      <c r="M5735" s="8">
        <v>1.1910000000000001</v>
      </c>
      <c r="N5735" t="s">
        <v>26</v>
      </c>
      <c r="O5735" s="8">
        <v>1.1910000000000001</v>
      </c>
      <c r="P5735" s="8">
        <f>EXP(-1.363+3.366*LOG(O5735,10))</f>
        <v>0.33039016297752993</v>
      </c>
      <c r="Q5735" s="8">
        <f>(3939723*100)/4442581</f>
        <v>88.680949204977921</v>
      </c>
    </row>
    <row r="5736" spans="1:17" x14ac:dyDescent="0.2">
      <c r="A5736">
        <f>YEAR(D5736)</f>
        <v>2020</v>
      </c>
      <c r="B5736" t="s">
        <v>26</v>
      </c>
      <c r="C5736" s="2" t="s">
        <v>3018</v>
      </c>
      <c r="D5736" s="1">
        <v>44047</v>
      </c>
      <c r="E5736">
        <f>MONTH(D5736)</f>
        <v>8</v>
      </c>
      <c r="F5736" s="2" t="s">
        <v>2098</v>
      </c>
      <c r="G5736" t="s">
        <v>352</v>
      </c>
      <c r="H5736" t="s">
        <v>353</v>
      </c>
      <c r="I5736" t="s">
        <v>36</v>
      </c>
      <c r="J5736" s="2" t="s">
        <v>42</v>
      </c>
      <c r="K5736" s="2" t="s">
        <v>3019</v>
      </c>
      <c r="L5736" t="s">
        <v>25</v>
      </c>
      <c r="M5736" s="8">
        <v>0.99850000000000005</v>
      </c>
      <c r="N5736" t="s">
        <v>26</v>
      </c>
      <c r="O5736" s="8">
        <v>0.99850000000000005</v>
      </c>
      <c r="P5736" s="8">
        <f>EXP(-1.363+3.366*LOG(O5736,10))</f>
        <v>0.25533103505246407</v>
      </c>
      <c r="Q5736" s="8">
        <f>(5996898*100)/6073515</f>
        <v>98.738506449724753</v>
      </c>
    </row>
    <row r="5737" spans="1:17" x14ac:dyDescent="0.2">
      <c r="A5737">
        <f>YEAR(D5737)</f>
        <v>2020</v>
      </c>
      <c r="B5737" t="s">
        <v>26</v>
      </c>
      <c r="C5737" s="2" t="s">
        <v>3018</v>
      </c>
      <c r="D5737" s="1">
        <v>44047</v>
      </c>
      <c r="E5737">
        <f>MONTH(D5737)</f>
        <v>8</v>
      </c>
      <c r="F5737" s="2" t="s">
        <v>2098</v>
      </c>
      <c r="G5737" t="s">
        <v>332</v>
      </c>
      <c r="H5737" t="s">
        <v>327</v>
      </c>
      <c r="I5737" t="s">
        <v>36</v>
      </c>
      <c r="J5737" s="2" t="s">
        <v>42</v>
      </c>
      <c r="K5737" s="2" t="s">
        <v>3019</v>
      </c>
      <c r="L5737" t="s">
        <v>25</v>
      </c>
      <c r="M5737" s="8">
        <v>1.0693333330000001</v>
      </c>
      <c r="N5737" t="s">
        <v>26</v>
      </c>
      <c r="O5737" s="8">
        <v>1.0693333330000001</v>
      </c>
      <c r="P5737" s="8">
        <f>EXP(-1.363+3.366*LOG(O5737,10))</f>
        <v>0.28223780327142356</v>
      </c>
      <c r="Q5737" s="8">
        <f>(5996898*100)/6073515</f>
        <v>98.738506449724753</v>
      </c>
    </row>
    <row r="5738" spans="1:17" x14ac:dyDescent="0.2">
      <c r="A5738">
        <f>YEAR(D5738)</f>
        <v>2020</v>
      </c>
      <c r="B5738" t="s">
        <v>26</v>
      </c>
      <c r="C5738" s="2" t="s">
        <v>3018</v>
      </c>
      <c r="D5738" s="1">
        <v>44047</v>
      </c>
      <c r="E5738">
        <f>MONTH(D5738)</f>
        <v>8</v>
      </c>
      <c r="F5738" s="2" t="s">
        <v>2098</v>
      </c>
      <c r="G5738" t="s">
        <v>332</v>
      </c>
      <c r="H5738" t="s">
        <v>327</v>
      </c>
      <c r="I5738" t="s">
        <v>36</v>
      </c>
      <c r="J5738" s="2" t="s">
        <v>42</v>
      </c>
      <c r="K5738" s="2" t="s">
        <v>3019</v>
      </c>
      <c r="L5738" t="s">
        <v>25</v>
      </c>
      <c r="M5738" s="8">
        <v>1.0693333330000001</v>
      </c>
      <c r="N5738" t="s">
        <v>26</v>
      </c>
      <c r="O5738" s="8">
        <v>1.0693333330000001</v>
      </c>
      <c r="P5738" s="8">
        <f>EXP(-1.363+3.366*LOG(O5738,10))</f>
        <v>0.28223780327142356</v>
      </c>
      <c r="Q5738" s="8">
        <f>(5996898*100)/6073515</f>
        <v>98.738506449724753</v>
      </c>
    </row>
    <row r="5739" spans="1:17" x14ac:dyDescent="0.2">
      <c r="A5739">
        <f>YEAR(D5739)</f>
        <v>2020</v>
      </c>
      <c r="B5739" t="s">
        <v>26</v>
      </c>
      <c r="C5739" s="2" t="s">
        <v>3018</v>
      </c>
      <c r="D5739" s="1">
        <v>44047</v>
      </c>
      <c r="E5739">
        <f>MONTH(D5739)</f>
        <v>8</v>
      </c>
      <c r="F5739" s="2" t="s">
        <v>2098</v>
      </c>
      <c r="G5739" t="s">
        <v>332</v>
      </c>
      <c r="H5739" t="s">
        <v>327</v>
      </c>
      <c r="I5739" t="s">
        <v>22</v>
      </c>
      <c r="J5739" s="2" t="s">
        <v>42</v>
      </c>
      <c r="K5739" s="2" t="s">
        <v>3019</v>
      </c>
      <c r="L5739" t="s">
        <v>25</v>
      </c>
      <c r="M5739" s="8">
        <v>1.239333333</v>
      </c>
      <c r="N5739" t="s">
        <v>26</v>
      </c>
      <c r="O5739" s="8">
        <v>1.239333333</v>
      </c>
      <c r="P5739" s="8">
        <f>EXP(-1.363+3.366*LOG(O5739,10))</f>
        <v>0.35017272283851147</v>
      </c>
      <c r="Q5739" s="8">
        <f>(5996898*100)/6073515</f>
        <v>98.738506449724753</v>
      </c>
    </row>
    <row r="5740" spans="1:17" x14ac:dyDescent="0.2">
      <c r="A5740">
        <f>YEAR(D5740)</f>
        <v>2020</v>
      </c>
      <c r="B5740" t="s">
        <v>26</v>
      </c>
      <c r="C5740" s="2" t="s">
        <v>3018</v>
      </c>
      <c r="D5740" s="1">
        <v>44047</v>
      </c>
      <c r="E5740">
        <f>MONTH(D5740)</f>
        <v>8</v>
      </c>
      <c r="F5740" s="2" t="s">
        <v>2098</v>
      </c>
      <c r="G5740" t="s">
        <v>352</v>
      </c>
      <c r="H5740" t="s">
        <v>1344</v>
      </c>
      <c r="I5740" t="s">
        <v>22</v>
      </c>
      <c r="J5740" s="2" t="s">
        <v>42</v>
      </c>
      <c r="K5740" s="2" t="s">
        <v>3019</v>
      </c>
      <c r="L5740" t="s">
        <v>25</v>
      </c>
      <c r="M5740" s="8">
        <v>0.91800000000000004</v>
      </c>
      <c r="N5740" t="s">
        <v>26</v>
      </c>
      <c r="O5740" s="8">
        <v>0.91800000000000004</v>
      </c>
      <c r="P5740" s="8">
        <f>EXP(-1.363+3.366*LOG(O5740,10))</f>
        <v>0.22580769814771504</v>
      </c>
      <c r="Q5740" s="8">
        <f>(5996898*100)/6073515</f>
        <v>98.738506449724753</v>
      </c>
    </row>
    <row r="5741" spans="1:17" x14ac:dyDescent="0.2">
      <c r="A5741">
        <f>YEAR(D5741)</f>
        <v>2020</v>
      </c>
      <c r="B5741" t="s">
        <v>26</v>
      </c>
      <c r="C5741" s="2" t="s">
        <v>3018</v>
      </c>
      <c r="D5741" s="1">
        <v>44047</v>
      </c>
      <c r="E5741">
        <f>MONTH(D5741)</f>
        <v>8</v>
      </c>
      <c r="F5741" s="2" t="s">
        <v>2098</v>
      </c>
      <c r="G5741" t="s">
        <v>352</v>
      </c>
      <c r="H5741" t="s">
        <v>1344</v>
      </c>
      <c r="I5741" t="s">
        <v>22</v>
      </c>
      <c r="J5741" s="2" t="s">
        <v>42</v>
      </c>
      <c r="K5741" s="2" t="s">
        <v>3019</v>
      </c>
      <c r="L5741" t="s">
        <v>25</v>
      </c>
      <c r="M5741" s="8">
        <v>0.91800000000000004</v>
      </c>
      <c r="N5741" t="s">
        <v>26</v>
      </c>
      <c r="O5741" s="8">
        <v>0.91800000000000004</v>
      </c>
      <c r="P5741" s="8">
        <f>EXP(-1.363+3.366*LOG(O5741,10))</f>
        <v>0.22580769814771504</v>
      </c>
      <c r="Q5741" s="8">
        <f>(5996898*100)/6073515</f>
        <v>98.738506449724753</v>
      </c>
    </row>
    <row r="5742" spans="1:17" x14ac:dyDescent="0.2">
      <c r="A5742">
        <f>YEAR(D5742)</f>
        <v>2020</v>
      </c>
      <c r="B5742" t="s">
        <v>26</v>
      </c>
      <c r="C5742" s="2" t="s">
        <v>3018</v>
      </c>
      <c r="D5742" s="1">
        <v>44047</v>
      </c>
      <c r="E5742">
        <f>MONTH(D5742)</f>
        <v>8</v>
      </c>
      <c r="F5742" s="2" t="s">
        <v>2098</v>
      </c>
      <c r="G5742" t="s">
        <v>332</v>
      </c>
      <c r="H5742" t="s">
        <v>330</v>
      </c>
      <c r="I5742" t="s">
        <v>22</v>
      </c>
      <c r="J5742" s="2" t="s">
        <v>42</v>
      </c>
      <c r="K5742" s="2" t="s">
        <v>3019</v>
      </c>
      <c r="L5742" t="s">
        <v>25</v>
      </c>
      <c r="M5742" s="8">
        <v>1.2170000000000001</v>
      </c>
      <c r="N5742" t="s">
        <v>26</v>
      </c>
      <c r="O5742" s="8">
        <v>1.2170000000000001</v>
      </c>
      <c r="P5742" s="8">
        <f>EXP(-1.363+3.366*LOG(O5742,10))</f>
        <v>0.34098666307598596</v>
      </c>
      <c r="Q5742" s="8">
        <f>(5996898*100)/6073515</f>
        <v>98.738506449724753</v>
      </c>
    </row>
    <row r="5743" spans="1:17" x14ac:dyDescent="0.2">
      <c r="A5743">
        <f>YEAR(D5743)</f>
        <v>2020</v>
      </c>
      <c r="B5743" t="s">
        <v>26</v>
      </c>
      <c r="C5743" s="2" t="s">
        <v>3018</v>
      </c>
      <c r="D5743" s="1">
        <v>44047</v>
      </c>
      <c r="E5743">
        <f>MONTH(D5743)</f>
        <v>8</v>
      </c>
      <c r="F5743" s="2" t="s">
        <v>2098</v>
      </c>
      <c r="G5743" t="s">
        <v>332</v>
      </c>
      <c r="H5743" t="s">
        <v>327</v>
      </c>
      <c r="I5743" t="s">
        <v>22</v>
      </c>
      <c r="J5743" s="2" t="s">
        <v>42</v>
      </c>
      <c r="K5743" s="2" t="s">
        <v>3019</v>
      </c>
      <c r="L5743" t="s">
        <v>25</v>
      </c>
      <c r="M5743" s="8">
        <v>1.239333333</v>
      </c>
      <c r="N5743" t="s">
        <v>26</v>
      </c>
      <c r="O5743" s="8">
        <v>1.239333333</v>
      </c>
      <c r="P5743" s="8">
        <f>EXP(-1.363+3.366*LOG(O5743,10))</f>
        <v>0.35017272283851147</v>
      </c>
      <c r="Q5743" s="8">
        <f>(5996898*100)/6073515</f>
        <v>98.738506449724753</v>
      </c>
    </row>
    <row r="5744" spans="1:17" x14ac:dyDescent="0.2">
      <c r="A5744">
        <f>YEAR(D5744)</f>
        <v>2020</v>
      </c>
      <c r="B5744" t="s">
        <v>26</v>
      </c>
      <c r="C5744" s="2" t="s">
        <v>3018</v>
      </c>
      <c r="D5744" s="1">
        <v>44047</v>
      </c>
      <c r="E5744">
        <f>MONTH(D5744)</f>
        <v>8</v>
      </c>
      <c r="F5744" s="2" t="s">
        <v>2098</v>
      </c>
      <c r="G5744" s="2" t="s">
        <v>3080</v>
      </c>
      <c r="H5744" t="s">
        <v>3060</v>
      </c>
      <c r="I5744" t="s">
        <v>22</v>
      </c>
      <c r="J5744" s="2" t="s">
        <v>42</v>
      </c>
      <c r="K5744" s="2" t="s">
        <v>3019</v>
      </c>
      <c r="L5744" t="s">
        <v>305</v>
      </c>
      <c r="M5744" s="8">
        <v>2.6469999999999998</v>
      </c>
      <c r="N5744" t="s">
        <v>26</v>
      </c>
      <c r="O5744" s="8">
        <v>2.6469999999999998</v>
      </c>
      <c r="P5744" s="8">
        <f>EXP(-1.363+3.366*LOG(O5744,10))</f>
        <v>1.0618256802120734</v>
      </c>
      <c r="Q5744" s="8">
        <f>(5996898*100)/6073515</f>
        <v>98.738506449724753</v>
      </c>
    </row>
    <row r="5745" spans="1:17" x14ac:dyDescent="0.2">
      <c r="A5745">
        <f>YEAR(D5745)</f>
        <v>2020</v>
      </c>
      <c r="B5745" t="s">
        <v>26</v>
      </c>
      <c r="C5745" s="2" t="s">
        <v>3018</v>
      </c>
      <c r="D5745" s="1">
        <v>44047</v>
      </c>
      <c r="E5745">
        <f>MONTH(D5745)</f>
        <v>8</v>
      </c>
      <c r="F5745" s="2" t="s">
        <v>2098</v>
      </c>
      <c r="G5745" t="s">
        <v>352</v>
      </c>
      <c r="H5745" t="s">
        <v>975</v>
      </c>
      <c r="I5745" t="s">
        <v>22</v>
      </c>
      <c r="J5745" s="2" t="s">
        <v>42</v>
      </c>
      <c r="K5745" s="2" t="s">
        <v>3019</v>
      </c>
      <c r="L5745" t="s">
        <v>25</v>
      </c>
      <c r="M5745" s="8">
        <v>1.0693333330000001</v>
      </c>
      <c r="N5745" t="s">
        <v>26</v>
      </c>
      <c r="O5745" s="8">
        <v>1.0693333330000001</v>
      </c>
      <c r="P5745" s="8">
        <f>EXP(-1.363+3.366*LOG(O5745,10))</f>
        <v>0.28223780327142356</v>
      </c>
      <c r="Q5745" s="8">
        <f>(5996898*100)/6073515</f>
        <v>98.738506449724753</v>
      </c>
    </row>
    <row r="5746" spans="1:17" x14ac:dyDescent="0.2">
      <c r="A5746">
        <f>YEAR(D5746)</f>
        <v>2020</v>
      </c>
      <c r="B5746" t="s">
        <v>26</v>
      </c>
      <c r="C5746" s="2" t="s">
        <v>3018</v>
      </c>
      <c r="D5746" s="1">
        <v>44047</v>
      </c>
      <c r="E5746">
        <f>MONTH(D5746)</f>
        <v>8</v>
      </c>
      <c r="F5746" s="2" t="s">
        <v>2098</v>
      </c>
      <c r="G5746" t="s">
        <v>352</v>
      </c>
      <c r="H5746" t="s">
        <v>975</v>
      </c>
      <c r="I5746" t="s">
        <v>36</v>
      </c>
      <c r="J5746" s="2" t="s">
        <v>42</v>
      </c>
      <c r="K5746" s="2" t="s">
        <v>3019</v>
      </c>
      <c r="L5746" t="s">
        <v>25</v>
      </c>
      <c r="M5746" s="8">
        <v>0.95199999999999996</v>
      </c>
      <c r="N5746" t="s">
        <v>26</v>
      </c>
      <c r="O5746" s="8">
        <v>0.95199999999999996</v>
      </c>
      <c r="P5746" s="8">
        <f>EXP(-1.363+3.366*LOG(O5746,10))</f>
        <v>0.23813726407794436</v>
      </c>
      <c r="Q5746" s="8">
        <f>(5996898*100)/6073515</f>
        <v>98.738506449724753</v>
      </c>
    </row>
    <row r="5747" spans="1:17" x14ac:dyDescent="0.2">
      <c r="A5747">
        <f>YEAR(D5747)</f>
        <v>2020</v>
      </c>
      <c r="B5747" t="s">
        <v>26</v>
      </c>
      <c r="C5747" s="2" t="s">
        <v>3018</v>
      </c>
      <c r="D5747" s="1">
        <v>44047</v>
      </c>
      <c r="E5747">
        <f>MONTH(D5747)</f>
        <v>8</v>
      </c>
      <c r="F5747" s="2" t="s">
        <v>2098</v>
      </c>
      <c r="G5747" t="s">
        <v>352</v>
      </c>
      <c r="H5747" t="s">
        <v>975</v>
      </c>
      <c r="I5747" t="s">
        <v>36</v>
      </c>
      <c r="J5747" s="2" t="s">
        <v>42</v>
      </c>
      <c r="K5747" s="2" t="s">
        <v>3019</v>
      </c>
      <c r="L5747" t="s">
        <v>25</v>
      </c>
      <c r="M5747" s="8">
        <v>0.95199999999999996</v>
      </c>
      <c r="N5747" t="s">
        <v>26</v>
      </c>
      <c r="O5747" s="8">
        <v>0.95199999999999996</v>
      </c>
      <c r="P5747" s="8">
        <f>EXP(-1.363+3.366*LOG(O5747,10))</f>
        <v>0.23813726407794436</v>
      </c>
      <c r="Q5747" s="8">
        <f>(5996898*100)/6073515</f>
        <v>98.738506449724753</v>
      </c>
    </row>
    <row r="5748" spans="1:17" x14ac:dyDescent="0.2">
      <c r="A5748">
        <f>YEAR(D5748)</f>
        <v>2020</v>
      </c>
      <c r="B5748" t="s">
        <v>26</v>
      </c>
      <c r="C5748" s="2" t="s">
        <v>3018</v>
      </c>
      <c r="D5748" s="1">
        <v>44047</v>
      </c>
      <c r="E5748">
        <f>MONTH(D5748)</f>
        <v>8</v>
      </c>
      <c r="F5748" s="2" t="s">
        <v>2098</v>
      </c>
      <c r="G5748" t="s">
        <v>352</v>
      </c>
      <c r="H5748" t="s">
        <v>728</v>
      </c>
      <c r="I5748" t="s">
        <v>36</v>
      </c>
      <c r="J5748" s="2" t="s">
        <v>42</v>
      </c>
      <c r="K5748" s="2" t="s">
        <v>3019</v>
      </c>
      <c r="L5748" t="s">
        <v>187</v>
      </c>
      <c r="M5748" s="8">
        <v>1.376333333</v>
      </c>
      <c r="N5748" t="s">
        <v>26</v>
      </c>
      <c r="O5748" s="8">
        <v>1.376333333</v>
      </c>
      <c r="P5748" s="8">
        <f>EXP(-1.363+3.366*LOG(O5748,10))</f>
        <v>0.40817622737824627</v>
      </c>
      <c r="Q5748" s="8">
        <f>(5996898*100)/6073515</f>
        <v>98.738506449724753</v>
      </c>
    </row>
    <row r="5749" spans="1:17" x14ac:dyDescent="0.2">
      <c r="A5749">
        <f>YEAR(D5749)</f>
        <v>2020</v>
      </c>
      <c r="B5749" t="s">
        <v>26</v>
      </c>
      <c r="C5749" s="2" t="s">
        <v>3018</v>
      </c>
      <c r="D5749" s="1">
        <v>44047</v>
      </c>
      <c r="E5749">
        <f>MONTH(D5749)</f>
        <v>8</v>
      </c>
      <c r="F5749" s="2" t="s">
        <v>2098</v>
      </c>
      <c r="G5749" t="s">
        <v>352</v>
      </c>
      <c r="H5749" t="s">
        <v>1459</v>
      </c>
      <c r="I5749" t="s">
        <v>36</v>
      </c>
      <c r="J5749" s="2" t="s">
        <v>42</v>
      </c>
      <c r="K5749" s="2" t="s">
        <v>3019</v>
      </c>
      <c r="L5749" t="s">
        <v>25</v>
      </c>
      <c r="M5749" s="8">
        <v>1.0913333329999999</v>
      </c>
      <c r="N5749" t="s">
        <v>26</v>
      </c>
      <c r="O5749" s="8">
        <v>1.0913333329999999</v>
      </c>
      <c r="P5749" s="8">
        <f>EXP(-1.363+3.366*LOG(O5749,10))</f>
        <v>0.29076633015787234</v>
      </c>
      <c r="Q5749" s="8">
        <f>(5996898*100)/6073515</f>
        <v>98.738506449724753</v>
      </c>
    </row>
    <row r="5750" spans="1:17" x14ac:dyDescent="0.2">
      <c r="A5750">
        <f>YEAR(D5750)</f>
        <v>2020</v>
      </c>
      <c r="B5750" t="s">
        <v>26</v>
      </c>
      <c r="C5750" s="2" t="s">
        <v>3018</v>
      </c>
      <c r="D5750" s="1">
        <v>44047</v>
      </c>
      <c r="E5750">
        <f>MONTH(D5750)</f>
        <v>8</v>
      </c>
      <c r="F5750" s="2" t="s">
        <v>2098</v>
      </c>
      <c r="G5750" t="s">
        <v>352</v>
      </c>
      <c r="H5750" t="s">
        <v>1459</v>
      </c>
      <c r="I5750" t="s">
        <v>36</v>
      </c>
      <c r="J5750" s="2" t="s">
        <v>42</v>
      </c>
      <c r="K5750" s="2" t="s">
        <v>3019</v>
      </c>
      <c r="L5750" t="s">
        <v>25</v>
      </c>
      <c r="M5750" s="8">
        <v>1.0913333329999999</v>
      </c>
      <c r="N5750" t="s">
        <v>26</v>
      </c>
      <c r="O5750" s="8">
        <v>1.0913333329999999</v>
      </c>
      <c r="P5750" s="8">
        <f>EXP(-1.363+3.366*LOG(O5750,10))</f>
        <v>0.29076633015787234</v>
      </c>
      <c r="Q5750" s="8">
        <f>(5996898*100)/6073515</f>
        <v>98.738506449724753</v>
      </c>
    </row>
    <row r="5751" spans="1:17" x14ac:dyDescent="0.2">
      <c r="A5751">
        <f>YEAR(D5751)</f>
        <v>2020</v>
      </c>
      <c r="B5751" t="s">
        <v>26</v>
      </c>
      <c r="C5751" s="2" t="s">
        <v>3018</v>
      </c>
      <c r="D5751" s="1">
        <v>44047</v>
      </c>
      <c r="E5751">
        <f>MONTH(D5751)</f>
        <v>8</v>
      </c>
      <c r="F5751" s="2" t="s">
        <v>2098</v>
      </c>
      <c r="G5751" t="s">
        <v>332</v>
      </c>
      <c r="H5751" t="s">
        <v>327</v>
      </c>
      <c r="I5751" t="s">
        <v>22</v>
      </c>
      <c r="J5751" s="2" t="s">
        <v>42</v>
      </c>
      <c r="K5751" s="2" t="s">
        <v>3019</v>
      </c>
      <c r="L5751" t="s">
        <v>25</v>
      </c>
      <c r="M5751" s="8">
        <v>1.239333333</v>
      </c>
      <c r="N5751" t="s">
        <v>26</v>
      </c>
      <c r="O5751" s="8">
        <v>1.239333333</v>
      </c>
      <c r="P5751" s="8">
        <f>EXP(-1.363+3.366*LOG(O5751,10))</f>
        <v>0.35017272283851147</v>
      </c>
      <c r="Q5751" s="8">
        <f>(5996898*100)/6073515</f>
        <v>98.738506449724753</v>
      </c>
    </row>
    <row r="5752" spans="1:17" x14ac:dyDescent="0.2">
      <c r="A5752">
        <f>YEAR(D5752)</f>
        <v>2020</v>
      </c>
      <c r="B5752" t="s">
        <v>26</v>
      </c>
      <c r="C5752" s="2" t="s">
        <v>3018</v>
      </c>
      <c r="D5752" s="1">
        <v>44047</v>
      </c>
      <c r="E5752">
        <f>MONTH(D5752)</f>
        <v>8</v>
      </c>
      <c r="F5752" s="2" t="s">
        <v>2098</v>
      </c>
      <c r="G5752" t="s">
        <v>1512</v>
      </c>
      <c r="H5752" t="s">
        <v>1515</v>
      </c>
      <c r="I5752" t="s">
        <v>36</v>
      </c>
      <c r="J5752" s="2" t="s">
        <v>42</v>
      </c>
      <c r="K5752" s="2" t="s">
        <v>3019</v>
      </c>
      <c r="L5752" t="s">
        <v>187</v>
      </c>
      <c r="M5752" s="8">
        <v>1.3580000000000001</v>
      </c>
      <c r="N5752" t="s">
        <v>26</v>
      </c>
      <c r="O5752" s="8">
        <v>1.3580000000000001</v>
      </c>
      <c r="P5752" s="8">
        <f>EXP(-1.363+3.366*LOG(O5752,10))</f>
        <v>0.40025262274215467</v>
      </c>
      <c r="Q5752" s="8">
        <f>(5996898*100)/6073515</f>
        <v>98.738506449724753</v>
      </c>
    </row>
    <row r="5753" spans="1:17" x14ac:dyDescent="0.2">
      <c r="A5753">
        <f>YEAR(D5753)</f>
        <v>2020</v>
      </c>
      <c r="B5753" t="s">
        <v>26</v>
      </c>
      <c r="C5753" s="2" t="s">
        <v>3018</v>
      </c>
      <c r="D5753" s="1">
        <v>44047</v>
      </c>
      <c r="E5753">
        <f>MONTH(D5753)</f>
        <v>8</v>
      </c>
      <c r="F5753" s="2" t="s">
        <v>2098</v>
      </c>
      <c r="G5753" t="s">
        <v>352</v>
      </c>
      <c r="H5753" t="s">
        <v>353</v>
      </c>
      <c r="I5753" t="s">
        <v>22</v>
      </c>
      <c r="J5753" s="2" t="s">
        <v>42</v>
      </c>
      <c r="K5753" s="2" t="s">
        <v>3019</v>
      </c>
      <c r="L5753" t="s">
        <v>25</v>
      </c>
      <c r="M5753" s="8">
        <v>1.1623333330000001</v>
      </c>
      <c r="N5753" t="s">
        <v>26</v>
      </c>
      <c r="O5753" s="8">
        <v>1.1623333330000001</v>
      </c>
      <c r="P5753" s="8">
        <f>EXP(-1.363+3.366*LOG(O5753,10))</f>
        <v>0.31883010989102206</v>
      </c>
      <c r="Q5753" s="8">
        <f>(5996898*100)/6073515</f>
        <v>98.738506449724753</v>
      </c>
    </row>
    <row r="5754" spans="1:17" x14ac:dyDescent="0.2">
      <c r="A5754">
        <f>YEAR(D5754)</f>
        <v>2020</v>
      </c>
      <c r="B5754" t="s">
        <v>26</v>
      </c>
      <c r="C5754" s="2" t="s">
        <v>3027</v>
      </c>
      <c r="D5754" s="1">
        <v>44047</v>
      </c>
      <c r="E5754">
        <f>MONTH(D5754)</f>
        <v>8</v>
      </c>
      <c r="F5754" s="2" t="s">
        <v>19</v>
      </c>
      <c r="G5754" t="s">
        <v>352</v>
      </c>
      <c r="H5754" t="s">
        <v>975</v>
      </c>
      <c r="I5754" t="s">
        <v>22</v>
      </c>
      <c r="J5754" s="2" t="s">
        <v>42</v>
      </c>
      <c r="K5754" s="2" t="s">
        <v>3019</v>
      </c>
      <c r="L5754" t="s">
        <v>25</v>
      </c>
      <c r="M5754" s="8">
        <v>1.0693333330000001</v>
      </c>
      <c r="N5754" t="s">
        <v>26</v>
      </c>
      <c r="O5754" s="8">
        <v>1.0693333330000001</v>
      </c>
      <c r="P5754" s="8">
        <f>EXP(-1.363+3.366*LOG(O5754,10))</f>
        <v>0.28223780327142356</v>
      </c>
      <c r="Q5754" s="8">
        <f>(3939723*100)/4442581</f>
        <v>88.680949204977921</v>
      </c>
    </row>
    <row r="5755" spans="1:17" x14ac:dyDescent="0.2">
      <c r="A5755">
        <f>YEAR(D5755)</f>
        <v>2020</v>
      </c>
      <c r="B5755" t="s">
        <v>26</v>
      </c>
      <c r="C5755" s="2" t="s">
        <v>3027</v>
      </c>
      <c r="D5755" s="1">
        <v>44047</v>
      </c>
      <c r="E5755">
        <f>MONTH(D5755)</f>
        <v>8</v>
      </c>
      <c r="F5755" s="2" t="s">
        <v>19</v>
      </c>
      <c r="G5755" t="s">
        <v>1959</v>
      </c>
      <c r="H5755" t="s">
        <v>1960</v>
      </c>
      <c r="I5755" t="s">
        <v>36</v>
      </c>
      <c r="J5755" s="2" t="s">
        <v>42</v>
      </c>
      <c r="K5755" s="2" t="s">
        <v>3019</v>
      </c>
      <c r="L5755" t="s">
        <v>305</v>
      </c>
      <c r="M5755" s="8">
        <v>0.98599999999999999</v>
      </c>
      <c r="N5755" t="s">
        <v>26</v>
      </c>
      <c r="O5755" s="8">
        <v>0.98599999999999999</v>
      </c>
      <c r="P5755" s="8">
        <f>EXP(-1.363+3.366*LOG(O5755,10))</f>
        <v>0.25067191552934642</v>
      </c>
      <c r="Q5755" s="8">
        <f>(3939723*100)/4442581</f>
        <v>88.680949204977921</v>
      </c>
    </row>
    <row r="5756" spans="1:17" x14ac:dyDescent="0.2">
      <c r="A5756">
        <f>YEAR(D5756)</f>
        <v>2020</v>
      </c>
      <c r="B5756" t="s">
        <v>26</v>
      </c>
      <c r="C5756" s="2" t="s">
        <v>3018</v>
      </c>
      <c r="D5756" s="1">
        <v>44047</v>
      </c>
      <c r="E5756">
        <f>MONTH(D5756)</f>
        <v>8</v>
      </c>
      <c r="F5756" s="2" t="s">
        <v>19</v>
      </c>
      <c r="G5756" t="s">
        <v>352</v>
      </c>
      <c r="H5756" t="s">
        <v>623</v>
      </c>
      <c r="I5756" t="s">
        <v>36</v>
      </c>
      <c r="J5756" s="2" t="s">
        <v>42</v>
      </c>
      <c r="K5756" s="2" t="s">
        <v>3019</v>
      </c>
      <c r="L5756" t="s">
        <v>25</v>
      </c>
      <c r="M5756" s="8">
        <v>1.1339999999999999</v>
      </c>
      <c r="N5756" t="s">
        <v>26</v>
      </c>
      <c r="O5756" s="8">
        <v>1.1339999999999999</v>
      </c>
      <c r="P5756" s="8">
        <f>EXP(-1.363+3.366*LOG(O5756,10))</f>
        <v>0.30753312979708036</v>
      </c>
      <c r="Q5756" s="8">
        <f>(5996898*100)/6073515</f>
        <v>98.738506449724753</v>
      </c>
    </row>
    <row r="5757" spans="1:17" x14ac:dyDescent="0.2">
      <c r="A5757">
        <f>YEAR(D5757)</f>
        <v>2020</v>
      </c>
      <c r="B5757" t="s">
        <v>26</v>
      </c>
      <c r="C5757" s="2" t="s">
        <v>3018</v>
      </c>
      <c r="D5757" s="1">
        <v>44047</v>
      </c>
      <c r="E5757">
        <f>MONTH(D5757)</f>
        <v>8</v>
      </c>
      <c r="F5757" s="2" t="s">
        <v>19</v>
      </c>
      <c r="G5757" t="s">
        <v>352</v>
      </c>
      <c r="H5757" t="s">
        <v>975</v>
      </c>
      <c r="I5757" t="s">
        <v>36</v>
      </c>
      <c r="J5757" s="2" t="s">
        <v>42</v>
      </c>
      <c r="K5757" s="2" t="s">
        <v>3019</v>
      </c>
      <c r="L5757" t="s">
        <v>25</v>
      </c>
      <c r="M5757" s="8">
        <v>0.95199999999999996</v>
      </c>
      <c r="N5757" t="s">
        <v>26</v>
      </c>
      <c r="O5757" s="8">
        <v>0.95199999999999996</v>
      </c>
      <c r="P5757" s="8">
        <f>EXP(-1.363+3.366*LOG(O5757,10))</f>
        <v>0.23813726407794436</v>
      </c>
      <c r="Q5757" s="8">
        <f>(5996898*100)/6073515</f>
        <v>98.738506449724753</v>
      </c>
    </row>
    <row r="5758" spans="1:17" x14ac:dyDescent="0.2">
      <c r="A5758">
        <f>YEAR(D5758)</f>
        <v>2020</v>
      </c>
      <c r="B5758" t="s">
        <v>26</v>
      </c>
      <c r="C5758" s="2" t="s">
        <v>3018</v>
      </c>
      <c r="D5758" s="1">
        <v>44047</v>
      </c>
      <c r="E5758">
        <f>MONTH(D5758)</f>
        <v>8</v>
      </c>
      <c r="F5758" s="2" t="s">
        <v>19</v>
      </c>
      <c r="G5758" t="s">
        <v>352</v>
      </c>
      <c r="H5758" t="s">
        <v>975</v>
      </c>
      <c r="I5758" t="s">
        <v>36</v>
      </c>
      <c r="J5758" s="2" t="s">
        <v>42</v>
      </c>
      <c r="K5758" s="2" t="s">
        <v>3019</v>
      </c>
      <c r="L5758" t="s">
        <v>25</v>
      </c>
      <c r="M5758" s="8">
        <v>0.95199999999999996</v>
      </c>
      <c r="N5758" t="s">
        <v>26</v>
      </c>
      <c r="O5758" s="8">
        <v>0.95199999999999996</v>
      </c>
      <c r="P5758" s="8">
        <f>EXP(-1.363+3.366*LOG(O5758,10))</f>
        <v>0.23813726407794436</v>
      </c>
      <c r="Q5758" s="8">
        <f>(5996898*100)/6073515</f>
        <v>98.738506449724753</v>
      </c>
    </row>
    <row r="5759" spans="1:17" x14ac:dyDescent="0.2">
      <c r="A5759">
        <f>YEAR(D5759)</f>
        <v>2020</v>
      </c>
      <c r="B5759" t="s">
        <v>26</v>
      </c>
      <c r="C5759" s="2" t="s">
        <v>3018</v>
      </c>
      <c r="D5759" s="1">
        <v>44047</v>
      </c>
      <c r="E5759">
        <f>MONTH(D5759)</f>
        <v>8</v>
      </c>
      <c r="F5759" s="2" t="s">
        <v>19</v>
      </c>
      <c r="G5759" t="s">
        <v>352</v>
      </c>
      <c r="H5759" t="s">
        <v>975</v>
      </c>
      <c r="I5759" t="s">
        <v>22</v>
      </c>
      <c r="J5759" s="2" t="s">
        <v>42</v>
      </c>
      <c r="K5759" s="2" t="s">
        <v>3019</v>
      </c>
      <c r="L5759" t="s">
        <v>25</v>
      </c>
      <c r="M5759" s="8">
        <v>1.0693333330000001</v>
      </c>
      <c r="N5759" t="s">
        <v>26</v>
      </c>
      <c r="O5759" s="8">
        <v>1.0693333330000001</v>
      </c>
      <c r="P5759" s="8">
        <f>EXP(-1.363+3.366*LOG(O5759,10))</f>
        <v>0.28223780327142356</v>
      </c>
      <c r="Q5759" s="8">
        <f>(5996898*100)/6073515</f>
        <v>98.738506449724753</v>
      </c>
    </row>
    <row r="5760" spans="1:17" x14ac:dyDescent="0.2">
      <c r="A5760">
        <f>YEAR(D5760)</f>
        <v>2020</v>
      </c>
      <c r="B5760" t="s">
        <v>26</v>
      </c>
      <c r="C5760" s="2" t="s">
        <v>3018</v>
      </c>
      <c r="D5760" s="1">
        <v>44047</v>
      </c>
      <c r="E5760">
        <f>MONTH(D5760)</f>
        <v>8</v>
      </c>
      <c r="F5760" s="2" t="s">
        <v>19</v>
      </c>
      <c r="G5760" t="s">
        <v>352</v>
      </c>
      <c r="H5760" t="s">
        <v>975</v>
      </c>
      <c r="I5760" t="s">
        <v>36</v>
      </c>
      <c r="J5760" s="2" t="s">
        <v>42</v>
      </c>
      <c r="K5760" s="2" t="s">
        <v>3019</v>
      </c>
      <c r="L5760" t="s">
        <v>25</v>
      </c>
      <c r="M5760" s="8">
        <v>0.95199999999999996</v>
      </c>
      <c r="N5760" t="s">
        <v>26</v>
      </c>
      <c r="O5760" s="8">
        <v>0.95199999999999996</v>
      </c>
      <c r="P5760" s="8">
        <f>EXP(-1.363+3.366*LOG(O5760,10))</f>
        <v>0.23813726407794436</v>
      </c>
      <c r="Q5760" s="8">
        <f>(5996898*100)/6073515</f>
        <v>98.738506449724753</v>
      </c>
    </row>
    <row r="5761" spans="1:17" x14ac:dyDescent="0.2">
      <c r="A5761">
        <f>YEAR(D5761)</f>
        <v>2020</v>
      </c>
      <c r="B5761" t="s">
        <v>26</v>
      </c>
      <c r="C5761" s="2" t="s">
        <v>3018</v>
      </c>
      <c r="D5761" s="1">
        <v>44047</v>
      </c>
      <c r="E5761">
        <f>MONTH(D5761)</f>
        <v>8</v>
      </c>
      <c r="F5761" s="2" t="s">
        <v>19</v>
      </c>
      <c r="G5761" t="s">
        <v>332</v>
      </c>
      <c r="H5761" t="s">
        <v>2034</v>
      </c>
      <c r="I5761" t="s">
        <v>36</v>
      </c>
      <c r="J5761" s="2" t="s">
        <v>42</v>
      </c>
      <c r="K5761" s="2" t="s">
        <v>3019</v>
      </c>
      <c r="L5761" t="s">
        <v>25</v>
      </c>
      <c r="M5761" s="8">
        <v>0.81599999999999995</v>
      </c>
      <c r="N5761" t="s">
        <v>26</v>
      </c>
      <c r="O5761" s="8">
        <v>0.81599999999999995</v>
      </c>
      <c r="P5761" s="8">
        <f>EXP(-1.363+3.366*LOG(O5761,10))</f>
        <v>0.19009127534271844</v>
      </c>
      <c r="Q5761" s="8">
        <f>(5996898*100)/6073515</f>
        <v>98.738506449724753</v>
      </c>
    </row>
    <row r="5762" spans="1:17" x14ac:dyDescent="0.2">
      <c r="A5762">
        <f>YEAR(D5762)</f>
        <v>2020</v>
      </c>
      <c r="B5762" t="s">
        <v>26</v>
      </c>
      <c r="C5762" s="2" t="s">
        <v>3018</v>
      </c>
      <c r="D5762" s="1">
        <v>44047</v>
      </c>
      <c r="E5762">
        <f>MONTH(D5762)</f>
        <v>8</v>
      </c>
      <c r="F5762" s="2" t="s">
        <v>19</v>
      </c>
      <c r="G5762" t="s">
        <v>352</v>
      </c>
      <c r="H5762" t="s">
        <v>1344</v>
      </c>
      <c r="I5762" t="s">
        <v>22</v>
      </c>
      <c r="J5762" s="2" t="s">
        <v>42</v>
      </c>
      <c r="K5762" s="2" t="s">
        <v>3019</v>
      </c>
      <c r="L5762" t="s">
        <v>25</v>
      </c>
      <c r="M5762" s="8">
        <v>0.91800000000000004</v>
      </c>
      <c r="N5762" t="s">
        <v>26</v>
      </c>
      <c r="O5762" s="8">
        <v>0.91800000000000004</v>
      </c>
      <c r="P5762" s="8">
        <f>EXP(-1.363+3.366*LOG(O5762,10))</f>
        <v>0.22580769814771504</v>
      </c>
      <c r="Q5762" s="8">
        <f>(5996898*100)/6073515</f>
        <v>98.738506449724753</v>
      </c>
    </row>
    <row r="5763" spans="1:17" x14ac:dyDescent="0.2">
      <c r="A5763">
        <f>YEAR(D5763)</f>
        <v>2020</v>
      </c>
      <c r="B5763" t="s">
        <v>26</v>
      </c>
      <c r="C5763" s="2" t="s">
        <v>3018</v>
      </c>
      <c r="D5763" s="1">
        <v>44047</v>
      </c>
      <c r="E5763">
        <f>MONTH(D5763)</f>
        <v>8</v>
      </c>
      <c r="F5763" s="2" t="s">
        <v>19</v>
      </c>
      <c r="G5763" t="s">
        <v>352</v>
      </c>
      <c r="H5763" t="s">
        <v>1344</v>
      </c>
      <c r="I5763" t="s">
        <v>22</v>
      </c>
      <c r="J5763" s="2" t="s">
        <v>42</v>
      </c>
      <c r="K5763" s="2" t="s">
        <v>3019</v>
      </c>
      <c r="L5763" t="s">
        <v>25</v>
      </c>
      <c r="M5763" s="8">
        <v>0.91800000000000004</v>
      </c>
      <c r="N5763" t="s">
        <v>26</v>
      </c>
      <c r="O5763" s="8">
        <v>0.91800000000000004</v>
      </c>
      <c r="P5763" s="8">
        <f>EXP(-1.363+3.366*LOG(O5763,10))</f>
        <v>0.22580769814771504</v>
      </c>
      <c r="Q5763" s="8">
        <f>(5996898*100)/6073515</f>
        <v>98.738506449724753</v>
      </c>
    </row>
    <row r="5764" spans="1:17" x14ac:dyDescent="0.2">
      <c r="A5764">
        <f>YEAR(D5764)</f>
        <v>2020</v>
      </c>
      <c r="B5764" t="s">
        <v>26</v>
      </c>
      <c r="C5764" s="2" t="s">
        <v>3018</v>
      </c>
      <c r="D5764" s="1">
        <v>44047</v>
      </c>
      <c r="E5764">
        <f>MONTH(D5764)</f>
        <v>8</v>
      </c>
      <c r="F5764" s="2" t="s">
        <v>19</v>
      </c>
      <c r="G5764" t="s">
        <v>352</v>
      </c>
      <c r="H5764" t="s">
        <v>1142</v>
      </c>
      <c r="I5764" t="s">
        <v>36</v>
      </c>
      <c r="J5764" s="2" t="s">
        <v>42</v>
      </c>
      <c r="K5764" s="2" t="s">
        <v>3019</v>
      </c>
      <c r="L5764" t="s">
        <v>25</v>
      </c>
      <c r="M5764" s="8">
        <v>0.93500000000000005</v>
      </c>
      <c r="N5764" t="s">
        <v>26</v>
      </c>
      <c r="O5764" s="8">
        <v>0.93500000000000005</v>
      </c>
      <c r="P5764" s="8">
        <f>EXP(-1.363+3.366*LOG(O5764,10))</f>
        <v>0.23194659731411651</v>
      </c>
      <c r="Q5764" s="8">
        <f>(5996898*100)/6073515</f>
        <v>98.738506449724753</v>
      </c>
    </row>
    <row r="5765" spans="1:17" x14ac:dyDescent="0.2">
      <c r="A5765">
        <f>YEAR(D5765)</f>
        <v>2020</v>
      </c>
      <c r="B5765" t="s">
        <v>26</v>
      </c>
      <c r="C5765" s="2" t="s">
        <v>3027</v>
      </c>
      <c r="D5765" s="1">
        <v>44047</v>
      </c>
      <c r="E5765">
        <f>MONTH(D5765)</f>
        <v>8</v>
      </c>
      <c r="F5765" s="2" t="s">
        <v>19</v>
      </c>
      <c r="G5765" t="s">
        <v>352</v>
      </c>
      <c r="H5765" t="s">
        <v>1142</v>
      </c>
      <c r="I5765" t="s">
        <v>22</v>
      </c>
      <c r="J5765" s="2" t="s">
        <v>42</v>
      </c>
      <c r="K5765" s="2" t="s">
        <v>3019</v>
      </c>
      <c r="L5765" t="s">
        <v>25</v>
      </c>
      <c r="M5765" s="8">
        <v>1.1423333330000001</v>
      </c>
      <c r="N5765" t="s">
        <v>26</v>
      </c>
      <c r="O5765" s="8">
        <v>1.1423333330000001</v>
      </c>
      <c r="P5765" s="8">
        <f>EXP(-1.363+3.366*LOG(O5765,10))</f>
        <v>0.31084239358261528</v>
      </c>
      <c r="Q5765" s="8">
        <f>(3939723*100)/4442581</f>
        <v>88.680949204977921</v>
      </c>
    </row>
    <row r="5766" spans="1:17" x14ac:dyDescent="0.2">
      <c r="A5766">
        <f>YEAR(D5766)</f>
        <v>2020</v>
      </c>
      <c r="B5766" t="s">
        <v>26</v>
      </c>
      <c r="C5766" s="2" t="s">
        <v>3027</v>
      </c>
      <c r="D5766" s="1">
        <v>44047</v>
      </c>
      <c r="E5766">
        <f>MONTH(D5766)</f>
        <v>8</v>
      </c>
      <c r="F5766" s="2" t="s">
        <v>19</v>
      </c>
      <c r="G5766" t="s">
        <v>352</v>
      </c>
      <c r="H5766" t="s">
        <v>1142</v>
      </c>
      <c r="I5766" t="s">
        <v>22</v>
      </c>
      <c r="J5766" s="2" t="s">
        <v>42</v>
      </c>
      <c r="K5766" s="2" t="s">
        <v>3019</v>
      </c>
      <c r="L5766" t="s">
        <v>25</v>
      </c>
      <c r="M5766" s="8">
        <v>1.1423333330000001</v>
      </c>
      <c r="N5766" t="s">
        <v>26</v>
      </c>
      <c r="O5766" s="8">
        <v>1.1423333330000001</v>
      </c>
      <c r="P5766" s="8">
        <f>EXP(-1.363+3.366*LOG(O5766,10))</f>
        <v>0.31084239358261528</v>
      </c>
      <c r="Q5766" s="8">
        <f>(3939723*100)/4442581</f>
        <v>88.680949204977921</v>
      </c>
    </row>
    <row r="5767" spans="1:17" x14ac:dyDescent="0.2">
      <c r="A5767">
        <f>YEAR(D5767)</f>
        <v>2020</v>
      </c>
      <c r="B5767" t="s">
        <v>26</v>
      </c>
      <c r="C5767" s="2" t="s">
        <v>3027</v>
      </c>
      <c r="D5767" s="1">
        <v>44047</v>
      </c>
      <c r="E5767">
        <f>MONTH(D5767)</f>
        <v>8</v>
      </c>
      <c r="F5767" s="2" t="s">
        <v>19</v>
      </c>
      <c r="G5767" t="s">
        <v>352</v>
      </c>
      <c r="H5767" t="s">
        <v>975</v>
      </c>
      <c r="I5767" t="s">
        <v>22</v>
      </c>
      <c r="J5767" s="2" t="s">
        <v>42</v>
      </c>
      <c r="K5767" s="2" t="s">
        <v>3019</v>
      </c>
      <c r="L5767" t="s">
        <v>25</v>
      </c>
      <c r="M5767" s="8">
        <v>1.0693333330000001</v>
      </c>
      <c r="N5767" t="s">
        <v>26</v>
      </c>
      <c r="O5767" s="8">
        <v>1.0693333330000001</v>
      </c>
      <c r="P5767" s="8">
        <f>EXP(-1.363+3.366*LOG(O5767,10))</f>
        <v>0.28223780327142356</v>
      </c>
      <c r="Q5767" s="8">
        <f>(3939723*100)/4442581</f>
        <v>88.680949204977921</v>
      </c>
    </row>
    <row r="5768" spans="1:17" x14ac:dyDescent="0.2">
      <c r="A5768">
        <f>YEAR(D5768)</f>
        <v>2020</v>
      </c>
      <c r="B5768" t="s">
        <v>26</v>
      </c>
      <c r="C5768" s="2" t="s">
        <v>3027</v>
      </c>
      <c r="D5768" s="1">
        <v>44047</v>
      </c>
      <c r="E5768">
        <f>MONTH(D5768)</f>
        <v>8</v>
      </c>
      <c r="F5768" s="2" t="s">
        <v>19</v>
      </c>
      <c r="G5768" t="s">
        <v>352</v>
      </c>
      <c r="H5768" t="s">
        <v>728</v>
      </c>
      <c r="I5768" t="s">
        <v>22</v>
      </c>
      <c r="J5768" s="2" t="s">
        <v>42</v>
      </c>
      <c r="K5768" s="2" t="s">
        <v>3019</v>
      </c>
      <c r="L5768" t="s">
        <v>187</v>
      </c>
      <c r="M5768" s="8">
        <v>1.8093333330000001</v>
      </c>
      <c r="N5768" t="s">
        <v>26</v>
      </c>
      <c r="O5768" s="8">
        <v>1.8093333330000001</v>
      </c>
      <c r="P5768" s="8">
        <f>EXP(-1.363+3.366*LOG(O5768,10))</f>
        <v>0.6088444603462565</v>
      </c>
      <c r="Q5768" s="8">
        <f>(3939723*100)/4442581</f>
        <v>88.680949204977921</v>
      </c>
    </row>
    <row r="5769" spans="1:17" x14ac:dyDescent="0.2">
      <c r="A5769">
        <f>YEAR(D5769)</f>
        <v>2020</v>
      </c>
      <c r="B5769" t="s">
        <v>26</v>
      </c>
      <c r="C5769" s="2" t="s">
        <v>50</v>
      </c>
      <c r="D5769" s="1">
        <v>44046</v>
      </c>
      <c r="E5769">
        <f>MONTH(D5769)</f>
        <v>8</v>
      </c>
      <c r="F5769" s="2" t="s">
        <v>19</v>
      </c>
      <c r="G5769" t="s">
        <v>352</v>
      </c>
      <c r="H5769" t="s">
        <v>975</v>
      </c>
      <c r="I5769" t="s">
        <v>36</v>
      </c>
      <c r="J5769" s="2" t="s">
        <v>42</v>
      </c>
      <c r="K5769" s="2" t="s">
        <v>3019</v>
      </c>
      <c r="L5769" t="s">
        <v>25</v>
      </c>
      <c r="M5769" s="8">
        <v>0.95199999999999996</v>
      </c>
      <c r="N5769" t="s">
        <v>26</v>
      </c>
      <c r="O5769" s="8">
        <v>0.95199999999999996</v>
      </c>
      <c r="P5769" s="8">
        <f>EXP(-1.363+3.366*LOG(O5769,10))</f>
        <v>0.23813726407794436</v>
      </c>
      <c r="Q5769" s="8">
        <f>(4488342*100)/4914798</f>
        <v>91.323020803703429</v>
      </c>
    </row>
    <row r="5770" spans="1:17" x14ac:dyDescent="0.2">
      <c r="A5770">
        <f>YEAR(D5770)</f>
        <v>2020</v>
      </c>
      <c r="B5770" t="s">
        <v>26</v>
      </c>
      <c r="C5770" s="2" t="s">
        <v>50</v>
      </c>
      <c r="D5770" s="1">
        <v>44046</v>
      </c>
      <c r="E5770">
        <f>MONTH(D5770)</f>
        <v>8</v>
      </c>
      <c r="F5770" s="2" t="s">
        <v>19</v>
      </c>
      <c r="G5770" t="s">
        <v>352</v>
      </c>
      <c r="H5770" t="s">
        <v>623</v>
      </c>
      <c r="I5770" t="s">
        <v>36</v>
      </c>
      <c r="J5770" s="2" t="s">
        <v>42</v>
      </c>
      <c r="K5770" s="2" t="s">
        <v>3019</v>
      </c>
      <c r="L5770" t="s">
        <v>25</v>
      </c>
      <c r="M5770" s="8">
        <v>1.1339999999999999</v>
      </c>
      <c r="N5770" t="s">
        <v>26</v>
      </c>
      <c r="O5770" s="8">
        <v>1.1339999999999999</v>
      </c>
      <c r="P5770" s="8">
        <f>EXP(-1.363+3.366*LOG(O5770,10))</f>
        <v>0.30753312979708036</v>
      </c>
      <c r="Q5770" s="8">
        <f>(4488342*100)/4914798</f>
        <v>91.323020803703429</v>
      </c>
    </row>
    <row r="5771" spans="1:17" x14ac:dyDescent="0.2">
      <c r="A5771">
        <f>YEAR(D5771)</f>
        <v>2020</v>
      </c>
      <c r="B5771" t="s">
        <v>26</v>
      </c>
      <c r="C5771" s="2" t="s">
        <v>50</v>
      </c>
      <c r="D5771" s="1">
        <v>44046</v>
      </c>
      <c r="E5771">
        <f>MONTH(D5771)</f>
        <v>8</v>
      </c>
      <c r="F5771" s="2" t="s">
        <v>19</v>
      </c>
      <c r="G5771" t="s">
        <v>362</v>
      </c>
      <c r="H5771" t="s">
        <v>447</v>
      </c>
      <c r="I5771" t="s">
        <v>36</v>
      </c>
      <c r="J5771" s="2" t="s">
        <v>42</v>
      </c>
      <c r="K5771" s="2" t="s">
        <v>3019</v>
      </c>
      <c r="L5771" t="s">
        <v>25</v>
      </c>
      <c r="M5771" s="8">
        <v>1.0956666669999999</v>
      </c>
      <c r="N5771" t="s">
        <v>26</v>
      </c>
      <c r="O5771" s="8">
        <v>1.0956666669999999</v>
      </c>
      <c r="P5771" s="8">
        <f>EXP(-1.363+3.366*LOG(O5771,10))</f>
        <v>0.29245562330904107</v>
      </c>
      <c r="Q5771" s="8">
        <f>(4488342*100)/4914798</f>
        <v>91.323020803703429</v>
      </c>
    </row>
    <row r="5772" spans="1:17" x14ac:dyDescent="0.2">
      <c r="A5772">
        <f>YEAR(D5772)</f>
        <v>2020</v>
      </c>
      <c r="B5772" t="s">
        <v>26</v>
      </c>
      <c r="C5772" s="2" t="s">
        <v>50</v>
      </c>
      <c r="D5772" s="1">
        <v>44046</v>
      </c>
      <c r="E5772">
        <f>MONTH(D5772)</f>
        <v>8</v>
      </c>
      <c r="F5772" s="2" t="s">
        <v>19</v>
      </c>
      <c r="G5772" t="s">
        <v>352</v>
      </c>
      <c r="H5772" t="s">
        <v>975</v>
      </c>
      <c r="I5772" t="s">
        <v>36</v>
      </c>
      <c r="J5772" s="2" t="s">
        <v>42</v>
      </c>
      <c r="K5772" s="2" t="s">
        <v>3019</v>
      </c>
      <c r="L5772" t="s">
        <v>25</v>
      </c>
      <c r="M5772" s="8">
        <v>0.95199999999999996</v>
      </c>
      <c r="N5772" t="s">
        <v>26</v>
      </c>
      <c r="O5772" s="8">
        <v>0.95199999999999996</v>
      </c>
      <c r="P5772" s="8">
        <f>EXP(-1.363+3.366*LOG(O5772,10))</f>
        <v>0.23813726407794436</v>
      </c>
      <c r="Q5772" s="8">
        <f>(4488342*100)/4914798</f>
        <v>91.323020803703429</v>
      </c>
    </row>
    <row r="5773" spans="1:17" x14ac:dyDescent="0.2">
      <c r="A5773">
        <f>YEAR(D5773)</f>
        <v>2020</v>
      </c>
      <c r="B5773" t="s">
        <v>26</v>
      </c>
      <c r="C5773" s="2" t="s">
        <v>50</v>
      </c>
      <c r="D5773" s="1">
        <v>44046</v>
      </c>
      <c r="E5773">
        <f>MONTH(D5773)</f>
        <v>8</v>
      </c>
      <c r="F5773" s="2" t="s">
        <v>19</v>
      </c>
      <c r="G5773" s="2" t="s">
        <v>332</v>
      </c>
      <c r="H5773" t="s">
        <v>3058</v>
      </c>
      <c r="I5773" t="s">
        <v>22</v>
      </c>
      <c r="J5773" s="2" t="s">
        <v>42</v>
      </c>
      <c r="K5773" s="2" t="s">
        <v>3019</v>
      </c>
      <c r="L5773" t="s">
        <v>25</v>
      </c>
      <c r="M5773" s="8">
        <v>1.3280000000000001</v>
      </c>
      <c r="N5773" t="s">
        <v>26</v>
      </c>
      <c r="O5773" s="8">
        <v>1.3280000000000001</v>
      </c>
      <c r="P5773" s="8">
        <f>EXP(-1.363+3.366*LOG(O5773,10))</f>
        <v>0.38739312315587321</v>
      </c>
      <c r="Q5773" s="8">
        <f>(4488342*100)/4914798</f>
        <v>91.323020803703429</v>
      </c>
    </row>
    <row r="5774" spans="1:17" x14ac:dyDescent="0.2">
      <c r="A5774">
        <f>YEAR(D5774)</f>
        <v>2020</v>
      </c>
      <c r="B5774" t="s">
        <v>26</v>
      </c>
      <c r="C5774" s="2" t="s">
        <v>3022</v>
      </c>
      <c r="D5774" s="1">
        <v>44049</v>
      </c>
      <c r="E5774">
        <f>MONTH(D5774)</f>
        <v>8</v>
      </c>
      <c r="F5774" s="2" t="s">
        <v>2098</v>
      </c>
      <c r="G5774" t="s">
        <v>219</v>
      </c>
      <c r="H5774" t="s">
        <v>220</v>
      </c>
      <c r="I5774" t="s">
        <v>22</v>
      </c>
      <c r="J5774" s="2" t="s">
        <v>42</v>
      </c>
      <c r="K5774" s="2" t="s">
        <v>3019</v>
      </c>
      <c r="L5774" t="s">
        <v>25</v>
      </c>
      <c r="M5774" s="10" t="s">
        <v>26</v>
      </c>
      <c r="N5774" t="s">
        <v>26</v>
      </c>
      <c r="O5774" s="10" t="s">
        <v>26</v>
      </c>
      <c r="P5774" s="8" t="s">
        <v>26</v>
      </c>
      <c r="Q5774" s="8">
        <f>(4437920*100)/4638971</f>
        <v>95.666043180696747</v>
      </c>
    </row>
    <row r="5775" spans="1:17" x14ac:dyDescent="0.2">
      <c r="A5775">
        <f>YEAR(D5775)</f>
        <v>2020</v>
      </c>
      <c r="B5775" t="s">
        <v>26</v>
      </c>
      <c r="C5775" s="2" t="s">
        <v>3022</v>
      </c>
      <c r="D5775" s="1">
        <v>44049</v>
      </c>
      <c r="E5775">
        <f>MONTH(D5775)</f>
        <v>8</v>
      </c>
      <c r="F5775" s="2" t="s">
        <v>2098</v>
      </c>
      <c r="G5775" t="s">
        <v>219</v>
      </c>
      <c r="H5775" t="s">
        <v>220</v>
      </c>
      <c r="I5775" t="s">
        <v>22</v>
      </c>
      <c r="J5775" s="2" t="s">
        <v>42</v>
      </c>
      <c r="K5775" s="2" t="s">
        <v>3019</v>
      </c>
      <c r="L5775" t="s">
        <v>25</v>
      </c>
      <c r="M5775" s="10" t="s">
        <v>26</v>
      </c>
      <c r="N5775" t="s">
        <v>26</v>
      </c>
      <c r="O5775" s="10" t="s">
        <v>26</v>
      </c>
      <c r="P5775" s="8" t="s">
        <v>26</v>
      </c>
      <c r="Q5775" s="8">
        <f>(4437920*100)/4638971</f>
        <v>95.666043180696747</v>
      </c>
    </row>
    <row r="5776" spans="1:17" x14ac:dyDescent="0.2">
      <c r="A5776">
        <f>YEAR(D5776)</f>
        <v>2020</v>
      </c>
      <c r="B5776" t="s">
        <v>26</v>
      </c>
      <c r="C5776" s="2" t="s">
        <v>3022</v>
      </c>
      <c r="D5776" s="1">
        <v>44049</v>
      </c>
      <c r="E5776">
        <f>MONTH(D5776)</f>
        <v>8</v>
      </c>
      <c r="F5776" s="2" t="s">
        <v>2098</v>
      </c>
      <c r="G5776" t="s">
        <v>219</v>
      </c>
      <c r="H5776" t="s">
        <v>220</v>
      </c>
      <c r="I5776" t="s">
        <v>22</v>
      </c>
      <c r="J5776" s="2" t="s">
        <v>42</v>
      </c>
      <c r="K5776" s="2" t="s">
        <v>3019</v>
      </c>
      <c r="L5776" t="s">
        <v>25</v>
      </c>
      <c r="M5776" s="10" t="s">
        <v>26</v>
      </c>
      <c r="N5776" t="s">
        <v>26</v>
      </c>
      <c r="O5776" s="10" t="s">
        <v>26</v>
      </c>
      <c r="P5776" s="8" t="s">
        <v>26</v>
      </c>
      <c r="Q5776" s="8">
        <f>(4437920*100)/4638971</f>
        <v>95.666043180696747</v>
      </c>
    </row>
    <row r="5777" spans="1:17" x14ac:dyDescent="0.2">
      <c r="A5777">
        <f>YEAR(D5777)</f>
        <v>2020</v>
      </c>
      <c r="B5777" t="s">
        <v>26</v>
      </c>
      <c r="C5777" s="2" t="s">
        <v>3022</v>
      </c>
      <c r="D5777" s="1">
        <v>44049</v>
      </c>
      <c r="E5777">
        <f>MONTH(D5777)</f>
        <v>8</v>
      </c>
      <c r="F5777" s="2" t="s">
        <v>2098</v>
      </c>
      <c r="G5777" t="s">
        <v>230</v>
      </c>
      <c r="H5777" t="s">
        <v>268</v>
      </c>
      <c r="I5777" t="s">
        <v>22</v>
      </c>
      <c r="J5777" s="2" t="s">
        <v>42</v>
      </c>
      <c r="K5777" s="2" t="s">
        <v>3019</v>
      </c>
      <c r="L5777" t="s">
        <v>25</v>
      </c>
      <c r="M5777" s="8">
        <v>3.5356666670000001</v>
      </c>
      <c r="N5777" t="s">
        <v>26</v>
      </c>
      <c r="O5777" s="8">
        <v>3.5356666670000001</v>
      </c>
      <c r="P5777" s="8">
        <f>EXP(-1.363+3.366*LOG(O5777,10))</f>
        <v>1.6211802664427075</v>
      </c>
      <c r="Q5777" s="8">
        <f>(4437920*100)/4638971</f>
        <v>95.666043180696747</v>
      </c>
    </row>
    <row r="5778" spans="1:17" x14ac:dyDescent="0.2">
      <c r="A5778">
        <f>YEAR(D5778)</f>
        <v>2020</v>
      </c>
      <c r="B5778" t="s">
        <v>26</v>
      </c>
      <c r="C5778" s="2" t="s">
        <v>3022</v>
      </c>
      <c r="D5778" s="1">
        <v>44049</v>
      </c>
      <c r="E5778">
        <f>MONTH(D5778)</f>
        <v>8</v>
      </c>
      <c r="F5778" s="2" t="s">
        <v>2098</v>
      </c>
      <c r="G5778" t="s">
        <v>219</v>
      </c>
      <c r="H5778" t="s">
        <v>220</v>
      </c>
      <c r="I5778" t="s">
        <v>22</v>
      </c>
      <c r="J5778" s="2" t="s">
        <v>42</v>
      </c>
      <c r="K5778" s="2" t="s">
        <v>3019</v>
      </c>
      <c r="L5778" t="s">
        <v>25</v>
      </c>
      <c r="M5778" s="10" t="s">
        <v>26</v>
      </c>
      <c r="N5778" t="s">
        <v>26</v>
      </c>
      <c r="O5778" s="10" t="s">
        <v>26</v>
      </c>
      <c r="P5778" s="8" t="s">
        <v>26</v>
      </c>
      <c r="Q5778" s="8">
        <f>(4437920*100)/4638971</f>
        <v>95.666043180696747</v>
      </c>
    </row>
    <row r="5779" spans="1:17" x14ac:dyDescent="0.2">
      <c r="A5779">
        <f>YEAR(D5779)</f>
        <v>2020</v>
      </c>
      <c r="B5779" t="s">
        <v>26</v>
      </c>
      <c r="C5779" s="2" t="s">
        <v>3022</v>
      </c>
      <c r="D5779" s="1">
        <v>44049</v>
      </c>
      <c r="E5779">
        <f>MONTH(D5779)</f>
        <v>8</v>
      </c>
      <c r="F5779" s="2" t="s">
        <v>2098</v>
      </c>
      <c r="G5779" t="s">
        <v>219</v>
      </c>
      <c r="H5779" t="s">
        <v>220</v>
      </c>
      <c r="I5779" t="s">
        <v>22</v>
      </c>
      <c r="J5779" s="2" t="s">
        <v>42</v>
      </c>
      <c r="K5779" s="2" t="s">
        <v>3019</v>
      </c>
      <c r="L5779" t="s">
        <v>25</v>
      </c>
      <c r="M5779" s="10" t="s">
        <v>26</v>
      </c>
      <c r="N5779" t="s">
        <v>26</v>
      </c>
      <c r="O5779" s="10" t="s">
        <v>26</v>
      </c>
      <c r="P5779" s="8" t="s">
        <v>26</v>
      </c>
      <c r="Q5779" s="8">
        <f>(4437920*100)/4638971</f>
        <v>95.666043180696747</v>
      </c>
    </row>
    <row r="5780" spans="1:17" x14ac:dyDescent="0.2">
      <c r="A5780">
        <f>YEAR(D5780)</f>
        <v>2020</v>
      </c>
      <c r="B5780" t="s">
        <v>26</v>
      </c>
      <c r="C5780" s="2" t="s">
        <v>3022</v>
      </c>
      <c r="D5780" s="1">
        <v>44049</v>
      </c>
      <c r="E5780">
        <f>MONTH(D5780)</f>
        <v>8</v>
      </c>
      <c r="F5780" s="2" t="s">
        <v>2098</v>
      </c>
      <c r="G5780" t="s">
        <v>219</v>
      </c>
      <c r="H5780" t="s">
        <v>220</v>
      </c>
      <c r="I5780" t="s">
        <v>22</v>
      </c>
      <c r="J5780" s="2" t="s">
        <v>42</v>
      </c>
      <c r="K5780" s="2" t="s">
        <v>3019</v>
      </c>
      <c r="L5780" t="s">
        <v>25</v>
      </c>
      <c r="M5780" s="10" t="s">
        <v>26</v>
      </c>
      <c r="N5780" t="s">
        <v>26</v>
      </c>
      <c r="O5780" s="10" t="s">
        <v>26</v>
      </c>
      <c r="P5780" s="8" t="s">
        <v>26</v>
      </c>
      <c r="Q5780" s="8">
        <f>(4437920*100)/4638971</f>
        <v>95.666043180696747</v>
      </c>
    </row>
    <row r="5781" spans="1:17" x14ac:dyDescent="0.2">
      <c r="A5781">
        <f>YEAR(D5781)</f>
        <v>2020</v>
      </c>
      <c r="B5781" t="s">
        <v>26</v>
      </c>
      <c r="C5781" s="2" t="s">
        <v>3022</v>
      </c>
      <c r="D5781" s="1">
        <v>44049</v>
      </c>
      <c r="E5781">
        <f>MONTH(D5781)</f>
        <v>8</v>
      </c>
      <c r="F5781" s="2" t="s">
        <v>2098</v>
      </c>
      <c r="G5781" t="s">
        <v>219</v>
      </c>
      <c r="H5781" t="s">
        <v>220</v>
      </c>
      <c r="I5781" t="s">
        <v>22</v>
      </c>
      <c r="J5781" s="2" t="s">
        <v>42</v>
      </c>
      <c r="K5781" s="2" t="s">
        <v>3019</v>
      </c>
      <c r="L5781" t="s">
        <v>25</v>
      </c>
      <c r="M5781" s="10" t="s">
        <v>26</v>
      </c>
      <c r="N5781" t="s">
        <v>26</v>
      </c>
      <c r="O5781" s="10" t="s">
        <v>26</v>
      </c>
      <c r="P5781" s="8" t="s">
        <v>26</v>
      </c>
      <c r="Q5781" s="8">
        <f>(4437920*100)/4638971</f>
        <v>95.666043180696747</v>
      </c>
    </row>
    <row r="5782" spans="1:17" x14ac:dyDescent="0.2">
      <c r="A5782">
        <f>YEAR(D5782)</f>
        <v>2020</v>
      </c>
      <c r="B5782" t="s">
        <v>26</v>
      </c>
      <c r="C5782" s="2" t="s">
        <v>3022</v>
      </c>
      <c r="D5782" s="1">
        <v>44049</v>
      </c>
      <c r="E5782">
        <f>MONTH(D5782)</f>
        <v>8</v>
      </c>
      <c r="F5782" s="2" t="s">
        <v>2098</v>
      </c>
      <c r="G5782" t="s">
        <v>230</v>
      </c>
      <c r="H5782" t="s">
        <v>268</v>
      </c>
      <c r="I5782" t="s">
        <v>36</v>
      </c>
      <c r="J5782" s="2" t="s">
        <v>42</v>
      </c>
      <c r="K5782" s="2" t="s">
        <v>3019</v>
      </c>
      <c r="L5782" t="s">
        <v>25</v>
      </c>
      <c r="M5782" s="8">
        <v>3.3683333329999998</v>
      </c>
      <c r="N5782" t="s">
        <v>26</v>
      </c>
      <c r="O5782" s="8">
        <v>3.3683333329999998</v>
      </c>
      <c r="P5782" s="8">
        <f>EXP(-1.363+3.366*LOG(O5782,10))</f>
        <v>1.510255893489963</v>
      </c>
      <c r="Q5782" s="8">
        <f>(4437920*100)/4638971</f>
        <v>95.666043180696747</v>
      </c>
    </row>
    <row r="5783" spans="1:17" x14ac:dyDescent="0.2">
      <c r="A5783">
        <f>YEAR(D5783)</f>
        <v>2020</v>
      </c>
      <c r="B5783" t="s">
        <v>26</v>
      </c>
      <c r="C5783" s="2" t="s">
        <v>3022</v>
      </c>
      <c r="D5783" s="1">
        <v>44049</v>
      </c>
      <c r="E5783">
        <f>MONTH(D5783)</f>
        <v>8</v>
      </c>
      <c r="F5783" s="2" t="s">
        <v>2098</v>
      </c>
      <c r="G5783" t="s">
        <v>230</v>
      </c>
      <c r="H5783" t="s">
        <v>255</v>
      </c>
      <c r="I5783" t="s">
        <v>36</v>
      </c>
      <c r="J5783" s="2" t="s">
        <v>42</v>
      </c>
      <c r="K5783" s="2" t="s">
        <v>3019</v>
      </c>
      <c r="L5783" t="s">
        <v>25</v>
      </c>
      <c r="M5783" s="8">
        <v>4.1180000000000003</v>
      </c>
      <c r="N5783" t="s">
        <v>26</v>
      </c>
      <c r="O5783" s="8">
        <v>4.1180000000000003</v>
      </c>
      <c r="P5783" s="8">
        <f>EXP(-1.363+3.366*LOG(O5783,10))</f>
        <v>2.0259408868315871</v>
      </c>
      <c r="Q5783" s="8">
        <f>(4437920*100)/4638971</f>
        <v>95.666043180696747</v>
      </c>
    </row>
    <row r="5784" spans="1:17" x14ac:dyDescent="0.2">
      <c r="A5784">
        <f>YEAR(D5784)</f>
        <v>2020</v>
      </c>
      <c r="B5784" t="s">
        <v>26</v>
      </c>
      <c r="C5784" s="2" t="s">
        <v>3022</v>
      </c>
      <c r="D5784" s="1">
        <v>44049</v>
      </c>
      <c r="E5784">
        <f>MONTH(D5784)</f>
        <v>8</v>
      </c>
      <c r="F5784" s="2" t="s">
        <v>2098</v>
      </c>
      <c r="G5784" t="s">
        <v>230</v>
      </c>
      <c r="H5784" t="s">
        <v>255</v>
      </c>
      <c r="I5784" t="s">
        <v>36</v>
      </c>
      <c r="J5784" s="2" t="s">
        <v>42</v>
      </c>
      <c r="K5784" s="2" t="s">
        <v>3019</v>
      </c>
      <c r="L5784" t="s">
        <v>25</v>
      </c>
      <c r="M5784" s="8">
        <v>4.1180000000000003</v>
      </c>
      <c r="N5784" t="s">
        <v>26</v>
      </c>
      <c r="O5784" s="8">
        <v>4.1180000000000003</v>
      </c>
      <c r="P5784" s="8">
        <f>EXP(-1.363+3.366*LOG(O5784,10))</f>
        <v>2.0259408868315871</v>
      </c>
      <c r="Q5784" s="8">
        <f>(4437920*100)/4638971</f>
        <v>95.666043180696747</v>
      </c>
    </row>
    <row r="5785" spans="1:17" x14ac:dyDescent="0.2">
      <c r="A5785">
        <f>YEAR(D5785)</f>
        <v>2020</v>
      </c>
      <c r="B5785" t="s">
        <v>26</v>
      </c>
      <c r="C5785" s="2" t="s">
        <v>3022</v>
      </c>
      <c r="D5785" s="1">
        <v>44049</v>
      </c>
      <c r="E5785">
        <f>MONTH(D5785)</f>
        <v>8</v>
      </c>
      <c r="F5785" s="2" t="s">
        <v>2098</v>
      </c>
      <c r="G5785" t="s">
        <v>219</v>
      </c>
      <c r="H5785" t="s">
        <v>220</v>
      </c>
      <c r="I5785" t="s">
        <v>22</v>
      </c>
      <c r="J5785" s="2" t="s">
        <v>42</v>
      </c>
      <c r="K5785" s="2" t="s">
        <v>3019</v>
      </c>
      <c r="L5785" t="s">
        <v>25</v>
      </c>
      <c r="M5785" s="10" t="s">
        <v>26</v>
      </c>
      <c r="N5785" t="s">
        <v>26</v>
      </c>
      <c r="O5785" s="10" t="s">
        <v>26</v>
      </c>
      <c r="P5785" s="8" t="s">
        <v>26</v>
      </c>
      <c r="Q5785" s="8">
        <f>(4437920*100)/4638971</f>
        <v>95.666043180696747</v>
      </c>
    </row>
    <row r="5786" spans="1:17" x14ac:dyDescent="0.2">
      <c r="A5786">
        <f>YEAR(D5786)</f>
        <v>2020</v>
      </c>
      <c r="B5786" t="s">
        <v>26</v>
      </c>
      <c r="C5786" s="2" t="s">
        <v>3022</v>
      </c>
      <c r="D5786" s="1">
        <v>44049</v>
      </c>
      <c r="E5786">
        <f>MONTH(D5786)</f>
        <v>8</v>
      </c>
      <c r="F5786" s="2" t="s">
        <v>2098</v>
      </c>
      <c r="G5786" t="s">
        <v>219</v>
      </c>
      <c r="H5786" t="s">
        <v>220</v>
      </c>
      <c r="I5786" t="s">
        <v>22</v>
      </c>
      <c r="J5786" s="2" t="s">
        <v>42</v>
      </c>
      <c r="K5786" s="2" t="s">
        <v>3019</v>
      </c>
      <c r="L5786" t="s">
        <v>25</v>
      </c>
      <c r="M5786" s="10" t="s">
        <v>26</v>
      </c>
      <c r="N5786" t="s">
        <v>26</v>
      </c>
      <c r="O5786" s="10" t="s">
        <v>26</v>
      </c>
      <c r="P5786" s="8" t="s">
        <v>26</v>
      </c>
      <c r="Q5786" s="8">
        <f>(4437920*100)/4638971</f>
        <v>95.666043180696747</v>
      </c>
    </row>
    <row r="5787" spans="1:17" x14ac:dyDescent="0.2">
      <c r="A5787">
        <f>YEAR(D5787)</f>
        <v>2020</v>
      </c>
      <c r="B5787" t="s">
        <v>26</v>
      </c>
      <c r="C5787" s="2" t="s">
        <v>3022</v>
      </c>
      <c r="D5787" s="1">
        <v>44049</v>
      </c>
      <c r="E5787">
        <f>MONTH(D5787)</f>
        <v>8</v>
      </c>
      <c r="F5787" s="2" t="s">
        <v>2098</v>
      </c>
      <c r="G5787" t="s">
        <v>219</v>
      </c>
      <c r="H5787" t="s">
        <v>220</v>
      </c>
      <c r="I5787" t="s">
        <v>22</v>
      </c>
      <c r="J5787" s="2" t="s">
        <v>42</v>
      </c>
      <c r="K5787" s="2" t="s">
        <v>3019</v>
      </c>
      <c r="L5787" t="s">
        <v>25</v>
      </c>
      <c r="M5787" s="10" t="s">
        <v>26</v>
      </c>
      <c r="N5787" t="s">
        <v>26</v>
      </c>
      <c r="O5787" s="10" t="s">
        <v>26</v>
      </c>
      <c r="P5787" s="8" t="s">
        <v>26</v>
      </c>
      <c r="Q5787" s="8">
        <f>(4437920*100)/4638971</f>
        <v>95.666043180696747</v>
      </c>
    </row>
    <row r="5788" spans="1:17" x14ac:dyDescent="0.2">
      <c r="A5788">
        <f>YEAR(D5788)</f>
        <v>2020</v>
      </c>
      <c r="B5788" t="s">
        <v>26</v>
      </c>
      <c r="C5788" s="2" t="s">
        <v>3022</v>
      </c>
      <c r="D5788" s="1">
        <v>44049</v>
      </c>
      <c r="E5788">
        <f>MONTH(D5788)</f>
        <v>8</v>
      </c>
      <c r="F5788" s="2" t="s">
        <v>2098</v>
      </c>
      <c r="G5788" t="s">
        <v>230</v>
      </c>
      <c r="H5788" t="s">
        <v>268</v>
      </c>
      <c r="I5788" t="s">
        <v>22</v>
      </c>
      <c r="J5788" s="2" t="s">
        <v>42</v>
      </c>
      <c r="K5788" s="2" t="s">
        <v>3019</v>
      </c>
      <c r="L5788" t="s">
        <v>25</v>
      </c>
      <c r="M5788" s="8">
        <v>3.5356666670000001</v>
      </c>
      <c r="N5788" t="s">
        <v>26</v>
      </c>
      <c r="O5788" s="8">
        <v>3.5356666670000001</v>
      </c>
      <c r="P5788" s="8">
        <f>EXP(-1.363+3.366*LOG(O5788,10))</f>
        <v>1.6211802664427075</v>
      </c>
      <c r="Q5788" s="8">
        <f>(4437920*100)/4638971</f>
        <v>95.666043180696747</v>
      </c>
    </row>
    <row r="5789" spans="1:17" x14ac:dyDescent="0.2">
      <c r="A5789">
        <f>YEAR(D5789)</f>
        <v>2020</v>
      </c>
      <c r="B5789" t="s">
        <v>26</v>
      </c>
      <c r="C5789" s="2" t="s">
        <v>3022</v>
      </c>
      <c r="D5789" s="1">
        <v>44049</v>
      </c>
      <c r="E5789">
        <f>MONTH(D5789)</f>
        <v>8</v>
      </c>
      <c r="F5789" s="2" t="s">
        <v>2098</v>
      </c>
      <c r="G5789" t="s">
        <v>219</v>
      </c>
      <c r="H5789" t="s">
        <v>220</v>
      </c>
      <c r="I5789" t="s">
        <v>22</v>
      </c>
      <c r="J5789" s="2" t="s">
        <v>42</v>
      </c>
      <c r="K5789" s="2" t="s">
        <v>3019</v>
      </c>
      <c r="L5789" t="s">
        <v>25</v>
      </c>
      <c r="M5789" s="10" t="s">
        <v>26</v>
      </c>
      <c r="N5789" t="s">
        <v>26</v>
      </c>
      <c r="O5789" s="10" t="s">
        <v>26</v>
      </c>
      <c r="P5789" s="8" t="s">
        <v>26</v>
      </c>
      <c r="Q5789" s="8">
        <f>(4437920*100)/4638971</f>
        <v>95.666043180696747</v>
      </c>
    </row>
    <row r="5790" spans="1:17" x14ac:dyDescent="0.2">
      <c r="A5790">
        <f>YEAR(D5790)</f>
        <v>2020</v>
      </c>
      <c r="B5790" t="s">
        <v>26</v>
      </c>
      <c r="C5790" s="2" t="s">
        <v>3022</v>
      </c>
      <c r="D5790" s="1">
        <v>44049</v>
      </c>
      <c r="E5790">
        <f>MONTH(D5790)</f>
        <v>8</v>
      </c>
      <c r="F5790" s="2" t="s">
        <v>2098</v>
      </c>
      <c r="G5790" t="s">
        <v>219</v>
      </c>
      <c r="H5790" t="s">
        <v>220</v>
      </c>
      <c r="I5790" t="s">
        <v>22</v>
      </c>
      <c r="J5790" s="2" t="s">
        <v>42</v>
      </c>
      <c r="K5790" s="2" t="s">
        <v>3019</v>
      </c>
      <c r="L5790" t="s">
        <v>25</v>
      </c>
      <c r="M5790" s="10" t="s">
        <v>26</v>
      </c>
      <c r="N5790" t="s">
        <v>26</v>
      </c>
      <c r="O5790" s="10" t="s">
        <v>26</v>
      </c>
      <c r="P5790" s="8" t="s">
        <v>26</v>
      </c>
      <c r="Q5790" s="8">
        <f>(4437920*100)/4638971</f>
        <v>95.666043180696747</v>
      </c>
    </row>
    <row r="5791" spans="1:17" x14ac:dyDescent="0.2">
      <c r="A5791">
        <f>YEAR(D5791)</f>
        <v>2020</v>
      </c>
      <c r="B5791" t="s">
        <v>26</v>
      </c>
      <c r="C5791" s="2" t="s">
        <v>3022</v>
      </c>
      <c r="D5791" s="1">
        <v>44049</v>
      </c>
      <c r="E5791">
        <f>MONTH(D5791)</f>
        <v>8</v>
      </c>
      <c r="F5791" s="2" t="s">
        <v>2098</v>
      </c>
      <c r="G5791" t="s">
        <v>230</v>
      </c>
      <c r="H5791" t="s">
        <v>259</v>
      </c>
      <c r="I5791" t="s">
        <v>22</v>
      </c>
      <c r="J5791" s="2" t="s">
        <v>42</v>
      </c>
      <c r="K5791" s="2" t="s">
        <v>3019</v>
      </c>
      <c r="L5791" t="s">
        <v>25</v>
      </c>
      <c r="M5791" s="8">
        <v>4.2283333330000001</v>
      </c>
      <c r="N5791" t="s">
        <v>26</v>
      </c>
      <c r="O5791" s="8">
        <v>4.2283333330000001</v>
      </c>
      <c r="P5791" s="8">
        <f>EXP(-1.363+3.366*LOG(O5791,10))</f>
        <v>2.1057792396965977</v>
      </c>
      <c r="Q5791" s="8">
        <f>(4437920*100)/4638971</f>
        <v>95.666043180696747</v>
      </c>
    </row>
    <row r="5792" spans="1:17" x14ac:dyDescent="0.2">
      <c r="A5792">
        <f>YEAR(D5792)</f>
        <v>2020</v>
      </c>
      <c r="B5792" t="s">
        <v>26</v>
      </c>
      <c r="C5792" s="2" t="s">
        <v>3022</v>
      </c>
      <c r="D5792" s="1">
        <v>44049</v>
      </c>
      <c r="E5792">
        <f>MONTH(D5792)</f>
        <v>8</v>
      </c>
      <c r="F5792" s="2" t="s">
        <v>2098</v>
      </c>
      <c r="G5792" t="s">
        <v>230</v>
      </c>
      <c r="H5792" t="s">
        <v>259</v>
      </c>
      <c r="I5792" t="s">
        <v>36</v>
      </c>
      <c r="J5792" s="2" t="s">
        <v>42</v>
      </c>
      <c r="K5792" s="2" t="s">
        <v>3019</v>
      </c>
      <c r="L5792" t="s">
        <v>25</v>
      </c>
      <c r="M5792" s="8">
        <v>4.745333333333333</v>
      </c>
      <c r="N5792" t="s">
        <v>26</v>
      </c>
      <c r="O5792" s="8">
        <v>4.745333333333333</v>
      </c>
      <c r="P5792" s="8">
        <f>EXP(-1.363+3.366*LOG(O5792,10))</f>
        <v>2.4925687246325761</v>
      </c>
      <c r="Q5792" s="8">
        <f>(4437920*100)/4638971</f>
        <v>95.666043180696747</v>
      </c>
    </row>
    <row r="5793" spans="1:17" x14ac:dyDescent="0.2">
      <c r="A5793">
        <f>YEAR(D5793)</f>
        <v>2020</v>
      </c>
      <c r="B5793" t="s">
        <v>26</v>
      </c>
      <c r="C5793" s="2" t="s">
        <v>3022</v>
      </c>
      <c r="D5793" s="1">
        <v>44049</v>
      </c>
      <c r="E5793">
        <f>MONTH(D5793)</f>
        <v>8</v>
      </c>
      <c r="F5793" s="2" t="s">
        <v>2098</v>
      </c>
      <c r="G5793" t="s">
        <v>219</v>
      </c>
      <c r="H5793" t="s">
        <v>220</v>
      </c>
      <c r="I5793" t="s">
        <v>22</v>
      </c>
      <c r="J5793" s="2" t="s">
        <v>42</v>
      </c>
      <c r="K5793" s="2" t="s">
        <v>3019</v>
      </c>
      <c r="L5793" t="s">
        <v>25</v>
      </c>
      <c r="M5793" s="10" t="s">
        <v>26</v>
      </c>
      <c r="N5793" t="s">
        <v>26</v>
      </c>
      <c r="O5793" s="10" t="s">
        <v>26</v>
      </c>
      <c r="P5793" s="8" t="s">
        <v>26</v>
      </c>
      <c r="Q5793" s="8">
        <f>(4437920*100)/4638971</f>
        <v>95.666043180696747</v>
      </c>
    </row>
    <row r="5794" spans="1:17" x14ac:dyDescent="0.2">
      <c r="A5794">
        <f>YEAR(D5794)</f>
        <v>2020</v>
      </c>
      <c r="B5794" t="s">
        <v>26</v>
      </c>
      <c r="C5794" s="2" t="s">
        <v>3022</v>
      </c>
      <c r="D5794" s="1">
        <v>44049</v>
      </c>
      <c r="E5794">
        <f>MONTH(D5794)</f>
        <v>8</v>
      </c>
      <c r="F5794" s="2" t="s">
        <v>2098</v>
      </c>
      <c r="G5794" t="s">
        <v>219</v>
      </c>
      <c r="H5794" t="s">
        <v>220</v>
      </c>
      <c r="I5794" t="s">
        <v>22</v>
      </c>
      <c r="J5794" s="2" t="s">
        <v>42</v>
      </c>
      <c r="K5794" s="2" t="s">
        <v>3019</v>
      </c>
      <c r="L5794" t="s">
        <v>25</v>
      </c>
      <c r="M5794" s="10" t="s">
        <v>26</v>
      </c>
      <c r="N5794" t="s">
        <v>26</v>
      </c>
      <c r="O5794" s="10" t="s">
        <v>26</v>
      </c>
      <c r="P5794" s="8" t="s">
        <v>26</v>
      </c>
      <c r="Q5794" s="8">
        <f>(4437920*100)/4638971</f>
        <v>95.666043180696747</v>
      </c>
    </row>
    <row r="5795" spans="1:17" x14ac:dyDescent="0.2">
      <c r="A5795">
        <f>YEAR(D5795)</f>
        <v>2020</v>
      </c>
      <c r="B5795" t="s">
        <v>26</v>
      </c>
      <c r="C5795" s="2" t="s">
        <v>3022</v>
      </c>
      <c r="D5795" s="1">
        <v>44049</v>
      </c>
      <c r="E5795">
        <f>MONTH(D5795)</f>
        <v>8</v>
      </c>
      <c r="F5795" s="2" t="s">
        <v>2098</v>
      </c>
      <c r="G5795" t="s">
        <v>230</v>
      </c>
      <c r="H5795" t="s">
        <v>268</v>
      </c>
      <c r="I5795" t="s">
        <v>22</v>
      </c>
      <c r="J5795" s="2" t="s">
        <v>42</v>
      </c>
      <c r="K5795" s="2" t="s">
        <v>3019</v>
      </c>
      <c r="L5795" t="s">
        <v>25</v>
      </c>
      <c r="M5795" s="8">
        <v>3.5356666670000001</v>
      </c>
      <c r="N5795" t="s">
        <v>26</v>
      </c>
      <c r="O5795" s="8">
        <v>3.5356666670000001</v>
      </c>
      <c r="P5795" s="8">
        <f>EXP(-1.363+3.366*LOG(O5795,10))</f>
        <v>1.6211802664427075</v>
      </c>
      <c r="Q5795" s="8">
        <f>(4437920*100)/4638971</f>
        <v>95.666043180696747</v>
      </c>
    </row>
    <row r="5796" spans="1:17" x14ac:dyDescent="0.2">
      <c r="A5796">
        <f>YEAR(D5796)</f>
        <v>2020</v>
      </c>
      <c r="B5796" t="s">
        <v>26</v>
      </c>
      <c r="C5796" s="2" t="s">
        <v>3022</v>
      </c>
      <c r="D5796" s="1">
        <v>44049</v>
      </c>
      <c r="E5796">
        <f>MONTH(D5796)</f>
        <v>8</v>
      </c>
      <c r="F5796" s="2" t="s">
        <v>2098</v>
      </c>
      <c r="G5796" t="s">
        <v>219</v>
      </c>
      <c r="H5796" t="s">
        <v>220</v>
      </c>
      <c r="I5796" t="s">
        <v>22</v>
      </c>
      <c r="J5796" s="2" t="s">
        <v>42</v>
      </c>
      <c r="K5796" s="2" t="s">
        <v>3019</v>
      </c>
      <c r="L5796" t="s">
        <v>25</v>
      </c>
      <c r="M5796" s="10" t="s">
        <v>26</v>
      </c>
      <c r="N5796" t="s">
        <v>26</v>
      </c>
      <c r="O5796" s="10" t="s">
        <v>26</v>
      </c>
      <c r="P5796" s="8" t="s">
        <v>26</v>
      </c>
      <c r="Q5796" s="8">
        <f>(4437920*100)/4638971</f>
        <v>95.666043180696747</v>
      </c>
    </row>
    <row r="5797" spans="1:17" x14ac:dyDescent="0.2">
      <c r="A5797">
        <f>YEAR(D5797)</f>
        <v>2020</v>
      </c>
      <c r="B5797" t="s">
        <v>26</v>
      </c>
      <c r="C5797" s="2" t="s">
        <v>3022</v>
      </c>
      <c r="D5797" s="1">
        <v>44049</v>
      </c>
      <c r="E5797">
        <f>MONTH(D5797)</f>
        <v>8</v>
      </c>
      <c r="F5797" s="2" t="s">
        <v>2098</v>
      </c>
      <c r="G5797" t="s">
        <v>219</v>
      </c>
      <c r="H5797" t="s">
        <v>220</v>
      </c>
      <c r="I5797" t="s">
        <v>22</v>
      </c>
      <c r="J5797" s="2" t="s">
        <v>42</v>
      </c>
      <c r="K5797" s="2" t="s">
        <v>3019</v>
      </c>
      <c r="L5797" t="s">
        <v>25</v>
      </c>
      <c r="M5797" s="10" t="s">
        <v>26</v>
      </c>
      <c r="N5797" t="s">
        <v>26</v>
      </c>
      <c r="O5797" s="10" t="s">
        <v>26</v>
      </c>
      <c r="P5797" s="8" t="s">
        <v>26</v>
      </c>
      <c r="Q5797" s="8">
        <f>(4437920*100)/4638971</f>
        <v>95.666043180696747</v>
      </c>
    </row>
    <row r="5798" spans="1:17" x14ac:dyDescent="0.2">
      <c r="A5798">
        <f>YEAR(D5798)</f>
        <v>2020</v>
      </c>
      <c r="B5798" t="s">
        <v>26</v>
      </c>
      <c r="C5798" s="2" t="s">
        <v>3022</v>
      </c>
      <c r="D5798" s="1">
        <v>44049</v>
      </c>
      <c r="E5798">
        <f>MONTH(D5798)</f>
        <v>8</v>
      </c>
      <c r="F5798" s="2" t="s">
        <v>19</v>
      </c>
      <c r="G5798" t="s">
        <v>219</v>
      </c>
      <c r="H5798" t="s">
        <v>220</v>
      </c>
      <c r="I5798" t="s">
        <v>22</v>
      </c>
      <c r="J5798" s="2" t="s">
        <v>42</v>
      </c>
      <c r="K5798" s="2" t="s">
        <v>3019</v>
      </c>
      <c r="L5798" t="s">
        <v>25</v>
      </c>
      <c r="M5798" s="10" t="s">
        <v>26</v>
      </c>
      <c r="N5798" t="s">
        <v>26</v>
      </c>
      <c r="O5798" s="10" t="s">
        <v>26</v>
      </c>
      <c r="P5798" s="8" t="s">
        <v>26</v>
      </c>
      <c r="Q5798" s="8">
        <f>(4437920*100)/4638971</f>
        <v>95.666043180696747</v>
      </c>
    </row>
    <row r="5799" spans="1:17" x14ac:dyDescent="0.2">
      <c r="A5799">
        <f>YEAR(D5799)</f>
        <v>2020</v>
      </c>
      <c r="B5799" t="s">
        <v>26</v>
      </c>
      <c r="C5799" s="2" t="s">
        <v>3023</v>
      </c>
      <c r="D5799" s="1">
        <v>44049</v>
      </c>
      <c r="E5799">
        <f>MONTH(D5799)</f>
        <v>8</v>
      </c>
      <c r="F5799" s="2" t="s">
        <v>2098</v>
      </c>
      <c r="G5799" t="s">
        <v>2206</v>
      </c>
      <c r="H5799" t="s">
        <v>2207</v>
      </c>
      <c r="I5799" t="s">
        <v>22</v>
      </c>
      <c r="J5799" s="2" t="s">
        <v>42</v>
      </c>
      <c r="K5799" s="2" t="s">
        <v>3019</v>
      </c>
      <c r="L5799" t="s">
        <v>25</v>
      </c>
      <c r="M5799" s="8">
        <v>3.249333333</v>
      </c>
      <c r="N5799" t="s">
        <v>26</v>
      </c>
      <c r="O5799" s="8">
        <v>3.249333333</v>
      </c>
      <c r="P5799" s="8">
        <f>EXP(-1.363+3.366*LOG(O5799,10))</f>
        <v>1.4328987616438449</v>
      </c>
      <c r="Q5799" s="8">
        <f>(8197453*100)/8541008</f>
        <v>95.977582505484136</v>
      </c>
    </row>
    <row r="5800" spans="1:17" x14ac:dyDescent="0.2">
      <c r="A5800">
        <f>YEAR(D5800)</f>
        <v>2020</v>
      </c>
      <c r="B5800" t="s">
        <v>26</v>
      </c>
      <c r="C5800" s="2" t="s">
        <v>3023</v>
      </c>
      <c r="D5800" s="1">
        <v>44049</v>
      </c>
      <c r="E5800">
        <f>MONTH(D5800)</f>
        <v>8</v>
      </c>
      <c r="F5800" s="2" t="s">
        <v>2098</v>
      </c>
      <c r="G5800" t="s">
        <v>230</v>
      </c>
      <c r="H5800" t="s">
        <v>268</v>
      </c>
      <c r="I5800" t="s">
        <v>22</v>
      </c>
      <c r="J5800" s="2" t="s">
        <v>42</v>
      </c>
      <c r="K5800" s="2" t="s">
        <v>3019</v>
      </c>
      <c r="L5800" t="s">
        <v>25</v>
      </c>
      <c r="M5800" s="8">
        <v>3.5356666670000001</v>
      </c>
      <c r="N5800" t="s">
        <v>26</v>
      </c>
      <c r="O5800" s="8">
        <v>3.5356666670000001</v>
      </c>
      <c r="P5800" s="8">
        <f>EXP(-1.363+3.366*LOG(O5800,10))</f>
        <v>1.6211802664427075</v>
      </c>
      <c r="Q5800" s="8">
        <f>(8197453*100)/8541008</f>
        <v>95.977582505484136</v>
      </c>
    </row>
    <row r="5801" spans="1:17" x14ac:dyDescent="0.2">
      <c r="A5801">
        <f>YEAR(D5801)</f>
        <v>2020</v>
      </c>
      <c r="B5801" t="s">
        <v>26</v>
      </c>
      <c r="C5801" s="2" t="s">
        <v>3023</v>
      </c>
      <c r="D5801" s="1">
        <v>44049</v>
      </c>
      <c r="E5801">
        <f>MONTH(D5801)</f>
        <v>8</v>
      </c>
      <c r="F5801" s="2" t="s">
        <v>2098</v>
      </c>
      <c r="G5801" t="s">
        <v>219</v>
      </c>
      <c r="H5801" t="s">
        <v>220</v>
      </c>
      <c r="I5801" t="s">
        <v>22</v>
      </c>
      <c r="J5801" s="2" t="s">
        <v>42</v>
      </c>
      <c r="K5801" s="2" t="s">
        <v>3019</v>
      </c>
      <c r="L5801" t="s">
        <v>25</v>
      </c>
      <c r="M5801" s="10" t="s">
        <v>26</v>
      </c>
      <c r="N5801" t="s">
        <v>26</v>
      </c>
      <c r="O5801" s="10" t="s">
        <v>26</v>
      </c>
      <c r="P5801" s="8" t="s">
        <v>26</v>
      </c>
      <c r="Q5801" s="8">
        <f>(8197453*100)/8541008</f>
        <v>95.977582505484136</v>
      </c>
    </row>
    <row r="5802" spans="1:17" x14ac:dyDescent="0.2">
      <c r="A5802">
        <f>YEAR(D5802)</f>
        <v>2020</v>
      </c>
      <c r="B5802" t="s">
        <v>26</v>
      </c>
      <c r="C5802" s="2" t="s">
        <v>3022</v>
      </c>
      <c r="D5802" s="1">
        <v>44049</v>
      </c>
      <c r="E5802">
        <f>MONTH(D5802)</f>
        <v>8</v>
      </c>
      <c r="F5802" s="2" t="s">
        <v>2098</v>
      </c>
      <c r="G5802" t="s">
        <v>1520</v>
      </c>
      <c r="H5802" t="s">
        <v>2268</v>
      </c>
      <c r="I5802" t="s">
        <v>36</v>
      </c>
      <c r="J5802" s="2" t="s">
        <v>42</v>
      </c>
      <c r="K5802" s="2" t="s">
        <v>3019</v>
      </c>
      <c r="L5802" t="s">
        <v>25</v>
      </c>
      <c r="M5802" s="8">
        <v>3.8523333329999998</v>
      </c>
      <c r="N5802" t="s">
        <v>26</v>
      </c>
      <c r="O5802" s="8">
        <v>3.8523333329999998</v>
      </c>
      <c r="P5802" s="8">
        <f>EXP(-1.363+3.366*LOG(O5802,10))</f>
        <v>1.837758289200395</v>
      </c>
      <c r="Q5802" s="8">
        <f>(4437920*100)/4638971</f>
        <v>95.666043180696747</v>
      </c>
    </row>
    <row r="5803" spans="1:17" x14ac:dyDescent="0.2">
      <c r="A5803">
        <f>YEAR(D5803)</f>
        <v>2020</v>
      </c>
      <c r="B5803" t="s">
        <v>26</v>
      </c>
      <c r="C5803" s="2" t="s">
        <v>3022</v>
      </c>
      <c r="D5803" s="1">
        <v>44049</v>
      </c>
      <c r="E5803">
        <f>MONTH(D5803)</f>
        <v>8</v>
      </c>
      <c r="F5803" s="2" t="s">
        <v>2098</v>
      </c>
      <c r="G5803" t="s">
        <v>1520</v>
      </c>
      <c r="H5803" t="s">
        <v>2268</v>
      </c>
      <c r="I5803" t="s">
        <v>22</v>
      </c>
      <c r="J5803" s="2" t="s">
        <v>42</v>
      </c>
      <c r="K5803" s="2" t="s">
        <v>3019</v>
      </c>
      <c r="L5803" t="s">
        <v>25</v>
      </c>
      <c r="M5803" s="8">
        <v>4.3073333329999999</v>
      </c>
      <c r="N5803" t="s">
        <v>26</v>
      </c>
      <c r="O5803" s="8">
        <v>4.3073333329999999</v>
      </c>
      <c r="P5803" s="8">
        <f>EXP(-1.363+3.366*LOG(O5803,10))</f>
        <v>2.1635399592704152</v>
      </c>
      <c r="Q5803" s="8">
        <f>(4437920*100)/4638971</f>
        <v>95.666043180696747</v>
      </c>
    </row>
    <row r="5804" spans="1:17" x14ac:dyDescent="0.2">
      <c r="A5804">
        <f>YEAR(D5804)</f>
        <v>2020</v>
      </c>
      <c r="B5804" t="s">
        <v>26</v>
      </c>
      <c r="C5804" s="2" t="s">
        <v>3022</v>
      </c>
      <c r="D5804" s="1">
        <v>44049</v>
      </c>
      <c r="E5804">
        <f>MONTH(D5804)</f>
        <v>8</v>
      </c>
      <c r="F5804" s="2" t="s">
        <v>2098</v>
      </c>
      <c r="G5804" t="s">
        <v>332</v>
      </c>
      <c r="H5804" t="s">
        <v>327</v>
      </c>
      <c r="I5804" t="s">
        <v>22</v>
      </c>
      <c r="J5804" s="2" t="s">
        <v>42</v>
      </c>
      <c r="K5804" s="2" t="s">
        <v>3019</v>
      </c>
      <c r="L5804" t="s">
        <v>25</v>
      </c>
      <c r="M5804" s="8">
        <v>1.239333333</v>
      </c>
      <c r="N5804" t="s">
        <v>26</v>
      </c>
      <c r="O5804" s="8">
        <v>1.239333333</v>
      </c>
      <c r="P5804" s="8">
        <f>EXP(-1.363+3.366*LOG(O5804,10))</f>
        <v>0.35017272283851147</v>
      </c>
      <c r="Q5804" s="8">
        <f>(4437920*100)/4638971</f>
        <v>95.666043180696747</v>
      </c>
    </row>
    <row r="5805" spans="1:17" x14ac:dyDescent="0.2">
      <c r="A5805">
        <f>YEAR(D5805)</f>
        <v>2020</v>
      </c>
      <c r="B5805" t="s">
        <v>26</v>
      </c>
      <c r="C5805" s="2" t="s">
        <v>3022</v>
      </c>
      <c r="D5805" s="1">
        <v>44049</v>
      </c>
      <c r="E5805">
        <f>MONTH(D5805)</f>
        <v>8</v>
      </c>
      <c r="F5805" s="2" t="s">
        <v>2098</v>
      </c>
      <c r="G5805" t="s">
        <v>332</v>
      </c>
      <c r="H5805" t="s">
        <v>327</v>
      </c>
      <c r="I5805" t="s">
        <v>22</v>
      </c>
      <c r="J5805" s="2" t="s">
        <v>42</v>
      </c>
      <c r="K5805" s="2" t="s">
        <v>3019</v>
      </c>
      <c r="L5805" t="s">
        <v>25</v>
      </c>
      <c r="M5805" s="8">
        <v>1.239333333</v>
      </c>
      <c r="N5805" t="s">
        <v>26</v>
      </c>
      <c r="O5805" s="8">
        <v>1.239333333</v>
      </c>
      <c r="P5805" s="8">
        <f>EXP(-1.363+3.366*LOG(O5805,10))</f>
        <v>0.35017272283851147</v>
      </c>
      <c r="Q5805" s="8">
        <f>(4437920*100)/4638971</f>
        <v>95.666043180696747</v>
      </c>
    </row>
    <row r="5806" spans="1:17" x14ac:dyDescent="0.2">
      <c r="A5806">
        <f>YEAR(D5806)</f>
        <v>2020</v>
      </c>
      <c r="B5806" t="s">
        <v>26</v>
      </c>
      <c r="C5806" s="2" t="s">
        <v>3022</v>
      </c>
      <c r="D5806" s="1">
        <v>44049</v>
      </c>
      <c r="E5806">
        <f>MONTH(D5806)</f>
        <v>8</v>
      </c>
      <c r="F5806" s="2" t="s">
        <v>2098</v>
      </c>
      <c r="G5806" t="s">
        <v>352</v>
      </c>
      <c r="H5806" t="s">
        <v>1142</v>
      </c>
      <c r="I5806" t="s">
        <v>22</v>
      </c>
      <c r="J5806" s="2" t="s">
        <v>42</v>
      </c>
      <c r="K5806" s="2" t="s">
        <v>3019</v>
      </c>
      <c r="L5806" t="s">
        <v>25</v>
      </c>
      <c r="M5806" s="8">
        <v>1.1423333330000001</v>
      </c>
      <c r="N5806" t="s">
        <v>26</v>
      </c>
      <c r="O5806" s="8">
        <v>1.1423333330000001</v>
      </c>
      <c r="P5806" s="8">
        <f>EXP(-1.363+3.366*LOG(O5806,10))</f>
        <v>0.31084239358261528</v>
      </c>
      <c r="Q5806" s="8">
        <f>(4437920*100)/4638971</f>
        <v>95.666043180696747</v>
      </c>
    </row>
    <row r="5807" spans="1:17" x14ac:dyDescent="0.2">
      <c r="A5807">
        <f>YEAR(D5807)</f>
        <v>2020</v>
      </c>
      <c r="B5807" t="s">
        <v>26</v>
      </c>
      <c r="C5807" s="2" t="s">
        <v>3022</v>
      </c>
      <c r="D5807" s="1">
        <v>44049</v>
      </c>
      <c r="E5807">
        <f>MONTH(D5807)</f>
        <v>8</v>
      </c>
      <c r="F5807" s="2" t="s">
        <v>2098</v>
      </c>
      <c r="G5807" t="s">
        <v>352</v>
      </c>
      <c r="H5807" t="s">
        <v>1459</v>
      </c>
      <c r="I5807" t="s">
        <v>36</v>
      </c>
      <c r="J5807" s="2" t="s">
        <v>42</v>
      </c>
      <c r="K5807" s="2" t="s">
        <v>3019</v>
      </c>
      <c r="L5807" t="s">
        <v>25</v>
      </c>
      <c r="M5807" s="8">
        <v>1.0913333329999999</v>
      </c>
      <c r="N5807" t="s">
        <v>26</v>
      </c>
      <c r="O5807" s="8">
        <v>1.0913333329999999</v>
      </c>
      <c r="P5807" s="8">
        <f>EXP(-1.363+3.366*LOG(O5807,10))</f>
        <v>0.29076633015787234</v>
      </c>
      <c r="Q5807" s="8">
        <f>(4437920*100)/4638971</f>
        <v>95.666043180696747</v>
      </c>
    </row>
    <row r="5808" spans="1:17" x14ac:dyDescent="0.2">
      <c r="A5808">
        <f>YEAR(D5808)</f>
        <v>2020</v>
      </c>
      <c r="B5808" t="s">
        <v>26</v>
      </c>
      <c r="C5808" s="2" t="s">
        <v>3022</v>
      </c>
      <c r="D5808" s="1">
        <v>44049</v>
      </c>
      <c r="E5808">
        <f>MONTH(D5808)</f>
        <v>8</v>
      </c>
      <c r="F5808" s="2" t="s">
        <v>2098</v>
      </c>
      <c r="G5808" t="s">
        <v>362</v>
      </c>
      <c r="H5808" t="s">
        <v>393</v>
      </c>
      <c r="I5808" t="s">
        <v>36</v>
      </c>
      <c r="J5808" s="2" t="s">
        <v>42</v>
      </c>
      <c r="K5808" s="2" t="s">
        <v>3019</v>
      </c>
      <c r="L5808" t="s">
        <v>25</v>
      </c>
      <c r="M5808" s="8">
        <v>2.2189999999999999</v>
      </c>
      <c r="N5808" t="s">
        <v>26</v>
      </c>
      <c r="O5808" s="8">
        <v>2.2189999999999999</v>
      </c>
      <c r="P5808" s="8">
        <f>EXP(-1.363+3.366*LOG(O5808,10))</f>
        <v>0.82050561861036375</v>
      </c>
      <c r="Q5808" s="8">
        <f>(4437920*100)/4638971</f>
        <v>95.666043180696747</v>
      </c>
    </row>
    <row r="5809" spans="1:17" x14ac:dyDescent="0.2">
      <c r="A5809">
        <f>YEAR(D5809)</f>
        <v>2020</v>
      </c>
      <c r="B5809" t="s">
        <v>26</v>
      </c>
      <c r="C5809" s="2" t="s">
        <v>3022</v>
      </c>
      <c r="D5809" s="1">
        <v>44049</v>
      </c>
      <c r="E5809">
        <f>MONTH(D5809)</f>
        <v>8</v>
      </c>
      <c r="F5809" s="2" t="s">
        <v>2098</v>
      </c>
      <c r="G5809" t="s">
        <v>1512</v>
      </c>
      <c r="H5809" t="s">
        <v>1515</v>
      </c>
      <c r="I5809" t="s">
        <v>22</v>
      </c>
      <c r="J5809" s="2" t="s">
        <v>42</v>
      </c>
      <c r="K5809" s="2" t="s">
        <v>3019</v>
      </c>
      <c r="L5809" t="s">
        <v>187</v>
      </c>
      <c r="M5809" s="8">
        <v>1.477333333</v>
      </c>
      <c r="N5809" t="s">
        <v>26</v>
      </c>
      <c r="O5809" s="8">
        <v>1.477333333</v>
      </c>
      <c r="P5809" s="8">
        <f>EXP(-1.363+3.366*LOG(O5809,10))</f>
        <v>0.45269558398500004</v>
      </c>
      <c r="Q5809" s="8">
        <f>(4437920*100)/4638971</f>
        <v>95.666043180696747</v>
      </c>
    </row>
    <row r="5810" spans="1:17" x14ac:dyDescent="0.2">
      <c r="A5810">
        <f>YEAR(D5810)</f>
        <v>2020</v>
      </c>
      <c r="B5810" t="s">
        <v>26</v>
      </c>
      <c r="C5810" s="2" t="s">
        <v>3022</v>
      </c>
      <c r="D5810" s="1">
        <v>44049</v>
      </c>
      <c r="E5810">
        <f>MONTH(D5810)</f>
        <v>8</v>
      </c>
      <c r="F5810" s="2" t="s">
        <v>2098</v>
      </c>
      <c r="G5810" t="s">
        <v>1520</v>
      </c>
      <c r="H5810" t="s">
        <v>1521</v>
      </c>
      <c r="I5810" t="s">
        <v>36</v>
      </c>
      <c r="J5810" s="2" t="s">
        <v>42</v>
      </c>
      <c r="K5810" s="2" t="s">
        <v>3019</v>
      </c>
      <c r="L5810" t="s">
        <v>25</v>
      </c>
      <c r="M5810" s="8">
        <v>2.3340000000000001</v>
      </c>
      <c r="N5810" t="s">
        <v>26</v>
      </c>
      <c r="O5810" s="8">
        <v>2.3340000000000001</v>
      </c>
      <c r="P5810" s="8">
        <f>EXP(-1.363+3.366*LOG(O5810,10))</f>
        <v>0.88340410488080767</v>
      </c>
      <c r="Q5810" s="8">
        <f>(4437920*100)/4638971</f>
        <v>95.666043180696747</v>
      </c>
    </row>
    <row r="5811" spans="1:17" x14ac:dyDescent="0.2">
      <c r="A5811">
        <f>YEAR(D5811)</f>
        <v>2020</v>
      </c>
      <c r="B5811" t="s">
        <v>26</v>
      </c>
      <c r="C5811" s="2" t="s">
        <v>3022</v>
      </c>
      <c r="D5811" s="1">
        <v>44049</v>
      </c>
      <c r="E5811">
        <f>MONTH(D5811)</f>
        <v>8</v>
      </c>
      <c r="F5811" s="2" t="s">
        <v>2098</v>
      </c>
      <c r="G5811" t="s">
        <v>1520</v>
      </c>
      <c r="H5811" t="s">
        <v>1521</v>
      </c>
      <c r="I5811" t="s">
        <v>36</v>
      </c>
      <c r="J5811" s="2" t="s">
        <v>42</v>
      </c>
      <c r="K5811" s="2" t="s">
        <v>3019</v>
      </c>
      <c r="L5811" t="s">
        <v>25</v>
      </c>
      <c r="M5811" s="8">
        <v>2.3340000000000001</v>
      </c>
      <c r="N5811" t="s">
        <v>26</v>
      </c>
      <c r="O5811" s="8">
        <v>2.3340000000000001</v>
      </c>
      <c r="P5811" s="8">
        <f>EXP(-1.363+3.366*LOG(O5811,10))</f>
        <v>0.88340410488080767</v>
      </c>
      <c r="Q5811" s="8">
        <f>(4437920*100)/4638971</f>
        <v>95.666043180696747</v>
      </c>
    </row>
    <row r="5812" spans="1:17" x14ac:dyDescent="0.2">
      <c r="A5812">
        <f>YEAR(D5812)</f>
        <v>2020</v>
      </c>
      <c r="B5812" t="s">
        <v>26</v>
      </c>
      <c r="C5812" s="2" t="s">
        <v>3023</v>
      </c>
      <c r="D5812" s="1">
        <v>44049</v>
      </c>
      <c r="E5812">
        <f>MONTH(D5812)</f>
        <v>8</v>
      </c>
      <c r="F5812" s="2" t="s">
        <v>2098</v>
      </c>
      <c r="G5812" t="s">
        <v>352</v>
      </c>
      <c r="H5812" t="s">
        <v>1459</v>
      </c>
      <c r="I5812" t="s">
        <v>36</v>
      </c>
      <c r="J5812" s="2" t="s">
        <v>42</v>
      </c>
      <c r="K5812" s="2" t="s">
        <v>3019</v>
      </c>
      <c r="L5812" t="s">
        <v>25</v>
      </c>
      <c r="M5812" s="8">
        <v>1.0913333329999999</v>
      </c>
      <c r="N5812" t="s">
        <v>26</v>
      </c>
      <c r="O5812" s="8">
        <v>1.0913333329999999</v>
      </c>
      <c r="P5812" s="8">
        <f>EXP(-1.363+3.366*LOG(O5812,10))</f>
        <v>0.29076633015787234</v>
      </c>
      <c r="Q5812" s="8">
        <f>(8197453*100)/8541008</f>
        <v>95.977582505484136</v>
      </c>
    </row>
    <row r="5813" spans="1:17" x14ac:dyDescent="0.2">
      <c r="A5813">
        <f>YEAR(D5813)</f>
        <v>2020</v>
      </c>
      <c r="B5813" t="s">
        <v>26</v>
      </c>
      <c r="C5813" s="2" t="s">
        <v>3023</v>
      </c>
      <c r="D5813" s="1">
        <v>44049</v>
      </c>
      <c r="E5813">
        <f>MONTH(D5813)</f>
        <v>8</v>
      </c>
      <c r="F5813" s="2" t="s">
        <v>2098</v>
      </c>
      <c r="G5813" t="s">
        <v>352</v>
      </c>
      <c r="H5813" t="s">
        <v>1459</v>
      </c>
      <c r="I5813" t="s">
        <v>36</v>
      </c>
      <c r="J5813" s="2" t="s">
        <v>42</v>
      </c>
      <c r="K5813" s="2" t="s">
        <v>3019</v>
      </c>
      <c r="L5813" t="s">
        <v>25</v>
      </c>
      <c r="M5813" s="8">
        <v>1.0913333329999999</v>
      </c>
      <c r="N5813" t="s">
        <v>26</v>
      </c>
      <c r="O5813" s="8">
        <v>1.0913333329999999</v>
      </c>
      <c r="P5813" s="8">
        <f>EXP(-1.363+3.366*LOG(O5813,10))</f>
        <v>0.29076633015787234</v>
      </c>
      <c r="Q5813" s="8">
        <f>(8197453*100)/8541008</f>
        <v>95.977582505484136</v>
      </c>
    </row>
    <row r="5814" spans="1:17" x14ac:dyDescent="0.2">
      <c r="A5814">
        <f>YEAR(D5814)</f>
        <v>2020</v>
      </c>
      <c r="B5814" t="s">
        <v>26</v>
      </c>
      <c r="C5814" s="2" t="s">
        <v>3023</v>
      </c>
      <c r="D5814" s="1">
        <v>44049</v>
      </c>
      <c r="E5814">
        <f>MONTH(D5814)</f>
        <v>8</v>
      </c>
      <c r="F5814" s="2" t="s">
        <v>2098</v>
      </c>
      <c r="G5814" s="2" t="s">
        <v>332</v>
      </c>
      <c r="H5814" t="s">
        <v>3055</v>
      </c>
      <c r="I5814" t="s">
        <v>36</v>
      </c>
      <c r="J5814" s="2" t="s">
        <v>42</v>
      </c>
      <c r="K5814" s="2" t="s">
        <v>3019</v>
      </c>
      <c r="L5814" t="s">
        <v>25</v>
      </c>
      <c r="M5814" s="8">
        <v>1.0585</v>
      </c>
      <c r="N5814" t="s">
        <v>26</v>
      </c>
      <c r="O5814" s="8">
        <v>1.0585</v>
      </c>
      <c r="P5814" s="8">
        <f>EXP(-1.363+3.366*LOG(O5814,10))</f>
        <v>0.27806773126801038</v>
      </c>
      <c r="Q5814" s="8">
        <f>(8197453*100)/8541008</f>
        <v>95.977582505484136</v>
      </c>
    </row>
    <row r="5815" spans="1:17" x14ac:dyDescent="0.2">
      <c r="A5815">
        <f>YEAR(D5815)</f>
        <v>2020</v>
      </c>
      <c r="B5815" t="s">
        <v>26</v>
      </c>
      <c r="C5815" s="2" t="s">
        <v>3023</v>
      </c>
      <c r="D5815" s="1">
        <v>44049</v>
      </c>
      <c r="E5815">
        <f>MONTH(D5815)</f>
        <v>8</v>
      </c>
      <c r="F5815" s="2" t="s">
        <v>2098</v>
      </c>
      <c r="G5815" t="s">
        <v>1512</v>
      </c>
      <c r="H5815" t="s">
        <v>1515</v>
      </c>
      <c r="I5815" t="s">
        <v>36</v>
      </c>
      <c r="J5815" s="2" t="s">
        <v>42</v>
      </c>
      <c r="K5815" s="2" t="s">
        <v>3019</v>
      </c>
      <c r="L5815" t="s">
        <v>187</v>
      </c>
      <c r="M5815" s="8">
        <v>1.3580000000000001</v>
      </c>
      <c r="N5815" t="s">
        <v>26</v>
      </c>
      <c r="O5815" s="8">
        <v>1.3580000000000001</v>
      </c>
      <c r="P5815" s="8">
        <f>EXP(-1.363+3.366*LOG(O5815,10))</f>
        <v>0.40025262274215467</v>
      </c>
      <c r="Q5815" s="8">
        <f>(8197453*100)/8541008</f>
        <v>95.977582505484136</v>
      </c>
    </row>
    <row r="5816" spans="1:17" x14ac:dyDescent="0.2">
      <c r="A5816">
        <f>YEAR(D5816)</f>
        <v>2020</v>
      </c>
      <c r="B5816" t="s">
        <v>26</v>
      </c>
      <c r="C5816" s="2" t="s">
        <v>3023</v>
      </c>
      <c r="D5816" s="1">
        <v>44049</v>
      </c>
      <c r="E5816">
        <f>MONTH(D5816)</f>
        <v>8</v>
      </c>
      <c r="F5816" s="2" t="s">
        <v>2098</v>
      </c>
      <c r="G5816" t="s">
        <v>2206</v>
      </c>
      <c r="H5816" t="s">
        <v>2207</v>
      </c>
      <c r="I5816" t="s">
        <v>22</v>
      </c>
      <c r="J5816" s="2" t="s">
        <v>42</v>
      </c>
      <c r="K5816" s="2" t="s">
        <v>3019</v>
      </c>
      <c r="L5816" t="s">
        <v>25</v>
      </c>
      <c r="M5816" s="8">
        <v>3.249333333</v>
      </c>
      <c r="N5816" t="s">
        <v>26</v>
      </c>
      <c r="O5816" s="8">
        <v>3.249333333</v>
      </c>
      <c r="P5816" s="8">
        <f>EXP(-1.363+3.366*LOG(O5816,10))</f>
        <v>1.4328987616438449</v>
      </c>
      <c r="Q5816" s="8">
        <f>(8197453*100)/8541008</f>
        <v>95.977582505484136</v>
      </c>
    </row>
    <row r="5817" spans="1:17" x14ac:dyDescent="0.2">
      <c r="A5817">
        <f>YEAR(D5817)</f>
        <v>2020</v>
      </c>
      <c r="B5817" t="s">
        <v>26</v>
      </c>
      <c r="C5817" s="2" t="s">
        <v>3023</v>
      </c>
      <c r="D5817" s="1">
        <v>44049</v>
      </c>
      <c r="E5817">
        <f>MONTH(D5817)</f>
        <v>8</v>
      </c>
      <c r="F5817" s="2" t="s">
        <v>2098</v>
      </c>
      <c r="G5817" t="s">
        <v>352</v>
      </c>
      <c r="H5817" t="s">
        <v>1459</v>
      </c>
      <c r="I5817" t="s">
        <v>36</v>
      </c>
      <c r="J5817" s="2" t="s">
        <v>42</v>
      </c>
      <c r="K5817" s="2" t="s">
        <v>3019</v>
      </c>
      <c r="L5817" t="s">
        <v>25</v>
      </c>
      <c r="M5817" s="8">
        <v>1.0913333329999999</v>
      </c>
      <c r="N5817" t="s">
        <v>26</v>
      </c>
      <c r="O5817" s="8">
        <v>1.0913333329999999</v>
      </c>
      <c r="P5817" s="8">
        <f>EXP(-1.363+3.366*LOG(O5817,10))</f>
        <v>0.29076633015787234</v>
      </c>
      <c r="Q5817" s="8">
        <f>(8197453*100)/8541008</f>
        <v>95.977582505484136</v>
      </c>
    </row>
    <row r="5818" spans="1:17" x14ac:dyDescent="0.2">
      <c r="A5818">
        <f>YEAR(D5818)</f>
        <v>2020</v>
      </c>
      <c r="B5818" t="s">
        <v>26</v>
      </c>
      <c r="C5818" s="2" t="s">
        <v>3023</v>
      </c>
      <c r="D5818" s="1">
        <v>44049</v>
      </c>
      <c r="E5818">
        <f>MONTH(D5818)</f>
        <v>8</v>
      </c>
      <c r="F5818" s="2" t="s">
        <v>2098</v>
      </c>
      <c r="G5818" t="s">
        <v>352</v>
      </c>
      <c r="H5818" t="s">
        <v>1459</v>
      </c>
      <c r="I5818" t="s">
        <v>36</v>
      </c>
      <c r="J5818" s="2" t="s">
        <v>42</v>
      </c>
      <c r="K5818" s="2" t="s">
        <v>3019</v>
      </c>
      <c r="L5818" t="s">
        <v>25</v>
      </c>
      <c r="M5818" s="8">
        <v>1.0913333329999999</v>
      </c>
      <c r="N5818" t="s">
        <v>26</v>
      </c>
      <c r="O5818" s="8">
        <v>1.0913333329999999</v>
      </c>
      <c r="P5818" s="8">
        <f>EXP(-1.363+3.366*LOG(O5818,10))</f>
        <v>0.29076633015787234</v>
      </c>
      <c r="Q5818" s="8">
        <f>(8197453*100)/8541008</f>
        <v>95.977582505484136</v>
      </c>
    </row>
    <row r="5819" spans="1:17" x14ac:dyDescent="0.2">
      <c r="A5819">
        <f>YEAR(D5819)</f>
        <v>2020</v>
      </c>
      <c r="B5819" t="s">
        <v>26</v>
      </c>
      <c r="C5819" s="2" t="s">
        <v>3023</v>
      </c>
      <c r="D5819" s="1">
        <v>44049</v>
      </c>
      <c r="E5819">
        <f>MONTH(D5819)</f>
        <v>8</v>
      </c>
      <c r="F5819" s="2" t="s">
        <v>2098</v>
      </c>
      <c r="G5819" t="s">
        <v>1520</v>
      </c>
      <c r="H5819" t="s">
        <v>1521</v>
      </c>
      <c r="I5819" t="s">
        <v>36</v>
      </c>
      <c r="J5819" s="2" t="s">
        <v>42</v>
      </c>
      <c r="K5819" s="2" t="s">
        <v>3019</v>
      </c>
      <c r="L5819" t="s">
        <v>25</v>
      </c>
      <c r="M5819" s="8">
        <v>2.3340000000000001</v>
      </c>
      <c r="N5819" t="s">
        <v>26</v>
      </c>
      <c r="O5819" s="8">
        <v>2.3340000000000001</v>
      </c>
      <c r="P5819" s="8">
        <f>EXP(-1.363+3.366*LOG(O5819,10))</f>
        <v>0.88340410488080767</v>
      </c>
      <c r="Q5819" s="8">
        <f>(8197453*100)/8541008</f>
        <v>95.977582505484136</v>
      </c>
    </row>
    <row r="5820" spans="1:17" x14ac:dyDescent="0.2">
      <c r="A5820">
        <f>YEAR(D5820)</f>
        <v>2020</v>
      </c>
      <c r="B5820" t="s">
        <v>26</v>
      </c>
      <c r="C5820" s="2" t="s">
        <v>3024</v>
      </c>
      <c r="D5820" s="1">
        <v>44050</v>
      </c>
      <c r="E5820">
        <f>MONTH(D5820)</f>
        <v>8</v>
      </c>
      <c r="F5820" s="2" t="s">
        <v>2098</v>
      </c>
      <c r="G5820" t="s">
        <v>230</v>
      </c>
      <c r="H5820" t="s">
        <v>268</v>
      </c>
      <c r="I5820" t="s">
        <v>22</v>
      </c>
      <c r="J5820" s="2" t="s">
        <v>42</v>
      </c>
      <c r="K5820" s="2" t="s">
        <v>3019</v>
      </c>
      <c r="L5820" t="s">
        <v>25</v>
      </c>
      <c r="M5820" s="8">
        <v>3.5356666670000001</v>
      </c>
      <c r="N5820" t="s">
        <v>26</v>
      </c>
      <c r="O5820" s="8">
        <v>3.5356666670000001</v>
      </c>
      <c r="P5820" s="8">
        <f>EXP(-1.363+3.366*LOG(O5820,10))</f>
        <v>1.6211802664427075</v>
      </c>
      <c r="Q5820" s="8">
        <f>(2412691*100)/2623642</f>
        <v>91.959611867777696</v>
      </c>
    </row>
    <row r="5821" spans="1:17" x14ac:dyDescent="0.2">
      <c r="A5821">
        <f>YEAR(D5821)</f>
        <v>2020</v>
      </c>
      <c r="B5821" t="s">
        <v>26</v>
      </c>
      <c r="C5821" s="2" t="s">
        <v>3024</v>
      </c>
      <c r="D5821" s="1">
        <v>44050</v>
      </c>
      <c r="E5821">
        <f>MONTH(D5821)</f>
        <v>8</v>
      </c>
      <c r="F5821" s="2" t="s">
        <v>2098</v>
      </c>
      <c r="G5821" t="s">
        <v>230</v>
      </c>
      <c r="H5821" t="s">
        <v>268</v>
      </c>
      <c r="I5821" t="s">
        <v>22</v>
      </c>
      <c r="J5821" s="2" t="s">
        <v>42</v>
      </c>
      <c r="K5821" s="2" t="s">
        <v>3019</v>
      </c>
      <c r="L5821" t="s">
        <v>25</v>
      </c>
      <c r="M5821" s="8">
        <v>3.5356666670000001</v>
      </c>
      <c r="N5821" t="s">
        <v>26</v>
      </c>
      <c r="O5821" s="8">
        <v>3.5356666670000001</v>
      </c>
      <c r="P5821" s="8">
        <f>EXP(-1.363+3.366*LOG(O5821,10))</f>
        <v>1.6211802664427075</v>
      </c>
      <c r="Q5821" s="8">
        <f>(2412691*100)/2623642</f>
        <v>91.959611867777696</v>
      </c>
    </row>
    <row r="5822" spans="1:17" x14ac:dyDescent="0.2">
      <c r="A5822">
        <f>YEAR(D5822)</f>
        <v>2020</v>
      </c>
      <c r="B5822" t="s">
        <v>26</v>
      </c>
      <c r="C5822" s="2" t="s">
        <v>3024</v>
      </c>
      <c r="D5822" s="1">
        <v>44050</v>
      </c>
      <c r="E5822">
        <f>MONTH(D5822)</f>
        <v>8</v>
      </c>
      <c r="F5822" s="2" t="s">
        <v>2098</v>
      </c>
      <c r="G5822" t="s">
        <v>219</v>
      </c>
      <c r="H5822" t="s">
        <v>220</v>
      </c>
      <c r="I5822" t="s">
        <v>22</v>
      </c>
      <c r="J5822" s="2" t="s">
        <v>42</v>
      </c>
      <c r="K5822" s="2" t="s">
        <v>3019</v>
      </c>
      <c r="L5822" t="s">
        <v>25</v>
      </c>
      <c r="M5822" s="10" t="s">
        <v>26</v>
      </c>
      <c r="N5822" t="s">
        <v>26</v>
      </c>
      <c r="O5822" s="10" t="s">
        <v>26</v>
      </c>
      <c r="P5822" s="8" t="s">
        <v>26</v>
      </c>
      <c r="Q5822" s="8">
        <f>(2412691*100)/2623642</f>
        <v>91.959611867777696</v>
      </c>
    </row>
    <row r="5823" spans="1:17" x14ac:dyDescent="0.2">
      <c r="A5823">
        <f>YEAR(D5823)</f>
        <v>2020</v>
      </c>
      <c r="B5823" t="s">
        <v>26</v>
      </c>
      <c r="C5823" s="2" t="s">
        <v>3024</v>
      </c>
      <c r="D5823" s="1">
        <v>44050</v>
      </c>
      <c r="E5823">
        <f>MONTH(D5823)</f>
        <v>8</v>
      </c>
      <c r="F5823" s="2" t="s">
        <v>2098</v>
      </c>
      <c r="G5823" t="s">
        <v>230</v>
      </c>
      <c r="H5823" t="s">
        <v>268</v>
      </c>
      <c r="I5823" t="s">
        <v>22</v>
      </c>
      <c r="J5823" s="2" t="s">
        <v>42</v>
      </c>
      <c r="K5823" s="2" t="s">
        <v>3019</v>
      </c>
      <c r="L5823" t="s">
        <v>25</v>
      </c>
      <c r="M5823" s="8">
        <v>3.5356666670000001</v>
      </c>
      <c r="N5823" t="s">
        <v>26</v>
      </c>
      <c r="O5823" s="8">
        <v>3.5356666670000001</v>
      </c>
      <c r="P5823" s="8">
        <f>EXP(-1.363+3.366*LOG(O5823,10))</f>
        <v>1.6211802664427075</v>
      </c>
      <c r="Q5823" s="8">
        <f>(2412691*100)/2623642</f>
        <v>91.959611867777696</v>
      </c>
    </row>
    <row r="5824" spans="1:17" x14ac:dyDescent="0.2">
      <c r="A5824">
        <f>YEAR(D5824)</f>
        <v>2020</v>
      </c>
      <c r="B5824" t="s">
        <v>26</v>
      </c>
      <c r="C5824" s="2" t="s">
        <v>3024</v>
      </c>
      <c r="D5824" s="1">
        <v>44050</v>
      </c>
      <c r="E5824">
        <f>MONTH(D5824)</f>
        <v>8</v>
      </c>
      <c r="F5824" s="2" t="s">
        <v>2098</v>
      </c>
      <c r="G5824" t="s">
        <v>230</v>
      </c>
      <c r="H5824" t="s">
        <v>268</v>
      </c>
      <c r="I5824" t="s">
        <v>22</v>
      </c>
      <c r="J5824" s="2" t="s">
        <v>42</v>
      </c>
      <c r="K5824" s="2" t="s">
        <v>3019</v>
      </c>
      <c r="L5824" t="s">
        <v>25</v>
      </c>
      <c r="M5824" s="8">
        <v>3.5356666670000001</v>
      </c>
      <c r="N5824" t="s">
        <v>26</v>
      </c>
      <c r="O5824" s="8">
        <v>3.5356666670000001</v>
      </c>
      <c r="P5824" s="8">
        <f>EXP(-1.363+3.366*LOG(O5824,10))</f>
        <v>1.6211802664427075</v>
      </c>
      <c r="Q5824" s="8">
        <f>(2412691*100)/2623642</f>
        <v>91.959611867777696</v>
      </c>
    </row>
    <row r="5825" spans="1:17" x14ac:dyDescent="0.2">
      <c r="A5825">
        <f>YEAR(D5825)</f>
        <v>2020</v>
      </c>
      <c r="B5825" t="s">
        <v>26</v>
      </c>
      <c r="C5825" s="2" t="s">
        <v>3024</v>
      </c>
      <c r="D5825" s="1">
        <v>44050</v>
      </c>
      <c r="E5825">
        <f>MONTH(D5825)</f>
        <v>8</v>
      </c>
      <c r="F5825" s="2" t="s">
        <v>2098</v>
      </c>
      <c r="G5825" t="s">
        <v>230</v>
      </c>
      <c r="H5825" t="s">
        <v>268</v>
      </c>
      <c r="I5825" t="s">
        <v>22</v>
      </c>
      <c r="J5825" s="2" t="s">
        <v>42</v>
      </c>
      <c r="K5825" s="2" t="s">
        <v>3019</v>
      </c>
      <c r="L5825" t="s">
        <v>25</v>
      </c>
      <c r="M5825" s="8">
        <v>3.5356666670000001</v>
      </c>
      <c r="N5825" t="s">
        <v>26</v>
      </c>
      <c r="O5825" s="8">
        <v>3.5356666670000001</v>
      </c>
      <c r="P5825" s="8">
        <f>EXP(-1.363+3.366*LOG(O5825,10))</f>
        <v>1.6211802664427075</v>
      </c>
      <c r="Q5825" s="8">
        <f>(2412691*100)/2623642</f>
        <v>91.959611867777696</v>
      </c>
    </row>
    <row r="5826" spans="1:17" x14ac:dyDescent="0.2">
      <c r="A5826">
        <f>YEAR(D5826)</f>
        <v>2020</v>
      </c>
      <c r="B5826" t="s">
        <v>26</v>
      </c>
      <c r="C5826" s="2" t="s">
        <v>3024</v>
      </c>
      <c r="D5826" s="1">
        <v>44050</v>
      </c>
      <c r="E5826">
        <f>MONTH(D5826)</f>
        <v>8</v>
      </c>
      <c r="F5826" s="2" t="s">
        <v>2098</v>
      </c>
      <c r="G5826" t="s">
        <v>352</v>
      </c>
      <c r="H5826" t="s">
        <v>1344</v>
      </c>
      <c r="I5826" t="s">
        <v>22</v>
      </c>
      <c r="J5826" s="2" t="s">
        <v>42</v>
      </c>
      <c r="K5826" s="2" t="s">
        <v>3019</v>
      </c>
      <c r="L5826" t="s">
        <v>25</v>
      </c>
      <c r="M5826" s="8">
        <v>0.91800000000000004</v>
      </c>
      <c r="N5826" t="s">
        <v>26</v>
      </c>
      <c r="O5826" s="8">
        <v>0.91800000000000004</v>
      </c>
      <c r="P5826" s="8">
        <f>EXP(-1.363+3.366*LOG(O5826,10))</f>
        <v>0.22580769814771504</v>
      </c>
      <c r="Q5826" s="8">
        <f>(2412691*100)/2623642</f>
        <v>91.959611867777696</v>
      </c>
    </row>
    <row r="5827" spans="1:17" x14ac:dyDescent="0.2">
      <c r="A5827">
        <f>YEAR(D5827)</f>
        <v>2020</v>
      </c>
      <c r="B5827" t="s">
        <v>26</v>
      </c>
      <c r="C5827" s="2" t="s">
        <v>3024</v>
      </c>
      <c r="D5827" s="1">
        <v>44050</v>
      </c>
      <c r="E5827">
        <f>MONTH(D5827)</f>
        <v>8</v>
      </c>
      <c r="F5827" s="2" t="s">
        <v>2098</v>
      </c>
      <c r="G5827" t="s">
        <v>332</v>
      </c>
      <c r="H5827" t="s">
        <v>327</v>
      </c>
      <c r="I5827" t="s">
        <v>22</v>
      </c>
      <c r="J5827" s="2" t="s">
        <v>42</v>
      </c>
      <c r="K5827" s="2" t="s">
        <v>3019</v>
      </c>
      <c r="L5827" t="s">
        <v>25</v>
      </c>
      <c r="M5827" s="8">
        <v>1.239333333</v>
      </c>
      <c r="N5827" t="s">
        <v>26</v>
      </c>
      <c r="O5827" s="8">
        <v>1.239333333</v>
      </c>
      <c r="P5827" s="8">
        <f>EXP(-1.363+3.366*LOG(O5827,10))</f>
        <v>0.35017272283851147</v>
      </c>
      <c r="Q5827" s="8">
        <f>(2412691*100)/2623642</f>
        <v>91.959611867777696</v>
      </c>
    </row>
    <row r="5828" spans="1:17" x14ac:dyDescent="0.2">
      <c r="A5828">
        <f>YEAR(D5828)</f>
        <v>2020</v>
      </c>
      <c r="B5828" t="s">
        <v>26</v>
      </c>
      <c r="C5828" s="2" t="s">
        <v>3024</v>
      </c>
      <c r="D5828" s="1">
        <v>44050</v>
      </c>
      <c r="E5828">
        <f>MONTH(D5828)</f>
        <v>8</v>
      </c>
      <c r="F5828" s="2" t="s">
        <v>2098</v>
      </c>
      <c r="G5828" t="s">
        <v>352</v>
      </c>
      <c r="H5828" t="s">
        <v>599</v>
      </c>
      <c r="I5828" t="s">
        <v>36</v>
      </c>
      <c r="J5828" s="2" t="s">
        <v>42</v>
      </c>
      <c r="K5828" s="2" t="s">
        <v>3019</v>
      </c>
      <c r="L5828" t="s">
        <v>25</v>
      </c>
      <c r="M5828" s="8">
        <v>1.194</v>
      </c>
      <c r="N5828" t="s">
        <v>26</v>
      </c>
      <c r="O5828" s="8">
        <v>1.194</v>
      </c>
      <c r="P5828" s="8">
        <f>EXP(-1.363+3.366*LOG(O5828,10))</f>
        <v>0.33160743445831736</v>
      </c>
      <c r="Q5828" s="8">
        <f>(2412691*100)/2623642</f>
        <v>91.959611867777696</v>
      </c>
    </row>
    <row r="5829" spans="1:17" x14ac:dyDescent="0.2">
      <c r="A5829">
        <f>YEAR(D5829)</f>
        <v>2020</v>
      </c>
      <c r="B5829" t="s">
        <v>26</v>
      </c>
      <c r="C5829" s="2" t="s">
        <v>3024</v>
      </c>
      <c r="D5829" s="1">
        <v>44050</v>
      </c>
      <c r="E5829">
        <f>MONTH(D5829)</f>
        <v>8</v>
      </c>
      <c r="F5829" s="2" t="s">
        <v>2098</v>
      </c>
      <c r="G5829" t="s">
        <v>352</v>
      </c>
      <c r="H5829" t="s">
        <v>975</v>
      </c>
      <c r="I5829" t="s">
        <v>22</v>
      </c>
      <c r="J5829" s="2" t="s">
        <v>42</v>
      </c>
      <c r="K5829" s="2" t="s">
        <v>3019</v>
      </c>
      <c r="L5829" t="s">
        <v>25</v>
      </c>
      <c r="M5829" s="8">
        <v>1.0693333330000001</v>
      </c>
      <c r="N5829" t="s">
        <v>26</v>
      </c>
      <c r="O5829" s="8">
        <v>1.0693333330000001</v>
      </c>
      <c r="P5829" s="8">
        <f>EXP(-1.363+3.366*LOG(O5829,10))</f>
        <v>0.28223780327142356</v>
      </c>
      <c r="Q5829" s="8">
        <f>(2412691*100)/2623642</f>
        <v>91.959611867777696</v>
      </c>
    </row>
    <row r="5830" spans="1:17" x14ac:dyDescent="0.2">
      <c r="A5830">
        <f>YEAR(D5830)</f>
        <v>2020</v>
      </c>
      <c r="B5830" t="s">
        <v>26</v>
      </c>
      <c r="C5830" s="2" t="s">
        <v>3024</v>
      </c>
      <c r="D5830" s="1">
        <v>44050</v>
      </c>
      <c r="E5830">
        <f>MONTH(D5830)</f>
        <v>8</v>
      </c>
      <c r="F5830" s="2" t="s">
        <v>2098</v>
      </c>
      <c r="G5830" t="s">
        <v>352</v>
      </c>
      <c r="H5830" t="s">
        <v>1142</v>
      </c>
      <c r="I5830" t="s">
        <v>22</v>
      </c>
      <c r="J5830" s="2" t="s">
        <v>42</v>
      </c>
      <c r="K5830" s="2" t="s">
        <v>3019</v>
      </c>
      <c r="L5830" t="s">
        <v>25</v>
      </c>
      <c r="M5830" s="8">
        <v>1.1423333330000001</v>
      </c>
      <c r="N5830" t="s">
        <v>26</v>
      </c>
      <c r="O5830" s="8">
        <v>1.1423333330000001</v>
      </c>
      <c r="P5830" s="8">
        <f>EXP(-1.363+3.366*LOG(O5830,10))</f>
        <v>0.31084239358261528</v>
      </c>
      <c r="Q5830" s="8">
        <f>(2412691*100)/2623642</f>
        <v>91.959611867777696</v>
      </c>
    </row>
    <row r="5831" spans="1:17" x14ac:dyDescent="0.2">
      <c r="A5831">
        <f>YEAR(D5831)</f>
        <v>2020</v>
      </c>
      <c r="B5831" t="s">
        <v>26</v>
      </c>
      <c r="C5831" s="2" t="s">
        <v>3024</v>
      </c>
      <c r="D5831" s="1">
        <v>44050</v>
      </c>
      <c r="E5831">
        <f>MONTH(D5831)</f>
        <v>8</v>
      </c>
      <c r="F5831" s="2" t="s">
        <v>2098</v>
      </c>
      <c r="G5831" t="s">
        <v>352</v>
      </c>
      <c r="H5831" t="s">
        <v>975</v>
      </c>
      <c r="I5831" t="s">
        <v>36</v>
      </c>
      <c r="J5831" s="2" t="s">
        <v>42</v>
      </c>
      <c r="K5831" s="2" t="s">
        <v>3019</v>
      </c>
      <c r="L5831" t="s">
        <v>25</v>
      </c>
      <c r="M5831" s="8">
        <v>0.95199999999999996</v>
      </c>
      <c r="N5831" t="s">
        <v>26</v>
      </c>
      <c r="O5831" s="8">
        <v>0.95199999999999996</v>
      </c>
      <c r="P5831" s="8">
        <f>EXP(-1.363+3.366*LOG(O5831,10))</f>
        <v>0.23813726407794436</v>
      </c>
      <c r="Q5831" s="8">
        <f>(2412691*100)/2623642</f>
        <v>91.959611867777696</v>
      </c>
    </row>
    <row r="5832" spans="1:17" x14ac:dyDescent="0.2">
      <c r="A5832">
        <f>YEAR(D5832)</f>
        <v>2020</v>
      </c>
      <c r="B5832" t="s">
        <v>26</v>
      </c>
      <c r="C5832" s="2" t="s">
        <v>3024</v>
      </c>
      <c r="D5832" s="1">
        <v>44050</v>
      </c>
      <c r="E5832">
        <f>MONTH(D5832)</f>
        <v>8</v>
      </c>
      <c r="F5832" s="2" t="s">
        <v>2098</v>
      </c>
      <c r="G5832" t="s">
        <v>352</v>
      </c>
      <c r="H5832" t="s">
        <v>1585</v>
      </c>
      <c r="I5832" t="s">
        <v>22</v>
      </c>
      <c r="J5832" s="2" t="s">
        <v>42</v>
      </c>
      <c r="K5832" s="2" t="s">
        <v>3019</v>
      </c>
      <c r="L5832" t="s">
        <v>25</v>
      </c>
      <c r="M5832" s="8">
        <v>0.77266666699999997</v>
      </c>
      <c r="N5832" t="s">
        <v>26</v>
      </c>
      <c r="O5832" s="8">
        <v>0.77266666699999997</v>
      </c>
      <c r="P5832" s="8">
        <f>EXP(-1.363+3.366*LOG(O5832,10))</f>
        <v>0.17551718302452865</v>
      </c>
      <c r="Q5832" s="8">
        <f>(2412691*100)/2623642</f>
        <v>91.959611867777696</v>
      </c>
    </row>
    <row r="5833" spans="1:17" x14ac:dyDescent="0.2">
      <c r="A5833">
        <f>YEAR(D5833)</f>
        <v>2020</v>
      </c>
      <c r="B5833" t="s">
        <v>26</v>
      </c>
      <c r="C5833" s="2" t="s">
        <v>3024</v>
      </c>
      <c r="D5833" s="1">
        <v>44050</v>
      </c>
      <c r="E5833">
        <f>MONTH(D5833)</f>
        <v>8</v>
      </c>
      <c r="F5833" s="2" t="s">
        <v>2098</v>
      </c>
      <c r="G5833" t="s">
        <v>332</v>
      </c>
      <c r="H5833" t="s">
        <v>327</v>
      </c>
      <c r="I5833" t="s">
        <v>22</v>
      </c>
      <c r="J5833" s="2" t="s">
        <v>42</v>
      </c>
      <c r="K5833" s="2" t="s">
        <v>3019</v>
      </c>
      <c r="L5833" t="s">
        <v>25</v>
      </c>
      <c r="M5833" s="8">
        <v>1.239333333</v>
      </c>
      <c r="N5833" t="s">
        <v>26</v>
      </c>
      <c r="O5833" s="8">
        <v>1.239333333</v>
      </c>
      <c r="P5833" s="8">
        <f>EXP(-1.363+3.366*LOG(O5833,10))</f>
        <v>0.35017272283851147</v>
      </c>
      <c r="Q5833" s="8">
        <f>(2412691*100)/2623642</f>
        <v>91.959611867777696</v>
      </c>
    </row>
    <row r="5834" spans="1:17" x14ac:dyDescent="0.2">
      <c r="A5834">
        <f>YEAR(D5834)</f>
        <v>2020</v>
      </c>
      <c r="B5834" t="s">
        <v>26</v>
      </c>
      <c r="C5834" s="2" t="s">
        <v>3024</v>
      </c>
      <c r="D5834" s="1">
        <v>44050</v>
      </c>
      <c r="E5834">
        <f>MONTH(D5834)</f>
        <v>8</v>
      </c>
      <c r="F5834" s="2" t="s">
        <v>2098</v>
      </c>
      <c r="G5834" t="s">
        <v>352</v>
      </c>
      <c r="H5834" t="s">
        <v>1142</v>
      </c>
      <c r="I5834" t="s">
        <v>22</v>
      </c>
      <c r="J5834" s="2" t="s">
        <v>42</v>
      </c>
      <c r="K5834" s="2" t="s">
        <v>3019</v>
      </c>
      <c r="L5834" t="s">
        <v>25</v>
      </c>
      <c r="M5834" s="8">
        <v>1.1423333330000001</v>
      </c>
      <c r="N5834" t="s">
        <v>26</v>
      </c>
      <c r="O5834" s="8">
        <v>1.1423333330000001</v>
      </c>
      <c r="P5834" s="8">
        <f>EXP(-1.363+3.366*LOG(O5834,10))</f>
        <v>0.31084239358261528</v>
      </c>
      <c r="Q5834" s="8">
        <f>(2412691*100)/2623642</f>
        <v>91.959611867777696</v>
      </c>
    </row>
    <row r="5835" spans="1:17" x14ac:dyDescent="0.2">
      <c r="A5835">
        <f>YEAR(D5835)</f>
        <v>2020</v>
      </c>
      <c r="B5835" t="s">
        <v>26</v>
      </c>
      <c r="C5835" s="2" t="s">
        <v>3024</v>
      </c>
      <c r="D5835" s="1">
        <v>44050</v>
      </c>
      <c r="E5835">
        <f>MONTH(D5835)</f>
        <v>8</v>
      </c>
      <c r="F5835" s="2" t="s">
        <v>2098</v>
      </c>
      <c r="G5835" t="s">
        <v>352</v>
      </c>
      <c r="H5835" t="s">
        <v>494</v>
      </c>
      <c r="I5835" t="s">
        <v>36</v>
      </c>
      <c r="J5835" s="2" t="s">
        <v>42</v>
      </c>
      <c r="K5835" s="2" t="s">
        <v>3019</v>
      </c>
      <c r="L5835" t="s">
        <v>25</v>
      </c>
      <c r="M5835" s="8">
        <v>1.5556666666666665</v>
      </c>
      <c r="N5835" t="s">
        <v>26</v>
      </c>
      <c r="O5835" s="8">
        <v>1.5556666666666665</v>
      </c>
      <c r="P5835" s="8">
        <f>EXP(-1.363+3.366*LOG(O5835,10))</f>
        <v>0.48821035747612018</v>
      </c>
      <c r="Q5835" s="8">
        <f>(2412691*100)/2623642</f>
        <v>91.959611867777696</v>
      </c>
    </row>
    <row r="5836" spans="1:17" x14ac:dyDescent="0.2">
      <c r="A5836">
        <f>YEAR(D5836)</f>
        <v>2020</v>
      </c>
      <c r="B5836" t="s">
        <v>26</v>
      </c>
      <c r="C5836" s="2" t="s">
        <v>3024</v>
      </c>
      <c r="D5836" s="1">
        <v>44050</v>
      </c>
      <c r="E5836">
        <f>MONTH(D5836)</f>
        <v>8</v>
      </c>
      <c r="F5836" s="2" t="s">
        <v>2098</v>
      </c>
      <c r="G5836" t="s">
        <v>1520</v>
      </c>
      <c r="H5836" t="s">
        <v>1521</v>
      </c>
      <c r="I5836" t="s">
        <v>36</v>
      </c>
      <c r="J5836" s="2" t="s">
        <v>42</v>
      </c>
      <c r="K5836" s="2" t="s">
        <v>3019</v>
      </c>
      <c r="L5836" t="s">
        <v>25</v>
      </c>
      <c r="M5836" s="8">
        <v>2.3340000000000001</v>
      </c>
      <c r="N5836" t="s">
        <v>26</v>
      </c>
      <c r="O5836" s="8">
        <v>2.3340000000000001</v>
      </c>
      <c r="P5836" s="8">
        <f>EXP(-1.363+3.366*LOG(O5836,10))</f>
        <v>0.88340410488080767</v>
      </c>
      <c r="Q5836" s="8">
        <f>(2412691*100)/2623642</f>
        <v>91.959611867777696</v>
      </c>
    </row>
    <row r="5837" spans="1:17" x14ac:dyDescent="0.2">
      <c r="A5837">
        <f>YEAR(D5837)</f>
        <v>2020</v>
      </c>
      <c r="B5837" t="s">
        <v>26</v>
      </c>
      <c r="C5837" s="2" t="s">
        <v>3024</v>
      </c>
      <c r="D5837" s="1">
        <v>44050</v>
      </c>
      <c r="E5837">
        <f>MONTH(D5837)</f>
        <v>8</v>
      </c>
      <c r="F5837" s="2" t="s">
        <v>19</v>
      </c>
      <c r="G5837" t="s">
        <v>362</v>
      </c>
      <c r="H5837" t="s">
        <v>447</v>
      </c>
      <c r="I5837" t="s">
        <v>22</v>
      </c>
      <c r="J5837" s="2" t="s">
        <v>42</v>
      </c>
      <c r="K5837" s="2" t="s">
        <v>3019</v>
      </c>
      <c r="L5837" t="s">
        <v>25</v>
      </c>
      <c r="M5837" s="8">
        <v>1.421</v>
      </c>
      <c r="N5837" t="s">
        <v>26</v>
      </c>
      <c r="O5837" s="8">
        <v>1.421</v>
      </c>
      <c r="P5837" s="8">
        <f>EXP(-1.363+3.366*LOG(O5837,10))</f>
        <v>0.42768500084673816</v>
      </c>
      <c r="Q5837" s="8">
        <f>(2412691*100)/2623642</f>
        <v>91.959611867777696</v>
      </c>
    </row>
    <row r="5838" spans="1:17" x14ac:dyDescent="0.2">
      <c r="A5838">
        <f>YEAR(D5838)</f>
        <v>2020</v>
      </c>
      <c r="B5838" t="s">
        <v>26</v>
      </c>
      <c r="C5838" s="2" t="s">
        <v>3023</v>
      </c>
      <c r="D5838" s="1">
        <v>44049</v>
      </c>
      <c r="E5838">
        <f>MONTH(D5838)</f>
        <v>8</v>
      </c>
      <c r="F5838" s="2" t="s">
        <v>19</v>
      </c>
      <c r="G5838" t="s">
        <v>209</v>
      </c>
      <c r="H5838" t="s">
        <v>212</v>
      </c>
      <c r="I5838" t="s">
        <v>22</v>
      </c>
      <c r="J5838" s="2" t="s">
        <v>42</v>
      </c>
      <c r="K5838" s="2" t="s">
        <v>3019</v>
      </c>
      <c r="L5838" t="s">
        <v>187</v>
      </c>
      <c r="M5838" s="8">
        <v>1.6839999999999999</v>
      </c>
      <c r="N5838" t="s">
        <v>26</v>
      </c>
      <c r="O5838" s="8">
        <v>1.6839999999999999</v>
      </c>
      <c r="P5838" s="8">
        <f>EXP(-1.363+3.366*LOG(O5838,10))</f>
        <v>0.54819043975287984</v>
      </c>
      <c r="Q5838" s="8">
        <f>(8197453*100)/8541008</f>
        <v>95.977582505484136</v>
      </c>
    </row>
    <row r="5839" spans="1:17" x14ac:dyDescent="0.2">
      <c r="A5839">
        <f>YEAR(D5839)</f>
        <v>2020</v>
      </c>
      <c r="B5839" t="s">
        <v>26</v>
      </c>
      <c r="C5839" s="2" t="s">
        <v>3023</v>
      </c>
      <c r="D5839" s="1">
        <v>44049</v>
      </c>
      <c r="E5839">
        <f>MONTH(D5839)</f>
        <v>8</v>
      </c>
      <c r="F5839" s="2" t="s">
        <v>19</v>
      </c>
      <c r="G5839" t="s">
        <v>352</v>
      </c>
      <c r="H5839" t="s">
        <v>975</v>
      </c>
      <c r="I5839" t="s">
        <v>22</v>
      </c>
      <c r="J5839" s="2" t="s">
        <v>42</v>
      </c>
      <c r="K5839" s="2" t="s">
        <v>3019</v>
      </c>
      <c r="L5839" t="s">
        <v>25</v>
      </c>
      <c r="M5839" s="8">
        <v>1.0693333330000001</v>
      </c>
      <c r="N5839" t="s">
        <v>26</v>
      </c>
      <c r="O5839" s="8">
        <v>1.0693333330000001</v>
      </c>
      <c r="P5839" s="8">
        <f>EXP(-1.363+3.366*LOG(O5839,10))</f>
        <v>0.28223780327142356</v>
      </c>
      <c r="Q5839" s="8">
        <f>(8197453*100)/8541008</f>
        <v>95.977582505484136</v>
      </c>
    </row>
    <row r="5840" spans="1:17" x14ac:dyDescent="0.2">
      <c r="A5840">
        <f>YEAR(D5840)</f>
        <v>2020</v>
      </c>
      <c r="B5840" t="s">
        <v>26</v>
      </c>
      <c r="C5840" s="2" t="s">
        <v>3020</v>
      </c>
      <c r="D5840" s="1">
        <v>44053</v>
      </c>
      <c r="E5840">
        <f>MONTH(D5840)</f>
        <v>8</v>
      </c>
      <c r="F5840" s="2" t="s">
        <v>2098</v>
      </c>
      <c r="G5840" t="s">
        <v>230</v>
      </c>
      <c r="H5840" t="s">
        <v>268</v>
      </c>
      <c r="I5840" t="s">
        <v>22</v>
      </c>
      <c r="J5840" s="2" t="s">
        <v>42</v>
      </c>
      <c r="K5840" s="2" t="s">
        <v>3019</v>
      </c>
      <c r="L5840" t="s">
        <v>25</v>
      </c>
      <c r="M5840" s="8">
        <v>3.5356666670000001</v>
      </c>
      <c r="N5840" t="s">
        <v>26</v>
      </c>
      <c r="O5840" s="8">
        <v>3.5356666670000001</v>
      </c>
      <c r="P5840" s="8">
        <f>EXP(-1.363+3.366*LOG(O5840,10))</f>
        <v>1.6211802664427075</v>
      </c>
      <c r="Q5840" s="8">
        <f>(3359412*100)/3462762</f>
        <v>97.015388294084318</v>
      </c>
    </row>
    <row r="5841" spans="1:17" x14ac:dyDescent="0.2">
      <c r="A5841">
        <f>YEAR(D5841)</f>
        <v>2020</v>
      </c>
      <c r="B5841" t="s">
        <v>26</v>
      </c>
      <c r="C5841" s="2" t="s">
        <v>3020</v>
      </c>
      <c r="D5841" s="1">
        <v>44053</v>
      </c>
      <c r="E5841">
        <f>MONTH(D5841)</f>
        <v>8</v>
      </c>
      <c r="F5841" s="2" t="s">
        <v>2098</v>
      </c>
      <c r="G5841" t="s">
        <v>230</v>
      </c>
      <c r="H5841" t="s">
        <v>235</v>
      </c>
      <c r="I5841" t="s">
        <v>22</v>
      </c>
      <c r="J5841" s="2" t="s">
        <v>42</v>
      </c>
      <c r="K5841" s="2" t="s">
        <v>3019</v>
      </c>
      <c r="L5841" t="s">
        <v>25</v>
      </c>
      <c r="M5841" s="8">
        <v>3.4609999999999999</v>
      </c>
      <c r="N5841" t="s">
        <v>26</v>
      </c>
      <c r="O5841" s="8">
        <v>3.4609999999999999</v>
      </c>
      <c r="P5841" s="8">
        <f>EXP(-1.363+3.366*LOG(O5841,10))</f>
        <v>1.5713774371592206</v>
      </c>
      <c r="Q5841" s="8">
        <f>(3359412*100)/3462762</f>
        <v>97.015388294084318</v>
      </c>
    </row>
    <row r="5842" spans="1:17" x14ac:dyDescent="0.2">
      <c r="A5842">
        <f>YEAR(D5842)</f>
        <v>2020</v>
      </c>
      <c r="B5842" t="s">
        <v>26</v>
      </c>
      <c r="C5842" s="2" t="s">
        <v>3020</v>
      </c>
      <c r="D5842" s="1">
        <v>44053</v>
      </c>
      <c r="E5842">
        <f>MONTH(D5842)</f>
        <v>8</v>
      </c>
      <c r="F5842" s="2" t="s">
        <v>2098</v>
      </c>
      <c r="G5842" t="s">
        <v>230</v>
      </c>
      <c r="H5842" t="s">
        <v>268</v>
      </c>
      <c r="I5842" t="s">
        <v>22</v>
      </c>
      <c r="J5842" s="2" t="s">
        <v>42</v>
      </c>
      <c r="K5842" s="2" t="s">
        <v>3019</v>
      </c>
      <c r="L5842" t="s">
        <v>25</v>
      </c>
      <c r="M5842" s="8">
        <v>3.5356666670000001</v>
      </c>
      <c r="N5842" t="s">
        <v>26</v>
      </c>
      <c r="O5842" s="8">
        <v>3.5356666670000001</v>
      </c>
      <c r="P5842" s="8">
        <f>EXP(-1.363+3.366*LOG(O5842,10))</f>
        <v>1.6211802664427075</v>
      </c>
      <c r="Q5842" s="8">
        <f>(3359412*100)/3462762</f>
        <v>97.015388294084318</v>
      </c>
    </row>
    <row r="5843" spans="1:17" x14ac:dyDescent="0.2">
      <c r="A5843">
        <f>YEAR(D5843)</f>
        <v>2020</v>
      </c>
      <c r="B5843" t="s">
        <v>26</v>
      </c>
      <c r="C5843" s="2" t="s">
        <v>3020</v>
      </c>
      <c r="D5843" s="1">
        <v>44053</v>
      </c>
      <c r="E5843">
        <f>MONTH(D5843)</f>
        <v>8</v>
      </c>
      <c r="F5843" s="2" t="s">
        <v>2098</v>
      </c>
      <c r="G5843" t="s">
        <v>230</v>
      </c>
      <c r="H5843" t="s">
        <v>268</v>
      </c>
      <c r="I5843" t="s">
        <v>22</v>
      </c>
      <c r="J5843" s="2" t="s">
        <v>42</v>
      </c>
      <c r="K5843" s="2" t="s">
        <v>3019</v>
      </c>
      <c r="L5843" t="s">
        <v>25</v>
      </c>
      <c r="M5843" s="8">
        <v>3.5356666670000001</v>
      </c>
      <c r="N5843" t="s">
        <v>26</v>
      </c>
      <c r="O5843" s="8">
        <v>3.5356666670000001</v>
      </c>
      <c r="P5843" s="8">
        <f>EXP(-1.363+3.366*LOG(O5843,10))</f>
        <v>1.6211802664427075</v>
      </c>
      <c r="Q5843" s="8">
        <f>(3359412*100)/3462762</f>
        <v>97.015388294084318</v>
      </c>
    </row>
    <row r="5844" spans="1:17" x14ac:dyDescent="0.2">
      <c r="A5844">
        <f>YEAR(D5844)</f>
        <v>2020</v>
      </c>
      <c r="B5844" t="s">
        <v>26</v>
      </c>
      <c r="C5844" s="2" t="s">
        <v>3020</v>
      </c>
      <c r="D5844" s="1">
        <v>44053</v>
      </c>
      <c r="E5844">
        <f>MONTH(D5844)</f>
        <v>8</v>
      </c>
      <c r="F5844" s="2" t="s">
        <v>2098</v>
      </c>
      <c r="G5844" t="s">
        <v>230</v>
      </c>
      <c r="H5844" t="s">
        <v>268</v>
      </c>
      <c r="I5844" t="s">
        <v>22</v>
      </c>
      <c r="J5844" s="2" t="s">
        <v>42</v>
      </c>
      <c r="K5844" s="2" t="s">
        <v>3019</v>
      </c>
      <c r="L5844" t="s">
        <v>25</v>
      </c>
      <c r="M5844" s="8">
        <v>3.5356666670000001</v>
      </c>
      <c r="N5844" t="s">
        <v>26</v>
      </c>
      <c r="O5844" s="8">
        <v>3.5356666670000001</v>
      </c>
      <c r="P5844" s="8">
        <f>EXP(-1.363+3.366*LOG(O5844,10))</f>
        <v>1.6211802664427075</v>
      </c>
      <c r="Q5844" s="8">
        <f>(3359412*100)/3462762</f>
        <v>97.015388294084318</v>
      </c>
    </row>
    <row r="5845" spans="1:17" x14ac:dyDescent="0.2">
      <c r="A5845">
        <f>YEAR(D5845)</f>
        <v>2020</v>
      </c>
      <c r="B5845" t="s">
        <v>26</v>
      </c>
      <c r="C5845" s="2" t="s">
        <v>3020</v>
      </c>
      <c r="D5845" s="1">
        <v>44053</v>
      </c>
      <c r="E5845">
        <f>MONTH(D5845)</f>
        <v>8</v>
      </c>
      <c r="F5845" s="2" t="s">
        <v>2098</v>
      </c>
      <c r="G5845" t="s">
        <v>219</v>
      </c>
      <c r="H5845" t="s">
        <v>220</v>
      </c>
      <c r="I5845" t="s">
        <v>22</v>
      </c>
      <c r="J5845" s="2" t="s">
        <v>42</v>
      </c>
      <c r="K5845" s="2" t="s">
        <v>3019</v>
      </c>
      <c r="L5845" t="s">
        <v>25</v>
      </c>
      <c r="M5845" s="10" t="s">
        <v>26</v>
      </c>
      <c r="N5845" t="s">
        <v>26</v>
      </c>
      <c r="O5845" s="10" t="s">
        <v>26</v>
      </c>
      <c r="P5845" s="8" t="s">
        <v>26</v>
      </c>
      <c r="Q5845" s="8">
        <f>(3359412*100)/3462762</f>
        <v>97.015388294084318</v>
      </c>
    </row>
    <row r="5846" spans="1:17" x14ac:dyDescent="0.2">
      <c r="A5846">
        <f>YEAR(D5846)</f>
        <v>2020</v>
      </c>
      <c r="B5846" t="s">
        <v>26</v>
      </c>
      <c r="C5846" s="2" t="s">
        <v>3020</v>
      </c>
      <c r="D5846" s="1">
        <v>44053</v>
      </c>
      <c r="E5846">
        <f>MONTH(D5846)</f>
        <v>8</v>
      </c>
      <c r="F5846" s="2" t="s">
        <v>2098</v>
      </c>
      <c r="G5846" t="s">
        <v>219</v>
      </c>
      <c r="H5846" t="s">
        <v>220</v>
      </c>
      <c r="I5846" t="s">
        <v>22</v>
      </c>
      <c r="J5846" s="2" t="s">
        <v>42</v>
      </c>
      <c r="K5846" s="2" t="s">
        <v>3019</v>
      </c>
      <c r="L5846" t="s">
        <v>25</v>
      </c>
      <c r="M5846" s="10" t="s">
        <v>26</v>
      </c>
      <c r="N5846" t="s">
        <v>26</v>
      </c>
      <c r="O5846" s="10" t="s">
        <v>26</v>
      </c>
      <c r="P5846" s="8" t="s">
        <v>26</v>
      </c>
      <c r="Q5846" s="8">
        <f>(3359412*100)/3462762</f>
        <v>97.015388294084318</v>
      </c>
    </row>
    <row r="5847" spans="1:17" x14ac:dyDescent="0.2">
      <c r="A5847">
        <f>YEAR(D5847)</f>
        <v>2020</v>
      </c>
      <c r="B5847" t="s">
        <v>26</v>
      </c>
      <c r="C5847" s="2" t="s">
        <v>3020</v>
      </c>
      <c r="D5847" s="1">
        <v>44053</v>
      </c>
      <c r="E5847">
        <f>MONTH(D5847)</f>
        <v>8</v>
      </c>
      <c r="F5847" s="2" t="s">
        <v>2098</v>
      </c>
      <c r="G5847" t="s">
        <v>219</v>
      </c>
      <c r="H5847" t="s">
        <v>220</v>
      </c>
      <c r="I5847" t="s">
        <v>22</v>
      </c>
      <c r="J5847" s="2" t="s">
        <v>42</v>
      </c>
      <c r="K5847" s="2" t="s">
        <v>3019</v>
      </c>
      <c r="L5847" t="s">
        <v>25</v>
      </c>
      <c r="M5847" s="10" t="s">
        <v>26</v>
      </c>
      <c r="N5847" t="s">
        <v>26</v>
      </c>
      <c r="O5847" s="10" t="s">
        <v>26</v>
      </c>
      <c r="P5847" s="8" t="s">
        <v>26</v>
      </c>
      <c r="Q5847" s="8">
        <f>(3359412*100)/3462762</f>
        <v>97.015388294084318</v>
      </c>
    </row>
    <row r="5848" spans="1:17" x14ac:dyDescent="0.2">
      <c r="A5848">
        <f>YEAR(D5848)</f>
        <v>2020</v>
      </c>
      <c r="B5848" t="s">
        <v>26</v>
      </c>
      <c r="C5848" s="2" t="s">
        <v>3020</v>
      </c>
      <c r="D5848" s="1">
        <v>44053</v>
      </c>
      <c r="E5848">
        <f>MONTH(D5848)</f>
        <v>8</v>
      </c>
      <c r="F5848" s="2" t="s">
        <v>2098</v>
      </c>
      <c r="G5848" t="s">
        <v>230</v>
      </c>
      <c r="H5848" t="s">
        <v>268</v>
      </c>
      <c r="I5848" t="s">
        <v>22</v>
      </c>
      <c r="J5848" s="2" t="s">
        <v>42</v>
      </c>
      <c r="K5848" s="2" t="s">
        <v>3019</v>
      </c>
      <c r="L5848" t="s">
        <v>25</v>
      </c>
      <c r="M5848" s="8">
        <v>3.5356666670000001</v>
      </c>
      <c r="N5848" t="s">
        <v>26</v>
      </c>
      <c r="O5848" s="8">
        <v>3.5356666670000001</v>
      </c>
      <c r="P5848" s="8">
        <f>EXP(-1.363+3.366*LOG(O5848,10))</f>
        <v>1.6211802664427075</v>
      </c>
      <c r="Q5848" s="8">
        <f>(3359412*100)/3462762</f>
        <v>97.015388294084318</v>
      </c>
    </row>
    <row r="5849" spans="1:17" x14ac:dyDescent="0.2">
      <c r="A5849">
        <f>YEAR(D5849)</f>
        <v>2020</v>
      </c>
      <c r="B5849" t="s">
        <v>26</v>
      </c>
      <c r="C5849" s="2" t="s">
        <v>3020</v>
      </c>
      <c r="D5849" s="1">
        <v>44053</v>
      </c>
      <c r="E5849">
        <f>MONTH(D5849)</f>
        <v>8</v>
      </c>
      <c r="F5849" s="2" t="s">
        <v>2098</v>
      </c>
      <c r="G5849" t="s">
        <v>230</v>
      </c>
      <c r="H5849" t="s">
        <v>268</v>
      </c>
      <c r="I5849" t="s">
        <v>22</v>
      </c>
      <c r="J5849" s="2" t="s">
        <v>42</v>
      </c>
      <c r="K5849" s="2" t="s">
        <v>3019</v>
      </c>
      <c r="L5849" t="s">
        <v>25</v>
      </c>
      <c r="M5849" s="8">
        <v>3.5356666670000001</v>
      </c>
      <c r="N5849" t="s">
        <v>26</v>
      </c>
      <c r="O5849" s="8">
        <v>3.5356666670000001</v>
      </c>
      <c r="P5849" s="8">
        <f>EXP(-1.363+3.366*LOG(O5849,10))</f>
        <v>1.6211802664427075</v>
      </c>
      <c r="Q5849" s="8">
        <f>(3359412*100)/3462762</f>
        <v>97.015388294084318</v>
      </c>
    </row>
    <row r="5850" spans="1:17" x14ac:dyDescent="0.2">
      <c r="A5850">
        <f>YEAR(D5850)</f>
        <v>2020</v>
      </c>
      <c r="B5850" t="s">
        <v>26</v>
      </c>
      <c r="C5850" s="2" t="s">
        <v>3020</v>
      </c>
      <c r="D5850" s="1">
        <v>44053</v>
      </c>
      <c r="E5850">
        <f>MONTH(D5850)</f>
        <v>8</v>
      </c>
      <c r="F5850" s="2" t="s">
        <v>2098</v>
      </c>
      <c r="G5850" t="s">
        <v>352</v>
      </c>
      <c r="H5850" t="s">
        <v>1459</v>
      </c>
      <c r="I5850" t="s">
        <v>22</v>
      </c>
      <c r="J5850" s="2" t="s">
        <v>42</v>
      </c>
      <c r="K5850" s="2" t="s">
        <v>3019</v>
      </c>
      <c r="L5850" t="s">
        <v>25</v>
      </c>
      <c r="M5850" s="8">
        <v>1.1910000000000001</v>
      </c>
      <c r="N5850" t="s">
        <v>26</v>
      </c>
      <c r="O5850" s="8">
        <v>1.1910000000000001</v>
      </c>
      <c r="P5850" s="8">
        <f>EXP(-1.363+3.366*LOG(O5850,10))</f>
        <v>0.33039016297752993</v>
      </c>
      <c r="Q5850" s="8">
        <f>(3359412*100)/3462762</f>
        <v>97.015388294084318</v>
      </c>
    </row>
    <row r="5851" spans="1:17" x14ac:dyDescent="0.2">
      <c r="A5851">
        <f>YEAR(D5851)</f>
        <v>2020</v>
      </c>
      <c r="B5851" t="s">
        <v>26</v>
      </c>
      <c r="C5851" s="2" t="s">
        <v>3020</v>
      </c>
      <c r="D5851" s="1">
        <v>44053</v>
      </c>
      <c r="E5851">
        <f>MONTH(D5851)</f>
        <v>8</v>
      </c>
      <c r="F5851" s="2" t="s">
        <v>2098</v>
      </c>
      <c r="G5851" t="s">
        <v>352</v>
      </c>
      <c r="H5851" t="s">
        <v>1459</v>
      </c>
      <c r="I5851" t="s">
        <v>22</v>
      </c>
      <c r="J5851" s="2" t="s">
        <v>42</v>
      </c>
      <c r="K5851" s="2" t="s">
        <v>3019</v>
      </c>
      <c r="L5851" t="s">
        <v>25</v>
      </c>
      <c r="M5851" s="8">
        <v>1.1910000000000001</v>
      </c>
      <c r="N5851" t="s">
        <v>26</v>
      </c>
      <c r="O5851" s="8">
        <v>1.1910000000000001</v>
      </c>
      <c r="P5851" s="8">
        <f>EXP(-1.363+3.366*LOG(O5851,10))</f>
        <v>0.33039016297752993</v>
      </c>
      <c r="Q5851" s="8">
        <f>(3359412*100)/3462762</f>
        <v>97.015388294084318</v>
      </c>
    </row>
    <row r="5852" spans="1:17" x14ac:dyDescent="0.2">
      <c r="A5852">
        <f>YEAR(D5852)</f>
        <v>2020</v>
      </c>
      <c r="B5852" t="s">
        <v>26</v>
      </c>
      <c r="C5852" s="2" t="s">
        <v>3020</v>
      </c>
      <c r="D5852" s="1">
        <v>44053</v>
      </c>
      <c r="E5852">
        <f>MONTH(D5852)</f>
        <v>8</v>
      </c>
      <c r="F5852" s="2" t="s">
        <v>2098</v>
      </c>
      <c r="G5852" t="s">
        <v>352</v>
      </c>
      <c r="H5852" t="s">
        <v>975</v>
      </c>
      <c r="I5852" t="s">
        <v>22</v>
      </c>
      <c r="J5852" s="2" t="s">
        <v>42</v>
      </c>
      <c r="K5852" s="2" t="s">
        <v>3019</v>
      </c>
      <c r="L5852" t="s">
        <v>25</v>
      </c>
      <c r="M5852" s="8">
        <v>1.0693333330000001</v>
      </c>
      <c r="N5852" t="s">
        <v>26</v>
      </c>
      <c r="O5852" s="8">
        <v>1.0693333330000001</v>
      </c>
      <c r="P5852" s="8">
        <f>EXP(-1.363+3.366*LOG(O5852,10))</f>
        <v>0.28223780327142356</v>
      </c>
      <c r="Q5852" s="8">
        <f>(3359412*100)/3462762</f>
        <v>97.015388294084318</v>
      </c>
    </row>
    <row r="5853" spans="1:17" x14ac:dyDescent="0.2">
      <c r="A5853">
        <f>YEAR(D5853)</f>
        <v>2020</v>
      </c>
      <c r="B5853" t="s">
        <v>26</v>
      </c>
      <c r="C5853" s="2" t="s">
        <v>3020</v>
      </c>
      <c r="D5853" s="1">
        <v>44053</v>
      </c>
      <c r="E5853">
        <f>MONTH(D5853)</f>
        <v>8</v>
      </c>
      <c r="F5853" s="2" t="s">
        <v>2098</v>
      </c>
      <c r="G5853" t="s">
        <v>362</v>
      </c>
      <c r="H5853" t="s">
        <v>421</v>
      </c>
      <c r="I5853" t="s">
        <v>22</v>
      </c>
      <c r="J5853" s="2" t="s">
        <v>42</v>
      </c>
      <c r="K5853" s="2" t="s">
        <v>3019</v>
      </c>
      <c r="L5853" t="s">
        <v>25</v>
      </c>
      <c r="M5853" s="8">
        <v>1.921333333</v>
      </c>
      <c r="N5853" t="s">
        <v>26</v>
      </c>
      <c r="O5853" s="8">
        <v>1.921333333</v>
      </c>
      <c r="P5853" s="8">
        <f>EXP(-1.363+3.366*LOG(O5853,10))</f>
        <v>0.66471742502276976</v>
      </c>
      <c r="Q5853" s="8">
        <f>(3359412*100)/3462762</f>
        <v>97.015388294084318</v>
      </c>
    </row>
    <row r="5854" spans="1:17" x14ac:dyDescent="0.2">
      <c r="A5854">
        <f>YEAR(D5854)</f>
        <v>2020</v>
      </c>
      <c r="B5854" t="s">
        <v>26</v>
      </c>
      <c r="C5854" s="2" t="s">
        <v>3020</v>
      </c>
      <c r="D5854" s="1">
        <v>44053</v>
      </c>
      <c r="E5854">
        <f>MONTH(D5854)</f>
        <v>8</v>
      </c>
      <c r="F5854" s="2" t="s">
        <v>2098</v>
      </c>
      <c r="G5854" t="s">
        <v>1520</v>
      </c>
      <c r="H5854" t="s">
        <v>1521</v>
      </c>
      <c r="I5854" t="s">
        <v>36</v>
      </c>
      <c r="J5854" s="2" t="s">
        <v>42</v>
      </c>
      <c r="K5854" s="2" t="s">
        <v>3019</v>
      </c>
      <c r="L5854" t="s">
        <v>25</v>
      </c>
      <c r="M5854" s="8">
        <v>2.3340000000000001</v>
      </c>
      <c r="N5854" t="s">
        <v>26</v>
      </c>
      <c r="O5854" s="8">
        <v>2.3340000000000001</v>
      </c>
      <c r="P5854" s="8">
        <f>EXP(-1.363+3.366*LOG(O5854,10))</f>
        <v>0.88340410488080767</v>
      </c>
      <c r="Q5854" s="8">
        <f>(3359412*100)/3462762</f>
        <v>97.015388294084318</v>
      </c>
    </row>
    <row r="5855" spans="1:17" x14ac:dyDescent="0.2">
      <c r="A5855">
        <f>YEAR(D5855)</f>
        <v>2020</v>
      </c>
      <c r="B5855" t="s">
        <v>26</v>
      </c>
      <c r="C5855" s="2" t="s">
        <v>3020</v>
      </c>
      <c r="D5855" s="1">
        <v>44053</v>
      </c>
      <c r="E5855">
        <f>MONTH(D5855)</f>
        <v>8</v>
      </c>
      <c r="F5855" s="2" t="s">
        <v>2098</v>
      </c>
      <c r="G5855" t="s">
        <v>362</v>
      </c>
      <c r="H5855" t="s">
        <v>447</v>
      </c>
      <c r="I5855" t="s">
        <v>22</v>
      </c>
      <c r="J5855" s="2" t="s">
        <v>42</v>
      </c>
      <c r="K5855" s="2" t="s">
        <v>3019</v>
      </c>
      <c r="L5855" t="s">
        <v>25</v>
      </c>
      <c r="M5855" s="8">
        <v>1.421</v>
      </c>
      <c r="N5855" t="s">
        <v>26</v>
      </c>
      <c r="O5855" s="8">
        <v>1.421</v>
      </c>
      <c r="P5855" s="8">
        <f>EXP(-1.363+3.366*LOG(O5855,10))</f>
        <v>0.42768500084673816</v>
      </c>
      <c r="Q5855" s="8">
        <f>(3359412*100)/3462762</f>
        <v>97.015388294084318</v>
      </c>
    </row>
    <row r="5856" spans="1:17" x14ac:dyDescent="0.2">
      <c r="A5856">
        <f>YEAR(D5856)</f>
        <v>2020</v>
      </c>
      <c r="B5856" t="s">
        <v>26</v>
      </c>
      <c r="C5856" s="2" t="s">
        <v>3020</v>
      </c>
      <c r="D5856" s="1">
        <v>44053</v>
      </c>
      <c r="E5856">
        <f>MONTH(D5856)</f>
        <v>8</v>
      </c>
      <c r="F5856" s="2" t="s">
        <v>2098</v>
      </c>
      <c r="G5856" t="s">
        <v>352</v>
      </c>
      <c r="H5856" t="s">
        <v>975</v>
      </c>
      <c r="I5856" t="s">
        <v>22</v>
      </c>
      <c r="J5856" s="2" t="s">
        <v>42</v>
      </c>
      <c r="K5856" s="2" t="s">
        <v>3019</v>
      </c>
      <c r="L5856" t="s">
        <v>25</v>
      </c>
      <c r="M5856" s="8">
        <v>1.0693333330000001</v>
      </c>
      <c r="N5856" t="s">
        <v>26</v>
      </c>
      <c r="O5856" s="8">
        <v>1.0693333330000001</v>
      </c>
      <c r="P5856" s="8">
        <f>EXP(-1.363+3.366*LOG(O5856,10))</f>
        <v>0.28223780327142356</v>
      </c>
      <c r="Q5856" s="8">
        <f>(3359412*100)/3462762</f>
        <v>97.015388294084318</v>
      </c>
    </row>
    <row r="5857" spans="1:17" x14ac:dyDescent="0.2">
      <c r="A5857">
        <f>YEAR(D5857)</f>
        <v>2020</v>
      </c>
      <c r="B5857" t="s">
        <v>26</v>
      </c>
      <c r="C5857" s="2" t="s">
        <v>3020</v>
      </c>
      <c r="D5857" s="1">
        <v>44053</v>
      </c>
      <c r="E5857">
        <f>MONTH(D5857)</f>
        <v>8</v>
      </c>
      <c r="F5857" s="2" t="s">
        <v>2098</v>
      </c>
      <c r="G5857" t="s">
        <v>332</v>
      </c>
      <c r="H5857" t="s">
        <v>327</v>
      </c>
      <c r="I5857" t="s">
        <v>22</v>
      </c>
      <c r="J5857" s="2" t="s">
        <v>42</v>
      </c>
      <c r="K5857" s="2" t="s">
        <v>3019</v>
      </c>
      <c r="L5857" t="s">
        <v>25</v>
      </c>
      <c r="M5857" s="8">
        <v>1.239333333</v>
      </c>
      <c r="N5857" t="s">
        <v>26</v>
      </c>
      <c r="O5857" s="8">
        <v>1.239333333</v>
      </c>
      <c r="P5857" s="8">
        <f>EXP(-1.363+3.366*LOG(O5857,10))</f>
        <v>0.35017272283851147</v>
      </c>
      <c r="Q5857" s="8">
        <f>(3359412*100)/3462762</f>
        <v>97.015388294084318</v>
      </c>
    </row>
    <row r="5858" spans="1:17" x14ac:dyDescent="0.2">
      <c r="A5858">
        <f>YEAR(D5858)</f>
        <v>2020</v>
      </c>
      <c r="B5858" t="s">
        <v>26</v>
      </c>
      <c r="C5858" s="2" t="s">
        <v>1552</v>
      </c>
      <c r="D5858" s="1">
        <v>44054</v>
      </c>
      <c r="E5858">
        <f>MONTH(D5858)</f>
        <v>8</v>
      </c>
      <c r="F5858" s="2" t="s">
        <v>2098</v>
      </c>
      <c r="G5858" t="s">
        <v>230</v>
      </c>
      <c r="H5858" t="s">
        <v>268</v>
      </c>
      <c r="I5858" t="s">
        <v>22</v>
      </c>
      <c r="J5858" s="2" t="s">
        <v>42</v>
      </c>
      <c r="K5858" s="2" t="s">
        <v>3019</v>
      </c>
      <c r="L5858" t="s">
        <v>25</v>
      </c>
      <c r="M5858" s="8">
        <v>3.5356666670000001</v>
      </c>
      <c r="N5858" t="s">
        <v>26</v>
      </c>
      <c r="O5858" s="8">
        <v>3.5356666670000001</v>
      </c>
      <c r="P5858" s="8">
        <f>EXP(-1.363+3.366*LOG(O5858,10))</f>
        <v>1.6211802664427075</v>
      </c>
      <c r="Q5858" s="8">
        <f>(3738946*100)/3915493</f>
        <v>95.491065875995687</v>
      </c>
    </row>
    <row r="5859" spans="1:17" x14ac:dyDescent="0.2">
      <c r="A5859">
        <f>YEAR(D5859)</f>
        <v>2020</v>
      </c>
      <c r="B5859" t="s">
        <v>26</v>
      </c>
      <c r="C5859" s="2" t="s">
        <v>1552</v>
      </c>
      <c r="D5859" s="1">
        <v>44054</v>
      </c>
      <c r="E5859">
        <f>MONTH(D5859)</f>
        <v>8</v>
      </c>
      <c r="F5859" s="2" t="s">
        <v>2098</v>
      </c>
      <c r="G5859" t="s">
        <v>230</v>
      </c>
      <c r="H5859" t="s">
        <v>268</v>
      </c>
      <c r="I5859" t="s">
        <v>22</v>
      </c>
      <c r="J5859" s="2" t="s">
        <v>42</v>
      </c>
      <c r="K5859" s="2" t="s">
        <v>3019</v>
      </c>
      <c r="L5859" t="s">
        <v>25</v>
      </c>
      <c r="M5859" s="8">
        <v>3.5356666670000001</v>
      </c>
      <c r="N5859" t="s">
        <v>26</v>
      </c>
      <c r="O5859" s="8">
        <v>3.5356666670000001</v>
      </c>
      <c r="P5859" s="8">
        <f>EXP(-1.363+3.366*LOG(O5859,10))</f>
        <v>1.6211802664427075</v>
      </c>
      <c r="Q5859" s="8">
        <f>(3738946*100)/3915493</f>
        <v>95.491065875995687</v>
      </c>
    </row>
    <row r="5860" spans="1:17" x14ac:dyDescent="0.2">
      <c r="A5860">
        <f>YEAR(D5860)</f>
        <v>2020</v>
      </c>
      <c r="B5860" t="s">
        <v>26</v>
      </c>
      <c r="C5860" s="2" t="s">
        <v>1552</v>
      </c>
      <c r="D5860" s="1">
        <v>44054</v>
      </c>
      <c r="E5860">
        <f>MONTH(D5860)</f>
        <v>8</v>
      </c>
      <c r="F5860" s="2" t="s">
        <v>2098</v>
      </c>
      <c r="G5860" t="s">
        <v>219</v>
      </c>
      <c r="H5860" t="s">
        <v>220</v>
      </c>
      <c r="I5860" t="s">
        <v>22</v>
      </c>
      <c r="J5860" s="2" t="s">
        <v>42</v>
      </c>
      <c r="K5860" s="2" t="s">
        <v>3019</v>
      </c>
      <c r="L5860" t="s">
        <v>25</v>
      </c>
      <c r="M5860" s="10" t="s">
        <v>26</v>
      </c>
      <c r="N5860" t="s">
        <v>26</v>
      </c>
      <c r="O5860" s="10" t="s">
        <v>26</v>
      </c>
      <c r="P5860" s="8" t="s">
        <v>26</v>
      </c>
      <c r="Q5860" s="8">
        <f>(3738946*100)/3915493</f>
        <v>95.491065875995687</v>
      </c>
    </row>
    <row r="5861" spans="1:17" x14ac:dyDescent="0.2">
      <c r="A5861">
        <f>YEAR(D5861)</f>
        <v>2020</v>
      </c>
      <c r="B5861" t="s">
        <v>26</v>
      </c>
      <c r="C5861" s="2" t="s">
        <v>1552</v>
      </c>
      <c r="D5861" s="1">
        <v>44054</v>
      </c>
      <c r="E5861">
        <f>MONTH(D5861)</f>
        <v>8</v>
      </c>
      <c r="F5861" s="2" t="s">
        <v>2098</v>
      </c>
      <c r="G5861" t="s">
        <v>219</v>
      </c>
      <c r="H5861" t="s">
        <v>220</v>
      </c>
      <c r="I5861" t="s">
        <v>22</v>
      </c>
      <c r="J5861" s="2" t="s">
        <v>42</v>
      </c>
      <c r="K5861" s="2" t="s">
        <v>3019</v>
      </c>
      <c r="L5861" t="s">
        <v>25</v>
      </c>
      <c r="M5861" s="10" t="s">
        <v>26</v>
      </c>
      <c r="N5861" t="s">
        <v>26</v>
      </c>
      <c r="O5861" s="10" t="s">
        <v>26</v>
      </c>
      <c r="P5861" s="8" t="s">
        <v>26</v>
      </c>
      <c r="Q5861" s="8">
        <f>(3738946*100)/3915493</f>
        <v>95.491065875995687</v>
      </c>
    </row>
    <row r="5862" spans="1:17" x14ac:dyDescent="0.2">
      <c r="A5862">
        <f>YEAR(D5862)</f>
        <v>2020</v>
      </c>
      <c r="B5862" t="s">
        <v>26</v>
      </c>
      <c r="C5862" s="2" t="s">
        <v>1552</v>
      </c>
      <c r="D5862" s="1">
        <v>44054</v>
      </c>
      <c r="E5862">
        <f>MONTH(D5862)</f>
        <v>8</v>
      </c>
      <c r="F5862" s="2" t="s">
        <v>2098</v>
      </c>
      <c r="G5862" t="s">
        <v>219</v>
      </c>
      <c r="H5862" t="s">
        <v>220</v>
      </c>
      <c r="I5862" t="s">
        <v>22</v>
      </c>
      <c r="J5862" s="2" t="s">
        <v>42</v>
      </c>
      <c r="K5862" s="2" t="s">
        <v>3019</v>
      </c>
      <c r="L5862" t="s">
        <v>25</v>
      </c>
      <c r="M5862" s="10" t="s">
        <v>26</v>
      </c>
      <c r="N5862" t="s">
        <v>26</v>
      </c>
      <c r="O5862" s="10" t="s">
        <v>26</v>
      </c>
      <c r="P5862" s="8" t="s">
        <v>26</v>
      </c>
      <c r="Q5862" s="8">
        <f>(3738946*100)/3915493</f>
        <v>95.491065875995687</v>
      </c>
    </row>
    <row r="5863" spans="1:17" x14ac:dyDescent="0.2">
      <c r="A5863">
        <f>YEAR(D5863)</f>
        <v>2020</v>
      </c>
      <c r="B5863" t="s">
        <v>26</v>
      </c>
      <c r="C5863" s="2" t="s">
        <v>1552</v>
      </c>
      <c r="D5863" s="1">
        <v>44054</v>
      </c>
      <c r="E5863">
        <f>MONTH(D5863)</f>
        <v>8</v>
      </c>
      <c r="F5863" s="2" t="s">
        <v>2098</v>
      </c>
      <c r="G5863" t="s">
        <v>362</v>
      </c>
      <c r="H5863" t="s">
        <v>393</v>
      </c>
      <c r="I5863" t="s">
        <v>22</v>
      </c>
      <c r="J5863" s="2" t="s">
        <v>42</v>
      </c>
      <c r="K5863" s="2" t="s">
        <v>3019</v>
      </c>
      <c r="L5863" t="s">
        <v>25</v>
      </c>
      <c r="M5863" s="8">
        <v>2.4239999999999999</v>
      </c>
      <c r="N5863" t="s">
        <v>26</v>
      </c>
      <c r="O5863" s="8">
        <v>2.4239999999999999</v>
      </c>
      <c r="P5863" s="8">
        <f>EXP(-1.363+3.366*LOG(O5863,10))</f>
        <v>0.93364106227732868</v>
      </c>
      <c r="Q5863" s="8">
        <f>(3738946*100)/3915493</f>
        <v>95.491065875995687</v>
      </c>
    </row>
    <row r="5864" spans="1:17" x14ac:dyDescent="0.2">
      <c r="A5864">
        <f>YEAR(D5864)</f>
        <v>2020</v>
      </c>
      <c r="B5864" t="s">
        <v>26</v>
      </c>
      <c r="C5864" s="2" t="s">
        <v>1540</v>
      </c>
      <c r="D5864" s="1">
        <v>44054</v>
      </c>
      <c r="E5864">
        <f>MONTH(D5864)</f>
        <v>8</v>
      </c>
      <c r="F5864" s="2" t="s">
        <v>2098</v>
      </c>
      <c r="G5864" t="s">
        <v>219</v>
      </c>
      <c r="H5864" t="s">
        <v>220</v>
      </c>
      <c r="I5864" t="s">
        <v>22</v>
      </c>
      <c r="J5864" s="2" t="s">
        <v>42</v>
      </c>
      <c r="K5864" s="2" t="s">
        <v>3019</v>
      </c>
      <c r="L5864" t="s">
        <v>25</v>
      </c>
      <c r="M5864" s="10" t="s">
        <v>26</v>
      </c>
      <c r="N5864" t="s">
        <v>26</v>
      </c>
      <c r="O5864" s="10" t="s">
        <v>26</v>
      </c>
      <c r="P5864" s="8" t="s">
        <v>26</v>
      </c>
      <c r="Q5864" s="8">
        <f>(2618262*100)/2995732</f>
        <v>87.399740697766021</v>
      </c>
    </row>
    <row r="5865" spans="1:17" x14ac:dyDescent="0.2">
      <c r="A5865">
        <f>YEAR(D5865)</f>
        <v>2020</v>
      </c>
      <c r="B5865" t="s">
        <v>26</v>
      </c>
      <c r="C5865" s="2" t="s">
        <v>1540</v>
      </c>
      <c r="D5865" s="1">
        <v>44054</v>
      </c>
      <c r="E5865">
        <f>MONTH(D5865)</f>
        <v>8</v>
      </c>
      <c r="F5865" s="2" t="s">
        <v>2098</v>
      </c>
      <c r="G5865" t="s">
        <v>219</v>
      </c>
      <c r="H5865" t="s">
        <v>220</v>
      </c>
      <c r="I5865" t="s">
        <v>22</v>
      </c>
      <c r="J5865" s="2" t="s">
        <v>42</v>
      </c>
      <c r="K5865" s="2" t="s">
        <v>3019</v>
      </c>
      <c r="L5865" t="s">
        <v>25</v>
      </c>
      <c r="M5865" s="10" t="s">
        <v>26</v>
      </c>
      <c r="N5865" t="s">
        <v>26</v>
      </c>
      <c r="O5865" s="10" t="s">
        <v>26</v>
      </c>
      <c r="P5865" s="8" t="s">
        <v>26</v>
      </c>
      <c r="Q5865" s="8">
        <f>(2618262*100)/2995732</f>
        <v>87.399740697766021</v>
      </c>
    </row>
    <row r="5866" spans="1:17" x14ac:dyDescent="0.2">
      <c r="A5866">
        <f>YEAR(D5866)</f>
        <v>2020</v>
      </c>
      <c r="B5866" t="s">
        <v>26</v>
      </c>
      <c r="C5866" s="2" t="s">
        <v>1540</v>
      </c>
      <c r="D5866" s="1">
        <v>44054</v>
      </c>
      <c r="E5866">
        <f>MONTH(D5866)</f>
        <v>8</v>
      </c>
      <c r="F5866" s="2" t="s">
        <v>2098</v>
      </c>
      <c r="G5866" t="s">
        <v>219</v>
      </c>
      <c r="H5866" t="s">
        <v>220</v>
      </c>
      <c r="I5866" t="s">
        <v>22</v>
      </c>
      <c r="J5866" s="2" t="s">
        <v>42</v>
      </c>
      <c r="K5866" s="2" t="s">
        <v>3019</v>
      </c>
      <c r="L5866" t="s">
        <v>25</v>
      </c>
      <c r="M5866" s="10" t="s">
        <v>26</v>
      </c>
      <c r="N5866" t="s">
        <v>26</v>
      </c>
      <c r="O5866" s="10" t="s">
        <v>26</v>
      </c>
      <c r="P5866" s="8" t="s">
        <v>26</v>
      </c>
      <c r="Q5866" s="8">
        <f>(2618262*100)/2995732</f>
        <v>87.399740697766021</v>
      </c>
    </row>
    <row r="5867" spans="1:17" x14ac:dyDescent="0.2">
      <c r="A5867">
        <f>YEAR(D5867)</f>
        <v>2020</v>
      </c>
      <c r="B5867" t="s">
        <v>26</v>
      </c>
      <c r="C5867" s="2" t="s">
        <v>1540</v>
      </c>
      <c r="D5867" s="1">
        <v>44054</v>
      </c>
      <c r="E5867">
        <f>MONTH(D5867)</f>
        <v>8</v>
      </c>
      <c r="F5867" s="2" t="s">
        <v>2098</v>
      </c>
      <c r="G5867" t="s">
        <v>230</v>
      </c>
      <c r="H5867" t="s">
        <v>268</v>
      </c>
      <c r="I5867" t="s">
        <v>22</v>
      </c>
      <c r="J5867" s="2" t="s">
        <v>42</v>
      </c>
      <c r="K5867" s="2" t="s">
        <v>3019</v>
      </c>
      <c r="L5867" t="s">
        <v>25</v>
      </c>
      <c r="M5867" s="8">
        <v>3.5356666670000001</v>
      </c>
      <c r="N5867" t="s">
        <v>26</v>
      </c>
      <c r="O5867" s="8">
        <v>3.5356666670000001</v>
      </c>
      <c r="P5867" s="8">
        <f>EXP(-1.363+3.366*LOG(O5867,10))</f>
        <v>1.6211802664427075</v>
      </c>
      <c r="Q5867" s="8">
        <f>(2618262*100)/2995732</f>
        <v>87.399740697766021</v>
      </c>
    </row>
    <row r="5868" spans="1:17" x14ac:dyDescent="0.2">
      <c r="A5868">
        <f>YEAR(D5868)</f>
        <v>2020</v>
      </c>
      <c r="B5868" t="s">
        <v>26</v>
      </c>
      <c r="C5868" s="2" t="s">
        <v>1540</v>
      </c>
      <c r="D5868" s="1">
        <v>44054</v>
      </c>
      <c r="E5868">
        <f>MONTH(D5868)</f>
        <v>8</v>
      </c>
      <c r="F5868" s="2" t="s">
        <v>2098</v>
      </c>
      <c r="G5868" t="s">
        <v>230</v>
      </c>
      <c r="H5868" t="s">
        <v>268</v>
      </c>
      <c r="I5868" t="s">
        <v>22</v>
      </c>
      <c r="J5868" s="2" t="s">
        <v>42</v>
      </c>
      <c r="K5868" s="2" t="s">
        <v>3019</v>
      </c>
      <c r="L5868" t="s">
        <v>25</v>
      </c>
      <c r="M5868" s="8">
        <v>3.5356666670000001</v>
      </c>
      <c r="N5868" t="s">
        <v>26</v>
      </c>
      <c r="O5868" s="8">
        <v>3.5356666670000001</v>
      </c>
      <c r="P5868" s="8">
        <f>EXP(-1.363+3.366*LOG(O5868,10))</f>
        <v>1.6211802664427075</v>
      </c>
      <c r="Q5868" s="8">
        <f>(2618262*100)/2995732</f>
        <v>87.399740697766021</v>
      </c>
    </row>
    <row r="5869" spans="1:17" x14ac:dyDescent="0.2">
      <c r="A5869">
        <f>YEAR(D5869)</f>
        <v>2020</v>
      </c>
      <c r="B5869" t="s">
        <v>26</v>
      </c>
      <c r="C5869" s="2" t="s">
        <v>1540</v>
      </c>
      <c r="D5869" s="1">
        <v>44054</v>
      </c>
      <c r="E5869">
        <f>MONTH(D5869)</f>
        <v>8</v>
      </c>
      <c r="F5869" s="2" t="s">
        <v>2098</v>
      </c>
      <c r="G5869" t="s">
        <v>230</v>
      </c>
      <c r="H5869" t="s">
        <v>268</v>
      </c>
      <c r="I5869" t="s">
        <v>22</v>
      </c>
      <c r="J5869" s="2" t="s">
        <v>42</v>
      </c>
      <c r="K5869" s="2" t="s">
        <v>3019</v>
      </c>
      <c r="L5869" t="s">
        <v>25</v>
      </c>
      <c r="M5869" s="8">
        <v>3.5356666670000001</v>
      </c>
      <c r="N5869" t="s">
        <v>26</v>
      </c>
      <c r="O5869" s="8">
        <v>3.5356666670000001</v>
      </c>
      <c r="P5869" s="8">
        <f>EXP(-1.363+3.366*LOG(O5869,10))</f>
        <v>1.6211802664427075</v>
      </c>
      <c r="Q5869" s="8">
        <f>(2618262*100)/2995732</f>
        <v>87.399740697766021</v>
      </c>
    </row>
    <row r="5870" spans="1:17" x14ac:dyDescent="0.2">
      <c r="A5870">
        <f>YEAR(D5870)</f>
        <v>2020</v>
      </c>
      <c r="B5870" t="s">
        <v>26</v>
      </c>
      <c r="C5870" s="2" t="s">
        <v>1540</v>
      </c>
      <c r="D5870" s="1">
        <v>44054</v>
      </c>
      <c r="E5870">
        <f>MONTH(D5870)</f>
        <v>8</v>
      </c>
      <c r="F5870" s="2" t="s">
        <v>2098</v>
      </c>
      <c r="G5870" t="s">
        <v>230</v>
      </c>
      <c r="H5870" t="s">
        <v>268</v>
      </c>
      <c r="I5870" t="s">
        <v>22</v>
      </c>
      <c r="J5870" s="2" t="s">
        <v>42</v>
      </c>
      <c r="K5870" s="2" t="s">
        <v>3019</v>
      </c>
      <c r="L5870" t="s">
        <v>25</v>
      </c>
      <c r="M5870" s="8">
        <v>3.5356666670000001</v>
      </c>
      <c r="N5870" t="s">
        <v>26</v>
      </c>
      <c r="O5870" s="8">
        <v>3.5356666670000001</v>
      </c>
      <c r="P5870" s="8">
        <f>EXP(-1.363+3.366*LOG(O5870,10))</f>
        <v>1.6211802664427075</v>
      </c>
      <c r="Q5870" s="8">
        <f>(2618262*100)/2995732</f>
        <v>87.399740697766021</v>
      </c>
    </row>
    <row r="5871" spans="1:17" x14ac:dyDescent="0.2">
      <c r="A5871">
        <f>YEAR(D5871)</f>
        <v>2020</v>
      </c>
      <c r="B5871" t="s">
        <v>26</v>
      </c>
      <c r="C5871" s="2" t="s">
        <v>1540</v>
      </c>
      <c r="D5871" s="1">
        <v>44054</v>
      </c>
      <c r="E5871">
        <f>MONTH(D5871)</f>
        <v>8</v>
      </c>
      <c r="F5871" s="2" t="s">
        <v>2098</v>
      </c>
      <c r="G5871" t="s">
        <v>230</v>
      </c>
      <c r="H5871" t="s">
        <v>268</v>
      </c>
      <c r="I5871" t="s">
        <v>22</v>
      </c>
      <c r="J5871" s="2" t="s">
        <v>42</v>
      </c>
      <c r="K5871" s="2" t="s">
        <v>3019</v>
      </c>
      <c r="L5871" t="s">
        <v>25</v>
      </c>
      <c r="M5871" s="8">
        <v>3.5356666670000001</v>
      </c>
      <c r="N5871" t="s">
        <v>26</v>
      </c>
      <c r="O5871" s="8">
        <v>3.5356666670000001</v>
      </c>
      <c r="P5871" s="8">
        <f>EXP(-1.363+3.366*LOG(O5871,10))</f>
        <v>1.6211802664427075</v>
      </c>
      <c r="Q5871" s="8">
        <f>(2618262*100)/2995732</f>
        <v>87.399740697766021</v>
      </c>
    </row>
    <row r="5872" spans="1:17" x14ac:dyDescent="0.2">
      <c r="A5872">
        <f>YEAR(D5872)</f>
        <v>2020</v>
      </c>
      <c r="B5872" t="s">
        <v>26</v>
      </c>
      <c r="C5872" s="2" t="s">
        <v>1540</v>
      </c>
      <c r="D5872" s="1">
        <v>44054</v>
      </c>
      <c r="E5872">
        <f>MONTH(D5872)</f>
        <v>8</v>
      </c>
      <c r="F5872" s="2" t="s">
        <v>2098</v>
      </c>
      <c r="G5872" t="s">
        <v>230</v>
      </c>
      <c r="H5872" t="s">
        <v>255</v>
      </c>
      <c r="I5872" t="s">
        <v>36</v>
      </c>
      <c r="J5872" s="2" t="s">
        <v>42</v>
      </c>
      <c r="K5872" s="2" t="s">
        <v>3019</v>
      </c>
      <c r="L5872" t="s">
        <v>25</v>
      </c>
      <c r="M5872" s="8">
        <v>4.1180000000000003</v>
      </c>
      <c r="N5872" t="s">
        <v>26</v>
      </c>
      <c r="O5872" s="8">
        <v>4.1180000000000003</v>
      </c>
      <c r="P5872" s="8">
        <f>EXP(-1.363+3.366*LOG(O5872,10))</f>
        <v>2.0259408868315871</v>
      </c>
      <c r="Q5872" s="8">
        <f>(2618262*100)/2995732</f>
        <v>87.399740697766021</v>
      </c>
    </row>
    <row r="5873" spans="1:17" x14ac:dyDescent="0.2">
      <c r="A5873">
        <f>YEAR(D5873)</f>
        <v>2020</v>
      </c>
      <c r="B5873" t="s">
        <v>26</v>
      </c>
      <c r="C5873" s="2" t="s">
        <v>1540</v>
      </c>
      <c r="D5873" s="1">
        <v>44054</v>
      </c>
      <c r="E5873">
        <f>MONTH(D5873)</f>
        <v>8</v>
      </c>
      <c r="F5873" s="2" t="s">
        <v>2098</v>
      </c>
      <c r="G5873" t="s">
        <v>219</v>
      </c>
      <c r="H5873" t="s">
        <v>220</v>
      </c>
      <c r="I5873" t="s">
        <v>22</v>
      </c>
      <c r="J5873" s="2" t="s">
        <v>42</v>
      </c>
      <c r="K5873" s="2" t="s">
        <v>3019</v>
      </c>
      <c r="L5873" t="s">
        <v>25</v>
      </c>
      <c r="M5873" s="10" t="s">
        <v>26</v>
      </c>
      <c r="N5873" t="s">
        <v>26</v>
      </c>
      <c r="O5873" s="10" t="s">
        <v>26</v>
      </c>
      <c r="P5873" s="8" t="s">
        <v>26</v>
      </c>
      <c r="Q5873" s="8">
        <f>(2618262*100)/2995732</f>
        <v>87.399740697766021</v>
      </c>
    </row>
    <row r="5874" spans="1:17" x14ac:dyDescent="0.2">
      <c r="A5874">
        <f>YEAR(D5874)</f>
        <v>2020</v>
      </c>
      <c r="B5874" t="s">
        <v>26</v>
      </c>
      <c r="C5874" s="2" t="s">
        <v>1540</v>
      </c>
      <c r="D5874" s="1">
        <v>44054</v>
      </c>
      <c r="E5874">
        <f>MONTH(D5874)</f>
        <v>8</v>
      </c>
      <c r="F5874" s="2" t="s">
        <v>2098</v>
      </c>
      <c r="G5874" t="s">
        <v>219</v>
      </c>
      <c r="H5874" t="s">
        <v>220</v>
      </c>
      <c r="I5874" t="s">
        <v>22</v>
      </c>
      <c r="J5874" s="2" t="s">
        <v>42</v>
      </c>
      <c r="K5874" s="2" t="s">
        <v>3019</v>
      </c>
      <c r="L5874" t="s">
        <v>25</v>
      </c>
      <c r="M5874" s="10" t="s">
        <v>26</v>
      </c>
      <c r="N5874" t="s">
        <v>26</v>
      </c>
      <c r="O5874" s="10" t="s">
        <v>26</v>
      </c>
      <c r="P5874" s="8" t="s">
        <v>26</v>
      </c>
      <c r="Q5874" s="8">
        <f>(2618262*100)/2995732</f>
        <v>87.399740697766021</v>
      </c>
    </row>
    <row r="5875" spans="1:17" x14ac:dyDescent="0.2">
      <c r="A5875">
        <f>YEAR(D5875)</f>
        <v>2020</v>
      </c>
      <c r="B5875" t="s">
        <v>26</v>
      </c>
      <c r="C5875" s="2" t="s">
        <v>1540</v>
      </c>
      <c r="D5875" s="1">
        <v>44054</v>
      </c>
      <c r="E5875">
        <f>MONTH(D5875)</f>
        <v>8</v>
      </c>
      <c r="F5875" s="2" t="s">
        <v>2098</v>
      </c>
      <c r="G5875" t="s">
        <v>219</v>
      </c>
      <c r="H5875" t="s">
        <v>220</v>
      </c>
      <c r="I5875" t="s">
        <v>22</v>
      </c>
      <c r="J5875" s="2" t="s">
        <v>42</v>
      </c>
      <c r="K5875" s="2" t="s">
        <v>3019</v>
      </c>
      <c r="L5875" t="s">
        <v>25</v>
      </c>
      <c r="M5875" s="10" t="s">
        <v>26</v>
      </c>
      <c r="N5875" t="s">
        <v>26</v>
      </c>
      <c r="O5875" s="10" t="s">
        <v>26</v>
      </c>
      <c r="P5875" s="8" t="s">
        <v>26</v>
      </c>
      <c r="Q5875" s="8">
        <f>(2618262*100)/2995732</f>
        <v>87.399740697766021</v>
      </c>
    </row>
    <row r="5876" spans="1:17" x14ac:dyDescent="0.2">
      <c r="A5876">
        <f>YEAR(D5876)</f>
        <v>2020</v>
      </c>
      <c r="B5876" t="s">
        <v>26</v>
      </c>
      <c r="C5876" s="2" t="s">
        <v>1540</v>
      </c>
      <c r="D5876" s="1">
        <v>44054</v>
      </c>
      <c r="E5876">
        <f>MONTH(D5876)</f>
        <v>8</v>
      </c>
      <c r="F5876" s="2" t="s">
        <v>2098</v>
      </c>
      <c r="G5876" t="s">
        <v>219</v>
      </c>
      <c r="H5876" t="s">
        <v>220</v>
      </c>
      <c r="I5876" t="s">
        <v>22</v>
      </c>
      <c r="J5876" s="2" t="s">
        <v>42</v>
      </c>
      <c r="K5876" s="2" t="s">
        <v>3019</v>
      </c>
      <c r="L5876" t="s">
        <v>25</v>
      </c>
      <c r="M5876" s="10" t="s">
        <v>26</v>
      </c>
      <c r="N5876" t="s">
        <v>26</v>
      </c>
      <c r="O5876" s="10" t="s">
        <v>26</v>
      </c>
      <c r="P5876" s="8" t="s">
        <v>26</v>
      </c>
      <c r="Q5876" s="8">
        <f>(2618262*100)/2995732</f>
        <v>87.399740697766021</v>
      </c>
    </row>
    <row r="5877" spans="1:17" x14ac:dyDescent="0.2">
      <c r="A5877">
        <f>YEAR(D5877)</f>
        <v>2020</v>
      </c>
      <c r="B5877" t="s">
        <v>26</v>
      </c>
      <c r="C5877" s="2" t="s">
        <v>1540</v>
      </c>
      <c r="D5877" s="1">
        <v>44054</v>
      </c>
      <c r="E5877">
        <f>MONTH(D5877)</f>
        <v>8</v>
      </c>
      <c r="F5877" s="2" t="s">
        <v>2098</v>
      </c>
      <c r="G5877" t="s">
        <v>230</v>
      </c>
      <c r="H5877" t="s">
        <v>268</v>
      </c>
      <c r="I5877" t="s">
        <v>22</v>
      </c>
      <c r="J5877" s="2" t="s">
        <v>42</v>
      </c>
      <c r="K5877" s="2" t="s">
        <v>3019</v>
      </c>
      <c r="L5877" t="s">
        <v>25</v>
      </c>
      <c r="M5877" s="8">
        <v>3.5356666670000001</v>
      </c>
      <c r="N5877" t="s">
        <v>26</v>
      </c>
      <c r="O5877" s="8">
        <v>3.5356666670000001</v>
      </c>
      <c r="P5877" s="8">
        <f>EXP(-1.363+3.366*LOG(O5877,10))</f>
        <v>1.6211802664427075</v>
      </c>
      <c r="Q5877" s="8">
        <f>(2618262*100)/2995732</f>
        <v>87.399740697766021</v>
      </c>
    </row>
    <row r="5878" spans="1:17" x14ac:dyDescent="0.2">
      <c r="A5878">
        <f>YEAR(D5878)</f>
        <v>2020</v>
      </c>
      <c r="B5878" t="s">
        <v>26</v>
      </c>
      <c r="C5878" s="2" t="s">
        <v>1552</v>
      </c>
      <c r="D5878" s="1">
        <v>44054</v>
      </c>
      <c r="E5878">
        <f>MONTH(D5878)</f>
        <v>8</v>
      </c>
      <c r="F5878" s="2" t="s">
        <v>2098</v>
      </c>
      <c r="G5878" t="s">
        <v>352</v>
      </c>
      <c r="H5878" t="s">
        <v>1459</v>
      </c>
      <c r="I5878" t="s">
        <v>22</v>
      </c>
      <c r="J5878" s="2" t="s">
        <v>42</v>
      </c>
      <c r="K5878" s="2" t="s">
        <v>3019</v>
      </c>
      <c r="L5878" t="s">
        <v>25</v>
      </c>
      <c r="M5878" s="8">
        <v>1.1910000000000001</v>
      </c>
      <c r="N5878" t="s">
        <v>26</v>
      </c>
      <c r="O5878" s="8">
        <v>1.1910000000000001</v>
      </c>
      <c r="P5878" s="8">
        <f>EXP(-1.363+3.366*LOG(O5878,10))</f>
        <v>0.33039016297752993</v>
      </c>
      <c r="Q5878" s="8">
        <f>(3738946*100)/3915493</f>
        <v>95.491065875995687</v>
      </c>
    </row>
    <row r="5879" spans="1:17" x14ac:dyDescent="0.2">
      <c r="A5879">
        <f>YEAR(D5879)</f>
        <v>2020</v>
      </c>
      <c r="B5879" t="s">
        <v>26</v>
      </c>
      <c r="C5879" s="2" t="s">
        <v>1552</v>
      </c>
      <c r="D5879" s="1">
        <v>44054</v>
      </c>
      <c r="E5879">
        <f>MONTH(D5879)</f>
        <v>8</v>
      </c>
      <c r="F5879" s="2" t="s">
        <v>2098</v>
      </c>
      <c r="G5879" t="s">
        <v>352</v>
      </c>
      <c r="H5879" t="s">
        <v>975</v>
      </c>
      <c r="I5879" t="s">
        <v>36</v>
      </c>
      <c r="J5879" s="2" t="s">
        <v>42</v>
      </c>
      <c r="K5879" s="2" t="s">
        <v>3019</v>
      </c>
      <c r="L5879" t="s">
        <v>25</v>
      </c>
      <c r="M5879" s="8">
        <v>0.95199999999999996</v>
      </c>
      <c r="N5879" t="s">
        <v>26</v>
      </c>
      <c r="O5879" s="8">
        <v>0.95199999999999996</v>
      </c>
      <c r="P5879" s="8">
        <f>EXP(-1.363+3.366*LOG(O5879,10))</f>
        <v>0.23813726407794436</v>
      </c>
      <c r="Q5879" s="8">
        <f>(3738946*100)/3915493</f>
        <v>95.491065875995687</v>
      </c>
    </row>
    <row r="5880" spans="1:17" x14ac:dyDescent="0.2">
      <c r="A5880">
        <f>YEAR(D5880)</f>
        <v>2020</v>
      </c>
      <c r="B5880" t="s">
        <v>26</v>
      </c>
      <c r="C5880" s="2" t="s">
        <v>1552</v>
      </c>
      <c r="D5880" s="1">
        <v>44054</v>
      </c>
      <c r="E5880">
        <f>MONTH(D5880)</f>
        <v>8</v>
      </c>
      <c r="F5880" s="2" t="s">
        <v>2098</v>
      </c>
      <c r="G5880" t="s">
        <v>352</v>
      </c>
      <c r="H5880" t="s">
        <v>975</v>
      </c>
      <c r="I5880" t="s">
        <v>36</v>
      </c>
      <c r="J5880" s="2" t="s">
        <v>42</v>
      </c>
      <c r="K5880" s="2" t="s">
        <v>3019</v>
      </c>
      <c r="L5880" t="s">
        <v>25</v>
      </c>
      <c r="M5880" s="8">
        <v>0.95199999999999996</v>
      </c>
      <c r="N5880" t="s">
        <v>26</v>
      </c>
      <c r="O5880" s="8">
        <v>0.95199999999999996</v>
      </c>
      <c r="P5880" s="8">
        <f>EXP(-1.363+3.366*LOG(O5880,10))</f>
        <v>0.23813726407794436</v>
      </c>
      <c r="Q5880" s="8">
        <f>(3738946*100)/3915493</f>
        <v>95.491065875995687</v>
      </c>
    </row>
    <row r="5881" spans="1:17" x14ac:dyDescent="0.2">
      <c r="A5881">
        <f>YEAR(D5881)</f>
        <v>2020</v>
      </c>
      <c r="B5881" t="s">
        <v>26</v>
      </c>
      <c r="C5881" s="2" t="s">
        <v>1552</v>
      </c>
      <c r="D5881" s="1">
        <v>44054</v>
      </c>
      <c r="E5881">
        <f>MONTH(D5881)</f>
        <v>8</v>
      </c>
      <c r="F5881" s="2" t="s">
        <v>2098</v>
      </c>
      <c r="G5881" t="s">
        <v>332</v>
      </c>
      <c r="H5881" t="s">
        <v>327</v>
      </c>
      <c r="I5881" t="s">
        <v>36</v>
      </c>
      <c r="J5881" s="2" t="s">
        <v>42</v>
      </c>
      <c r="K5881" s="2" t="s">
        <v>3019</v>
      </c>
      <c r="L5881" t="s">
        <v>25</v>
      </c>
      <c r="M5881" s="8">
        <v>1.0693333330000001</v>
      </c>
      <c r="N5881" t="s">
        <v>26</v>
      </c>
      <c r="O5881" s="8">
        <v>1.0693333330000001</v>
      </c>
      <c r="P5881" s="8">
        <f>EXP(-1.363+3.366*LOG(O5881,10))</f>
        <v>0.28223780327142356</v>
      </c>
      <c r="Q5881" s="8">
        <f>(3738946*100)/3915493</f>
        <v>95.491065875995687</v>
      </c>
    </row>
    <row r="5882" spans="1:17" x14ac:dyDescent="0.2">
      <c r="A5882">
        <f>YEAR(D5882)</f>
        <v>2020</v>
      </c>
      <c r="B5882" t="s">
        <v>26</v>
      </c>
      <c r="C5882" s="2" t="s">
        <v>1552</v>
      </c>
      <c r="D5882" s="1">
        <v>44054</v>
      </c>
      <c r="E5882">
        <f>MONTH(D5882)</f>
        <v>8</v>
      </c>
      <c r="F5882" s="2" t="s">
        <v>2098</v>
      </c>
      <c r="G5882" t="s">
        <v>352</v>
      </c>
      <c r="H5882" t="s">
        <v>975</v>
      </c>
      <c r="I5882" t="s">
        <v>36</v>
      </c>
      <c r="J5882" s="2" t="s">
        <v>42</v>
      </c>
      <c r="K5882" s="2" t="s">
        <v>3019</v>
      </c>
      <c r="L5882" t="s">
        <v>25</v>
      </c>
      <c r="M5882" s="8">
        <v>0.95199999999999996</v>
      </c>
      <c r="N5882" t="s">
        <v>26</v>
      </c>
      <c r="O5882" s="8">
        <v>0.95199999999999996</v>
      </c>
      <c r="P5882" s="8">
        <f>EXP(-1.363+3.366*LOG(O5882,10))</f>
        <v>0.23813726407794436</v>
      </c>
      <c r="Q5882" s="8">
        <f>(3738946*100)/3915493</f>
        <v>95.491065875995687</v>
      </c>
    </row>
    <row r="5883" spans="1:17" x14ac:dyDescent="0.2">
      <c r="A5883">
        <f>YEAR(D5883)</f>
        <v>2020</v>
      </c>
      <c r="B5883" t="s">
        <v>26</v>
      </c>
      <c r="C5883" s="2" t="s">
        <v>1552</v>
      </c>
      <c r="D5883" s="1">
        <v>44054</v>
      </c>
      <c r="E5883">
        <f>MONTH(D5883)</f>
        <v>8</v>
      </c>
      <c r="F5883" s="2" t="s">
        <v>2098</v>
      </c>
      <c r="G5883" t="s">
        <v>362</v>
      </c>
      <c r="H5883" t="s">
        <v>393</v>
      </c>
      <c r="I5883" t="s">
        <v>36</v>
      </c>
      <c r="J5883" s="2" t="s">
        <v>42</v>
      </c>
      <c r="K5883" s="2" t="s">
        <v>3019</v>
      </c>
      <c r="L5883" t="s">
        <v>25</v>
      </c>
      <c r="M5883" s="8">
        <v>2.2189999999999999</v>
      </c>
      <c r="N5883" t="s">
        <v>26</v>
      </c>
      <c r="O5883" s="8">
        <v>2.2189999999999999</v>
      </c>
      <c r="P5883" s="8">
        <f>EXP(-1.363+3.366*LOG(O5883,10))</f>
        <v>0.82050561861036375</v>
      </c>
      <c r="Q5883" s="8">
        <f>(3738946*100)/3915493</f>
        <v>95.491065875995687</v>
      </c>
    </row>
    <row r="5884" spans="1:17" x14ac:dyDescent="0.2">
      <c r="A5884">
        <f>YEAR(D5884)</f>
        <v>2020</v>
      </c>
      <c r="B5884" t="s">
        <v>26</v>
      </c>
      <c r="C5884" s="2" t="s">
        <v>3026</v>
      </c>
      <c r="D5884" s="1">
        <v>44056</v>
      </c>
      <c r="E5884">
        <f>MONTH(D5884)</f>
        <v>8</v>
      </c>
      <c r="F5884" s="2" t="s">
        <v>2098</v>
      </c>
      <c r="G5884" t="s">
        <v>230</v>
      </c>
      <c r="H5884" t="s">
        <v>268</v>
      </c>
      <c r="I5884" t="s">
        <v>22</v>
      </c>
      <c r="J5884" s="2" t="s">
        <v>42</v>
      </c>
      <c r="K5884" s="2" t="s">
        <v>3019</v>
      </c>
      <c r="L5884" t="s">
        <v>25</v>
      </c>
      <c r="M5884" s="8">
        <v>3.5356666670000001</v>
      </c>
      <c r="N5884" t="s">
        <v>26</v>
      </c>
      <c r="O5884" s="8">
        <v>3.5356666670000001</v>
      </c>
      <c r="P5884" s="8">
        <f>EXP(-1.363+3.366*LOG(O5884,10))</f>
        <v>1.6211802664427075</v>
      </c>
      <c r="Q5884" s="8">
        <f>(2317420*100)/2442061</f>
        <v>94.896073439606951</v>
      </c>
    </row>
    <row r="5885" spans="1:17" x14ac:dyDescent="0.2">
      <c r="A5885">
        <f>YEAR(D5885)</f>
        <v>2020</v>
      </c>
      <c r="B5885" t="s">
        <v>26</v>
      </c>
      <c r="C5885" s="2" t="s">
        <v>3026</v>
      </c>
      <c r="D5885" s="1">
        <v>44056</v>
      </c>
      <c r="E5885">
        <f>MONTH(D5885)</f>
        <v>8</v>
      </c>
      <c r="F5885" s="2" t="s">
        <v>2098</v>
      </c>
      <c r="G5885" t="s">
        <v>230</v>
      </c>
      <c r="H5885" t="s">
        <v>268</v>
      </c>
      <c r="I5885" t="s">
        <v>22</v>
      </c>
      <c r="J5885" s="2" t="s">
        <v>42</v>
      </c>
      <c r="K5885" s="2" t="s">
        <v>3019</v>
      </c>
      <c r="L5885" t="s">
        <v>25</v>
      </c>
      <c r="M5885" s="8">
        <v>3.5356666670000001</v>
      </c>
      <c r="N5885" t="s">
        <v>26</v>
      </c>
      <c r="O5885" s="8">
        <v>3.5356666670000001</v>
      </c>
      <c r="P5885" s="8">
        <f>EXP(-1.363+3.366*LOG(O5885,10))</f>
        <v>1.6211802664427075</v>
      </c>
      <c r="Q5885" s="8">
        <f>(2317420*100)/2442061</f>
        <v>94.896073439606951</v>
      </c>
    </row>
    <row r="5886" spans="1:17" x14ac:dyDescent="0.2">
      <c r="A5886">
        <f>YEAR(D5886)</f>
        <v>2020</v>
      </c>
      <c r="B5886" t="s">
        <v>26</v>
      </c>
      <c r="C5886" s="2" t="s">
        <v>3026</v>
      </c>
      <c r="D5886" s="1">
        <v>44056</v>
      </c>
      <c r="E5886">
        <f>MONTH(D5886)</f>
        <v>8</v>
      </c>
      <c r="F5886" s="2" t="s">
        <v>2098</v>
      </c>
      <c r="G5886" t="s">
        <v>230</v>
      </c>
      <c r="H5886" t="s">
        <v>268</v>
      </c>
      <c r="I5886" t="s">
        <v>22</v>
      </c>
      <c r="J5886" s="2" t="s">
        <v>42</v>
      </c>
      <c r="K5886" s="2" t="s">
        <v>3019</v>
      </c>
      <c r="L5886" t="s">
        <v>25</v>
      </c>
      <c r="M5886" s="8">
        <v>3.5356666670000001</v>
      </c>
      <c r="N5886" t="s">
        <v>26</v>
      </c>
      <c r="O5886" s="8">
        <v>3.5356666670000001</v>
      </c>
      <c r="P5886" s="8">
        <f>EXP(-1.363+3.366*LOG(O5886,10))</f>
        <v>1.6211802664427075</v>
      </c>
      <c r="Q5886" s="8">
        <f>(2317420*100)/2442061</f>
        <v>94.896073439606951</v>
      </c>
    </row>
    <row r="5887" spans="1:17" x14ac:dyDescent="0.2">
      <c r="A5887">
        <f>YEAR(D5887)</f>
        <v>2020</v>
      </c>
      <c r="B5887" t="s">
        <v>26</v>
      </c>
      <c r="C5887" s="2" t="s">
        <v>3026</v>
      </c>
      <c r="D5887" s="1">
        <v>44056</v>
      </c>
      <c r="E5887">
        <f>MONTH(D5887)</f>
        <v>8</v>
      </c>
      <c r="F5887" s="2" t="s">
        <v>2098</v>
      </c>
      <c r="G5887" t="s">
        <v>230</v>
      </c>
      <c r="H5887" t="s">
        <v>268</v>
      </c>
      <c r="I5887" t="s">
        <v>22</v>
      </c>
      <c r="J5887" s="2" t="s">
        <v>42</v>
      </c>
      <c r="K5887" s="2" t="s">
        <v>3019</v>
      </c>
      <c r="L5887" t="s">
        <v>25</v>
      </c>
      <c r="M5887" s="8">
        <v>3.5356666670000001</v>
      </c>
      <c r="N5887" t="s">
        <v>26</v>
      </c>
      <c r="O5887" s="8">
        <v>3.5356666670000001</v>
      </c>
      <c r="P5887" s="8">
        <f>EXP(-1.363+3.366*LOG(O5887,10))</f>
        <v>1.6211802664427075</v>
      </c>
      <c r="Q5887" s="8">
        <f>(2317420*100)/2442061</f>
        <v>94.896073439606951</v>
      </c>
    </row>
    <row r="5888" spans="1:17" x14ac:dyDescent="0.2">
      <c r="A5888">
        <f>YEAR(D5888)</f>
        <v>2020</v>
      </c>
      <c r="B5888" t="s">
        <v>26</v>
      </c>
      <c r="C5888" s="2" t="s">
        <v>3026</v>
      </c>
      <c r="D5888" s="1">
        <v>44056</v>
      </c>
      <c r="E5888">
        <f>MONTH(D5888)</f>
        <v>8</v>
      </c>
      <c r="F5888" s="2" t="s">
        <v>2098</v>
      </c>
      <c r="G5888" t="s">
        <v>230</v>
      </c>
      <c r="H5888" t="s">
        <v>268</v>
      </c>
      <c r="I5888" t="s">
        <v>22</v>
      </c>
      <c r="J5888" s="2" t="s">
        <v>42</v>
      </c>
      <c r="K5888" s="2" t="s">
        <v>3019</v>
      </c>
      <c r="L5888" t="s">
        <v>25</v>
      </c>
      <c r="M5888" s="8">
        <v>3.5356666670000001</v>
      </c>
      <c r="N5888" t="s">
        <v>26</v>
      </c>
      <c r="O5888" s="8">
        <v>3.5356666670000001</v>
      </c>
      <c r="P5888" s="8">
        <f>EXP(-1.363+3.366*LOG(O5888,10))</f>
        <v>1.6211802664427075</v>
      </c>
      <c r="Q5888" s="8">
        <f>(2317420*100)/2442061</f>
        <v>94.896073439606951</v>
      </c>
    </row>
    <row r="5889" spans="1:17" x14ac:dyDescent="0.2">
      <c r="A5889">
        <f>YEAR(D5889)</f>
        <v>2020</v>
      </c>
      <c r="B5889" t="s">
        <v>26</v>
      </c>
      <c r="C5889" s="2" t="s">
        <v>3026</v>
      </c>
      <c r="D5889" s="1">
        <v>44056</v>
      </c>
      <c r="E5889">
        <f>MONTH(D5889)</f>
        <v>8</v>
      </c>
      <c r="F5889" s="2" t="s">
        <v>2098</v>
      </c>
      <c r="G5889" t="s">
        <v>230</v>
      </c>
      <c r="H5889" t="s">
        <v>268</v>
      </c>
      <c r="I5889" t="s">
        <v>22</v>
      </c>
      <c r="J5889" s="2" t="s">
        <v>42</v>
      </c>
      <c r="K5889" s="2" t="s">
        <v>3019</v>
      </c>
      <c r="L5889" t="s">
        <v>25</v>
      </c>
      <c r="M5889" s="8">
        <v>3.5356666670000001</v>
      </c>
      <c r="N5889" t="s">
        <v>26</v>
      </c>
      <c r="O5889" s="8">
        <v>3.5356666670000001</v>
      </c>
      <c r="P5889" s="8">
        <f>EXP(-1.363+3.366*LOG(O5889,10))</f>
        <v>1.6211802664427075</v>
      </c>
      <c r="Q5889" s="8">
        <f>(2317420*100)/2442061</f>
        <v>94.896073439606951</v>
      </c>
    </row>
    <row r="5890" spans="1:17" x14ac:dyDescent="0.2">
      <c r="A5890">
        <f>YEAR(D5890)</f>
        <v>2020</v>
      </c>
      <c r="B5890" t="s">
        <v>26</v>
      </c>
      <c r="C5890" s="2" t="s">
        <v>3026</v>
      </c>
      <c r="D5890" s="1">
        <v>44056</v>
      </c>
      <c r="E5890">
        <f>MONTH(D5890)</f>
        <v>8</v>
      </c>
      <c r="F5890" s="2" t="s">
        <v>2098</v>
      </c>
      <c r="G5890" t="s">
        <v>230</v>
      </c>
      <c r="H5890" t="s">
        <v>268</v>
      </c>
      <c r="I5890" t="s">
        <v>22</v>
      </c>
      <c r="J5890" s="2" t="s">
        <v>42</v>
      </c>
      <c r="K5890" s="2" t="s">
        <v>3019</v>
      </c>
      <c r="L5890" t="s">
        <v>25</v>
      </c>
      <c r="M5890" s="8">
        <v>3.5356666670000001</v>
      </c>
      <c r="N5890" t="s">
        <v>26</v>
      </c>
      <c r="O5890" s="8">
        <v>3.5356666670000001</v>
      </c>
      <c r="P5890" s="8">
        <f>EXP(-1.363+3.366*LOG(O5890,10))</f>
        <v>1.6211802664427075</v>
      </c>
      <c r="Q5890" s="8">
        <f>(2317420*100)/2442061</f>
        <v>94.896073439606951</v>
      </c>
    </row>
    <row r="5891" spans="1:17" x14ac:dyDescent="0.2">
      <c r="A5891">
        <f>YEAR(D5891)</f>
        <v>2020</v>
      </c>
      <c r="B5891" t="s">
        <v>26</v>
      </c>
      <c r="C5891" s="2" t="s">
        <v>3026</v>
      </c>
      <c r="D5891" s="1">
        <v>44056</v>
      </c>
      <c r="E5891">
        <f>MONTH(D5891)</f>
        <v>8</v>
      </c>
      <c r="F5891" s="2" t="s">
        <v>2098</v>
      </c>
      <c r="G5891" t="s">
        <v>230</v>
      </c>
      <c r="H5891" t="s">
        <v>268</v>
      </c>
      <c r="I5891" t="s">
        <v>22</v>
      </c>
      <c r="J5891" s="2" t="s">
        <v>42</v>
      </c>
      <c r="K5891" s="2" t="s">
        <v>3019</v>
      </c>
      <c r="L5891" t="s">
        <v>25</v>
      </c>
      <c r="M5891" s="8">
        <v>3.5356666670000001</v>
      </c>
      <c r="N5891" t="s">
        <v>26</v>
      </c>
      <c r="O5891" s="8">
        <v>3.5356666670000001</v>
      </c>
      <c r="P5891" s="8">
        <f>EXP(-1.363+3.366*LOG(O5891,10))</f>
        <v>1.6211802664427075</v>
      </c>
      <c r="Q5891" s="8">
        <f>(2317420*100)/2442061</f>
        <v>94.896073439606951</v>
      </c>
    </row>
    <row r="5892" spans="1:17" x14ac:dyDescent="0.2">
      <c r="A5892">
        <f>YEAR(D5892)</f>
        <v>2020</v>
      </c>
      <c r="B5892" t="s">
        <v>26</v>
      </c>
      <c r="C5892" s="2" t="s">
        <v>3026</v>
      </c>
      <c r="D5892" s="1">
        <v>44056</v>
      </c>
      <c r="E5892">
        <f>MONTH(D5892)</f>
        <v>8</v>
      </c>
      <c r="F5892" s="2" t="s">
        <v>2098</v>
      </c>
      <c r="G5892" t="s">
        <v>230</v>
      </c>
      <c r="H5892" t="s">
        <v>268</v>
      </c>
      <c r="I5892" t="s">
        <v>22</v>
      </c>
      <c r="J5892" s="2" t="s">
        <v>42</v>
      </c>
      <c r="K5892" s="2" t="s">
        <v>3019</v>
      </c>
      <c r="L5892" t="s">
        <v>25</v>
      </c>
      <c r="M5892" s="8">
        <v>3.5356666670000001</v>
      </c>
      <c r="N5892" t="s">
        <v>26</v>
      </c>
      <c r="O5892" s="8">
        <v>3.5356666670000001</v>
      </c>
      <c r="P5892" s="8">
        <f>EXP(-1.363+3.366*LOG(O5892,10))</f>
        <v>1.6211802664427075</v>
      </c>
      <c r="Q5892" s="8">
        <f>(2317420*100)/2442061</f>
        <v>94.896073439606951</v>
      </c>
    </row>
    <row r="5893" spans="1:17" x14ac:dyDescent="0.2">
      <c r="A5893">
        <f>YEAR(D5893)</f>
        <v>2020</v>
      </c>
      <c r="B5893" t="s">
        <v>26</v>
      </c>
      <c r="C5893" s="2" t="s">
        <v>3026</v>
      </c>
      <c r="D5893" s="1">
        <v>44056</v>
      </c>
      <c r="E5893">
        <f>MONTH(D5893)</f>
        <v>8</v>
      </c>
      <c r="F5893" s="2" t="s">
        <v>2098</v>
      </c>
      <c r="G5893" t="s">
        <v>230</v>
      </c>
      <c r="H5893" t="s">
        <v>268</v>
      </c>
      <c r="I5893" t="s">
        <v>22</v>
      </c>
      <c r="J5893" s="2" t="s">
        <v>42</v>
      </c>
      <c r="K5893" s="2" t="s">
        <v>3019</v>
      </c>
      <c r="L5893" t="s">
        <v>25</v>
      </c>
      <c r="M5893" s="8">
        <v>3.5356666670000001</v>
      </c>
      <c r="N5893" t="s">
        <v>26</v>
      </c>
      <c r="O5893" s="8">
        <v>3.5356666670000001</v>
      </c>
      <c r="P5893" s="8">
        <f>EXP(-1.363+3.366*LOG(O5893,10))</f>
        <v>1.6211802664427075</v>
      </c>
      <c r="Q5893" s="8">
        <f>(2317420*100)/2442061</f>
        <v>94.896073439606951</v>
      </c>
    </row>
    <row r="5894" spans="1:17" x14ac:dyDescent="0.2">
      <c r="A5894">
        <f>YEAR(D5894)</f>
        <v>2020</v>
      </c>
      <c r="B5894" t="s">
        <v>26</v>
      </c>
      <c r="C5894" s="2" t="s">
        <v>3026</v>
      </c>
      <c r="D5894" s="1">
        <v>44056</v>
      </c>
      <c r="E5894">
        <f>MONTH(D5894)</f>
        <v>8</v>
      </c>
      <c r="F5894" s="2" t="s">
        <v>2098</v>
      </c>
      <c r="G5894" t="s">
        <v>230</v>
      </c>
      <c r="H5894" t="s">
        <v>268</v>
      </c>
      <c r="I5894" t="s">
        <v>22</v>
      </c>
      <c r="J5894" s="2" t="s">
        <v>42</v>
      </c>
      <c r="K5894" s="2" t="s">
        <v>3019</v>
      </c>
      <c r="L5894" t="s">
        <v>25</v>
      </c>
      <c r="M5894" s="8">
        <v>3.5356666670000001</v>
      </c>
      <c r="N5894" t="s">
        <v>26</v>
      </c>
      <c r="O5894" s="8">
        <v>3.5356666670000001</v>
      </c>
      <c r="P5894" s="8">
        <f>EXP(-1.363+3.366*LOG(O5894,10))</f>
        <v>1.6211802664427075</v>
      </c>
      <c r="Q5894" s="8">
        <f>(2317420*100)/2442061</f>
        <v>94.896073439606951</v>
      </c>
    </row>
    <row r="5895" spans="1:17" x14ac:dyDescent="0.2">
      <c r="A5895">
        <f>YEAR(D5895)</f>
        <v>2020</v>
      </c>
      <c r="B5895" t="s">
        <v>26</v>
      </c>
      <c r="C5895" s="2" t="s">
        <v>3026</v>
      </c>
      <c r="D5895" s="1">
        <v>44056</v>
      </c>
      <c r="E5895">
        <f>MONTH(D5895)</f>
        <v>8</v>
      </c>
      <c r="F5895" s="2" t="s">
        <v>2098</v>
      </c>
      <c r="G5895" t="s">
        <v>230</v>
      </c>
      <c r="H5895" t="s">
        <v>268</v>
      </c>
      <c r="I5895" t="s">
        <v>22</v>
      </c>
      <c r="J5895" s="2" t="s">
        <v>42</v>
      </c>
      <c r="K5895" s="2" t="s">
        <v>3019</v>
      </c>
      <c r="L5895" t="s">
        <v>25</v>
      </c>
      <c r="M5895" s="8">
        <v>3.5356666670000001</v>
      </c>
      <c r="N5895" t="s">
        <v>26</v>
      </c>
      <c r="O5895" s="8">
        <v>3.5356666670000001</v>
      </c>
      <c r="P5895" s="8">
        <f>EXP(-1.363+3.366*LOG(O5895,10))</f>
        <v>1.6211802664427075</v>
      </c>
      <c r="Q5895" s="8">
        <f>(2317420*100)/2442061</f>
        <v>94.896073439606951</v>
      </c>
    </row>
    <row r="5896" spans="1:17" x14ac:dyDescent="0.2">
      <c r="A5896">
        <f>YEAR(D5896)</f>
        <v>2020</v>
      </c>
      <c r="B5896" t="s">
        <v>26</v>
      </c>
      <c r="C5896" s="2" t="s">
        <v>3026</v>
      </c>
      <c r="D5896" s="1">
        <v>44056</v>
      </c>
      <c r="E5896">
        <f>MONTH(D5896)</f>
        <v>8</v>
      </c>
      <c r="F5896" s="2" t="s">
        <v>2098</v>
      </c>
      <c r="G5896" t="s">
        <v>1520</v>
      </c>
      <c r="H5896" t="s">
        <v>1521</v>
      </c>
      <c r="I5896" t="s">
        <v>36</v>
      </c>
      <c r="J5896" s="2" t="s">
        <v>42</v>
      </c>
      <c r="K5896" s="2" t="s">
        <v>3019</v>
      </c>
      <c r="L5896" t="s">
        <v>25</v>
      </c>
      <c r="M5896" s="8">
        <v>2.3340000000000001</v>
      </c>
      <c r="N5896" t="s">
        <v>26</v>
      </c>
      <c r="O5896" s="8">
        <v>2.3340000000000001</v>
      </c>
      <c r="P5896" s="8">
        <f>EXP(-1.363+3.366*LOG(O5896,10))</f>
        <v>0.88340410488080767</v>
      </c>
      <c r="Q5896" s="8">
        <f>(2317420*100)/2442061</f>
        <v>94.896073439606951</v>
      </c>
    </row>
    <row r="5897" spans="1:17" x14ac:dyDescent="0.2">
      <c r="A5897">
        <f>YEAR(D5897)</f>
        <v>2020</v>
      </c>
      <c r="B5897" t="s">
        <v>26</v>
      </c>
      <c r="C5897" s="2" t="s">
        <v>3026</v>
      </c>
      <c r="D5897" s="1">
        <v>44056</v>
      </c>
      <c r="E5897">
        <f>MONTH(D5897)</f>
        <v>8</v>
      </c>
      <c r="F5897" s="2" t="s">
        <v>2098</v>
      </c>
      <c r="G5897" t="s">
        <v>230</v>
      </c>
      <c r="H5897" t="s">
        <v>268</v>
      </c>
      <c r="I5897" t="s">
        <v>22</v>
      </c>
      <c r="J5897" s="2" t="s">
        <v>42</v>
      </c>
      <c r="K5897" s="2" t="s">
        <v>3019</v>
      </c>
      <c r="L5897" t="s">
        <v>25</v>
      </c>
      <c r="M5897" s="8">
        <v>3.5356666670000001</v>
      </c>
      <c r="N5897" t="s">
        <v>26</v>
      </c>
      <c r="O5897" s="8">
        <v>3.5356666670000001</v>
      </c>
      <c r="P5897" s="8">
        <f>EXP(-1.363+3.366*LOG(O5897,10))</f>
        <v>1.6211802664427075</v>
      </c>
      <c r="Q5897" s="8">
        <f>(2317420*100)/2442061</f>
        <v>94.896073439606951</v>
      </c>
    </row>
    <row r="5898" spans="1:17" x14ac:dyDescent="0.2">
      <c r="A5898">
        <f>YEAR(D5898)</f>
        <v>2020</v>
      </c>
      <c r="B5898" t="s">
        <v>26</v>
      </c>
      <c r="C5898" s="2" t="s">
        <v>3025</v>
      </c>
      <c r="D5898" s="1">
        <v>44056</v>
      </c>
      <c r="E5898">
        <f>MONTH(D5898)</f>
        <v>8</v>
      </c>
      <c r="F5898" s="2" t="s">
        <v>19</v>
      </c>
      <c r="G5898" t="s">
        <v>1520</v>
      </c>
      <c r="H5898" t="s">
        <v>1528</v>
      </c>
      <c r="I5898" t="s">
        <v>22</v>
      </c>
      <c r="J5898" s="2" t="s">
        <v>42</v>
      </c>
      <c r="K5898" s="2" t="s">
        <v>3019</v>
      </c>
      <c r="L5898" t="s">
        <v>25</v>
      </c>
      <c r="M5898" s="8">
        <v>3.624333333</v>
      </c>
      <c r="N5898" t="s">
        <v>26</v>
      </c>
      <c r="O5898" s="8">
        <v>3.624333333</v>
      </c>
      <c r="P5898" s="8">
        <f>EXP(-1.363+3.366*LOG(O5898,10))</f>
        <v>1.6809546844949765</v>
      </c>
      <c r="Q5898" s="8">
        <f>(1955155*100)/2180255</f>
        <v>89.67551960665152</v>
      </c>
    </row>
    <row r="5899" spans="1:17" x14ac:dyDescent="0.2">
      <c r="A5899">
        <f>YEAR(D5899)</f>
        <v>2020</v>
      </c>
      <c r="B5899" t="s">
        <v>26</v>
      </c>
      <c r="C5899" s="2" t="s">
        <v>3026</v>
      </c>
      <c r="D5899" s="1">
        <v>44056</v>
      </c>
      <c r="E5899">
        <f>MONTH(D5899)</f>
        <v>8</v>
      </c>
      <c r="F5899" s="2" t="s">
        <v>2098</v>
      </c>
      <c r="G5899" t="s">
        <v>352</v>
      </c>
      <c r="H5899" t="s">
        <v>1585</v>
      </c>
      <c r="I5899" t="s">
        <v>22</v>
      </c>
      <c r="J5899" s="2" t="s">
        <v>42</v>
      </c>
      <c r="K5899" s="2" t="s">
        <v>3019</v>
      </c>
      <c r="L5899" t="s">
        <v>25</v>
      </c>
      <c r="M5899" s="8">
        <v>0.77266666699999997</v>
      </c>
      <c r="N5899" t="s">
        <v>26</v>
      </c>
      <c r="O5899" s="8">
        <v>0.77266666699999997</v>
      </c>
      <c r="P5899" s="8">
        <f>EXP(-1.363+3.366*LOG(O5899,10))</f>
        <v>0.17551718302452865</v>
      </c>
      <c r="Q5899" s="8">
        <f>(2317420*100)/2442061</f>
        <v>94.896073439606951</v>
      </c>
    </row>
    <row r="5900" spans="1:17" x14ac:dyDescent="0.2">
      <c r="A5900">
        <f>YEAR(D5900)</f>
        <v>2020</v>
      </c>
      <c r="B5900" t="s">
        <v>26</v>
      </c>
      <c r="C5900" s="2" t="s">
        <v>3026</v>
      </c>
      <c r="D5900" s="1">
        <v>44056</v>
      </c>
      <c r="E5900">
        <f>MONTH(D5900)</f>
        <v>8</v>
      </c>
      <c r="F5900" s="2" t="s">
        <v>2098</v>
      </c>
      <c r="G5900" t="s">
        <v>352</v>
      </c>
      <c r="H5900" t="s">
        <v>1344</v>
      </c>
      <c r="I5900" t="s">
        <v>36</v>
      </c>
      <c r="J5900" s="2" t="s">
        <v>42</v>
      </c>
      <c r="K5900" s="2" t="s">
        <v>3019</v>
      </c>
      <c r="L5900" t="s">
        <v>25</v>
      </c>
      <c r="M5900" s="8">
        <v>0.88233333300000005</v>
      </c>
      <c r="N5900" t="s">
        <v>26</v>
      </c>
      <c r="O5900" s="8">
        <v>0.88233333300000005</v>
      </c>
      <c r="P5900" s="8">
        <f>EXP(-1.363+3.366*LOG(O5900,10))</f>
        <v>0.21309858552345248</v>
      </c>
      <c r="Q5900" s="8">
        <f>(2317420*100)/2442061</f>
        <v>94.896073439606951</v>
      </c>
    </row>
    <row r="5901" spans="1:17" x14ac:dyDescent="0.2">
      <c r="A5901">
        <f>YEAR(D5901)</f>
        <v>2020</v>
      </c>
      <c r="B5901" t="s">
        <v>26</v>
      </c>
      <c r="C5901" s="2" t="s">
        <v>3026</v>
      </c>
      <c r="D5901" s="1">
        <v>44056</v>
      </c>
      <c r="E5901">
        <f>MONTH(D5901)</f>
        <v>8</v>
      </c>
      <c r="F5901" s="2" t="s">
        <v>2098</v>
      </c>
      <c r="G5901" t="s">
        <v>352</v>
      </c>
      <c r="H5901" t="s">
        <v>1459</v>
      </c>
      <c r="I5901" t="s">
        <v>36</v>
      </c>
      <c r="J5901" s="2" t="s">
        <v>42</v>
      </c>
      <c r="K5901" s="2" t="s">
        <v>3019</v>
      </c>
      <c r="L5901" t="s">
        <v>25</v>
      </c>
      <c r="M5901" s="8">
        <v>1.0913333329999999</v>
      </c>
      <c r="N5901" t="s">
        <v>26</v>
      </c>
      <c r="O5901" s="8">
        <v>1.0913333329999999</v>
      </c>
      <c r="P5901" s="8">
        <f>EXP(-1.363+3.366*LOG(O5901,10))</f>
        <v>0.29076633015787234</v>
      </c>
      <c r="Q5901" s="8">
        <f>(2317420*100)/2442061</f>
        <v>94.896073439606951</v>
      </c>
    </row>
    <row r="5902" spans="1:17" x14ac:dyDescent="0.2">
      <c r="A5902">
        <f>YEAR(D5902)</f>
        <v>2020</v>
      </c>
      <c r="B5902" t="s">
        <v>26</v>
      </c>
      <c r="C5902" s="2" t="s">
        <v>3026</v>
      </c>
      <c r="D5902" s="1">
        <v>44056</v>
      </c>
      <c r="E5902">
        <f>MONTH(D5902)</f>
        <v>8</v>
      </c>
      <c r="F5902" s="2" t="s">
        <v>2098</v>
      </c>
      <c r="G5902" t="s">
        <v>362</v>
      </c>
      <c r="H5902" t="s">
        <v>447</v>
      </c>
      <c r="I5902" t="s">
        <v>22</v>
      </c>
      <c r="J5902" s="2" t="s">
        <v>42</v>
      </c>
      <c r="K5902" s="2" t="s">
        <v>3019</v>
      </c>
      <c r="L5902" t="s">
        <v>25</v>
      </c>
      <c r="M5902" s="8">
        <v>1.421</v>
      </c>
      <c r="N5902" t="s">
        <v>26</v>
      </c>
      <c r="O5902" s="8">
        <v>1.421</v>
      </c>
      <c r="P5902" s="8">
        <f>EXP(-1.363+3.366*LOG(O5902,10))</f>
        <v>0.42768500084673816</v>
      </c>
      <c r="Q5902" s="8">
        <f>(2317420*100)/2442061</f>
        <v>94.896073439606951</v>
      </c>
    </row>
    <row r="5903" spans="1:17" x14ac:dyDescent="0.2">
      <c r="A5903">
        <f>YEAR(D5903)</f>
        <v>2020</v>
      </c>
      <c r="B5903" t="s">
        <v>26</v>
      </c>
      <c r="C5903" s="2" t="s">
        <v>3026</v>
      </c>
      <c r="D5903" s="1">
        <v>44056</v>
      </c>
      <c r="E5903">
        <f>MONTH(D5903)</f>
        <v>8</v>
      </c>
      <c r="F5903" s="2" t="s">
        <v>2098</v>
      </c>
      <c r="G5903" t="s">
        <v>332</v>
      </c>
      <c r="H5903" t="s">
        <v>327</v>
      </c>
      <c r="I5903" t="s">
        <v>22</v>
      </c>
      <c r="J5903" s="2" t="s">
        <v>42</v>
      </c>
      <c r="K5903" s="2" t="s">
        <v>3019</v>
      </c>
      <c r="L5903" t="s">
        <v>25</v>
      </c>
      <c r="M5903" s="8">
        <v>1.239333333</v>
      </c>
      <c r="N5903" t="s">
        <v>26</v>
      </c>
      <c r="O5903" s="8">
        <v>1.239333333</v>
      </c>
      <c r="P5903" s="8">
        <f>EXP(-1.363+3.366*LOG(O5903,10))</f>
        <v>0.35017272283851147</v>
      </c>
      <c r="Q5903" s="8">
        <f>(2317420*100)/2442061</f>
        <v>94.896073439606951</v>
      </c>
    </row>
    <row r="5904" spans="1:17" x14ac:dyDescent="0.2">
      <c r="A5904">
        <f>YEAR(D5904)</f>
        <v>2020</v>
      </c>
      <c r="B5904" t="s">
        <v>26</v>
      </c>
      <c r="C5904" s="2" t="s">
        <v>3026</v>
      </c>
      <c r="D5904" s="1">
        <v>44056</v>
      </c>
      <c r="E5904">
        <f>MONTH(D5904)</f>
        <v>8</v>
      </c>
      <c r="F5904" s="2" t="s">
        <v>2098</v>
      </c>
      <c r="G5904" t="s">
        <v>332</v>
      </c>
      <c r="H5904" t="s">
        <v>327</v>
      </c>
      <c r="I5904" t="s">
        <v>22</v>
      </c>
      <c r="J5904" s="2" t="s">
        <v>42</v>
      </c>
      <c r="K5904" s="2" t="s">
        <v>3019</v>
      </c>
      <c r="L5904" t="s">
        <v>25</v>
      </c>
      <c r="M5904" s="8">
        <v>1.239333333</v>
      </c>
      <c r="N5904" t="s">
        <v>26</v>
      </c>
      <c r="O5904" s="8">
        <v>1.239333333</v>
      </c>
      <c r="P5904" s="8">
        <f>EXP(-1.363+3.366*LOG(O5904,10))</f>
        <v>0.35017272283851147</v>
      </c>
      <c r="Q5904" s="8">
        <f>(2317420*100)/2442061</f>
        <v>94.896073439606951</v>
      </c>
    </row>
    <row r="5905" spans="1:17" x14ac:dyDescent="0.2">
      <c r="A5905">
        <f>YEAR(D5905)</f>
        <v>2020</v>
      </c>
      <c r="B5905" t="s">
        <v>26</v>
      </c>
      <c r="C5905" s="2" t="s">
        <v>3026</v>
      </c>
      <c r="D5905" s="1">
        <v>44056</v>
      </c>
      <c r="E5905">
        <f>MONTH(D5905)</f>
        <v>8</v>
      </c>
      <c r="F5905" s="2" t="s">
        <v>2098</v>
      </c>
      <c r="G5905" t="s">
        <v>352</v>
      </c>
      <c r="H5905" t="s">
        <v>1142</v>
      </c>
      <c r="I5905" t="s">
        <v>22</v>
      </c>
      <c r="J5905" s="2" t="s">
        <v>42</v>
      </c>
      <c r="K5905" s="2" t="s">
        <v>3019</v>
      </c>
      <c r="L5905" t="s">
        <v>25</v>
      </c>
      <c r="M5905" s="8">
        <v>1.1423333330000001</v>
      </c>
      <c r="N5905" t="s">
        <v>26</v>
      </c>
      <c r="O5905" s="8">
        <v>1.1423333330000001</v>
      </c>
      <c r="P5905" s="8">
        <f>EXP(-1.363+3.366*LOG(O5905,10))</f>
        <v>0.31084239358261528</v>
      </c>
      <c r="Q5905" s="8">
        <f>(2317420*100)/2442061</f>
        <v>94.896073439606951</v>
      </c>
    </row>
    <row r="5906" spans="1:17" x14ac:dyDescent="0.2">
      <c r="A5906">
        <f>YEAR(D5906)</f>
        <v>2020</v>
      </c>
      <c r="B5906" t="s">
        <v>26</v>
      </c>
      <c r="C5906" s="2" t="s">
        <v>3026</v>
      </c>
      <c r="D5906" s="1">
        <v>44056</v>
      </c>
      <c r="E5906">
        <f>MONTH(D5906)</f>
        <v>8</v>
      </c>
      <c r="F5906" s="2" t="s">
        <v>2098</v>
      </c>
      <c r="G5906" t="s">
        <v>332</v>
      </c>
      <c r="H5906" t="s">
        <v>327</v>
      </c>
      <c r="I5906" t="s">
        <v>36</v>
      </c>
      <c r="J5906" s="2" t="s">
        <v>42</v>
      </c>
      <c r="K5906" s="2" t="s">
        <v>3019</v>
      </c>
      <c r="L5906" t="s">
        <v>25</v>
      </c>
      <c r="M5906" s="8">
        <v>1.0693333330000001</v>
      </c>
      <c r="N5906" t="s">
        <v>26</v>
      </c>
      <c r="O5906" s="8">
        <v>1.0693333330000001</v>
      </c>
      <c r="P5906" s="8">
        <f>EXP(-1.363+3.366*LOG(O5906,10))</f>
        <v>0.28223780327142356</v>
      </c>
      <c r="Q5906" s="8">
        <f>(2317420*100)/2442061</f>
        <v>94.896073439606951</v>
      </c>
    </row>
    <row r="5907" spans="1:17" x14ac:dyDescent="0.2">
      <c r="A5907">
        <f>YEAR(D5907)</f>
        <v>2020</v>
      </c>
      <c r="B5907" t="s">
        <v>26</v>
      </c>
      <c r="C5907" s="2" t="s">
        <v>3026</v>
      </c>
      <c r="D5907" s="1">
        <v>44056</v>
      </c>
      <c r="E5907">
        <f>MONTH(D5907)</f>
        <v>8</v>
      </c>
      <c r="F5907" s="2" t="s">
        <v>2098</v>
      </c>
      <c r="G5907" t="s">
        <v>332</v>
      </c>
      <c r="H5907" t="s">
        <v>327</v>
      </c>
      <c r="I5907" t="s">
        <v>36</v>
      </c>
      <c r="J5907" s="2" t="s">
        <v>42</v>
      </c>
      <c r="K5907" s="2" t="s">
        <v>3019</v>
      </c>
      <c r="L5907" t="s">
        <v>25</v>
      </c>
      <c r="M5907" s="8">
        <v>1.0693333330000001</v>
      </c>
      <c r="N5907" t="s">
        <v>26</v>
      </c>
      <c r="O5907" s="8">
        <v>1.0693333330000001</v>
      </c>
      <c r="P5907" s="8">
        <f>EXP(-1.363+3.366*LOG(O5907,10))</f>
        <v>0.28223780327142356</v>
      </c>
      <c r="Q5907" s="8">
        <f>(2317420*100)/2442061</f>
        <v>94.896073439606951</v>
      </c>
    </row>
    <row r="5908" spans="1:17" x14ac:dyDescent="0.2">
      <c r="A5908">
        <f>YEAR(D5908)</f>
        <v>2020</v>
      </c>
      <c r="B5908" t="s">
        <v>26</v>
      </c>
      <c r="C5908" s="2" t="s">
        <v>3026</v>
      </c>
      <c r="D5908" s="1">
        <v>44056</v>
      </c>
      <c r="E5908">
        <f>MONTH(D5908)</f>
        <v>8</v>
      </c>
      <c r="F5908" s="2" t="s">
        <v>2098</v>
      </c>
      <c r="G5908" t="s">
        <v>362</v>
      </c>
      <c r="H5908" t="s">
        <v>393</v>
      </c>
      <c r="I5908" t="s">
        <v>36</v>
      </c>
      <c r="J5908" s="2" t="s">
        <v>42</v>
      </c>
      <c r="K5908" s="2" t="s">
        <v>3019</v>
      </c>
      <c r="L5908" t="s">
        <v>25</v>
      </c>
      <c r="M5908" s="8">
        <v>2.2189999999999999</v>
      </c>
      <c r="N5908" t="s">
        <v>26</v>
      </c>
      <c r="O5908" s="8">
        <v>2.2189999999999999</v>
      </c>
      <c r="P5908" s="8">
        <f>EXP(-1.363+3.366*LOG(O5908,10))</f>
        <v>0.82050561861036375</v>
      </c>
      <c r="Q5908" s="8">
        <f>(2317420*100)/2442061</f>
        <v>94.896073439606951</v>
      </c>
    </row>
    <row r="5909" spans="1:17" x14ac:dyDescent="0.2">
      <c r="A5909">
        <f>YEAR(D5909)</f>
        <v>2020</v>
      </c>
      <c r="B5909" t="s">
        <v>26</v>
      </c>
      <c r="C5909" s="2" t="s">
        <v>3026</v>
      </c>
      <c r="D5909" s="1">
        <v>44056</v>
      </c>
      <c r="E5909">
        <f>MONTH(D5909)</f>
        <v>8</v>
      </c>
      <c r="F5909" s="2" t="s">
        <v>2098</v>
      </c>
      <c r="G5909" t="s">
        <v>362</v>
      </c>
      <c r="H5909" t="s">
        <v>393</v>
      </c>
      <c r="I5909" t="s">
        <v>36</v>
      </c>
      <c r="J5909" s="2" t="s">
        <v>42</v>
      </c>
      <c r="K5909" s="2" t="s">
        <v>3019</v>
      </c>
      <c r="L5909" t="s">
        <v>25</v>
      </c>
      <c r="M5909" s="8">
        <v>2.2189999999999999</v>
      </c>
      <c r="N5909" t="s">
        <v>26</v>
      </c>
      <c r="O5909" s="8">
        <v>2.2189999999999999</v>
      </c>
      <c r="P5909" s="8">
        <f>EXP(-1.363+3.366*LOG(O5909,10))</f>
        <v>0.82050561861036375</v>
      </c>
      <c r="Q5909" s="8">
        <f>(2317420*100)/2442061</f>
        <v>94.896073439606951</v>
      </c>
    </row>
    <row r="5910" spans="1:17" x14ac:dyDescent="0.2">
      <c r="A5910">
        <f>YEAR(D5910)</f>
        <v>2020</v>
      </c>
      <c r="B5910" t="s">
        <v>26</v>
      </c>
      <c r="C5910" s="2" t="s">
        <v>3025</v>
      </c>
      <c r="D5910" s="1">
        <v>44056</v>
      </c>
      <c r="E5910">
        <f>MONTH(D5910)</f>
        <v>8</v>
      </c>
      <c r="F5910" s="2" t="s">
        <v>19</v>
      </c>
      <c r="G5910" t="s">
        <v>352</v>
      </c>
      <c r="H5910" t="s">
        <v>1459</v>
      </c>
      <c r="I5910" t="s">
        <v>36</v>
      </c>
      <c r="J5910" s="2" t="s">
        <v>42</v>
      </c>
      <c r="K5910" s="2" t="s">
        <v>3019</v>
      </c>
      <c r="L5910" t="s">
        <v>25</v>
      </c>
      <c r="M5910" s="8">
        <v>1.0913333329999999</v>
      </c>
      <c r="N5910" t="s">
        <v>26</v>
      </c>
      <c r="O5910" s="8">
        <v>1.0913333329999999</v>
      </c>
      <c r="P5910" s="8">
        <f>EXP(-1.363+3.366*LOG(O5910,10))</f>
        <v>0.29076633015787234</v>
      </c>
      <c r="Q5910" s="8">
        <f>(1955155*100)/2180255</f>
        <v>89.67551960665152</v>
      </c>
    </row>
    <row r="5911" spans="1:17" x14ac:dyDescent="0.2">
      <c r="A5911">
        <f>YEAR(D5911)</f>
        <v>2020</v>
      </c>
      <c r="B5911" t="s">
        <v>26</v>
      </c>
      <c r="C5911" s="2" t="s">
        <v>3025</v>
      </c>
      <c r="D5911" s="1">
        <v>44056</v>
      </c>
      <c r="E5911">
        <f>MONTH(D5911)</f>
        <v>8</v>
      </c>
      <c r="F5911" s="2" t="s">
        <v>19</v>
      </c>
      <c r="G5911" t="s">
        <v>352</v>
      </c>
      <c r="H5911" t="s">
        <v>975</v>
      </c>
      <c r="I5911" t="s">
        <v>22</v>
      </c>
      <c r="J5911" s="2" t="s">
        <v>42</v>
      </c>
      <c r="K5911" s="2" t="s">
        <v>3019</v>
      </c>
      <c r="L5911" t="s">
        <v>25</v>
      </c>
      <c r="M5911" s="8">
        <v>1.0693333330000001</v>
      </c>
      <c r="N5911" t="s">
        <v>26</v>
      </c>
      <c r="O5911" s="8">
        <v>1.0693333330000001</v>
      </c>
      <c r="P5911" s="8">
        <f>EXP(-1.363+3.366*LOG(O5911,10))</f>
        <v>0.28223780327142356</v>
      </c>
      <c r="Q5911" s="8">
        <f>(1955155*100)/2180255</f>
        <v>89.67551960665152</v>
      </c>
    </row>
    <row r="5912" spans="1:17" x14ac:dyDescent="0.2">
      <c r="A5912">
        <f>YEAR(D5912)</f>
        <v>2020</v>
      </c>
      <c r="B5912" t="s">
        <v>26</v>
      </c>
      <c r="C5912" s="2" t="s">
        <v>1540</v>
      </c>
      <c r="D5912" s="1">
        <v>44054</v>
      </c>
      <c r="E5912">
        <f>MONTH(D5912)</f>
        <v>8</v>
      </c>
      <c r="F5912" s="2" t="s">
        <v>19</v>
      </c>
      <c r="G5912" t="s">
        <v>219</v>
      </c>
      <c r="H5912" t="s">
        <v>220</v>
      </c>
      <c r="I5912" t="s">
        <v>22</v>
      </c>
      <c r="J5912" s="2" t="s">
        <v>42</v>
      </c>
      <c r="K5912" s="2" t="s">
        <v>3019</v>
      </c>
      <c r="L5912" t="s">
        <v>25</v>
      </c>
      <c r="M5912" s="10" t="s">
        <v>26</v>
      </c>
      <c r="N5912" t="s">
        <v>26</v>
      </c>
      <c r="O5912" s="10" t="s">
        <v>26</v>
      </c>
      <c r="P5912" s="8" t="s">
        <v>26</v>
      </c>
      <c r="Q5912" s="8">
        <f>(2618262*100)/2995732</f>
        <v>87.399740697766021</v>
      </c>
    </row>
    <row r="5913" spans="1:17" x14ac:dyDescent="0.2">
      <c r="A5913">
        <f>YEAR(D5913)</f>
        <v>2020</v>
      </c>
      <c r="B5913" t="s">
        <v>26</v>
      </c>
      <c r="C5913" s="2" t="s">
        <v>1540</v>
      </c>
      <c r="D5913" s="1">
        <v>44054</v>
      </c>
      <c r="E5913">
        <f>MONTH(D5913)</f>
        <v>8</v>
      </c>
      <c r="F5913" s="2" t="s">
        <v>19</v>
      </c>
      <c r="G5913" t="s">
        <v>362</v>
      </c>
      <c r="H5913" t="s">
        <v>447</v>
      </c>
      <c r="I5913" t="s">
        <v>22</v>
      </c>
      <c r="J5913" s="2" t="s">
        <v>42</v>
      </c>
      <c r="K5913" s="2" t="s">
        <v>3019</v>
      </c>
      <c r="L5913" t="s">
        <v>25</v>
      </c>
      <c r="M5913" s="8">
        <v>1.421</v>
      </c>
      <c r="N5913" t="s">
        <v>26</v>
      </c>
      <c r="O5913" s="8">
        <v>1.421</v>
      </c>
      <c r="P5913" s="8">
        <f>EXP(-1.363+3.366*LOG(O5913,10))</f>
        <v>0.42768500084673816</v>
      </c>
      <c r="Q5913" s="8">
        <f>(2618262*100)/2995732</f>
        <v>87.399740697766021</v>
      </c>
    </row>
    <row r="5914" spans="1:17" x14ac:dyDescent="0.2">
      <c r="A5914">
        <f>YEAR(D5914)</f>
        <v>2020</v>
      </c>
      <c r="B5914" t="s">
        <v>26</v>
      </c>
      <c r="C5914" s="2" t="s">
        <v>1540</v>
      </c>
      <c r="D5914" s="1">
        <v>44054</v>
      </c>
      <c r="E5914">
        <f>MONTH(D5914)</f>
        <v>8</v>
      </c>
      <c r="F5914" s="2" t="s">
        <v>19</v>
      </c>
      <c r="G5914" t="s">
        <v>352</v>
      </c>
      <c r="H5914" t="s">
        <v>975</v>
      </c>
      <c r="I5914" t="s">
        <v>36</v>
      </c>
      <c r="J5914" s="2" t="s">
        <v>42</v>
      </c>
      <c r="K5914" s="2" t="s">
        <v>3019</v>
      </c>
      <c r="L5914" t="s">
        <v>25</v>
      </c>
      <c r="M5914" s="8">
        <v>0.95199999999999996</v>
      </c>
      <c r="N5914" t="s">
        <v>26</v>
      </c>
      <c r="O5914" s="8">
        <v>0.95199999999999996</v>
      </c>
      <c r="P5914" s="8">
        <f>EXP(-1.363+3.366*LOG(O5914,10))</f>
        <v>0.23813726407794436</v>
      </c>
      <c r="Q5914" s="8">
        <f>(2618262*100)/2995732</f>
        <v>87.399740697766021</v>
      </c>
    </row>
    <row r="5915" spans="1:17" x14ac:dyDescent="0.2">
      <c r="A5915">
        <f>YEAR(D5915)</f>
        <v>2020</v>
      </c>
      <c r="B5915" t="s">
        <v>26</v>
      </c>
      <c r="C5915" s="2" t="s">
        <v>3025</v>
      </c>
      <c r="D5915" s="1">
        <v>44056</v>
      </c>
      <c r="E5915">
        <f>MONTH(D5915)</f>
        <v>8</v>
      </c>
      <c r="F5915" s="2" t="s">
        <v>19</v>
      </c>
      <c r="G5915" t="s">
        <v>352</v>
      </c>
      <c r="H5915" t="s">
        <v>975</v>
      </c>
      <c r="I5915" t="s">
        <v>22</v>
      </c>
      <c r="J5915" s="2" t="s">
        <v>42</v>
      </c>
      <c r="K5915" s="2" t="s">
        <v>3019</v>
      </c>
      <c r="L5915" t="s">
        <v>25</v>
      </c>
      <c r="M5915" s="8">
        <v>1.0693333330000001</v>
      </c>
      <c r="N5915" t="s">
        <v>26</v>
      </c>
      <c r="O5915" s="8">
        <v>1.0693333330000001</v>
      </c>
      <c r="P5915" s="8">
        <f>EXP(-1.363+3.366*LOG(O5915,10))</f>
        <v>0.28223780327142356</v>
      </c>
      <c r="Q5915" s="8">
        <f>(1955155*100)/2180255</f>
        <v>89.67551960665152</v>
      </c>
    </row>
    <row r="5916" spans="1:17" x14ac:dyDescent="0.2">
      <c r="A5916">
        <f>YEAR(D5916)</f>
        <v>2020</v>
      </c>
      <c r="B5916" t="s">
        <v>26</v>
      </c>
      <c r="C5916" s="2" t="s">
        <v>3025</v>
      </c>
      <c r="D5916" s="1">
        <v>44056</v>
      </c>
      <c r="E5916">
        <f>MONTH(D5916)</f>
        <v>8</v>
      </c>
      <c r="F5916" s="2" t="s">
        <v>19</v>
      </c>
      <c r="G5916" t="s">
        <v>352</v>
      </c>
      <c r="H5916" t="s">
        <v>1459</v>
      </c>
      <c r="I5916" t="s">
        <v>36</v>
      </c>
      <c r="J5916" s="2" t="s">
        <v>42</v>
      </c>
      <c r="K5916" s="2" t="s">
        <v>3019</v>
      </c>
      <c r="L5916" t="s">
        <v>25</v>
      </c>
      <c r="M5916" s="8">
        <v>1.0913333329999999</v>
      </c>
      <c r="N5916" t="s">
        <v>26</v>
      </c>
      <c r="O5916" s="8">
        <v>1.0913333329999999</v>
      </c>
      <c r="P5916" s="8">
        <f>EXP(-1.363+3.366*LOG(O5916,10))</f>
        <v>0.29076633015787234</v>
      </c>
      <c r="Q5916" s="8">
        <f>(1955155*100)/2180255</f>
        <v>89.67551960665152</v>
      </c>
    </row>
    <row r="5917" spans="1:17" x14ac:dyDescent="0.2">
      <c r="A5917">
        <f>YEAR(D5917)</f>
        <v>2020</v>
      </c>
      <c r="B5917" t="s">
        <v>26</v>
      </c>
      <c r="C5917" s="2" t="s">
        <v>3025</v>
      </c>
      <c r="D5917" s="1">
        <v>44056</v>
      </c>
      <c r="E5917">
        <f>MONTH(D5917)</f>
        <v>8</v>
      </c>
      <c r="F5917" s="2" t="s">
        <v>19</v>
      </c>
      <c r="G5917" t="s">
        <v>352</v>
      </c>
      <c r="H5917" t="s">
        <v>623</v>
      </c>
      <c r="I5917" t="s">
        <v>22</v>
      </c>
      <c r="J5917" s="2" t="s">
        <v>42</v>
      </c>
      <c r="K5917" s="2" t="s">
        <v>3019</v>
      </c>
      <c r="L5917" t="s">
        <v>25</v>
      </c>
      <c r="M5917" s="8">
        <v>1.387</v>
      </c>
      <c r="N5917" t="s">
        <v>26</v>
      </c>
      <c r="O5917" s="8">
        <v>1.387</v>
      </c>
      <c r="P5917" s="8">
        <f>EXP(-1.363+3.366*LOG(O5917,10))</f>
        <v>0.41280884754947733</v>
      </c>
      <c r="Q5917" s="8">
        <f>(1955155*100)/2180255</f>
        <v>89.67551960665152</v>
      </c>
    </row>
    <row r="5918" spans="1:17" x14ac:dyDescent="0.2">
      <c r="A5918">
        <f>YEAR(D5918)</f>
        <v>2020</v>
      </c>
      <c r="B5918" t="s">
        <v>26</v>
      </c>
      <c r="C5918" s="2" t="s">
        <v>3020</v>
      </c>
      <c r="D5918" s="1">
        <v>44053</v>
      </c>
      <c r="E5918">
        <f>MONTH(D5918)</f>
        <v>8</v>
      </c>
      <c r="F5918" s="2" t="s">
        <v>19</v>
      </c>
      <c r="G5918" t="s">
        <v>352</v>
      </c>
      <c r="H5918" t="s">
        <v>728</v>
      </c>
      <c r="I5918" t="s">
        <v>36</v>
      </c>
      <c r="J5918" s="2" t="s">
        <v>42</v>
      </c>
      <c r="K5918" s="2" t="s">
        <v>3019</v>
      </c>
      <c r="L5918" t="s">
        <v>187</v>
      </c>
      <c r="M5918" s="8">
        <v>1.376333333</v>
      </c>
      <c r="N5918" t="s">
        <v>26</v>
      </c>
      <c r="O5918" s="8">
        <v>1.376333333</v>
      </c>
      <c r="P5918" s="8">
        <f>EXP(-1.363+3.366*LOG(O5918,10))</f>
        <v>0.40817622737824627</v>
      </c>
      <c r="Q5918" s="8">
        <f>(3359412*100)/3462762</f>
        <v>97.015388294084318</v>
      </c>
    </row>
    <row r="5919" spans="1:17" x14ac:dyDescent="0.2">
      <c r="A5919">
        <f>YEAR(D5919)</f>
        <v>2020</v>
      </c>
      <c r="B5919" t="s">
        <v>26</v>
      </c>
      <c r="C5919" s="2" t="s">
        <v>3023</v>
      </c>
      <c r="D5919" s="1">
        <v>44075</v>
      </c>
      <c r="E5919">
        <f>MONTH(D5919)</f>
        <v>9</v>
      </c>
      <c r="F5919" s="2" t="s">
        <v>2098</v>
      </c>
      <c r="G5919" t="s">
        <v>230</v>
      </c>
      <c r="H5919" t="s">
        <v>268</v>
      </c>
      <c r="I5919" t="s">
        <v>22</v>
      </c>
      <c r="J5919" s="2" t="s">
        <v>42</v>
      </c>
      <c r="K5919" s="2" t="s">
        <v>3019</v>
      </c>
      <c r="L5919" t="s">
        <v>25</v>
      </c>
      <c r="M5919" s="8">
        <v>3.5356666670000001</v>
      </c>
      <c r="N5919" t="s">
        <v>26</v>
      </c>
      <c r="O5919" s="8">
        <v>3.5356666670000001</v>
      </c>
      <c r="P5919" s="8">
        <f>EXP(-1.363+3.366*LOG(O5919,10))</f>
        <v>1.6211802664427075</v>
      </c>
      <c r="Q5919" s="8">
        <f>(8197453*100)/8541008</f>
        <v>95.977582505484136</v>
      </c>
    </row>
    <row r="5920" spans="1:17" x14ac:dyDescent="0.2">
      <c r="A5920">
        <f>YEAR(D5920)</f>
        <v>2020</v>
      </c>
      <c r="B5920" t="s">
        <v>26</v>
      </c>
      <c r="C5920" s="2" t="s">
        <v>3023</v>
      </c>
      <c r="D5920" s="1">
        <v>44075</v>
      </c>
      <c r="E5920">
        <f>MONTH(D5920)</f>
        <v>9</v>
      </c>
      <c r="F5920" s="2" t="s">
        <v>2098</v>
      </c>
      <c r="G5920" t="s">
        <v>230</v>
      </c>
      <c r="H5920" t="s">
        <v>268</v>
      </c>
      <c r="I5920" t="s">
        <v>22</v>
      </c>
      <c r="J5920" s="2" t="s">
        <v>42</v>
      </c>
      <c r="K5920" s="2" t="s">
        <v>3019</v>
      </c>
      <c r="L5920" t="s">
        <v>25</v>
      </c>
      <c r="M5920" s="8">
        <v>3.5356666670000001</v>
      </c>
      <c r="N5920" t="s">
        <v>26</v>
      </c>
      <c r="O5920" s="8">
        <v>3.5356666670000001</v>
      </c>
      <c r="P5920" s="8">
        <f>EXP(-1.363+3.366*LOG(O5920,10))</f>
        <v>1.6211802664427075</v>
      </c>
      <c r="Q5920" s="8">
        <f>(8197453*100)/8541008</f>
        <v>95.977582505484136</v>
      </c>
    </row>
    <row r="5921" spans="1:17" x14ac:dyDescent="0.2">
      <c r="A5921">
        <f>YEAR(D5921)</f>
        <v>2020</v>
      </c>
      <c r="B5921" t="s">
        <v>26</v>
      </c>
      <c r="C5921" s="2" t="s">
        <v>3023</v>
      </c>
      <c r="D5921" s="1">
        <v>44075</v>
      </c>
      <c r="E5921">
        <f>MONTH(D5921)</f>
        <v>9</v>
      </c>
      <c r="F5921" s="2" t="s">
        <v>2098</v>
      </c>
      <c r="G5921" t="s">
        <v>230</v>
      </c>
      <c r="H5921" t="s">
        <v>268</v>
      </c>
      <c r="I5921" t="s">
        <v>22</v>
      </c>
      <c r="J5921" s="2" t="s">
        <v>42</v>
      </c>
      <c r="K5921" s="2" t="s">
        <v>3019</v>
      </c>
      <c r="L5921" t="s">
        <v>25</v>
      </c>
      <c r="M5921" s="8">
        <v>3.5356666670000001</v>
      </c>
      <c r="N5921" t="s">
        <v>26</v>
      </c>
      <c r="O5921" s="8">
        <v>3.5356666670000001</v>
      </c>
      <c r="P5921" s="8">
        <f>EXP(-1.363+3.366*LOG(O5921,10))</f>
        <v>1.6211802664427075</v>
      </c>
      <c r="Q5921" s="8">
        <f>(8197453*100)/8541008</f>
        <v>95.977582505484136</v>
      </c>
    </row>
    <row r="5922" spans="1:17" x14ac:dyDescent="0.2">
      <c r="A5922">
        <f>YEAR(D5922)</f>
        <v>2020</v>
      </c>
      <c r="B5922" t="s">
        <v>26</v>
      </c>
      <c r="C5922" s="2" t="s">
        <v>3023</v>
      </c>
      <c r="D5922" s="1">
        <v>44075</v>
      </c>
      <c r="E5922">
        <f>MONTH(D5922)</f>
        <v>9</v>
      </c>
      <c r="F5922" s="2" t="s">
        <v>2098</v>
      </c>
      <c r="G5922" t="s">
        <v>219</v>
      </c>
      <c r="H5922" t="s">
        <v>220</v>
      </c>
      <c r="I5922" t="s">
        <v>22</v>
      </c>
      <c r="J5922" s="2" t="s">
        <v>42</v>
      </c>
      <c r="K5922" s="2" t="s">
        <v>3019</v>
      </c>
      <c r="L5922" t="s">
        <v>25</v>
      </c>
      <c r="M5922" s="10" t="s">
        <v>26</v>
      </c>
      <c r="N5922" t="s">
        <v>26</v>
      </c>
      <c r="O5922" s="10" t="s">
        <v>26</v>
      </c>
      <c r="P5922" s="8" t="s">
        <v>26</v>
      </c>
      <c r="Q5922" s="8">
        <f>(8197453*100)/8541008</f>
        <v>95.977582505484136</v>
      </c>
    </row>
    <row r="5923" spans="1:17" x14ac:dyDescent="0.2">
      <c r="A5923">
        <f>YEAR(D5923)</f>
        <v>2020</v>
      </c>
      <c r="B5923" t="s">
        <v>26</v>
      </c>
      <c r="C5923" s="2" t="s">
        <v>3023</v>
      </c>
      <c r="D5923" s="1">
        <v>44075</v>
      </c>
      <c r="E5923">
        <f>MONTH(D5923)</f>
        <v>9</v>
      </c>
      <c r="F5923" s="2" t="s">
        <v>2098</v>
      </c>
      <c r="G5923" t="s">
        <v>219</v>
      </c>
      <c r="H5923" t="s">
        <v>220</v>
      </c>
      <c r="I5923" t="s">
        <v>22</v>
      </c>
      <c r="J5923" s="2" t="s">
        <v>42</v>
      </c>
      <c r="K5923" s="2" t="s">
        <v>3019</v>
      </c>
      <c r="L5923" t="s">
        <v>25</v>
      </c>
      <c r="M5923" s="10" t="s">
        <v>26</v>
      </c>
      <c r="N5923" t="s">
        <v>26</v>
      </c>
      <c r="O5923" s="10" t="s">
        <v>26</v>
      </c>
      <c r="P5923" s="8" t="s">
        <v>26</v>
      </c>
      <c r="Q5923" s="8">
        <f>(8197453*100)/8541008</f>
        <v>95.977582505484136</v>
      </c>
    </row>
    <row r="5924" spans="1:17" x14ac:dyDescent="0.2">
      <c r="A5924">
        <f>YEAR(D5924)</f>
        <v>2020</v>
      </c>
      <c r="B5924" t="s">
        <v>26</v>
      </c>
      <c r="C5924" s="2" t="s">
        <v>3023</v>
      </c>
      <c r="D5924" s="1">
        <v>44075</v>
      </c>
      <c r="E5924">
        <f>MONTH(D5924)</f>
        <v>9</v>
      </c>
      <c r="F5924" s="2" t="s">
        <v>2098</v>
      </c>
      <c r="G5924" t="s">
        <v>219</v>
      </c>
      <c r="H5924" t="s">
        <v>220</v>
      </c>
      <c r="I5924" t="s">
        <v>22</v>
      </c>
      <c r="J5924" s="2" t="s">
        <v>42</v>
      </c>
      <c r="K5924" s="2" t="s">
        <v>3019</v>
      </c>
      <c r="L5924" t="s">
        <v>25</v>
      </c>
      <c r="M5924" s="10" t="s">
        <v>26</v>
      </c>
      <c r="N5924" t="s">
        <v>26</v>
      </c>
      <c r="O5924" s="10" t="s">
        <v>26</v>
      </c>
      <c r="P5924" s="8" t="s">
        <v>26</v>
      </c>
      <c r="Q5924" s="8">
        <f>(8197453*100)/8541008</f>
        <v>95.977582505484136</v>
      </c>
    </row>
    <row r="5925" spans="1:17" x14ac:dyDescent="0.2">
      <c r="A5925">
        <f>YEAR(D5925)</f>
        <v>2020</v>
      </c>
      <c r="B5925" t="s">
        <v>26</v>
      </c>
      <c r="C5925" s="2" t="s">
        <v>3023</v>
      </c>
      <c r="D5925" s="1">
        <v>44075</v>
      </c>
      <c r="E5925">
        <f>MONTH(D5925)</f>
        <v>9</v>
      </c>
      <c r="F5925" s="2" t="s">
        <v>2098</v>
      </c>
      <c r="G5925" t="s">
        <v>219</v>
      </c>
      <c r="H5925" t="s">
        <v>220</v>
      </c>
      <c r="I5925" t="s">
        <v>22</v>
      </c>
      <c r="J5925" s="2" t="s">
        <v>42</v>
      </c>
      <c r="K5925" s="2" t="s">
        <v>3019</v>
      </c>
      <c r="L5925" t="s">
        <v>25</v>
      </c>
      <c r="M5925" s="10" t="s">
        <v>26</v>
      </c>
      <c r="N5925" t="s">
        <v>26</v>
      </c>
      <c r="O5925" s="10" t="s">
        <v>26</v>
      </c>
      <c r="P5925" s="8" t="s">
        <v>26</v>
      </c>
      <c r="Q5925" s="8">
        <f>(8197453*100)/8541008</f>
        <v>95.977582505484136</v>
      </c>
    </row>
    <row r="5926" spans="1:17" x14ac:dyDescent="0.2">
      <c r="A5926">
        <f>YEAR(D5926)</f>
        <v>2020</v>
      </c>
      <c r="B5926" t="s">
        <v>26</v>
      </c>
      <c r="C5926" s="2" t="s">
        <v>3023</v>
      </c>
      <c r="D5926" s="1">
        <v>44075</v>
      </c>
      <c r="E5926">
        <f>MONTH(D5926)</f>
        <v>9</v>
      </c>
      <c r="F5926" s="2" t="s">
        <v>2098</v>
      </c>
      <c r="G5926" t="s">
        <v>219</v>
      </c>
      <c r="H5926" t="s">
        <v>220</v>
      </c>
      <c r="I5926" t="s">
        <v>22</v>
      </c>
      <c r="J5926" s="2" t="s">
        <v>42</v>
      </c>
      <c r="K5926" s="2" t="s">
        <v>3019</v>
      </c>
      <c r="L5926" t="s">
        <v>25</v>
      </c>
      <c r="M5926" s="10" t="s">
        <v>26</v>
      </c>
      <c r="N5926" t="s">
        <v>26</v>
      </c>
      <c r="O5926" s="10" t="s">
        <v>26</v>
      </c>
      <c r="P5926" s="8" t="s">
        <v>26</v>
      </c>
      <c r="Q5926" s="8">
        <f>(8197453*100)/8541008</f>
        <v>95.977582505484136</v>
      </c>
    </row>
    <row r="5927" spans="1:17" x14ac:dyDescent="0.2">
      <c r="A5927">
        <f>YEAR(D5927)</f>
        <v>2020</v>
      </c>
      <c r="B5927" t="s">
        <v>26</v>
      </c>
      <c r="C5927" s="2" t="s">
        <v>3023</v>
      </c>
      <c r="D5927" s="1">
        <v>44075</v>
      </c>
      <c r="E5927">
        <f>MONTH(D5927)</f>
        <v>9</v>
      </c>
      <c r="F5927" s="2" t="s">
        <v>2098</v>
      </c>
      <c r="G5927" t="s">
        <v>219</v>
      </c>
      <c r="H5927" t="s">
        <v>220</v>
      </c>
      <c r="I5927" t="s">
        <v>22</v>
      </c>
      <c r="J5927" s="2" t="s">
        <v>42</v>
      </c>
      <c r="K5927" s="2" t="s">
        <v>3019</v>
      </c>
      <c r="L5927" t="s">
        <v>25</v>
      </c>
      <c r="M5927" s="10" t="s">
        <v>26</v>
      </c>
      <c r="N5927" t="s">
        <v>26</v>
      </c>
      <c r="O5927" s="10" t="s">
        <v>26</v>
      </c>
      <c r="P5927" s="8" t="s">
        <v>26</v>
      </c>
      <c r="Q5927" s="8">
        <f>(8197453*100)/8541008</f>
        <v>95.977582505484136</v>
      </c>
    </row>
    <row r="5928" spans="1:17" x14ac:dyDescent="0.2">
      <c r="A5928">
        <f>YEAR(D5928)</f>
        <v>2020</v>
      </c>
      <c r="B5928" t="s">
        <v>26</v>
      </c>
      <c r="C5928" s="2" t="s">
        <v>3023</v>
      </c>
      <c r="D5928" s="1">
        <v>44075</v>
      </c>
      <c r="E5928">
        <f>MONTH(D5928)</f>
        <v>9</v>
      </c>
      <c r="F5928" s="2" t="s">
        <v>2098</v>
      </c>
      <c r="G5928" t="s">
        <v>219</v>
      </c>
      <c r="H5928" t="s">
        <v>220</v>
      </c>
      <c r="I5928" t="s">
        <v>22</v>
      </c>
      <c r="J5928" s="2" t="s">
        <v>42</v>
      </c>
      <c r="K5928" s="2" t="s">
        <v>3019</v>
      </c>
      <c r="L5928" t="s">
        <v>25</v>
      </c>
      <c r="M5928" s="10" t="s">
        <v>26</v>
      </c>
      <c r="N5928" t="s">
        <v>26</v>
      </c>
      <c r="O5928" s="10" t="s">
        <v>26</v>
      </c>
      <c r="P5928" s="8" t="s">
        <v>26</v>
      </c>
      <c r="Q5928" s="8">
        <f>(8197453*100)/8541008</f>
        <v>95.977582505484136</v>
      </c>
    </row>
    <row r="5929" spans="1:17" x14ac:dyDescent="0.2">
      <c r="A5929">
        <f>YEAR(D5929)</f>
        <v>2020</v>
      </c>
      <c r="B5929" t="s">
        <v>26</v>
      </c>
      <c r="C5929" s="2" t="s">
        <v>3023</v>
      </c>
      <c r="D5929" s="1">
        <v>44075</v>
      </c>
      <c r="E5929">
        <f>MONTH(D5929)</f>
        <v>9</v>
      </c>
      <c r="F5929" s="2" t="s">
        <v>2098</v>
      </c>
      <c r="G5929" t="s">
        <v>219</v>
      </c>
      <c r="H5929" t="s">
        <v>220</v>
      </c>
      <c r="I5929" t="s">
        <v>22</v>
      </c>
      <c r="J5929" s="2" t="s">
        <v>42</v>
      </c>
      <c r="K5929" s="2" t="s">
        <v>3019</v>
      </c>
      <c r="L5929" t="s">
        <v>25</v>
      </c>
      <c r="M5929" s="10" t="s">
        <v>26</v>
      </c>
      <c r="N5929" t="s">
        <v>26</v>
      </c>
      <c r="O5929" s="10" t="s">
        <v>26</v>
      </c>
      <c r="P5929" s="8" t="s">
        <v>26</v>
      </c>
      <c r="Q5929" s="8">
        <f>(8197453*100)/8541008</f>
        <v>95.977582505484136</v>
      </c>
    </row>
    <row r="5930" spans="1:17" x14ac:dyDescent="0.2">
      <c r="A5930">
        <f>YEAR(D5930)</f>
        <v>2020</v>
      </c>
      <c r="B5930" t="s">
        <v>26</v>
      </c>
      <c r="C5930" s="2" t="s">
        <v>3023</v>
      </c>
      <c r="D5930" s="1">
        <v>44075</v>
      </c>
      <c r="E5930">
        <f>MONTH(D5930)</f>
        <v>9</v>
      </c>
      <c r="F5930" s="2" t="s">
        <v>2098</v>
      </c>
      <c r="G5930" t="s">
        <v>219</v>
      </c>
      <c r="H5930" t="s">
        <v>220</v>
      </c>
      <c r="I5930" t="s">
        <v>22</v>
      </c>
      <c r="J5930" s="2" t="s">
        <v>42</v>
      </c>
      <c r="K5930" s="2" t="s">
        <v>3019</v>
      </c>
      <c r="L5930" t="s">
        <v>25</v>
      </c>
      <c r="M5930" s="10" t="s">
        <v>26</v>
      </c>
      <c r="N5930" t="s">
        <v>26</v>
      </c>
      <c r="O5930" s="10" t="s">
        <v>26</v>
      </c>
      <c r="P5930" s="8" t="s">
        <v>26</v>
      </c>
      <c r="Q5930" s="8">
        <f>(8197453*100)/8541008</f>
        <v>95.977582505484136</v>
      </c>
    </row>
    <row r="5931" spans="1:17" x14ac:dyDescent="0.2">
      <c r="A5931">
        <f>YEAR(D5931)</f>
        <v>2020</v>
      </c>
      <c r="B5931" t="s">
        <v>26</v>
      </c>
      <c r="C5931" s="2" t="s">
        <v>3023</v>
      </c>
      <c r="D5931" s="1">
        <v>44075</v>
      </c>
      <c r="E5931">
        <f>MONTH(D5931)</f>
        <v>9</v>
      </c>
      <c r="F5931" s="2" t="s">
        <v>2098</v>
      </c>
      <c r="G5931" t="s">
        <v>219</v>
      </c>
      <c r="H5931" t="s">
        <v>220</v>
      </c>
      <c r="I5931" t="s">
        <v>22</v>
      </c>
      <c r="J5931" s="2" t="s">
        <v>42</v>
      </c>
      <c r="K5931" s="2" t="s">
        <v>3019</v>
      </c>
      <c r="L5931" t="s">
        <v>25</v>
      </c>
      <c r="M5931" s="10" t="s">
        <v>26</v>
      </c>
      <c r="N5931" t="s">
        <v>26</v>
      </c>
      <c r="O5931" s="10" t="s">
        <v>26</v>
      </c>
      <c r="P5931" s="8" t="s">
        <v>26</v>
      </c>
      <c r="Q5931" s="8">
        <f>(8197453*100)/8541008</f>
        <v>95.977582505484136</v>
      </c>
    </row>
    <row r="5932" spans="1:17" x14ac:dyDescent="0.2">
      <c r="A5932">
        <f>YEAR(D5932)</f>
        <v>2020</v>
      </c>
      <c r="B5932" t="s">
        <v>26</v>
      </c>
      <c r="C5932" s="2" t="s">
        <v>3023</v>
      </c>
      <c r="D5932" s="1">
        <v>44075</v>
      </c>
      <c r="E5932">
        <f>MONTH(D5932)</f>
        <v>9</v>
      </c>
      <c r="F5932" s="2" t="s">
        <v>2098</v>
      </c>
      <c r="G5932" t="s">
        <v>219</v>
      </c>
      <c r="H5932" t="s">
        <v>220</v>
      </c>
      <c r="I5932" t="s">
        <v>22</v>
      </c>
      <c r="J5932" s="2" t="s">
        <v>42</v>
      </c>
      <c r="K5932" s="2" t="s">
        <v>3019</v>
      </c>
      <c r="L5932" t="s">
        <v>25</v>
      </c>
      <c r="M5932" s="10" t="s">
        <v>26</v>
      </c>
      <c r="N5932" t="s">
        <v>26</v>
      </c>
      <c r="O5932" s="10" t="s">
        <v>26</v>
      </c>
      <c r="P5932" s="8" t="s">
        <v>26</v>
      </c>
      <c r="Q5932" s="8">
        <f>(8197453*100)/8541008</f>
        <v>95.977582505484136</v>
      </c>
    </row>
    <row r="5933" spans="1:17" x14ac:dyDescent="0.2">
      <c r="A5933">
        <f>YEAR(D5933)</f>
        <v>2020</v>
      </c>
      <c r="B5933" t="s">
        <v>26</v>
      </c>
      <c r="C5933" s="2" t="s">
        <v>3023</v>
      </c>
      <c r="D5933" s="1">
        <v>44075</v>
      </c>
      <c r="E5933">
        <f>MONTH(D5933)</f>
        <v>9</v>
      </c>
      <c r="F5933" s="2" t="s">
        <v>2098</v>
      </c>
      <c r="G5933" t="s">
        <v>219</v>
      </c>
      <c r="H5933" t="s">
        <v>220</v>
      </c>
      <c r="I5933" t="s">
        <v>22</v>
      </c>
      <c r="J5933" s="2" t="s">
        <v>42</v>
      </c>
      <c r="K5933" s="2" t="s">
        <v>3019</v>
      </c>
      <c r="L5933" t="s">
        <v>25</v>
      </c>
      <c r="M5933" s="10" t="s">
        <v>26</v>
      </c>
      <c r="N5933" t="s">
        <v>26</v>
      </c>
      <c r="O5933" s="10" t="s">
        <v>26</v>
      </c>
      <c r="P5933" s="8" t="s">
        <v>26</v>
      </c>
      <c r="Q5933" s="8">
        <f>(8197453*100)/8541008</f>
        <v>95.977582505484136</v>
      </c>
    </row>
    <row r="5934" spans="1:17" ht="16" x14ac:dyDescent="0.2">
      <c r="A5934">
        <f>YEAR(D5934)</f>
        <v>2020</v>
      </c>
      <c r="B5934" t="s">
        <v>26</v>
      </c>
      <c r="C5934" s="2" t="s">
        <v>3022</v>
      </c>
      <c r="D5934" s="1">
        <v>44075</v>
      </c>
      <c r="E5934">
        <f>MONTH(D5934)</f>
        <v>9</v>
      </c>
      <c r="F5934" s="2" t="s">
        <v>2098</v>
      </c>
      <c r="G5934" t="s">
        <v>318</v>
      </c>
      <c r="H5934" t="s">
        <v>319</v>
      </c>
      <c r="I5934" s="3" t="s">
        <v>26</v>
      </c>
      <c r="J5934" s="2" t="s">
        <v>42</v>
      </c>
      <c r="K5934" s="2" t="s">
        <v>3019</v>
      </c>
      <c r="L5934" t="s">
        <v>25</v>
      </c>
      <c r="M5934" s="10" t="s">
        <v>26</v>
      </c>
      <c r="N5934" t="s">
        <v>26</v>
      </c>
      <c r="O5934" s="8" t="s">
        <v>26</v>
      </c>
      <c r="P5934" s="8" t="s">
        <v>26</v>
      </c>
      <c r="Q5934" s="8">
        <f>(4437920*100)/4638971</f>
        <v>95.666043180696747</v>
      </c>
    </row>
    <row r="5935" spans="1:17" ht="16" x14ac:dyDescent="0.2">
      <c r="A5935">
        <f>YEAR(D5935)</f>
        <v>2020</v>
      </c>
      <c r="B5935" t="s">
        <v>26</v>
      </c>
      <c r="C5935" s="2" t="s">
        <v>3022</v>
      </c>
      <c r="D5935" s="1">
        <v>44075</v>
      </c>
      <c r="E5935">
        <f>MONTH(D5935)</f>
        <v>9</v>
      </c>
      <c r="F5935" s="2" t="s">
        <v>2098</v>
      </c>
      <c r="G5935" t="s">
        <v>318</v>
      </c>
      <c r="H5935" t="s">
        <v>319</v>
      </c>
      <c r="I5935" s="3" t="s">
        <v>26</v>
      </c>
      <c r="J5935" s="2" t="s">
        <v>42</v>
      </c>
      <c r="K5935" s="2" t="s">
        <v>3019</v>
      </c>
      <c r="L5935" t="s">
        <v>25</v>
      </c>
      <c r="M5935" s="10" t="s">
        <v>26</v>
      </c>
      <c r="N5935" t="s">
        <v>26</v>
      </c>
      <c r="O5935" s="8" t="s">
        <v>26</v>
      </c>
      <c r="P5935" s="8" t="s">
        <v>26</v>
      </c>
      <c r="Q5935" s="8">
        <f>(4437920*100)/4638971</f>
        <v>95.666043180696747</v>
      </c>
    </row>
    <row r="5936" spans="1:17" ht="16" x14ac:dyDescent="0.2">
      <c r="A5936">
        <f>YEAR(D5936)</f>
        <v>2020</v>
      </c>
      <c r="B5936" t="s">
        <v>26</v>
      </c>
      <c r="C5936" s="2" t="s">
        <v>3022</v>
      </c>
      <c r="D5936" s="1">
        <v>44075</v>
      </c>
      <c r="E5936">
        <f>MONTH(D5936)</f>
        <v>9</v>
      </c>
      <c r="F5936" s="2" t="s">
        <v>2098</v>
      </c>
      <c r="G5936" t="s">
        <v>318</v>
      </c>
      <c r="H5936" t="s">
        <v>319</v>
      </c>
      <c r="I5936" s="3" t="s">
        <v>26</v>
      </c>
      <c r="J5936" s="2" t="s">
        <v>42</v>
      </c>
      <c r="K5936" s="2" t="s">
        <v>3019</v>
      </c>
      <c r="L5936" t="s">
        <v>25</v>
      </c>
      <c r="M5936" s="10" t="s">
        <v>26</v>
      </c>
      <c r="N5936" t="s">
        <v>26</v>
      </c>
      <c r="O5936" s="8" t="s">
        <v>26</v>
      </c>
      <c r="P5936" s="8" t="s">
        <v>26</v>
      </c>
      <c r="Q5936" s="8">
        <f>(4437920*100)/4638971</f>
        <v>95.666043180696747</v>
      </c>
    </row>
    <row r="5937" spans="1:17" x14ac:dyDescent="0.2">
      <c r="A5937">
        <f>YEAR(D5937)</f>
        <v>2020</v>
      </c>
      <c r="B5937" t="s">
        <v>26</v>
      </c>
      <c r="C5937" s="2" t="s">
        <v>3022</v>
      </c>
      <c r="D5937" s="1">
        <v>44075</v>
      </c>
      <c r="E5937">
        <f>MONTH(D5937)</f>
        <v>9</v>
      </c>
      <c r="F5937" s="2" t="s">
        <v>2098</v>
      </c>
      <c r="G5937" t="s">
        <v>230</v>
      </c>
      <c r="H5937" t="s">
        <v>268</v>
      </c>
      <c r="I5937" t="s">
        <v>36</v>
      </c>
      <c r="J5937" s="2" t="s">
        <v>42</v>
      </c>
      <c r="K5937" s="2" t="s">
        <v>3019</v>
      </c>
      <c r="L5937" t="s">
        <v>25</v>
      </c>
      <c r="M5937" s="8">
        <v>3.3683333329999998</v>
      </c>
      <c r="N5937" t="s">
        <v>26</v>
      </c>
      <c r="O5937" s="8">
        <v>3.3683333329999998</v>
      </c>
      <c r="P5937" s="8">
        <f>EXP(-1.363+3.366*LOG(O5937,10))</f>
        <v>1.510255893489963</v>
      </c>
      <c r="Q5937" s="8">
        <f>(4437920*100)/4638971</f>
        <v>95.666043180696747</v>
      </c>
    </row>
    <row r="5938" spans="1:17" x14ac:dyDescent="0.2">
      <c r="A5938">
        <f>YEAR(D5938)</f>
        <v>2020</v>
      </c>
      <c r="B5938" t="s">
        <v>26</v>
      </c>
      <c r="C5938" s="2" t="s">
        <v>3022</v>
      </c>
      <c r="D5938" s="1">
        <v>44075</v>
      </c>
      <c r="E5938">
        <f>MONTH(D5938)</f>
        <v>9</v>
      </c>
      <c r="F5938" s="2" t="s">
        <v>2098</v>
      </c>
      <c r="G5938" t="s">
        <v>230</v>
      </c>
      <c r="H5938" t="s">
        <v>268</v>
      </c>
      <c r="I5938" t="s">
        <v>36</v>
      </c>
      <c r="J5938" s="2" t="s">
        <v>42</v>
      </c>
      <c r="K5938" s="2" t="s">
        <v>3019</v>
      </c>
      <c r="L5938" t="s">
        <v>25</v>
      </c>
      <c r="M5938" s="8">
        <v>3.3683333329999998</v>
      </c>
      <c r="N5938" t="s">
        <v>26</v>
      </c>
      <c r="O5938" s="8">
        <v>3.3683333329999998</v>
      </c>
      <c r="P5938" s="8">
        <f>EXP(-1.363+3.366*LOG(O5938,10))</f>
        <v>1.510255893489963</v>
      </c>
      <c r="Q5938" s="8">
        <f>(4437920*100)/4638971</f>
        <v>95.666043180696747</v>
      </c>
    </row>
    <row r="5939" spans="1:17" x14ac:dyDescent="0.2">
      <c r="A5939">
        <f>YEAR(D5939)</f>
        <v>2020</v>
      </c>
      <c r="B5939" t="s">
        <v>26</v>
      </c>
      <c r="C5939" s="2" t="s">
        <v>3022</v>
      </c>
      <c r="D5939" s="1">
        <v>44075</v>
      </c>
      <c r="E5939">
        <f>MONTH(D5939)</f>
        <v>9</v>
      </c>
      <c r="F5939" s="2" t="s">
        <v>2098</v>
      </c>
      <c r="G5939" t="s">
        <v>230</v>
      </c>
      <c r="H5939" t="s">
        <v>268</v>
      </c>
      <c r="I5939" t="s">
        <v>36</v>
      </c>
      <c r="J5939" s="2" t="s">
        <v>42</v>
      </c>
      <c r="K5939" s="2" t="s">
        <v>3019</v>
      </c>
      <c r="L5939" t="s">
        <v>25</v>
      </c>
      <c r="M5939" s="8">
        <v>3.3683333329999998</v>
      </c>
      <c r="N5939" t="s">
        <v>26</v>
      </c>
      <c r="O5939" s="8">
        <v>3.3683333329999998</v>
      </c>
      <c r="P5939" s="8">
        <f>EXP(-1.363+3.366*LOG(O5939,10))</f>
        <v>1.510255893489963</v>
      </c>
      <c r="Q5939" s="8">
        <f>(4437920*100)/4638971</f>
        <v>95.666043180696747</v>
      </c>
    </row>
    <row r="5940" spans="1:17" x14ac:dyDescent="0.2">
      <c r="A5940">
        <f>YEAR(D5940)</f>
        <v>2020</v>
      </c>
      <c r="B5940" t="s">
        <v>26</v>
      </c>
      <c r="C5940" s="2" t="s">
        <v>3022</v>
      </c>
      <c r="D5940" s="1">
        <v>44075</v>
      </c>
      <c r="E5940">
        <f>MONTH(D5940)</f>
        <v>9</v>
      </c>
      <c r="F5940" s="2" t="s">
        <v>2098</v>
      </c>
      <c r="G5940" t="s">
        <v>230</v>
      </c>
      <c r="H5940" t="s">
        <v>268</v>
      </c>
      <c r="I5940" t="s">
        <v>36</v>
      </c>
      <c r="J5940" s="2" t="s">
        <v>42</v>
      </c>
      <c r="K5940" s="2" t="s">
        <v>3019</v>
      </c>
      <c r="L5940" t="s">
        <v>25</v>
      </c>
      <c r="M5940" s="8">
        <v>3.3683333329999998</v>
      </c>
      <c r="N5940" t="s">
        <v>26</v>
      </c>
      <c r="O5940" s="8">
        <v>3.3683333329999998</v>
      </c>
      <c r="P5940" s="8">
        <f>EXP(-1.363+3.366*LOG(O5940,10))</f>
        <v>1.510255893489963</v>
      </c>
      <c r="Q5940" s="8">
        <f>(4437920*100)/4638971</f>
        <v>95.666043180696747</v>
      </c>
    </row>
    <row r="5941" spans="1:17" x14ac:dyDescent="0.2">
      <c r="A5941">
        <f>YEAR(D5941)</f>
        <v>2020</v>
      </c>
      <c r="B5941" t="s">
        <v>26</v>
      </c>
      <c r="C5941" s="2" t="s">
        <v>3022</v>
      </c>
      <c r="D5941" s="1">
        <v>44075</v>
      </c>
      <c r="E5941">
        <f>MONTH(D5941)</f>
        <v>9</v>
      </c>
      <c r="F5941" s="2" t="s">
        <v>2098</v>
      </c>
      <c r="G5941" t="s">
        <v>230</v>
      </c>
      <c r="H5941" t="s">
        <v>259</v>
      </c>
      <c r="I5941" t="s">
        <v>36</v>
      </c>
      <c r="J5941" s="2" t="s">
        <v>42</v>
      </c>
      <c r="K5941" s="2" t="s">
        <v>3019</v>
      </c>
      <c r="L5941" t="s">
        <v>25</v>
      </c>
      <c r="M5941" s="8">
        <v>4.745333333333333</v>
      </c>
      <c r="N5941" t="s">
        <v>26</v>
      </c>
      <c r="O5941" s="8">
        <v>4.745333333333333</v>
      </c>
      <c r="P5941" s="8">
        <f>EXP(-1.363+3.366*LOG(O5941,10))</f>
        <v>2.4925687246325761</v>
      </c>
      <c r="Q5941" s="8">
        <f>(4437920*100)/4638971</f>
        <v>95.666043180696747</v>
      </c>
    </row>
    <row r="5942" spans="1:17" x14ac:dyDescent="0.2">
      <c r="A5942">
        <f>YEAR(D5942)</f>
        <v>2020</v>
      </c>
      <c r="B5942" t="s">
        <v>26</v>
      </c>
      <c r="C5942" s="2" t="s">
        <v>3022</v>
      </c>
      <c r="D5942" s="1">
        <v>44075</v>
      </c>
      <c r="E5942">
        <f>MONTH(D5942)</f>
        <v>9</v>
      </c>
      <c r="F5942" s="2" t="s">
        <v>2098</v>
      </c>
      <c r="G5942" t="s">
        <v>219</v>
      </c>
      <c r="H5942" t="s">
        <v>220</v>
      </c>
      <c r="I5942" t="s">
        <v>22</v>
      </c>
      <c r="J5942" s="2" t="s">
        <v>42</v>
      </c>
      <c r="K5942" s="2" t="s">
        <v>3019</v>
      </c>
      <c r="L5942" t="s">
        <v>25</v>
      </c>
      <c r="M5942" s="10" t="s">
        <v>26</v>
      </c>
      <c r="N5942" t="s">
        <v>26</v>
      </c>
      <c r="O5942" s="10" t="s">
        <v>26</v>
      </c>
      <c r="P5942" s="8" t="s">
        <v>26</v>
      </c>
      <c r="Q5942" s="8">
        <f>(4437920*100)/4638971</f>
        <v>95.666043180696747</v>
      </c>
    </row>
    <row r="5943" spans="1:17" x14ac:dyDescent="0.2">
      <c r="A5943">
        <f>YEAR(D5943)</f>
        <v>2020</v>
      </c>
      <c r="B5943" t="s">
        <v>26</v>
      </c>
      <c r="C5943" s="2" t="s">
        <v>3022</v>
      </c>
      <c r="D5943" s="1">
        <v>44075</v>
      </c>
      <c r="E5943">
        <f>MONTH(D5943)</f>
        <v>9</v>
      </c>
      <c r="F5943" s="2" t="s">
        <v>2098</v>
      </c>
      <c r="G5943" t="s">
        <v>219</v>
      </c>
      <c r="H5943" t="s">
        <v>220</v>
      </c>
      <c r="I5943" t="s">
        <v>22</v>
      </c>
      <c r="J5943" s="2" t="s">
        <v>42</v>
      </c>
      <c r="K5943" s="2" t="s">
        <v>3019</v>
      </c>
      <c r="L5943" t="s">
        <v>25</v>
      </c>
      <c r="M5943" s="10" t="s">
        <v>26</v>
      </c>
      <c r="N5943" t="s">
        <v>26</v>
      </c>
      <c r="O5943" s="10" t="s">
        <v>26</v>
      </c>
      <c r="P5943" s="8" t="s">
        <v>26</v>
      </c>
      <c r="Q5943" s="8">
        <f>(4437920*100)/4638971</f>
        <v>95.666043180696747</v>
      </c>
    </row>
    <row r="5944" spans="1:17" x14ac:dyDescent="0.2">
      <c r="A5944">
        <f>YEAR(D5944)</f>
        <v>2020</v>
      </c>
      <c r="B5944" t="s">
        <v>26</v>
      </c>
      <c r="C5944" s="2" t="s">
        <v>3022</v>
      </c>
      <c r="D5944" s="1">
        <v>44075</v>
      </c>
      <c r="E5944">
        <f>MONTH(D5944)</f>
        <v>9</v>
      </c>
      <c r="F5944" s="2" t="s">
        <v>2098</v>
      </c>
      <c r="G5944" t="s">
        <v>230</v>
      </c>
      <c r="H5944" t="s">
        <v>2260</v>
      </c>
      <c r="I5944" t="s">
        <v>22</v>
      </c>
      <c r="J5944" s="2" t="s">
        <v>42</v>
      </c>
      <c r="K5944" s="2" t="s">
        <v>3019</v>
      </c>
      <c r="L5944" t="s">
        <v>305</v>
      </c>
      <c r="M5944" s="10" t="s">
        <v>26</v>
      </c>
      <c r="N5944" t="s">
        <v>26</v>
      </c>
      <c r="O5944" s="10" t="s">
        <v>26</v>
      </c>
      <c r="P5944" s="8" t="s">
        <v>26</v>
      </c>
      <c r="Q5944" s="8">
        <f>(4437920*100)/4638971</f>
        <v>95.666043180696747</v>
      </c>
    </row>
    <row r="5945" spans="1:17" x14ac:dyDescent="0.2">
      <c r="A5945">
        <f>YEAR(D5945)</f>
        <v>2020</v>
      </c>
      <c r="B5945" t="s">
        <v>26</v>
      </c>
      <c r="C5945" s="2" t="s">
        <v>3022</v>
      </c>
      <c r="D5945" s="1">
        <v>44075</v>
      </c>
      <c r="E5945">
        <f>MONTH(D5945)</f>
        <v>9</v>
      </c>
      <c r="F5945" s="2" t="s">
        <v>2098</v>
      </c>
      <c r="G5945" t="s">
        <v>230</v>
      </c>
      <c r="H5945" t="s">
        <v>268</v>
      </c>
      <c r="I5945" t="s">
        <v>22</v>
      </c>
      <c r="J5945" s="2" t="s">
        <v>42</v>
      </c>
      <c r="K5945" s="2" t="s">
        <v>3019</v>
      </c>
      <c r="L5945" t="s">
        <v>25</v>
      </c>
      <c r="M5945" s="8">
        <v>3.5356666670000001</v>
      </c>
      <c r="N5945" t="s">
        <v>26</v>
      </c>
      <c r="O5945" s="8">
        <v>3.5356666670000001</v>
      </c>
      <c r="P5945" s="8">
        <f>EXP(-1.363+3.366*LOG(O5945,10))</f>
        <v>1.6211802664427075</v>
      </c>
      <c r="Q5945" s="8">
        <f>(4437920*100)/4638971</f>
        <v>95.666043180696747</v>
      </c>
    </row>
    <row r="5946" spans="1:17" x14ac:dyDescent="0.2">
      <c r="A5946">
        <f>YEAR(D5946)</f>
        <v>2020</v>
      </c>
      <c r="B5946" t="s">
        <v>26</v>
      </c>
      <c r="C5946" s="2" t="s">
        <v>3023</v>
      </c>
      <c r="D5946" s="1">
        <v>44075</v>
      </c>
      <c r="E5946">
        <f>MONTH(D5946)</f>
        <v>9</v>
      </c>
      <c r="F5946" s="2" t="s">
        <v>2098</v>
      </c>
      <c r="G5946" t="s">
        <v>362</v>
      </c>
      <c r="H5946" t="s">
        <v>393</v>
      </c>
      <c r="I5946" t="s">
        <v>22</v>
      </c>
      <c r="J5946" s="2" t="s">
        <v>42</v>
      </c>
      <c r="K5946" s="2" t="s">
        <v>3019</v>
      </c>
      <c r="L5946" t="s">
        <v>25</v>
      </c>
      <c r="M5946" s="8">
        <v>2.4239999999999999</v>
      </c>
      <c r="N5946" t="s">
        <v>26</v>
      </c>
      <c r="O5946" s="8">
        <v>2.4239999999999999</v>
      </c>
      <c r="P5946" s="8">
        <f>EXP(-1.363+3.366*LOG(O5946,10))</f>
        <v>0.93364106227732868</v>
      </c>
      <c r="Q5946" s="8">
        <f>(8197453*100)/8541008</f>
        <v>95.977582505484136</v>
      </c>
    </row>
    <row r="5947" spans="1:17" x14ac:dyDescent="0.2">
      <c r="A5947">
        <f>YEAR(D5947)</f>
        <v>2020</v>
      </c>
      <c r="B5947" t="s">
        <v>26</v>
      </c>
      <c r="C5947" s="2" t="s">
        <v>3023</v>
      </c>
      <c r="D5947" s="1">
        <v>44075</v>
      </c>
      <c r="E5947">
        <f>MONTH(D5947)</f>
        <v>9</v>
      </c>
      <c r="F5947" s="2" t="s">
        <v>2098</v>
      </c>
      <c r="G5947" s="2" t="s">
        <v>362</v>
      </c>
      <c r="H5947" t="s">
        <v>3074</v>
      </c>
      <c r="I5947" t="s">
        <v>36</v>
      </c>
      <c r="J5947" s="2" t="s">
        <v>42</v>
      </c>
      <c r="K5947" s="2" t="s">
        <v>3019</v>
      </c>
      <c r="L5947" t="s">
        <v>26</v>
      </c>
      <c r="M5947" s="8">
        <v>1.6856666666666669</v>
      </c>
      <c r="N5947" t="s">
        <v>26</v>
      </c>
      <c r="O5947" s="8">
        <v>1.6856666666666669</v>
      </c>
      <c r="P5947" s="8">
        <f>EXP(-1.363+3.366*LOG(O5947,10))</f>
        <v>0.54898373667223233</v>
      </c>
      <c r="Q5947" s="8">
        <f>(8197453*100)/8541008</f>
        <v>95.977582505484136</v>
      </c>
    </row>
    <row r="5948" spans="1:17" x14ac:dyDescent="0.2">
      <c r="A5948">
        <f>YEAR(D5948)</f>
        <v>2020</v>
      </c>
      <c r="B5948" t="s">
        <v>26</v>
      </c>
      <c r="C5948" s="2" t="s">
        <v>3023</v>
      </c>
      <c r="D5948" s="1">
        <v>44075</v>
      </c>
      <c r="E5948">
        <f>MONTH(D5948)</f>
        <v>9</v>
      </c>
      <c r="F5948" s="2" t="s">
        <v>2098</v>
      </c>
      <c r="G5948" t="s">
        <v>352</v>
      </c>
      <c r="H5948" t="s">
        <v>747</v>
      </c>
      <c r="I5948" t="s">
        <v>36</v>
      </c>
      <c r="J5948" s="2" t="s">
        <v>42</v>
      </c>
      <c r="K5948" s="2" t="s">
        <v>3019</v>
      </c>
      <c r="L5948" t="s">
        <v>25</v>
      </c>
      <c r="M5948" s="8">
        <v>1.2526666666666666</v>
      </c>
      <c r="N5948" t="s">
        <v>26</v>
      </c>
      <c r="O5948" s="8">
        <v>1.2526666666666666</v>
      </c>
      <c r="P5948" s="8">
        <f>EXP(-1.363+3.366*LOG(O5948,10))</f>
        <v>0.35569358460451905</v>
      </c>
      <c r="Q5948" s="8">
        <f>(8197453*100)/8541008</f>
        <v>95.977582505484136</v>
      </c>
    </row>
    <row r="5949" spans="1:17" x14ac:dyDescent="0.2">
      <c r="A5949">
        <f>YEAR(D5949)</f>
        <v>2020</v>
      </c>
      <c r="B5949" t="s">
        <v>26</v>
      </c>
      <c r="C5949" s="2" t="s">
        <v>3023</v>
      </c>
      <c r="D5949" s="1">
        <v>44075</v>
      </c>
      <c r="E5949">
        <f>MONTH(D5949)</f>
        <v>9</v>
      </c>
      <c r="F5949" s="2" t="s">
        <v>2098</v>
      </c>
      <c r="G5949" t="s">
        <v>352</v>
      </c>
      <c r="H5949" t="s">
        <v>747</v>
      </c>
      <c r="I5949" t="s">
        <v>36</v>
      </c>
      <c r="J5949" s="2" t="s">
        <v>42</v>
      </c>
      <c r="K5949" s="2" t="s">
        <v>3019</v>
      </c>
      <c r="L5949" t="s">
        <v>25</v>
      </c>
      <c r="M5949" s="8">
        <v>1.2526666666666666</v>
      </c>
      <c r="N5949" t="s">
        <v>26</v>
      </c>
      <c r="O5949" s="8">
        <v>1.2526666666666666</v>
      </c>
      <c r="P5949" s="8">
        <f>EXP(-1.363+3.366*LOG(O5949,10))</f>
        <v>0.35569358460451905</v>
      </c>
      <c r="Q5949" s="8">
        <f>(8197453*100)/8541008</f>
        <v>95.977582505484136</v>
      </c>
    </row>
    <row r="5950" spans="1:17" x14ac:dyDescent="0.2">
      <c r="A5950">
        <f>YEAR(D5950)</f>
        <v>2020</v>
      </c>
      <c r="B5950" t="s">
        <v>26</v>
      </c>
      <c r="C5950" s="2" t="s">
        <v>3023</v>
      </c>
      <c r="D5950" s="1">
        <v>44075</v>
      </c>
      <c r="E5950">
        <f>MONTH(D5950)</f>
        <v>9</v>
      </c>
      <c r="F5950" s="2" t="s">
        <v>2098</v>
      </c>
      <c r="G5950" t="s">
        <v>362</v>
      </c>
      <c r="H5950" t="s">
        <v>393</v>
      </c>
      <c r="I5950" t="s">
        <v>36</v>
      </c>
      <c r="J5950" s="2" t="s">
        <v>42</v>
      </c>
      <c r="K5950" s="2" t="s">
        <v>3019</v>
      </c>
      <c r="L5950" t="s">
        <v>25</v>
      </c>
      <c r="M5950" s="8">
        <v>2.2189999999999999</v>
      </c>
      <c r="N5950" t="s">
        <v>26</v>
      </c>
      <c r="O5950" s="8">
        <v>2.2189999999999999</v>
      </c>
      <c r="P5950" s="8">
        <f>EXP(-1.363+3.366*LOG(O5950,10))</f>
        <v>0.82050561861036375</v>
      </c>
      <c r="Q5950" s="8">
        <f>(8197453*100)/8541008</f>
        <v>95.977582505484136</v>
      </c>
    </row>
    <row r="5951" spans="1:17" x14ac:dyDescent="0.2">
      <c r="A5951">
        <f>YEAR(D5951)</f>
        <v>2020</v>
      </c>
      <c r="B5951" t="s">
        <v>26</v>
      </c>
      <c r="C5951" s="2" t="s">
        <v>3023</v>
      </c>
      <c r="D5951" s="1">
        <v>44075</v>
      </c>
      <c r="E5951">
        <f>MONTH(D5951)</f>
        <v>9</v>
      </c>
      <c r="F5951" s="2" t="s">
        <v>2098</v>
      </c>
      <c r="G5951" t="s">
        <v>352</v>
      </c>
      <c r="H5951" t="s">
        <v>1459</v>
      </c>
      <c r="I5951" t="s">
        <v>22</v>
      </c>
      <c r="J5951" s="2" t="s">
        <v>42</v>
      </c>
      <c r="K5951" s="2" t="s">
        <v>3019</v>
      </c>
      <c r="L5951" t="s">
        <v>25</v>
      </c>
      <c r="M5951" s="8">
        <v>1.1910000000000001</v>
      </c>
      <c r="N5951" t="s">
        <v>26</v>
      </c>
      <c r="O5951" s="8">
        <v>1.1910000000000001</v>
      </c>
      <c r="P5951" s="8">
        <f>EXP(-1.363+3.366*LOG(O5951,10))</f>
        <v>0.33039016297752993</v>
      </c>
      <c r="Q5951" s="8">
        <f>(8197453*100)/8541008</f>
        <v>95.977582505484136</v>
      </c>
    </row>
    <row r="5952" spans="1:17" x14ac:dyDescent="0.2">
      <c r="A5952">
        <f>YEAR(D5952)</f>
        <v>2020</v>
      </c>
      <c r="B5952" t="s">
        <v>26</v>
      </c>
      <c r="C5952" s="2" t="s">
        <v>3023</v>
      </c>
      <c r="D5952" s="1">
        <v>44075</v>
      </c>
      <c r="E5952">
        <f>MONTH(D5952)</f>
        <v>9</v>
      </c>
      <c r="F5952" s="2" t="s">
        <v>2098</v>
      </c>
      <c r="G5952" t="s">
        <v>352</v>
      </c>
      <c r="H5952" t="s">
        <v>1459</v>
      </c>
      <c r="I5952" t="s">
        <v>22</v>
      </c>
      <c r="J5952" s="2" t="s">
        <v>42</v>
      </c>
      <c r="K5952" s="2" t="s">
        <v>3019</v>
      </c>
      <c r="L5952" t="s">
        <v>25</v>
      </c>
      <c r="M5952" s="8">
        <v>1.1910000000000001</v>
      </c>
      <c r="N5952" t="s">
        <v>26</v>
      </c>
      <c r="O5952" s="8">
        <v>1.1910000000000001</v>
      </c>
      <c r="P5952" s="8">
        <f>EXP(-1.363+3.366*LOG(O5952,10))</f>
        <v>0.33039016297752993</v>
      </c>
      <c r="Q5952" s="8">
        <f>(8197453*100)/8541008</f>
        <v>95.977582505484136</v>
      </c>
    </row>
    <row r="5953" spans="1:17" x14ac:dyDescent="0.2">
      <c r="A5953">
        <f>YEAR(D5953)</f>
        <v>2020</v>
      </c>
      <c r="B5953" t="s">
        <v>26</v>
      </c>
      <c r="C5953" s="2" t="s">
        <v>3023</v>
      </c>
      <c r="D5953" s="1">
        <v>44075</v>
      </c>
      <c r="E5953">
        <f>MONTH(D5953)</f>
        <v>9</v>
      </c>
      <c r="F5953" s="2" t="s">
        <v>2098</v>
      </c>
      <c r="G5953" t="s">
        <v>352</v>
      </c>
      <c r="H5953" t="s">
        <v>1459</v>
      </c>
      <c r="I5953" t="s">
        <v>22</v>
      </c>
      <c r="J5953" s="2" t="s">
        <v>42</v>
      </c>
      <c r="K5953" s="2" t="s">
        <v>3019</v>
      </c>
      <c r="L5953" t="s">
        <v>25</v>
      </c>
      <c r="M5953" s="8">
        <v>1.1910000000000001</v>
      </c>
      <c r="N5953" t="s">
        <v>26</v>
      </c>
      <c r="O5953" s="8">
        <v>1.1910000000000001</v>
      </c>
      <c r="P5953" s="8">
        <f>EXP(-1.363+3.366*LOG(O5953,10))</f>
        <v>0.33039016297752993</v>
      </c>
      <c r="Q5953" s="8">
        <f>(8197453*100)/8541008</f>
        <v>95.977582505484136</v>
      </c>
    </row>
    <row r="5954" spans="1:17" x14ac:dyDescent="0.2">
      <c r="A5954">
        <f>YEAR(D5954)</f>
        <v>2020</v>
      </c>
      <c r="B5954" t="s">
        <v>26</v>
      </c>
      <c r="C5954" s="2" t="s">
        <v>3023</v>
      </c>
      <c r="D5954" s="1">
        <v>44075</v>
      </c>
      <c r="E5954">
        <f>MONTH(D5954)</f>
        <v>9</v>
      </c>
      <c r="F5954" s="2" t="s">
        <v>2098</v>
      </c>
      <c r="G5954" t="s">
        <v>352</v>
      </c>
      <c r="H5954" t="s">
        <v>1459</v>
      </c>
      <c r="I5954" t="s">
        <v>22</v>
      </c>
      <c r="J5954" s="2" t="s">
        <v>42</v>
      </c>
      <c r="K5954" s="2" t="s">
        <v>3019</v>
      </c>
      <c r="L5954" t="s">
        <v>25</v>
      </c>
      <c r="M5954" s="8">
        <v>1.1910000000000001</v>
      </c>
      <c r="N5954" t="s">
        <v>26</v>
      </c>
      <c r="O5954" s="8">
        <v>1.1910000000000001</v>
      </c>
      <c r="P5954" s="8">
        <f>EXP(-1.363+3.366*LOG(O5954,10))</f>
        <v>0.33039016297752993</v>
      </c>
      <c r="Q5954" s="8">
        <f>(8197453*100)/8541008</f>
        <v>95.977582505484136</v>
      </c>
    </row>
    <row r="5955" spans="1:17" x14ac:dyDescent="0.2">
      <c r="A5955">
        <f>YEAR(D5955)</f>
        <v>2020</v>
      </c>
      <c r="B5955" t="s">
        <v>26</v>
      </c>
      <c r="C5955" s="2" t="s">
        <v>3023</v>
      </c>
      <c r="D5955" s="1">
        <v>44075</v>
      </c>
      <c r="E5955">
        <f>MONTH(D5955)</f>
        <v>9</v>
      </c>
      <c r="F5955" s="2" t="s">
        <v>2098</v>
      </c>
      <c r="G5955" t="s">
        <v>352</v>
      </c>
      <c r="H5955" t="s">
        <v>1459</v>
      </c>
      <c r="I5955" t="s">
        <v>22</v>
      </c>
      <c r="J5955" s="2" t="s">
        <v>42</v>
      </c>
      <c r="K5955" s="2" t="s">
        <v>3019</v>
      </c>
      <c r="L5955" t="s">
        <v>25</v>
      </c>
      <c r="M5955" s="8">
        <v>1.1910000000000001</v>
      </c>
      <c r="N5955" t="s">
        <v>26</v>
      </c>
      <c r="O5955" s="8">
        <v>1.1910000000000001</v>
      </c>
      <c r="P5955" s="8">
        <f>EXP(-1.363+3.366*LOG(O5955,10))</f>
        <v>0.33039016297752993</v>
      </c>
      <c r="Q5955" s="8">
        <f>(8197453*100)/8541008</f>
        <v>95.977582505484136</v>
      </c>
    </row>
    <row r="5956" spans="1:17" x14ac:dyDescent="0.2">
      <c r="A5956">
        <f>YEAR(D5956)</f>
        <v>2020</v>
      </c>
      <c r="B5956" t="s">
        <v>26</v>
      </c>
      <c r="C5956" s="2" t="s">
        <v>3023</v>
      </c>
      <c r="D5956" s="1">
        <v>44075</v>
      </c>
      <c r="E5956">
        <f>MONTH(D5956)</f>
        <v>9</v>
      </c>
      <c r="F5956" s="2" t="s">
        <v>2098</v>
      </c>
      <c r="G5956" t="s">
        <v>352</v>
      </c>
      <c r="H5956" t="s">
        <v>1459</v>
      </c>
      <c r="I5956" t="s">
        <v>22</v>
      </c>
      <c r="J5956" s="2" t="s">
        <v>42</v>
      </c>
      <c r="K5956" s="2" t="s">
        <v>3019</v>
      </c>
      <c r="L5956" t="s">
        <v>25</v>
      </c>
      <c r="M5956" s="8">
        <v>1.1910000000000001</v>
      </c>
      <c r="N5956" t="s">
        <v>26</v>
      </c>
      <c r="O5956" s="8">
        <v>1.1910000000000001</v>
      </c>
      <c r="P5956" s="8">
        <f>EXP(-1.363+3.366*LOG(O5956,10))</f>
        <v>0.33039016297752993</v>
      </c>
      <c r="Q5956" s="8">
        <f>(8197453*100)/8541008</f>
        <v>95.977582505484136</v>
      </c>
    </row>
    <row r="5957" spans="1:17" x14ac:dyDescent="0.2">
      <c r="A5957">
        <f>YEAR(D5957)</f>
        <v>2020</v>
      </c>
      <c r="B5957" t="s">
        <v>26</v>
      </c>
      <c r="C5957" s="2" t="s">
        <v>3023</v>
      </c>
      <c r="D5957" s="1">
        <v>44075</v>
      </c>
      <c r="E5957">
        <f>MONTH(D5957)</f>
        <v>9</v>
      </c>
      <c r="F5957" s="2" t="s">
        <v>2098</v>
      </c>
      <c r="G5957" t="s">
        <v>352</v>
      </c>
      <c r="H5957" t="s">
        <v>1459</v>
      </c>
      <c r="I5957" t="s">
        <v>22</v>
      </c>
      <c r="J5957" s="2" t="s">
        <v>42</v>
      </c>
      <c r="K5957" s="2" t="s">
        <v>3019</v>
      </c>
      <c r="L5957" t="s">
        <v>25</v>
      </c>
      <c r="M5957" s="8">
        <v>1.1910000000000001</v>
      </c>
      <c r="N5957" t="s">
        <v>26</v>
      </c>
      <c r="O5957" s="8">
        <v>1.1910000000000001</v>
      </c>
      <c r="P5957" s="8">
        <f>EXP(-1.363+3.366*LOG(O5957,10))</f>
        <v>0.33039016297752993</v>
      </c>
      <c r="Q5957" s="8">
        <f>(8197453*100)/8541008</f>
        <v>95.977582505484136</v>
      </c>
    </row>
    <row r="5958" spans="1:17" x14ac:dyDescent="0.2">
      <c r="A5958">
        <f>YEAR(D5958)</f>
        <v>2020</v>
      </c>
      <c r="B5958" t="s">
        <v>26</v>
      </c>
      <c r="C5958" s="2" t="s">
        <v>3023</v>
      </c>
      <c r="D5958" s="1">
        <v>44075</v>
      </c>
      <c r="E5958">
        <f>MONTH(D5958)</f>
        <v>9</v>
      </c>
      <c r="F5958" s="2" t="s">
        <v>2098</v>
      </c>
      <c r="G5958" t="s">
        <v>352</v>
      </c>
      <c r="H5958" t="s">
        <v>1459</v>
      </c>
      <c r="I5958" t="s">
        <v>22</v>
      </c>
      <c r="J5958" s="2" t="s">
        <v>42</v>
      </c>
      <c r="K5958" s="2" t="s">
        <v>3019</v>
      </c>
      <c r="L5958" t="s">
        <v>25</v>
      </c>
      <c r="M5958" s="8">
        <v>1.1910000000000001</v>
      </c>
      <c r="N5958" t="s">
        <v>26</v>
      </c>
      <c r="O5958" s="8">
        <v>1.1910000000000001</v>
      </c>
      <c r="P5958" s="8">
        <f>EXP(-1.363+3.366*LOG(O5958,10))</f>
        <v>0.33039016297752993</v>
      </c>
      <c r="Q5958" s="8">
        <f>(8197453*100)/8541008</f>
        <v>95.977582505484136</v>
      </c>
    </row>
    <row r="5959" spans="1:17" x14ac:dyDescent="0.2">
      <c r="A5959">
        <f>YEAR(D5959)</f>
        <v>2020</v>
      </c>
      <c r="B5959" t="s">
        <v>26</v>
      </c>
      <c r="C5959" s="2" t="s">
        <v>3023</v>
      </c>
      <c r="D5959" s="1">
        <v>44075</v>
      </c>
      <c r="E5959">
        <f>MONTH(D5959)</f>
        <v>9</v>
      </c>
      <c r="F5959" s="2" t="s">
        <v>2098</v>
      </c>
      <c r="G5959" t="s">
        <v>362</v>
      </c>
      <c r="H5959" t="s">
        <v>393</v>
      </c>
      <c r="I5959" t="s">
        <v>22</v>
      </c>
      <c r="J5959" s="2" t="s">
        <v>42</v>
      </c>
      <c r="K5959" s="2" t="s">
        <v>3019</v>
      </c>
      <c r="L5959" t="s">
        <v>25</v>
      </c>
      <c r="M5959" s="8">
        <v>2.4239999999999999</v>
      </c>
      <c r="N5959" t="s">
        <v>26</v>
      </c>
      <c r="O5959" s="8">
        <v>2.4239999999999999</v>
      </c>
      <c r="P5959" s="8">
        <f>EXP(-1.363+3.366*LOG(O5959,10))</f>
        <v>0.93364106227732868</v>
      </c>
      <c r="Q5959" s="8">
        <f>(8197453*100)/8541008</f>
        <v>95.977582505484136</v>
      </c>
    </row>
    <row r="5960" spans="1:17" x14ac:dyDescent="0.2">
      <c r="A5960">
        <f>YEAR(D5960)</f>
        <v>2020</v>
      </c>
      <c r="B5960" t="s">
        <v>26</v>
      </c>
      <c r="C5960" s="2" t="s">
        <v>3023</v>
      </c>
      <c r="D5960" s="1">
        <v>44075</v>
      </c>
      <c r="E5960">
        <f>MONTH(D5960)</f>
        <v>9</v>
      </c>
      <c r="F5960" s="2" t="s">
        <v>2098</v>
      </c>
      <c r="G5960" t="s">
        <v>362</v>
      </c>
      <c r="H5960" t="s">
        <v>393</v>
      </c>
      <c r="I5960" t="s">
        <v>22</v>
      </c>
      <c r="J5960" s="2" t="s">
        <v>42</v>
      </c>
      <c r="K5960" s="2" t="s">
        <v>3019</v>
      </c>
      <c r="L5960" t="s">
        <v>25</v>
      </c>
      <c r="M5960" s="8">
        <v>2.4239999999999999</v>
      </c>
      <c r="N5960" t="s">
        <v>26</v>
      </c>
      <c r="O5960" s="8">
        <v>2.4239999999999999</v>
      </c>
      <c r="P5960" s="8">
        <f>EXP(-1.363+3.366*LOG(O5960,10))</f>
        <v>0.93364106227732868</v>
      </c>
      <c r="Q5960" s="8">
        <f>(8197453*100)/8541008</f>
        <v>95.977582505484136</v>
      </c>
    </row>
    <row r="5961" spans="1:17" x14ac:dyDescent="0.2">
      <c r="A5961">
        <f>YEAR(D5961)</f>
        <v>2020</v>
      </c>
      <c r="B5961" t="s">
        <v>26</v>
      </c>
      <c r="C5961" s="2" t="s">
        <v>3022</v>
      </c>
      <c r="D5961" s="1">
        <v>44075</v>
      </c>
      <c r="E5961">
        <f>MONTH(D5961)</f>
        <v>9</v>
      </c>
      <c r="F5961" s="2" t="s">
        <v>2098</v>
      </c>
      <c r="G5961" t="s">
        <v>230</v>
      </c>
      <c r="H5961" t="s">
        <v>255</v>
      </c>
      <c r="I5961" t="s">
        <v>36</v>
      </c>
      <c r="J5961" s="2" t="s">
        <v>42</v>
      </c>
      <c r="K5961" s="2" t="s">
        <v>3019</v>
      </c>
      <c r="L5961" t="s">
        <v>25</v>
      </c>
      <c r="M5961" s="8">
        <v>4.1180000000000003</v>
      </c>
      <c r="N5961" t="s">
        <v>26</v>
      </c>
      <c r="O5961" s="8">
        <v>4.1180000000000003</v>
      </c>
      <c r="P5961" s="8">
        <f>EXP(-1.363+3.366*LOG(O5961,10))</f>
        <v>2.0259408868315871</v>
      </c>
      <c r="Q5961" s="8">
        <f>(4437920*100)/4638971</f>
        <v>95.666043180696747</v>
      </c>
    </row>
    <row r="5962" spans="1:17" x14ac:dyDescent="0.2">
      <c r="A5962">
        <f>YEAR(D5962)</f>
        <v>2020</v>
      </c>
      <c r="B5962" t="s">
        <v>26</v>
      </c>
      <c r="C5962" s="2" t="s">
        <v>3022</v>
      </c>
      <c r="D5962" s="1">
        <v>44075</v>
      </c>
      <c r="E5962">
        <f>MONTH(D5962)</f>
        <v>9</v>
      </c>
      <c r="F5962" s="2" t="s">
        <v>2098</v>
      </c>
      <c r="G5962" t="s">
        <v>230</v>
      </c>
      <c r="H5962" t="s">
        <v>255</v>
      </c>
      <c r="I5962" t="s">
        <v>36</v>
      </c>
      <c r="J5962" s="2" t="s">
        <v>42</v>
      </c>
      <c r="K5962" s="2" t="s">
        <v>3019</v>
      </c>
      <c r="L5962" t="s">
        <v>25</v>
      </c>
      <c r="M5962" s="8">
        <v>4.1180000000000003</v>
      </c>
      <c r="N5962" t="s">
        <v>26</v>
      </c>
      <c r="O5962" s="8">
        <v>4.1180000000000003</v>
      </c>
      <c r="P5962" s="8">
        <f>EXP(-1.363+3.366*LOG(O5962,10))</f>
        <v>2.0259408868315871</v>
      </c>
      <c r="Q5962" s="8">
        <f>(4437920*100)/4638971</f>
        <v>95.666043180696747</v>
      </c>
    </row>
    <row r="5963" spans="1:17" x14ac:dyDescent="0.2">
      <c r="A5963">
        <f>YEAR(D5963)</f>
        <v>2020</v>
      </c>
      <c r="B5963" t="s">
        <v>26</v>
      </c>
      <c r="C5963" s="2" t="s">
        <v>3022</v>
      </c>
      <c r="D5963" s="1">
        <v>44075</v>
      </c>
      <c r="E5963">
        <f>MONTH(D5963)</f>
        <v>9</v>
      </c>
      <c r="F5963" s="2" t="s">
        <v>2098</v>
      </c>
      <c r="G5963" t="s">
        <v>230</v>
      </c>
      <c r="H5963" t="s">
        <v>255</v>
      </c>
      <c r="I5963" t="s">
        <v>36</v>
      </c>
      <c r="J5963" s="2" t="s">
        <v>42</v>
      </c>
      <c r="K5963" s="2" t="s">
        <v>3019</v>
      </c>
      <c r="L5963" t="s">
        <v>25</v>
      </c>
      <c r="M5963" s="8">
        <v>4.1180000000000003</v>
      </c>
      <c r="N5963" t="s">
        <v>26</v>
      </c>
      <c r="O5963" s="8">
        <v>4.1180000000000003</v>
      </c>
      <c r="P5963" s="8">
        <f>EXP(-1.363+3.366*LOG(O5963,10))</f>
        <v>2.0259408868315871</v>
      </c>
      <c r="Q5963" s="8">
        <f>(4437920*100)/4638971</f>
        <v>95.666043180696747</v>
      </c>
    </row>
    <row r="5964" spans="1:17" x14ac:dyDescent="0.2">
      <c r="A5964">
        <f>YEAR(D5964)</f>
        <v>2020</v>
      </c>
      <c r="B5964" t="s">
        <v>26</v>
      </c>
      <c r="C5964" s="2" t="s">
        <v>3022</v>
      </c>
      <c r="D5964" s="1">
        <v>44075</v>
      </c>
      <c r="E5964">
        <f>MONTH(D5964)</f>
        <v>9</v>
      </c>
      <c r="F5964" s="2" t="s">
        <v>2098</v>
      </c>
      <c r="G5964" t="s">
        <v>230</v>
      </c>
      <c r="H5964" t="s">
        <v>255</v>
      </c>
      <c r="I5964" t="s">
        <v>36</v>
      </c>
      <c r="J5964" s="2" t="s">
        <v>42</v>
      </c>
      <c r="K5964" s="2" t="s">
        <v>3019</v>
      </c>
      <c r="L5964" t="s">
        <v>25</v>
      </c>
      <c r="M5964" s="8">
        <v>4.1180000000000003</v>
      </c>
      <c r="N5964" t="s">
        <v>26</v>
      </c>
      <c r="O5964" s="8">
        <v>4.1180000000000003</v>
      </c>
      <c r="P5964" s="8">
        <f>EXP(-1.363+3.366*LOG(O5964,10))</f>
        <v>2.0259408868315871</v>
      </c>
      <c r="Q5964" s="8">
        <f>(4437920*100)/4638971</f>
        <v>95.666043180696747</v>
      </c>
    </row>
    <row r="5965" spans="1:17" x14ac:dyDescent="0.2">
      <c r="A5965">
        <f>YEAR(D5965)</f>
        <v>2020</v>
      </c>
      <c r="B5965" t="s">
        <v>26</v>
      </c>
      <c r="C5965" s="2" t="s">
        <v>3022</v>
      </c>
      <c r="D5965" s="1">
        <v>44075</v>
      </c>
      <c r="E5965">
        <f>MONTH(D5965)</f>
        <v>9</v>
      </c>
      <c r="F5965" s="2" t="s">
        <v>2098</v>
      </c>
      <c r="G5965" t="s">
        <v>230</v>
      </c>
      <c r="H5965" t="s">
        <v>259</v>
      </c>
      <c r="I5965" t="s">
        <v>36</v>
      </c>
      <c r="J5965" s="2" t="s">
        <v>42</v>
      </c>
      <c r="K5965" s="2" t="s">
        <v>3019</v>
      </c>
      <c r="L5965" t="s">
        <v>25</v>
      </c>
      <c r="M5965" s="8">
        <v>4.745333333333333</v>
      </c>
      <c r="N5965" t="s">
        <v>26</v>
      </c>
      <c r="O5965" s="8">
        <v>4.745333333333333</v>
      </c>
      <c r="P5965" s="8">
        <f>EXP(-1.363+3.366*LOG(O5965,10))</f>
        <v>2.4925687246325761</v>
      </c>
      <c r="Q5965" s="8">
        <f>(4437920*100)/4638971</f>
        <v>95.666043180696747</v>
      </c>
    </row>
    <row r="5966" spans="1:17" x14ac:dyDescent="0.2">
      <c r="A5966">
        <f>YEAR(D5966)</f>
        <v>2020</v>
      </c>
      <c r="B5966" t="s">
        <v>26</v>
      </c>
      <c r="C5966" s="2" t="s">
        <v>3022</v>
      </c>
      <c r="D5966" s="1">
        <v>44075</v>
      </c>
      <c r="E5966">
        <f>MONTH(D5966)</f>
        <v>9</v>
      </c>
      <c r="F5966" s="2" t="s">
        <v>2098</v>
      </c>
      <c r="G5966" t="s">
        <v>230</v>
      </c>
      <c r="H5966" t="s">
        <v>235</v>
      </c>
      <c r="I5966" t="s">
        <v>36</v>
      </c>
      <c r="J5966" s="2" t="s">
        <v>42</v>
      </c>
      <c r="K5966" s="2" t="s">
        <v>3019</v>
      </c>
      <c r="L5966" t="s">
        <v>25</v>
      </c>
      <c r="M5966" s="8">
        <v>3.6166666666666667</v>
      </c>
      <c r="N5966" t="s">
        <v>26</v>
      </c>
      <c r="O5966" s="8">
        <v>3.6166666666666667</v>
      </c>
      <c r="P5966" s="8">
        <f>EXP(-1.363+3.366*LOG(O5966,10))</f>
        <v>1.6757592653929465</v>
      </c>
      <c r="Q5966" s="8">
        <f>(4437920*100)/4638971</f>
        <v>95.666043180696747</v>
      </c>
    </row>
    <row r="5967" spans="1:17" x14ac:dyDescent="0.2">
      <c r="A5967">
        <f>YEAR(D5967)</f>
        <v>2020</v>
      </c>
      <c r="B5967" t="s">
        <v>26</v>
      </c>
      <c r="C5967" s="2" t="s">
        <v>3022</v>
      </c>
      <c r="D5967" s="1">
        <v>44075</v>
      </c>
      <c r="E5967">
        <f>MONTH(D5967)</f>
        <v>9</v>
      </c>
      <c r="F5967" s="2" t="s">
        <v>2098</v>
      </c>
      <c r="G5967" t="s">
        <v>230</v>
      </c>
      <c r="H5967" t="s">
        <v>255</v>
      </c>
      <c r="I5967" t="s">
        <v>36</v>
      </c>
      <c r="J5967" s="2" t="s">
        <v>42</v>
      </c>
      <c r="K5967" s="2" t="s">
        <v>3019</v>
      </c>
      <c r="L5967" t="s">
        <v>25</v>
      </c>
      <c r="M5967" s="8">
        <v>4.1180000000000003</v>
      </c>
      <c r="N5967" t="s">
        <v>26</v>
      </c>
      <c r="O5967" s="8">
        <v>4.1180000000000003</v>
      </c>
      <c r="P5967" s="8">
        <f>EXP(-1.363+3.366*LOG(O5967,10))</f>
        <v>2.0259408868315871</v>
      </c>
      <c r="Q5967" s="8">
        <f>(4437920*100)/4638971</f>
        <v>95.666043180696747</v>
      </c>
    </row>
    <row r="5968" spans="1:17" x14ac:dyDescent="0.2">
      <c r="A5968">
        <f>YEAR(D5968)</f>
        <v>2020</v>
      </c>
      <c r="B5968" t="s">
        <v>26</v>
      </c>
      <c r="C5968" s="2" t="s">
        <v>3022</v>
      </c>
      <c r="D5968" s="1">
        <v>44075</v>
      </c>
      <c r="E5968">
        <f>MONTH(D5968)</f>
        <v>9</v>
      </c>
      <c r="F5968" s="2" t="s">
        <v>2098</v>
      </c>
      <c r="G5968" s="2" t="s">
        <v>323</v>
      </c>
      <c r="H5968" t="s">
        <v>3073</v>
      </c>
      <c r="I5968" t="s">
        <v>22</v>
      </c>
      <c r="J5968" s="2" t="s">
        <v>42</v>
      </c>
      <c r="K5968" s="2" t="s">
        <v>3019</v>
      </c>
      <c r="L5968" t="s">
        <v>187</v>
      </c>
      <c r="M5968" s="8">
        <v>2.5310000000000001</v>
      </c>
      <c r="N5968" t="s">
        <v>26</v>
      </c>
      <c r="O5968" s="8">
        <v>2.5310000000000001</v>
      </c>
      <c r="P5968" s="8">
        <f>EXP(-1.363+3.366*LOG(O5968,10))</f>
        <v>0.99449656031964306</v>
      </c>
      <c r="Q5968" s="8">
        <f>(4437920*100)/4638971</f>
        <v>95.666043180696747</v>
      </c>
    </row>
    <row r="5969" spans="1:17" x14ac:dyDescent="0.2">
      <c r="A5969">
        <f>YEAR(D5969)</f>
        <v>2020</v>
      </c>
      <c r="B5969" t="s">
        <v>26</v>
      </c>
      <c r="C5969" s="2" t="s">
        <v>3022</v>
      </c>
      <c r="D5969" s="1">
        <v>44075</v>
      </c>
      <c r="E5969">
        <f>MONTH(D5969)</f>
        <v>9</v>
      </c>
      <c r="F5969" s="2" t="s">
        <v>2098</v>
      </c>
      <c r="G5969" t="s">
        <v>1520</v>
      </c>
      <c r="H5969" t="s">
        <v>1521</v>
      </c>
      <c r="I5969" t="s">
        <v>22</v>
      </c>
      <c r="J5969" s="2" t="s">
        <v>42</v>
      </c>
      <c r="K5969" s="2" t="s">
        <v>3019</v>
      </c>
      <c r="L5969" t="s">
        <v>25</v>
      </c>
      <c r="M5969" s="8">
        <v>2.952</v>
      </c>
      <c r="N5969" t="s">
        <v>26</v>
      </c>
      <c r="O5969" s="8">
        <v>2.952</v>
      </c>
      <c r="P5969" s="8">
        <f>EXP(-1.363+3.366*LOG(O5969,10))</f>
        <v>1.2453438103764427</v>
      </c>
      <c r="Q5969" s="8">
        <f>(4437920*100)/4638971</f>
        <v>95.666043180696747</v>
      </c>
    </row>
    <row r="5970" spans="1:17" x14ac:dyDescent="0.2">
      <c r="A5970">
        <f>YEAR(D5970)</f>
        <v>2020</v>
      </c>
      <c r="B5970" t="s">
        <v>26</v>
      </c>
      <c r="C5970" s="2" t="s">
        <v>1540</v>
      </c>
      <c r="D5970" s="1">
        <v>44076</v>
      </c>
      <c r="E5970">
        <f>MONTH(D5970)</f>
        <v>9</v>
      </c>
      <c r="F5970" s="2" t="s">
        <v>2098</v>
      </c>
      <c r="G5970" t="s">
        <v>230</v>
      </c>
      <c r="H5970" t="s">
        <v>268</v>
      </c>
      <c r="I5970" t="s">
        <v>22</v>
      </c>
      <c r="J5970" s="2" t="s">
        <v>42</v>
      </c>
      <c r="K5970" s="2" t="s">
        <v>3019</v>
      </c>
      <c r="L5970" t="s">
        <v>25</v>
      </c>
      <c r="M5970" s="8">
        <v>3.5356666670000001</v>
      </c>
      <c r="N5970" t="s">
        <v>26</v>
      </c>
      <c r="O5970" s="8">
        <v>3.5356666670000001</v>
      </c>
      <c r="P5970" s="8">
        <f>EXP(-1.363+3.366*LOG(O5970,10))</f>
        <v>1.6211802664427075</v>
      </c>
      <c r="Q5970" s="8">
        <f>(2618262*100)/2995732</f>
        <v>87.399740697766021</v>
      </c>
    </row>
    <row r="5971" spans="1:17" x14ac:dyDescent="0.2">
      <c r="A5971">
        <f>YEAR(D5971)</f>
        <v>2020</v>
      </c>
      <c r="B5971" t="s">
        <v>26</v>
      </c>
      <c r="C5971" s="2" t="s">
        <v>1540</v>
      </c>
      <c r="D5971" s="1">
        <v>44076</v>
      </c>
      <c r="E5971">
        <f>MONTH(D5971)</f>
        <v>9</v>
      </c>
      <c r="F5971" s="2" t="s">
        <v>2098</v>
      </c>
      <c r="G5971" t="s">
        <v>230</v>
      </c>
      <c r="H5971" t="s">
        <v>268</v>
      </c>
      <c r="I5971" t="s">
        <v>22</v>
      </c>
      <c r="J5971" s="2" t="s">
        <v>42</v>
      </c>
      <c r="K5971" s="2" t="s">
        <v>3019</v>
      </c>
      <c r="L5971" t="s">
        <v>25</v>
      </c>
      <c r="M5971" s="8">
        <v>3.5356666670000001</v>
      </c>
      <c r="N5971" t="s">
        <v>26</v>
      </c>
      <c r="O5971" s="8">
        <v>3.5356666670000001</v>
      </c>
      <c r="P5971" s="8">
        <f>EXP(-1.363+3.366*LOG(O5971,10))</f>
        <v>1.6211802664427075</v>
      </c>
      <c r="Q5971" s="8">
        <f>(2618262*100)/2995732</f>
        <v>87.399740697766021</v>
      </c>
    </row>
    <row r="5972" spans="1:17" x14ac:dyDescent="0.2">
      <c r="A5972">
        <f>YEAR(D5972)</f>
        <v>2020</v>
      </c>
      <c r="B5972" t="s">
        <v>26</v>
      </c>
      <c r="C5972" s="2" t="s">
        <v>1540</v>
      </c>
      <c r="D5972" s="1">
        <v>44076</v>
      </c>
      <c r="E5972">
        <f>MONTH(D5972)</f>
        <v>9</v>
      </c>
      <c r="F5972" s="2" t="s">
        <v>2098</v>
      </c>
      <c r="G5972" t="s">
        <v>230</v>
      </c>
      <c r="H5972" t="s">
        <v>255</v>
      </c>
      <c r="I5972" t="s">
        <v>36</v>
      </c>
      <c r="J5972" s="2" t="s">
        <v>42</v>
      </c>
      <c r="K5972" s="2" t="s">
        <v>3019</v>
      </c>
      <c r="L5972" t="s">
        <v>25</v>
      </c>
      <c r="M5972" s="8">
        <v>4.1180000000000003</v>
      </c>
      <c r="N5972" t="s">
        <v>26</v>
      </c>
      <c r="O5972" s="8">
        <v>4.1180000000000003</v>
      </c>
      <c r="P5972" s="8">
        <f>EXP(-1.363+3.366*LOG(O5972,10))</f>
        <v>2.0259408868315871</v>
      </c>
      <c r="Q5972" s="8">
        <f>(2618262*100)/2995732</f>
        <v>87.399740697766021</v>
      </c>
    </row>
    <row r="5973" spans="1:17" x14ac:dyDescent="0.2">
      <c r="A5973">
        <f>YEAR(D5973)</f>
        <v>2020</v>
      </c>
      <c r="B5973" t="s">
        <v>26</v>
      </c>
      <c r="C5973" s="2" t="s">
        <v>1540</v>
      </c>
      <c r="D5973" s="1">
        <v>44076</v>
      </c>
      <c r="E5973">
        <f>MONTH(D5973)</f>
        <v>9</v>
      </c>
      <c r="F5973" s="2" t="s">
        <v>2098</v>
      </c>
      <c r="G5973" t="s">
        <v>230</v>
      </c>
      <c r="H5973" t="s">
        <v>255</v>
      </c>
      <c r="I5973" t="s">
        <v>36</v>
      </c>
      <c r="J5973" s="2" t="s">
        <v>42</v>
      </c>
      <c r="K5973" s="2" t="s">
        <v>3019</v>
      </c>
      <c r="L5973" t="s">
        <v>25</v>
      </c>
      <c r="M5973" s="8">
        <v>4.1180000000000003</v>
      </c>
      <c r="N5973" t="s">
        <v>26</v>
      </c>
      <c r="O5973" s="8">
        <v>4.1180000000000003</v>
      </c>
      <c r="P5973" s="8">
        <f>EXP(-1.363+3.366*LOG(O5973,10))</f>
        <v>2.0259408868315871</v>
      </c>
      <c r="Q5973" s="8">
        <f>(2618262*100)/2995732</f>
        <v>87.399740697766021</v>
      </c>
    </row>
    <row r="5974" spans="1:17" x14ac:dyDescent="0.2">
      <c r="A5974">
        <f>YEAR(D5974)</f>
        <v>2020</v>
      </c>
      <c r="B5974" t="s">
        <v>26</v>
      </c>
      <c r="C5974" s="2" t="s">
        <v>1540</v>
      </c>
      <c r="D5974" s="1">
        <v>44076</v>
      </c>
      <c r="E5974">
        <f>MONTH(D5974)</f>
        <v>9</v>
      </c>
      <c r="F5974" s="2" t="s">
        <v>2098</v>
      </c>
      <c r="G5974" t="s">
        <v>219</v>
      </c>
      <c r="H5974" t="s">
        <v>220</v>
      </c>
      <c r="I5974" t="s">
        <v>22</v>
      </c>
      <c r="J5974" s="2" t="s">
        <v>42</v>
      </c>
      <c r="K5974" s="2" t="s">
        <v>3019</v>
      </c>
      <c r="L5974" t="s">
        <v>25</v>
      </c>
      <c r="M5974" s="10" t="s">
        <v>26</v>
      </c>
      <c r="N5974" t="s">
        <v>26</v>
      </c>
      <c r="O5974" s="10" t="s">
        <v>26</v>
      </c>
      <c r="P5974" s="8" t="s">
        <v>26</v>
      </c>
      <c r="Q5974" s="8">
        <f>(2618262*100)/2995732</f>
        <v>87.399740697766021</v>
      </c>
    </row>
    <row r="5975" spans="1:17" x14ac:dyDescent="0.2">
      <c r="A5975">
        <f>YEAR(D5975)</f>
        <v>2020</v>
      </c>
      <c r="B5975" t="s">
        <v>26</v>
      </c>
      <c r="C5975" s="2" t="s">
        <v>1540</v>
      </c>
      <c r="D5975" s="1">
        <v>44076</v>
      </c>
      <c r="E5975">
        <f>MONTH(D5975)</f>
        <v>9</v>
      </c>
      <c r="F5975" s="2" t="s">
        <v>2098</v>
      </c>
      <c r="G5975" t="s">
        <v>219</v>
      </c>
      <c r="H5975" t="s">
        <v>220</v>
      </c>
      <c r="I5975" t="s">
        <v>22</v>
      </c>
      <c r="J5975" s="2" t="s">
        <v>42</v>
      </c>
      <c r="K5975" s="2" t="s">
        <v>3019</v>
      </c>
      <c r="L5975" t="s">
        <v>25</v>
      </c>
      <c r="M5975" s="10" t="s">
        <v>26</v>
      </c>
      <c r="N5975" t="s">
        <v>26</v>
      </c>
      <c r="O5975" s="10" t="s">
        <v>26</v>
      </c>
      <c r="P5975" s="8" t="s">
        <v>26</v>
      </c>
      <c r="Q5975" s="8">
        <f>(2618262*100)/2995732</f>
        <v>87.399740697766021</v>
      </c>
    </row>
    <row r="5976" spans="1:17" x14ac:dyDescent="0.2">
      <c r="A5976">
        <f>YEAR(D5976)</f>
        <v>2020</v>
      </c>
      <c r="B5976" t="s">
        <v>26</v>
      </c>
      <c r="C5976" s="2" t="s">
        <v>1540</v>
      </c>
      <c r="D5976" s="1">
        <v>44076</v>
      </c>
      <c r="E5976">
        <f>MONTH(D5976)</f>
        <v>9</v>
      </c>
      <c r="F5976" s="2" t="s">
        <v>2098</v>
      </c>
      <c r="G5976" t="s">
        <v>219</v>
      </c>
      <c r="H5976" t="s">
        <v>220</v>
      </c>
      <c r="I5976" t="s">
        <v>22</v>
      </c>
      <c r="J5976" s="2" t="s">
        <v>42</v>
      </c>
      <c r="K5976" s="2" t="s">
        <v>3019</v>
      </c>
      <c r="L5976" t="s">
        <v>25</v>
      </c>
      <c r="M5976" s="10" t="s">
        <v>26</v>
      </c>
      <c r="N5976" t="s">
        <v>26</v>
      </c>
      <c r="O5976" s="10" t="s">
        <v>26</v>
      </c>
      <c r="P5976" s="8" t="s">
        <v>26</v>
      </c>
      <c r="Q5976" s="8">
        <f>(2618262*100)/2995732</f>
        <v>87.399740697766021</v>
      </c>
    </row>
    <row r="5977" spans="1:17" x14ac:dyDescent="0.2">
      <c r="A5977">
        <f>YEAR(D5977)</f>
        <v>2020</v>
      </c>
      <c r="B5977" t="s">
        <v>26</v>
      </c>
      <c r="C5977" s="2" t="s">
        <v>1540</v>
      </c>
      <c r="D5977" s="1">
        <v>44076</v>
      </c>
      <c r="E5977">
        <f>MONTH(D5977)</f>
        <v>9</v>
      </c>
      <c r="F5977" s="2" t="s">
        <v>2098</v>
      </c>
      <c r="G5977" t="s">
        <v>219</v>
      </c>
      <c r="H5977" t="s">
        <v>220</v>
      </c>
      <c r="I5977" t="s">
        <v>22</v>
      </c>
      <c r="J5977" s="2" t="s">
        <v>42</v>
      </c>
      <c r="K5977" s="2" t="s">
        <v>3019</v>
      </c>
      <c r="L5977" t="s">
        <v>25</v>
      </c>
      <c r="M5977" s="10" t="s">
        <v>26</v>
      </c>
      <c r="N5977" t="s">
        <v>26</v>
      </c>
      <c r="O5977" s="10" t="s">
        <v>26</v>
      </c>
      <c r="P5977" s="8" t="s">
        <v>26</v>
      </c>
      <c r="Q5977" s="8">
        <f>(2618262*100)/2995732</f>
        <v>87.399740697766021</v>
      </c>
    </row>
    <row r="5978" spans="1:17" x14ac:dyDescent="0.2">
      <c r="A5978">
        <f>YEAR(D5978)</f>
        <v>2020</v>
      </c>
      <c r="B5978" t="s">
        <v>26</v>
      </c>
      <c r="C5978" s="2" t="s">
        <v>1540</v>
      </c>
      <c r="D5978" s="1">
        <v>44076</v>
      </c>
      <c r="E5978">
        <f>MONTH(D5978)</f>
        <v>9</v>
      </c>
      <c r="F5978" s="2" t="s">
        <v>2098</v>
      </c>
      <c r="G5978" t="s">
        <v>230</v>
      </c>
      <c r="H5978" t="s">
        <v>259</v>
      </c>
      <c r="I5978" t="s">
        <v>22</v>
      </c>
      <c r="J5978" s="2" t="s">
        <v>42</v>
      </c>
      <c r="K5978" s="2" t="s">
        <v>3019</v>
      </c>
      <c r="L5978" t="s">
        <v>25</v>
      </c>
      <c r="M5978" s="8">
        <v>4.2283333330000001</v>
      </c>
      <c r="N5978" t="s">
        <v>26</v>
      </c>
      <c r="O5978" s="8">
        <v>4.2283333330000001</v>
      </c>
      <c r="P5978" s="8">
        <f>EXP(-1.363+3.366*LOG(O5978,10))</f>
        <v>2.1057792396965977</v>
      </c>
      <c r="Q5978" s="8">
        <f>(2618262*100)/2995732</f>
        <v>87.399740697766021</v>
      </c>
    </row>
    <row r="5979" spans="1:17" x14ac:dyDescent="0.2">
      <c r="A5979">
        <f>YEAR(D5979)</f>
        <v>2020</v>
      </c>
      <c r="B5979" t="s">
        <v>26</v>
      </c>
      <c r="C5979" s="2" t="s">
        <v>1540</v>
      </c>
      <c r="D5979" s="1">
        <v>44076</v>
      </c>
      <c r="E5979">
        <f>MONTH(D5979)</f>
        <v>9</v>
      </c>
      <c r="F5979" s="2" t="s">
        <v>2098</v>
      </c>
      <c r="G5979" t="s">
        <v>230</v>
      </c>
      <c r="H5979" t="s">
        <v>259</v>
      </c>
      <c r="I5979" t="s">
        <v>22</v>
      </c>
      <c r="J5979" s="2" t="s">
        <v>42</v>
      </c>
      <c r="K5979" s="2" t="s">
        <v>3019</v>
      </c>
      <c r="L5979" t="s">
        <v>25</v>
      </c>
      <c r="M5979" s="8">
        <v>4.2283333330000001</v>
      </c>
      <c r="N5979" t="s">
        <v>26</v>
      </c>
      <c r="O5979" s="8">
        <v>4.2283333330000001</v>
      </c>
      <c r="P5979" s="8">
        <f>EXP(-1.363+3.366*LOG(O5979,10))</f>
        <v>2.1057792396965977</v>
      </c>
      <c r="Q5979" s="8">
        <f>(2618262*100)/2995732</f>
        <v>87.399740697766021</v>
      </c>
    </row>
    <row r="5980" spans="1:17" x14ac:dyDescent="0.2">
      <c r="A5980">
        <f>YEAR(D5980)</f>
        <v>2020</v>
      </c>
      <c r="B5980" t="s">
        <v>26</v>
      </c>
      <c r="C5980" s="2" t="s">
        <v>1540</v>
      </c>
      <c r="D5980" s="1">
        <v>44076</v>
      </c>
      <c r="E5980">
        <f>MONTH(D5980)</f>
        <v>9</v>
      </c>
      <c r="F5980" s="2" t="s">
        <v>2098</v>
      </c>
      <c r="G5980" t="s">
        <v>230</v>
      </c>
      <c r="H5980" t="s">
        <v>259</v>
      </c>
      <c r="I5980" t="s">
        <v>22</v>
      </c>
      <c r="J5980" s="2" t="s">
        <v>42</v>
      </c>
      <c r="K5980" s="2" t="s">
        <v>3019</v>
      </c>
      <c r="L5980" t="s">
        <v>25</v>
      </c>
      <c r="M5980" s="8">
        <v>4.2283333330000001</v>
      </c>
      <c r="N5980" t="s">
        <v>26</v>
      </c>
      <c r="O5980" s="8">
        <v>4.2283333330000001</v>
      </c>
      <c r="P5980" s="8">
        <f>EXP(-1.363+3.366*LOG(O5980,10))</f>
        <v>2.1057792396965977</v>
      </c>
      <c r="Q5980" s="8">
        <f>(2618262*100)/2995732</f>
        <v>87.399740697766021</v>
      </c>
    </row>
    <row r="5981" spans="1:17" x14ac:dyDescent="0.2">
      <c r="A5981">
        <f>YEAR(D5981)</f>
        <v>2020</v>
      </c>
      <c r="B5981" t="s">
        <v>26</v>
      </c>
      <c r="C5981" s="2" t="s">
        <v>1540</v>
      </c>
      <c r="D5981" s="1">
        <v>44076</v>
      </c>
      <c r="E5981">
        <f>MONTH(D5981)</f>
        <v>9</v>
      </c>
      <c r="F5981" s="2" t="s">
        <v>2098</v>
      </c>
      <c r="G5981" t="s">
        <v>230</v>
      </c>
      <c r="H5981" t="s">
        <v>259</v>
      </c>
      <c r="I5981" t="s">
        <v>22</v>
      </c>
      <c r="J5981" s="2" t="s">
        <v>42</v>
      </c>
      <c r="K5981" s="2" t="s">
        <v>3019</v>
      </c>
      <c r="L5981" t="s">
        <v>25</v>
      </c>
      <c r="M5981" s="8">
        <v>4.2283333330000001</v>
      </c>
      <c r="N5981" t="s">
        <v>26</v>
      </c>
      <c r="O5981" s="8">
        <v>4.2283333330000001</v>
      </c>
      <c r="P5981" s="8">
        <f>EXP(-1.363+3.366*LOG(O5981,10))</f>
        <v>2.1057792396965977</v>
      </c>
      <c r="Q5981" s="8">
        <f>(2618262*100)/2995732</f>
        <v>87.399740697766021</v>
      </c>
    </row>
    <row r="5982" spans="1:17" x14ac:dyDescent="0.2">
      <c r="A5982">
        <f>YEAR(D5982)</f>
        <v>2020</v>
      </c>
      <c r="B5982" t="s">
        <v>26</v>
      </c>
      <c r="C5982" s="2" t="s">
        <v>1540</v>
      </c>
      <c r="D5982" s="1">
        <v>44076</v>
      </c>
      <c r="E5982">
        <f>MONTH(D5982)</f>
        <v>9</v>
      </c>
      <c r="F5982" s="2" t="s">
        <v>2098</v>
      </c>
      <c r="G5982" t="s">
        <v>230</v>
      </c>
      <c r="H5982" t="s">
        <v>259</v>
      </c>
      <c r="I5982" t="s">
        <v>22</v>
      </c>
      <c r="J5982" s="2" t="s">
        <v>42</v>
      </c>
      <c r="K5982" s="2" t="s">
        <v>3019</v>
      </c>
      <c r="L5982" t="s">
        <v>25</v>
      </c>
      <c r="M5982" s="8">
        <v>4.2283333330000001</v>
      </c>
      <c r="N5982" t="s">
        <v>26</v>
      </c>
      <c r="O5982" s="8">
        <v>4.2283333330000001</v>
      </c>
      <c r="P5982" s="8">
        <f>EXP(-1.363+3.366*LOG(O5982,10))</f>
        <v>2.1057792396965977</v>
      </c>
      <c r="Q5982" s="8">
        <f>(2618262*100)/2995732</f>
        <v>87.399740697766021</v>
      </c>
    </row>
    <row r="5983" spans="1:17" x14ac:dyDescent="0.2">
      <c r="A5983">
        <f>YEAR(D5983)</f>
        <v>2020</v>
      </c>
      <c r="B5983" t="s">
        <v>26</v>
      </c>
      <c r="C5983" s="2" t="s">
        <v>1540</v>
      </c>
      <c r="D5983" s="1">
        <v>44076</v>
      </c>
      <c r="E5983">
        <f>MONTH(D5983)</f>
        <v>9</v>
      </c>
      <c r="F5983" s="2" t="s">
        <v>2098</v>
      </c>
      <c r="G5983" t="s">
        <v>219</v>
      </c>
      <c r="H5983" t="s">
        <v>220</v>
      </c>
      <c r="I5983" t="s">
        <v>22</v>
      </c>
      <c r="J5983" s="2" t="s">
        <v>42</v>
      </c>
      <c r="K5983" s="2" t="s">
        <v>3019</v>
      </c>
      <c r="L5983" t="s">
        <v>25</v>
      </c>
      <c r="M5983" s="10" t="s">
        <v>26</v>
      </c>
      <c r="N5983" t="s">
        <v>26</v>
      </c>
      <c r="O5983" s="10" t="s">
        <v>26</v>
      </c>
      <c r="P5983" s="8" t="s">
        <v>26</v>
      </c>
      <c r="Q5983" s="8">
        <f>(2618262*100)/2995732</f>
        <v>87.399740697766021</v>
      </c>
    </row>
    <row r="5984" spans="1:17" x14ac:dyDescent="0.2">
      <c r="A5984">
        <f>YEAR(D5984)</f>
        <v>2020</v>
      </c>
      <c r="B5984" t="s">
        <v>26</v>
      </c>
      <c r="C5984" s="2" t="s">
        <v>1540</v>
      </c>
      <c r="D5984" s="1">
        <v>44076</v>
      </c>
      <c r="E5984">
        <f>MONTH(D5984)</f>
        <v>9</v>
      </c>
      <c r="F5984" s="2" t="s">
        <v>2098</v>
      </c>
      <c r="G5984" t="s">
        <v>219</v>
      </c>
      <c r="H5984" t="s">
        <v>220</v>
      </c>
      <c r="I5984" t="s">
        <v>22</v>
      </c>
      <c r="J5984" s="2" t="s">
        <v>42</v>
      </c>
      <c r="K5984" s="2" t="s">
        <v>3019</v>
      </c>
      <c r="L5984" t="s">
        <v>25</v>
      </c>
      <c r="M5984" s="10" t="s">
        <v>26</v>
      </c>
      <c r="N5984" t="s">
        <v>26</v>
      </c>
      <c r="O5984" s="10" t="s">
        <v>26</v>
      </c>
      <c r="P5984" s="8" t="s">
        <v>26</v>
      </c>
      <c r="Q5984" s="8">
        <f>(2618262*100)/2995732</f>
        <v>87.399740697766021</v>
      </c>
    </row>
    <row r="5985" spans="1:17" x14ac:dyDescent="0.2">
      <c r="A5985">
        <f>YEAR(D5985)</f>
        <v>2020</v>
      </c>
      <c r="B5985" t="s">
        <v>26</v>
      </c>
      <c r="C5985" s="2" t="s">
        <v>1540</v>
      </c>
      <c r="D5985" s="1">
        <v>44076</v>
      </c>
      <c r="E5985">
        <f>MONTH(D5985)</f>
        <v>9</v>
      </c>
      <c r="F5985" s="2" t="s">
        <v>2098</v>
      </c>
      <c r="G5985" t="s">
        <v>230</v>
      </c>
      <c r="H5985" t="s">
        <v>268</v>
      </c>
      <c r="I5985" t="s">
        <v>22</v>
      </c>
      <c r="J5985" s="2" t="s">
        <v>42</v>
      </c>
      <c r="K5985" s="2" t="s">
        <v>3019</v>
      </c>
      <c r="L5985" t="s">
        <v>25</v>
      </c>
      <c r="M5985" s="8">
        <v>3.5356666670000001</v>
      </c>
      <c r="N5985" t="s">
        <v>26</v>
      </c>
      <c r="O5985" s="8">
        <v>3.5356666670000001</v>
      </c>
      <c r="P5985" s="8">
        <f>EXP(-1.363+3.366*LOG(O5985,10))</f>
        <v>1.6211802664427075</v>
      </c>
      <c r="Q5985" s="8">
        <f>(2618262*100)/2995732</f>
        <v>87.399740697766021</v>
      </c>
    </row>
    <row r="5986" spans="1:17" x14ac:dyDescent="0.2">
      <c r="A5986">
        <f>YEAR(D5986)</f>
        <v>2020</v>
      </c>
      <c r="B5986" t="s">
        <v>26</v>
      </c>
      <c r="C5986" s="2" t="s">
        <v>1552</v>
      </c>
      <c r="D5986" s="1">
        <v>44076</v>
      </c>
      <c r="E5986">
        <f>MONTH(D5986)</f>
        <v>9</v>
      </c>
      <c r="F5986" s="2" t="s">
        <v>2098</v>
      </c>
      <c r="G5986" t="s">
        <v>219</v>
      </c>
      <c r="H5986" t="s">
        <v>220</v>
      </c>
      <c r="I5986" t="s">
        <v>22</v>
      </c>
      <c r="J5986" s="2" t="s">
        <v>42</v>
      </c>
      <c r="K5986" s="2" t="s">
        <v>3019</v>
      </c>
      <c r="L5986" t="s">
        <v>25</v>
      </c>
      <c r="M5986" s="10" t="s">
        <v>26</v>
      </c>
      <c r="N5986" t="s">
        <v>26</v>
      </c>
      <c r="O5986" s="10" t="s">
        <v>26</v>
      </c>
      <c r="P5986" s="8" t="s">
        <v>26</v>
      </c>
      <c r="Q5986" s="8">
        <f>(3738946*100)/3915493</f>
        <v>95.491065875995687</v>
      </c>
    </row>
    <row r="5987" spans="1:17" x14ac:dyDescent="0.2">
      <c r="A5987">
        <f>YEAR(D5987)</f>
        <v>2020</v>
      </c>
      <c r="B5987" t="s">
        <v>26</v>
      </c>
      <c r="C5987" s="2" t="s">
        <v>1552</v>
      </c>
      <c r="D5987" s="1">
        <v>44076</v>
      </c>
      <c r="E5987">
        <f>MONTH(D5987)</f>
        <v>9</v>
      </c>
      <c r="F5987" s="2" t="s">
        <v>2098</v>
      </c>
      <c r="G5987" t="s">
        <v>219</v>
      </c>
      <c r="H5987" t="s">
        <v>220</v>
      </c>
      <c r="I5987" t="s">
        <v>22</v>
      </c>
      <c r="J5987" s="2" t="s">
        <v>42</v>
      </c>
      <c r="K5987" s="2" t="s">
        <v>3019</v>
      </c>
      <c r="L5987" t="s">
        <v>25</v>
      </c>
      <c r="M5987" s="10" t="s">
        <v>26</v>
      </c>
      <c r="N5987" t="s">
        <v>26</v>
      </c>
      <c r="O5987" s="10" t="s">
        <v>26</v>
      </c>
      <c r="P5987" s="8" t="s">
        <v>26</v>
      </c>
      <c r="Q5987" s="8">
        <f>(3738946*100)/3915493</f>
        <v>95.491065875995687</v>
      </c>
    </row>
    <row r="5988" spans="1:17" x14ac:dyDescent="0.2">
      <c r="A5988">
        <f>YEAR(D5988)</f>
        <v>2020</v>
      </c>
      <c r="B5988" t="s">
        <v>26</v>
      </c>
      <c r="C5988" s="2" t="s">
        <v>1552</v>
      </c>
      <c r="D5988" s="1">
        <v>44076</v>
      </c>
      <c r="E5988">
        <f>MONTH(D5988)</f>
        <v>9</v>
      </c>
      <c r="F5988" s="2" t="s">
        <v>2098</v>
      </c>
      <c r="G5988" t="s">
        <v>219</v>
      </c>
      <c r="H5988" t="s">
        <v>220</v>
      </c>
      <c r="I5988" t="s">
        <v>22</v>
      </c>
      <c r="J5988" s="2" t="s">
        <v>42</v>
      </c>
      <c r="K5988" s="2" t="s">
        <v>3019</v>
      </c>
      <c r="L5988" t="s">
        <v>25</v>
      </c>
      <c r="M5988" s="10" t="s">
        <v>26</v>
      </c>
      <c r="N5988" t="s">
        <v>26</v>
      </c>
      <c r="O5988" s="10" t="s">
        <v>26</v>
      </c>
      <c r="P5988" s="8" t="s">
        <v>26</v>
      </c>
      <c r="Q5988" s="8">
        <f>(3738946*100)/3915493</f>
        <v>95.491065875995687</v>
      </c>
    </row>
    <row r="5989" spans="1:17" x14ac:dyDescent="0.2">
      <c r="A5989">
        <f>YEAR(D5989)</f>
        <v>2020</v>
      </c>
      <c r="B5989" t="s">
        <v>26</v>
      </c>
      <c r="C5989" s="2" t="s">
        <v>1552</v>
      </c>
      <c r="D5989" s="1">
        <v>44076</v>
      </c>
      <c r="E5989">
        <f>MONTH(D5989)</f>
        <v>9</v>
      </c>
      <c r="F5989" s="2" t="s">
        <v>2098</v>
      </c>
      <c r="G5989" t="s">
        <v>219</v>
      </c>
      <c r="H5989" t="s">
        <v>220</v>
      </c>
      <c r="I5989" t="s">
        <v>22</v>
      </c>
      <c r="J5989" s="2" t="s">
        <v>42</v>
      </c>
      <c r="K5989" s="2" t="s">
        <v>3019</v>
      </c>
      <c r="L5989" t="s">
        <v>25</v>
      </c>
      <c r="M5989" s="10" t="s">
        <v>26</v>
      </c>
      <c r="N5989" t="s">
        <v>26</v>
      </c>
      <c r="O5989" s="10" t="s">
        <v>26</v>
      </c>
      <c r="P5989" s="8" t="s">
        <v>26</v>
      </c>
      <c r="Q5989" s="8">
        <f>(3738946*100)/3915493</f>
        <v>95.491065875995687</v>
      </c>
    </row>
    <row r="5990" spans="1:17" x14ac:dyDescent="0.2">
      <c r="A5990">
        <f>YEAR(D5990)</f>
        <v>2020</v>
      </c>
      <c r="B5990" t="s">
        <v>26</v>
      </c>
      <c r="C5990" s="2" t="s">
        <v>1552</v>
      </c>
      <c r="D5990" s="1">
        <v>44076</v>
      </c>
      <c r="E5990">
        <f>MONTH(D5990)</f>
        <v>9</v>
      </c>
      <c r="F5990" s="2" t="s">
        <v>2098</v>
      </c>
      <c r="G5990" t="s">
        <v>219</v>
      </c>
      <c r="H5990" t="s">
        <v>220</v>
      </c>
      <c r="I5990" t="s">
        <v>22</v>
      </c>
      <c r="J5990" s="2" t="s">
        <v>42</v>
      </c>
      <c r="K5990" s="2" t="s">
        <v>3019</v>
      </c>
      <c r="L5990" t="s">
        <v>25</v>
      </c>
      <c r="M5990" s="10" t="s">
        <v>26</v>
      </c>
      <c r="N5990" t="s">
        <v>26</v>
      </c>
      <c r="O5990" s="10" t="s">
        <v>26</v>
      </c>
      <c r="P5990" s="8" t="s">
        <v>26</v>
      </c>
      <c r="Q5990" s="8">
        <f>(3738946*100)/3915493</f>
        <v>95.491065875995687</v>
      </c>
    </row>
    <row r="5991" spans="1:17" x14ac:dyDescent="0.2">
      <c r="A5991">
        <f>YEAR(D5991)</f>
        <v>2020</v>
      </c>
      <c r="B5991" t="s">
        <v>26</v>
      </c>
      <c r="C5991" s="2" t="s">
        <v>1552</v>
      </c>
      <c r="D5991" s="1">
        <v>44076</v>
      </c>
      <c r="E5991">
        <f>MONTH(D5991)</f>
        <v>9</v>
      </c>
      <c r="F5991" s="2" t="s">
        <v>2098</v>
      </c>
      <c r="G5991" t="s">
        <v>230</v>
      </c>
      <c r="H5991" t="s">
        <v>268</v>
      </c>
      <c r="I5991" t="s">
        <v>22</v>
      </c>
      <c r="J5991" s="2" t="s">
        <v>42</v>
      </c>
      <c r="K5991" s="2" t="s">
        <v>3019</v>
      </c>
      <c r="L5991" t="s">
        <v>25</v>
      </c>
      <c r="M5991" s="8">
        <v>3.5356666670000001</v>
      </c>
      <c r="N5991" t="s">
        <v>26</v>
      </c>
      <c r="O5991" s="8">
        <v>3.5356666670000001</v>
      </c>
      <c r="P5991" s="8">
        <f>EXP(-1.363+3.366*LOG(O5991,10))</f>
        <v>1.6211802664427075</v>
      </c>
      <c r="Q5991" s="8">
        <f>(3738946*100)/3915493</f>
        <v>95.491065875995687</v>
      </c>
    </row>
    <row r="5992" spans="1:17" x14ac:dyDescent="0.2">
      <c r="A5992">
        <f>YEAR(D5992)</f>
        <v>2020</v>
      </c>
      <c r="B5992" t="s">
        <v>26</v>
      </c>
      <c r="C5992" s="2" t="s">
        <v>1552</v>
      </c>
      <c r="D5992" s="1">
        <v>44076</v>
      </c>
      <c r="E5992">
        <f>MONTH(D5992)</f>
        <v>9</v>
      </c>
      <c r="F5992" s="2" t="s">
        <v>2098</v>
      </c>
      <c r="G5992" t="s">
        <v>230</v>
      </c>
      <c r="H5992" t="s">
        <v>268</v>
      </c>
      <c r="I5992" t="s">
        <v>22</v>
      </c>
      <c r="J5992" s="2" t="s">
        <v>42</v>
      </c>
      <c r="K5992" s="2" t="s">
        <v>3019</v>
      </c>
      <c r="L5992" t="s">
        <v>25</v>
      </c>
      <c r="M5992" s="8">
        <v>3.5356666670000001</v>
      </c>
      <c r="N5992" t="s">
        <v>26</v>
      </c>
      <c r="O5992" s="8">
        <v>3.5356666670000001</v>
      </c>
      <c r="P5992" s="8">
        <f>EXP(-1.363+3.366*LOG(O5992,10))</f>
        <v>1.6211802664427075</v>
      </c>
      <c r="Q5992" s="8">
        <f>(3738946*100)/3915493</f>
        <v>95.491065875995687</v>
      </c>
    </row>
    <row r="5993" spans="1:17" x14ac:dyDescent="0.2">
      <c r="A5993">
        <f>YEAR(D5993)</f>
        <v>2020</v>
      </c>
      <c r="B5993" t="s">
        <v>26</v>
      </c>
      <c r="C5993" s="2" t="s">
        <v>1552</v>
      </c>
      <c r="D5993" s="1">
        <v>44076</v>
      </c>
      <c r="E5993">
        <f>MONTH(D5993)</f>
        <v>9</v>
      </c>
      <c r="F5993" s="2" t="s">
        <v>2098</v>
      </c>
      <c r="G5993" t="s">
        <v>230</v>
      </c>
      <c r="H5993" t="s">
        <v>268</v>
      </c>
      <c r="I5993" t="s">
        <v>22</v>
      </c>
      <c r="J5993" s="2" t="s">
        <v>42</v>
      </c>
      <c r="K5993" s="2" t="s">
        <v>3019</v>
      </c>
      <c r="L5993" t="s">
        <v>25</v>
      </c>
      <c r="M5993" s="8">
        <v>3.5356666670000001</v>
      </c>
      <c r="N5993" t="s">
        <v>26</v>
      </c>
      <c r="O5993" s="8">
        <v>3.5356666670000001</v>
      </c>
      <c r="P5993" s="8">
        <f>EXP(-1.363+3.366*LOG(O5993,10))</f>
        <v>1.6211802664427075</v>
      </c>
      <c r="Q5993" s="8">
        <f>(3738946*100)/3915493</f>
        <v>95.491065875995687</v>
      </c>
    </row>
    <row r="5994" spans="1:17" x14ac:dyDescent="0.2">
      <c r="A5994">
        <f>YEAR(D5994)</f>
        <v>2020</v>
      </c>
      <c r="B5994" t="s">
        <v>26</v>
      </c>
      <c r="C5994" s="2" t="s">
        <v>1552</v>
      </c>
      <c r="D5994" s="1">
        <v>44076</v>
      </c>
      <c r="E5994">
        <f>MONTH(D5994)</f>
        <v>9</v>
      </c>
      <c r="F5994" s="2" t="s">
        <v>2098</v>
      </c>
      <c r="G5994" t="s">
        <v>230</v>
      </c>
      <c r="H5994" t="s">
        <v>268</v>
      </c>
      <c r="I5994" t="s">
        <v>22</v>
      </c>
      <c r="J5994" s="2" t="s">
        <v>42</v>
      </c>
      <c r="K5994" s="2" t="s">
        <v>3019</v>
      </c>
      <c r="L5994" t="s">
        <v>25</v>
      </c>
      <c r="M5994" s="8">
        <v>3.5356666670000001</v>
      </c>
      <c r="N5994" t="s">
        <v>26</v>
      </c>
      <c r="O5994" s="8">
        <v>3.5356666670000001</v>
      </c>
      <c r="P5994" s="8">
        <f>EXP(-1.363+3.366*LOG(O5994,10))</f>
        <v>1.6211802664427075</v>
      </c>
      <c r="Q5994" s="8">
        <f>(3738946*100)/3915493</f>
        <v>95.491065875995687</v>
      </c>
    </row>
    <row r="5995" spans="1:17" x14ac:dyDescent="0.2">
      <c r="A5995">
        <f>YEAR(D5995)</f>
        <v>2020</v>
      </c>
      <c r="B5995" t="s">
        <v>26</v>
      </c>
      <c r="C5995" s="2" t="s">
        <v>1552</v>
      </c>
      <c r="D5995" s="1">
        <v>44076</v>
      </c>
      <c r="E5995">
        <f>MONTH(D5995)</f>
        <v>9</v>
      </c>
      <c r="F5995" s="2" t="s">
        <v>2098</v>
      </c>
      <c r="G5995" t="s">
        <v>230</v>
      </c>
      <c r="H5995" t="s">
        <v>268</v>
      </c>
      <c r="I5995" t="s">
        <v>22</v>
      </c>
      <c r="J5995" s="2" t="s">
        <v>42</v>
      </c>
      <c r="K5995" s="2" t="s">
        <v>3019</v>
      </c>
      <c r="L5995" t="s">
        <v>25</v>
      </c>
      <c r="M5995" s="8">
        <v>3.5356666670000001</v>
      </c>
      <c r="N5995" t="s">
        <v>26</v>
      </c>
      <c r="O5995" s="8">
        <v>3.5356666670000001</v>
      </c>
      <c r="P5995" s="8">
        <f>EXP(-1.363+3.366*LOG(O5995,10))</f>
        <v>1.6211802664427075</v>
      </c>
      <c r="Q5995" s="8">
        <f>(3738946*100)/3915493</f>
        <v>95.491065875995687</v>
      </c>
    </row>
    <row r="5996" spans="1:17" x14ac:dyDescent="0.2">
      <c r="A5996">
        <f>YEAR(D5996)</f>
        <v>2020</v>
      </c>
      <c r="B5996" t="s">
        <v>26</v>
      </c>
      <c r="C5996" s="2" t="s">
        <v>1552</v>
      </c>
      <c r="D5996" s="1">
        <v>44076</v>
      </c>
      <c r="E5996">
        <f>MONTH(D5996)</f>
        <v>9</v>
      </c>
      <c r="F5996" s="2" t="s">
        <v>2098</v>
      </c>
      <c r="G5996" t="s">
        <v>230</v>
      </c>
      <c r="H5996" t="s">
        <v>268</v>
      </c>
      <c r="I5996" t="s">
        <v>22</v>
      </c>
      <c r="J5996" s="2" t="s">
        <v>42</v>
      </c>
      <c r="K5996" s="2" t="s">
        <v>3019</v>
      </c>
      <c r="L5996" t="s">
        <v>25</v>
      </c>
      <c r="M5996" s="8">
        <v>3.5356666670000001</v>
      </c>
      <c r="N5996" t="s">
        <v>26</v>
      </c>
      <c r="O5996" s="8">
        <v>3.5356666670000001</v>
      </c>
      <c r="P5996" s="8">
        <f>EXP(-1.363+3.366*LOG(O5996,10))</f>
        <v>1.6211802664427075</v>
      </c>
      <c r="Q5996" s="8">
        <f>(3738946*100)/3915493</f>
        <v>95.491065875995687</v>
      </c>
    </row>
    <row r="5997" spans="1:17" x14ac:dyDescent="0.2">
      <c r="A5997">
        <f>YEAR(D5997)</f>
        <v>2020</v>
      </c>
      <c r="B5997" t="s">
        <v>26</v>
      </c>
      <c r="C5997" s="2" t="s">
        <v>1552</v>
      </c>
      <c r="D5997" s="1">
        <v>44076</v>
      </c>
      <c r="E5997">
        <f>MONTH(D5997)</f>
        <v>9</v>
      </c>
      <c r="F5997" s="2" t="s">
        <v>2098</v>
      </c>
      <c r="G5997" t="s">
        <v>230</v>
      </c>
      <c r="H5997" t="s">
        <v>268</v>
      </c>
      <c r="I5997" t="s">
        <v>22</v>
      </c>
      <c r="J5997" s="2" t="s">
        <v>42</v>
      </c>
      <c r="K5997" s="2" t="s">
        <v>3019</v>
      </c>
      <c r="L5997" t="s">
        <v>25</v>
      </c>
      <c r="M5997" s="8">
        <v>3.5356666670000001</v>
      </c>
      <c r="N5997" t="s">
        <v>26</v>
      </c>
      <c r="O5997" s="8">
        <v>3.5356666670000001</v>
      </c>
      <c r="P5997" s="8">
        <f>EXP(-1.363+3.366*LOG(O5997,10))</f>
        <v>1.6211802664427075</v>
      </c>
      <c r="Q5997" s="8">
        <f>(3738946*100)/3915493</f>
        <v>95.491065875995687</v>
      </c>
    </row>
    <row r="5998" spans="1:17" x14ac:dyDescent="0.2">
      <c r="A5998">
        <f>YEAR(D5998)</f>
        <v>2020</v>
      </c>
      <c r="B5998" t="s">
        <v>26</v>
      </c>
      <c r="C5998" s="2" t="s">
        <v>1552</v>
      </c>
      <c r="D5998" s="1">
        <v>44076</v>
      </c>
      <c r="E5998">
        <f>MONTH(D5998)</f>
        <v>9</v>
      </c>
      <c r="F5998" s="2" t="s">
        <v>2098</v>
      </c>
      <c r="G5998" t="s">
        <v>230</v>
      </c>
      <c r="H5998" t="s">
        <v>268</v>
      </c>
      <c r="I5998" t="s">
        <v>22</v>
      </c>
      <c r="J5998" s="2" t="s">
        <v>42</v>
      </c>
      <c r="K5998" s="2" t="s">
        <v>3019</v>
      </c>
      <c r="L5998" t="s">
        <v>25</v>
      </c>
      <c r="M5998" s="8">
        <v>3.5356666670000001</v>
      </c>
      <c r="N5998" t="s">
        <v>26</v>
      </c>
      <c r="O5998" s="8">
        <v>3.5356666670000001</v>
      </c>
      <c r="P5998" s="8">
        <f>EXP(-1.363+3.366*LOG(O5998,10))</f>
        <v>1.6211802664427075</v>
      </c>
      <c r="Q5998" s="8">
        <f>(3738946*100)/3915493</f>
        <v>95.491065875995687</v>
      </c>
    </row>
    <row r="5999" spans="1:17" x14ac:dyDescent="0.2">
      <c r="A5999">
        <f>YEAR(D5999)</f>
        <v>2020</v>
      </c>
      <c r="B5999" t="s">
        <v>26</v>
      </c>
      <c r="C5999" s="2" t="s">
        <v>1552</v>
      </c>
      <c r="D5999" s="1">
        <v>44076</v>
      </c>
      <c r="E5999">
        <f>MONTH(D5999)</f>
        <v>9</v>
      </c>
      <c r="F5999" s="2" t="s">
        <v>2098</v>
      </c>
      <c r="G5999" t="s">
        <v>230</v>
      </c>
      <c r="H5999" t="s">
        <v>268</v>
      </c>
      <c r="I5999" t="s">
        <v>22</v>
      </c>
      <c r="J5999" s="2" t="s">
        <v>42</v>
      </c>
      <c r="K5999" s="2" t="s">
        <v>3019</v>
      </c>
      <c r="L5999" t="s">
        <v>25</v>
      </c>
      <c r="M5999" s="8">
        <v>3.5356666670000001</v>
      </c>
      <c r="N5999" t="s">
        <v>26</v>
      </c>
      <c r="O5999" s="8">
        <v>3.5356666670000001</v>
      </c>
      <c r="P5999" s="8">
        <f>EXP(-1.363+3.366*LOG(O5999,10))</f>
        <v>1.6211802664427075</v>
      </c>
      <c r="Q5999" s="8">
        <f>(3738946*100)/3915493</f>
        <v>95.491065875995687</v>
      </c>
    </row>
    <row r="6000" spans="1:17" x14ac:dyDescent="0.2">
      <c r="A6000">
        <f>YEAR(D6000)</f>
        <v>2020</v>
      </c>
      <c r="B6000" t="s">
        <v>26</v>
      </c>
      <c r="C6000" s="2" t="s">
        <v>1552</v>
      </c>
      <c r="D6000" s="1">
        <v>44076</v>
      </c>
      <c r="E6000">
        <f>MONTH(D6000)</f>
        <v>9</v>
      </c>
      <c r="F6000" s="2" t="s">
        <v>2098</v>
      </c>
      <c r="G6000" t="s">
        <v>230</v>
      </c>
      <c r="H6000" t="s">
        <v>268</v>
      </c>
      <c r="I6000" t="s">
        <v>22</v>
      </c>
      <c r="J6000" s="2" t="s">
        <v>42</v>
      </c>
      <c r="K6000" s="2" t="s">
        <v>3019</v>
      </c>
      <c r="L6000" t="s">
        <v>25</v>
      </c>
      <c r="M6000" s="8">
        <v>3.5356666670000001</v>
      </c>
      <c r="N6000" t="s">
        <v>26</v>
      </c>
      <c r="O6000" s="8">
        <v>3.5356666670000001</v>
      </c>
      <c r="P6000" s="8">
        <f>EXP(-1.363+3.366*LOG(O6000,10))</f>
        <v>1.6211802664427075</v>
      </c>
      <c r="Q6000" s="8">
        <f>(3738946*100)/3915493</f>
        <v>95.491065875995687</v>
      </c>
    </row>
    <row r="6001" spans="1:17" x14ac:dyDescent="0.2">
      <c r="A6001">
        <f>YEAR(D6001)</f>
        <v>2020</v>
      </c>
      <c r="B6001" t="s">
        <v>26</v>
      </c>
      <c r="C6001" s="2" t="s">
        <v>1552</v>
      </c>
      <c r="D6001" s="1">
        <v>44076</v>
      </c>
      <c r="E6001">
        <f>MONTH(D6001)</f>
        <v>9</v>
      </c>
      <c r="F6001" s="2" t="s">
        <v>2098</v>
      </c>
      <c r="G6001" t="s">
        <v>230</v>
      </c>
      <c r="H6001" t="s">
        <v>268</v>
      </c>
      <c r="I6001" t="s">
        <v>36</v>
      </c>
      <c r="J6001" s="2" t="s">
        <v>42</v>
      </c>
      <c r="K6001" s="2" t="s">
        <v>3019</v>
      </c>
      <c r="L6001" t="s">
        <v>25</v>
      </c>
      <c r="M6001" s="8">
        <v>3.3683333329999998</v>
      </c>
      <c r="N6001" t="s">
        <v>26</v>
      </c>
      <c r="O6001" s="8">
        <v>3.3683333329999998</v>
      </c>
      <c r="P6001" s="8">
        <f>EXP(-1.363+3.366*LOG(O6001,10))</f>
        <v>1.510255893489963</v>
      </c>
      <c r="Q6001" s="8">
        <f>(3738946*100)/3915493</f>
        <v>95.491065875995687</v>
      </c>
    </row>
    <row r="6002" spans="1:17" x14ac:dyDescent="0.2">
      <c r="A6002">
        <f>YEAR(D6002)</f>
        <v>2020</v>
      </c>
      <c r="B6002" t="s">
        <v>26</v>
      </c>
      <c r="C6002" s="2" t="s">
        <v>1552</v>
      </c>
      <c r="D6002" s="1">
        <v>44076</v>
      </c>
      <c r="E6002">
        <f>MONTH(D6002)</f>
        <v>9</v>
      </c>
      <c r="F6002" s="2" t="s">
        <v>19</v>
      </c>
      <c r="G6002" t="s">
        <v>219</v>
      </c>
      <c r="H6002" t="s">
        <v>220</v>
      </c>
      <c r="I6002" t="s">
        <v>22</v>
      </c>
      <c r="J6002" s="2" t="s">
        <v>42</v>
      </c>
      <c r="K6002" s="2" t="s">
        <v>3019</v>
      </c>
      <c r="L6002" t="s">
        <v>25</v>
      </c>
      <c r="M6002" s="10" t="s">
        <v>26</v>
      </c>
      <c r="N6002" t="s">
        <v>26</v>
      </c>
      <c r="O6002" s="10" t="s">
        <v>26</v>
      </c>
      <c r="P6002" s="8" t="s">
        <v>26</v>
      </c>
      <c r="Q6002" s="8">
        <f>(3738946*100)/3915493</f>
        <v>95.491065875995687</v>
      </c>
    </row>
    <row r="6003" spans="1:17" x14ac:dyDescent="0.2">
      <c r="A6003">
        <f>YEAR(D6003)</f>
        <v>2020</v>
      </c>
      <c r="B6003" t="s">
        <v>26</v>
      </c>
      <c r="C6003" s="2" t="s">
        <v>1552</v>
      </c>
      <c r="D6003" s="1">
        <v>44076</v>
      </c>
      <c r="E6003">
        <f>MONTH(D6003)</f>
        <v>9</v>
      </c>
      <c r="F6003" s="2" t="s">
        <v>19</v>
      </c>
      <c r="G6003" t="s">
        <v>219</v>
      </c>
      <c r="H6003" t="s">
        <v>220</v>
      </c>
      <c r="I6003" t="s">
        <v>22</v>
      </c>
      <c r="J6003" s="2" t="s">
        <v>42</v>
      </c>
      <c r="K6003" s="2" t="s">
        <v>3019</v>
      </c>
      <c r="L6003" t="s">
        <v>25</v>
      </c>
      <c r="M6003" s="10" t="s">
        <v>26</v>
      </c>
      <c r="N6003" t="s">
        <v>26</v>
      </c>
      <c r="O6003" s="10" t="s">
        <v>26</v>
      </c>
      <c r="P6003" s="8" t="s">
        <v>26</v>
      </c>
      <c r="Q6003" s="8">
        <f>(3738946*100)/3915493</f>
        <v>95.491065875995687</v>
      </c>
    </row>
    <row r="6004" spans="1:17" x14ac:dyDescent="0.2">
      <c r="A6004">
        <f>YEAR(D6004)</f>
        <v>2020</v>
      </c>
      <c r="B6004" t="s">
        <v>26</v>
      </c>
      <c r="C6004" s="2" t="s">
        <v>1540</v>
      </c>
      <c r="D6004" s="1">
        <v>44076</v>
      </c>
      <c r="E6004">
        <f>MONTH(D6004)</f>
        <v>9</v>
      </c>
      <c r="F6004" s="2" t="s">
        <v>2098</v>
      </c>
      <c r="G6004" t="s">
        <v>352</v>
      </c>
      <c r="H6004" t="s">
        <v>2167</v>
      </c>
      <c r="I6004" t="s">
        <v>36</v>
      </c>
      <c r="J6004" s="2" t="s">
        <v>42</v>
      </c>
      <c r="K6004" s="2" t="s">
        <v>3019</v>
      </c>
      <c r="L6004" t="s">
        <v>25</v>
      </c>
      <c r="M6004" s="8">
        <v>1.121</v>
      </c>
      <c r="N6004" t="s">
        <v>26</v>
      </c>
      <c r="O6004" s="8">
        <v>1.121</v>
      </c>
      <c r="P6004" s="8">
        <f>EXP(-1.363+3.366*LOG(O6004,10))</f>
        <v>0.30239308318454866</v>
      </c>
      <c r="Q6004" s="8">
        <f>(2618262*100)/2995732</f>
        <v>87.399740697766021</v>
      </c>
    </row>
    <row r="6005" spans="1:17" x14ac:dyDescent="0.2">
      <c r="A6005">
        <f>YEAR(D6005)</f>
        <v>2020</v>
      </c>
      <c r="B6005" t="s">
        <v>26</v>
      </c>
      <c r="C6005" s="2" t="s">
        <v>1552</v>
      </c>
      <c r="D6005" s="1">
        <v>44076</v>
      </c>
      <c r="E6005">
        <f>MONTH(D6005)</f>
        <v>9</v>
      </c>
      <c r="F6005" s="2" t="s">
        <v>2098</v>
      </c>
      <c r="G6005" t="s">
        <v>1520</v>
      </c>
      <c r="H6005" t="s">
        <v>1528</v>
      </c>
      <c r="I6005" t="s">
        <v>36</v>
      </c>
      <c r="J6005" s="2" t="s">
        <v>42</v>
      </c>
      <c r="K6005" s="2" t="s">
        <v>3019</v>
      </c>
      <c r="L6005" t="s">
        <v>25</v>
      </c>
      <c r="M6005" s="8">
        <v>3.3860000000000001</v>
      </c>
      <c r="N6005" t="s">
        <v>26</v>
      </c>
      <c r="O6005" s="8">
        <v>3.3860000000000001</v>
      </c>
      <c r="P6005" s="8">
        <f>EXP(-1.363+3.366*LOG(O6005,10))</f>
        <v>1.5218493704875904</v>
      </c>
      <c r="Q6005" s="8">
        <f>(3738946*100)/3915493</f>
        <v>95.491065875995687</v>
      </c>
    </row>
    <row r="6006" spans="1:17" x14ac:dyDescent="0.2">
      <c r="A6006">
        <f>YEAR(D6006)</f>
        <v>2020</v>
      </c>
      <c r="B6006" t="s">
        <v>26</v>
      </c>
      <c r="C6006" s="2" t="s">
        <v>1552</v>
      </c>
      <c r="D6006" s="1">
        <v>44076</v>
      </c>
      <c r="E6006">
        <f>MONTH(D6006)</f>
        <v>9</v>
      </c>
      <c r="F6006" s="2" t="s">
        <v>2098</v>
      </c>
      <c r="G6006" t="s">
        <v>352</v>
      </c>
      <c r="H6006" t="s">
        <v>975</v>
      </c>
      <c r="I6006" t="s">
        <v>36</v>
      </c>
      <c r="J6006" s="2" t="s">
        <v>42</v>
      </c>
      <c r="K6006" s="2" t="s">
        <v>3019</v>
      </c>
      <c r="L6006" t="s">
        <v>25</v>
      </c>
      <c r="M6006" s="8">
        <v>0.95199999999999996</v>
      </c>
      <c r="N6006" t="s">
        <v>26</v>
      </c>
      <c r="O6006" s="8">
        <v>0.95199999999999996</v>
      </c>
      <c r="P6006" s="8">
        <f>EXP(-1.363+3.366*LOG(O6006,10))</f>
        <v>0.23813726407794436</v>
      </c>
      <c r="Q6006" s="8">
        <f>(3738946*100)/3915493</f>
        <v>95.491065875995687</v>
      </c>
    </row>
    <row r="6007" spans="1:17" x14ac:dyDescent="0.2">
      <c r="A6007">
        <f>YEAR(D6007)</f>
        <v>2020</v>
      </c>
      <c r="B6007" t="s">
        <v>26</v>
      </c>
      <c r="C6007" s="2" t="s">
        <v>1552</v>
      </c>
      <c r="D6007" s="1">
        <v>44076</v>
      </c>
      <c r="E6007">
        <f>MONTH(D6007)</f>
        <v>9</v>
      </c>
      <c r="F6007" s="2" t="s">
        <v>2098</v>
      </c>
      <c r="G6007" t="s">
        <v>1520</v>
      </c>
      <c r="H6007" t="s">
        <v>1521</v>
      </c>
      <c r="I6007" t="s">
        <v>22</v>
      </c>
      <c r="J6007" s="2" t="s">
        <v>42</v>
      </c>
      <c r="K6007" s="2" t="s">
        <v>3019</v>
      </c>
      <c r="L6007" t="s">
        <v>25</v>
      </c>
      <c r="M6007" s="8">
        <v>2.952</v>
      </c>
      <c r="N6007" t="s">
        <v>26</v>
      </c>
      <c r="O6007" s="8">
        <v>2.952</v>
      </c>
      <c r="P6007" s="8">
        <f>EXP(-1.363+3.366*LOG(O6007,10))</f>
        <v>1.2453438103764427</v>
      </c>
      <c r="Q6007" s="8">
        <f>(3738946*100)/3915493</f>
        <v>95.491065875995687</v>
      </c>
    </row>
    <row r="6008" spans="1:17" x14ac:dyDescent="0.2">
      <c r="A6008">
        <f>YEAR(D6008)</f>
        <v>2020</v>
      </c>
      <c r="B6008" t="s">
        <v>26</v>
      </c>
      <c r="C6008" s="2" t="s">
        <v>1552</v>
      </c>
      <c r="D6008" s="1">
        <v>44076</v>
      </c>
      <c r="E6008">
        <f>MONTH(D6008)</f>
        <v>9</v>
      </c>
      <c r="F6008" s="2" t="s">
        <v>2098</v>
      </c>
      <c r="G6008" t="s">
        <v>352</v>
      </c>
      <c r="H6008" t="s">
        <v>1344</v>
      </c>
      <c r="I6008" t="s">
        <v>22</v>
      </c>
      <c r="J6008" s="2" t="s">
        <v>42</v>
      </c>
      <c r="K6008" s="2" t="s">
        <v>3019</v>
      </c>
      <c r="L6008" t="s">
        <v>25</v>
      </c>
      <c r="M6008" s="8">
        <v>0.91800000000000004</v>
      </c>
      <c r="N6008" t="s">
        <v>26</v>
      </c>
      <c r="O6008" s="8">
        <v>0.91800000000000004</v>
      </c>
      <c r="P6008" s="8">
        <f>EXP(-1.363+3.366*LOG(O6008,10))</f>
        <v>0.22580769814771504</v>
      </c>
      <c r="Q6008" s="8">
        <f>(3738946*100)/3915493</f>
        <v>95.491065875995687</v>
      </c>
    </row>
    <row r="6009" spans="1:17" x14ac:dyDescent="0.2">
      <c r="A6009">
        <f>YEAR(D6009)</f>
        <v>2020</v>
      </c>
      <c r="B6009" t="s">
        <v>26</v>
      </c>
      <c r="C6009" s="2" t="s">
        <v>1552</v>
      </c>
      <c r="D6009" s="1">
        <v>44076</v>
      </c>
      <c r="E6009">
        <f>MONTH(D6009)</f>
        <v>9</v>
      </c>
      <c r="F6009" s="2" t="s">
        <v>2098</v>
      </c>
      <c r="G6009" t="s">
        <v>362</v>
      </c>
      <c r="H6009" t="s">
        <v>2030</v>
      </c>
      <c r="I6009" t="s">
        <v>22</v>
      </c>
      <c r="J6009" s="2" t="s">
        <v>42</v>
      </c>
      <c r="K6009" s="2" t="s">
        <v>3019</v>
      </c>
      <c r="L6009" t="s">
        <v>25</v>
      </c>
      <c r="M6009" s="8">
        <v>1.4923333329999999</v>
      </c>
      <c r="N6009" t="s">
        <v>26</v>
      </c>
      <c r="O6009" s="8">
        <v>1.4923333329999999</v>
      </c>
      <c r="P6009" s="8">
        <f>EXP(-1.363+3.366*LOG(O6009,10))</f>
        <v>0.45943050733617752</v>
      </c>
      <c r="Q6009" s="8">
        <f>(3738946*100)/3915493</f>
        <v>95.491065875995687</v>
      </c>
    </row>
    <row r="6010" spans="1:17" x14ac:dyDescent="0.2">
      <c r="A6010">
        <f>YEAR(D6010)</f>
        <v>2020</v>
      </c>
      <c r="B6010" t="s">
        <v>26</v>
      </c>
      <c r="C6010" s="2" t="s">
        <v>1552</v>
      </c>
      <c r="D6010" s="1">
        <v>44076</v>
      </c>
      <c r="E6010">
        <f>MONTH(D6010)</f>
        <v>9</v>
      </c>
      <c r="F6010" s="2" t="s">
        <v>2098</v>
      </c>
      <c r="G6010" t="s">
        <v>362</v>
      </c>
      <c r="H6010" t="s">
        <v>447</v>
      </c>
      <c r="I6010" t="s">
        <v>22</v>
      </c>
      <c r="J6010" s="2" t="s">
        <v>42</v>
      </c>
      <c r="K6010" s="2" t="s">
        <v>3019</v>
      </c>
      <c r="L6010" t="s">
        <v>25</v>
      </c>
      <c r="M6010" s="8">
        <v>1.421</v>
      </c>
      <c r="N6010" t="s">
        <v>26</v>
      </c>
      <c r="O6010" s="8">
        <v>1.421</v>
      </c>
      <c r="P6010" s="8">
        <f>EXP(-1.363+3.366*LOG(O6010,10))</f>
        <v>0.42768500084673816</v>
      </c>
      <c r="Q6010" s="8">
        <f>(3738946*100)/3915493</f>
        <v>95.491065875995687</v>
      </c>
    </row>
    <row r="6011" spans="1:17" x14ac:dyDescent="0.2">
      <c r="A6011">
        <f>YEAR(D6011)</f>
        <v>2020</v>
      </c>
      <c r="B6011" t="s">
        <v>26</v>
      </c>
      <c r="C6011" s="2" t="s">
        <v>1552</v>
      </c>
      <c r="D6011" s="1">
        <v>44076</v>
      </c>
      <c r="E6011">
        <f>MONTH(D6011)</f>
        <v>9</v>
      </c>
      <c r="F6011" s="2" t="s">
        <v>2098</v>
      </c>
      <c r="G6011" t="s">
        <v>362</v>
      </c>
      <c r="H6011" t="s">
        <v>2030</v>
      </c>
      <c r="I6011" t="s">
        <v>22</v>
      </c>
      <c r="J6011" s="2" t="s">
        <v>42</v>
      </c>
      <c r="K6011" s="2" t="s">
        <v>3019</v>
      </c>
      <c r="L6011" t="s">
        <v>25</v>
      </c>
      <c r="M6011" s="8">
        <v>1.4923333329999999</v>
      </c>
      <c r="N6011" t="s">
        <v>26</v>
      </c>
      <c r="O6011" s="8">
        <v>1.4923333329999999</v>
      </c>
      <c r="P6011" s="8">
        <f>EXP(-1.363+3.366*LOG(O6011,10))</f>
        <v>0.45943050733617752</v>
      </c>
      <c r="Q6011" s="8">
        <f>(3738946*100)/3915493</f>
        <v>95.491065875995687</v>
      </c>
    </row>
    <row r="6012" spans="1:17" x14ac:dyDescent="0.2">
      <c r="A6012">
        <f>YEAR(D6012)</f>
        <v>2020</v>
      </c>
      <c r="B6012" t="s">
        <v>26</v>
      </c>
      <c r="C6012" s="2" t="s">
        <v>1552</v>
      </c>
      <c r="D6012" s="1">
        <v>44076</v>
      </c>
      <c r="E6012">
        <f>MONTH(D6012)</f>
        <v>9</v>
      </c>
      <c r="F6012" s="2" t="s">
        <v>2098</v>
      </c>
      <c r="G6012" t="s">
        <v>362</v>
      </c>
      <c r="H6012" t="s">
        <v>2030</v>
      </c>
      <c r="I6012" t="s">
        <v>22</v>
      </c>
      <c r="J6012" s="2" t="s">
        <v>42</v>
      </c>
      <c r="K6012" s="2" t="s">
        <v>3019</v>
      </c>
      <c r="L6012" t="s">
        <v>25</v>
      </c>
      <c r="M6012" s="8">
        <v>1.4923333329999999</v>
      </c>
      <c r="N6012" t="s">
        <v>26</v>
      </c>
      <c r="O6012" s="8">
        <v>1.4923333329999999</v>
      </c>
      <c r="P6012" s="8">
        <f>EXP(-1.363+3.366*LOG(O6012,10))</f>
        <v>0.45943050733617752</v>
      </c>
      <c r="Q6012" s="8">
        <f>(3738946*100)/3915493</f>
        <v>95.491065875995687</v>
      </c>
    </row>
    <row r="6013" spans="1:17" x14ac:dyDescent="0.2">
      <c r="A6013">
        <f>YEAR(D6013)</f>
        <v>2020</v>
      </c>
      <c r="B6013" t="s">
        <v>26</v>
      </c>
      <c r="C6013" s="2" t="s">
        <v>50</v>
      </c>
      <c r="D6013" s="1">
        <v>44077</v>
      </c>
      <c r="E6013">
        <f>MONTH(D6013)</f>
        <v>9</v>
      </c>
      <c r="F6013" s="2" t="s">
        <v>2098</v>
      </c>
      <c r="G6013" t="s">
        <v>230</v>
      </c>
      <c r="H6013" t="s">
        <v>268</v>
      </c>
      <c r="I6013" t="s">
        <v>22</v>
      </c>
      <c r="J6013" s="2" t="s">
        <v>42</v>
      </c>
      <c r="K6013" s="2" t="s">
        <v>3019</v>
      </c>
      <c r="L6013" t="s">
        <v>25</v>
      </c>
      <c r="M6013" s="8">
        <v>3.5356666670000001</v>
      </c>
      <c r="N6013" t="s">
        <v>26</v>
      </c>
      <c r="O6013" s="8">
        <v>3.5356666670000001</v>
      </c>
      <c r="P6013" s="8">
        <f>EXP(-1.363+3.366*LOG(O6013,10))</f>
        <v>1.6211802664427075</v>
      </c>
      <c r="Q6013" s="8">
        <f>(4488342*100)/4914798</f>
        <v>91.323020803703429</v>
      </c>
    </row>
    <row r="6014" spans="1:17" x14ac:dyDescent="0.2">
      <c r="A6014">
        <f>YEAR(D6014)</f>
        <v>2020</v>
      </c>
      <c r="B6014" t="s">
        <v>26</v>
      </c>
      <c r="C6014" s="2" t="s">
        <v>50</v>
      </c>
      <c r="D6014" s="1">
        <v>44077</v>
      </c>
      <c r="E6014">
        <f>MONTH(D6014)</f>
        <v>9</v>
      </c>
      <c r="F6014" s="2" t="s">
        <v>2098</v>
      </c>
      <c r="G6014" t="s">
        <v>219</v>
      </c>
      <c r="H6014" t="s">
        <v>220</v>
      </c>
      <c r="I6014" t="s">
        <v>22</v>
      </c>
      <c r="J6014" s="2" t="s">
        <v>42</v>
      </c>
      <c r="K6014" s="2" t="s">
        <v>3019</v>
      </c>
      <c r="L6014" t="s">
        <v>25</v>
      </c>
      <c r="M6014" s="10" t="s">
        <v>26</v>
      </c>
      <c r="N6014" t="s">
        <v>26</v>
      </c>
      <c r="O6014" s="10" t="s">
        <v>26</v>
      </c>
      <c r="P6014" s="8" t="s">
        <v>26</v>
      </c>
      <c r="Q6014" s="8">
        <f>(4488342*100)/4914798</f>
        <v>91.323020803703429</v>
      </c>
    </row>
    <row r="6015" spans="1:17" x14ac:dyDescent="0.2">
      <c r="A6015">
        <f>YEAR(D6015)</f>
        <v>2020</v>
      </c>
      <c r="B6015" t="s">
        <v>26</v>
      </c>
      <c r="C6015" s="2" t="s">
        <v>50</v>
      </c>
      <c r="D6015" s="1">
        <v>44077</v>
      </c>
      <c r="E6015">
        <f>MONTH(D6015)</f>
        <v>9</v>
      </c>
      <c r="F6015" s="2" t="s">
        <v>2098</v>
      </c>
      <c r="G6015" t="s">
        <v>219</v>
      </c>
      <c r="H6015" t="s">
        <v>220</v>
      </c>
      <c r="I6015" t="s">
        <v>22</v>
      </c>
      <c r="J6015" s="2" t="s">
        <v>42</v>
      </c>
      <c r="K6015" s="2" t="s">
        <v>3019</v>
      </c>
      <c r="L6015" t="s">
        <v>25</v>
      </c>
      <c r="M6015" s="10" t="s">
        <v>26</v>
      </c>
      <c r="N6015" t="s">
        <v>26</v>
      </c>
      <c r="O6015" s="10" t="s">
        <v>26</v>
      </c>
      <c r="P6015" s="8" t="s">
        <v>26</v>
      </c>
      <c r="Q6015" s="8">
        <f>(4488342*100)/4914798</f>
        <v>91.323020803703429</v>
      </c>
    </row>
    <row r="6016" spans="1:17" x14ac:dyDescent="0.2">
      <c r="A6016">
        <f>YEAR(D6016)</f>
        <v>2020</v>
      </c>
      <c r="B6016" t="s">
        <v>26</v>
      </c>
      <c r="C6016" s="2" t="s">
        <v>50</v>
      </c>
      <c r="D6016" s="1">
        <v>44077</v>
      </c>
      <c r="E6016">
        <f>MONTH(D6016)</f>
        <v>9</v>
      </c>
      <c r="F6016" s="2" t="s">
        <v>2098</v>
      </c>
      <c r="G6016" t="s">
        <v>230</v>
      </c>
      <c r="H6016" t="s">
        <v>268</v>
      </c>
      <c r="I6016" t="s">
        <v>22</v>
      </c>
      <c r="J6016" s="2" t="s">
        <v>42</v>
      </c>
      <c r="K6016" s="2" t="s">
        <v>3019</v>
      </c>
      <c r="L6016" t="s">
        <v>25</v>
      </c>
      <c r="M6016" s="8">
        <v>3.5356666670000001</v>
      </c>
      <c r="N6016" t="s">
        <v>26</v>
      </c>
      <c r="O6016" s="8">
        <v>3.5356666670000001</v>
      </c>
      <c r="P6016" s="8">
        <f>EXP(-1.363+3.366*LOG(O6016,10))</f>
        <v>1.6211802664427075</v>
      </c>
      <c r="Q6016" s="8">
        <f>(4488342*100)/4914798</f>
        <v>91.323020803703429</v>
      </c>
    </row>
    <row r="6017" spans="1:17" x14ac:dyDescent="0.2">
      <c r="A6017">
        <f>YEAR(D6017)</f>
        <v>2020</v>
      </c>
      <c r="B6017" t="s">
        <v>26</v>
      </c>
      <c r="C6017" s="2" t="s">
        <v>50</v>
      </c>
      <c r="D6017" s="1">
        <v>44077</v>
      </c>
      <c r="E6017">
        <f>MONTH(D6017)</f>
        <v>9</v>
      </c>
      <c r="F6017" s="2" t="s">
        <v>2098</v>
      </c>
      <c r="G6017" t="s">
        <v>230</v>
      </c>
      <c r="H6017" t="s">
        <v>268</v>
      </c>
      <c r="I6017" t="s">
        <v>36</v>
      </c>
      <c r="J6017" s="2" t="s">
        <v>42</v>
      </c>
      <c r="K6017" s="2" t="s">
        <v>3019</v>
      </c>
      <c r="L6017" t="s">
        <v>25</v>
      </c>
      <c r="M6017" s="8">
        <v>3.3683333329999998</v>
      </c>
      <c r="N6017" t="s">
        <v>26</v>
      </c>
      <c r="O6017" s="8">
        <v>3.3683333329999998</v>
      </c>
      <c r="P6017" s="8">
        <f>EXP(-1.363+3.366*LOG(O6017,10))</f>
        <v>1.510255893489963</v>
      </c>
      <c r="Q6017" s="8">
        <f>(4488342*100)/4914798</f>
        <v>91.323020803703429</v>
      </c>
    </row>
    <row r="6018" spans="1:17" x14ac:dyDescent="0.2">
      <c r="A6018">
        <f>YEAR(D6018)</f>
        <v>2020</v>
      </c>
      <c r="B6018" t="s">
        <v>26</v>
      </c>
      <c r="C6018" s="2" t="s">
        <v>50</v>
      </c>
      <c r="D6018" s="1">
        <v>44077</v>
      </c>
      <c r="E6018">
        <f>MONTH(D6018)</f>
        <v>9</v>
      </c>
      <c r="F6018" s="2" t="s">
        <v>2098</v>
      </c>
      <c r="G6018" t="s">
        <v>219</v>
      </c>
      <c r="H6018" t="s">
        <v>220</v>
      </c>
      <c r="I6018" t="s">
        <v>22</v>
      </c>
      <c r="J6018" s="2" t="s">
        <v>42</v>
      </c>
      <c r="K6018" s="2" t="s">
        <v>3019</v>
      </c>
      <c r="L6018" t="s">
        <v>25</v>
      </c>
      <c r="M6018" s="10" t="s">
        <v>26</v>
      </c>
      <c r="N6018" t="s">
        <v>26</v>
      </c>
      <c r="O6018" s="10" t="s">
        <v>26</v>
      </c>
      <c r="P6018" s="8" t="s">
        <v>26</v>
      </c>
      <c r="Q6018" s="8">
        <f>(4488342*100)/4914798</f>
        <v>91.323020803703429</v>
      </c>
    </row>
    <row r="6019" spans="1:17" x14ac:dyDescent="0.2">
      <c r="A6019">
        <f>YEAR(D6019)</f>
        <v>2020</v>
      </c>
      <c r="B6019" t="s">
        <v>26</v>
      </c>
      <c r="C6019" s="2" t="s">
        <v>50</v>
      </c>
      <c r="D6019" s="1">
        <v>44077</v>
      </c>
      <c r="E6019">
        <f>MONTH(D6019)</f>
        <v>9</v>
      </c>
      <c r="F6019" s="2" t="s">
        <v>2098</v>
      </c>
      <c r="G6019" t="s">
        <v>219</v>
      </c>
      <c r="H6019" t="s">
        <v>220</v>
      </c>
      <c r="I6019" t="s">
        <v>22</v>
      </c>
      <c r="J6019" s="2" t="s">
        <v>42</v>
      </c>
      <c r="K6019" s="2" t="s">
        <v>3019</v>
      </c>
      <c r="L6019" t="s">
        <v>25</v>
      </c>
      <c r="M6019" s="10" t="s">
        <v>26</v>
      </c>
      <c r="N6019" t="s">
        <v>26</v>
      </c>
      <c r="O6019" s="10" t="s">
        <v>26</v>
      </c>
      <c r="P6019" s="8" t="s">
        <v>26</v>
      </c>
      <c r="Q6019" s="8">
        <f>(4488342*100)/4914798</f>
        <v>91.323020803703429</v>
      </c>
    </row>
    <row r="6020" spans="1:17" x14ac:dyDescent="0.2">
      <c r="A6020">
        <f>YEAR(D6020)</f>
        <v>2020</v>
      </c>
      <c r="B6020" t="s">
        <v>26</v>
      </c>
      <c r="C6020" s="2" t="s">
        <v>50</v>
      </c>
      <c r="D6020" s="1">
        <v>44077</v>
      </c>
      <c r="E6020">
        <f>MONTH(D6020)</f>
        <v>9</v>
      </c>
      <c r="F6020" s="2" t="s">
        <v>2098</v>
      </c>
      <c r="G6020" t="s">
        <v>230</v>
      </c>
      <c r="H6020" t="s">
        <v>235</v>
      </c>
      <c r="I6020" t="s">
        <v>22</v>
      </c>
      <c r="J6020" s="2" t="s">
        <v>42</v>
      </c>
      <c r="K6020" s="2" t="s">
        <v>3019</v>
      </c>
      <c r="L6020" t="s">
        <v>25</v>
      </c>
      <c r="M6020" s="8">
        <v>3.4609999999999999</v>
      </c>
      <c r="N6020" t="s">
        <v>26</v>
      </c>
      <c r="O6020" s="8">
        <v>3.4609999999999999</v>
      </c>
      <c r="P6020" s="8">
        <f>EXP(-1.363+3.366*LOG(O6020,10))</f>
        <v>1.5713774371592206</v>
      </c>
      <c r="Q6020" s="8">
        <f>(4488342*100)/4914798</f>
        <v>91.323020803703429</v>
      </c>
    </row>
    <row r="6021" spans="1:17" x14ac:dyDescent="0.2">
      <c r="A6021">
        <f>YEAR(D6021)</f>
        <v>2020</v>
      </c>
      <c r="B6021" t="s">
        <v>26</v>
      </c>
      <c r="C6021" s="2" t="s">
        <v>50</v>
      </c>
      <c r="D6021" s="1">
        <v>44077</v>
      </c>
      <c r="E6021">
        <f>MONTH(D6021)</f>
        <v>9</v>
      </c>
      <c r="F6021" s="2" t="s">
        <v>2098</v>
      </c>
      <c r="G6021" t="s">
        <v>219</v>
      </c>
      <c r="H6021" t="s">
        <v>220</v>
      </c>
      <c r="I6021" t="s">
        <v>22</v>
      </c>
      <c r="J6021" s="2" t="s">
        <v>42</v>
      </c>
      <c r="K6021" s="2" t="s">
        <v>3019</v>
      </c>
      <c r="L6021" t="s">
        <v>25</v>
      </c>
      <c r="M6021" s="10" t="s">
        <v>26</v>
      </c>
      <c r="N6021" t="s">
        <v>26</v>
      </c>
      <c r="O6021" s="10" t="s">
        <v>26</v>
      </c>
      <c r="P6021" s="8" t="s">
        <v>26</v>
      </c>
      <c r="Q6021" s="8">
        <f>(4488342*100)/4914798</f>
        <v>91.323020803703429</v>
      </c>
    </row>
    <row r="6022" spans="1:17" x14ac:dyDescent="0.2">
      <c r="A6022">
        <f>YEAR(D6022)</f>
        <v>2020</v>
      </c>
      <c r="B6022" t="s">
        <v>26</v>
      </c>
      <c r="C6022" s="2" t="s">
        <v>50</v>
      </c>
      <c r="D6022" s="1">
        <v>44077</v>
      </c>
      <c r="E6022">
        <f>MONTH(D6022)</f>
        <v>9</v>
      </c>
      <c r="F6022" s="2" t="s">
        <v>2098</v>
      </c>
      <c r="G6022" t="s">
        <v>219</v>
      </c>
      <c r="H6022" t="s">
        <v>220</v>
      </c>
      <c r="I6022" t="s">
        <v>22</v>
      </c>
      <c r="J6022" s="2" t="s">
        <v>42</v>
      </c>
      <c r="K6022" s="2" t="s">
        <v>3019</v>
      </c>
      <c r="L6022" t="s">
        <v>25</v>
      </c>
      <c r="M6022" s="10" t="s">
        <v>26</v>
      </c>
      <c r="N6022" t="s">
        <v>26</v>
      </c>
      <c r="O6022" s="10" t="s">
        <v>26</v>
      </c>
      <c r="P6022" s="8" t="s">
        <v>26</v>
      </c>
      <c r="Q6022" s="8">
        <f>(4488342*100)/4914798</f>
        <v>91.323020803703429</v>
      </c>
    </row>
    <row r="6023" spans="1:17" x14ac:dyDescent="0.2">
      <c r="A6023">
        <f>YEAR(D6023)</f>
        <v>2020</v>
      </c>
      <c r="B6023" t="s">
        <v>26</v>
      </c>
      <c r="C6023" s="2" t="s">
        <v>50</v>
      </c>
      <c r="D6023" s="1">
        <v>44077</v>
      </c>
      <c r="E6023">
        <f>MONTH(D6023)</f>
        <v>9</v>
      </c>
      <c r="F6023" s="2" t="s">
        <v>2098</v>
      </c>
      <c r="G6023" t="s">
        <v>219</v>
      </c>
      <c r="H6023" t="s">
        <v>220</v>
      </c>
      <c r="I6023" t="s">
        <v>22</v>
      </c>
      <c r="J6023" s="2" t="s">
        <v>42</v>
      </c>
      <c r="K6023" s="2" t="s">
        <v>3019</v>
      </c>
      <c r="L6023" t="s">
        <v>25</v>
      </c>
      <c r="M6023" s="10" t="s">
        <v>26</v>
      </c>
      <c r="N6023" t="s">
        <v>26</v>
      </c>
      <c r="O6023" s="10" t="s">
        <v>26</v>
      </c>
      <c r="P6023" s="8" t="s">
        <v>26</v>
      </c>
      <c r="Q6023" s="8">
        <f>(4488342*100)/4914798</f>
        <v>91.323020803703429</v>
      </c>
    </row>
    <row r="6024" spans="1:17" x14ac:dyDescent="0.2">
      <c r="A6024">
        <f>YEAR(D6024)</f>
        <v>2020</v>
      </c>
      <c r="B6024" t="s">
        <v>26</v>
      </c>
      <c r="C6024" s="2" t="s">
        <v>50</v>
      </c>
      <c r="D6024" s="1">
        <v>44077</v>
      </c>
      <c r="E6024">
        <f>MONTH(D6024)</f>
        <v>9</v>
      </c>
      <c r="F6024" s="2" t="s">
        <v>2098</v>
      </c>
      <c r="G6024" t="s">
        <v>230</v>
      </c>
      <c r="H6024" t="s">
        <v>268</v>
      </c>
      <c r="I6024" t="s">
        <v>22</v>
      </c>
      <c r="J6024" s="2" t="s">
        <v>42</v>
      </c>
      <c r="K6024" s="2" t="s">
        <v>3019</v>
      </c>
      <c r="L6024" t="s">
        <v>25</v>
      </c>
      <c r="M6024" s="8">
        <v>3.5356666670000001</v>
      </c>
      <c r="N6024" t="s">
        <v>26</v>
      </c>
      <c r="O6024" s="8">
        <v>3.5356666670000001</v>
      </c>
      <c r="P6024" s="8">
        <f>EXP(-1.363+3.366*LOG(O6024,10))</f>
        <v>1.6211802664427075</v>
      </c>
      <c r="Q6024" s="8">
        <f>(4488342*100)/4914798</f>
        <v>91.323020803703429</v>
      </c>
    </row>
    <row r="6025" spans="1:17" x14ac:dyDescent="0.2">
      <c r="A6025">
        <f>YEAR(D6025)</f>
        <v>2020</v>
      </c>
      <c r="B6025" t="s">
        <v>26</v>
      </c>
      <c r="C6025" s="2" t="s">
        <v>50</v>
      </c>
      <c r="D6025" s="1">
        <v>44077</v>
      </c>
      <c r="E6025">
        <f>MONTH(D6025)</f>
        <v>9</v>
      </c>
      <c r="F6025" s="2" t="s">
        <v>2098</v>
      </c>
      <c r="G6025" t="s">
        <v>2206</v>
      </c>
      <c r="H6025" t="s">
        <v>2207</v>
      </c>
      <c r="I6025" t="s">
        <v>22</v>
      </c>
      <c r="J6025" s="2" t="s">
        <v>42</v>
      </c>
      <c r="K6025" s="2" t="s">
        <v>3019</v>
      </c>
      <c r="L6025" t="s">
        <v>25</v>
      </c>
      <c r="M6025" s="8">
        <v>3.249333333</v>
      </c>
      <c r="N6025" t="s">
        <v>26</v>
      </c>
      <c r="O6025" s="8">
        <v>3.249333333</v>
      </c>
      <c r="P6025" s="8">
        <f>EXP(-1.363+3.366*LOG(O6025,10))</f>
        <v>1.4328987616438449</v>
      </c>
      <c r="Q6025" s="8">
        <f>(4488342*100)/4914798</f>
        <v>91.323020803703429</v>
      </c>
    </row>
    <row r="6026" spans="1:17" x14ac:dyDescent="0.2">
      <c r="A6026">
        <f>YEAR(D6026)</f>
        <v>2020</v>
      </c>
      <c r="B6026" t="s">
        <v>26</v>
      </c>
      <c r="C6026" s="2" t="s">
        <v>50</v>
      </c>
      <c r="D6026" s="1">
        <v>44077</v>
      </c>
      <c r="E6026">
        <f>MONTH(D6026)</f>
        <v>9</v>
      </c>
      <c r="F6026" s="2" t="s">
        <v>2098</v>
      </c>
      <c r="G6026" t="s">
        <v>1520</v>
      </c>
      <c r="H6026" t="s">
        <v>1521</v>
      </c>
      <c r="I6026" t="s">
        <v>22</v>
      </c>
      <c r="J6026" s="2" t="s">
        <v>42</v>
      </c>
      <c r="K6026" s="2" t="s">
        <v>3019</v>
      </c>
      <c r="L6026" t="s">
        <v>25</v>
      </c>
      <c r="M6026" s="8">
        <v>2.952</v>
      </c>
      <c r="N6026" t="s">
        <v>26</v>
      </c>
      <c r="O6026" s="8">
        <v>2.952</v>
      </c>
      <c r="P6026" s="8">
        <f>EXP(-1.363+3.366*LOG(O6026,10))</f>
        <v>1.2453438103764427</v>
      </c>
      <c r="Q6026" s="8">
        <f>(4488342*100)/4914798</f>
        <v>91.323020803703429</v>
      </c>
    </row>
    <row r="6027" spans="1:17" x14ac:dyDescent="0.2">
      <c r="A6027">
        <f>YEAR(D6027)</f>
        <v>2020</v>
      </c>
      <c r="B6027" t="s">
        <v>26</v>
      </c>
      <c r="C6027" s="2" t="s">
        <v>50</v>
      </c>
      <c r="D6027" s="1">
        <v>44077</v>
      </c>
      <c r="E6027">
        <f>MONTH(D6027)</f>
        <v>9</v>
      </c>
      <c r="F6027" s="2" t="s">
        <v>2098</v>
      </c>
      <c r="G6027" t="s">
        <v>362</v>
      </c>
      <c r="H6027" t="s">
        <v>393</v>
      </c>
      <c r="I6027" t="s">
        <v>36</v>
      </c>
      <c r="J6027" s="2" t="s">
        <v>42</v>
      </c>
      <c r="K6027" s="2" t="s">
        <v>3019</v>
      </c>
      <c r="L6027" t="s">
        <v>25</v>
      </c>
      <c r="M6027" s="8">
        <v>2.2189999999999999</v>
      </c>
      <c r="N6027" t="s">
        <v>26</v>
      </c>
      <c r="O6027" s="8">
        <v>2.2189999999999999</v>
      </c>
      <c r="P6027" s="8">
        <f>EXP(-1.363+3.366*LOG(O6027,10))</f>
        <v>0.82050561861036375</v>
      </c>
      <c r="Q6027" s="8">
        <f>(4488342*100)/4914798</f>
        <v>91.323020803703429</v>
      </c>
    </row>
    <row r="6028" spans="1:17" x14ac:dyDescent="0.2">
      <c r="A6028">
        <f>YEAR(D6028)</f>
        <v>2020</v>
      </c>
      <c r="B6028" t="s">
        <v>26</v>
      </c>
      <c r="C6028" s="2" t="s">
        <v>50</v>
      </c>
      <c r="D6028" s="1">
        <v>44077</v>
      </c>
      <c r="E6028">
        <f>MONTH(D6028)</f>
        <v>9</v>
      </c>
      <c r="F6028" s="2" t="s">
        <v>2098</v>
      </c>
      <c r="G6028" t="s">
        <v>362</v>
      </c>
      <c r="H6028" t="s">
        <v>393</v>
      </c>
      <c r="I6028" t="s">
        <v>36</v>
      </c>
      <c r="J6028" s="2" t="s">
        <v>42</v>
      </c>
      <c r="K6028" s="2" t="s">
        <v>3019</v>
      </c>
      <c r="L6028" t="s">
        <v>25</v>
      </c>
      <c r="M6028" s="8">
        <v>2.2189999999999999</v>
      </c>
      <c r="N6028" t="s">
        <v>26</v>
      </c>
      <c r="O6028" s="8">
        <v>2.2189999999999999</v>
      </c>
      <c r="P6028" s="8">
        <f>EXP(-1.363+3.366*LOG(O6028,10))</f>
        <v>0.82050561861036375</v>
      </c>
      <c r="Q6028" s="8">
        <f>(4488342*100)/4914798</f>
        <v>91.323020803703429</v>
      </c>
    </row>
    <row r="6029" spans="1:17" x14ac:dyDescent="0.2">
      <c r="A6029">
        <f>YEAR(D6029)</f>
        <v>2020</v>
      </c>
      <c r="B6029" t="s">
        <v>26</v>
      </c>
      <c r="C6029" s="2" t="s">
        <v>3021</v>
      </c>
      <c r="D6029" s="1">
        <v>44078</v>
      </c>
      <c r="E6029">
        <f>MONTH(D6029)</f>
        <v>9</v>
      </c>
      <c r="F6029" s="2" t="s">
        <v>2098</v>
      </c>
      <c r="G6029" t="s">
        <v>230</v>
      </c>
      <c r="H6029" t="s">
        <v>268</v>
      </c>
      <c r="I6029" t="s">
        <v>22</v>
      </c>
      <c r="J6029" s="2" t="s">
        <v>42</v>
      </c>
      <c r="K6029" s="2" t="s">
        <v>3019</v>
      </c>
      <c r="L6029" t="s">
        <v>25</v>
      </c>
      <c r="M6029" s="8">
        <v>3.5356666670000001</v>
      </c>
      <c r="N6029" t="s">
        <v>26</v>
      </c>
      <c r="O6029" s="8">
        <v>3.5356666670000001</v>
      </c>
      <c r="P6029" s="8">
        <f>EXP(-1.363+3.366*LOG(O6029,10))</f>
        <v>1.6211802664427075</v>
      </c>
      <c r="Q6029" s="8">
        <f>(1845879*100)/1946364</f>
        <v>94.837296620775973</v>
      </c>
    </row>
    <row r="6030" spans="1:17" x14ac:dyDescent="0.2">
      <c r="A6030">
        <f>YEAR(D6030)</f>
        <v>2020</v>
      </c>
      <c r="B6030" t="s">
        <v>26</v>
      </c>
      <c r="C6030" s="2" t="s">
        <v>3021</v>
      </c>
      <c r="D6030" s="1">
        <v>44078</v>
      </c>
      <c r="E6030">
        <f>MONTH(D6030)</f>
        <v>9</v>
      </c>
      <c r="F6030" s="2" t="s">
        <v>2098</v>
      </c>
      <c r="G6030" t="s">
        <v>230</v>
      </c>
      <c r="H6030" t="s">
        <v>268</v>
      </c>
      <c r="I6030" t="s">
        <v>22</v>
      </c>
      <c r="J6030" s="2" t="s">
        <v>42</v>
      </c>
      <c r="K6030" s="2" t="s">
        <v>3019</v>
      </c>
      <c r="L6030" t="s">
        <v>25</v>
      </c>
      <c r="M6030" s="8">
        <v>3.5356666670000001</v>
      </c>
      <c r="N6030" t="s">
        <v>26</v>
      </c>
      <c r="O6030" s="8">
        <v>3.5356666670000001</v>
      </c>
      <c r="P6030" s="8">
        <f>EXP(-1.363+3.366*LOG(O6030,10))</f>
        <v>1.6211802664427075</v>
      </c>
      <c r="Q6030" s="8">
        <f>(1845879*100)/1946364</f>
        <v>94.837296620775973</v>
      </c>
    </row>
    <row r="6031" spans="1:17" x14ac:dyDescent="0.2">
      <c r="A6031">
        <f>YEAR(D6031)</f>
        <v>2020</v>
      </c>
      <c r="B6031" t="s">
        <v>26</v>
      </c>
      <c r="C6031" s="2" t="s">
        <v>3020</v>
      </c>
      <c r="D6031" s="1">
        <v>44078</v>
      </c>
      <c r="E6031">
        <f>MONTH(D6031)</f>
        <v>9</v>
      </c>
      <c r="F6031" s="2" t="s">
        <v>2098</v>
      </c>
      <c r="G6031" t="s">
        <v>230</v>
      </c>
      <c r="H6031" t="s">
        <v>268</v>
      </c>
      <c r="I6031" t="s">
        <v>22</v>
      </c>
      <c r="J6031" s="2" t="s">
        <v>42</v>
      </c>
      <c r="K6031" s="2" t="s">
        <v>3019</v>
      </c>
      <c r="L6031" t="s">
        <v>25</v>
      </c>
      <c r="M6031" s="8">
        <v>3.5356666670000001</v>
      </c>
      <c r="N6031" t="s">
        <v>26</v>
      </c>
      <c r="O6031" s="8">
        <v>3.5356666670000001</v>
      </c>
      <c r="P6031" s="8">
        <f>EXP(-1.363+3.366*LOG(O6031,10))</f>
        <v>1.6211802664427075</v>
      </c>
      <c r="Q6031" s="8">
        <f>(3359412*100)/3462762</f>
        <v>97.015388294084318</v>
      </c>
    </row>
    <row r="6032" spans="1:17" x14ac:dyDescent="0.2">
      <c r="A6032">
        <f>YEAR(D6032)</f>
        <v>2020</v>
      </c>
      <c r="B6032" t="s">
        <v>26</v>
      </c>
      <c r="C6032" s="2" t="s">
        <v>3020</v>
      </c>
      <c r="D6032" s="1">
        <v>44078</v>
      </c>
      <c r="E6032">
        <f>MONTH(D6032)</f>
        <v>9</v>
      </c>
      <c r="F6032" s="2" t="s">
        <v>2098</v>
      </c>
      <c r="G6032" t="s">
        <v>230</v>
      </c>
      <c r="H6032" t="s">
        <v>268</v>
      </c>
      <c r="I6032" t="s">
        <v>22</v>
      </c>
      <c r="J6032" s="2" t="s">
        <v>42</v>
      </c>
      <c r="K6032" s="2" t="s">
        <v>3019</v>
      </c>
      <c r="L6032" t="s">
        <v>25</v>
      </c>
      <c r="M6032" s="8">
        <v>3.5356666670000001</v>
      </c>
      <c r="N6032" t="s">
        <v>26</v>
      </c>
      <c r="O6032" s="8">
        <v>3.5356666670000001</v>
      </c>
      <c r="P6032" s="8">
        <f>EXP(-1.363+3.366*LOG(O6032,10))</f>
        <v>1.6211802664427075</v>
      </c>
      <c r="Q6032" s="8">
        <f>(3359412*100)/3462762</f>
        <v>97.015388294084318</v>
      </c>
    </row>
    <row r="6033" spans="1:17" x14ac:dyDescent="0.2">
      <c r="A6033">
        <f>YEAR(D6033)</f>
        <v>2020</v>
      </c>
      <c r="B6033" t="s">
        <v>26</v>
      </c>
      <c r="C6033" s="2" t="s">
        <v>3020</v>
      </c>
      <c r="D6033" s="1">
        <v>44078</v>
      </c>
      <c r="E6033">
        <f>MONTH(D6033)</f>
        <v>9</v>
      </c>
      <c r="F6033" s="2" t="s">
        <v>2098</v>
      </c>
      <c r="G6033" t="s">
        <v>230</v>
      </c>
      <c r="H6033" t="s">
        <v>268</v>
      </c>
      <c r="I6033" t="s">
        <v>22</v>
      </c>
      <c r="J6033" s="2" t="s">
        <v>42</v>
      </c>
      <c r="K6033" s="2" t="s">
        <v>3019</v>
      </c>
      <c r="L6033" t="s">
        <v>25</v>
      </c>
      <c r="M6033" s="8">
        <v>3.5356666670000001</v>
      </c>
      <c r="N6033" t="s">
        <v>26</v>
      </c>
      <c r="O6033" s="8">
        <v>3.5356666670000001</v>
      </c>
      <c r="P6033" s="8">
        <f>EXP(-1.363+3.366*LOG(O6033,10))</f>
        <v>1.6211802664427075</v>
      </c>
      <c r="Q6033" s="8">
        <f>(3359412*100)/3462762</f>
        <v>97.015388294084318</v>
      </c>
    </row>
    <row r="6034" spans="1:17" x14ac:dyDescent="0.2">
      <c r="A6034">
        <f>YEAR(D6034)</f>
        <v>2020</v>
      </c>
      <c r="B6034" t="s">
        <v>26</v>
      </c>
      <c r="C6034" s="2" t="s">
        <v>3020</v>
      </c>
      <c r="D6034" s="1">
        <v>44078</v>
      </c>
      <c r="E6034">
        <f>MONTH(D6034)</f>
        <v>9</v>
      </c>
      <c r="F6034" s="2" t="s">
        <v>2098</v>
      </c>
      <c r="G6034" t="s">
        <v>230</v>
      </c>
      <c r="H6034" t="s">
        <v>268</v>
      </c>
      <c r="I6034" t="s">
        <v>22</v>
      </c>
      <c r="J6034" s="2" t="s">
        <v>42</v>
      </c>
      <c r="K6034" s="2" t="s">
        <v>3019</v>
      </c>
      <c r="L6034" t="s">
        <v>25</v>
      </c>
      <c r="M6034" s="8">
        <v>3.5356666670000001</v>
      </c>
      <c r="N6034" t="s">
        <v>26</v>
      </c>
      <c r="O6034" s="8">
        <v>3.5356666670000001</v>
      </c>
      <c r="P6034" s="8">
        <f>EXP(-1.363+3.366*LOG(O6034,10))</f>
        <v>1.6211802664427075</v>
      </c>
      <c r="Q6034" s="8">
        <f>(3359412*100)/3462762</f>
        <v>97.015388294084318</v>
      </c>
    </row>
    <row r="6035" spans="1:17" x14ac:dyDescent="0.2">
      <c r="A6035">
        <f>YEAR(D6035)</f>
        <v>2020</v>
      </c>
      <c r="B6035" t="s">
        <v>26</v>
      </c>
      <c r="C6035" s="2" t="s">
        <v>3020</v>
      </c>
      <c r="D6035" s="1">
        <v>44078</v>
      </c>
      <c r="E6035">
        <f>MONTH(D6035)</f>
        <v>9</v>
      </c>
      <c r="F6035" s="2" t="s">
        <v>2098</v>
      </c>
      <c r="G6035" t="s">
        <v>219</v>
      </c>
      <c r="H6035" t="s">
        <v>220</v>
      </c>
      <c r="I6035" t="s">
        <v>22</v>
      </c>
      <c r="J6035" s="2" t="s">
        <v>42</v>
      </c>
      <c r="K6035" s="2" t="s">
        <v>3019</v>
      </c>
      <c r="L6035" t="s">
        <v>25</v>
      </c>
      <c r="M6035" s="10" t="s">
        <v>26</v>
      </c>
      <c r="N6035" t="s">
        <v>26</v>
      </c>
      <c r="O6035" s="10" t="s">
        <v>26</v>
      </c>
      <c r="P6035" s="8" t="s">
        <v>26</v>
      </c>
      <c r="Q6035" s="8">
        <f>(3359412*100)/3462762</f>
        <v>97.015388294084318</v>
      </c>
    </row>
    <row r="6036" spans="1:17" x14ac:dyDescent="0.2">
      <c r="A6036">
        <f>YEAR(D6036)</f>
        <v>2020</v>
      </c>
      <c r="B6036" t="s">
        <v>26</v>
      </c>
      <c r="C6036" s="2" t="s">
        <v>3020</v>
      </c>
      <c r="D6036" s="1">
        <v>44078</v>
      </c>
      <c r="E6036">
        <f>MONTH(D6036)</f>
        <v>9</v>
      </c>
      <c r="F6036" s="2" t="s">
        <v>2098</v>
      </c>
      <c r="G6036" t="s">
        <v>219</v>
      </c>
      <c r="H6036" t="s">
        <v>220</v>
      </c>
      <c r="I6036" t="s">
        <v>22</v>
      </c>
      <c r="J6036" s="2" t="s">
        <v>42</v>
      </c>
      <c r="K6036" s="2" t="s">
        <v>3019</v>
      </c>
      <c r="L6036" t="s">
        <v>25</v>
      </c>
      <c r="M6036" s="10" t="s">
        <v>26</v>
      </c>
      <c r="N6036" t="s">
        <v>26</v>
      </c>
      <c r="O6036" s="10" t="s">
        <v>26</v>
      </c>
      <c r="P6036" s="8" t="s">
        <v>26</v>
      </c>
      <c r="Q6036" s="8">
        <f>(3359412*100)/3462762</f>
        <v>97.015388294084318</v>
      </c>
    </row>
    <row r="6037" spans="1:17" x14ac:dyDescent="0.2">
      <c r="A6037">
        <f>YEAR(D6037)</f>
        <v>2020</v>
      </c>
      <c r="B6037" t="s">
        <v>26</v>
      </c>
      <c r="C6037" s="2" t="s">
        <v>3020</v>
      </c>
      <c r="D6037" s="1">
        <v>44078</v>
      </c>
      <c r="E6037">
        <f>MONTH(D6037)</f>
        <v>9</v>
      </c>
      <c r="F6037" s="2" t="s">
        <v>2098</v>
      </c>
      <c r="G6037" t="s">
        <v>219</v>
      </c>
      <c r="H6037" t="s">
        <v>220</v>
      </c>
      <c r="I6037" t="s">
        <v>22</v>
      </c>
      <c r="J6037" s="2" t="s">
        <v>42</v>
      </c>
      <c r="K6037" s="2" t="s">
        <v>3019</v>
      </c>
      <c r="L6037" t="s">
        <v>25</v>
      </c>
      <c r="M6037" s="10" t="s">
        <v>26</v>
      </c>
      <c r="N6037" t="s">
        <v>26</v>
      </c>
      <c r="O6037" s="10" t="s">
        <v>26</v>
      </c>
      <c r="P6037" s="8" t="s">
        <v>26</v>
      </c>
      <c r="Q6037" s="8">
        <f>(3359412*100)/3462762</f>
        <v>97.015388294084318</v>
      </c>
    </row>
    <row r="6038" spans="1:17" x14ac:dyDescent="0.2">
      <c r="A6038">
        <f>YEAR(D6038)</f>
        <v>2020</v>
      </c>
      <c r="B6038" t="s">
        <v>26</v>
      </c>
      <c r="C6038" s="2" t="s">
        <v>3020</v>
      </c>
      <c r="D6038" s="1">
        <v>44078</v>
      </c>
      <c r="E6038">
        <f>MONTH(D6038)</f>
        <v>9</v>
      </c>
      <c r="F6038" s="2" t="s">
        <v>2098</v>
      </c>
      <c r="G6038" t="s">
        <v>362</v>
      </c>
      <c r="H6038" t="s">
        <v>2030</v>
      </c>
      <c r="I6038" t="s">
        <v>22</v>
      </c>
      <c r="J6038" s="2" t="s">
        <v>42</v>
      </c>
      <c r="K6038" s="2" t="s">
        <v>3019</v>
      </c>
      <c r="L6038" t="s">
        <v>25</v>
      </c>
      <c r="M6038" s="8">
        <v>1.4923333329999999</v>
      </c>
      <c r="N6038" t="s">
        <v>26</v>
      </c>
      <c r="O6038" s="8">
        <v>1.4923333329999999</v>
      </c>
      <c r="P6038" s="8">
        <f>EXP(-1.363+3.366*LOG(O6038,10))</f>
        <v>0.45943050733617752</v>
      </c>
      <c r="Q6038" s="8">
        <f>(3359412*100)/3462762</f>
        <v>97.015388294084318</v>
      </c>
    </row>
    <row r="6039" spans="1:17" x14ac:dyDescent="0.2">
      <c r="A6039">
        <f>YEAR(D6039)</f>
        <v>2020</v>
      </c>
      <c r="B6039" t="s">
        <v>26</v>
      </c>
      <c r="C6039" s="2" t="s">
        <v>3020</v>
      </c>
      <c r="D6039" s="1">
        <v>44078</v>
      </c>
      <c r="E6039">
        <f>MONTH(D6039)</f>
        <v>9</v>
      </c>
      <c r="F6039" s="2" t="s">
        <v>2098</v>
      </c>
      <c r="G6039" t="s">
        <v>219</v>
      </c>
      <c r="H6039" t="s">
        <v>220</v>
      </c>
      <c r="I6039" t="s">
        <v>22</v>
      </c>
      <c r="J6039" s="2" t="s">
        <v>42</v>
      </c>
      <c r="K6039" s="2" t="s">
        <v>3019</v>
      </c>
      <c r="L6039" t="s">
        <v>25</v>
      </c>
      <c r="M6039" s="10" t="s">
        <v>26</v>
      </c>
      <c r="N6039" t="s">
        <v>26</v>
      </c>
      <c r="O6039" s="10" t="s">
        <v>26</v>
      </c>
      <c r="P6039" s="8" t="s">
        <v>26</v>
      </c>
      <c r="Q6039" s="8">
        <f>(3359412*100)/3462762</f>
        <v>97.015388294084318</v>
      </c>
    </row>
    <row r="6040" spans="1:17" x14ac:dyDescent="0.2">
      <c r="A6040">
        <f>YEAR(D6040)</f>
        <v>2020</v>
      </c>
      <c r="B6040" t="s">
        <v>26</v>
      </c>
      <c r="C6040" s="2" t="s">
        <v>3020</v>
      </c>
      <c r="D6040" s="1">
        <v>44078</v>
      </c>
      <c r="E6040">
        <f>MONTH(D6040)</f>
        <v>9</v>
      </c>
      <c r="F6040" s="2" t="s">
        <v>2098</v>
      </c>
      <c r="G6040" t="s">
        <v>230</v>
      </c>
      <c r="H6040" t="s">
        <v>268</v>
      </c>
      <c r="I6040" t="s">
        <v>22</v>
      </c>
      <c r="J6040" s="2" t="s">
        <v>42</v>
      </c>
      <c r="K6040" s="2" t="s">
        <v>3019</v>
      </c>
      <c r="L6040" t="s">
        <v>25</v>
      </c>
      <c r="M6040" s="8">
        <v>3.5356666670000001</v>
      </c>
      <c r="N6040" t="s">
        <v>26</v>
      </c>
      <c r="O6040" s="8">
        <v>3.5356666670000001</v>
      </c>
      <c r="P6040" s="8">
        <f>EXP(-1.363+3.366*LOG(O6040,10))</f>
        <v>1.6211802664427075</v>
      </c>
      <c r="Q6040" s="8">
        <f>(3359412*100)/3462762</f>
        <v>97.015388294084318</v>
      </c>
    </row>
    <row r="6041" spans="1:17" x14ac:dyDescent="0.2">
      <c r="A6041">
        <f>YEAR(D6041)</f>
        <v>2020</v>
      </c>
      <c r="B6041" t="s">
        <v>26</v>
      </c>
      <c r="C6041" s="2" t="s">
        <v>3020</v>
      </c>
      <c r="D6041" s="1">
        <v>44078</v>
      </c>
      <c r="E6041">
        <f>MONTH(D6041)</f>
        <v>9</v>
      </c>
      <c r="F6041" s="2" t="s">
        <v>2098</v>
      </c>
      <c r="G6041" t="s">
        <v>230</v>
      </c>
      <c r="H6041" t="s">
        <v>268</v>
      </c>
      <c r="I6041" t="s">
        <v>22</v>
      </c>
      <c r="J6041" s="2" t="s">
        <v>42</v>
      </c>
      <c r="K6041" s="2" t="s">
        <v>3019</v>
      </c>
      <c r="L6041" t="s">
        <v>25</v>
      </c>
      <c r="M6041" s="8">
        <v>3.5356666670000001</v>
      </c>
      <c r="N6041" t="s">
        <v>26</v>
      </c>
      <c r="O6041" s="8">
        <v>3.5356666670000001</v>
      </c>
      <c r="P6041" s="8">
        <f>EXP(-1.363+3.366*LOG(O6041,10))</f>
        <v>1.6211802664427075</v>
      </c>
      <c r="Q6041" s="8">
        <f>(3359412*100)/3462762</f>
        <v>97.015388294084318</v>
      </c>
    </row>
    <row r="6042" spans="1:17" x14ac:dyDescent="0.2">
      <c r="A6042">
        <f>YEAR(D6042)</f>
        <v>2020</v>
      </c>
      <c r="B6042" t="s">
        <v>26</v>
      </c>
      <c r="C6042" s="2" t="s">
        <v>3020</v>
      </c>
      <c r="D6042" s="1">
        <v>44078</v>
      </c>
      <c r="E6042">
        <f>MONTH(D6042)</f>
        <v>9</v>
      </c>
      <c r="F6042" s="2" t="s">
        <v>2098</v>
      </c>
      <c r="G6042" t="s">
        <v>230</v>
      </c>
      <c r="H6042" t="s">
        <v>268</v>
      </c>
      <c r="I6042" t="s">
        <v>22</v>
      </c>
      <c r="J6042" s="2" t="s">
        <v>42</v>
      </c>
      <c r="K6042" s="2" t="s">
        <v>3019</v>
      </c>
      <c r="L6042" t="s">
        <v>25</v>
      </c>
      <c r="M6042" s="8">
        <v>3.5356666670000001</v>
      </c>
      <c r="N6042" t="s">
        <v>26</v>
      </c>
      <c r="O6042" s="8">
        <v>3.5356666670000001</v>
      </c>
      <c r="P6042" s="8">
        <f>EXP(-1.363+3.366*LOG(O6042,10))</f>
        <v>1.6211802664427075</v>
      </c>
      <c r="Q6042" s="8">
        <f>(3359412*100)/3462762</f>
        <v>97.015388294084318</v>
      </c>
    </row>
    <row r="6043" spans="1:17" x14ac:dyDescent="0.2">
      <c r="A6043">
        <f>YEAR(D6043)</f>
        <v>2020</v>
      </c>
      <c r="B6043" t="s">
        <v>26</v>
      </c>
      <c r="C6043" s="2" t="s">
        <v>3020</v>
      </c>
      <c r="D6043" s="1">
        <v>44078</v>
      </c>
      <c r="E6043">
        <f>MONTH(D6043)</f>
        <v>9</v>
      </c>
      <c r="F6043" s="2" t="s">
        <v>2098</v>
      </c>
      <c r="G6043" t="s">
        <v>230</v>
      </c>
      <c r="H6043" t="s">
        <v>268</v>
      </c>
      <c r="I6043" t="s">
        <v>22</v>
      </c>
      <c r="J6043" s="2" t="s">
        <v>42</v>
      </c>
      <c r="K6043" s="2" t="s">
        <v>3019</v>
      </c>
      <c r="L6043" t="s">
        <v>25</v>
      </c>
      <c r="M6043" s="8">
        <v>3.5356666670000001</v>
      </c>
      <c r="N6043" t="s">
        <v>26</v>
      </c>
      <c r="O6043" s="8">
        <v>3.5356666670000001</v>
      </c>
      <c r="P6043" s="8">
        <f>EXP(-1.363+3.366*LOG(O6043,10))</f>
        <v>1.6211802664427075</v>
      </c>
      <c r="Q6043" s="8">
        <f>(3359412*100)/3462762</f>
        <v>97.015388294084318</v>
      </c>
    </row>
    <row r="6044" spans="1:17" x14ac:dyDescent="0.2">
      <c r="A6044">
        <f>YEAR(D6044)</f>
        <v>2020</v>
      </c>
      <c r="B6044" t="s">
        <v>26</v>
      </c>
      <c r="C6044" s="2" t="s">
        <v>3020</v>
      </c>
      <c r="D6044" s="1">
        <v>44078</v>
      </c>
      <c r="E6044">
        <f>MONTH(D6044)</f>
        <v>9</v>
      </c>
      <c r="F6044" s="2" t="s">
        <v>2098</v>
      </c>
      <c r="G6044" t="s">
        <v>230</v>
      </c>
      <c r="H6044" t="s">
        <v>268</v>
      </c>
      <c r="I6044" t="s">
        <v>22</v>
      </c>
      <c r="J6044" s="2" t="s">
        <v>42</v>
      </c>
      <c r="K6044" s="2" t="s">
        <v>3019</v>
      </c>
      <c r="L6044" t="s">
        <v>25</v>
      </c>
      <c r="M6044" s="8">
        <v>3.5356666670000001</v>
      </c>
      <c r="N6044" t="s">
        <v>26</v>
      </c>
      <c r="O6044" s="8">
        <v>3.5356666670000001</v>
      </c>
      <c r="P6044" s="8">
        <f>EXP(-1.363+3.366*LOG(O6044,10))</f>
        <v>1.6211802664427075</v>
      </c>
      <c r="Q6044" s="8">
        <f>(3359412*100)/3462762</f>
        <v>97.015388294084318</v>
      </c>
    </row>
    <row r="6045" spans="1:17" x14ac:dyDescent="0.2">
      <c r="A6045">
        <f>YEAR(D6045)</f>
        <v>2020</v>
      </c>
      <c r="B6045" t="s">
        <v>26</v>
      </c>
      <c r="C6045" s="2" t="s">
        <v>3020</v>
      </c>
      <c r="D6045" s="1">
        <v>44078</v>
      </c>
      <c r="E6045">
        <f>MONTH(D6045)</f>
        <v>9</v>
      </c>
      <c r="F6045" s="2" t="s">
        <v>2098</v>
      </c>
      <c r="G6045" t="s">
        <v>219</v>
      </c>
      <c r="H6045" t="s">
        <v>220</v>
      </c>
      <c r="I6045" t="s">
        <v>22</v>
      </c>
      <c r="J6045" s="2" t="s">
        <v>42</v>
      </c>
      <c r="K6045" s="2" t="s">
        <v>3019</v>
      </c>
      <c r="L6045" t="s">
        <v>25</v>
      </c>
      <c r="M6045" s="10" t="s">
        <v>26</v>
      </c>
      <c r="N6045" t="s">
        <v>26</v>
      </c>
      <c r="O6045" s="10" t="s">
        <v>26</v>
      </c>
      <c r="P6045" s="8" t="s">
        <v>26</v>
      </c>
      <c r="Q6045" s="8">
        <f>(3359412*100)/3462762</f>
        <v>97.015388294084318</v>
      </c>
    </row>
    <row r="6046" spans="1:17" x14ac:dyDescent="0.2">
      <c r="A6046">
        <f>YEAR(D6046)</f>
        <v>2020</v>
      </c>
      <c r="B6046" t="s">
        <v>26</v>
      </c>
      <c r="C6046" s="2" t="s">
        <v>3020</v>
      </c>
      <c r="D6046" s="1">
        <v>44078</v>
      </c>
      <c r="E6046">
        <f>MONTH(D6046)</f>
        <v>9</v>
      </c>
      <c r="F6046" s="2" t="s">
        <v>2098</v>
      </c>
      <c r="G6046" t="s">
        <v>219</v>
      </c>
      <c r="H6046" t="s">
        <v>220</v>
      </c>
      <c r="I6046" t="s">
        <v>22</v>
      </c>
      <c r="J6046" s="2" t="s">
        <v>42</v>
      </c>
      <c r="K6046" s="2" t="s">
        <v>3019</v>
      </c>
      <c r="L6046" t="s">
        <v>25</v>
      </c>
      <c r="M6046" s="10" t="s">
        <v>26</v>
      </c>
      <c r="N6046" t="s">
        <v>26</v>
      </c>
      <c r="O6046" s="10" t="s">
        <v>26</v>
      </c>
      <c r="P6046" s="8" t="s">
        <v>26</v>
      </c>
      <c r="Q6046" s="8">
        <f>(3359412*100)/3462762</f>
        <v>97.015388294084318</v>
      </c>
    </row>
    <row r="6047" spans="1:17" x14ac:dyDescent="0.2">
      <c r="A6047">
        <f>YEAR(D6047)</f>
        <v>2020</v>
      </c>
      <c r="B6047" t="s">
        <v>26</v>
      </c>
      <c r="C6047" s="2" t="s">
        <v>3020</v>
      </c>
      <c r="D6047" s="1">
        <v>44078</v>
      </c>
      <c r="E6047">
        <f>MONTH(D6047)</f>
        <v>9</v>
      </c>
      <c r="F6047" s="2" t="s">
        <v>2098</v>
      </c>
      <c r="G6047" t="s">
        <v>219</v>
      </c>
      <c r="H6047" t="s">
        <v>220</v>
      </c>
      <c r="I6047" t="s">
        <v>22</v>
      </c>
      <c r="J6047" s="2" t="s">
        <v>42</v>
      </c>
      <c r="K6047" s="2" t="s">
        <v>3019</v>
      </c>
      <c r="L6047" t="s">
        <v>25</v>
      </c>
      <c r="M6047" s="10" t="s">
        <v>26</v>
      </c>
      <c r="N6047" t="s">
        <v>26</v>
      </c>
      <c r="O6047" s="10" t="s">
        <v>26</v>
      </c>
      <c r="P6047" s="8" t="s">
        <v>26</v>
      </c>
      <c r="Q6047" s="8">
        <f>(3359412*100)/3462762</f>
        <v>97.015388294084318</v>
      </c>
    </row>
    <row r="6048" spans="1:17" x14ac:dyDescent="0.2">
      <c r="A6048">
        <f>YEAR(D6048)</f>
        <v>2020</v>
      </c>
      <c r="B6048" t="s">
        <v>26</v>
      </c>
      <c r="C6048" s="2" t="s">
        <v>3020</v>
      </c>
      <c r="D6048" s="1">
        <v>44078</v>
      </c>
      <c r="E6048">
        <f>MONTH(D6048)</f>
        <v>9</v>
      </c>
      <c r="F6048" s="2" t="s">
        <v>2098</v>
      </c>
      <c r="G6048" t="s">
        <v>362</v>
      </c>
      <c r="H6048" t="s">
        <v>2030</v>
      </c>
      <c r="I6048" t="s">
        <v>36</v>
      </c>
      <c r="J6048" s="2" t="s">
        <v>42</v>
      </c>
      <c r="K6048" s="2" t="s">
        <v>3019</v>
      </c>
      <c r="L6048" t="s">
        <v>25</v>
      </c>
      <c r="M6048" s="8">
        <v>1.383</v>
      </c>
      <c r="N6048" t="s">
        <v>26</v>
      </c>
      <c r="O6048" s="8">
        <v>1.383</v>
      </c>
      <c r="P6048" s="8">
        <f>EXP(-1.363+3.366*LOG(O6048,10))</f>
        <v>0.41106967974959296</v>
      </c>
      <c r="Q6048" s="8">
        <f>(3359412*100)/3462762</f>
        <v>97.015388294084318</v>
      </c>
    </row>
    <row r="6049" spans="1:17" x14ac:dyDescent="0.2">
      <c r="A6049">
        <f>YEAR(D6049)</f>
        <v>2020</v>
      </c>
      <c r="B6049" t="s">
        <v>26</v>
      </c>
      <c r="C6049" s="2" t="s">
        <v>3020</v>
      </c>
      <c r="D6049" s="1">
        <v>44078</v>
      </c>
      <c r="E6049">
        <f>MONTH(D6049)</f>
        <v>9</v>
      </c>
      <c r="F6049" s="2" t="s">
        <v>2098</v>
      </c>
      <c r="G6049" t="s">
        <v>362</v>
      </c>
      <c r="H6049" t="s">
        <v>447</v>
      </c>
      <c r="I6049" t="s">
        <v>36</v>
      </c>
      <c r="J6049" s="2" t="s">
        <v>42</v>
      </c>
      <c r="K6049" s="2" t="s">
        <v>3019</v>
      </c>
      <c r="L6049" t="s">
        <v>25</v>
      </c>
      <c r="M6049" s="8">
        <v>1.0956666669999999</v>
      </c>
      <c r="N6049" t="s">
        <v>26</v>
      </c>
      <c r="O6049" s="8">
        <v>1.0956666669999999</v>
      </c>
      <c r="P6049" s="8">
        <f>EXP(-1.363+3.366*LOG(O6049,10))</f>
        <v>0.29245562330904107</v>
      </c>
      <c r="Q6049" s="8">
        <f>(3359412*100)/3462762</f>
        <v>97.015388294084318</v>
      </c>
    </row>
    <row r="6050" spans="1:17" x14ac:dyDescent="0.2">
      <c r="A6050">
        <f>YEAR(D6050)</f>
        <v>2020</v>
      </c>
      <c r="B6050" t="s">
        <v>26</v>
      </c>
      <c r="C6050" s="2" t="s">
        <v>3020</v>
      </c>
      <c r="D6050" s="1">
        <v>44078</v>
      </c>
      <c r="E6050">
        <f>MONTH(D6050)</f>
        <v>9</v>
      </c>
      <c r="F6050" s="2" t="s">
        <v>2098</v>
      </c>
      <c r="G6050" t="s">
        <v>362</v>
      </c>
      <c r="H6050" t="s">
        <v>2030</v>
      </c>
      <c r="I6050" t="s">
        <v>36</v>
      </c>
      <c r="J6050" s="2" t="s">
        <v>42</v>
      </c>
      <c r="K6050" s="2" t="s">
        <v>3019</v>
      </c>
      <c r="L6050" t="s">
        <v>25</v>
      </c>
      <c r="M6050" s="8">
        <v>1.383</v>
      </c>
      <c r="N6050" t="s">
        <v>26</v>
      </c>
      <c r="O6050" s="8">
        <v>1.383</v>
      </c>
      <c r="P6050" s="8">
        <f>EXP(-1.363+3.366*LOG(O6050,10))</f>
        <v>0.41106967974959296</v>
      </c>
      <c r="Q6050" s="8">
        <f>(3359412*100)/3462762</f>
        <v>97.015388294084318</v>
      </c>
    </row>
    <row r="6051" spans="1:17" x14ac:dyDescent="0.2">
      <c r="A6051">
        <f>YEAR(D6051)</f>
        <v>2020</v>
      </c>
      <c r="B6051" t="s">
        <v>26</v>
      </c>
      <c r="C6051" s="2" t="s">
        <v>3020</v>
      </c>
      <c r="D6051" s="1">
        <v>44078</v>
      </c>
      <c r="E6051">
        <f>MONTH(D6051)</f>
        <v>9</v>
      </c>
      <c r="F6051" s="2" t="s">
        <v>2098</v>
      </c>
      <c r="G6051" t="s">
        <v>362</v>
      </c>
      <c r="H6051" t="s">
        <v>365</v>
      </c>
      <c r="I6051" t="s">
        <v>36</v>
      </c>
      <c r="J6051" s="2" t="s">
        <v>42</v>
      </c>
      <c r="K6051" s="2" t="s">
        <v>3019</v>
      </c>
      <c r="L6051" t="s">
        <v>25</v>
      </c>
      <c r="M6051" s="8">
        <v>1.3460000000000001</v>
      </c>
      <c r="N6051" t="s">
        <v>26</v>
      </c>
      <c r="O6051" s="8">
        <v>1.3460000000000001</v>
      </c>
      <c r="P6051" s="8">
        <f>EXP(-1.363+3.366*LOG(O6051,10))</f>
        <v>0.39509290926226837</v>
      </c>
      <c r="Q6051" s="8">
        <f>(3359412*100)/3462762</f>
        <v>97.015388294084318</v>
      </c>
    </row>
    <row r="6052" spans="1:17" x14ac:dyDescent="0.2">
      <c r="A6052">
        <f>YEAR(D6052)</f>
        <v>2020</v>
      </c>
      <c r="B6052" t="s">
        <v>26</v>
      </c>
      <c r="C6052" s="2" t="s">
        <v>3020</v>
      </c>
      <c r="D6052" s="1">
        <v>44078</v>
      </c>
      <c r="E6052">
        <f>MONTH(D6052)</f>
        <v>9</v>
      </c>
      <c r="F6052" s="2" t="s">
        <v>2098</v>
      </c>
      <c r="G6052" t="s">
        <v>352</v>
      </c>
      <c r="H6052" t="s">
        <v>728</v>
      </c>
      <c r="I6052" t="s">
        <v>36</v>
      </c>
      <c r="J6052" s="2" t="s">
        <v>42</v>
      </c>
      <c r="K6052" s="2" t="s">
        <v>3019</v>
      </c>
      <c r="L6052" t="s">
        <v>187</v>
      </c>
      <c r="M6052" s="8">
        <v>1.376333333</v>
      </c>
      <c r="N6052" t="s">
        <v>26</v>
      </c>
      <c r="O6052" s="8">
        <v>1.376333333</v>
      </c>
      <c r="P6052" s="8">
        <f>EXP(-1.363+3.366*LOG(O6052,10))</f>
        <v>0.40817622737824627</v>
      </c>
      <c r="Q6052" s="8">
        <f>(3359412*100)/3462762</f>
        <v>97.015388294084318</v>
      </c>
    </row>
    <row r="6053" spans="1:17" x14ac:dyDescent="0.2">
      <c r="A6053">
        <f>YEAR(D6053)</f>
        <v>2020</v>
      </c>
      <c r="B6053" t="s">
        <v>26</v>
      </c>
      <c r="C6053" s="2" t="s">
        <v>3020</v>
      </c>
      <c r="D6053" s="1">
        <v>44078</v>
      </c>
      <c r="E6053">
        <f>MONTH(D6053)</f>
        <v>9</v>
      </c>
      <c r="F6053" s="2" t="s">
        <v>2098</v>
      </c>
      <c r="G6053" t="s">
        <v>352</v>
      </c>
      <c r="H6053" t="s">
        <v>728</v>
      </c>
      <c r="I6053" t="s">
        <v>36</v>
      </c>
      <c r="J6053" s="2" t="s">
        <v>42</v>
      </c>
      <c r="K6053" s="2" t="s">
        <v>3019</v>
      </c>
      <c r="L6053" t="s">
        <v>187</v>
      </c>
      <c r="M6053" s="8">
        <v>1.376333333</v>
      </c>
      <c r="N6053" t="s">
        <v>26</v>
      </c>
      <c r="O6053" s="8">
        <v>1.376333333</v>
      </c>
      <c r="P6053" s="8">
        <f>EXP(-1.363+3.366*LOG(O6053,10))</f>
        <v>0.40817622737824627</v>
      </c>
      <c r="Q6053" s="8">
        <f>(3359412*100)/3462762</f>
        <v>97.015388294084318</v>
      </c>
    </row>
    <row r="6054" spans="1:17" x14ac:dyDescent="0.2">
      <c r="A6054">
        <f>YEAR(D6054)</f>
        <v>2020</v>
      </c>
      <c r="B6054" t="s">
        <v>26</v>
      </c>
      <c r="C6054" s="2" t="s">
        <v>3020</v>
      </c>
      <c r="D6054" s="1">
        <v>44078</v>
      </c>
      <c r="E6054">
        <f>MONTH(D6054)</f>
        <v>9</v>
      </c>
      <c r="F6054" s="2" t="s">
        <v>2098</v>
      </c>
      <c r="G6054" t="s">
        <v>352</v>
      </c>
      <c r="H6054" t="s">
        <v>728</v>
      </c>
      <c r="I6054" t="s">
        <v>36</v>
      </c>
      <c r="J6054" s="2" t="s">
        <v>42</v>
      </c>
      <c r="K6054" s="2" t="s">
        <v>3019</v>
      </c>
      <c r="L6054" t="s">
        <v>187</v>
      </c>
      <c r="M6054" s="8">
        <v>1.376333333</v>
      </c>
      <c r="N6054" t="s">
        <v>26</v>
      </c>
      <c r="O6054" s="8">
        <v>1.376333333</v>
      </c>
      <c r="P6054" s="8">
        <f>EXP(-1.363+3.366*LOG(O6054,10))</f>
        <v>0.40817622737824627</v>
      </c>
      <c r="Q6054" s="8">
        <f>(3359412*100)/3462762</f>
        <v>97.015388294084318</v>
      </c>
    </row>
    <row r="6055" spans="1:17" x14ac:dyDescent="0.2">
      <c r="A6055">
        <f>YEAR(D6055)</f>
        <v>2020</v>
      </c>
      <c r="B6055" t="s">
        <v>26</v>
      </c>
      <c r="C6055" s="2" t="s">
        <v>3020</v>
      </c>
      <c r="D6055" s="1">
        <v>44078</v>
      </c>
      <c r="E6055">
        <f>MONTH(D6055)</f>
        <v>9</v>
      </c>
      <c r="F6055" s="2" t="s">
        <v>2098</v>
      </c>
      <c r="G6055" s="2" t="s">
        <v>3078</v>
      </c>
      <c r="H6055" t="s">
        <v>3064</v>
      </c>
      <c r="I6055" t="s">
        <v>36</v>
      </c>
      <c r="J6055" s="2" t="s">
        <v>42</v>
      </c>
      <c r="K6055" s="2" t="s">
        <v>3019</v>
      </c>
      <c r="L6055" t="s">
        <v>305</v>
      </c>
      <c r="M6055" s="8">
        <v>2.2103333333333333</v>
      </c>
      <c r="N6055" t="s">
        <v>26</v>
      </c>
      <c r="O6055" s="8">
        <v>2.2103333333333333</v>
      </c>
      <c r="P6055" s="8">
        <f>EXP(-1.363+3.366*LOG(O6055,10))</f>
        <v>0.81582522220447784</v>
      </c>
      <c r="Q6055" s="8">
        <f>(3359412*100)/3462762</f>
        <v>97.015388294084318</v>
      </c>
    </row>
    <row r="6056" spans="1:17" x14ac:dyDescent="0.2">
      <c r="A6056">
        <f>YEAR(D6056)</f>
        <v>2020</v>
      </c>
      <c r="B6056" t="s">
        <v>26</v>
      </c>
      <c r="C6056" s="2" t="s">
        <v>3020</v>
      </c>
      <c r="D6056" s="1">
        <v>44078</v>
      </c>
      <c r="E6056">
        <f>MONTH(D6056)</f>
        <v>9</v>
      </c>
      <c r="F6056" s="2" t="s">
        <v>2098</v>
      </c>
      <c r="G6056" s="2" t="s">
        <v>362</v>
      </c>
      <c r="H6056" t="s">
        <v>3074</v>
      </c>
      <c r="I6056" t="s">
        <v>36</v>
      </c>
      <c r="J6056" s="2" t="s">
        <v>42</v>
      </c>
      <c r="K6056" s="2" t="s">
        <v>3019</v>
      </c>
      <c r="L6056" t="s">
        <v>26</v>
      </c>
      <c r="M6056" s="8">
        <v>1.6856666666666669</v>
      </c>
      <c r="N6056" t="s">
        <v>26</v>
      </c>
      <c r="O6056" s="8">
        <v>1.6856666666666669</v>
      </c>
      <c r="P6056" s="8">
        <f>EXP(-1.363+3.366*LOG(O6056,10))</f>
        <v>0.54898373667223233</v>
      </c>
      <c r="Q6056" s="8">
        <f>(3359412*100)/3462762</f>
        <v>97.015388294084318</v>
      </c>
    </row>
    <row r="6057" spans="1:17" x14ac:dyDescent="0.2">
      <c r="A6057">
        <f>YEAR(D6057)</f>
        <v>2020</v>
      </c>
      <c r="B6057" t="s">
        <v>26</v>
      </c>
      <c r="C6057" s="2" t="s">
        <v>3020</v>
      </c>
      <c r="D6057" s="1">
        <v>44078</v>
      </c>
      <c r="E6057">
        <f>MONTH(D6057)</f>
        <v>9</v>
      </c>
      <c r="F6057" s="2" t="s">
        <v>2098</v>
      </c>
      <c r="G6057" t="s">
        <v>1520</v>
      </c>
      <c r="H6057" t="s">
        <v>1521</v>
      </c>
      <c r="I6057" t="s">
        <v>36</v>
      </c>
      <c r="J6057" s="2" t="s">
        <v>42</v>
      </c>
      <c r="K6057" s="2" t="s">
        <v>3019</v>
      </c>
      <c r="L6057" t="s">
        <v>25</v>
      </c>
      <c r="M6057" s="8">
        <v>2.3340000000000001</v>
      </c>
      <c r="N6057" t="s">
        <v>26</v>
      </c>
      <c r="O6057" s="8">
        <v>2.3340000000000001</v>
      </c>
      <c r="P6057" s="8">
        <f>EXP(-1.363+3.366*LOG(O6057,10))</f>
        <v>0.88340410488080767</v>
      </c>
      <c r="Q6057" s="8">
        <f>(3359412*100)/3462762</f>
        <v>97.015388294084318</v>
      </c>
    </row>
    <row r="6058" spans="1:17" x14ac:dyDescent="0.2">
      <c r="A6058">
        <f>YEAR(D6058)</f>
        <v>2020</v>
      </c>
      <c r="B6058" t="s">
        <v>26</v>
      </c>
      <c r="C6058" s="2" t="s">
        <v>3020</v>
      </c>
      <c r="D6058" s="1">
        <v>44078</v>
      </c>
      <c r="E6058">
        <f>MONTH(D6058)</f>
        <v>9</v>
      </c>
      <c r="F6058" s="2" t="s">
        <v>2098</v>
      </c>
      <c r="G6058" t="s">
        <v>362</v>
      </c>
      <c r="H6058" t="s">
        <v>393</v>
      </c>
      <c r="I6058" t="s">
        <v>36</v>
      </c>
      <c r="J6058" s="2" t="s">
        <v>42</v>
      </c>
      <c r="K6058" s="2" t="s">
        <v>3019</v>
      </c>
      <c r="L6058" t="s">
        <v>25</v>
      </c>
      <c r="M6058" s="8">
        <v>2.2189999999999999</v>
      </c>
      <c r="N6058" t="s">
        <v>26</v>
      </c>
      <c r="O6058" s="8">
        <v>2.2189999999999999</v>
      </c>
      <c r="P6058" s="8">
        <f>EXP(-1.363+3.366*LOG(O6058,10))</f>
        <v>0.82050561861036375</v>
      </c>
      <c r="Q6058" s="8">
        <f>(3359412*100)/3462762</f>
        <v>97.015388294084318</v>
      </c>
    </row>
    <row r="6059" spans="1:17" x14ac:dyDescent="0.2">
      <c r="A6059">
        <f>YEAR(D6059)</f>
        <v>2020</v>
      </c>
      <c r="B6059" t="s">
        <v>26</v>
      </c>
      <c r="C6059" s="2" t="s">
        <v>3020</v>
      </c>
      <c r="D6059" s="1">
        <v>44078</v>
      </c>
      <c r="E6059">
        <f>MONTH(D6059)</f>
        <v>9</v>
      </c>
      <c r="F6059" s="2" t="s">
        <v>2098</v>
      </c>
      <c r="G6059" t="s">
        <v>1520</v>
      </c>
      <c r="H6059" t="s">
        <v>1528</v>
      </c>
      <c r="I6059" t="s">
        <v>36</v>
      </c>
      <c r="J6059" s="2" t="s">
        <v>42</v>
      </c>
      <c r="K6059" s="2" t="s">
        <v>3019</v>
      </c>
      <c r="L6059" t="s">
        <v>25</v>
      </c>
      <c r="M6059" s="8">
        <v>3.3860000000000001</v>
      </c>
      <c r="N6059" t="s">
        <v>26</v>
      </c>
      <c r="O6059" s="8">
        <v>3.3860000000000001</v>
      </c>
      <c r="P6059" s="8">
        <f>EXP(-1.363+3.366*LOG(O6059,10))</f>
        <v>1.5218493704875904</v>
      </c>
      <c r="Q6059" s="8">
        <f>(3359412*100)/3462762</f>
        <v>97.015388294084318</v>
      </c>
    </row>
    <row r="6060" spans="1:17" x14ac:dyDescent="0.2">
      <c r="A6060">
        <f>YEAR(D6060)</f>
        <v>2020</v>
      </c>
      <c r="B6060" t="s">
        <v>26</v>
      </c>
      <c r="C6060" s="2" t="s">
        <v>3020</v>
      </c>
      <c r="D6060" s="1">
        <v>44078</v>
      </c>
      <c r="E6060">
        <f>MONTH(D6060)</f>
        <v>9</v>
      </c>
      <c r="F6060" s="2" t="s">
        <v>2098</v>
      </c>
      <c r="G6060" t="s">
        <v>230</v>
      </c>
      <c r="H6060" t="s">
        <v>235</v>
      </c>
      <c r="I6060" t="s">
        <v>36</v>
      </c>
      <c r="J6060" s="2" t="s">
        <v>42</v>
      </c>
      <c r="K6060" s="2" t="s">
        <v>3019</v>
      </c>
      <c r="L6060" t="s">
        <v>25</v>
      </c>
      <c r="M6060" s="8">
        <v>3.6166666666666667</v>
      </c>
      <c r="N6060" t="s">
        <v>26</v>
      </c>
      <c r="O6060" s="8">
        <v>3.6166666666666667</v>
      </c>
      <c r="P6060" s="8">
        <f>EXP(-1.363+3.366*LOG(O6060,10))</f>
        <v>1.6757592653929465</v>
      </c>
      <c r="Q6060" s="8">
        <f>(3359412*100)/3462762</f>
        <v>97.015388294084318</v>
      </c>
    </row>
    <row r="6061" spans="1:17" x14ac:dyDescent="0.2">
      <c r="A6061">
        <f>YEAR(D6061)</f>
        <v>2020</v>
      </c>
      <c r="B6061" t="s">
        <v>26</v>
      </c>
      <c r="C6061" s="2" t="s">
        <v>3018</v>
      </c>
      <c r="D6061" s="1">
        <v>44081</v>
      </c>
      <c r="E6061">
        <f>MONTH(D6061)</f>
        <v>9</v>
      </c>
      <c r="F6061" s="2" t="s">
        <v>2098</v>
      </c>
      <c r="G6061" t="s">
        <v>230</v>
      </c>
      <c r="H6061" t="s">
        <v>268</v>
      </c>
      <c r="I6061" t="s">
        <v>22</v>
      </c>
      <c r="J6061" s="2" t="s">
        <v>42</v>
      </c>
      <c r="K6061" s="2" t="s">
        <v>3019</v>
      </c>
      <c r="L6061" t="s">
        <v>25</v>
      </c>
      <c r="M6061" s="8">
        <v>3.5356666670000001</v>
      </c>
      <c r="N6061" t="s">
        <v>26</v>
      </c>
      <c r="O6061" s="8">
        <v>3.5356666670000001</v>
      </c>
      <c r="P6061" s="8">
        <f>EXP(-1.363+3.366*LOG(O6061,10))</f>
        <v>1.6211802664427075</v>
      </c>
      <c r="Q6061" s="8">
        <f>(5996898*100)/6073515</f>
        <v>98.738506449724753</v>
      </c>
    </row>
    <row r="6062" spans="1:17" x14ac:dyDescent="0.2">
      <c r="A6062">
        <f>YEAR(D6062)</f>
        <v>2020</v>
      </c>
      <c r="B6062" t="s">
        <v>26</v>
      </c>
      <c r="C6062" s="2" t="s">
        <v>3018</v>
      </c>
      <c r="D6062" s="1">
        <v>44081</v>
      </c>
      <c r="E6062">
        <f>MONTH(D6062)</f>
        <v>9</v>
      </c>
      <c r="F6062" s="2" t="s">
        <v>2098</v>
      </c>
      <c r="G6062" t="s">
        <v>230</v>
      </c>
      <c r="H6062" t="s">
        <v>268</v>
      </c>
      <c r="I6062" t="s">
        <v>22</v>
      </c>
      <c r="J6062" s="2" t="s">
        <v>42</v>
      </c>
      <c r="K6062" s="2" t="s">
        <v>3019</v>
      </c>
      <c r="L6062" t="s">
        <v>25</v>
      </c>
      <c r="M6062" s="8">
        <v>3.5356666670000001</v>
      </c>
      <c r="N6062" t="s">
        <v>26</v>
      </c>
      <c r="O6062" s="8">
        <v>3.5356666670000001</v>
      </c>
      <c r="P6062" s="8">
        <f>EXP(-1.363+3.366*LOG(O6062,10))</f>
        <v>1.6211802664427075</v>
      </c>
      <c r="Q6062" s="8">
        <f>(5996898*100)/6073515</f>
        <v>98.738506449724753</v>
      </c>
    </row>
    <row r="6063" spans="1:17" x14ac:dyDescent="0.2">
      <c r="A6063">
        <f>YEAR(D6063)</f>
        <v>2020</v>
      </c>
      <c r="B6063" t="s">
        <v>26</v>
      </c>
      <c r="C6063" s="2" t="s">
        <v>3018</v>
      </c>
      <c r="D6063" s="1">
        <v>44081</v>
      </c>
      <c r="E6063">
        <f>MONTH(D6063)</f>
        <v>9</v>
      </c>
      <c r="F6063" s="2" t="s">
        <v>2098</v>
      </c>
      <c r="G6063" t="s">
        <v>230</v>
      </c>
      <c r="H6063" t="s">
        <v>268</v>
      </c>
      <c r="I6063" t="s">
        <v>22</v>
      </c>
      <c r="J6063" s="2" t="s">
        <v>42</v>
      </c>
      <c r="K6063" s="2" t="s">
        <v>3019</v>
      </c>
      <c r="L6063" t="s">
        <v>25</v>
      </c>
      <c r="M6063" s="8">
        <v>3.5356666670000001</v>
      </c>
      <c r="N6063" t="s">
        <v>26</v>
      </c>
      <c r="O6063" s="8">
        <v>3.5356666670000001</v>
      </c>
      <c r="P6063" s="8">
        <f>EXP(-1.363+3.366*LOG(O6063,10))</f>
        <v>1.6211802664427075</v>
      </c>
      <c r="Q6063" s="8">
        <f>(5996898*100)/6073515</f>
        <v>98.738506449724753</v>
      </c>
    </row>
    <row r="6064" spans="1:17" x14ac:dyDescent="0.2">
      <c r="A6064">
        <f>YEAR(D6064)</f>
        <v>2020</v>
      </c>
      <c r="B6064" t="s">
        <v>26</v>
      </c>
      <c r="C6064" s="2" t="s">
        <v>3018</v>
      </c>
      <c r="D6064" s="1">
        <v>44081</v>
      </c>
      <c r="E6064">
        <f>MONTH(D6064)</f>
        <v>9</v>
      </c>
      <c r="F6064" s="2" t="s">
        <v>2098</v>
      </c>
      <c r="G6064" t="s">
        <v>219</v>
      </c>
      <c r="H6064" t="s">
        <v>220</v>
      </c>
      <c r="I6064" t="s">
        <v>22</v>
      </c>
      <c r="J6064" s="2" t="s">
        <v>42</v>
      </c>
      <c r="K6064" s="2" t="s">
        <v>3019</v>
      </c>
      <c r="L6064" t="s">
        <v>25</v>
      </c>
      <c r="M6064" s="10" t="s">
        <v>26</v>
      </c>
      <c r="N6064" t="s">
        <v>26</v>
      </c>
      <c r="O6064" s="10" t="s">
        <v>26</v>
      </c>
      <c r="P6064" s="8" t="s">
        <v>26</v>
      </c>
      <c r="Q6064" s="8">
        <f>(5996898*100)/6073515</f>
        <v>98.738506449724753</v>
      </c>
    </row>
    <row r="6065" spans="1:17" x14ac:dyDescent="0.2">
      <c r="A6065">
        <f>YEAR(D6065)</f>
        <v>2020</v>
      </c>
      <c r="B6065" t="s">
        <v>26</v>
      </c>
      <c r="C6065" s="2" t="s">
        <v>3018</v>
      </c>
      <c r="D6065" s="1">
        <v>44081</v>
      </c>
      <c r="E6065">
        <f>MONTH(D6065)</f>
        <v>9</v>
      </c>
      <c r="F6065" s="2" t="s">
        <v>2098</v>
      </c>
      <c r="G6065" t="s">
        <v>219</v>
      </c>
      <c r="H6065" t="s">
        <v>220</v>
      </c>
      <c r="I6065" t="s">
        <v>22</v>
      </c>
      <c r="J6065" s="2" t="s">
        <v>42</v>
      </c>
      <c r="K6065" s="2" t="s">
        <v>3019</v>
      </c>
      <c r="L6065" t="s">
        <v>25</v>
      </c>
      <c r="M6065" s="10" t="s">
        <v>26</v>
      </c>
      <c r="N6065" t="s">
        <v>26</v>
      </c>
      <c r="O6065" s="10" t="s">
        <v>26</v>
      </c>
      <c r="P6065" s="8" t="s">
        <v>26</v>
      </c>
      <c r="Q6065" s="8">
        <f>(5996898*100)/6073515</f>
        <v>98.738506449724753</v>
      </c>
    </row>
    <row r="6066" spans="1:17" x14ac:dyDescent="0.2">
      <c r="A6066">
        <f>YEAR(D6066)</f>
        <v>2020</v>
      </c>
      <c r="B6066" t="s">
        <v>26</v>
      </c>
      <c r="C6066" s="2" t="s">
        <v>3018</v>
      </c>
      <c r="D6066" s="1">
        <v>44081</v>
      </c>
      <c r="E6066">
        <f>MONTH(D6066)</f>
        <v>9</v>
      </c>
      <c r="F6066" s="2" t="s">
        <v>2098</v>
      </c>
      <c r="G6066" t="s">
        <v>219</v>
      </c>
      <c r="H6066" t="s">
        <v>220</v>
      </c>
      <c r="I6066" t="s">
        <v>22</v>
      </c>
      <c r="J6066" s="2" t="s">
        <v>42</v>
      </c>
      <c r="K6066" s="2" t="s">
        <v>3019</v>
      </c>
      <c r="L6066" t="s">
        <v>25</v>
      </c>
      <c r="M6066" s="10" t="s">
        <v>26</v>
      </c>
      <c r="N6066" t="s">
        <v>26</v>
      </c>
      <c r="O6066" s="10" t="s">
        <v>26</v>
      </c>
      <c r="P6066" s="8" t="s">
        <v>26</v>
      </c>
      <c r="Q6066" s="8">
        <f>(5996898*100)/6073515</f>
        <v>98.738506449724753</v>
      </c>
    </row>
    <row r="6067" spans="1:17" x14ac:dyDescent="0.2">
      <c r="A6067">
        <f>YEAR(D6067)</f>
        <v>2020</v>
      </c>
      <c r="B6067" t="s">
        <v>26</v>
      </c>
      <c r="C6067" s="2" t="s">
        <v>3018</v>
      </c>
      <c r="D6067" s="1">
        <v>44081</v>
      </c>
      <c r="E6067">
        <f>MONTH(D6067)</f>
        <v>9</v>
      </c>
      <c r="F6067" s="2" t="s">
        <v>2098</v>
      </c>
      <c r="G6067" t="s">
        <v>230</v>
      </c>
      <c r="H6067" t="s">
        <v>268</v>
      </c>
      <c r="I6067" t="s">
        <v>22</v>
      </c>
      <c r="J6067" s="2" t="s">
        <v>42</v>
      </c>
      <c r="K6067" s="2" t="s">
        <v>3019</v>
      </c>
      <c r="L6067" t="s">
        <v>25</v>
      </c>
      <c r="M6067" s="8">
        <v>3.5356666670000001</v>
      </c>
      <c r="N6067" t="s">
        <v>26</v>
      </c>
      <c r="O6067" s="8">
        <v>3.5356666670000001</v>
      </c>
      <c r="P6067" s="8">
        <f>EXP(-1.363+3.366*LOG(O6067,10))</f>
        <v>1.6211802664427075</v>
      </c>
      <c r="Q6067" s="8">
        <f>(5996898*100)/6073515</f>
        <v>98.738506449724753</v>
      </c>
    </row>
    <row r="6068" spans="1:17" x14ac:dyDescent="0.2">
      <c r="A6068">
        <f>YEAR(D6068)</f>
        <v>2020</v>
      </c>
      <c r="B6068" t="s">
        <v>26</v>
      </c>
      <c r="C6068" s="2" t="s">
        <v>3018</v>
      </c>
      <c r="D6068" s="1">
        <v>44081</v>
      </c>
      <c r="E6068">
        <f>MONTH(D6068)</f>
        <v>9</v>
      </c>
      <c r="F6068" s="2" t="s">
        <v>2098</v>
      </c>
      <c r="G6068" t="s">
        <v>230</v>
      </c>
      <c r="H6068" t="s">
        <v>268</v>
      </c>
      <c r="I6068" t="s">
        <v>22</v>
      </c>
      <c r="J6068" s="2" t="s">
        <v>42</v>
      </c>
      <c r="K6068" s="2" t="s">
        <v>3019</v>
      </c>
      <c r="L6068" t="s">
        <v>25</v>
      </c>
      <c r="M6068" s="8">
        <v>3.5356666670000001</v>
      </c>
      <c r="N6068" t="s">
        <v>26</v>
      </c>
      <c r="O6068" s="8">
        <v>3.5356666670000001</v>
      </c>
      <c r="P6068" s="8">
        <f>EXP(-1.363+3.366*LOG(O6068,10))</f>
        <v>1.6211802664427075</v>
      </c>
      <c r="Q6068" s="8">
        <f>(5996898*100)/6073515</f>
        <v>98.738506449724753</v>
      </c>
    </row>
    <row r="6069" spans="1:17" x14ac:dyDescent="0.2">
      <c r="A6069">
        <f>YEAR(D6069)</f>
        <v>2020</v>
      </c>
      <c r="B6069" t="s">
        <v>26</v>
      </c>
      <c r="C6069" s="2" t="s">
        <v>3018</v>
      </c>
      <c r="D6069" s="1">
        <v>44081</v>
      </c>
      <c r="E6069">
        <f>MONTH(D6069)</f>
        <v>9</v>
      </c>
      <c r="F6069" s="2" t="s">
        <v>2098</v>
      </c>
      <c r="G6069" t="s">
        <v>230</v>
      </c>
      <c r="H6069" t="s">
        <v>268</v>
      </c>
      <c r="I6069" t="s">
        <v>22</v>
      </c>
      <c r="J6069" s="2" t="s">
        <v>42</v>
      </c>
      <c r="K6069" s="2" t="s">
        <v>3019</v>
      </c>
      <c r="L6069" t="s">
        <v>25</v>
      </c>
      <c r="M6069" s="8">
        <v>3.5356666670000001</v>
      </c>
      <c r="N6069" t="s">
        <v>26</v>
      </c>
      <c r="O6069" s="8">
        <v>3.5356666670000001</v>
      </c>
      <c r="P6069" s="8">
        <f>EXP(-1.363+3.366*LOG(O6069,10))</f>
        <v>1.6211802664427075</v>
      </c>
      <c r="Q6069" s="8">
        <f>(5996898*100)/6073515</f>
        <v>98.738506449724753</v>
      </c>
    </row>
    <row r="6070" spans="1:17" x14ac:dyDescent="0.2">
      <c r="A6070">
        <f>YEAR(D6070)</f>
        <v>2020</v>
      </c>
      <c r="B6070" t="s">
        <v>26</v>
      </c>
      <c r="C6070" s="2" t="s">
        <v>3018</v>
      </c>
      <c r="D6070" s="1">
        <v>44081</v>
      </c>
      <c r="E6070">
        <f>MONTH(D6070)</f>
        <v>9</v>
      </c>
      <c r="F6070" s="2" t="s">
        <v>2098</v>
      </c>
      <c r="G6070" t="s">
        <v>219</v>
      </c>
      <c r="H6070" t="s">
        <v>220</v>
      </c>
      <c r="I6070" t="s">
        <v>22</v>
      </c>
      <c r="J6070" s="2" t="s">
        <v>42</v>
      </c>
      <c r="K6070" s="2" t="s">
        <v>3019</v>
      </c>
      <c r="L6070" t="s">
        <v>25</v>
      </c>
      <c r="M6070" s="10" t="s">
        <v>26</v>
      </c>
      <c r="N6070" t="s">
        <v>26</v>
      </c>
      <c r="O6070" s="10" t="s">
        <v>26</v>
      </c>
      <c r="P6070" s="8" t="s">
        <v>26</v>
      </c>
      <c r="Q6070" s="8">
        <f>(5996898*100)/6073515</f>
        <v>98.738506449724753</v>
      </c>
    </row>
    <row r="6071" spans="1:17" x14ac:dyDescent="0.2">
      <c r="A6071">
        <f>YEAR(D6071)</f>
        <v>2020</v>
      </c>
      <c r="B6071" t="s">
        <v>26</v>
      </c>
      <c r="C6071" s="2" t="s">
        <v>3018</v>
      </c>
      <c r="D6071" s="1">
        <v>44081</v>
      </c>
      <c r="E6071">
        <f>MONTH(D6071)</f>
        <v>9</v>
      </c>
      <c r="F6071" s="2" t="s">
        <v>2098</v>
      </c>
      <c r="G6071" t="s">
        <v>219</v>
      </c>
      <c r="H6071" t="s">
        <v>220</v>
      </c>
      <c r="I6071" t="s">
        <v>22</v>
      </c>
      <c r="J6071" s="2" t="s">
        <v>42</v>
      </c>
      <c r="K6071" s="2" t="s">
        <v>3019</v>
      </c>
      <c r="L6071" t="s">
        <v>25</v>
      </c>
      <c r="M6071" s="10" t="s">
        <v>26</v>
      </c>
      <c r="N6071" t="s">
        <v>26</v>
      </c>
      <c r="O6071" s="10" t="s">
        <v>26</v>
      </c>
      <c r="P6071" s="8" t="s">
        <v>26</v>
      </c>
      <c r="Q6071" s="8">
        <f>(5996898*100)/6073515</f>
        <v>98.738506449724753</v>
      </c>
    </row>
    <row r="6072" spans="1:17" x14ac:dyDescent="0.2">
      <c r="A6072">
        <f>YEAR(D6072)</f>
        <v>2020</v>
      </c>
      <c r="B6072" t="s">
        <v>26</v>
      </c>
      <c r="C6072" s="2" t="s">
        <v>3018</v>
      </c>
      <c r="D6072" s="1">
        <v>44081</v>
      </c>
      <c r="E6072">
        <f>MONTH(D6072)</f>
        <v>9</v>
      </c>
      <c r="F6072" s="2" t="s">
        <v>2098</v>
      </c>
      <c r="G6072" t="s">
        <v>219</v>
      </c>
      <c r="H6072" t="s">
        <v>220</v>
      </c>
      <c r="I6072" t="s">
        <v>22</v>
      </c>
      <c r="J6072" s="2" t="s">
        <v>42</v>
      </c>
      <c r="K6072" s="2" t="s">
        <v>3019</v>
      </c>
      <c r="L6072" t="s">
        <v>25</v>
      </c>
      <c r="M6072" s="10" t="s">
        <v>26</v>
      </c>
      <c r="N6072" t="s">
        <v>26</v>
      </c>
      <c r="O6072" s="10" t="s">
        <v>26</v>
      </c>
      <c r="P6072" s="8" t="s">
        <v>26</v>
      </c>
      <c r="Q6072" s="8">
        <f>(5996898*100)/6073515</f>
        <v>98.738506449724753</v>
      </c>
    </row>
    <row r="6073" spans="1:17" x14ac:dyDescent="0.2">
      <c r="A6073">
        <f>YEAR(D6073)</f>
        <v>2020</v>
      </c>
      <c r="B6073" t="s">
        <v>26</v>
      </c>
      <c r="C6073" s="2" t="s">
        <v>3018</v>
      </c>
      <c r="D6073" s="1">
        <v>44081</v>
      </c>
      <c r="E6073">
        <f>MONTH(D6073)</f>
        <v>9</v>
      </c>
      <c r="F6073" s="2" t="s">
        <v>2098</v>
      </c>
      <c r="G6073" t="s">
        <v>230</v>
      </c>
      <c r="H6073" t="s">
        <v>259</v>
      </c>
      <c r="I6073" t="s">
        <v>22</v>
      </c>
      <c r="J6073" s="2" t="s">
        <v>42</v>
      </c>
      <c r="K6073" s="2" t="s">
        <v>3019</v>
      </c>
      <c r="L6073" t="s">
        <v>25</v>
      </c>
      <c r="M6073" s="8">
        <v>4.2283333330000001</v>
      </c>
      <c r="N6073" t="s">
        <v>26</v>
      </c>
      <c r="O6073" s="8">
        <v>4.2283333330000001</v>
      </c>
      <c r="P6073" s="8">
        <f>EXP(-1.363+3.366*LOG(O6073,10))</f>
        <v>2.1057792396965977</v>
      </c>
      <c r="Q6073" s="8">
        <f>(5996898*100)/6073515</f>
        <v>98.738506449724753</v>
      </c>
    </row>
    <row r="6074" spans="1:17" x14ac:dyDescent="0.2">
      <c r="A6074">
        <f>YEAR(D6074)</f>
        <v>2020</v>
      </c>
      <c r="B6074" t="s">
        <v>26</v>
      </c>
      <c r="C6074" s="2" t="s">
        <v>3018</v>
      </c>
      <c r="D6074" s="1">
        <v>44081</v>
      </c>
      <c r="E6074">
        <f>MONTH(D6074)</f>
        <v>9</v>
      </c>
      <c r="F6074" s="2" t="s">
        <v>2098</v>
      </c>
      <c r="G6074" t="s">
        <v>219</v>
      </c>
      <c r="H6074" t="s">
        <v>220</v>
      </c>
      <c r="I6074" t="s">
        <v>22</v>
      </c>
      <c r="J6074" s="2" t="s">
        <v>42</v>
      </c>
      <c r="K6074" s="2" t="s">
        <v>3019</v>
      </c>
      <c r="L6074" t="s">
        <v>25</v>
      </c>
      <c r="M6074" s="10" t="s">
        <v>26</v>
      </c>
      <c r="N6074" t="s">
        <v>26</v>
      </c>
      <c r="O6074" s="10" t="s">
        <v>26</v>
      </c>
      <c r="P6074" s="8" t="s">
        <v>26</v>
      </c>
      <c r="Q6074" s="8">
        <f>(5996898*100)/6073515</f>
        <v>98.738506449724753</v>
      </c>
    </row>
    <row r="6075" spans="1:17" x14ac:dyDescent="0.2">
      <c r="A6075">
        <f>YEAR(D6075)</f>
        <v>2020</v>
      </c>
      <c r="B6075" t="s">
        <v>26</v>
      </c>
      <c r="C6075" s="2" t="s">
        <v>3018</v>
      </c>
      <c r="D6075" s="1">
        <v>44081</v>
      </c>
      <c r="E6075">
        <f>MONTH(D6075)</f>
        <v>9</v>
      </c>
      <c r="F6075" s="2" t="s">
        <v>2098</v>
      </c>
      <c r="G6075" t="s">
        <v>230</v>
      </c>
      <c r="H6075" t="s">
        <v>268</v>
      </c>
      <c r="I6075" t="s">
        <v>36</v>
      </c>
      <c r="J6075" s="2" t="s">
        <v>42</v>
      </c>
      <c r="K6075" s="2" t="s">
        <v>3019</v>
      </c>
      <c r="L6075" t="s">
        <v>25</v>
      </c>
      <c r="M6075" s="8">
        <v>3.3683333329999998</v>
      </c>
      <c r="N6075" t="s">
        <v>26</v>
      </c>
      <c r="O6075" s="8">
        <v>3.3683333329999998</v>
      </c>
      <c r="P6075" s="8">
        <f>EXP(-1.363+3.366*LOG(O6075,10))</f>
        <v>1.510255893489963</v>
      </c>
      <c r="Q6075" s="8">
        <f>(5996898*100)/6073515</f>
        <v>98.738506449724753</v>
      </c>
    </row>
    <row r="6076" spans="1:17" x14ac:dyDescent="0.2">
      <c r="A6076">
        <f>YEAR(D6076)</f>
        <v>2020</v>
      </c>
      <c r="B6076" t="s">
        <v>26</v>
      </c>
      <c r="C6076" s="2" t="s">
        <v>3018</v>
      </c>
      <c r="D6076" s="1">
        <v>44081</v>
      </c>
      <c r="E6076">
        <f>MONTH(D6076)</f>
        <v>9</v>
      </c>
      <c r="F6076" s="2" t="s">
        <v>2098</v>
      </c>
      <c r="G6076" t="s">
        <v>230</v>
      </c>
      <c r="H6076" t="s">
        <v>268</v>
      </c>
      <c r="I6076" t="s">
        <v>36</v>
      </c>
      <c r="J6076" s="2" t="s">
        <v>42</v>
      </c>
      <c r="K6076" s="2" t="s">
        <v>3019</v>
      </c>
      <c r="L6076" t="s">
        <v>25</v>
      </c>
      <c r="M6076" s="8">
        <v>3.3683333329999998</v>
      </c>
      <c r="N6076" t="s">
        <v>26</v>
      </c>
      <c r="O6076" s="8">
        <v>3.3683333329999998</v>
      </c>
      <c r="P6076" s="8">
        <f>EXP(-1.363+3.366*LOG(O6076,10))</f>
        <v>1.510255893489963</v>
      </c>
      <c r="Q6076" s="8">
        <f>(5996898*100)/6073515</f>
        <v>98.738506449724753</v>
      </c>
    </row>
    <row r="6077" spans="1:17" x14ac:dyDescent="0.2">
      <c r="A6077">
        <f>YEAR(D6077)</f>
        <v>2020</v>
      </c>
      <c r="B6077" t="s">
        <v>26</v>
      </c>
      <c r="C6077" s="2" t="s">
        <v>3018</v>
      </c>
      <c r="D6077" s="1">
        <v>44081</v>
      </c>
      <c r="E6077">
        <f>MONTH(D6077)</f>
        <v>9</v>
      </c>
      <c r="F6077" s="2" t="s">
        <v>2098</v>
      </c>
      <c r="G6077" t="s">
        <v>230</v>
      </c>
      <c r="H6077" t="s">
        <v>268</v>
      </c>
      <c r="I6077" t="s">
        <v>22</v>
      </c>
      <c r="J6077" s="2" t="s">
        <v>42</v>
      </c>
      <c r="K6077" s="2" t="s">
        <v>3019</v>
      </c>
      <c r="L6077" t="s">
        <v>25</v>
      </c>
      <c r="M6077" s="8">
        <v>3.5356666670000001</v>
      </c>
      <c r="N6077" t="s">
        <v>26</v>
      </c>
      <c r="O6077" s="8">
        <v>3.5356666670000001</v>
      </c>
      <c r="P6077" s="8">
        <f>EXP(-1.363+3.366*LOG(O6077,10))</f>
        <v>1.6211802664427075</v>
      </c>
      <c r="Q6077" s="8">
        <f>(5996898*100)/6073515</f>
        <v>98.738506449724753</v>
      </c>
    </row>
    <row r="6078" spans="1:17" x14ac:dyDescent="0.2">
      <c r="A6078">
        <f>YEAR(D6078)</f>
        <v>2020</v>
      </c>
      <c r="B6078" t="s">
        <v>26</v>
      </c>
      <c r="C6078" s="2" t="s">
        <v>3018</v>
      </c>
      <c r="D6078" s="1">
        <v>44081</v>
      </c>
      <c r="E6078">
        <f>MONTH(D6078)</f>
        <v>9</v>
      </c>
      <c r="F6078" s="2" t="s">
        <v>2098</v>
      </c>
      <c r="G6078" t="s">
        <v>230</v>
      </c>
      <c r="H6078" t="s">
        <v>268</v>
      </c>
      <c r="I6078" t="s">
        <v>22</v>
      </c>
      <c r="J6078" s="2" t="s">
        <v>42</v>
      </c>
      <c r="K6078" s="2" t="s">
        <v>3019</v>
      </c>
      <c r="L6078" t="s">
        <v>25</v>
      </c>
      <c r="M6078" s="8">
        <v>3.5356666670000001</v>
      </c>
      <c r="N6078" t="s">
        <v>26</v>
      </c>
      <c r="O6078" s="8">
        <v>3.5356666670000001</v>
      </c>
      <c r="P6078" s="8">
        <f>EXP(-1.363+3.366*LOG(O6078,10))</f>
        <v>1.6211802664427075</v>
      </c>
      <c r="Q6078" s="8">
        <f>(5996898*100)/6073515</f>
        <v>98.738506449724753</v>
      </c>
    </row>
    <row r="6079" spans="1:17" x14ac:dyDescent="0.2">
      <c r="A6079">
        <f>YEAR(D6079)</f>
        <v>2020</v>
      </c>
      <c r="B6079" t="s">
        <v>26</v>
      </c>
      <c r="C6079" s="2" t="s">
        <v>3018</v>
      </c>
      <c r="D6079" s="1">
        <v>44081</v>
      </c>
      <c r="E6079">
        <f>MONTH(D6079)</f>
        <v>9</v>
      </c>
      <c r="F6079" s="2" t="s">
        <v>2098</v>
      </c>
      <c r="G6079" t="s">
        <v>230</v>
      </c>
      <c r="H6079" t="s">
        <v>268</v>
      </c>
      <c r="I6079" t="s">
        <v>36</v>
      </c>
      <c r="J6079" s="2" t="s">
        <v>42</v>
      </c>
      <c r="K6079" s="2" t="s">
        <v>3019</v>
      </c>
      <c r="L6079" t="s">
        <v>25</v>
      </c>
      <c r="M6079" s="8">
        <v>3.3683333329999998</v>
      </c>
      <c r="N6079" t="s">
        <v>26</v>
      </c>
      <c r="O6079" s="8">
        <v>3.3683333329999998</v>
      </c>
      <c r="P6079" s="8">
        <f>EXP(-1.363+3.366*LOG(O6079,10))</f>
        <v>1.510255893489963</v>
      </c>
      <c r="Q6079" s="8">
        <f>(5996898*100)/6073515</f>
        <v>98.738506449724753</v>
      </c>
    </row>
    <row r="6080" spans="1:17" x14ac:dyDescent="0.2">
      <c r="A6080">
        <f>YEAR(D6080)</f>
        <v>2020</v>
      </c>
      <c r="B6080" t="s">
        <v>26</v>
      </c>
      <c r="C6080" s="2" t="s">
        <v>3018</v>
      </c>
      <c r="D6080" s="1">
        <v>44081</v>
      </c>
      <c r="E6080">
        <f>MONTH(D6080)</f>
        <v>9</v>
      </c>
      <c r="F6080" s="2" t="s">
        <v>2098</v>
      </c>
      <c r="G6080" t="s">
        <v>230</v>
      </c>
      <c r="H6080" t="s">
        <v>268</v>
      </c>
      <c r="I6080" t="s">
        <v>22</v>
      </c>
      <c r="J6080" s="2" t="s">
        <v>42</v>
      </c>
      <c r="K6080" s="2" t="s">
        <v>3019</v>
      </c>
      <c r="L6080" t="s">
        <v>25</v>
      </c>
      <c r="M6080" s="8">
        <v>3.5356666670000001</v>
      </c>
      <c r="N6080" t="s">
        <v>26</v>
      </c>
      <c r="O6080" s="8">
        <v>3.5356666670000001</v>
      </c>
      <c r="P6080" s="8">
        <f>EXP(-1.363+3.366*LOG(O6080,10))</f>
        <v>1.6211802664427075</v>
      </c>
      <c r="Q6080" s="8">
        <f>(5996898*100)/6073515</f>
        <v>98.738506449724753</v>
      </c>
    </row>
    <row r="6081" spans="1:17" x14ac:dyDescent="0.2">
      <c r="A6081">
        <f>YEAR(D6081)</f>
        <v>2020</v>
      </c>
      <c r="B6081" t="s">
        <v>26</v>
      </c>
      <c r="C6081" s="2" t="s">
        <v>3018</v>
      </c>
      <c r="D6081" s="1">
        <v>44081</v>
      </c>
      <c r="E6081">
        <f>MONTH(D6081)</f>
        <v>9</v>
      </c>
      <c r="F6081" s="2" t="s">
        <v>2098</v>
      </c>
      <c r="G6081" t="s">
        <v>230</v>
      </c>
      <c r="H6081" t="s">
        <v>268</v>
      </c>
      <c r="I6081" t="s">
        <v>22</v>
      </c>
      <c r="J6081" s="2" t="s">
        <v>42</v>
      </c>
      <c r="K6081" s="2" t="s">
        <v>3019</v>
      </c>
      <c r="L6081" t="s">
        <v>25</v>
      </c>
      <c r="M6081" s="8">
        <v>3.5356666670000001</v>
      </c>
      <c r="N6081" t="s">
        <v>26</v>
      </c>
      <c r="O6081" s="8">
        <v>3.5356666670000001</v>
      </c>
      <c r="P6081" s="8">
        <f>EXP(-1.363+3.366*LOG(O6081,10))</f>
        <v>1.6211802664427075</v>
      </c>
      <c r="Q6081" s="8">
        <f>(5996898*100)/6073515</f>
        <v>98.738506449724753</v>
      </c>
    </row>
    <row r="6082" spans="1:17" x14ac:dyDescent="0.2">
      <c r="A6082">
        <f>YEAR(D6082)</f>
        <v>2020</v>
      </c>
      <c r="B6082" t="s">
        <v>26</v>
      </c>
      <c r="C6082" s="2" t="s">
        <v>3018</v>
      </c>
      <c r="D6082" s="1">
        <v>44081</v>
      </c>
      <c r="E6082">
        <f>MONTH(D6082)</f>
        <v>9</v>
      </c>
      <c r="F6082" s="2" t="s">
        <v>2098</v>
      </c>
      <c r="G6082" t="s">
        <v>230</v>
      </c>
      <c r="H6082" t="s">
        <v>268</v>
      </c>
      <c r="I6082" t="s">
        <v>22</v>
      </c>
      <c r="J6082" s="2" t="s">
        <v>42</v>
      </c>
      <c r="K6082" s="2" t="s">
        <v>3019</v>
      </c>
      <c r="L6082" t="s">
        <v>25</v>
      </c>
      <c r="M6082" s="8">
        <v>3.5356666670000001</v>
      </c>
      <c r="N6082" t="s">
        <v>26</v>
      </c>
      <c r="O6082" s="8">
        <v>3.5356666670000001</v>
      </c>
      <c r="P6082" s="8">
        <f>EXP(-1.363+3.366*LOG(O6082,10))</f>
        <v>1.6211802664427075</v>
      </c>
      <c r="Q6082" s="8">
        <f>(5996898*100)/6073515</f>
        <v>98.738506449724753</v>
      </c>
    </row>
    <row r="6083" spans="1:17" x14ac:dyDescent="0.2">
      <c r="A6083">
        <f>YEAR(D6083)</f>
        <v>2020</v>
      </c>
      <c r="B6083" t="s">
        <v>26</v>
      </c>
      <c r="C6083" s="2" t="s">
        <v>3018</v>
      </c>
      <c r="D6083" s="1">
        <v>44081</v>
      </c>
      <c r="E6083">
        <f>MONTH(D6083)</f>
        <v>9</v>
      </c>
      <c r="F6083" s="2" t="s">
        <v>2098</v>
      </c>
      <c r="G6083" t="s">
        <v>230</v>
      </c>
      <c r="H6083" t="s">
        <v>268</v>
      </c>
      <c r="I6083" t="s">
        <v>22</v>
      </c>
      <c r="J6083" s="2" t="s">
        <v>42</v>
      </c>
      <c r="K6083" s="2" t="s">
        <v>3019</v>
      </c>
      <c r="L6083" t="s">
        <v>25</v>
      </c>
      <c r="M6083" s="8">
        <v>3.5356666670000001</v>
      </c>
      <c r="N6083" t="s">
        <v>26</v>
      </c>
      <c r="O6083" s="8">
        <v>3.5356666670000001</v>
      </c>
      <c r="P6083" s="8">
        <f>EXP(-1.363+3.366*LOG(O6083,10))</f>
        <v>1.6211802664427075</v>
      </c>
      <c r="Q6083" s="8">
        <f>(5996898*100)/6073515</f>
        <v>98.738506449724753</v>
      </c>
    </row>
    <row r="6084" spans="1:17" x14ac:dyDescent="0.2">
      <c r="A6084">
        <f>YEAR(D6084)</f>
        <v>2020</v>
      </c>
      <c r="B6084" t="s">
        <v>26</v>
      </c>
      <c r="C6084" s="2" t="s">
        <v>3018</v>
      </c>
      <c r="D6084" s="1">
        <v>44081</v>
      </c>
      <c r="E6084">
        <f>MONTH(D6084)</f>
        <v>9</v>
      </c>
      <c r="F6084" s="2" t="s">
        <v>2098</v>
      </c>
      <c r="G6084" t="s">
        <v>230</v>
      </c>
      <c r="H6084" t="s">
        <v>268</v>
      </c>
      <c r="I6084" t="s">
        <v>22</v>
      </c>
      <c r="J6084" s="2" t="s">
        <v>42</v>
      </c>
      <c r="K6084" s="2" t="s">
        <v>3019</v>
      </c>
      <c r="L6084" t="s">
        <v>25</v>
      </c>
      <c r="M6084" s="8">
        <v>3.5356666670000001</v>
      </c>
      <c r="N6084" t="s">
        <v>26</v>
      </c>
      <c r="O6084" s="8">
        <v>3.5356666670000001</v>
      </c>
      <c r="P6084" s="8">
        <f>EXP(-1.363+3.366*LOG(O6084,10))</f>
        <v>1.6211802664427075</v>
      </c>
      <c r="Q6084" s="8">
        <f>(5996898*100)/6073515</f>
        <v>98.738506449724753</v>
      </c>
    </row>
    <row r="6085" spans="1:17" x14ac:dyDescent="0.2">
      <c r="A6085">
        <f>YEAR(D6085)</f>
        <v>2020</v>
      </c>
      <c r="B6085" t="s">
        <v>26</v>
      </c>
      <c r="C6085" s="2" t="s">
        <v>3018</v>
      </c>
      <c r="D6085" s="1">
        <v>44081</v>
      </c>
      <c r="E6085">
        <f>MONTH(D6085)</f>
        <v>9</v>
      </c>
      <c r="F6085" s="2" t="s">
        <v>2098</v>
      </c>
      <c r="G6085" t="s">
        <v>230</v>
      </c>
      <c r="H6085" t="s">
        <v>268</v>
      </c>
      <c r="I6085" t="s">
        <v>36</v>
      </c>
      <c r="J6085" s="2" t="s">
        <v>42</v>
      </c>
      <c r="K6085" s="2" t="s">
        <v>3019</v>
      </c>
      <c r="L6085" t="s">
        <v>25</v>
      </c>
      <c r="M6085" s="8">
        <v>3.3683333329999998</v>
      </c>
      <c r="N6085" t="s">
        <v>26</v>
      </c>
      <c r="O6085" s="8">
        <v>3.3683333329999998</v>
      </c>
      <c r="P6085" s="8">
        <f>EXP(-1.363+3.366*LOG(O6085,10))</f>
        <v>1.510255893489963</v>
      </c>
      <c r="Q6085" s="8">
        <f>(5996898*100)/6073515</f>
        <v>98.738506449724753</v>
      </c>
    </row>
    <row r="6086" spans="1:17" x14ac:dyDescent="0.2">
      <c r="A6086">
        <f>YEAR(D6086)</f>
        <v>2020</v>
      </c>
      <c r="B6086" t="s">
        <v>26</v>
      </c>
      <c r="C6086" s="2" t="s">
        <v>3018</v>
      </c>
      <c r="D6086" s="1">
        <v>44081</v>
      </c>
      <c r="E6086">
        <f>MONTH(D6086)</f>
        <v>9</v>
      </c>
      <c r="F6086" s="2" t="s">
        <v>2098</v>
      </c>
      <c r="G6086" t="s">
        <v>219</v>
      </c>
      <c r="H6086" t="s">
        <v>220</v>
      </c>
      <c r="I6086" t="s">
        <v>22</v>
      </c>
      <c r="J6086" s="2" t="s">
        <v>42</v>
      </c>
      <c r="K6086" s="2" t="s">
        <v>3019</v>
      </c>
      <c r="L6086" t="s">
        <v>25</v>
      </c>
      <c r="M6086" s="10" t="s">
        <v>26</v>
      </c>
      <c r="N6086" t="s">
        <v>26</v>
      </c>
      <c r="O6086" s="10" t="s">
        <v>26</v>
      </c>
      <c r="P6086" s="8" t="s">
        <v>26</v>
      </c>
      <c r="Q6086" s="8">
        <f>(5996898*100)/6073515</f>
        <v>98.738506449724753</v>
      </c>
    </row>
    <row r="6087" spans="1:17" x14ac:dyDescent="0.2">
      <c r="A6087">
        <f>YEAR(D6087)</f>
        <v>2020</v>
      </c>
      <c r="B6087" t="s">
        <v>26</v>
      </c>
      <c r="C6087" s="2" t="s">
        <v>3018</v>
      </c>
      <c r="D6087" s="1">
        <v>44081</v>
      </c>
      <c r="E6087">
        <f>MONTH(D6087)</f>
        <v>9</v>
      </c>
      <c r="F6087" s="2" t="s">
        <v>2098</v>
      </c>
      <c r="G6087" t="s">
        <v>318</v>
      </c>
      <c r="H6087" t="s">
        <v>319</v>
      </c>
      <c r="I6087" t="s">
        <v>22</v>
      </c>
      <c r="J6087" s="2" t="s">
        <v>42</v>
      </c>
      <c r="K6087" s="2" t="s">
        <v>3019</v>
      </c>
      <c r="L6087" t="s">
        <v>25</v>
      </c>
      <c r="M6087" s="8">
        <v>5.71</v>
      </c>
      <c r="N6087" t="s">
        <v>26</v>
      </c>
      <c r="O6087" s="8">
        <v>5.71</v>
      </c>
      <c r="P6087" s="8">
        <f>EXP(-1.363+3.366*LOG(O6087,10))</f>
        <v>3.2668856822755741</v>
      </c>
      <c r="Q6087" s="8">
        <f>(5996898*100)/6073515</f>
        <v>98.738506449724753</v>
      </c>
    </row>
    <row r="6088" spans="1:17" x14ac:dyDescent="0.2">
      <c r="A6088">
        <f>YEAR(D6088)</f>
        <v>2020</v>
      </c>
      <c r="B6088" t="s">
        <v>26</v>
      </c>
      <c r="C6088" s="2" t="s">
        <v>3018</v>
      </c>
      <c r="D6088" s="1">
        <v>44081</v>
      </c>
      <c r="E6088">
        <f>MONTH(D6088)</f>
        <v>9</v>
      </c>
      <c r="F6088" s="2" t="s">
        <v>2098</v>
      </c>
      <c r="G6088" t="s">
        <v>230</v>
      </c>
      <c r="H6088" t="s">
        <v>268</v>
      </c>
      <c r="I6088" t="s">
        <v>36</v>
      </c>
      <c r="J6088" s="2" t="s">
        <v>42</v>
      </c>
      <c r="K6088" s="2" t="s">
        <v>3019</v>
      </c>
      <c r="L6088" t="s">
        <v>25</v>
      </c>
      <c r="M6088" s="8">
        <v>3.3683333329999998</v>
      </c>
      <c r="N6088" t="s">
        <v>26</v>
      </c>
      <c r="O6088" s="8">
        <v>3.3683333329999998</v>
      </c>
      <c r="P6088" s="8">
        <f>EXP(-1.363+3.366*LOG(O6088,10))</f>
        <v>1.510255893489963</v>
      </c>
      <c r="Q6088" s="8">
        <f>(5996898*100)/6073515</f>
        <v>98.738506449724753</v>
      </c>
    </row>
    <row r="6089" spans="1:17" x14ac:dyDescent="0.2">
      <c r="A6089">
        <f>YEAR(D6089)</f>
        <v>2020</v>
      </c>
      <c r="B6089" t="s">
        <v>26</v>
      </c>
      <c r="C6089" s="2" t="s">
        <v>3018</v>
      </c>
      <c r="D6089" s="1">
        <v>44081</v>
      </c>
      <c r="E6089">
        <f>MONTH(D6089)</f>
        <v>9</v>
      </c>
      <c r="F6089" s="2" t="s">
        <v>2098</v>
      </c>
      <c r="G6089" t="s">
        <v>219</v>
      </c>
      <c r="H6089" t="s">
        <v>220</v>
      </c>
      <c r="I6089" t="s">
        <v>22</v>
      </c>
      <c r="J6089" s="2" t="s">
        <v>42</v>
      </c>
      <c r="K6089" s="2" t="s">
        <v>3019</v>
      </c>
      <c r="L6089" t="s">
        <v>25</v>
      </c>
      <c r="M6089" s="10" t="s">
        <v>26</v>
      </c>
      <c r="N6089" t="s">
        <v>26</v>
      </c>
      <c r="O6089" s="10" t="s">
        <v>26</v>
      </c>
      <c r="P6089" s="8" t="s">
        <v>26</v>
      </c>
      <c r="Q6089" s="8">
        <f>(5996898*100)/6073515</f>
        <v>98.738506449724753</v>
      </c>
    </row>
    <row r="6090" spans="1:17" x14ac:dyDescent="0.2">
      <c r="A6090">
        <f>YEAR(D6090)</f>
        <v>2020</v>
      </c>
      <c r="B6090" t="s">
        <v>26</v>
      </c>
      <c r="C6090" s="2" t="s">
        <v>3018</v>
      </c>
      <c r="D6090" s="1">
        <v>44081</v>
      </c>
      <c r="E6090">
        <f>MONTH(D6090)</f>
        <v>9</v>
      </c>
      <c r="F6090" s="2" t="s">
        <v>2098</v>
      </c>
      <c r="G6090" t="s">
        <v>230</v>
      </c>
      <c r="H6090" t="s">
        <v>268</v>
      </c>
      <c r="I6090" t="s">
        <v>36</v>
      </c>
      <c r="J6090" s="2" t="s">
        <v>42</v>
      </c>
      <c r="K6090" s="2" t="s">
        <v>3019</v>
      </c>
      <c r="L6090" t="s">
        <v>25</v>
      </c>
      <c r="M6090" s="8">
        <v>3.3683333329999998</v>
      </c>
      <c r="N6090" t="s">
        <v>26</v>
      </c>
      <c r="O6090" s="8">
        <v>3.3683333329999998</v>
      </c>
      <c r="P6090" s="8">
        <f>EXP(-1.363+3.366*LOG(O6090,10))</f>
        <v>1.510255893489963</v>
      </c>
      <c r="Q6090" s="8">
        <f>(5996898*100)/6073515</f>
        <v>98.738506449724753</v>
      </c>
    </row>
    <row r="6091" spans="1:17" x14ac:dyDescent="0.2">
      <c r="A6091">
        <f>YEAR(D6091)</f>
        <v>2020</v>
      </c>
      <c r="B6091" t="s">
        <v>26</v>
      </c>
      <c r="C6091" s="2" t="s">
        <v>3018</v>
      </c>
      <c r="D6091" s="1">
        <v>44081</v>
      </c>
      <c r="E6091">
        <f>MONTH(D6091)</f>
        <v>9</v>
      </c>
      <c r="F6091" s="2" t="s">
        <v>2098</v>
      </c>
      <c r="G6091" t="s">
        <v>362</v>
      </c>
      <c r="H6091" t="s">
        <v>2030</v>
      </c>
      <c r="I6091" t="s">
        <v>22</v>
      </c>
      <c r="J6091" s="2" t="s">
        <v>42</v>
      </c>
      <c r="K6091" s="2" t="s">
        <v>3019</v>
      </c>
      <c r="L6091" t="s">
        <v>25</v>
      </c>
      <c r="M6091" s="8">
        <v>1.4923333329999999</v>
      </c>
      <c r="N6091" t="s">
        <v>26</v>
      </c>
      <c r="O6091" s="8">
        <v>1.4923333329999999</v>
      </c>
      <c r="P6091" s="8">
        <f>EXP(-1.363+3.366*LOG(O6091,10))</f>
        <v>0.45943050733617752</v>
      </c>
      <c r="Q6091" s="8">
        <f>(5996898*100)/6073515</f>
        <v>98.738506449724753</v>
      </c>
    </row>
    <row r="6092" spans="1:17" x14ac:dyDescent="0.2">
      <c r="A6092">
        <f>YEAR(D6092)</f>
        <v>2020</v>
      </c>
      <c r="B6092" t="s">
        <v>26</v>
      </c>
      <c r="C6092" s="2" t="s">
        <v>3018</v>
      </c>
      <c r="D6092" s="1">
        <v>44081</v>
      </c>
      <c r="E6092">
        <f>MONTH(D6092)</f>
        <v>9</v>
      </c>
      <c r="F6092" s="2" t="s">
        <v>2098</v>
      </c>
      <c r="G6092" t="s">
        <v>362</v>
      </c>
      <c r="H6092" t="s">
        <v>2030</v>
      </c>
      <c r="I6092" t="s">
        <v>22</v>
      </c>
      <c r="J6092" s="2" t="s">
        <v>42</v>
      </c>
      <c r="K6092" s="2" t="s">
        <v>3019</v>
      </c>
      <c r="L6092" t="s">
        <v>25</v>
      </c>
      <c r="M6092" s="8">
        <v>1.4923333329999999</v>
      </c>
      <c r="N6092" t="s">
        <v>26</v>
      </c>
      <c r="O6092" s="8">
        <v>1.4923333329999999</v>
      </c>
      <c r="P6092" s="8">
        <f>EXP(-1.363+3.366*LOG(O6092,10))</f>
        <v>0.45943050733617752</v>
      </c>
      <c r="Q6092" s="8">
        <f>(5996898*100)/6073515</f>
        <v>98.738506449724753</v>
      </c>
    </row>
    <row r="6093" spans="1:17" x14ac:dyDescent="0.2">
      <c r="A6093">
        <f>YEAR(D6093)</f>
        <v>2020</v>
      </c>
      <c r="B6093" t="s">
        <v>26</v>
      </c>
      <c r="C6093" s="2" t="s">
        <v>3018</v>
      </c>
      <c r="D6093" s="1">
        <v>44081</v>
      </c>
      <c r="E6093">
        <f>MONTH(D6093)</f>
        <v>9</v>
      </c>
      <c r="F6093" s="2" t="s">
        <v>2098</v>
      </c>
      <c r="G6093" t="s">
        <v>352</v>
      </c>
      <c r="H6093" t="s">
        <v>494</v>
      </c>
      <c r="I6093" t="s">
        <v>22</v>
      </c>
      <c r="J6093" s="2" t="s">
        <v>42</v>
      </c>
      <c r="K6093" s="2" t="s">
        <v>3019</v>
      </c>
      <c r="L6093" t="s">
        <v>25</v>
      </c>
      <c r="M6093" s="8">
        <v>1.7226666669999999</v>
      </c>
      <c r="N6093" t="s">
        <v>26</v>
      </c>
      <c r="O6093" s="8">
        <v>1.7226666669999999</v>
      </c>
      <c r="P6093" s="8">
        <f>EXP(-1.363+3.366*LOG(O6093,10))</f>
        <v>0.56668788662759551</v>
      </c>
      <c r="Q6093" s="8">
        <f>(5996898*100)/6073515</f>
        <v>98.738506449724753</v>
      </c>
    </row>
    <row r="6094" spans="1:17" x14ac:dyDescent="0.2">
      <c r="A6094">
        <f>YEAR(D6094)</f>
        <v>2020</v>
      </c>
      <c r="B6094" t="s">
        <v>26</v>
      </c>
      <c r="C6094" s="2" t="s">
        <v>3018</v>
      </c>
      <c r="D6094" s="1">
        <v>44081</v>
      </c>
      <c r="E6094">
        <f>MONTH(D6094)</f>
        <v>9</v>
      </c>
      <c r="F6094" s="2" t="s">
        <v>2098</v>
      </c>
      <c r="G6094" t="s">
        <v>1520</v>
      </c>
      <c r="H6094" t="s">
        <v>1521</v>
      </c>
      <c r="I6094" t="s">
        <v>36</v>
      </c>
      <c r="J6094" s="2" t="s">
        <v>42</v>
      </c>
      <c r="K6094" s="2" t="s">
        <v>3019</v>
      </c>
      <c r="L6094" t="s">
        <v>25</v>
      </c>
      <c r="M6094" s="8">
        <v>2.3340000000000001</v>
      </c>
      <c r="N6094" t="s">
        <v>26</v>
      </c>
      <c r="O6094" s="8">
        <v>2.3340000000000001</v>
      </c>
      <c r="P6094" s="8">
        <f>EXP(-1.363+3.366*LOG(O6094,10))</f>
        <v>0.88340410488080767</v>
      </c>
      <c r="Q6094" s="8">
        <f>(5996898*100)/6073515</f>
        <v>98.738506449724753</v>
      </c>
    </row>
    <row r="6095" spans="1:17" x14ac:dyDescent="0.2">
      <c r="A6095">
        <f>YEAR(D6095)</f>
        <v>2020</v>
      </c>
      <c r="B6095" t="s">
        <v>26</v>
      </c>
      <c r="C6095" s="2" t="s">
        <v>3018</v>
      </c>
      <c r="D6095" s="1">
        <v>44081</v>
      </c>
      <c r="E6095">
        <f>MONTH(D6095)</f>
        <v>9</v>
      </c>
      <c r="F6095" s="2" t="s">
        <v>2098</v>
      </c>
      <c r="G6095" t="s">
        <v>1520</v>
      </c>
      <c r="H6095" t="s">
        <v>1521</v>
      </c>
      <c r="I6095" t="s">
        <v>22</v>
      </c>
      <c r="J6095" s="2" t="s">
        <v>42</v>
      </c>
      <c r="K6095" s="2" t="s">
        <v>3019</v>
      </c>
      <c r="L6095" t="s">
        <v>25</v>
      </c>
      <c r="M6095" s="8">
        <v>2.952</v>
      </c>
      <c r="N6095" t="s">
        <v>26</v>
      </c>
      <c r="O6095" s="8">
        <v>2.952</v>
      </c>
      <c r="P6095" s="8">
        <f>EXP(-1.363+3.366*LOG(O6095,10))</f>
        <v>1.2453438103764427</v>
      </c>
      <c r="Q6095" s="8">
        <f>(5996898*100)/6073515</f>
        <v>98.738506449724753</v>
      </c>
    </row>
    <row r="6096" spans="1:17" x14ac:dyDescent="0.2">
      <c r="A6096">
        <f>YEAR(D6096)</f>
        <v>2020</v>
      </c>
      <c r="B6096" t="s">
        <v>26</v>
      </c>
      <c r="C6096" s="2" t="s">
        <v>3018</v>
      </c>
      <c r="D6096" s="1">
        <v>44081</v>
      </c>
      <c r="E6096">
        <f>MONTH(D6096)</f>
        <v>9</v>
      </c>
      <c r="F6096" s="2" t="s">
        <v>2098</v>
      </c>
      <c r="G6096" t="s">
        <v>1520</v>
      </c>
      <c r="H6096" t="s">
        <v>1528</v>
      </c>
      <c r="I6096" t="s">
        <v>36</v>
      </c>
      <c r="J6096" s="2" t="s">
        <v>42</v>
      </c>
      <c r="K6096" s="2" t="s">
        <v>3019</v>
      </c>
      <c r="L6096" t="s">
        <v>25</v>
      </c>
      <c r="M6096" s="8">
        <v>3.3860000000000001</v>
      </c>
      <c r="N6096" t="s">
        <v>26</v>
      </c>
      <c r="O6096" s="8">
        <v>3.3860000000000001</v>
      </c>
      <c r="P6096" s="8">
        <f>EXP(-1.363+3.366*LOG(O6096,10))</f>
        <v>1.5218493704875904</v>
      </c>
      <c r="Q6096" s="8">
        <f>(5996898*100)/6073515</f>
        <v>98.738506449724753</v>
      </c>
    </row>
    <row r="6097" spans="1:17" x14ac:dyDescent="0.2">
      <c r="A6097">
        <f>YEAR(D6097)</f>
        <v>2020</v>
      </c>
      <c r="B6097" t="s">
        <v>26</v>
      </c>
      <c r="C6097" s="2" t="s">
        <v>3018</v>
      </c>
      <c r="D6097" s="1">
        <v>44081</v>
      </c>
      <c r="E6097">
        <f>MONTH(D6097)</f>
        <v>9</v>
      </c>
      <c r="F6097" s="2" t="s">
        <v>2098</v>
      </c>
      <c r="G6097" t="s">
        <v>1520</v>
      </c>
      <c r="H6097" t="s">
        <v>1528</v>
      </c>
      <c r="I6097" t="s">
        <v>36</v>
      </c>
      <c r="J6097" s="2" t="s">
        <v>42</v>
      </c>
      <c r="K6097" s="2" t="s">
        <v>3019</v>
      </c>
      <c r="L6097" t="s">
        <v>25</v>
      </c>
      <c r="M6097" s="8">
        <v>3.3860000000000001</v>
      </c>
      <c r="N6097" t="s">
        <v>26</v>
      </c>
      <c r="O6097" s="8">
        <v>3.3860000000000001</v>
      </c>
      <c r="P6097" s="8">
        <f>EXP(-1.363+3.366*LOG(O6097,10))</f>
        <v>1.5218493704875904</v>
      </c>
      <c r="Q6097" s="8">
        <f>(5996898*100)/6073515</f>
        <v>98.738506449724753</v>
      </c>
    </row>
    <row r="6098" spans="1:17" x14ac:dyDescent="0.2">
      <c r="A6098">
        <f>YEAR(D6098)</f>
        <v>2020</v>
      </c>
      <c r="B6098" t="s">
        <v>26</v>
      </c>
      <c r="C6098" s="2" t="s">
        <v>3018</v>
      </c>
      <c r="D6098" s="1">
        <v>44081</v>
      </c>
      <c r="E6098">
        <f>MONTH(D6098)</f>
        <v>9</v>
      </c>
      <c r="F6098" s="2" t="s">
        <v>2098</v>
      </c>
      <c r="G6098" t="s">
        <v>1520</v>
      </c>
      <c r="H6098" t="s">
        <v>2268</v>
      </c>
      <c r="I6098" t="s">
        <v>22</v>
      </c>
      <c r="J6098" s="2" t="s">
        <v>42</v>
      </c>
      <c r="K6098" s="2" t="s">
        <v>3019</v>
      </c>
      <c r="L6098" t="s">
        <v>25</v>
      </c>
      <c r="M6098" s="8">
        <v>4.3073333329999999</v>
      </c>
      <c r="N6098" t="s">
        <v>26</v>
      </c>
      <c r="O6098" s="8">
        <v>4.3073333329999999</v>
      </c>
      <c r="P6098" s="8">
        <f>EXP(-1.363+3.366*LOG(O6098,10))</f>
        <v>2.1635399592704152</v>
      </c>
      <c r="Q6098" s="8">
        <f>(5996898*100)/6073515</f>
        <v>98.738506449724753</v>
      </c>
    </row>
    <row r="6099" spans="1:17" x14ac:dyDescent="0.2">
      <c r="A6099">
        <f>YEAR(D6099)</f>
        <v>2020</v>
      </c>
      <c r="B6099" t="s">
        <v>26</v>
      </c>
      <c r="C6099" s="2" t="s">
        <v>3018</v>
      </c>
      <c r="D6099" s="1">
        <v>44081</v>
      </c>
      <c r="E6099">
        <f>MONTH(D6099)</f>
        <v>9</v>
      </c>
      <c r="F6099" s="2" t="s">
        <v>2098</v>
      </c>
      <c r="G6099" t="s">
        <v>1520</v>
      </c>
      <c r="H6099" t="s">
        <v>2268</v>
      </c>
      <c r="I6099" t="s">
        <v>36</v>
      </c>
      <c r="J6099" s="2" t="s">
        <v>42</v>
      </c>
      <c r="K6099" s="2" t="s">
        <v>3019</v>
      </c>
      <c r="L6099" t="s">
        <v>25</v>
      </c>
      <c r="M6099" s="8">
        <v>3.8523333329999998</v>
      </c>
      <c r="N6099" t="s">
        <v>26</v>
      </c>
      <c r="O6099" s="8">
        <v>3.8523333329999998</v>
      </c>
      <c r="P6099" s="8">
        <f>EXP(-1.363+3.366*LOG(O6099,10))</f>
        <v>1.837758289200395</v>
      </c>
      <c r="Q6099" s="8">
        <f>(5996898*100)/6073515</f>
        <v>98.738506449724753</v>
      </c>
    </row>
    <row r="6100" spans="1:17" x14ac:dyDescent="0.2">
      <c r="A6100">
        <f>YEAR(D6100)</f>
        <v>2020</v>
      </c>
      <c r="B6100" t="s">
        <v>26</v>
      </c>
      <c r="C6100" s="2" t="s">
        <v>3018</v>
      </c>
      <c r="D6100" s="1">
        <v>44081</v>
      </c>
      <c r="E6100">
        <f>MONTH(D6100)</f>
        <v>9</v>
      </c>
      <c r="F6100" s="2" t="s">
        <v>2098</v>
      </c>
      <c r="G6100" t="s">
        <v>1520</v>
      </c>
      <c r="H6100" t="s">
        <v>2268</v>
      </c>
      <c r="I6100" t="s">
        <v>36</v>
      </c>
      <c r="J6100" s="2" t="s">
        <v>42</v>
      </c>
      <c r="K6100" s="2" t="s">
        <v>3019</v>
      </c>
      <c r="L6100" t="s">
        <v>25</v>
      </c>
      <c r="M6100" s="8">
        <v>3.8523333329999998</v>
      </c>
      <c r="N6100" t="s">
        <v>26</v>
      </c>
      <c r="O6100" s="8">
        <v>3.8523333329999998</v>
      </c>
      <c r="P6100" s="8">
        <f>EXP(-1.363+3.366*LOG(O6100,10))</f>
        <v>1.837758289200395</v>
      </c>
      <c r="Q6100" s="8">
        <f>(5996898*100)/6073515</f>
        <v>98.738506449724753</v>
      </c>
    </row>
    <row r="6101" spans="1:17" x14ac:dyDescent="0.2">
      <c r="A6101">
        <f>YEAR(D6101)</f>
        <v>2020</v>
      </c>
      <c r="B6101" t="s">
        <v>26</v>
      </c>
      <c r="C6101" s="2" t="s">
        <v>3018</v>
      </c>
      <c r="D6101" s="1">
        <v>44081</v>
      </c>
      <c r="E6101">
        <f>MONTH(D6101)</f>
        <v>9</v>
      </c>
      <c r="F6101" s="2" t="s">
        <v>2098</v>
      </c>
      <c r="G6101" t="s">
        <v>1520</v>
      </c>
      <c r="H6101" t="s">
        <v>1521</v>
      </c>
      <c r="I6101" t="s">
        <v>22</v>
      </c>
      <c r="J6101" s="2" t="s">
        <v>42</v>
      </c>
      <c r="K6101" s="2" t="s">
        <v>3019</v>
      </c>
      <c r="L6101" t="s">
        <v>25</v>
      </c>
      <c r="M6101" s="8">
        <v>2.952</v>
      </c>
      <c r="N6101" t="s">
        <v>26</v>
      </c>
      <c r="O6101" s="8">
        <v>2.952</v>
      </c>
      <c r="P6101" s="8">
        <f>EXP(-1.363+3.366*LOG(O6101,10))</f>
        <v>1.2453438103764427</v>
      </c>
      <c r="Q6101" s="8">
        <f>(5996898*100)/6073515</f>
        <v>98.738506449724753</v>
      </c>
    </row>
    <row r="6102" spans="1:17" x14ac:dyDescent="0.2">
      <c r="A6102">
        <f>YEAR(D6102)</f>
        <v>2020</v>
      </c>
      <c r="B6102" t="s">
        <v>26</v>
      </c>
      <c r="C6102" s="2" t="s">
        <v>3018</v>
      </c>
      <c r="D6102" s="1">
        <v>44081</v>
      </c>
      <c r="E6102">
        <f>MONTH(D6102)</f>
        <v>9</v>
      </c>
      <c r="F6102" s="2" t="s">
        <v>2098</v>
      </c>
      <c r="G6102" t="s">
        <v>1520</v>
      </c>
      <c r="H6102" t="s">
        <v>1521</v>
      </c>
      <c r="I6102" t="s">
        <v>22</v>
      </c>
      <c r="J6102" s="2" t="s">
        <v>42</v>
      </c>
      <c r="K6102" s="2" t="s">
        <v>3019</v>
      </c>
      <c r="L6102" t="s">
        <v>25</v>
      </c>
      <c r="M6102" s="8">
        <v>2.952</v>
      </c>
      <c r="N6102" t="s">
        <v>26</v>
      </c>
      <c r="O6102" s="8">
        <v>2.952</v>
      </c>
      <c r="P6102" s="8">
        <f>EXP(-1.363+3.366*LOG(O6102,10))</f>
        <v>1.2453438103764427</v>
      </c>
      <c r="Q6102" s="8">
        <f>(5996898*100)/6073515</f>
        <v>98.738506449724753</v>
      </c>
    </row>
    <row r="6103" spans="1:17" x14ac:dyDescent="0.2">
      <c r="A6103">
        <f>YEAR(D6103)</f>
        <v>2020</v>
      </c>
      <c r="B6103" t="s">
        <v>26</v>
      </c>
      <c r="C6103" s="2" t="s">
        <v>3027</v>
      </c>
      <c r="D6103" s="1">
        <v>44081</v>
      </c>
      <c r="E6103">
        <f>MONTH(D6103)</f>
        <v>9</v>
      </c>
      <c r="F6103" s="2" t="s">
        <v>2098</v>
      </c>
      <c r="G6103" s="2" t="s">
        <v>323</v>
      </c>
      <c r="H6103" t="s">
        <v>3075</v>
      </c>
      <c r="I6103" t="s">
        <v>22</v>
      </c>
      <c r="J6103" s="2" t="s">
        <v>42</v>
      </c>
      <c r="K6103" s="2" t="s">
        <v>3019</v>
      </c>
      <c r="L6103" t="s">
        <v>187</v>
      </c>
      <c r="M6103" s="8">
        <v>3.0590000000000002</v>
      </c>
      <c r="N6103" t="s">
        <v>26</v>
      </c>
      <c r="O6103" s="8">
        <v>3.0590000000000002</v>
      </c>
      <c r="P6103" s="8">
        <f>EXP(-1.363+3.366*LOG(O6103,10))</f>
        <v>1.3118790772320639</v>
      </c>
      <c r="Q6103" s="8">
        <f>(3939723*100)/4442581</f>
        <v>88.680949204977921</v>
      </c>
    </row>
    <row r="6104" spans="1:17" x14ac:dyDescent="0.2">
      <c r="A6104">
        <f>YEAR(D6104)</f>
        <v>2020</v>
      </c>
      <c r="B6104" t="s">
        <v>26</v>
      </c>
      <c r="C6104" s="2" t="s">
        <v>3027</v>
      </c>
      <c r="D6104" s="1">
        <v>44081</v>
      </c>
      <c r="E6104">
        <f>MONTH(D6104)</f>
        <v>9</v>
      </c>
      <c r="F6104" s="2" t="s">
        <v>2098</v>
      </c>
      <c r="G6104" t="s">
        <v>1520</v>
      </c>
      <c r="H6104" t="s">
        <v>1521</v>
      </c>
      <c r="I6104" t="s">
        <v>22</v>
      </c>
      <c r="J6104" s="2" t="s">
        <v>42</v>
      </c>
      <c r="K6104" s="2" t="s">
        <v>3019</v>
      </c>
      <c r="L6104" t="s">
        <v>25</v>
      </c>
      <c r="M6104" s="8">
        <v>2.952</v>
      </c>
      <c r="N6104" t="s">
        <v>26</v>
      </c>
      <c r="O6104" s="8">
        <v>2.952</v>
      </c>
      <c r="P6104" s="8">
        <f>EXP(-1.363+3.366*LOG(O6104,10))</f>
        <v>1.2453438103764427</v>
      </c>
      <c r="Q6104" s="8">
        <f>(3939723*100)/4442581</f>
        <v>88.680949204977921</v>
      </c>
    </row>
    <row r="6105" spans="1:17" x14ac:dyDescent="0.2">
      <c r="A6105">
        <f>YEAR(D6105)</f>
        <v>2020</v>
      </c>
      <c r="B6105" t="s">
        <v>26</v>
      </c>
      <c r="C6105" s="2" t="s">
        <v>3024</v>
      </c>
      <c r="D6105" s="1">
        <v>44082</v>
      </c>
      <c r="E6105">
        <f>MONTH(D6105)</f>
        <v>9</v>
      </c>
      <c r="F6105" s="2" t="s">
        <v>2098</v>
      </c>
      <c r="G6105" t="s">
        <v>230</v>
      </c>
      <c r="H6105" t="s">
        <v>268</v>
      </c>
      <c r="I6105" t="s">
        <v>22</v>
      </c>
      <c r="J6105" s="2" t="s">
        <v>42</v>
      </c>
      <c r="K6105" s="2" t="s">
        <v>3019</v>
      </c>
      <c r="L6105" t="s">
        <v>25</v>
      </c>
      <c r="M6105" s="8">
        <v>3.5356666670000001</v>
      </c>
      <c r="N6105" t="s">
        <v>26</v>
      </c>
      <c r="O6105" s="8">
        <v>3.5356666670000001</v>
      </c>
      <c r="P6105" s="8">
        <f>EXP(-1.363+3.366*LOG(O6105,10))</f>
        <v>1.6211802664427075</v>
      </c>
      <c r="Q6105" s="8">
        <f>(2412691*100)/2623642</f>
        <v>91.959611867777696</v>
      </c>
    </row>
    <row r="6106" spans="1:17" x14ac:dyDescent="0.2">
      <c r="A6106">
        <f>YEAR(D6106)</f>
        <v>2020</v>
      </c>
      <c r="B6106" t="s">
        <v>26</v>
      </c>
      <c r="C6106" s="2" t="s">
        <v>3024</v>
      </c>
      <c r="D6106" s="1">
        <v>44082</v>
      </c>
      <c r="E6106">
        <f>MONTH(D6106)</f>
        <v>9</v>
      </c>
      <c r="F6106" s="2" t="s">
        <v>2098</v>
      </c>
      <c r="G6106" t="s">
        <v>230</v>
      </c>
      <c r="H6106" t="s">
        <v>268</v>
      </c>
      <c r="I6106" t="s">
        <v>22</v>
      </c>
      <c r="J6106" s="2" t="s">
        <v>42</v>
      </c>
      <c r="K6106" s="2" t="s">
        <v>3019</v>
      </c>
      <c r="L6106" t="s">
        <v>25</v>
      </c>
      <c r="M6106" s="8">
        <v>3.5356666670000001</v>
      </c>
      <c r="N6106" t="s">
        <v>26</v>
      </c>
      <c r="O6106" s="8">
        <v>3.5356666670000001</v>
      </c>
      <c r="P6106" s="8">
        <f>EXP(-1.363+3.366*LOG(O6106,10))</f>
        <v>1.6211802664427075</v>
      </c>
      <c r="Q6106" s="8">
        <f>(2412691*100)/2623642</f>
        <v>91.959611867777696</v>
      </c>
    </row>
    <row r="6107" spans="1:17" x14ac:dyDescent="0.2">
      <c r="A6107">
        <f>YEAR(D6107)</f>
        <v>2020</v>
      </c>
      <c r="B6107" t="s">
        <v>26</v>
      </c>
      <c r="C6107" s="2" t="s">
        <v>3024</v>
      </c>
      <c r="D6107" s="1">
        <v>44082</v>
      </c>
      <c r="E6107">
        <f>MONTH(D6107)</f>
        <v>9</v>
      </c>
      <c r="F6107" s="2" t="s">
        <v>2098</v>
      </c>
      <c r="G6107" t="s">
        <v>230</v>
      </c>
      <c r="H6107" t="s">
        <v>268</v>
      </c>
      <c r="I6107" t="s">
        <v>36</v>
      </c>
      <c r="J6107" s="2" t="s">
        <v>42</v>
      </c>
      <c r="K6107" s="2" t="s">
        <v>3019</v>
      </c>
      <c r="L6107" t="s">
        <v>25</v>
      </c>
      <c r="M6107" s="8">
        <v>3.3683333329999998</v>
      </c>
      <c r="N6107" t="s">
        <v>26</v>
      </c>
      <c r="O6107" s="8">
        <v>3.3683333329999998</v>
      </c>
      <c r="P6107" s="8">
        <f>EXP(-1.363+3.366*LOG(O6107,10))</f>
        <v>1.510255893489963</v>
      </c>
      <c r="Q6107" s="8">
        <f>(2412691*100)/2623642</f>
        <v>91.959611867777696</v>
      </c>
    </row>
    <row r="6108" spans="1:17" x14ac:dyDescent="0.2">
      <c r="A6108">
        <f>YEAR(D6108)</f>
        <v>2020</v>
      </c>
      <c r="B6108" t="s">
        <v>26</v>
      </c>
      <c r="C6108" s="2" t="s">
        <v>3024</v>
      </c>
      <c r="D6108" s="1">
        <v>44082</v>
      </c>
      <c r="E6108">
        <f>MONTH(D6108)</f>
        <v>9</v>
      </c>
      <c r="F6108" s="2" t="s">
        <v>2098</v>
      </c>
      <c r="G6108" t="s">
        <v>230</v>
      </c>
      <c r="H6108" t="s">
        <v>268</v>
      </c>
      <c r="I6108" t="s">
        <v>36</v>
      </c>
      <c r="J6108" s="2" t="s">
        <v>42</v>
      </c>
      <c r="K6108" s="2" t="s">
        <v>3019</v>
      </c>
      <c r="L6108" t="s">
        <v>25</v>
      </c>
      <c r="M6108" s="8">
        <v>3.3683333329999998</v>
      </c>
      <c r="N6108" t="s">
        <v>26</v>
      </c>
      <c r="O6108" s="8">
        <v>3.3683333329999998</v>
      </c>
      <c r="P6108" s="8">
        <f>EXP(-1.363+3.366*LOG(O6108,10))</f>
        <v>1.510255893489963</v>
      </c>
      <c r="Q6108" s="8">
        <f>(2412691*100)/2623642</f>
        <v>91.959611867777696</v>
      </c>
    </row>
    <row r="6109" spans="1:17" x14ac:dyDescent="0.2">
      <c r="A6109">
        <f>YEAR(D6109)</f>
        <v>2020</v>
      </c>
      <c r="B6109" t="s">
        <v>26</v>
      </c>
      <c r="C6109" s="2" t="s">
        <v>3024</v>
      </c>
      <c r="D6109" s="1">
        <v>44082</v>
      </c>
      <c r="E6109">
        <f>MONTH(D6109)</f>
        <v>9</v>
      </c>
      <c r="F6109" s="2" t="s">
        <v>2098</v>
      </c>
      <c r="G6109" t="s">
        <v>219</v>
      </c>
      <c r="H6109" t="s">
        <v>220</v>
      </c>
      <c r="I6109" t="s">
        <v>22</v>
      </c>
      <c r="J6109" s="2" t="s">
        <v>42</v>
      </c>
      <c r="K6109" s="2" t="s">
        <v>3019</v>
      </c>
      <c r="L6109" t="s">
        <v>25</v>
      </c>
      <c r="M6109" s="10" t="s">
        <v>26</v>
      </c>
      <c r="N6109" t="s">
        <v>26</v>
      </c>
      <c r="O6109" s="10" t="s">
        <v>26</v>
      </c>
      <c r="P6109" s="8" t="s">
        <v>26</v>
      </c>
      <c r="Q6109" s="8">
        <f>(2412691*100)/2623642</f>
        <v>91.959611867777696</v>
      </c>
    </row>
    <row r="6110" spans="1:17" x14ac:dyDescent="0.2">
      <c r="A6110">
        <f>YEAR(D6110)</f>
        <v>2020</v>
      </c>
      <c r="B6110" t="s">
        <v>26</v>
      </c>
      <c r="C6110" s="2" t="s">
        <v>3024</v>
      </c>
      <c r="D6110" s="1">
        <v>44082</v>
      </c>
      <c r="E6110">
        <f>MONTH(D6110)</f>
        <v>9</v>
      </c>
      <c r="F6110" s="2" t="s">
        <v>2098</v>
      </c>
      <c r="G6110" t="s">
        <v>219</v>
      </c>
      <c r="H6110" t="s">
        <v>220</v>
      </c>
      <c r="I6110" t="s">
        <v>22</v>
      </c>
      <c r="J6110" s="2" t="s">
        <v>42</v>
      </c>
      <c r="K6110" s="2" t="s">
        <v>3019</v>
      </c>
      <c r="L6110" t="s">
        <v>25</v>
      </c>
      <c r="M6110" s="10" t="s">
        <v>26</v>
      </c>
      <c r="N6110" t="s">
        <v>26</v>
      </c>
      <c r="O6110" s="10" t="s">
        <v>26</v>
      </c>
      <c r="P6110" s="8" t="s">
        <v>26</v>
      </c>
      <c r="Q6110" s="8">
        <f>(2412691*100)/2623642</f>
        <v>91.959611867777696</v>
      </c>
    </row>
    <row r="6111" spans="1:17" x14ac:dyDescent="0.2">
      <c r="A6111">
        <f>YEAR(D6111)</f>
        <v>2020</v>
      </c>
      <c r="B6111" t="s">
        <v>26</v>
      </c>
      <c r="C6111" s="2" t="s">
        <v>3024</v>
      </c>
      <c r="D6111" s="1">
        <v>44082</v>
      </c>
      <c r="E6111">
        <f>MONTH(D6111)</f>
        <v>9</v>
      </c>
      <c r="F6111" s="2" t="s">
        <v>2098</v>
      </c>
      <c r="G6111" t="s">
        <v>219</v>
      </c>
      <c r="H6111" t="s">
        <v>220</v>
      </c>
      <c r="I6111" t="s">
        <v>22</v>
      </c>
      <c r="J6111" s="2" t="s">
        <v>42</v>
      </c>
      <c r="K6111" s="2" t="s">
        <v>3019</v>
      </c>
      <c r="L6111" t="s">
        <v>25</v>
      </c>
      <c r="M6111" s="10" t="s">
        <v>26</v>
      </c>
      <c r="N6111" t="s">
        <v>26</v>
      </c>
      <c r="O6111" s="10" t="s">
        <v>26</v>
      </c>
      <c r="P6111" s="8" t="s">
        <v>26</v>
      </c>
      <c r="Q6111" s="8">
        <f>(2412691*100)/2623642</f>
        <v>91.959611867777696</v>
      </c>
    </row>
    <row r="6112" spans="1:17" x14ac:dyDescent="0.2">
      <c r="A6112">
        <f>YEAR(D6112)</f>
        <v>2020</v>
      </c>
      <c r="B6112" t="s">
        <v>26</v>
      </c>
      <c r="C6112" s="2" t="s">
        <v>3024</v>
      </c>
      <c r="D6112" s="1">
        <v>44082</v>
      </c>
      <c r="E6112">
        <f>MONTH(D6112)</f>
        <v>9</v>
      </c>
      <c r="F6112" s="2" t="s">
        <v>2098</v>
      </c>
      <c r="G6112" t="s">
        <v>219</v>
      </c>
      <c r="H6112" t="s">
        <v>220</v>
      </c>
      <c r="I6112" t="s">
        <v>22</v>
      </c>
      <c r="J6112" s="2" t="s">
        <v>42</v>
      </c>
      <c r="K6112" s="2" t="s">
        <v>3019</v>
      </c>
      <c r="L6112" t="s">
        <v>25</v>
      </c>
      <c r="M6112" s="10" t="s">
        <v>26</v>
      </c>
      <c r="N6112" t="s">
        <v>26</v>
      </c>
      <c r="O6112" s="10" t="s">
        <v>26</v>
      </c>
      <c r="P6112" s="8" t="s">
        <v>26</v>
      </c>
      <c r="Q6112" s="8">
        <f>(2412691*100)/2623642</f>
        <v>91.959611867777696</v>
      </c>
    </row>
    <row r="6113" spans="1:17" x14ac:dyDescent="0.2">
      <c r="A6113">
        <f>YEAR(D6113)</f>
        <v>2020</v>
      </c>
      <c r="B6113" t="s">
        <v>26</v>
      </c>
      <c r="C6113" s="2" t="s">
        <v>3024</v>
      </c>
      <c r="D6113" s="1">
        <v>44082</v>
      </c>
      <c r="E6113">
        <f>MONTH(D6113)</f>
        <v>9</v>
      </c>
      <c r="F6113" s="2" t="s">
        <v>2098</v>
      </c>
      <c r="G6113" t="s">
        <v>219</v>
      </c>
      <c r="H6113" t="s">
        <v>220</v>
      </c>
      <c r="I6113" t="s">
        <v>22</v>
      </c>
      <c r="J6113" s="2" t="s">
        <v>42</v>
      </c>
      <c r="K6113" s="2" t="s">
        <v>3019</v>
      </c>
      <c r="L6113" t="s">
        <v>25</v>
      </c>
      <c r="M6113" s="10" t="s">
        <v>26</v>
      </c>
      <c r="N6113" t="s">
        <v>26</v>
      </c>
      <c r="O6113" s="10" t="s">
        <v>26</v>
      </c>
      <c r="P6113" s="8" t="s">
        <v>26</v>
      </c>
      <c r="Q6113" s="8">
        <f>(2412691*100)/2623642</f>
        <v>91.959611867777696</v>
      </c>
    </row>
    <row r="6114" spans="1:17" x14ac:dyDescent="0.2">
      <c r="A6114">
        <f>YEAR(D6114)</f>
        <v>2020</v>
      </c>
      <c r="B6114" t="s">
        <v>26</v>
      </c>
      <c r="C6114" s="2" t="s">
        <v>3024</v>
      </c>
      <c r="D6114" s="1">
        <v>44082</v>
      </c>
      <c r="E6114">
        <f>MONTH(D6114)</f>
        <v>9</v>
      </c>
      <c r="F6114" s="2" t="s">
        <v>2098</v>
      </c>
      <c r="G6114" t="s">
        <v>219</v>
      </c>
      <c r="H6114" t="s">
        <v>220</v>
      </c>
      <c r="I6114" t="s">
        <v>22</v>
      </c>
      <c r="J6114" s="2" t="s">
        <v>42</v>
      </c>
      <c r="K6114" s="2" t="s">
        <v>3019</v>
      </c>
      <c r="L6114" t="s">
        <v>25</v>
      </c>
      <c r="M6114" s="10" t="s">
        <v>26</v>
      </c>
      <c r="N6114" t="s">
        <v>26</v>
      </c>
      <c r="O6114" s="10" t="s">
        <v>26</v>
      </c>
      <c r="P6114" s="8" t="s">
        <v>26</v>
      </c>
      <c r="Q6114" s="8">
        <f>(2412691*100)/2623642</f>
        <v>91.959611867777696</v>
      </c>
    </row>
    <row r="6115" spans="1:17" x14ac:dyDescent="0.2">
      <c r="A6115">
        <f>YEAR(D6115)</f>
        <v>2020</v>
      </c>
      <c r="B6115" t="s">
        <v>26</v>
      </c>
      <c r="C6115" s="2" t="s">
        <v>3024</v>
      </c>
      <c r="D6115" s="1">
        <v>44082</v>
      </c>
      <c r="E6115">
        <f>MONTH(D6115)</f>
        <v>9</v>
      </c>
      <c r="F6115" s="2" t="s">
        <v>2098</v>
      </c>
      <c r="G6115" t="s">
        <v>219</v>
      </c>
      <c r="H6115" t="s">
        <v>220</v>
      </c>
      <c r="I6115" t="s">
        <v>22</v>
      </c>
      <c r="J6115" s="2" t="s">
        <v>42</v>
      </c>
      <c r="K6115" s="2" t="s">
        <v>3019</v>
      </c>
      <c r="L6115" t="s">
        <v>25</v>
      </c>
      <c r="M6115" s="10" t="s">
        <v>26</v>
      </c>
      <c r="N6115" t="s">
        <v>26</v>
      </c>
      <c r="O6115" s="10" t="s">
        <v>26</v>
      </c>
      <c r="P6115" s="8" t="s">
        <v>26</v>
      </c>
      <c r="Q6115" s="8">
        <f>(2412691*100)/2623642</f>
        <v>91.959611867777696</v>
      </c>
    </row>
    <row r="6116" spans="1:17" x14ac:dyDescent="0.2">
      <c r="A6116">
        <f>YEAR(D6116)</f>
        <v>2020</v>
      </c>
      <c r="B6116" t="s">
        <v>26</v>
      </c>
      <c r="C6116" s="2" t="s">
        <v>3024</v>
      </c>
      <c r="D6116" s="1">
        <v>44082</v>
      </c>
      <c r="E6116">
        <f>MONTH(D6116)</f>
        <v>9</v>
      </c>
      <c r="F6116" s="2" t="s">
        <v>2098</v>
      </c>
      <c r="G6116" t="s">
        <v>230</v>
      </c>
      <c r="H6116" t="s">
        <v>268</v>
      </c>
      <c r="I6116" t="s">
        <v>22</v>
      </c>
      <c r="J6116" s="2" t="s">
        <v>42</v>
      </c>
      <c r="K6116" s="2" t="s">
        <v>3019</v>
      </c>
      <c r="L6116" t="s">
        <v>25</v>
      </c>
      <c r="M6116" s="8">
        <v>3.5356666670000001</v>
      </c>
      <c r="N6116" t="s">
        <v>26</v>
      </c>
      <c r="O6116" s="8">
        <v>3.5356666670000001</v>
      </c>
      <c r="P6116" s="8">
        <f>EXP(-1.363+3.366*LOG(O6116,10))</f>
        <v>1.6211802664427075</v>
      </c>
      <c r="Q6116" s="8">
        <f>(2412691*100)/2623642</f>
        <v>91.959611867777696</v>
      </c>
    </row>
    <row r="6117" spans="1:17" x14ac:dyDescent="0.2">
      <c r="A6117">
        <f>YEAR(D6117)</f>
        <v>2020</v>
      </c>
      <c r="B6117" t="s">
        <v>26</v>
      </c>
      <c r="C6117" s="2" t="s">
        <v>3024</v>
      </c>
      <c r="D6117" s="1">
        <v>44082</v>
      </c>
      <c r="E6117">
        <f>MONTH(D6117)</f>
        <v>9</v>
      </c>
      <c r="F6117" s="2" t="s">
        <v>2098</v>
      </c>
      <c r="G6117" t="s">
        <v>230</v>
      </c>
      <c r="H6117" t="s">
        <v>268</v>
      </c>
      <c r="I6117" t="s">
        <v>22</v>
      </c>
      <c r="J6117" s="2" t="s">
        <v>42</v>
      </c>
      <c r="K6117" s="2" t="s">
        <v>3019</v>
      </c>
      <c r="L6117" t="s">
        <v>25</v>
      </c>
      <c r="M6117" s="8">
        <v>3.5356666670000001</v>
      </c>
      <c r="N6117" t="s">
        <v>26</v>
      </c>
      <c r="O6117" s="8">
        <v>3.5356666670000001</v>
      </c>
      <c r="P6117" s="8">
        <f>EXP(-1.363+3.366*LOG(O6117,10))</f>
        <v>1.6211802664427075</v>
      </c>
      <c r="Q6117" s="8">
        <f>(2412691*100)/2623642</f>
        <v>91.959611867777696</v>
      </c>
    </row>
    <row r="6118" spans="1:17" x14ac:dyDescent="0.2">
      <c r="A6118">
        <f>YEAR(D6118)</f>
        <v>2020</v>
      </c>
      <c r="B6118" t="s">
        <v>26</v>
      </c>
      <c r="C6118" s="2" t="s">
        <v>3024</v>
      </c>
      <c r="D6118" s="1">
        <v>44082</v>
      </c>
      <c r="E6118">
        <f>MONTH(D6118)</f>
        <v>9</v>
      </c>
      <c r="F6118" s="2" t="s">
        <v>2098</v>
      </c>
      <c r="G6118" t="s">
        <v>230</v>
      </c>
      <c r="H6118" t="s">
        <v>268</v>
      </c>
      <c r="I6118" t="s">
        <v>22</v>
      </c>
      <c r="J6118" s="2" t="s">
        <v>42</v>
      </c>
      <c r="K6118" s="2" t="s">
        <v>3019</v>
      </c>
      <c r="L6118" t="s">
        <v>25</v>
      </c>
      <c r="M6118" s="8">
        <v>3.5356666670000001</v>
      </c>
      <c r="N6118" t="s">
        <v>26</v>
      </c>
      <c r="O6118" s="8">
        <v>3.5356666670000001</v>
      </c>
      <c r="P6118" s="8">
        <f>EXP(-1.363+3.366*LOG(O6118,10))</f>
        <v>1.6211802664427075</v>
      </c>
      <c r="Q6118" s="8">
        <f>(2412691*100)/2623642</f>
        <v>91.959611867777696</v>
      </c>
    </row>
    <row r="6119" spans="1:17" x14ac:dyDescent="0.2">
      <c r="A6119">
        <f>YEAR(D6119)</f>
        <v>2020</v>
      </c>
      <c r="B6119" t="s">
        <v>26</v>
      </c>
      <c r="C6119" s="2" t="s">
        <v>3024</v>
      </c>
      <c r="D6119" s="1">
        <v>44082</v>
      </c>
      <c r="E6119">
        <f>MONTH(D6119)</f>
        <v>9</v>
      </c>
      <c r="F6119" s="2" t="s">
        <v>2098</v>
      </c>
      <c r="G6119" t="s">
        <v>230</v>
      </c>
      <c r="H6119" t="s">
        <v>268</v>
      </c>
      <c r="I6119" t="s">
        <v>22</v>
      </c>
      <c r="J6119" s="2" t="s">
        <v>42</v>
      </c>
      <c r="K6119" s="2" t="s">
        <v>3019</v>
      </c>
      <c r="L6119" t="s">
        <v>25</v>
      </c>
      <c r="M6119" s="8">
        <v>3.5356666670000001</v>
      </c>
      <c r="N6119" t="s">
        <v>26</v>
      </c>
      <c r="O6119" s="8">
        <v>3.5356666670000001</v>
      </c>
      <c r="P6119" s="8">
        <f>EXP(-1.363+3.366*LOG(O6119,10))</f>
        <v>1.6211802664427075</v>
      </c>
      <c r="Q6119" s="8">
        <f>(2412691*100)/2623642</f>
        <v>91.959611867777696</v>
      </c>
    </row>
    <row r="6120" spans="1:17" x14ac:dyDescent="0.2">
      <c r="A6120">
        <f>YEAR(D6120)</f>
        <v>2020</v>
      </c>
      <c r="B6120" t="s">
        <v>26</v>
      </c>
      <c r="C6120" s="2" t="s">
        <v>3024</v>
      </c>
      <c r="D6120" s="1">
        <v>44082</v>
      </c>
      <c r="E6120">
        <f>MONTH(D6120)</f>
        <v>9</v>
      </c>
      <c r="F6120" s="2" t="s">
        <v>2098</v>
      </c>
      <c r="G6120" t="s">
        <v>219</v>
      </c>
      <c r="H6120" t="s">
        <v>220</v>
      </c>
      <c r="I6120" t="s">
        <v>22</v>
      </c>
      <c r="J6120" s="2" t="s">
        <v>42</v>
      </c>
      <c r="K6120" s="2" t="s">
        <v>3019</v>
      </c>
      <c r="L6120" t="s">
        <v>25</v>
      </c>
      <c r="M6120" s="10" t="s">
        <v>26</v>
      </c>
      <c r="N6120" t="s">
        <v>26</v>
      </c>
      <c r="O6120" s="10" t="s">
        <v>26</v>
      </c>
      <c r="P6120" s="8" t="s">
        <v>26</v>
      </c>
      <c r="Q6120" s="8">
        <f>(2412691*100)/2623642</f>
        <v>91.959611867777696</v>
      </c>
    </row>
    <row r="6121" spans="1:17" x14ac:dyDescent="0.2">
      <c r="A6121">
        <f>YEAR(D6121)</f>
        <v>2020</v>
      </c>
      <c r="B6121" t="s">
        <v>26</v>
      </c>
      <c r="C6121" s="2" t="s">
        <v>3024</v>
      </c>
      <c r="D6121" s="1">
        <v>44082</v>
      </c>
      <c r="E6121">
        <f>MONTH(D6121)</f>
        <v>9</v>
      </c>
      <c r="F6121" s="2" t="s">
        <v>2098</v>
      </c>
      <c r="G6121" t="s">
        <v>219</v>
      </c>
      <c r="H6121" t="s">
        <v>220</v>
      </c>
      <c r="I6121" t="s">
        <v>22</v>
      </c>
      <c r="J6121" s="2" t="s">
        <v>42</v>
      </c>
      <c r="K6121" s="2" t="s">
        <v>3019</v>
      </c>
      <c r="L6121" t="s">
        <v>25</v>
      </c>
      <c r="M6121" s="10" t="s">
        <v>26</v>
      </c>
      <c r="N6121" t="s">
        <v>26</v>
      </c>
      <c r="O6121" s="10" t="s">
        <v>26</v>
      </c>
      <c r="P6121" s="8" t="s">
        <v>26</v>
      </c>
      <c r="Q6121" s="8">
        <f>(2412691*100)/2623642</f>
        <v>91.959611867777696</v>
      </c>
    </row>
    <row r="6122" spans="1:17" x14ac:dyDescent="0.2">
      <c r="A6122">
        <f>YEAR(D6122)</f>
        <v>2020</v>
      </c>
      <c r="B6122" t="s">
        <v>26</v>
      </c>
      <c r="C6122" s="2" t="s">
        <v>3024</v>
      </c>
      <c r="D6122" s="1">
        <v>44082</v>
      </c>
      <c r="E6122">
        <f>MONTH(D6122)</f>
        <v>9</v>
      </c>
      <c r="F6122" s="2" t="s">
        <v>2098</v>
      </c>
      <c r="G6122" t="s">
        <v>219</v>
      </c>
      <c r="H6122" t="s">
        <v>220</v>
      </c>
      <c r="I6122" t="s">
        <v>22</v>
      </c>
      <c r="J6122" s="2" t="s">
        <v>42</v>
      </c>
      <c r="K6122" s="2" t="s">
        <v>3019</v>
      </c>
      <c r="L6122" t="s">
        <v>25</v>
      </c>
      <c r="M6122" s="10" t="s">
        <v>26</v>
      </c>
      <c r="N6122" t="s">
        <v>26</v>
      </c>
      <c r="O6122" s="10" t="s">
        <v>26</v>
      </c>
      <c r="P6122" s="8" t="s">
        <v>26</v>
      </c>
      <c r="Q6122" s="8">
        <f>(2412691*100)/2623642</f>
        <v>91.959611867777696</v>
      </c>
    </row>
    <row r="6123" spans="1:17" x14ac:dyDescent="0.2">
      <c r="A6123">
        <f>YEAR(D6123)</f>
        <v>2020</v>
      </c>
      <c r="B6123" t="s">
        <v>26</v>
      </c>
      <c r="C6123" s="2" t="s">
        <v>3024</v>
      </c>
      <c r="D6123" s="1">
        <v>44082</v>
      </c>
      <c r="E6123">
        <f>MONTH(D6123)</f>
        <v>9</v>
      </c>
      <c r="F6123" s="2" t="s">
        <v>2098</v>
      </c>
      <c r="G6123" t="s">
        <v>230</v>
      </c>
      <c r="H6123" t="s">
        <v>235</v>
      </c>
      <c r="I6123" t="s">
        <v>36</v>
      </c>
      <c r="J6123" s="2" t="s">
        <v>42</v>
      </c>
      <c r="K6123" s="2" t="s">
        <v>3019</v>
      </c>
      <c r="L6123" t="s">
        <v>25</v>
      </c>
      <c r="M6123" s="8">
        <v>3.6166666666666667</v>
      </c>
      <c r="N6123" t="s">
        <v>26</v>
      </c>
      <c r="O6123" s="8">
        <v>3.6166666666666667</v>
      </c>
      <c r="P6123" s="8">
        <f>EXP(-1.363+3.366*LOG(O6123,10))</f>
        <v>1.6757592653929465</v>
      </c>
      <c r="Q6123" s="8">
        <f>(2412691*100)/2623642</f>
        <v>91.959611867777696</v>
      </c>
    </row>
    <row r="6124" spans="1:17" x14ac:dyDescent="0.2">
      <c r="A6124">
        <f>YEAR(D6124)</f>
        <v>2020</v>
      </c>
      <c r="B6124" t="s">
        <v>26</v>
      </c>
      <c r="C6124" s="2" t="s">
        <v>3024</v>
      </c>
      <c r="D6124" s="1">
        <v>44082</v>
      </c>
      <c r="E6124">
        <f>MONTH(D6124)</f>
        <v>9</v>
      </c>
      <c r="F6124" s="2" t="s">
        <v>2098</v>
      </c>
      <c r="G6124" t="s">
        <v>230</v>
      </c>
      <c r="H6124" t="s">
        <v>268</v>
      </c>
      <c r="I6124" t="s">
        <v>22</v>
      </c>
      <c r="J6124" s="2" t="s">
        <v>42</v>
      </c>
      <c r="K6124" s="2" t="s">
        <v>3019</v>
      </c>
      <c r="L6124" t="s">
        <v>25</v>
      </c>
      <c r="M6124" s="8">
        <v>3.5356666670000001</v>
      </c>
      <c r="N6124" t="s">
        <v>26</v>
      </c>
      <c r="O6124" s="8">
        <v>3.5356666670000001</v>
      </c>
      <c r="P6124" s="8">
        <f>EXP(-1.363+3.366*LOG(O6124,10))</f>
        <v>1.6211802664427075</v>
      </c>
      <c r="Q6124" s="8">
        <f>(2412691*100)/2623642</f>
        <v>91.959611867777696</v>
      </c>
    </row>
    <row r="6125" spans="1:17" x14ac:dyDescent="0.2">
      <c r="A6125">
        <f>YEAR(D6125)</f>
        <v>2020</v>
      </c>
      <c r="B6125" t="s">
        <v>26</v>
      </c>
      <c r="C6125" s="2" t="s">
        <v>3024</v>
      </c>
      <c r="D6125" s="1">
        <v>44082</v>
      </c>
      <c r="E6125">
        <f>MONTH(D6125)</f>
        <v>9</v>
      </c>
      <c r="F6125" s="2" t="s">
        <v>2098</v>
      </c>
      <c r="G6125" t="s">
        <v>219</v>
      </c>
      <c r="H6125" t="s">
        <v>220</v>
      </c>
      <c r="I6125" t="s">
        <v>22</v>
      </c>
      <c r="J6125" s="2" t="s">
        <v>42</v>
      </c>
      <c r="K6125" s="2" t="s">
        <v>3019</v>
      </c>
      <c r="L6125" t="s">
        <v>25</v>
      </c>
      <c r="M6125" s="10" t="s">
        <v>26</v>
      </c>
      <c r="N6125" t="s">
        <v>26</v>
      </c>
      <c r="O6125" s="10" t="s">
        <v>26</v>
      </c>
      <c r="P6125" s="8" t="s">
        <v>26</v>
      </c>
      <c r="Q6125" s="8">
        <f>(2412691*100)/2623642</f>
        <v>91.959611867777696</v>
      </c>
    </row>
    <row r="6126" spans="1:17" x14ac:dyDescent="0.2">
      <c r="A6126">
        <f>YEAR(D6126)</f>
        <v>2020</v>
      </c>
      <c r="B6126" t="s">
        <v>26</v>
      </c>
      <c r="C6126" s="2" t="s">
        <v>3024</v>
      </c>
      <c r="D6126" s="1">
        <v>44082</v>
      </c>
      <c r="E6126">
        <f>MONTH(D6126)</f>
        <v>9</v>
      </c>
      <c r="F6126" s="2" t="s">
        <v>2098</v>
      </c>
      <c r="G6126" t="s">
        <v>352</v>
      </c>
      <c r="H6126" t="s">
        <v>975</v>
      </c>
      <c r="I6126" t="s">
        <v>36</v>
      </c>
      <c r="J6126" s="2" t="s">
        <v>42</v>
      </c>
      <c r="K6126" s="2" t="s">
        <v>3019</v>
      </c>
      <c r="L6126" t="s">
        <v>25</v>
      </c>
      <c r="M6126" s="8">
        <v>0.95199999999999996</v>
      </c>
      <c r="N6126" t="s">
        <v>26</v>
      </c>
      <c r="O6126" s="8">
        <v>0.95199999999999996</v>
      </c>
      <c r="P6126" s="8">
        <f>EXP(-1.363+3.366*LOG(O6126,10))</f>
        <v>0.23813726407794436</v>
      </c>
      <c r="Q6126" s="8">
        <f>(2412691*100)/2623642</f>
        <v>91.959611867777696</v>
      </c>
    </row>
    <row r="6127" spans="1:17" x14ac:dyDescent="0.2">
      <c r="A6127">
        <f>YEAR(D6127)</f>
        <v>2020</v>
      </c>
      <c r="B6127" t="s">
        <v>26</v>
      </c>
      <c r="C6127" s="2" t="s">
        <v>3024</v>
      </c>
      <c r="D6127" s="1">
        <v>44082</v>
      </c>
      <c r="E6127">
        <f>MONTH(D6127)</f>
        <v>9</v>
      </c>
      <c r="F6127" s="2" t="s">
        <v>2098</v>
      </c>
      <c r="G6127" t="s">
        <v>332</v>
      </c>
      <c r="H6127" t="s">
        <v>330</v>
      </c>
      <c r="I6127" t="s">
        <v>22</v>
      </c>
      <c r="J6127" s="2" t="s">
        <v>42</v>
      </c>
      <c r="K6127" s="2" t="s">
        <v>3019</v>
      </c>
      <c r="L6127" t="s">
        <v>25</v>
      </c>
      <c r="M6127" s="8">
        <v>1.2170000000000001</v>
      </c>
      <c r="N6127" t="s">
        <v>26</v>
      </c>
      <c r="O6127" s="8">
        <v>1.2170000000000001</v>
      </c>
      <c r="P6127" s="8">
        <f>EXP(-1.363+3.366*LOG(O6127,10))</f>
        <v>0.34098666307598596</v>
      </c>
      <c r="Q6127" s="8">
        <f>(2412691*100)/2623642</f>
        <v>91.959611867777696</v>
      </c>
    </row>
    <row r="6128" spans="1:17" x14ac:dyDescent="0.2">
      <c r="A6128">
        <f>YEAR(D6128)</f>
        <v>2020</v>
      </c>
      <c r="B6128" t="s">
        <v>26</v>
      </c>
      <c r="C6128" s="2" t="s">
        <v>3024</v>
      </c>
      <c r="D6128" s="1">
        <v>44082</v>
      </c>
      <c r="E6128">
        <f>MONTH(D6128)</f>
        <v>9</v>
      </c>
      <c r="F6128" s="2" t="s">
        <v>2098</v>
      </c>
      <c r="G6128" t="s">
        <v>352</v>
      </c>
      <c r="H6128" t="s">
        <v>2167</v>
      </c>
      <c r="I6128" t="s">
        <v>22</v>
      </c>
      <c r="J6128" s="2" t="s">
        <v>42</v>
      </c>
      <c r="K6128" s="2" t="s">
        <v>3019</v>
      </c>
      <c r="L6128" t="s">
        <v>25</v>
      </c>
      <c r="M6128" s="8">
        <v>1.2443333329999999</v>
      </c>
      <c r="N6128" t="s">
        <v>26</v>
      </c>
      <c r="O6128" s="8">
        <v>1.2443333329999999</v>
      </c>
      <c r="P6128" s="8">
        <f>EXP(-1.363+3.366*LOG(O6128,10))</f>
        <v>0.35223984777902306</v>
      </c>
      <c r="Q6128" s="8">
        <f>(2412691*100)/2623642</f>
        <v>91.959611867777696</v>
      </c>
    </row>
    <row r="6129" spans="1:17" x14ac:dyDescent="0.2">
      <c r="A6129">
        <f>YEAR(D6129)</f>
        <v>2020</v>
      </c>
      <c r="B6129" t="s">
        <v>26</v>
      </c>
      <c r="C6129" s="2" t="s">
        <v>3024</v>
      </c>
      <c r="D6129" s="1">
        <v>44082</v>
      </c>
      <c r="E6129">
        <f>MONTH(D6129)</f>
        <v>9</v>
      </c>
      <c r="F6129" s="2" t="s">
        <v>2098</v>
      </c>
      <c r="G6129" t="s">
        <v>362</v>
      </c>
      <c r="H6129" t="s">
        <v>447</v>
      </c>
      <c r="I6129" t="s">
        <v>22</v>
      </c>
      <c r="J6129" s="2" t="s">
        <v>42</v>
      </c>
      <c r="K6129" s="2" t="s">
        <v>3019</v>
      </c>
      <c r="L6129" t="s">
        <v>25</v>
      </c>
      <c r="M6129" s="8">
        <v>1.421</v>
      </c>
      <c r="N6129" t="s">
        <v>26</v>
      </c>
      <c r="O6129" s="8">
        <v>1.421</v>
      </c>
      <c r="P6129" s="8">
        <f>EXP(-1.363+3.366*LOG(O6129,10))</f>
        <v>0.42768500084673816</v>
      </c>
      <c r="Q6129" s="8">
        <f>(2412691*100)/2623642</f>
        <v>91.959611867777696</v>
      </c>
    </row>
    <row r="6130" spans="1:17" x14ac:dyDescent="0.2">
      <c r="A6130">
        <f>YEAR(D6130)</f>
        <v>2020</v>
      </c>
      <c r="B6130" t="s">
        <v>26</v>
      </c>
      <c r="C6130" s="2" t="s">
        <v>3024</v>
      </c>
      <c r="D6130" s="1">
        <v>44082</v>
      </c>
      <c r="E6130">
        <f>MONTH(D6130)</f>
        <v>9</v>
      </c>
      <c r="F6130" s="2" t="s">
        <v>2098</v>
      </c>
      <c r="G6130" t="s">
        <v>362</v>
      </c>
      <c r="H6130" t="s">
        <v>2030</v>
      </c>
      <c r="I6130" t="s">
        <v>22</v>
      </c>
      <c r="J6130" s="2" t="s">
        <v>42</v>
      </c>
      <c r="K6130" s="2" t="s">
        <v>3019</v>
      </c>
      <c r="L6130" t="s">
        <v>25</v>
      </c>
      <c r="M6130" s="8">
        <v>1.4923333329999999</v>
      </c>
      <c r="N6130" t="s">
        <v>26</v>
      </c>
      <c r="O6130" s="8">
        <v>1.4923333329999999</v>
      </c>
      <c r="P6130" s="8">
        <f>EXP(-1.363+3.366*LOG(O6130,10))</f>
        <v>0.45943050733617752</v>
      </c>
      <c r="Q6130" s="8">
        <f>(2412691*100)/2623642</f>
        <v>91.959611867777696</v>
      </c>
    </row>
    <row r="6131" spans="1:17" x14ac:dyDescent="0.2">
      <c r="A6131">
        <f>YEAR(D6131)</f>
        <v>2020</v>
      </c>
      <c r="B6131" t="s">
        <v>26</v>
      </c>
      <c r="C6131" s="2" t="s">
        <v>3024</v>
      </c>
      <c r="D6131" s="1">
        <v>44082</v>
      </c>
      <c r="E6131">
        <f>MONTH(D6131)</f>
        <v>9</v>
      </c>
      <c r="F6131" s="2" t="s">
        <v>2098</v>
      </c>
      <c r="G6131" t="s">
        <v>352</v>
      </c>
      <c r="H6131" t="s">
        <v>975</v>
      </c>
      <c r="I6131" t="s">
        <v>22</v>
      </c>
      <c r="J6131" s="2" t="s">
        <v>42</v>
      </c>
      <c r="K6131" s="2" t="s">
        <v>3019</v>
      </c>
      <c r="L6131" t="s">
        <v>25</v>
      </c>
      <c r="M6131" s="8">
        <v>1.0693333330000001</v>
      </c>
      <c r="N6131" t="s">
        <v>26</v>
      </c>
      <c r="O6131" s="8">
        <v>1.0693333330000001</v>
      </c>
      <c r="P6131" s="8">
        <f>EXP(-1.363+3.366*LOG(O6131,10))</f>
        <v>0.28223780327142356</v>
      </c>
      <c r="Q6131" s="8">
        <f>(2412691*100)/2623642</f>
        <v>91.959611867777696</v>
      </c>
    </row>
    <row r="6132" spans="1:17" x14ac:dyDescent="0.2">
      <c r="A6132">
        <f>YEAR(D6132)</f>
        <v>2020</v>
      </c>
      <c r="B6132" t="s">
        <v>26</v>
      </c>
      <c r="C6132" s="2" t="s">
        <v>3024</v>
      </c>
      <c r="D6132" s="1">
        <v>44082</v>
      </c>
      <c r="E6132">
        <f>MONTH(D6132)</f>
        <v>9</v>
      </c>
      <c r="F6132" s="2" t="s">
        <v>2098</v>
      </c>
      <c r="G6132" t="s">
        <v>352</v>
      </c>
      <c r="H6132" t="s">
        <v>1142</v>
      </c>
      <c r="I6132" t="s">
        <v>22</v>
      </c>
      <c r="J6132" s="2" t="s">
        <v>42</v>
      </c>
      <c r="K6132" s="2" t="s">
        <v>3019</v>
      </c>
      <c r="L6132" t="s">
        <v>25</v>
      </c>
      <c r="M6132" s="8">
        <v>1.1423333330000001</v>
      </c>
      <c r="N6132" t="s">
        <v>26</v>
      </c>
      <c r="O6132" s="8">
        <v>1.1423333330000001</v>
      </c>
      <c r="P6132" s="8">
        <f>EXP(-1.363+3.366*LOG(O6132,10))</f>
        <v>0.31084239358261528</v>
      </c>
      <c r="Q6132" s="8">
        <f>(2412691*100)/2623642</f>
        <v>91.959611867777696</v>
      </c>
    </row>
    <row r="6133" spans="1:17" x14ac:dyDescent="0.2">
      <c r="A6133">
        <f>YEAR(D6133)</f>
        <v>2020</v>
      </c>
      <c r="B6133" t="s">
        <v>26</v>
      </c>
      <c r="C6133" s="2" t="s">
        <v>3026</v>
      </c>
      <c r="D6133" s="1">
        <v>44084</v>
      </c>
      <c r="E6133">
        <f>MONTH(D6133)</f>
        <v>9</v>
      </c>
      <c r="F6133" s="2" t="s">
        <v>2098</v>
      </c>
      <c r="G6133" t="s">
        <v>219</v>
      </c>
      <c r="H6133" t="s">
        <v>220</v>
      </c>
      <c r="I6133" t="s">
        <v>22</v>
      </c>
      <c r="J6133" s="2" t="s">
        <v>42</v>
      </c>
      <c r="K6133" s="2" t="s">
        <v>3019</v>
      </c>
      <c r="L6133" t="s">
        <v>25</v>
      </c>
      <c r="M6133" s="10" t="s">
        <v>26</v>
      </c>
      <c r="N6133" t="s">
        <v>26</v>
      </c>
      <c r="O6133" s="10" t="s">
        <v>26</v>
      </c>
      <c r="P6133" s="8" t="s">
        <v>26</v>
      </c>
      <c r="Q6133" s="8">
        <f>(2317420*100)/2442061</f>
        <v>94.896073439606951</v>
      </c>
    </row>
    <row r="6134" spans="1:17" x14ac:dyDescent="0.2">
      <c r="A6134">
        <f>YEAR(D6134)</f>
        <v>2020</v>
      </c>
      <c r="B6134" t="s">
        <v>26</v>
      </c>
      <c r="C6134" s="2" t="s">
        <v>3026</v>
      </c>
      <c r="D6134" s="1">
        <v>44084</v>
      </c>
      <c r="E6134">
        <f>MONTH(D6134)</f>
        <v>9</v>
      </c>
      <c r="F6134" s="2" t="s">
        <v>2098</v>
      </c>
      <c r="G6134" t="s">
        <v>219</v>
      </c>
      <c r="H6134" t="s">
        <v>220</v>
      </c>
      <c r="I6134" t="s">
        <v>22</v>
      </c>
      <c r="J6134" s="2" t="s">
        <v>42</v>
      </c>
      <c r="K6134" s="2" t="s">
        <v>3019</v>
      </c>
      <c r="L6134" t="s">
        <v>25</v>
      </c>
      <c r="M6134" s="10" t="s">
        <v>26</v>
      </c>
      <c r="N6134" t="s">
        <v>26</v>
      </c>
      <c r="O6134" s="10" t="s">
        <v>26</v>
      </c>
      <c r="P6134" s="8" t="s">
        <v>26</v>
      </c>
      <c r="Q6134" s="8">
        <f>(2317420*100)/2442061</f>
        <v>94.896073439606951</v>
      </c>
    </row>
    <row r="6135" spans="1:17" x14ac:dyDescent="0.2">
      <c r="A6135">
        <f>YEAR(D6135)</f>
        <v>2020</v>
      </c>
      <c r="B6135" t="s">
        <v>26</v>
      </c>
      <c r="C6135" s="2" t="s">
        <v>3026</v>
      </c>
      <c r="D6135" s="1">
        <v>44084</v>
      </c>
      <c r="E6135">
        <f>MONTH(D6135)</f>
        <v>9</v>
      </c>
      <c r="F6135" s="2" t="s">
        <v>2098</v>
      </c>
      <c r="G6135" t="s">
        <v>219</v>
      </c>
      <c r="H6135" t="s">
        <v>220</v>
      </c>
      <c r="I6135" t="s">
        <v>22</v>
      </c>
      <c r="J6135" s="2" t="s">
        <v>42</v>
      </c>
      <c r="K6135" s="2" t="s">
        <v>3019</v>
      </c>
      <c r="L6135" t="s">
        <v>25</v>
      </c>
      <c r="M6135" s="10" t="s">
        <v>26</v>
      </c>
      <c r="N6135" t="s">
        <v>26</v>
      </c>
      <c r="O6135" s="10" t="s">
        <v>26</v>
      </c>
      <c r="P6135" s="8" t="s">
        <v>26</v>
      </c>
      <c r="Q6135" s="8">
        <f>(2317420*100)/2442061</f>
        <v>94.896073439606951</v>
      </c>
    </row>
    <row r="6136" spans="1:17" x14ac:dyDescent="0.2">
      <c r="A6136">
        <f>YEAR(D6136)</f>
        <v>2020</v>
      </c>
      <c r="B6136" t="s">
        <v>26</v>
      </c>
      <c r="C6136" s="2" t="s">
        <v>3026</v>
      </c>
      <c r="D6136" s="1">
        <v>44084</v>
      </c>
      <c r="E6136">
        <f>MONTH(D6136)</f>
        <v>9</v>
      </c>
      <c r="F6136" s="2" t="s">
        <v>2098</v>
      </c>
      <c r="G6136" t="s">
        <v>219</v>
      </c>
      <c r="H6136" t="s">
        <v>220</v>
      </c>
      <c r="I6136" t="s">
        <v>22</v>
      </c>
      <c r="J6136" s="2" t="s">
        <v>42</v>
      </c>
      <c r="K6136" s="2" t="s">
        <v>3019</v>
      </c>
      <c r="L6136" t="s">
        <v>25</v>
      </c>
      <c r="M6136" s="10" t="s">
        <v>26</v>
      </c>
      <c r="N6136" t="s">
        <v>26</v>
      </c>
      <c r="O6136" s="10" t="s">
        <v>26</v>
      </c>
      <c r="P6136" s="8" t="s">
        <v>26</v>
      </c>
      <c r="Q6136" s="8">
        <f>(2317420*100)/2442061</f>
        <v>94.896073439606951</v>
      </c>
    </row>
    <row r="6137" spans="1:17" x14ac:dyDescent="0.2">
      <c r="A6137">
        <f>YEAR(D6137)</f>
        <v>2020</v>
      </c>
      <c r="B6137" t="s">
        <v>26</v>
      </c>
      <c r="C6137" s="2" t="s">
        <v>3026</v>
      </c>
      <c r="D6137" s="1">
        <v>44084</v>
      </c>
      <c r="E6137">
        <f>MONTH(D6137)</f>
        <v>9</v>
      </c>
      <c r="F6137" s="2" t="s">
        <v>2098</v>
      </c>
      <c r="G6137" t="s">
        <v>219</v>
      </c>
      <c r="H6137" t="s">
        <v>220</v>
      </c>
      <c r="I6137" t="s">
        <v>22</v>
      </c>
      <c r="J6137" s="2" t="s">
        <v>42</v>
      </c>
      <c r="K6137" s="2" t="s">
        <v>3019</v>
      </c>
      <c r="L6137" t="s">
        <v>25</v>
      </c>
      <c r="M6137" s="10" t="s">
        <v>26</v>
      </c>
      <c r="N6137" t="s">
        <v>26</v>
      </c>
      <c r="O6137" s="10" t="s">
        <v>26</v>
      </c>
      <c r="P6137" s="8" t="s">
        <v>26</v>
      </c>
      <c r="Q6137" s="8">
        <f>(2317420*100)/2442061</f>
        <v>94.896073439606951</v>
      </c>
    </row>
    <row r="6138" spans="1:17" x14ac:dyDescent="0.2">
      <c r="A6138">
        <f>YEAR(D6138)</f>
        <v>2020</v>
      </c>
      <c r="B6138" t="s">
        <v>26</v>
      </c>
      <c r="C6138" s="2" t="s">
        <v>3026</v>
      </c>
      <c r="D6138" s="1">
        <v>44084</v>
      </c>
      <c r="E6138">
        <f>MONTH(D6138)</f>
        <v>9</v>
      </c>
      <c r="F6138" s="2" t="s">
        <v>2098</v>
      </c>
      <c r="G6138" t="s">
        <v>219</v>
      </c>
      <c r="H6138" t="s">
        <v>220</v>
      </c>
      <c r="I6138" t="s">
        <v>22</v>
      </c>
      <c r="J6138" s="2" t="s">
        <v>42</v>
      </c>
      <c r="K6138" s="2" t="s">
        <v>3019</v>
      </c>
      <c r="L6138" t="s">
        <v>25</v>
      </c>
      <c r="M6138" s="10" t="s">
        <v>26</v>
      </c>
      <c r="N6138" t="s">
        <v>26</v>
      </c>
      <c r="O6138" s="10" t="s">
        <v>26</v>
      </c>
      <c r="P6138" s="8" t="s">
        <v>26</v>
      </c>
      <c r="Q6138" s="8">
        <f>(2317420*100)/2442061</f>
        <v>94.896073439606951</v>
      </c>
    </row>
    <row r="6139" spans="1:17" x14ac:dyDescent="0.2">
      <c r="A6139">
        <f>YEAR(D6139)</f>
        <v>2020</v>
      </c>
      <c r="B6139" t="s">
        <v>26</v>
      </c>
      <c r="C6139" s="2" t="s">
        <v>3026</v>
      </c>
      <c r="D6139" s="1">
        <v>44084</v>
      </c>
      <c r="E6139">
        <f>MONTH(D6139)</f>
        <v>9</v>
      </c>
      <c r="F6139" s="2" t="s">
        <v>2098</v>
      </c>
      <c r="G6139" t="s">
        <v>219</v>
      </c>
      <c r="H6139" t="s">
        <v>220</v>
      </c>
      <c r="I6139" t="s">
        <v>22</v>
      </c>
      <c r="J6139" s="2" t="s">
        <v>42</v>
      </c>
      <c r="K6139" s="2" t="s">
        <v>3019</v>
      </c>
      <c r="L6139" t="s">
        <v>25</v>
      </c>
      <c r="M6139" s="10" t="s">
        <v>26</v>
      </c>
      <c r="N6139" t="s">
        <v>26</v>
      </c>
      <c r="O6139" s="10" t="s">
        <v>26</v>
      </c>
      <c r="P6139" s="8" t="s">
        <v>26</v>
      </c>
      <c r="Q6139" s="8">
        <f>(2317420*100)/2442061</f>
        <v>94.896073439606951</v>
      </c>
    </row>
    <row r="6140" spans="1:17" x14ac:dyDescent="0.2">
      <c r="A6140">
        <f>YEAR(D6140)</f>
        <v>2020</v>
      </c>
      <c r="B6140" t="s">
        <v>26</v>
      </c>
      <c r="C6140" s="2" t="s">
        <v>3026</v>
      </c>
      <c r="D6140" s="1">
        <v>44084</v>
      </c>
      <c r="E6140">
        <f>MONTH(D6140)</f>
        <v>9</v>
      </c>
      <c r="F6140" s="2" t="s">
        <v>2098</v>
      </c>
      <c r="G6140" t="s">
        <v>230</v>
      </c>
      <c r="H6140" t="s">
        <v>268</v>
      </c>
      <c r="I6140" t="s">
        <v>22</v>
      </c>
      <c r="J6140" s="2" t="s">
        <v>42</v>
      </c>
      <c r="K6140" s="2" t="s">
        <v>3019</v>
      </c>
      <c r="L6140" t="s">
        <v>25</v>
      </c>
      <c r="M6140" s="8">
        <v>3.5356666670000001</v>
      </c>
      <c r="N6140" t="s">
        <v>26</v>
      </c>
      <c r="O6140" s="8">
        <v>3.5356666670000001</v>
      </c>
      <c r="P6140" s="8">
        <f>EXP(-1.363+3.366*LOG(O6140,10))</f>
        <v>1.6211802664427075</v>
      </c>
      <c r="Q6140" s="8">
        <f>(2317420*100)/2442061</f>
        <v>94.896073439606951</v>
      </c>
    </row>
    <row r="6141" spans="1:17" x14ac:dyDescent="0.2">
      <c r="A6141">
        <f>YEAR(D6141)</f>
        <v>2020</v>
      </c>
      <c r="B6141" t="s">
        <v>26</v>
      </c>
      <c r="C6141" s="2" t="s">
        <v>3026</v>
      </c>
      <c r="D6141" s="1">
        <v>44084</v>
      </c>
      <c r="E6141">
        <f>MONTH(D6141)</f>
        <v>9</v>
      </c>
      <c r="F6141" s="2" t="s">
        <v>2098</v>
      </c>
      <c r="G6141" t="s">
        <v>230</v>
      </c>
      <c r="H6141" t="s">
        <v>268</v>
      </c>
      <c r="I6141" t="s">
        <v>22</v>
      </c>
      <c r="J6141" s="2" t="s">
        <v>42</v>
      </c>
      <c r="K6141" s="2" t="s">
        <v>3019</v>
      </c>
      <c r="L6141" t="s">
        <v>25</v>
      </c>
      <c r="M6141" s="8">
        <v>3.5356666670000001</v>
      </c>
      <c r="N6141" t="s">
        <v>26</v>
      </c>
      <c r="O6141" s="8">
        <v>3.5356666670000001</v>
      </c>
      <c r="P6141" s="8">
        <f>EXP(-1.363+3.366*LOG(O6141,10))</f>
        <v>1.6211802664427075</v>
      </c>
      <c r="Q6141" s="8">
        <f>(2317420*100)/2442061</f>
        <v>94.896073439606951</v>
      </c>
    </row>
    <row r="6142" spans="1:17" x14ac:dyDescent="0.2">
      <c r="A6142">
        <f>YEAR(D6142)</f>
        <v>2020</v>
      </c>
      <c r="B6142" t="s">
        <v>26</v>
      </c>
      <c r="C6142" s="2" t="s">
        <v>3026</v>
      </c>
      <c r="D6142" s="1">
        <v>44084</v>
      </c>
      <c r="E6142">
        <f>MONTH(D6142)</f>
        <v>9</v>
      </c>
      <c r="F6142" s="2" t="s">
        <v>2098</v>
      </c>
      <c r="G6142" t="s">
        <v>230</v>
      </c>
      <c r="H6142" t="s">
        <v>268</v>
      </c>
      <c r="I6142" t="s">
        <v>22</v>
      </c>
      <c r="J6142" s="2" t="s">
        <v>42</v>
      </c>
      <c r="K6142" s="2" t="s">
        <v>3019</v>
      </c>
      <c r="L6142" t="s">
        <v>25</v>
      </c>
      <c r="M6142" s="8">
        <v>3.5356666670000001</v>
      </c>
      <c r="N6142" t="s">
        <v>26</v>
      </c>
      <c r="O6142" s="8">
        <v>3.5356666670000001</v>
      </c>
      <c r="P6142" s="8">
        <f>EXP(-1.363+3.366*LOG(O6142,10))</f>
        <v>1.6211802664427075</v>
      </c>
      <c r="Q6142" s="8">
        <f>(2317420*100)/2442061</f>
        <v>94.896073439606951</v>
      </c>
    </row>
    <row r="6143" spans="1:17" x14ac:dyDescent="0.2">
      <c r="A6143">
        <f>YEAR(D6143)</f>
        <v>2020</v>
      </c>
      <c r="B6143" t="s">
        <v>26</v>
      </c>
      <c r="C6143" s="2" t="s">
        <v>3026</v>
      </c>
      <c r="D6143" s="1">
        <v>44084</v>
      </c>
      <c r="E6143">
        <f>MONTH(D6143)</f>
        <v>9</v>
      </c>
      <c r="F6143" s="2" t="s">
        <v>2098</v>
      </c>
      <c r="G6143" t="s">
        <v>230</v>
      </c>
      <c r="H6143" t="s">
        <v>268</v>
      </c>
      <c r="I6143" t="s">
        <v>22</v>
      </c>
      <c r="J6143" s="2" t="s">
        <v>42</v>
      </c>
      <c r="K6143" s="2" t="s">
        <v>3019</v>
      </c>
      <c r="L6143" t="s">
        <v>25</v>
      </c>
      <c r="M6143" s="8">
        <v>3.5356666670000001</v>
      </c>
      <c r="N6143" t="s">
        <v>26</v>
      </c>
      <c r="O6143" s="8">
        <v>3.5356666670000001</v>
      </c>
      <c r="P6143" s="8">
        <f>EXP(-1.363+3.366*LOG(O6143,10))</f>
        <v>1.6211802664427075</v>
      </c>
      <c r="Q6143" s="8">
        <f>(2317420*100)/2442061</f>
        <v>94.896073439606951</v>
      </c>
    </row>
    <row r="6144" spans="1:17" x14ac:dyDescent="0.2">
      <c r="A6144">
        <f>YEAR(D6144)</f>
        <v>2020</v>
      </c>
      <c r="B6144" t="s">
        <v>26</v>
      </c>
      <c r="C6144" s="2" t="s">
        <v>3026</v>
      </c>
      <c r="D6144" s="1">
        <v>44084</v>
      </c>
      <c r="E6144">
        <f>MONTH(D6144)</f>
        <v>9</v>
      </c>
      <c r="F6144" s="2" t="s">
        <v>2098</v>
      </c>
      <c r="G6144" t="s">
        <v>219</v>
      </c>
      <c r="H6144" t="s">
        <v>220</v>
      </c>
      <c r="I6144" t="s">
        <v>22</v>
      </c>
      <c r="J6144" s="2" t="s">
        <v>42</v>
      </c>
      <c r="K6144" s="2" t="s">
        <v>3019</v>
      </c>
      <c r="L6144" t="s">
        <v>25</v>
      </c>
      <c r="M6144" s="10" t="s">
        <v>26</v>
      </c>
      <c r="N6144" t="s">
        <v>26</v>
      </c>
      <c r="O6144" s="10" t="s">
        <v>26</v>
      </c>
      <c r="P6144" s="8" t="s">
        <v>26</v>
      </c>
      <c r="Q6144" s="8">
        <f>(2317420*100)/2442061</f>
        <v>94.896073439606951</v>
      </c>
    </row>
    <row r="6145" spans="1:17" x14ac:dyDescent="0.2">
      <c r="A6145">
        <f>YEAR(D6145)</f>
        <v>2020</v>
      </c>
      <c r="B6145" t="s">
        <v>26</v>
      </c>
      <c r="C6145" s="2" t="s">
        <v>3026</v>
      </c>
      <c r="D6145" s="1">
        <v>44084</v>
      </c>
      <c r="E6145">
        <f>MONTH(D6145)</f>
        <v>9</v>
      </c>
      <c r="F6145" s="2" t="s">
        <v>2098</v>
      </c>
      <c r="G6145" t="s">
        <v>230</v>
      </c>
      <c r="H6145" t="s">
        <v>268</v>
      </c>
      <c r="I6145" t="s">
        <v>22</v>
      </c>
      <c r="J6145" s="2" t="s">
        <v>42</v>
      </c>
      <c r="K6145" s="2" t="s">
        <v>3019</v>
      </c>
      <c r="L6145" t="s">
        <v>25</v>
      </c>
      <c r="M6145" s="8">
        <v>3.5356666670000001</v>
      </c>
      <c r="N6145" t="s">
        <v>26</v>
      </c>
      <c r="O6145" s="8">
        <v>3.5356666670000001</v>
      </c>
      <c r="P6145" s="8">
        <f>EXP(-1.363+3.366*LOG(O6145,10))</f>
        <v>1.6211802664427075</v>
      </c>
      <c r="Q6145" s="8">
        <f>(2317420*100)/2442061</f>
        <v>94.896073439606951</v>
      </c>
    </row>
    <row r="6146" spans="1:17" x14ac:dyDescent="0.2">
      <c r="A6146">
        <f>YEAR(D6146)</f>
        <v>2020</v>
      </c>
      <c r="B6146" t="s">
        <v>26</v>
      </c>
      <c r="C6146" s="2" t="s">
        <v>3026</v>
      </c>
      <c r="D6146" s="1">
        <v>44084</v>
      </c>
      <c r="E6146">
        <f>MONTH(D6146)</f>
        <v>9</v>
      </c>
      <c r="F6146" s="2" t="s">
        <v>2098</v>
      </c>
      <c r="G6146" t="s">
        <v>230</v>
      </c>
      <c r="H6146" t="s">
        <v>268</v>
      </c>
      <c r="I6146" t="s">
        <v>22</v>
      </c>
      <c r="J6146" s="2" t="s">
        <v>42</v>
      </c>
      <c r="K6146" s="2" t="s">
        <v>3019</v>
      </c>
      <c r="L6146" t="s">
        <v>25</v>
      </c>
      <c r="M6146" s="8">
        <v>3.5356666670000001</v>
      </c>
      <c r="N6146" t="s">
        <v>26</v>
      </c>
      <c r="O6146" s="8">
        <v>3.5356666670000001</v>
      </c>
      <c r="P6146" s="8">
        <f>EXP(-1.363+3.366*LOG(O6146,10))</f>
        <v>1.6211802664427075</v>
      </c>
      <c r="Q6146" s="8">
        <f>(2317420*100)/2442061</f>
        <v>94.896073439606951</v>
      </c>
    </row>
    <row r="6147" spans="1:17" x14ac:dyDescent="0.2">
      <c r="A6147">
        <f>YEAR(D6147)</f>
        <v>2020</v>
      </c>
      <c r="B6147" t="s">
        <v>26</v>
      </c>
      <c r="C6147" s="2" t="s">
        <v>3026</v>
      </c>
      <c r="D6147" s="1">
        <v>44084</v>
      </c>
      <c r="E6147">
        <f>MONTH(D6147)</f>
        <v>9</v>
      </c>
      <c r="F6147" s="2" t="s">
        <v>2098</v>
      </c>
      <c r="G6147" t="s">
        <v>230</v>
      </c>
      <c r="H6147" t="s">
        <v>259</v>
      </c>
      <c r="I6147" t="s">
        <v>22</v>
      </c>
      <c r="J6147" s="2" t="s">
        <v>42</v>
      </c>
      <c r="K6147" s="2" t="s">
        <v>3019</v>
      </c>
      <c r="L6147" t="s">
        <v>25</v>
      </c>
      <c r="M6147" s="8">
        <v>4.2283333330000001</v>
      </c>
      <c r="N6147" t="s">
        <v>26</v>
      </c>
      <c r="O6147" s="8">
        <v>4.2283333330000001</v>
      </c>
      <c r="P6147" s="8">
        <f>EXP(-1.363+3.366*LOG(O6147,10))</f>
        <v>2.1057792396965977</v>
      </c>
      <c r="Q6147" s="8">
        <f>(2317420*100)/2442061</f>
        <v>94.896073439606951</v>
      </c>
    </row>
    <row r="6148" spans="1:17" x14ac:dyDescent="0.2">
      <c r="A6148">
        <f>YEAR(D6148)</f>
        <v>2020</v>
      </c>
      <c r="B6148" t="s">
        <v>26</v>
      </c>
      <c r="C6148" s="2" t="s">
        <v>3026</v>
      </c>
      <c r="D6148" s="1">
        <v>44084</v>
      </c>
      <c r="E6148">
        <f>MONTH(D6148)</f>
        <v>9</v>
      </c>
      <c r="F6148" s="2" t="s">
        <v>2098</v>
      </c>
      <c r="G6148" t="s">
        <v>230</v>
      </c>
      <c r="H6148" t="s">
        <v>268</v>
      </c>
      <c r="I6148" t="s">
        <v>36</v>
      </c>
      <c r="J6148" s="2" t="s">
        <v>42</v>
      </c>
      <c r="K6148" s="2" t="s">
        <v>3019</v>
      </c>
      <c r="L6148" t="s">
        <v>25</v>
      </c>
      <c r="M6148" s="8">
        <v>3.3683333329999998</v>
      </c>
      <c r="N6148" t="s">
        <v>26</v>
      </c>
      <c r="O6148" s="8">
        <v>3.3683333329999998</v>
      </c>
      <c r="P6148" s="8">
        <f>EXP(-1.363+3.366*LOG(O6148,10))</f>
        <v>1.510255893489963</v>
      </c>
      <c r="Q6148" s="8">
        <f>(2317420*100)/2442061</f>
        <v>94.896073439606951</v>
      </c>
    </row>
    <row r="6149" spans="1:17" x14ac:dyDescent="0.2">
      <c r="A6149">
        <f>YEAR(D6149)</f>
        <v>2020</v>
      </c>
      <c r="B6149" t="s">
        <v>26</v>
      </c>
      <c r="C6149" s="2" t="s">
        <v>3026</v>
      </c>
      <c r="D6149" s="1">
        <v>44084</v>
      </c>
      <c r="E6149">
        <f>MONTH(D6149)</f>
        <v>9</v>
      </c>
      <c r="F6149" s="2" t="s">
        <v>2098</v>
      </c>
      <c r="G6149" t="s">
        <v>230</v>
      </c>
      <c r="H6149" t="s">
        <v>268</v>
      </c>
      <c r="I6149" t="s">
        <v>36</v>
      </c>
      <c r="J6149" s="2" t="s">
        <v>42</v>
      </c>
      <c r="K6149" s="2" t="s">
        <v>3019</v>
      </c>
      <c r="L6149" t="s">
        <v>25</v>
      </c>
      <c r="M6149" s="8">
        <v>3.3683333329999998</v>
      </c>
      <c r="N6149" t="s">
        <v>26</v>
      </c>
      <c r="O6149" s="8">
        <v>3.3683333329999998</v>
      </c>
      <c r="P6149" s="8">
        <f>EXP(-1.363+3.366*LOG(O6149,10))</f>
        <v>1.510255893489963</v>
      </c>
      <c r="Q6149" s="8">
        <f>(2317420*100)/2442061</f>
        <v>94.896073439606951</v>
      </c>
    </row>
    <row r="6150" spans="1:17" x14ac:dyDescent="0.2">
      <c r="A6150">
        <f>YEAR(D6150)</f>
        <v>2020</v>
      </c>
      <c r="B6150" t="s">
        <v>26</v>
      </c>
      <c r="C6150" s="2" t="s">
        <v>3026</v>
      </c>
      <c r="D6150" s="1">
        <v>44084</v>
      </c>
      <c r="E6150">
        <f>MONTH(D6150)</f>
        <v>9</v>
      </c>
      <c r="F6150" s="2" t="s">
        <v>2098</v>
      </c>
      <c r="G6150" t="s">
        <v>1520</v>
      </c>
      <c r="H6150" t="s">
        <v>1521</v>
      </c>
      <c r="I6150" t="s">
        <v>22</v>
      </c>
      <c r="J6150" s="2" t="s">
        <v>42</v>
      </c>
      <c r="K6150" s="2" t="s">
        <v>3019</v>
      </c>
      <c r="L6150" t="s">
        <v>25</v>
      </c>
      <c r="M6150" s="8">
        <v>2.952</v>
      </c>
      <c r="N6150" t="s">
        <v>26</v>
      </c>
      <c r="O6150" s="8">
        <v>2.952</v>
      </c>
      <c r="P6150" s="8">
        <f>EXP(-1.363+3.366*LOG(O6150,10))</f>
        <v>1.2453438103764427</v>
      </c>
      <c r="Q6150" s="8">
        <f>(2317420*100)/2442061</f>
        <v>94.896073439606951</v>
      </c>
    </row>
    <row r="6151" spans="1:17" x14ac:dyDescent="0.2">
      <c r="A6151">
        <f>YEAR(D6151)</f>
        <v>2020</v>
      </c>
      <c r="B6151" t="s">
        <v>26</v>
      </c>
      <c r="C6151" s="2" t="s">
        <v>3026</v>
      </c>
      <c r="D6151" s="1">
        <v>44084</v>
      </c>
      <c r="E6151">
        <f>MONTH(D6151)</f>
        <v>9</v>
      </c>
      <c r="F6151" s="2" t="s">
        <v>2098</v>
      </c>
      <c r="G6151" t="s">
        <v>219</v>
      </c>
      <c r="H6151" t="s">
        <v>220</v>
      </c>
      <c r="I6151" t="s">
        <v>22</v>
      </c>
      <c r="J6151" s="2" t="s">
        <v>42</v>
      </c>
      <c r="K6151" s="2" t="s">
        <v>3019</v>
      </c>
      <c r="L6151" t="s">
        <v>25</v>
      </c>
      <c r="M6151" s="10" t="s">
        <v>26</v>
      </c>
      <c r="N6151" t="s">
        <v>26</v>
      </c>
      <c r="O6151" s="10" t="s">
        <v>26</v>
      </c>
      <c r="P6151" s="8" t="s">
        <v>26</v>
      </c>
      <c r="Q6151" s="8">
        <f>(2317420*100)/2442061</f>
        <v>94.896073439606951</v>
      </c>
    </row>
    <row r="6152" spans="1:17" x14ac:dyDescent="0.2">
      <c r="A6152">
        <f>YEAR(D6152)</f>
        <v>2020</v>
      </c>
      <c r="B6152" t="s">
        <v>26</v>
      </c>
      <c r="C6152" s="2" t="s">
        <v>3026</v>
      </c>
      <c r="D6152" s="1">
        <v>44084</v>
      </c>
      <c r="E6152">
        <f>MONTH(D6152)</f>
        <v>9</v>
      </c>
      <c r="F6152" s="2" t="s">
        <v>2098</v>
      </c>
      <c r="G6152" t="s">
        <v>219</v>
      </c>
      <c r="H6152" t="s">
        <v>220</v>
      </c>
      <c r="I6152" t="s">
        <v>22</v>
      </c>
      <c r="J6152" s="2" t="s">
        <v>42</v>
      </c>
      <c r="K6152" s="2" t="s">
        <v>3019</v>
      </c>
      <c r="L6152" t="s">
        <v>25</v>
      </c>
      <c r="M6152" s="10" t="s">
        <v>26</v>
      </c>
      <c r="N6152" t="s">
        <v>26</v>
      </c>
      <c r="O6152" s="10" t="s">
        <v>26</v>
      </c>
      <c r="P6152" s="8" t="s">
        <v>26</v>
      </c>
      <c r="Q6152" s="8">
        <f>(2317420*100)/2442061</f>
        <v>94.896073439606951</v>
      </c>
    </row>
    <row r="6153" spans="1:17" x14ac:dyDescent="0.2">
      <c r="A6153">
        <f>YEAR(D6153)</f>
        <v>2020</v>
      </c>
      <c r="B6153" t="s">
        <v>26</v>
      </c>
      <c r="C6153" s="2" t="s">
        <v>3026</v>
      </c>
      <c r="D6153" s="1">
        <v>44084</v>
      </c>
      <c r="E6153">
        <f>MONTH(D6153)</f>
        <v>9</v>
      </c>
      <c r="F6153" s="2" t="s">
        <v>2098</v>
      </c>
      <c r="G6153" t="s">
        <v>219</v>
      </c>
      <c r="H6153" t="s">
        <v>220</v>
      </c>
      <c r="I6153" t="s">
        <v>22</v>
      </c>
      <c r="J6153" s="2" t="s">
        <v>42</v>
      </c>
      <c r="K6153" s="2" t="s">
        <v>3019</v>
      </c>
      <c r="L6153" t="s">
        <v>25</v>
      </c>
      <c r="M6153" s="10" t="s">
        <v>26</v>
      </c>
      <c r="N6153" t="s">
        <v>26</v>
      </c>
      <c r="O6153" s="10" t="s">
        <v>26</v>
      </c>
      <c r="P6153" s="8" t="s">
        <v>26</v>
      </c>
      <c r="Q6153" s="8">
        <f>(2317420*100)/2442061</f>
        <v>94.896073439606951</v>
      </c>
    </row>
    <row r="6154" spans="1:17" x14ac:dyDescent="0.2">
      <c r="A6154">
        <f>YEAR(D6154)</f>
        <v>2020</v>
      </c>
      <c r="B6154" t="s">
        <v>26</v>
      </c>
      <c r="C6154" s="2" t="s">
        <v>3026</v>
      </c>
      <c r="D6154" s="1">
        <v>44084</v>
      </c>
      <c r="E6154">
        <f>MONTH(D6154)</f>
        <v>9</v>
      </c>
      <c r="F6154" s="2" t="s">
        <v>2098</v>
      </c>
      <c r="G6154" t="s">
        <v>230</v>
      </c>
      <c r="H6154" t="s">
        <v>268</v>
      </c>
      <c r="I6154" t="s">
        <v>36</v>
      </c>
      <c r="J6154" s="2" t="s">
        <v>42</v>
      </c>
      <c r="K6154" s="2" t="s">
        <v>3019</v>
      </c>
      <c r="L6154" t="s">
        <v>25</v>
      </c>
      <c r="M6154" s="8">
        <v>3.3683333329999998</v>
      </c>
      <c r="N6154" t="s">
        <v>26</v>
      </c>
      <c r="O6154" s="8">
        <v>3.3683333329999998</v>
      </c>
      <c r="P6154" s="8">
        <f>EXP(-1.363+3.366*LOG(O6154,10))</f>
        <v>1.510255893489963</v>
      </c>
      <c r="Q6154" s="8">
        <f>(2317420*100)/2442061</f>
        <v>94.896073439606951</v>
      </c>
    </row>
    <row r="6155" spans="1:17" x14ac:dyDescent="0.2">
      <c r="A6155">
        <f>YEAR(D6155)</f>
        <v>2020</v>
      </c>
      <c r="B6155" t="s">
        <v>26</v>
      </c>
      <c r="C6155" s="2" t="s">
        <v>3026</v>
      </c>
      <c r="D6155" s="1">
        <v>44084</v>
      </c>
      <c r="E6155">
        <f>MONTH(D6155)</f>
        <v>9</v>
      </c>
      <c r="F6155" s="2" t="s">
        <v>2098</v>
      </c>
      <c r="G6155" t="s">
        <v>230</v>
      </c>
      <c r="H6155" t="s">
        <v>268</v>
      </c>
      <c r="I6155" t="s">
        <v>22</v>
      </c>
      <c r="J6155" s="2" t="s">
        <v>42</v>
      </c>
      <c r="K6155" s="2" t="s">
        <v>3019</v>
      </c>
      <c r="L6155" t="s">
        <v>25</v>
      </c>
      <c r="M6155" s="8">
        <v>3.5356666670000001</v>
      </c>
      <c r="N6155" t="s">
        <v>26</v>
      </c>
      <c r="O6155" s="8">
        <v>3.5356666670000001</v>
      </c>
      <c r="P6155" s="8">
        <f>EXP(-1.363+3.366*LOG(O6155,10))</f>
        <v>1.6211802664427075</v>
      </c>
      <c r="Q6155" s="8">
        <f>(2317420*100)/2442061</f>
        <v>94.896073439606951</v>
      </c>
    </row>
    <row r="6156" spans="1:17" x14ac:dyDescent="0.2">
      <c r="A6156">
        <f>YEAR(D6156)</f>
        <v>2020</v>
      </c>
      <c r="B6156" t="s">
        <v>26</v>
      </c>
      <c r="C6156" s="2" t="s">
        <v>3026</v>
      </c>
      <c r="D6156" s="1">
        <v>44084</v>
      </c>
      <c r="E6156">
        <f>MONTH(D6156)</f>
        <v>9</v>
      </c>
      <c r="F6156" s="2" t="s">
        <v>2098</v>
      </c>
      <c r="G6156" t="s">
        <v>230</v>
      </c>
      <c r="H6156" t="s">
        <v>268</v>
      </c>
      <c r="I6156" t="s">
        <v>22</v>
      </c>
      <c r="J6156" s="2" t="s">
        <v>42</v>
      </c>
      <c r="K6156" s="2" t="s">
        <v>3019</v>
      </c>
      <c r="L6156" t="s">
        <v>25</v>
      </c>
      <c r="M6156" s="8">
        <v>3.5356666670000001</v>
      </c>
      <c r="N6156" t="s">
        <v>26</v>
      </c>
      <c r="O6156" s="8">
        <v>3.5356666670000001</v>
      </c>
      <c r="P6156" s="8">
        <f>EXP(-1.363+3.366*LOG(O6156,10))</f>
        <v>1.6211802664427075</v>
      </c>
      <c r="Q6156" s="8">
        <f>(2317420*100)/2442061</f>
        <v>94.896073439606951</v>
      </c>
    </row>
    <row r="6157" spans="1:17" x14ac:dyDescent="0.2">
      <c r="A6157">
        <f>YEAR(D6157)</f>
        <v>2020</v>
      </c>
      <c r="B6157" t="s">
        <v>26</v>
      </c>
      <c r="C6157" s="2" t="s">
        <v>3026</v>
      </c>
      <c r="D6157" s="1">
        <v>44084</v>
      </c>
      <c r="E6157">
        <f>MONTH(D6157)</f>
        <v>9</v>
      </c>
      <c r="F6157" s="2" t="s">
        <v>2098</v>
      </c>
      <c r="G6157" t="s">
        <v>219</v>
      </c>
      <c r="H6157" t="s">
        <v>220</v>
      </c>
      <c r="I6157" t="s">
        <v>22</v>
      </c>
      <c r="J6157" s="2" t="s">
        <v>42</v>
      </c>
      <c r="K6157" s="2" t="s">
        <v>3019</v>
      </c>
      <c r="L6157" t="s">
        <v>25</v>
      </c>
      <c r="M6157" s="10" t="s">
        <v>26</v>
      </c>
      <c r="N6157" t="s">
        <v>26</v>
      </c>
      <c r="O6157" s="10" t="s">
        <v>26</v>
      </c>
      <c r="P6157" s="8" t="s">
        <v>26</v>
      </c>
      <c r="Q6157" s="8">
        <f>(2317420*100)/2442061</f>
        <v>94.896073439606951</v>
      </c>
    </row>
    <row r="6158" spans="1:17" x14ac:dyDescent="0.2">
      <c r="A6158">
        <f>YEAR(D6158)</f>
        <v>2020</v>
      </c>
      <c r="B6158" t="s">
        <v>26</v>
      </c>
      <c r="C6158" s="2" t="s">
        <v>3025</v>
      </c>
      <c r="D6158" s="1">
        <v>44084</v>
      </c>
      <c r="E6158">
        <f>MONTH(D6158)</f>
        <v>9</v>
      </c>
      <c r="F6158" s="2" t="s">
        <v>2098</v>
      </c>
      <c r="G6158" t="s">
        <v>219</v>
      </c>
      <c r="H6158" t="s">
        <v>220</v>
      </c>
      <c r="I6158" t="s">
        <v>22</v>
      </c>
      <c r="J6158" s="2" t="s">
        <v>42</v>
      </c>
      <c r="K6158" s="2" t="s">
        <v>3019</v>
      </c>
      <c r="L6158" t="s">
        <v>25</v>
      </c>
      <c r="M6158" s="10" t="s">
        <v>26</v>
      </c>
      <c r="N6158" t="s">
        <v>26</v>
      </c>
      <c r="O6158" s="10" t="s">
        <v>26</v>
      </c>
      <c r="P6158" s="8" t="s">
        <v>26</v>
      </c>
      <c r="Q6158" s="8">
        <f>(1955155*100)/2180255</f>
        <v>89.67551960665152</v>
      </c>
    </row>
    <row r="6159" spans="1:17" x14ac:dyDescent="0.2">
      <c r="A6159">
        <f>YEAR(D6159)</f>
        <v>2020</v>
      </c>
      <c r="B6159" t="s">
        <v>26</v>
      </c>
      <c r="C6159" s="2" t="s">
        <v>3025</v>
      </c>
      <c r="D6159" s="1">
        <v>44084</v>
      </c>
      <c r="E6159">
        <f>MONTH(D6159)</f>
        <v>9</v>
      </c>
      <c r="F6159" s="2" t="s">
        <v>2098</v>
      </c>
      <c r="G6159" t="s">
        <v>230</v>
      </c>
      <c r="H6159" t="s">
        <v>268</v>
      </c>
      <c r="I6159" t="s">
        <v>22</v>
      </c>
      <c r="J6159" s="2" t="s">
        <v>42</v>
      </c>
      <c r="K6159" s="2" t="s">
        <v>3019</v>
      </c>
      <c r="L6159" t="s">
        <v>25</v>
      </c>
      <c r="M6159" s="8">
        <v>3.5356666670000001</v>
      </c>
      <c r="N6159" t="s">
        <v>26</v>
      </c>
      <c r="O6159" s="8">
        <v>3.5356666670000001</v>
      </c>
      <c r="P6159" s="8">
        <f>EXP(-1.363+3.366*LOG(O6159,10))</f>
        <v>1.6211802664427075</v>
      </c>
      <c r="Q6159" s="8">
        <f>(1955155*100)/2180255</f>
        <v>89.67551960665152</v>
      </c>
    </row>
    <row r="6160" spans="1:17" x14ac:dyDescent="0.2">
      <c r="A6160">
        <f>YEAR(D6160)</f>
        <v>2020</v>
      </c>
      <c r="B6160" t="s">
        <v>26</v>
      </c>
      <c r="C6160" s="2" t="s">
        <v>3026</v>
      </c>
      <c r="D6160" s="1">
        <v>44084</v>
      </c>
      <c r="E6160">
        <f>MONTH(D6160)</f>
        <v>9</v>
      </c>
      <c r="F6160" s="2" t="s">
        <v>2098</v>
      </c>
      <c r="G6160" t="s">
        <v>1520</v>
      </c>
      <c r="H6160" t="s">
        <v>1521</v>
      </c>
      <c r="I6160" t="s">
        <v>36</v>
      </c>
      <c r="J6160" s="2" t="s">
        <v>42</v>
      </c>
      <c r="K6160" s="2" t="s">
        <v>3019</v>
      </c>
      <c r="L6160" t="s">
        <v>25</v>
      </c>
      <c r="M6160" s="8">
        <v>2.3340000000000001</v>
      </c>
      <c r="N6160" t="s">
        <v>26</v>
      </c>
      <c r="O6160" s="8">
        <v>2.3340000000000001</v>
      </c>
      <c r="P6160" s="8">
        <f>EXP(-1.363+3.366*LOG(O6160,10))</f>
        <v>0.88340410488080767</v>
      </c>
      <c r="Q6160" s="8">
        <f>(2317420*100)/2442061</f>
        <v>94.896073439606951</v>
      </c>
    </row>
    <row r="6161" spans="1:17" x14ac:dyDescent="0.2">
      <c r="A6161">
        <f>YEAR(D6161)</f>
        <v>2020</v>
      </c>
      <c r="B6161" t="s">
        <v>26</v>
      </c>
      <c r="C6161" s="2" t="s">
        <v>3018</v>
      </c>
      <c r="D6161" s="1">
        <v>44081</v>
      </c>
      <c r="E6161">
        <f>MONTH(D6161)</f>
        <v>9</v>
      </c>
      <c r="F6161" s="2" t="s">
        <v>19</v>
      </c>
      <c r="G6161" t="s">
        <v>352</v>
      </c>
      <c r="H6161" t="s">
        <v>1459</v>
      </c>
      <c r="I6161" t="s">
        <v>36</v>
      </c>
      <c r="J6161" s="2" t="s">
        <v>42</v>
      </c>
      <c r="K6161" s="2" t="s">
        <v>3019</v>
      </c>
      <c r="L6161" t="s">
        <v>25</v>
      </c>
      <c r="M6161" s="8">
        <v>1.0913333329999999</v>
      </c>
      <c r="N6161" t="s">
        <v>26</v>
      </c>
      <c r="O6161" s="8">
        <v>1.0913333329999999</v>
      </c>
      <c r="P6161" s="8">
        <f>EXP(-1.363+3.366*LOG(O6161,10))</f>
        <v>0.29076633015787234</v>
      </c>
      <c r="Q6161" s="8">
        <f>(5996898*100)/6073515</f>
        <v>98.738506449724753</v>
      </c>
    </row>
    <row r="6162" spans="1:17" x14ac:dyDescent="0.2">
      <c r="A6162">
        <f>YEAR(D6162)</f>
        <v>2020</v>
      </c>
      <c r="B6162" t="s">
        <v>26</v>
      </c>
      <c r="C6162" s="2" t="s">
        <v>3018</v>
      </c>
      <c r="D6162" s="1">
        <v>44081</v>
      </c>
      <c r="E6162">
        <f>MONTH(D6162)</f>
        <v>9</v>
      </c>
      <c r="F6162" s="2" t="s">
        <v>19</v>
      </c>
      <c r="G6162" t="s">
        <v>352</v>
      </c>
      <c r="H6162" t="s">
        <v>1459</v>
      </c>
      <c r="I6162" t="s">
        <v>36</v>
      </c>
      <c r="J6162" s="2" t="s">
        <v>42</v>
      </c>
      <c r="K6162" s="2" t="s">
        <v>3019</v>
      </c>
      <c r="L6162" t="s">
        <v>25</v>
      </c>
      <c r="M6162" s="8">
        <v>1.0913333329999999</v>
      </c>
      <c r="N6162" t="s">
        <v>26</v>
      </c>
      <c r="O6162" s="8">
        <v>1.0913333329999999</v>
      </c>
      <c r="P6162" s="8">
        <f>EXP(-1.363+3.366*LOG(O6162,10))</f>
        <v>0.29076633015787234</v>
      </c>
      <c r="Q6162" s="8">
        <f>(5996898*100)/6073515</f>
        <v>98.738506449724753</v>
      </c>
    </row>
    <row r="6163" spans="1:17" x14ac:dyDescent="0.2">
      <c r="A6163">
        <f>YEAR(D6163)</f>
        <v>2020</v>
      </c>
      <c r="B6163" t="s">
        <v>26</v>
      </c>
      <c r="C6163" s="2" t="s">
        <v>3024</v>
      </c>
      <c r="D6163" s="1">
        <v>44082</v>
      </c>
      <c r="E6163">
        <f>MONTH(D6163)</f>
        <v>9</v>
      </c>
      <c r="F6163" s="2" t="s">
        <v>19</v>
      </c>
      <c r="G6163" t="s">
        <v>352</v>
      </c>
      <c r="H6163" t="s">
        <v>975</v>
      </c>
      <c r="I6163" t="s">
        <v>22</v>
      </c>
      <c r="J6163" s="2" t="s">
        <v>42</v>
      </c>
      <c r="K6163" s="2" t="s">
        <v>3019</v>
      </c>
      <c r="L6163" t="s">
        <v>25</v>
      </c>
      <c r="M6163" s="8">
        <v>1.0693333330000001</v>
      </c>
      <c r="N6163" t="s">
        <v>26</v>
      </c>
      <c r="O6163" s="8">
        <v>1.0693333330000001</v>
      </c>
      <c r="P6163" s="8">
        <f>EXP(-1.363+3.366*LOG(O6163,10))</f>
        <v>0.28223780327142356</v>
      </c>
      <c r="Q6163" s="8">
        <f>(2412691*100)/2623642</f>
        <v>91.959611867777696</v>
      </c>
    </row>
    <row r="6164" spans="1:17" x14ac:dyDescent="0.2">
      <c r="A6164">
        <f>YEAR(D6164)</f>
        <v>2020</v>
      </c>
      <c r="B6164" t="s">
        <v>26</v>
      </c>
      <c r="C6164" s="2" t="s">
        <v>3024</v>
      </c>
      <c r="D6164" s="1">
        <v>44082</v>
      </c>
      <c r="E6164">
        <f>MONTH(D6164)</f>
        <v>9</v>
      </c>
      <c r="F6164" s="2" t="s">
        <v>19</v>
      </c>
      <c r="G6164" t="s">
        <v>230</v>
      </c>
      <c r="H6164" t="s">
        <v>268</v>
      </c>
      <c r="I6164" t="s">
        <v>22</v>
      </c>
      <c r="J6164" s="2" t="s">
        <v>42</v>
      </c>
      <c r="K6164" s="2" t="s">
        <v>3019</v>
      </c>
      <c r="L6164" t="s">
        <v>25</v>
      </c>
      <c r="M6164" s="8">
        <v>3.5356666670000001</v>
      </c>
      <c r="N6164" t="s">
        <v>26</v>
      </c>
      <c r="O6164" s="8">
        <v>3.5356666670000001</v>
      </c>
      <c r="P6164" s="8">
        <f>EXP(-1.363+3.366*LOG(O6164,10))</f>
        <v>1.6211802664427075</v>
      </c>
      <c r="Q6164" s="8">
        <f>(2412691*100)/2623642</f>
        <v>91.959611867777696</v>
      </c>
    </row>
    <row r="6165" spans="1:17" x14ac:dyDescent="0.2">
      <c r="A6165">
        <f>YEAR(D6165)</f>
        <v>2020</v>
      </c>
      <c r="B6165" t="s">
        <v>26</v>
      </c>
      <c r="C6165" s="2" t="s">
        <v>3026</v>
      </c>
      <c r="D6165" s="1">
        <v>44084</v>
      </c>
      <c r="E6165">
        <f>MONTH(D6165)</f>
        <v>9</v>
      </c>
      <c r="F6165" s="2" t="s">
        <v>19</v>
      </c>
      <c r="G6165" s="2" t="s">
        <v>3078</v>
      </c>
      <c r="H6165" t="s">
        <v>3064</v>
      </c>
      <c r="I6165" t="s">
        <v>36</v>
      </c>
      <c r="J6165" s="2" t="s">
        <v>42</v>
      </c>
      <c r="K6165" s="2" t="s">
        <v>3019</v>
      </c>
      <c r="L6165" t="s">
        <v>305</v>
      </c>
      <c r="M6165" s="8">
        <v>2.2103333333333333</v>
      </c>
      <c r="N6165" t="s">
        <v>26</v>
      </c>
      <c r="O6165" s="8">
        <v>2.2103333333333333</v>
      </c>
      <c r="P6165" s="8">
        <f>EXP(-1.363+3.366*LOG(O6165,10))</f>
        <v>0.81582522220447784</v>
      </c>
      <c r="Q6165" s="8">
        <f>(2317420*100)/2442061</f>
        <v>94.896073439606951</v>
      </c>
    </row>
    <row r="6166" spans="1:17" x14ac:dyDescent="0.2">
      <c r="A6166">
        <f>YEAR(D6166)</f>
        <v>2020</v>
      </c>
      <c r="B6166" t="s">
        <v>26</v>
      </c>
      <c r="C6166" s="2" t="s">
        <v>3025</v>
      </c>
      <c r="D6166" s="1">
        <v>44084</v>
      </c>
      <c r="E6166">
        <f>MONTH(D6166)</f>
        <v>9</v>
      </c>
      <c r="F6166" s="2" t="s">
        <v>19</v>
      </c>
      <c r="G6166" t="s">
        <v>352</v>
      </c>
      <c r="H6166" t="s">
        <v>975</v>
      </c>
      <c r="I6166" t="s">
        <v>22</v>
      </c>
      <c r="J6166" s="2" t="s">
        <v>42</v>
      </c>
      <c r="K6166" s="2" t="s">
        <v>3019</v>
      </c>
      <c r="L6166" t="s">
        <v>25</v>
      </c>
      <c r="M6166" s="8">
        <v>1.0693333330000001</v>
      </c>
      <c r="N6166" t="s">
        <v>26</v>
      </c>
      <c r="O6166" s="8">
        <v>1.0693333330000001</v>
      </c>
      <c r="P6166" s="8">
        <f>EXP(-1.363+3.366*LOG(O6166,10))</f>
        <v>0.28223780327142356</v>
      </c>
      <c r="Q6166" s="8">
        <f>(1955155*100)/2180255</f>
        <v>89.67551960665152</v>
      </c>
    </row>
    <row r="6167" spans="1:17" x14ac:dyDescent="0.2">
      <c r="A6167">
        <f>YEAR(D6167)</f>
        <v>2020</v>
      </c>
      <c r="B6167" t="s">
        <v>26</v>
      </c>
      <c r="C6167" s="2" t="s">
        <v>3025</v>
      </c>
      <c r="D6167" s="1">
        <v>44084</v>
      </c>
      <c r="E6167">
        <f>MONTH(D6167)</f>
        <v>9</v>
      </c>
      <c r="F6167" s="2" t="s">
        <v>19</v>
      </c>
      <c r="G6167" t="s">
        <v>352</v>
      </c>
      <c r="H6167" t="s">
        <v>975</v>
      </c>
      <c r="I6167" t="s">
        <v>22</v>
      </c>
      <c r="J6167" s="2" t="s">
        <v>42</v>
      </c>
      <c r="K6167" s="2" t="s">
        <v>3019</v>
      </c>
      <c r="L6167" t="s">
        <v>25</v>
      </c>
      <c r="M6167" s="8">
        <v>1.0693333330000001</v>
      </c>
      <c r="N6167" t="s">
        <v>26</v>
      </c>
      <c r="O6167" s="8">
        <v>1.0693333330000001</v>
      </c>
      <c r="P6167" s="8">
        <f>EXP(-1.363+3.366*LOG(O6167,10))</f>
        <v>0.28223780327142356</v>
      </c>
      <c r="Q6167" s="8">
        <f>(1955155*100)/2180255</f>
        <v>89.67551960665152</v>
      </c>
    </row>
    <row r="6168" spans="1:17" x14ac:dyDescent="0.2">
      <c r="A6168">
        <f>YEAR(D6168)</f>
        <v>2020</v>
      </c>
      <c r="B6168" t="s">
        <v>26</v>
      </c>
      <c r="C6168" s="2" t="s">
        <v>3024</v>
      </c>
      <c r="D6168" s="1">
        <v>44082</v>
      </c>
      <c r="E6168">
        <f>MONTH(D6168)</f>
        <v>9</v>
      </c>
      <c r="F6168" s="2" t="s">
        <v>19</v>
      </c>
      <c r="G6168" t="s">
        <v>362</v>
      </c>
      <c r="H6168" t="s">
        <v>2030</v>
      </c>
      <c r="I6168" t="s">
        <v>22</v>
      </c>
      <c r="J6168" s="2" t="s">
        <v>42</v>
      </c>
      <c r="K6168" s="2" t="s">
        <v>3019</v>
      </c>
      <c r="L6168" t="s">
        <v>25</v>
      </c>
      <c r="M6168" s="8">
        <v>1.4923333329999999</v>
      </c>
      <c r="N6168" t="s">
        <v>26</v>
      </c>
      <c r="O6168" s="8">
        <v>1.4923333329999999</v>
      </c>
      <c r="P6168" s="8">
        <f>EXP(-1.363+3.366*LOG(O6168,10))</f>
        <v>0.45943050733617752</v>
      </c>
      <c r="Q6168" s="8">
        <f>(2412691*100)/2623642</f>
        <v>91.959611867777696</v>
      </c>
    </row>
    <row r="6169" spans="1:17" x14ac:dyDescent="0.2">
      <c r="A6169">
        <f>YEAR(D6169)</f>
        <v>2020</v>
      </c>
      <c r="B6169" t="s">
        <v>26</v>
      </c>
      <c r="C6169" s="2" t="s">
        <v>3027</v>
      </c>
      <c r="D6169" s="1">
        <v>44081</v>
      </c>
      <c r="E6169">
        <f>MONTH(D6169)</f>
        <v>9</v>
      </c>
      <c r="F6169" s="2" t="s">
        <v>19</v>
      </c>
      <c r="G6169" t="s">
        <v>1512</v>
      </c>
      <c r="H6169" t="s">
        <v>1515</v>
      </c>
      <c r="I6169" t="s">
        <v>22</v>
      </c>
      <c r="J6169" s="2" t="s">
        <v>42</v>
      </c>
      <c r="K6169" s="2" t="s">
        <v>3019</v>
      </c>
      <c r="L6169" t="s">
        <v>187</v>
      </c>
      <c r="M6169" s="8">
        <v>1.477333333</v>
      </c>
      <c r="N6169" t="s">
        <v>26</v>
      </c>
      <c r="O6169" s="8">
        <v>1.477333333</v>
      </c>
      <c r="P6169" s="8">
        <f>EXP(-1.363+3.366*LOG(O6169,10))</f>
        <v>0.45269558398500004</v>
      </c>
      <c r="Q6169" s="8">
        <f>(3939723*100)/4442581</f>
        <v>88.680949204977921</v>
      </c>
    </row>
    <row r="6170" spans="1:17" x14ac:dyDescent="0.2">
      <c r="A6170">
        <f>YEAR(D6170)</f>
        <v>2020</v>
      </c>
      <c r="B6170" t="s">
        <v>26</v>
      </c>
      <c r="C6170" s="2" t="s">
        <v>3018</v>
      </c>
      <c r="D6170" s="1">
        <v>44081</v>
      </c>
      <c r="E6170">
        <f>MONTH(D6170)</f>
        <v>9</v>
      </c>
      <c r="F6170" s="2" t="s">
        <v>19</v>
      </c>
      <c r="G6170" t="s">
        <v>352</v>
      </c>
      <c r="H6170" t="s">
        <v>1344</v>
      </c>
      <c r="I6170" t="s">
        <v>22</v>
      </c>
      <c r="J6170" s="2" t="s">
        <v>42</v>
      </c>
      <c r="K6170" s="2" t="s">
        <v>3019</v>
      </c>
      <c r="L6170" t="s">
        <v>25</v>
      </c>
      <c r="M6170" s="8">
        <v>0.91800000000000004</v>
      </c>
      <c r="N6170" t="s">
        <v>26</v>
      </c>
      <c r="O6170" s="8">
        <v>0.91800000000000004</v>
      </c>
      <c r="P6170" s="8">
        <f>EXP(-1.363+3.366*LOG(O6170,10))</f>
        <v>0.22580769814771504</v>
      </c>
      <c r="Q6170" s="8">
        <f>(5996898*100)/6073515</f>
        <v>98.738506449724753</v>
      </c>
    </row>
    <row r="6171" spans="1:17" x14ac:dyDescent="0.2">
      <c r="A6171">
        <f>YEAR(D6171)</f>
        <v>2020</v>
      </c>
      <c r="B6171" t="s">
        <v>26</v>
      </c>
      <c r="C6171" s="2" t="s">
        <v>3018</v>
      </c>
      <c r="D6171" s="1">
        <v>44081</v>
      </c>
      <c r="E6171">
        <f>MONTH(D6171)</f>
        <v>9</v>
      </c>
      <c r="F6171" s="2" t="s">
        <v>19</v>
      </c>
      <c r="G6171" t="s">
        <v>230</v>
      </c>
      <c r="H6171" t="s">
        <v>268</v>
      </c>
      <c r="I6171" t="s">
        <v>22</v>
      </c>
      <c r="J6171" s="2" t="s">
        <v>42</v>
      </c>
      <c r="K6171" s="2" t="s">
        <v>3019</v>
      </c>
      <c r="L6171" t="s">
        <v>25</v>
      </c>
      <c r="M6171" s="8">
        <v>3.5356666670000001</v>
      </c>
      <c r="N6171" t="s">
        <v>26</v>
      </c>
      <c r="O6171" s="8">
        <v>3.5356666670000001</v>
      </c>
      <c r="P6171" s="8">
        <f>EXP(-1.363+3.366*LOG(O6171,10))</f>
        <v>1.6211802664427075</v>
      </c>
      <c r="Q6171" s="8">
        <f>(5996898*100)/6073515</f>
        <v>98.738506449724753</v>
      </c>
    </row>
    <row r="6172" spans="1:17" x14ac:dyDescent="0.2">
      <c r="A6172">
        <f>YEAR(D6172)</f>
        <v>2020</v>
      </c>
      <c r="B6172" t="s">
        <v>26</v>
      </c>
      <c r="C6172" s="2" t="s">
        <v>3018</v>
      </c>
      <c r="D6172" s="1">
        <v>44081</v>
      </c>
      <c r="E6172">
        <f>MONTH(D6172)</f>
        <v>9</v>
      </c>
      <c r="F6172" s="2" t="s">
        <v>19</v>
      </c>
      <c r="G6172" t="s">
        <v>352</v>
      </c>
      <c r="H6172" t="s">
        <v>747</v>
      </c>
      <c r="I6172" t="s">
        <v>36</v>
      </c>
      <c r="J6172" s="2" t="s">
        <v>42</v>
      </c>
      <c r="K6172" s="2" t="s">
        <v>3019</v>
      </c>
      <c r="L6172" t="s">
        <v>25</v>
      </c>
      <c r="M6172" s="8">
        <v>1.2526666666666666</v>
      </c>
      <c r="N6172" t="s">
        <v>26</v>
      </c>
      <c r="O6172" s="8">
        <v>1.2526666666666666</v>
      </c>
      <c r="P6172" s="8">
        <f>EXP(-1.363+3.366*LOG(O6172,10))</f>
        <v>0.35569358460451905</v>
      </c>
      <c r="Q6172" s="8">
        <f>(5996898*100)/6073515</f>
        <v>98.738506449724753</v>
      </c>
    </row>
    <row r="6173" spans="1:17" x14ac:dyDescent="0.2">
      <c r="A6173">
        <f>YEAR(D6173)</f>
        <v>2020</v>
      </c>
      <c r="B6173" t="s">
        <v>26</v>
      </c>
      <c r="C6173" s="2" t="s">
        <v>3018</v>
      </c>
      <c r="D6173" s="1">
        <v>44081</v>
      </c>
      <c r="E6173">
        <f>MONTH(D6173)</f>
        <v>9</v>
      </c>
      <c r="F6173" s="2" t="s">
        <v>19</v>
      </c>
      <c r="G6173" t="s">
        <v>219</v>
      </c>
      <c r="H6173" t="s">
        <v>220</v>
      </c>
      <c r="I6173" t="s">
        <v>22</v>
      </c>
      <c r="J6173" s="2" t="s">
        <v>42</v>
      </c>
      <c r="K6173" s="2" t="s">
        <v>3019</v>
      </c>
      <c r="L6173" t="s">
        <v>25</v>
      </c>
      <c r="M6173" s="10" t="s">
        <v>26</v>
      </c>
      <c r="N6173" t="s">
        <v>26</v>
      </c>
      <c r="O6173" s="10" t="s">
        <v>26</v>
      </c>
      <c r="P6173" s="8" t="s">
        <v>26</v>
      </c>
      <c r="Q6173" s="8">
        <f>(5996898*100)/6073515</f>
        <v>98.738506449724753</v>
      </c>
    </row>
    <row r="6174" spans="1:17" x14ac:dyDescent="0.2">
      <c r="A6174">
        <f>YEAR(D6174)</f>
        <v>2020</v>
      </c>
      <c r="B6174" t="s">
        <v>26</v>
      </c>
      <c r="C6174" s="2" t="s">
        <v>3018</v>
      </c>
      <c r="D6174" s="1">
        <v>44081</v>
      </c>
      <c r="E6174">
        <f>MONTH(D6174)</f>
        <v>9</v>
      </c>
      <c r="F6174" s="2" t="s">
        <v>19</v>
      </c>
      <c r="G6174" t="s">
        <v>352</v>
      </c>
      <c r="H6174" t="s">
        <v>975</v>
      </c>
      <c r="I6174" t="s">
        <v>22</v>
      </c>
      <c r="J6174" s="2" t="s">
        <v>42</v>
      </c>
      <c r="K6174" s="2" t="s">
        <v>3019</v>
      </c>
      <c r="L6174" t="s">
        <v>25</v>
      </c>
      <c r="M6174" s="8">
        <v>1.0693333330000001</v>
      </c>
      <c r="N6174" t="s">
        <v>26</v>
      </c>
      <c r="O6174" s="8">
        <v>1.0693333330000001</v>
      </c>
      <c r="P6174" s="8">
        <f>EXP(-1.363+3.366*LOG(O6174,10))</f>
        <v>0.28223780327142356</v>
      </c>
      <c r="Q6174" s="8">
        <f>(5996898*100)/6073515</f>
        <v>98.738506449724753</v>
      </c>
    </row>
    <row r="6175" spans="1:17" x14ac:dyDescent="0.2">
      <c r="A6175">
        <f>YEAR(D6175)</f>
        <v>2020</v>
      </c>
      <c r="B6175" t="s">
        <v>26</v>
      </c>
      <c r="C6175" s="2" t="s">
        <v>3021</v>
      </c>
      <c r="D6175" s="1">
        <v>44078</v>
      </c>
      <c r="E6175">
        <f>MONTH(D6175)</f>
        <v>9</v>
      </c>
      <c r="F6175" s="2" t="s">
        <v>19</v>
      </c>
      <c r="G6175" t="s">
        <v>352</v>
      </c>
      <c r="H6175" t="s">
        <v>1142</v>
      </c>
      <c r="I6175" t="s">
        <v>22</v>
      </c>
      <c r="J6175" s="2" t="s">
        <v>42</v>
      </c>
      <c r="K6175" s="2" t="s">
        <v>3019</v>
      </c>
      <c r="L6175" t="s">
        <v>25</v>
      </c>
      <c r="M6175" s="8">
        <v>1.1423333330000001</v>
      </c>
      <c r="N6175" t="s">
        <v>26</v>
      </c>
      <c r="O6175" s="8">
        <v>1.1423333330000001</v>
      </c>
      <c r="P6175" s="8">
        <f>EXP(-1.363+3.366*LOG(O6175,10))</f>
        <v>0.31084239358261528</v>
      </c>
      <c r="Q6175" s="8">
        <f>(1845879*100)/1946364</f>
        <v>94.837296620775973</v>
      </c>
    </row>
    <row r="6176" spans="1:17" x14ac:dyDescent="0.2">
      <c r="A6176">
        <f>YEAR(D6176)</f>
        <v>2020</v>
      </c>
      <c r="B6176" t="s">
        <v>26</v>
      </c>
      <c r="C6176" s="2" t="s">
        <v>1540</v>
      </c>
      <c r="D6176" s="1">
        <v>44076</v>
      </c>
      <c r="E6176">
        <f>MONTH(D6176)</f>
        <v>9</v>
      </c>
      <c r="F6176" s="2" t="s">
        <v>19</v>
      </c>
      <c r="G6176" t="s">
        <v>352</v>
      </c>
      <c r="H6176" t="s">
        <v>975</v>
      </c>
      <c r="I6176" t="s">
        <v>36</v>
      </c>
      <c r="J6176" s="2" t="s">
        <v>42</v>
      </c>
      <c r="K6176" s="2" t="s">
        <v>3019</v>
      </c>
      <c r="L6176" t="s">
        <v>25</v>
      </c>
      <c r="M6176" s="8">
        <v>0.95199999999999996</v>
      </c>
      <c r="N6176" t="s">
        <v>26</v>
      </c>
      <c r="O6176" s="8">
        <v>0.95199999999999996</v>
      </c>
      <c r="P6176" s="8">
        <f>EXP(-1.363+3.366*LOG(O6176,10))</f>
        <v>0.23813726407794436</v>
      </c>
      <c r="Q6176" s="8">
        <f>(2618262*100)/2995732</f>
        <v>87.399740697766021</v>
      </c>
    </row>
    <row r="6177" spans="1:17" x14ac:dyDescent="0.2">
      <c r="A6177">
        <f>YEAR(D6177)</f>
        <v>2020</v>
      </c>
      <c r="B6177" t="s">
        <v>26</v>
      </c>
      <c r="C6177" s="2" t="s">
        <v>1540</v>
      </c>
      <c r="D6177" s="1">
        <v>44076</v>
      </c>
      <c r="E6177">
        <f>MONTH(D6177)</f>
        <v>9</v>
      </c>
      <c r="F6177" s="2" t="s">
        <v>19</v>
      </c>
      <c r="G6177" t="s">
        <v>362</v>
      </c>
      <c r="H6177" t="s">
        <v>447</v>
      </c>
      <c r="I6177" t="s">
        <v>36</v>
      </c>
      <c r="J6177" s="2" t="s">
        <v>42</v>
      </c>
      <c r="K6177" s="2" t="s">
        <v>3019</v>
      </c>
      <c r="L6177" t="s">
        <v>25</v>
      </c>
      <c r="M6177" s="8">
        <v>1.0956666669999999</v>
      </c>
      <c r="N6177" t="s">
        <v>26</v>
      </c>
      <c r="O6177" s="8">
        <v>1.0956666669999999</v>
      </c>
      <c r="P6177" s="8">
        <f>EXP(-1.363+3.366*LOG(O6177,10))</f>
        <v>0.29245562330904107</v>
      </c>
      <c r="Q6177" s="8">
        <f>(2618262*100)/2995732</f>
        <v>87.399740697766021</v>
      </c>
    </row>
    <row r="6178" spans="1:17" x14ac:dyDescent="0.2">
      <c r="A6178">
        <f>YEAR(D6178)</f>
        <v>2020</v>
      </c>
      <c r="B6178" t="s">
        <v>26</v>
      </c>
      <c r="C6178" s="2" t="s">
        <v>1540</v>
      </c>
      <c r="D6178" s="1">
        <v>44076</v>
      </c>
      <c r="E6178">
        <f>MONTH(D6178)</f>
        <v>9</v>
      </c>
      <c r="F6178" s="2" t="s">
        <v>19</v>
      </c>
      <c r="G6178" t="s">
        <v>352</v>
      </c>
      <c r="H6178" t="s">
        <v>747</v>
      </c>
      <c r="I6178" t="s">
        <v>36</v>
      </c>
      <c r="J6178" s="2" t="s">
        <v>42</v>
      </c>
      <c r="K6178" s="2" t="s">
        <v>3019</v>
      </c>
      <c r="L6178" t="s">
        <v>25</v>
      </c>
      <c r="M6178" s="8">
        <v>1.2526666666666666</v>
      </c>
      <c r="N6178" t="s">
        <v>26</v>
      </c>
      <c r="O6178" s="8">
        <v>1.2526666666666666</v>
      </c>
      <c r="P6178" s="8">
        <f>EXP(-1.363+3.366*LOG(O6178,10))</f>
        <v>0.35569358460451905</v>
      </c>
      <c r="Q6178" s="8">
        <f>(2618262*100)/2995732</f>
        <v>87.399740697766021</v>
      </c>
    </row>
    <row r="6179" spans="1:17" x14ac:dyDescent="0.2">
      <c r="A6179">
        <f>YEAR(D6179)</f>
        <v>2020</v>
      </c>
      <c r="B6179" t="s">
        <v>26</v>
      </c>
      <c r="C6179" s="2" t="s">
        <v>50</v>
      </c>
      <c r="D6179" s="1">
        <v>44077</v>
      </c>
      <c r="E6179">
        <f>MONTH(D6179)</f>
        <v>9</v>
      </c>
      <c r="F6179" s="2" t="s">
        <v>19</v>
      </c>
      <c r="G6179" t="s">
        <v>219</v>
      </c>
      <c r="H6179" t="s">
        <v>220</v>
      </c>
      <c r="I6179" t="s">
        <v>22</v>
      </c>
      <c r="J6179" s="2" t="s">
        <v>42</v>
      </c>
      <c r="K6179" s="2" t="s">
        <v>3019</v>
      </c>
      <c r="L6179" t="s">
        <v>25</v>
      </c>
      <c r="M6179" s="10" t="s">
        <v>26</v>
      </c>
      <c r="N6179" t="s">
        <v>26</v>
      </c>
      <c r="O6179" s="10" t="s">
        <v>26</v>
      </c>
      <c r="P6179" s="8" t="s">
        <v>26</v>
      </c>
      <c r="Q6179" s="8">
        <f>(4488342*100)/4914798</f>
        <v>91.323020803703429</v>
      </c>
    </row>
    <row r="6180" spans="1:17" x14ac:dyDescent="0.2">
      <c r="A6180">
        <f>YEAR(D6180)</f>
        <v>2020</v>
      </c>
      <c r="B6180" t="s">
        <v>26</v>
      </c>
      <c r="C6180" s="2" t="s">
        <v>3024</v>
      </c>
      <c r="D6180" s="1">
        <v>44082</v>
      </c>
      <c r="E6180">
        <f>MONTH(D6180)</f>
        <v>9</v>
      </c>
      <c r="F6180" s="2" t="s">
        <v>19</v>
      </c>
      <c r="G6180" t="s">
        <v>352</v>
      </c>
      <c r="H6180" t="s">
        <v>975</v>
      </c>
      <c r="I6180" t="s">
        <v>22</v>
      </c>
      <c r="J6180" s="2" t="s">
        <v>42</v>
      </c>
      <c r="K6180" s="2" t="s">
        <v>3019</v>
      </c>
      <c r="L6180" t="s">
        <v>25</v>
      </c>
      <c r="M6180" s="8">
        <v>1.0693333330000001</v>
      </c>
      <c r="N6180" t="s">
        <v>26</v>
      </c>
      <c r="O6180" s="8">
        <v>1.0693333330000001</v>
      </c>
      <c r="P6180" s="8">
        <f>EXP(-1.363+3.366*LOG(O6180,10))</f>
        <v>0.28223780327142356</v>
      </c>
      <c r="Q6180" s="8">
        <f>(2412691*100)/2623642</f>
        <v>91.959611867777696</v>
      </c>
    </row>
    <row r="6181" spans="1:17" x14ac:dyDescent="0.2">
      <c r="A6181">
        <f>YEAR(D6181)</f>
        <v>2020</v>
      </c>
      <c r="B6181" t="s">
        <v>26</v>
      </c>
      <c r="C6181" s="2" t="s">
        <v>3021</v>
      </c>
      <c r="D6181" s="1">
        <v>44078</v>
      </c>
      <c r="E6181">
        <f>MONTH(D6181)</f>
        <v>9</v>
      </c>
      <c r="F6181" s="2" t="s">
        <v>19</v>
      </c>
      <c r="G6181" t="s">
        <v>352</v>
      </c>
      <c r="H6181" t="s">
        <v>1142</v>
      </c>
      <c r="I6181" t="s">
        <v>22</v>
      </c>
      <c r="J6181" s="2" t="s">
        <v>42</v>
      </c>
      <c r="K6181" s="2" t="s">
        <v>3019</v>
      </c>
      <c r="L6181" t="s">
        <v>25</v>
      </c>
      <c r="M6181" s="8">
        <v>1.1423333330000001</v>
      </c>
      <c r="N6181" t="s">
        <v>26</v>
      </c>
      <c r="O6181" s="8">
        <v>1.1423333330000001</v>
      </c>
      <c r="P6181" s="8">
        <f>EXP(-1.363+3.366*LOG(O6181,10))</f>
        <v>0.31084239358261528</v>
      </c>
      <c r="Q6181" s="8">
        <f>(1845879*100)/1946364</f>
        <v>94.837296620775973</v>
      </c>
    </row>
    <row r="6182" spans="1:17" x14ac:dyDescent="0.2">
      <c r="A6182">
        <f>YEAR(D6182)</f>
        <v>2020</v>
      </c>
      <c r="B6182" t="s">
        <v>26</v>
      </c>
      <c r="C6182" s="2" t="s">
        <v>3023</v>
      </c>
      <c r="D6182" s="1">
        <v>44075</v>
      </c>
      <c r="E6182">
        <f>MONTH(D6182)</f>
        <v>9</v>
      </c>
      <c r="F6182" s="2" t="s">
        <v>19</v>
      </c>
      <c r="G6182" t="s">
        <v>230</v>
      </c>
      <c r="H6182" t="s">
        <v>268</v>
      </c>
      <c r="I6182" t="s">
        <v>22</v>
      </c>
      <c r="J6182" s="2" t="s">
        <v>42</v>
      </c>
      <c r="K6182" s="2" t="s">
        <v>3019</v>
      </c>
      <c r="L6182" t="s">
        <v>25</v>
      </c>
      <c r="M6182" s="8">
        <v>3.5356666670000001</v>
      </c>
      <c r="N6182" t="s">
        <v>26</v>
      </c>
      <c r="O6182" s="8">
        <v>3.5356666670000001</v>
      </c>
      <c r="P6182" s="8">
        <f>EXP(-1.363+3.366*LOG(O6182,10))</f>
        <v>1.6211802664427075</v>
      </c>
      <c r="Q6182" s="8">
        <f>(8197453*100)/8541008</f>
        <v>95.977582505484136</v>
      </c>
    </row>
    <row r="6183" spans="1:17" x14ac:dyDescent="0.2">
      <c r="A6183">
        <f>YEAR(D6183)</f>
        <v>2020</v>
      </c>
      <c r="B6183" t="s">
        <v>26</v>
      </c>
      <c r="C6183" s="2" t="s">
        <v>3022</v>
      </c>
      <c r="D6183" s="1">
        <v>44075</v>
      </c>
      <c r="E6183">
        <f>MONTH(D6183)</f>
        <v>9</v>
      </c>
      <c r="F6183" s="2" t="s">
        <v>19</v>
      </c>
      <c r="G6183" t="s">
        <v>352</v>
      </c>
      <c r="H6183" t="s">
        <v>1344</v>
      </c>
      <c r="I6183" t="s">
        <v>22</v>
      </c>
      <c r="J6183" s="2" t="s">
        <v>42</v>
      </c>
      <c r="K6183" s="2" t="s">
        <v>3019</v>
      </c>
      <c r="L6183" t="s">
        <v>25</v>
      </c>
      <c r="M6183" s="8">
        <v>0.91800000000000004</v>
      </c>
      <c r="N6183" t="s">
        <v>26</v>
      </c>
      <c r="O6183" s="8">
        <v>0.91800000000000004</v>
      </c>
      <c r="P6183" s="8">
        <f>EXP(-1.363+3.366*LOG(O6183,10))</f>
        <v>0.22580769814771504</v>
      </c>
      <c r="Q6183" s="8">
        <f>(4437920*100)/4638971</f>
        <v>95.666043180696747</v>
      </c>
    </row>
    <row r="6184" spans="1:17" x14ac:dyDescent="0.2">
      <c r="A6184">
        <f>YEAR(D6184)</f>
        <v>2020</v>
      </c>
      <c r="B6184" t="s">
        <v>26</v>
      </c>
      <c r="C6184" s="2" t="s">
        <v>3022</v>
      </c>
      <c r="D6184" s="1">
        <v>44075</v>
      </c>
      <c r="E6184">
        <f>MONTH(D6184)</f>
        <v>9</v>
      </c>
      <c r="F6184" s="2" t="s">
        <v>19</v>
      </c>
      <c r="G6184" t="s">
        <v>219</v>
      </c>
      <c r="H6184" t="s">
        <v>220</v>
      </c>
      <c r="I6184" t="s">
        <v>22</v>
      </c>
      <c r="J6184" s="2" t="s">
        <v>42</v>
      </c>
      <c r="K6184" s="2" t="s">
        <v>3019</v>
      </c>
      <c r="L6184" t="s">
        <v>25</v>
      </c>
      <c r="M6184" s="10" t="s">
        <v>26</v>
      </c>
      <c r="N6184" t="s">
        <v>26</v>
      </c>
      <c r="O6184" s="10" t="s">
        <v>26</v>
      </c>
      <c r="P6184" s="8" t="s">
        <v>26</v>
      </c>
      <c r="Q6184" s="8">
        <f>(4437920*100)/4638971</f>
        <v>95.666043180696747</v>
      </c>
    </row>
    <row r="6185" spans="1:17" x14ac:dyDescent="0.2">
      <c r="A6185">
        <f>YEAR(D6185)</f>
        <v>2020</v>
      </c>
      <c r="B6185" t="s">
        <v>26</v>
      </c>
      <c r="C6185" s="2" t="s">
        <v>3022</v>
      </c>
      <c r="D6185" s="1">
        <v>44075</v>
      </c>
      <c r="E6185">
        <f>MONTH(D6185)</f>
        <v>9</v>
      </c>
      <c r="F6185" s="2" t="s">
        <v>19</v>
      </c>
      <c r="G6185" t="s">
        <v>352</v>
      </c>
      <c r="H6185" t="s">
        <v>975</v>
      </c>
      <c r="I6185" t="s">
        <v>22</v>
      </c>
      <c r="J6185" s="2" t="s">
        <v>42</v>
      </c>
      <c r="K6185" s="2" t="s">
        <v>3019</v>
      </c>
      <c r="L6185" t="s">
        <v>25</v>
      </c>
      <c r="M6185" s="8">
        <v>1.0693333330000001</v>
      </c>
      <c r="N6185" t="s">
        <v>26</v>
      </c>
      <c r="O6185" s="8">
        <v>1.0693333330000001</v>
      </c>
      <c r="P6185" s="8">
        <f>EXP(-1.363+3.366*LOG(O6185,10))</f>
        <v>0.28223780327142356</v>
      </c>
      <c r="Q6185" s="8">
        <f>(4437920*100)/4638971</f>
        <v>95.666043180696747</v>
      </c>
    </row>
    <row r="6186" spans="1:17" x14ac:dyDescent="0.2">
      <c r="A6186">
        <f>YEAR(D6186)</f>
        <v>2020</v>
      </c>
      <c r="B6186" t="s">
        <v>26</v>
      </c>
      <c r="C6186" s="2" t="s">
        <v>3022</v>
      </c>
      <c r="D6186" s="1">
        <v>44075</v>
      </c>
      <c r="E6186">
        <f>MONTH(D6186)</f>
        <v>9</v>
      </c>
      <c r="F6186" s="2" t="s">
        <v>19</v>
      </c>
      <c r="G6186" t="s">
        <v>230</v>
      </c>
      <c r="H6186" t="s">
        <v>259</v>
      </c>
      <c r="I6186" t="s">
        <v>36</v>
      </c>
      <c r="J6186" s="2" t="s">
        <v>42</v>
      </c>
      <c r="K6186" s="2" t="s">
        <v>3019</v>
      </c>
      <c r="L6186" t="s">
        <v>25</v>
      </c>
      <c r="M6186" s="8">
        <v>4.745333333333333</v>
      </c>
      <c r="N6186" t="s">
        <v>26</v>
      </c>
      <c r="O6186" s="8">
        <v>4.745333333333333</v>
      </c>
      <c r="P6186" s="8">
        <f>EXP(-1.363+3.366*LOG(O6186,10))</f>
        <v>2.4925687246325761</v>
      </c>
      <c r="Q6186" s="8">
        <f>(4437920*100)/4638971</f>
        <v>95.666043180696747</v>
      </c>
    </row>
    <row r="6187" spans="1:17" x14ac:dyDescent="0.2">
      <c r="A6187">
        <f>YEAR(D6187)</f>
        <v>2020</v>
      </c>
      <c r="B6187" t="s">
        <v>26</v>
      </c>
      <c r="C6187" s="2" t="s">
        <v>3021</v>
      </c>
      <c r="D6187" s="1">
        <v>44078</v>
      </c>
      <c r="E6187">
        <f>MONTH(D6187)</f>
        <v>9</v>
      </c>
      <c r="F6187" s="2" t="s">
        <v>19</v>
      </c>
      <c r="G6187" t="s">
        <v>352</v>
      </c>
      <c r="H6187" t="s">
        <v>623</v>
      </c>
      <c r="I6187" t="s">
        <v>22</v>
      </c>
      <c r="J6187" s="2" t="s">
        <v>42</v>
      </c>
      <c r="K6187" s="2" t="s">
        <v>3019</v>
      </c>
      <c r="L6187" t="s">
        <v>25</v>
      </c>
      <c r="M6187" s="8">
        <v>1.387</v>
      </c>
      <c r="N6187" t="s">
        <v>26</v>
      </c>
      <c r="O6187" s="8">
        <v>1.387</v>
      </c>
      <c r="P6187" s="8">
        <f>EXP(-1.363+3.366*LOG(O6187,10))</f>
        <v>0.41280884754947733</v>
      </c>
      <c r="Q6187" s="8">
        <f>(1845879*100)/1946364</f>
        <v>94.837296620775973</v>
      </c>
    </row>
    <row r="6188" spans="1:17" x14ac:dyDescent="0.2">
      <c r="A6188">
        <f>YEAR(D6188)</f>
        <v>2020</v>
      </c>
      <c r="B6188" t="s">
        <v>26</v>
      </c>
      <c r="C6188" s="2" t="s">
        <v>3023</v>
      </c>
      <c r="D6188" s="1">
        <v>44075</v>
      </c>
      <c r="E6188">
        <f>MONTH(D6188)</f>
        <v>9</v>
      </c>
      <c r="F6188" s="2" t="s">
        <v>19</v>
      </c>
      <c r="G6188" t="s">
        <v>352</v>
      </c>
      <c r="H6188" t="s">
        <v>728</v>
      </c>
      <c r="I6188" t="s">
        <v>36</v>
      </c>
      <c r="J6188" s="2" t="s">
        <v>42</v>
      </c>
      <c r="K6188" s="2" t="s">
        <v>3019</v>
      </c>
      <c r="L6188" t="s">
        <v>187</v>
      </c>
      <c r="M6188" s="8">
        <v>1.376333333</v>
      </c>
      <c r="N6188" t="s">
        <v>26</v>
      </c>
      <c r="O6188" s="8">
        <v>1.376333333</v>
      </c>
      <c r="P6188" s="8">
        <f>EXP(-1.363+3.366*LOG(O6188,10))</f>
        <v>0.40817622737824627</v>
      </c>
      <c r="Q6188" s="8">
        <f>(8197453*100)/8541008</f>
        <v>95.977582505484136</v>
      </c>
    </row>
    <row r="6189" spans="1:17" x14ac:dyDescent="0.2">
      <c r="A6189">
        <f>YEAR(D6189)</f>
        <v>2020</v>
      </c>
      <c r="B6189" t="s">
        <v>26</v>
      </c>
      <c r="C6189" s="2" t="s">
        <v>3023</v>
      </c>
      <c r="D6189" s="1">
        <v>44075</v>
      </c>
      <c r="E6189">
        <f>MONTH(D6189)</f>
        <v>9</v>
      </c>
      <c r="F6189" s="2" t="s">
        <v>19</v>
      </c>
      <c r="G6189" t="s">
        <v>352</v>
      </c>
      <c r="H6189" t="s">
        <v>747</v>
      </c>
      <c r="I6189" t="s">
        <v>36</v>
      </c>
      <c r="J6189" s="2" t="s">
        <v>42</v>
      </c>
      <c r="K6189" s="2" t="s">
        <v>3019</v>
      </c>
      <c r="L6189" t="s">
        <v>25</v>
      </c>
      <c r="M6189" s="8">
        <v>1.2526666666666666</v>
      </c>
      <c r="N6189" t="s">
        <v>26</v>
      </c>
      <c r="O6189" s="8">
        <v>1.2526666666666666</v>
      </c>
      <c r="P6189" s="8">
        <f>EXP(-1.363+3.366*LOG(O6189,10))</f>
        <v>0.35569358460451905</v>
      </c>
      <c r="Q6189" s="8">
        <f>(8197453*100)/8541008</f>
        <v>95.977582505484136</v>
      </c>
    </row>
    <row r="6190" spans="1:17" x14ac:dyDescent="0.2">
      <c r="A6190">
        <f>YEAR(D6190)</f>
        <v>2020</v>
      </c>
      <c r="B6190" t="s">
        <v>26</v>
      </c>
      <c r="C6190" s="2" t="s">
        <v>3022</v>
      </c>
      <c r="D6190" s="1">
        <v>44105</v>
      </c>
      <c r="E6190">
        <f>MONTH(D6190)</f>
        <v>10</v>
      </c>
      <c r="F6190" s="2" t="s">
        <v>2098</v>
      </c>
      <c r="G6190" t="s">
        <v>230</v>
      </c>
      <c r="H6190" t="s">
        <v>268</v>
      </c>
      <c r="I6190" t="s">
        <v>36</v>
      </c>
      <c r="J6190" s="2" t="s">
        <v>42</v>
      </c>
      <c r="K6190" s="2" t="s">
        <v>3019</v>
      </c>
      <c r="L6190" t="s">
        <v>25</v>
      </c>
      <c r="M6190" s="8">
        <v>3.3683333329999998</v>
      </c>
      <c r="N6190" t="s">
        <v>26</v>
      </c>
      <c r="O6190" s="8">
        <v>3.3683333329999998</v>
      </c>
      <c r="P6190" s="8">
        <f>EXP(-1.363+3.366*LOG(O6190,10))</f>
        <v>1.510255893489963</v>
      </c>
      <c r="Q6190" s="8">
        <f>(4437920*100)/4638971</f>
        <v>95.666043180696747</v>
      </c>
    </row>
    <row r="6191" spans="1:17" x14ac:dyDescent="0.2">
      <c r="A6191">
        <f>YEAR(D6191)</f>
        <v>2020</v>
      </c>
      <c r="B6191" t="s">
        <v>26</v>
      </c>
      <c r="C6191" s="2" t="s">
        <v>3022</v>
      </c>
      <c r="D6191" s="1">
        <v>44105</v>
      </c>
      <c r="E6191">
        <f>MONTH(D6191)</f>
        <v>10</v>
      </c>
      <c r="F6191" s="2" t="s">
        <v>2098</v>
      </c>
      <c r="G6191" t="s">
        <v>219</v>
      </c>
      <c r="H6191" t="s">
        <v>220</v>
      </c>
      <c r="I6191" t="s">
        <v>22</v>
      </c>
      <c r="J6191" s="2" t="s">
        <v>42</v>
      </c>
      <c r="K6191" s="2" t="s">
        <v>3019</v>
      </c>
      <c r="L6191" t="s">
        <v>25</v>
      </c>
      <c r="M6191" s="10" t="s">
        <v>26</v>
      </c>
      <c r="N6191" t="s">
        <v>26</v>
      </c>
      <c r="O6191" s="10" t="s">
        <v>26</v>
      </c>
      <c r="P6191" s="8" t="s">
        <v>26</v>
      </c>
      <c r="Q6191" s="8">
        <f>(4437920*100)/4638971</f>
        <v>95.666043180696747</v>
      </c>
    </row>
    <row r="6192" spans="1:17" x14ac:dyDescent="0.2">
      <c r="A6192">
        <f>YEAR(D6192)</f>
        <v>2020</v>
      </c>
      <c r="B6192" t="s">
        <v>26</v>
      </c>
      <c r="C6192" s="2" t="s">
        <v>3022</v>
      </c>
      <c r="D6192" s="1">
        <v>44105</v>
      </c>
      <c r="E6192">
        <f>MONTH(D6192)</f>
        <v>10</v>
      </c>
      <c r="F6192" s="2" t="s">
        <v>2098</v>
      </c>
      <c r="G6192" t="s">
        <v>219</v>
      </c>
      <c r="H6192" t="s">
        <v>220</v>
      </c>
      <c r="I6192" t="s">
        <v>22</v>
      </c>
      <c r="J6192" s="2" t="s">
        <v>42</v>
      </c>
      <c r="K6192" s="2" t="s">
        <v>3019</v>
      </c>
      <c r="L6192" t="s">
        <v>25</v>
      </c>
      <c r="M6192" s="10" t="s">
        <v>26</v>
      </c>
      <c r="N6192" t="s">
        <v>26</v>
      </c>
      <c r="O6192" s="10" t="s">
        <v>26</v>
      </c>
      <c r="P6192" s="8" t="s">
        <v>26</v>
      </c>
      <c r="Q6192" s="8">
        <f>(4437920*100)/4638971</f>
        <v>95.666043180696747</v>
      </c>
    </row>
    <row r="6193" spans="1:17" x14ac:dyDescent="0.2">
      <c r="A6193">
        <f>YEAR(D6193)</f>
        <v>2020</v>
      </c>
      <c r="B6193" t="s">
        <v>26</v>
      </c>
      <c r="C6193" s="2" t="s">
        <v>3022</v>
      </c>
      <c r="D6193" s="1">
        <v>44105</v>
      </c>
      <c r="E6193">
        <f>MONTH(D6193)</f>
        <v>10</v>
      </c>
      <c r="F6193" s="2" t="s">
        <v>2098</v>
      </c>
      <c r="G6193" t="s">
        <v>219</v>
      </c>
      <c r="H6193" t="s">
        <v>220</v>
      </c>
      <c r="I6193" t="s">
        <v>22</v>
      </c>
      <c r="J6193" s="2" t="s">
        <v>42</v>
      </c>
      <c r="K6193" s="2" t="s">
        <v>3019</v>
      </c>
      <c r="L6193" t="s">
        <v>25</v>
      </c>
      <c r="M6193" s="10" t="s">
        <v>26</v>
      </c>
      <c r="N6193" t="s">
        <v>26</v>
      </c>
      <c r="O6193" s="10" t="s">
        <v>26</v>
      </c>
      <c r="P6193" s="8" t="s">
        <v>26</v>
      </c>
      <c r="Q6193" s="8">
        <f>(4437920*100)/4638971</f>
        <v>95.666043180696747</v>
      </c>
    </row>
    <row r="6194" spans="1:17" x14ac:dyDescent="0.2">
      <c r="A6194">
        <f>YEAR(D6194)</f>
        <v>2020</v>
      </c>
      <c r="B6194" t="s">
        <v>26</v>
      </c>
      <c r="C6194" s="2" t="s">
        <v>3022</v>
      </c>
      <c r="D6194" s="1">
        <v>44105</v>
      </c>
      <c r="E6194">
        <f>MONTH(D6194)</f>
        <v>10</v>
      </c>
      <c r="F6194" s="2" t="s">
        <v>2098</v>
      </c>
      <c r="G6194" t="s">
        <v>219</v>
      </c>
      <c r="H6194" t="s">
        <v>220</v>
      </c>
      <c r="I6194" t="s">
        <v>22</v>
      </c>
      <c r="J6194" s="2" t="s">
        <v>42</v>
      </c>
      <c r="K6194" s="2" t="s">
        <v>3019</v>
      </c>
      <c r="L6194" t="s">
        <v>25</v>
      </c>
      <c r="M6194" s="10" t="s">
        <v>26</v>
      </c>
      <c r="N6194" t="s">
        <v>26</v>
      </c>
      <c r="O6194" s="10" t="s">
        <v>26</v>
      </c>
      <c r="P6194" s="8" t="s">
        <v>26</v>
      </c>
      <c r="Q6194" s="8">
        <f>(4437920*100)/4638971</f>
        <v>95.666043180696747</v>
      </c>
    </row>
    <row r="6195" spans="1:17" x14ac:dyDescent="0.2">
      <c r="A6195">
        <f>YEAR(D6195)</f>
        <v>2020</v>
      </c>
      <c r="B6195" t="s">
        <v>26</v>
      </c>
      <c r="C6195" s="2" t="s">
        <v>3022</v>
      </c>
      <c r="D6195" s="1">
        <v>44105</v>
      </c>
      <c r="E6195">
        <f>MONTH(D6195)</f>
        <v>10</v>
      </c>
      <c r="F6195" s="2" t="s">
        <v>2098</v>
      </c>
      <c r="G6195" t="s">
        <v>219</v>
      </c>
      <c r="H6195" t="s">
        <v>220</v>
      </c>
      <c r="I6195" t="s">
        <v>22</v>
      </c>
      <c r="J6195" s="2" t="s">
        <v>42</v>
      </c>
      <c r="K6195" s="2" t="s">
        <v>3019</v>
      </c>
      <c r="L6195" t="s">
        <v>25</v>
      </c>
      <c r="M6195" s="10" t="s">
        <v>26</v>
      </c>
      <c r="N6195" t="s">
        <v>26</v>
      </c>
      <c r="O6195" s="10" t="s">
        <v>26</v>
      </c>
      <c r="P6195" s="8" t="s">
        <v>26</v>
      </c>
      <c r="Q6195" s="8">
        <f>(4437920*100)/4638971</f>
        <v>95.666043180696747</v>
      </c>
    </row>
    <row r="6196" spans="1:17" x14ac:dyDescent="0.2">
      <c r="A6196">
        <f>YEAR(D6196)</f>
        <v>2020</v>
      </c>
      <c r="B6196" t="s">
        <v>26</v>
      </c>
      <c r="C6196" s="2" t="s">
        <v>3022</v>
      </c>
      <c r="D6196" s="1">
        <v>44105</v>
      </c>
      <c r="E6196">
        <f>MONTH(D6196)</f>
        <v>10</v>
      </c>
      <c r="F6196" s="2" t="s">
        <v>2098</v>
      </c>
      <c r="G6196" t="s">
        <v>219</v>
      </c>
      <c r="H6196" t="s">
        <v>220</v>
      </c>
      <c r="I6196" t="s">
        <v>22</v>
      </c>
      <c r="J6196" s="2" t="s">
        <v>42</v>
      </c>
      <c r="K6196" s="2" t="s">
        <v>3019</v>
      </c>
      <c r="L6196" t="s">
        <v>25</v>
      </c>
      <c r="M6196" s="10" t="s">
        <v>26</v>
      </c>
      <c r="N6196" t="s">
        <v>26</v>
      </c>
      <c r="O6196" s="10" t="s">
        <v>26</v>
      </c>
      <c r="P6196" s="8" t="s">
        <v>26</v>
      </c>
      <c r="Q6196" s="8">
        <f>(4437920*100)/4638971</f>
        <v>95.666043180696747</v>
      </c>
    </row>
    <row r="6197" spans="1:17" x14ac:dyDescent="0.2">
      <c r="A6197">
        <f>YEAR(D6197)</f>
        <v>2020</v>
      </c>
      <c r="B6197" t="s">
        <v>26</v>
      </c>
      <c r="C6197" s="2" t="s">
        <v>3022</v>
      </c>
      <c r="D6197" s="1">
        <v>44105</v>
      </c>
      <c r="E6197">
        <f>MONTH(D6197)</f>
        <v>10</v>
      </c>
      <c r="F6197" s="2" t="s">
        <v>2098</v>
      </c>
      <c r="G6197" t="s">
        <v>219</v>
      </c>
      <c r="H6197" t="s">
        <v>220</v>
      </c>
      <c r="I6197" t="s">
        <v>22</v>
      </c>
      <c r="J6197" s="2" t="s">
        <v>42</v>
      </c>
      <c r="K6197" s="2" t="s">
        <v>3019</v>
      </c>
      <c r="L6197" t="s">
        <v>25</v>
      </c>
      <c r="M6197" s="10" t="s">
        <v>26</v>
      </c>
      <c r="N6197" t="s">
        <v>26</v>
      </c>
      <c r="O6197" s="10" t="s">
        <v>26</v>
      </c>
      <c r="P6197" s="8" t="s">
        <v>26</v>
      </c>
      <c r="Q6197" s="8">
        <f>(4437920*100)/4638971</f>
        <v>95.666043180696747</v>
      </c>
    </row>
    <row r="6198" spans="1:17" x14ac:dyDescent="0.2">
      <c r="A6198">
        <f>YEAR(D6198)</f>
        <v>2020</v>
      </c>
      <c r="B6198" t="s">
        <v>26</v>
      </c>
      <c r="C6198" s="2" t="s">
        <v>3022</v>
      </c>
      <c r="D6198" s="1">
        <v>44105</v>
      </c>
      <c r="E6198">
        <f>MONTH(D6198)</f>
        <v>10</v>
      </c>
      <c r="F6198" s="2" t="s">
        <v>2098</v>
      </c>
      <c r="G6198" t="s">
        <v>219</v>
      </c>
      <c r="H6198" t="s">
        <v>220</v>
      </c>
      <c r="I6198" t="s">
        <v>22</v>
      </c>
      <c r="J6198" s="2" t="s">
        <v>42</v>
      </c>
      <c r="K6198" s="2" t="s">
        <v>3019</v>
      </c>
      <c r="L6198" t="s">
        <v>25</v>
      </c>
      <c r="M6198" s="10" t="s">
        <v>26</v>
      </c>
      <c r="N6198" t="s">
        <v>26</v>
      </c>
      <c r="O6198" s="10" t="s">
        <v>26</v>
      </c>
      <c r="P6198" s="8" t="s">
        <v>26</v>
      </c>
      <c r="Q6198" s="8">
        <f>(4437920*100)/4638971</f>
        <v>95.666043180696747</v>
      </c>
    </row>
    <row r="6199" spans="1:17" x14ac:dyDescent="0.2">
      <c r="A6199">
        <f>YEAR(D6199)</f>
        <v>2020</v>
      </c>
      <c r="B6199" t="s">
        <v>26</v>
      </c>
      <c r="C6199" s="2" t="s">
        <v>3022</v>
      </c>
      <c r="D6199" s="1">
        <v>44105</v>
      </c>
      <c r="E6199">
        <f>MONTH(D6199)</f>
        <v>10</v>
      </c>
      <c r="F6199" s="2" t="s">
        <v>2098</v>
      </c>
      <c r="G6199" t="s">
        <v>230</v>
      </c>
      <c r="H6199" t="s">
        <v>268</v>
      </c>
      <c r="I6199" t="s">
        <v>22</v>
      </c>
      <c r="J6199" s="2" t="s">
        <v>42</v>
      </c>
      <c r="K6199" s="2" t="s">
        <v>3019</v>
      </c>
      <c r="L6199" t="s">
        <v>25</v>
      </c>
      <c r="M6199" s="8">
        <v>3.5356666670000001</v>
      </c>
      <c r="N6199" t="s">
        <v>26</v>
      </c>
      <c r="O6199" s="8">
        <v>3.5356666670000001</v>
      </c>
      <c r="P6199" s="8">
        <f>EXP(-1.363+3.366*LOG(O6199,10))</f>
        <v>1.6211802664427075</v>
      </c>
      <c r="Q6199" s="8">
        <f>(4437920*100)/4638971</f>
        <v>95.666043180696747</v>
      </c>
    </row>
    <row r="6200" spans="1:17" x14ac:dyDescent="0.2">
      <c r="A6200">
        <f>YEAR(D6200)</f>
        <v>2020</v>
      </c>
      <c r="B6200" t="s">
        <v>26</v>
      </c>
      <c r="C6200" s="2" t="s">
        <v>3022</v>
      </c>
      <c r="D6200" s="1">
        <v>44105</v>
      </c>
      <c r="E6200">
        <f>MONTH(D6200)</f>
        <v>10</v>
      </c>
      <c r="F6200" s="2" t="s">
        <v>2098</v>
      </c>
      <c r="G6200" t="s">
        <v>230</v>
      </c>
      <c r="H6200" t="s">
        <v>259</v>
      </c>
      <c r="I6200" t="s">
        <v>22</v>
      </c>
      <c r="J6200" s="2" t="s">
        <v>42</v>
      </c>
      <c r="K6200" s="2" t="s">
        <v>3019</v>
      </c>
      <c r="L6200" t="s">
        <v>25</v>
      </c>
      <c r="M6200" s="8">
        <v>4.2283333330000001</v>
      </c>
      <c r="N6200" t="s">
        <v>26</v>
      </c>
      <c r="O6200" s="8">
        <v>4.2283333330000001</v>
      </c>
      <c r="P6200" s="8">
        <f>EXP(-1.363+3.366*LOG(O6200,10))</f>
        <v>2.1057792396965977</v>
      </c>
      <c r="Q6200" s="8">
        <f>(4437920*100)/4638971</f>
        <v>95.666043180696747</v>
      </c>
    </row>
    <row r="6201" spans="1:17" x14ac:dyDescent="0.2">
      <c r="A6201">
        <f>YEAR(D6201)</f>
        <v>2020</v>
      </c>
      <c r="B6201" t="s">
        <v>26</v>
      </c>
      <c r="C6201" s="2" t="s">
        <v>3022</v>
      </c>
      <c r="D6201" s="1">
        <v>44105</v>
      </c>
      <c r="E6201">
        <f>MONTH(D6201)</f>
        <v>10</v>
      </c>
      <c r="F6201" s="2" t="s">
        <v>2098</v>
      </c>
      <c r="G6201" t="s">
        <v>219</v>
      </c>
      <c r="H6201" t="s">
        <v>220</v>
      </c>
      <c r="I6201" t="s">
        <v>22</v>
      </c>
      <c r="J6201" s="2" t="s">
        <v>42</v>
      </c>
      <c r="K6201" s="2" t="s">
        <v>3019</v>
      </c>
      <c r="L6201" t="s">
        <v>25</v>
      </c>
      <c r="M6201" s="10" t="s">
        <v>26</v>
      </c>
      <c r="N6201" t="s">
        <v>26</v>
      </c>
      <c r="O6201" s="10" t="s">
        <v>26</v>
      </c>
      <c r="P6201" s="8" t="s">
        <v>26</v>
      </c>
      <c r="Q6201" s="8">
        <f>(4437920*100)/4638971</f>
        <v>95.666043180696747</v>
      </c>
    </row>
    <row r="6202" spans="1:17" x14ac:dyDescent="0.2">
      <c r="A6202">
        <f>YEAR(D6202)</f>
        <v>2020</v>
      </c>
      <c r="B6202" t="s">
        <v>26</v>
      </c>
      <c r="C6202" s="2" t="s">
        <v>3022</v>
      </c>
      <c r="D6202" s="1">
        <v>44105</v>
      </c>
      <c r="E6202">
        <f>MONTH(D6202)</f>
        <v>10</v>
      </c>
      <c r="F6202" s="2" t="s">
        <v>2098</v>
      </c>
      <c r="G6202" t="s">
        <v>219</v>
      </c>
      <c r="H6202" t="s">
        <v>220</v>
      </c>
      <c r="I6202" t="s">
        <v>22</v>
      </c>
      <c r="J6202" s="2" t="s">
        <v>42</v>
      </c>
      <c r="K6202" s="2" t="s">
        <v>3019</v>
      </c>
      <c r="L6202" t="s">
        <v>25</v>
      </c>
      <c r="M6202" s="10" t="s">
        <v>26</v>
      </c>
      <c r="N6202" t="s">
        <v>26</v>
      </c>
      <c r="O6202" s="10" t="s">
        <v>26</v>
      </c>
      <c r="P6202" s="8" t="s">
        <v>26</v>
      </c>
      <c r="Q6202" s="8">
        <f>(4437920*100)/4638971</f>
        <v>95.666043180696747</v>
      </c>
    </row>
    <row r="6203" spans="1:17" x14ac:dyDescent="0.2">
      <c r="A6203">
        <f>YEAR(D6203)</f>
        <v>2020</v>
      </c>
      <c r="B6203" t="s">
        <v>26</v>
      </c>
      <c r="C6203" s="2" t="s">
        <v>3022</v>
      </c>
      <c r="D6203" s="1">
        <v>44105</v>
      </c>
      <c r="E6203">
        <f>MONTH(D6203)</f>
        <v>10</v>
      </c>
      <c r="F6203" s="2" t="s">
        <v>2098</v>
      </c>
      <c r="G6203" t="s">
        <v>318</v>
      </c>
      <c r="H6203" t="s">
        <v>319</v>
      </c>
      <c r="I6203" t="s">
        <v>22</v>
      </c>
      <c r="J6203" s="2" t="s">
        <v>42</v>
      </c>
      <c r="K6203" s="2" t="s">
        <v>3019</v>
      </c>
      <c r="L6203" t="s">
        <v>25</v>
      </c>
      <c r="M6203" s="8">
        <v>5.71</v>
      </c>
      <c r="N6203" t="s">
        <v>26</v>
      </c>
      <c r="O6203" s="8">
        <v>5.71</v>
      </c>
      <c r="P6203" s="8">
        <f>EXP(-1.363+3.366*LOG(O6203,10))</f>
        <v>3.2668856822755741</v>
      </c>
      <c r="Q6203" s="8">
        <f>(4437920*100)/4638971</f>
        <v>95.666043180696747</v>
      </c>
    </row>
    <row r="6204" spans="1:17" x14ac:dyDescent="0.2">
      <c r="A6204">
        <f>YEAR(D6204)</f>
        <v>2020</v>
      </c>
      <c r="B6204" t="s">
        <v>26</v>
      </c>
      <c r="C6204" s="2" t="s">
        <v>3022</v>
      </c>
      <c r="D6204" s="1">
        <v>44105</v>
      </c>
      <c r="E6204">
        <f>MONTH(D6204)</f>
        <v>10</v>
      </c>
      <c r="F6204" s="2" t="s">
        <v>2098</v>
      </c>
      <c r="G6204" t="s">
        <v>219</v>
      </c>
      <c r="H6204" t="s">
        <v>220</v>
      </c>
      <c r="I6204" t="s">
        <v>22</v>
      </c>
      <c r="J6204" s="2" t="s">
        <v>42</v>
      </c>
      <c r="K6204" s="2" t="s">
        <v>3019</v>
      </c>
      <c r="L6204" t="s">
        <v>25</v>
      </c>
      <c r="M6204" s="10" t="s">
        <v>26</v>
      </c>
      <c r="N6204" t="s">
        <v>26</v>
      </c>
      <c r="O6204" s="10" t="s">
        <v>26</v>
      </c>
      <c r="P6204" s="8" t="s">
        <v>26</v>
      </c>
      <c r="Q6204" s="8">
        <f>(4437920*100)/4638971</f>
        <v>95.666043180696747</v>
      </c>
    </row>
    <row r="6205" spans="1:17" x14ac:dyDescent="0.2">
      <c r="A6205">
        <f>YEAR(D6205)</f>
        <v>2020</v>
      </c>
      <c r="B6205" t="s">
        <v>26</v>
      </c>
      <c r="C6205" s="2" t="s">
        <v>3022</v>
      </c>
      <c r="D6205" s="1">
        <v>44105</v>
      </c>
      <c r="E6205">
        <f>MONTH(D6205)</f>
        <v>10</v>
      </c>
      <c r="F6205" s="2" t="s">
        <v>2098</v>
      </c>
      <c r="G6205" t="s">
        <v>219</v>
      </c>
      <c r="H6205" t="s">
        <v>220</v>
      </c>
      <c r="I6205" t="s">
        <v>22</v>
      </c>
      <c r="J6205" s="2" t="s">
        <v>42</v>
      </c>
      <c r="K6205" s="2" t="s">
        <v>3019</v>
      </c>
      <c r="L6205" t="s">
        <v>25</v>
      </c>
      <c r="M6205" s="10" t="s">
        <v>26</v>
      </c>
      <c r="N6205" t="s">
        <v>26</v>
      </c>
      <c r="O6205" s="10" t="s">
        <v>26</v>
      </c>
      <c r="P6205" s="8" t="s">
        <v>26</v>
      </c>
      <c r="Q6205" s="8">
        <f>(4437920*100)/4638971</f>
        <v>95.666043180696747</v>
      </c>
    </row>
    <row r="6206" spans="1:17" x14ac:dyDescent="0.2">
      <c r="A6206">
        <f>YEAR(D6206)</f>
        <v>2020</v>
      </c>
      <c r="B6206" t="s">
        <v>26</v>
      </c>
      <c r="C6206" s="2" t="s">
        <v>3022</v>
      </c>
      <c r="D6206" s="1">
        <v>44105</v>
      </c>
      <c r="E6206">
        <f>MONTH(D6206)</f>
        <v>10</v>
      </c>
      <c r="F6206" s="2" t="s">
        <v>2098</v>
      </c>
      <c r="G6206" t="s">
        <v>219</v>
      </c>
      <c r="H6206" t="s">
        <v>220</v>
      </c>
      <c r="I6206" t="s">
        <v>22</v>
      </c>
      <c r="J6206" s="2" t="s">
        <v>42</v>
      </c>
      <c r="K6206" s="2" t="s">
        <v>3019</v>
      </c>
      <c r="L6206" t="s">
        <v>25</v>
      </c>
      <c r="M6206" s="10" t="s">
        <v>26</v>
      </c>
      <c r="N6206" t="s">
        <v>26</v>
      </c>
      <c r="O6206" s="10" t="s">
        <v>26</v>
      </c>
      <c r="P6206" s="8" t="s">
        <v>26</v>
      </c>
      <c r="Q6206" s="8">
        <f>(4437920*100)/4638971</f>
        <v>95.666043180696747</v>
      </c>
    </row>
    <row r="6207" spans="1:17" x14ac:dyDescent="0.2">
      <c r="A6207">
        <f>YEAR(D6207)</f>
        <v>2020</v>
      </c>
      <c r="B6207" t="s">
        <v>26</v>
      </c>
      <c r="C6207" s="2" t="s">
        <v>3023</v>
      </c>
      <c r="D6207" s="1">
        <v>44105</v>
      </c>
      <c r="E6207">
        <f>MONTH(D6207)</f>
        <v>10</v>
      </c>
      <c r="F6207" s="2" t="s">
        <v>2098</v>
      </c>
      <c r="G6207" t="s">
        <v>219</v>
      </c>
      <c r="H6207" t="s">
        <v>220</v>
      </c>
      <c r="I6207" t="s">
        <v>22</v>
      </c>
      <c r="J6207" s="2" t="s">
        <v>42</v>
      </c>
      <c r="K6207" s="2" t="s">
        <v>3019</v>
      </c>
      <c r="L6207" t="s">
        <v>25</v>
      </c>
      <c r="M6207" s="10" t="s">
        <v>26</v>
      </c>
      <c r="N6207" t="s">
        <v>26</v>
      </c>
      <c r="O6207" s="10" t="s">
        <v>26</v>
      </c>
      <c r="P6207" s="8" t="s">
        <v>26</v>
      </c>
      <c r="Q6207" s="8">
        <f>(8197453*100)/8541008</f>
        <v>95.977582505484136</v>
      </c>
    </row>
    <row r="6208" spans="1:17" x14ac:dyDescent="0.2">
      <c r="A6208">
        <f>YEAR(D6208)</f>
        <v>2020</v>
      </c>
      <c r="B6208" t="s">
        <v>26</v>
      </c>
      <c r="C6208" s="2" t="s">
        <v>3023</v>
      </c>
      <c r="D6208" s="1">
        <v>44105</v>
      </c>
      <c r="E6208">
        <f>MONTH(D6208)</f>
        <v>10</v>
      </c>
      <c r="F6208" s="2" t="s">
        <v>2098</v>
      </c>
      <c r="G6208" t="s">
        <v>219</v>
      </c>
      <c r="H6208" t="s">
        <v>220</v>
      </c>
      <c r="I6208" t="s">
        <v>22</v>
      </c>
      <c r="J6208" s="2" t="s">
        <v>42</v>
      </c>
      <c r="K6208" s="2" t="s">
        <v>3019</v>
      </c>
      <c r="L6208" t="s">
        <v>25</v>
      </c>
      <c r="M6208" s="10" t="s">
        <v>26</v>
      </c>
      <c r="N6208" t="s">
        <v>26</v>
      </c>
      <c r="O6208" s="10" t="s">
        <v>26</v>
      </c>
      <c r="P6208" s="8" t="s">
        <v>26</v>
      </c>
      <c r="Q6208" s="8">
        <f>(8197453*100)/8541008</f>
        <v>95.977582505484136</v>
      </c>
    </row>
    <row r="6209" spans="1:17" x14ac:dyDescent="0.2">
      <c r="A6209">
        <f>YEAR(D6209)</f>
        <v>2020</v>
      </c>
      <c r="B6209" t="s">
        <v>26</v>
      </c>
      <c r="C6209" s="2" t="s">
        <v>50</v>
      </c>
      <c r="D6209" s="1">
        <v>44105</v>
      </c>
      <c r="E6209">
        <f>MONTH(D6209)</f>
        <v>10</v>
      </c>
      <c r="F6209" s="2" t="s">
        <v>2098</v>
      </c>
      <c r="G6209" t="s">
        <v>230</v>
      </c>
      <c r="H6209" t="s">
        <v>268</v>
      </c>
      <c r="I6209" t="s">
        <v>22</v>
      </c>
      <c r="J6209" s="2" t="s">
        <v>42</v>
      </c>
      <c r="K6209" s="2" t="s">
        <v>3019</v>
      </c>
      <c r="L6209" t="s">
        <v>25</v>
      </c>
      <c r="M6209" s="8">
        <v>3.5356666670000001</v>
      </c>
      <c r="N6209" t="s">
        <v>26</v>
      </c>
      <c r="O6209" s="8">
        <v>3.5356666670000001</v>
      </c>
      <c r="P6209" s="8">
        <f>EXP(-1.363+3.366*LOG(O6209,10))</f>
        <v>1.6211802664427075</v>
      </c>
      <c r="Q6209" s="8">
        <f>(4488342*100)/4914798</f>
        <v>91.323020803703429</v>
      </c>
    </row>
    <row r="6210" spans="1:17" x14ac:dyDescent="0.2">
      <c r="A6210">
        <f>YEAR(D6210)</f>
        <v>2020</v>
      </c>
      <c r="B6210" t="s">
        <v>26</v>
      </c>
      <c r="C6210" s="2" t="s">
        <v>50</v>
      </c>
      <c r="D6210" s="1">
        <v>44105</v>
      </c>
      <c r="E6210">
        <f>MONTH(D6210)</f>
        <v>10</v>
      </c>
      <c r="F6210" s="2" t="s">
        <v>2098</v>
      </c>
      <c r="G6210" t="s">
        <v>230</v>
      </c>
      <c r="H6210" t="s">
        <v>268</v>
      </c>
      <c r="I6210" t="s">
        <v>22</v>
      </c>
      <c r="J6210" s="2" t="s">
        <v>42</v>
      </c>
      <c r="K6210" s="2" t="s">
        <v>3019</v>
      </c>
      <c r="L6210" t="s">
        <v>25</v>
      </c>
      <c r="M6210" s="8">
        <v>3.5356666670000001</v>
      </c>
      <c r="N6210" t="s">
        <v>26</v>
      </c>
      <c r="O6210" s="8">
        <v>3.5356666670000001</v>
      </c>
      <c r="P6210" s="8">
        <f>EXP(-1.363+3.366*LOG(O6210,10))</f>
        <v>1.6211802664427075</v>
      </c>
      <c r="Q6210" s="8">
        <f>(4488342*100)/4914798</f>
        <v>91.323020803703429</v>
      </c>
    </row>
    <row r="6211" spans="1:17" x14ac:dyDescent="0.2">
      <c r="A6211">
        <f>YEAR(D6211)</f>
        <v>2020</v>
      </c>
      <c r="B6211" t="s">
        <v>26</v>
      </c>
      <c r="C6211" s="2" t="s">
        <v>3022</v>
      </c>
      <c r="D6211" s="1">
        <v>44105</v>
      </c>
      <c r="E6211">
        <f>MONTH(D6211)</f>
        <v>10</v>
      </c>
      <c r="F6211" s="2" t="s">
        <v>2098</v>
      </c>
      <c r="G6211" t="s">
        <v>352</v>
      </c>
      <c r="H6211" t="s">
        <v>1459</v>
      </c>
      <c r="I6211" t="s">
        <v>22</v>
      </c>
      <c r="J6211" s="2" t="s">
        <v>42</v>
      </c>
      <c r="K6211" s="2" t="s">
        <v>3019</v>
      </c>
      <c r="L6211" t="s">
        <v>25</v>
      </c>
      <c r="M6211" s="8">
        <v>1.1910000000000001</v>
      </c>
      <c r="N6211" t="s">
        <v>26</v>
      </c>
      <c r="O6211" s="8">
        <v>1.1910000000000001</v>
      </c>
      <c r="P6211" s="8">
        <f>EXP(-1.363+3.366*LOG(O6211,10))</f>
        <v>0.33039016297752993</v>
      </c>
      <c r="Q6211" s="8">
        <f>(4437920*100)/4638971</f>
        <v>95.666043180696747</v>
      </c>
    </row>
    <row r="6212" spans="1:17" x14ac:dyDescent="0.2">
      <c r="A6212">
        <f>YEAR(D6212)</f>
        <v>2020</v>
      </c>
      <c r="B6212" t="s">
        <v>26</v>
      </c>
      <c r="C6212" s="2" t="s">
        <v>3023</v>
      </c>
      <c r="D6212" s="1">
        <v>44105</v>
      </c>
      <c r="E6212">
        <f>MONTH(D6212)</f>
        <v>10</v>
      </c>
      <c r="F6212" s="2" t="s">
        <v>2098</v>
      </c>
      <c r="G6212" t="s">
        <v>352</v>
      </c>
      <c r="H6212" t="s">
        <v>1459</v>
      </c>
      <c r="I6212" t="s">
        <v>22</v>
      </c>
      <c r="J6212" s="2" t="s">
        <v>42</v>
      </c>
      <c r="K6212" s="2" t="s">
        <v>3019</v>
      </c>
      <c r="L6212" t="s">
        <v>25</v>
      </c>
      <c r="M6212" s="8">
        <v>1.1910000000000001</v>
      </c>
      <c r="N6212" t="s">
        <v>26</v>
      </c>
      <c r="O6212" s="8">
        <v>1.1910000000000001</v>
      </c>
      <c r="P6212" s="8">
        <f>EXP(-1.363+3.366*LOG(O6212,10))</f>
        <v>0.33039016297752993</v>
      </c>
      <c r="Q6212" s="8">
        <f>(8197453*100)/8541008</f>
        <v>95.977582505484136</v>
      </c>
    </row>
    <row r="6213" spans="1:17" x14ac:dyDescent="0.2">
      <c r="A6213">
        <f>YEAR(D6213)</f>
        <v>2020</v>
      </c>
      <c r="B6213" t="s">
        <v>26</v>
      </c>
      <c r="C6213" s="2" t="s">
        <v>3023</v>
      </c>
      <c r="D6213" s="1">
        <v>44105</v>
      </c>
      <c r="E6213">
        <f>MONTH(D6213)</f>
        <v>10</v>
      </c>
      <c r="F6213" s="2" t="s">
        <v>2098</v>
      </c>
      <c r="G6213" t="s">
        <v>352</v>
      </c>
      <c r="H6213" t="s">
        <v>1459</v>
      </c>
      <c r="I6213" t="s">
        <v>22</v>
      </c>
      <c r="J6213" s="2" t="s">
        <v>42</v>
      </c>
      <c r="K6213" s="2" t="s">
        <v>3019</v>
      </c>
      <c r="L6213" t="s">
        <v>25</v>
      </c>
      <c r="M6213" s="8">
        <v>1.1910000000000001</v>
      </c>
      <c r="N6213" t="s">
        <v>26</v>
      </c>
      <c r="O6213" s="8">
        <v>1.1910000000000001</v>
      </c>
      <c r="P6213" s="8">
        <f>EXP(-1.363+3.366*LOG(O6213,10))</f>
        <v>0.33039016297752993</v>
      </c>
      <c r="Q6213" s="8">
        <f>(8197453*100)/8541008</f>
        <v>95.977582505484136</v>
      </c>
    </row>
    <row r="6214" spans="1:17" x14ac:dyDescent="0.2">
      <c r="A6214">
        <f>YEAR(D6214)</f>
        <v>2020</v>
      </c>
      <c r="B6214" t="s">
        <v>26</v>
      </c>
      <c r="C6214" s="2" t="s">
        <v>3023</v>
      </c>
      <c r="D6214" s="1">
        <v>44105</v>
      </c>
      <c r="E6214">
        <f>MONTH(D6214)</f>
        <v>10</v>
      </c>
      <c r="F6214" s="2" t="s">
        <v>2098</v>
      </c>
      <c r="G6214" t="s">
        <v>352</v>
      </c>
      <c r="H6214" t="s">
        <v>1459</v>
      </c>
      <c r="I6214" t="s">
        <v>22</v>
      </c>
      <c r="J6214" s="2" t="s">
        <v>42</v>
      </c>
      <c r="K6214" s="2" t="s">
        <v>3019</v>
      </c>
      <c r="L6214" t="s">
        <v>25</v>
      </c>
      <c r="M6214" s="8">
        <v>1.1910000000000001</v>
      </c>
      <c r="N6214" t="s">
        <v>26</v>
      </c>
      <c r="O6214" s="8">
        <v>1.1910000000000001</v>
      </c>
      <c r="P6214" s="8">
        <f>EXP(-1.363+3.366*LOG(O6214,10))</f>
        <v>0.33039016297752993</v>
      </c>
      <c r="Q6214" s="8">
        <f>(8197453*100)/8541008</f>
        <v>95.977582505484136</v>
      </c>
    </row>
    <row r="6215" spans="1:17" x14ac:dyDescent="0.2">
      <c r="A6215">
        <f>YEAR(D6215)</f>
        <v>2020</v>
      </c>
      <c r="B6215" t="s">
        <v>26</v>
      </c>
      <c r="C6215" s="2" t="s">
        <v>3023</v>
      </c>
      <c r="D6215" s="1">
        <v>44105</v>
      </c>
      <c r="E6215">
        <f>MONTH(D6215)</f>
        <v>10</v>
      </c>
      <c r="F6215" s="2" t="s">
        <v>2098</v>
      </c>
      <c r="G6215" t="s">
        <v>352</v>
      </c>
      <c r="H6215" t="s">
        <v>728</v>
      </c>
      <c r="I6215" t="s">
        <v>36</v>
      </c>
      <c r="J6215" s="2" t="s">
        <v>42</v>
      </c>
      <c r="K6215" s="2" t="s">
        <v>3019</v>
      </c>
      <c r="L6215" t="s">
        <v>187</v>
      </c>
      <c r="M6215" s="8">
        <v>1.376333333</v>
      </c>
      <c r="N6215" t="s">
        <v>26</v>
      </c>
      <c r="O6215" s="8">
        <v>1.376333333</v>
      </c>
      <c r="P6215" s="8">
        <f>EXP(-1.363+3.366*LOG(O6215,10))</f>
        <v>0.40817622737824627</v>
      </c>
      <c r="Q6215" s="8">
        <f>(8197453*100)/8541008</f>
        <v>95.977582505484136</v>
      </c>
    </row>
    <row r="6216" spans="1:17" x14ac:dyDescent="0.2">
      <c r="A6216">
        <f>YEAR(D6216)</f>
        <v>2020</v>
      </c>
      <c r="B6216" t="s">
        <v>26</v>
      </c>
      <c r="C6216" s="2" t="s">
        <v>3018</v>
      </c>
      <c r="D6216" s="1">
        <v>44110</v>
      </c>
      <c r="E6216">
        <f>MONTH(D6216)</f>
        <v>10</v>
      </c>
      <c r="F6216" s="2" t="s">
        <v>2098</v>
      </c>
      <c r="G6216" t="s">
        <v>230</v>
      </c>
      <c r="H6216" t="s">
        <v>268</v>
      </c>
      <c r="I6216" t="s">
        <v>22</v>
      </c>
      <c r="J6216" s="2" t="s">
        <v>42</v>
      </c>
      <c r="K6216" s="2" t="s">
        <v>3019</v>
      </c>
      <c r="L6216" t="s">
        <v>25</v>
      </c>
      <c r="M6216" s="8">
        <v>3.5356666670000001</v>
      </c>
      <c r="N6216" t="s">
        <v>26</v>
      </c>
      <c r="O6216" s="8">
        <v>3.5356666670000001</v>
      </c>
      <c r="P6216" s="8">
        <f>EXP(-1.363+3.366*LOG(O6216,10))</f>
        <v>1.6211802664427075</v>
      </c>
      <c r="Q6216" s="8">
        <f>(5996898*100)/6073515</f>
        <v>98.738506449724753</v>
      </c>
    </row>
    <row r="6217" spans="1:17" x14ac:dyDescent="0.2">
      <c r="A6217">
        <f>YEAR(D6217)</f>
        <v>2020</v>
      </c>
      <c r="B6217" t="s">
        <v>26</v>
      </c>
      <c r="C6217" s="2" t="s">
        <v>3018</v>
      </c>
      <c r="D6217" s="1">
        <v>44110</v>
      </c>
      <c r="E6217">
        <f>MONTH(D6217)</f>
        <v>10</v>
      </c>
      <c r="F6217" s="2" t="s">
        <v>2098</v>
      </c>
      <c r="G6217" t="s">
        <v>230</v>
      </c>
      <c r="H6217" t="s">
        <v>268</v>
      </c>
      <c r="I6217" t="s">
        <v>22</v>
      </c>
      <c r="J6217" s="2" t="s">
        <v>42</v>
      </c>
      <c r="K6217" s="2" t="s">
        <v>3019</v>
      </c>
      <c r="L6217" t="s">
        <v>25</v>
      </c>
      <c r="M6217" s="8">
        <v>3.5356666670000001</v>
      </c>
      <c r="N6217" t="s">
        <v>26</v>
      </c>
      <c r="O6217" s="8">
        <v>3.5356666670000001</v>
      </c>
      <c r="P6217" s="8">
        <f>EXP(-1.363+3.366*LOG(O6217,10))</f>
        <v>1.6211802664427075</v>
      </c>
      <c r="Q6217" s="8">
        <f>(5996898*100)/6073515</f>
        <v>98.738506449724753</v>
      </c>
    </row>
    <row r="6218" spans="1:17" x14ac:dyDescent="0.2">
      <c r="A6218">
        <f>YEAR(D6218)</f>
        <v>2020</v>
      </c>
      <c r="B6218" t="s">
        <v>26</v>
      </c>
      <c r="C6218" s="2" t="s">
        <v>3018</v>
      </c>
      <c r="D6218" s="1">
        <v>44110</v>
      </c>
      <c r="E6218">
        <f>MONTH(D6218)</f>
        <v>10</v>
      </c>
      <c r="F6218" s="2" t="s">
        <v>2098</v>
      </c>
      <c r="G6218" t="s">
        <v>219</v>
      </c>
      <c r="H6218" t="s">
        <v>220</v>
      </c>
      <c r="I6218" t="s">
        <v>22</v>
      </c>
      <c r="J6218" s="2" t="s">
        <v>42</v>
      </c>
      <c r="K6218" s="2" t="s">
        <v>3019</v>
      </c>
      <c r="L6218" t="s">
        <v>25</v>
      </c>
      <c r="M6218" s="10" t="s">
        <v>26</v>
      </c>
      <c r="N6218" t="s">
        <v>26</v>
      </c>
      <c r="O6218" s="10" t="s">
        <v>26</v>
      </c>
      <c r="P6218" s="8" t="s">
        <v>26</v>
      </c>
      <c r="Q6218" s="8">
        <f>(5996898*100)/6073515</f>
        <v>98.738506449724753</v>
      </c>
    </row>
    <row r="6219" spans="1:17" x14ac:dyDescent="0.2">
      <c r="A6219">
        <f>YEAR(D6219)</f>
        <v>2020</v>
      </c>
      <c r="B6219" t="s">
        <v>26</v>
      </c>
      <c r="C6219" s="2" t="s">
        <v>3018</v>
      </c>
      <c r="D6219" s="1">
        <v>44110</v>
      </c>
      <c r="E6219">
        <f>MONTH(D6219)</f>
        <v>10</v>
      </c>
      <c r="F6219" s="2" t="s">
        <v>2098</v>
      </c>
      <c r="G6219" t="s">
        <v>230</v>
      </c>
      <c r="H6219" t="s">
        <v>268</v>
      </c>
      <c r="I6219" t="s">
        <v>22</v>
      </c>
      <c r="J6219" s="2" t="s">
        <v>42</v>
      </c>
      <c r="K6219" s="2" t="s">
        <v>3019</v>
      </c>
      <c r="L6219" t="s">
        <v>25</v>
      </c>
      <c r="M6219" s="8">
        <v>3.5356666670000001</v>
      </c>
      <c r="N6219" t="s">
        <v>26</v>
      </c>
      <c r="O6219" s="8">
        <v>3.5356666670000001</v>
      </c>
      <c r="P6219" s="8">
        <f>EXP(-1.363+3.366*LOG(O6219,10))</f>
        <v>1.6211802664427075</v>
      </c>
      <c r="Q6219" s="8">
        <f>(5996898*100)/6073515</f>
        <v>98.738506449724753</v>
      </c>
    </row>
    <row r="6220" spans="1:17" x14ac:dyDescent="0.2">
      <c r="A6220">
        <f>YEAR(D6220)</f>
        <v>2020</v>
      </c>
      <c r="B6220" t="s">
        <v>26</v>
      </c>
      <c r="C6220" s="2" t="s">
        <v>1552</v>
      </c>
      <c r="D6220" s="1">
        <v>44111</v>
      </c>
      <c r="E6220">
        <f>MONTH(D6220)</f>
        <v>10</v>
      </c>
      <c r="F6220" s="2" t="s">
        <v>2098</v>
      </c>
      <c r="G6220" t="s">
        <v>219</v>
      </c>
      <c r="H6220" t="s">
        <v>220</v>
      </c>
      <c r="I6220" t="s">
        <v>22</v>
      </c>
      <c r="J6220" s="2" t="s">
        <v>42</v>
      </c>
      <c r="K6220" s="2" t="s">
        <v>3019</v>
      </c>
      <c r="L6220" t="s">
        <v>25</v>
      </c>
      <c r="M6220" s="10" t="s">
        <v>26</v>
      </c>
      <c r="N6220" t="s">
        <v>26</v>
      </c>
      <c r="O6220" s="10" t="s">
        <v>26</v>
      </c>
      <c r="P6220" s="8" t="s">
        <v>26</v>
      </c>
      <c r="Q6220" s="8">
        <f>(3738946*100)/3915493</f>
        <v>95.491065875995687</v>
      </c>
    </row>
    <row r="6221" spans="1:17" x14ac:dyDescent="0.2">
      <c r="A6221">
        <f>YEAR(D6221)</f>
        <v>2020</v>
      </c>
      <c r="B6221" t="s">
        <v>26</v>
      </c>
      <c r="C6221" s="2" t="s">
        <v>1552</v>
      </c>
      <c r="D6221" s="1">
        <v>44111</v>
      </c>
      <c r="E6221">
        <f>MONTH(D6221)</f>
        <v>10</v>
      </c>
      <c r="F6221" s="2" t="s">
        <v>2098</v>
      </c>
      <c r="G6221" t="s">
        <v>219</v>
      </c>
      <c r="H6221" t="s">
        <v>220</v>
      </c>
      <c r="I6221" t="s">
        <v>22</v>
      </c>
      <c r="J6221" s="2" t="s">
        <v>42</v>
      </c>
      <c r="K6221" s="2" t="s">
        <v>3019</v>
      </c>
      <c r="L6221" t="s">
        <v>25</v>
      </c>
      <c r="M6221" s="10" t="s">
        <v>26</v>
      </c>
      <c r="N6221" t="s">
        <v>26</v>
      </c>
      <c r="O6221" s="10" t="s">
        <v>26</v>
      </c>
      <c r="P6221" s="8" t="s">
        <v>26</v>
      </c>
      <c r="Q6221" s="8">
        <f>(3738946*100)/3915493</f>
        <v>95.491065875995687</v>
      </c>
    </row>
    <row r="6222" spans="1:17" x14ac:dyDescent="0.2">
      <c r="A6222">
        <f>YEAR(D6222)</f>
        <v>2020</v>
      </c>
      <c r="B6222" t="s">
        <v>26</v>
      </c>
      <c r="C6222" s="2" t="s">
        <v>1552</v>
      </c>
      <c r="D6222" s="1">
        <v>44111</v>
      </c>
      <c r="E6222">
        <f>MONTH(D6222)</f>
        <v>10</v>
      </c>
      <c r="F6222" s="2" t="s">
        <v>2098</v>
      </c>
      <c r="G6222" t="s">
        <v>219</v>
      </c>
      <c r="H6222" t="s">
        <v>220</v>
      </c>
      <c r="I6222" t="s">
        <v>22</v>
      </c>
      <c r="J6222" s="2" t="s">
        <v>42</v>
      </c>
      <c r="K6222" s="2" t="s">
        <v>3019</v>
      </c>
      <c r="L6222" t="s">
        <v>25</v>
      </c>
      <c r="M6222" s="10" t="s">
        <v>26</v>
      </c>
      <c r="N6222" t="s">
        <v>26</v>
      </c>
      <c r="O6222" s="10" t="s">
        <v>26</v>
      </c>
      <c r="P6222" s="8" t="s">
        <v>26</v>
      </c>
      <c r="Q6222" s="8">
        <f>(3738946*100)/3915493</f>
        <v>95.491065875995687</v>
      </c>
    </row>
    <row r="6223" spans="1:17" x14ac:dyDescent="0.2">
      <c r="A6223">
        <f>YEAR(D6223)</f>
        <v>2020</v>
      </c>
      <c r="B6223" t="s">
        <v>26</v>
      </c>
      <c r="C6223" s="2" t="s">
        <v>1552</v>
      </c>
      <c r="D6223" s="1">
        <v>44111</v>
      </c>
      <c r="E6223">
        <f>MONTH(D6223)</f>
        <v>10</v>
      </c>
      <c r="F6223" s="2" t="s">
        <v>19</v>
      </c>
      <c r="G6223" t="s">
        <v>219</v>
      </c>
      <c r="H6223" t="s">
        <v>220</v>
      </c>
      <c r="I6223" t="s">
        <v>22</v>
      </c>
      <c r="J6223" s="2" t="s">
        <v>42</v>
      </c>
      <c r="K6223" s="2" t="s">
        <v>3019</v>
      </c>
      <c r="L6223" t="s">
        <v>25</v>
      </c>
      <c r="M6223" s="10" t="s">
        <v>26</v>
      </c>
      <c r="N6223" t="s">
        <v>26</v>
      </c>
      <c r="O6223" s="10" t="s">
        <v>26</v>
      </c>
      <c r="P6223" s="8" t="s">
        <v>26</v>
      </c>
      <c r="Q6223" s="8">
        <f>(3738946*100)/3915493</f>
        <v>95.491065875995687</v>
      </c>
    </row>
    <row r="6224" spans="1:17" x14ac:dyDescent="0.2">
      <c r="A6224">
        <f>YEAR(D6224)</f>
        <v>2020</v>
      </c>
      <c r="B6224" t="s">
        <v>26</v>
      </c>
      <c r="C6224" s="2" t="s">
        <v>1540</v>
      </c>
      <c r="D6224" s="1">
        <v>44111</v>
      </c>
      <c r="E6224">
        <f>MONTH(D6224)</f>
        <v>10</v>
      </c>
      <c r="F6224" s="2" t="s">
        <v>2098</v>
      </c>
      <c r="G6224" t="s">
        <v>230</v>
      </c>
      <c r="H6224" t="s">
        <v>255</v>
      </c>
      <c r="I6224" t="s">
        <v>36</v>
      </c>
      <c r="J6224" s="2" t="s">
        <v>42</v>
      </c>
      <c r="K6224" s="2" t="s">
        <v>3019</v>
      </c>
      <c r="L6224" t="s">
        <v>25</v>
      </c>
      <c r="M6224" s="8">
        <v>4.1180000000000003</v>
      </c>
      <c r="N6224" t="s">
        <v>26</v>
      </c>
      <c r="O6224" s="8">
        <v>4.1180000000000003</v>
      </c>
      <c r="P6224" s="8">
        <f>EXP(-1.363+3.366*LOG(O6224,10))</f>
        <v>2.0259408868315871</v>
      </c>
      <c r="Q6224" s="8">
        <f>(2618262*100)/2995732</f>
        <v>87.399740697766021</v>
      </c>
    </row>
    <row r="6225" spans="1:17" x14ac:dyDescent="0.2">
      <c r="A6225">
        <f>YEAR(D6225)</f>
        <v>2020</v>
      </c>
      <c r="B6225" t="s">
        <v>26</v>
      </c>
      <c r="C6225" s="2" t="s">
        <v>1540</v>
      </c>
      <c r="D6225" s="1">
        <v>44111</v>
      </c>
      <c r="E6225">
        <f>MONTH(D6225)</f>
        <v>10</v>
      </c>
      <c r="F6225" s="2" t="s">
        <v>2098</v>
      </c>
      <c r="G6225" t="s">
        <v>219</v>
      </c>
      <c r="H6225" t="s">
        <v>220</v>
      </c>
      <c r="I6225" t="s">
        <v>22</v>
      </c>
      <c r="J6225" s="2" t="s">
        <v>42</v>
      </c>
      <c r="K6225" s="2" t="s">
        <v>3019</v>
      </c>
      <c r="L6225" t="s">
        <v>25</v>
      </c>
      <c r="M6225" s="10" t="s">
        <v>26</v>
      </c>
      <c r="N6225" t="s">
        <v>26</v>
      </c>
      <c r="O6225" s="10" t="s">
        <v>26</v>
      </c>
      <c r="P6225" s="8" t="s">
        <v>26</v>
      </c>
      <c r="Q6225" s="8">
        <f>(2618262*100)/2995732</f>
        <v>87.399740697766021</v>
      </c>
    </row>
    <row r="6226" spans="1:17" x14ac:dyDescent="0.2">
      <c r="A6226">
        <f>YEAR(D6226)</f>
        <v>2020</v>
      </c>
      <c r="B6226" t="s">
        <v>26</v>
      </c>
      <c r="C6226" s="2" t="s">
        <v>1540</v>
      </c>
      <c r="D6226" s="1">
        <v>44111</v>
      </c>
      <c r="E6226">
        <f>MONTH(D6226)</f>
        <v>10</v>
      </c>
      <c r="F6226" s="2" t="s">
        <v>2098</v>
      </c>
      <c r="G6226" t="s">
        <v>219</v>
      </c>
      <c r="H6226" t="s">
        <v>220</v>
      </c>
      <c r="I6226" t="s">
        <v>22</v>
      </c>
      <c r="J6226" s="2" t="s">
        <v>42</v>
      </c>
      <c r="K6226" s="2" t="s">
        <v>3019</v>
      </c>
      <c r="L6226" t="s">
        <v>25</v>
      </c>
      <c r="M6226" s="10" t="s">
        <v>26</v>
      </c>
      <c r="N6226" t="s">
        <v>26</v>
      </c>
      <c r="O6226" s="10" t="s">
        <v>26</v>
      </c>
      <c r="P6226" s="8" t="s">
        <v>26</v>
      </c>
      <c r="Q6226" s="8">
        <f>(2618262*100)/2995732</f>
        <v>87.399740697766021</v>
      </c>
    </row>
    <row r="6227" spans="1:17" x14ac:dyDescent="0.2">
      <c r="A6227">
        <f>YEAR(D6227)</f>
        <v>2020</v>
      </c>
      <c r="B6227" t="s">
        <v>26</v>
      </c>
      <c r="C6227" s="2" t="s">
        <v>1540</v>
      </c>
      <c r="D6227" s="1">
        <v>44111</v>
      </c>
      <c r="E6227">
        <f>MONTH(D6227)</f>
        <v>10</v>
      </c>
      <c r="F6227" s="2" t="s">
        <v>2098</v>
      </c>
      <c r="G6227" t="s">
        <v>219</v>
      </c>
      <c r="H6227" t="s">
        <v>220</v>
      </c>
      <c r="I6227" t="s">
        <v>22</v>
      </c>
      <c r="J6227" s="2" t="s">
        <v>42</v>
      </c>
      <c r="K6227" s="2" t="s">
        <v>3019</v>
      </c>
      <c r="L6227" t="s">
        <v>25</v>
      </c>
      <c r="M6227" s="10" t="s">
        <v>26</v>
      </c>
      <c r="N6227" t="s">
        <v>26</v>
      </c>
      <c r="O6227" s="10" t="s">
        <v>26</v>
      </c>
      <c r="P6227" s="8" t="s">
        <v>26</v>
      </c>
      <c r="Q6227" s="8">
        <f>(2618262*100)/2995732</f>
        <v>87.399740697766021</v>
      </c>
    </row>
    <row r="6228" spans="1:17" x14ac:dyDescent="0.2">
      <c r="A6228">
        <f>YEAR(D6228)</f>
        <v>2020</v>
      </c>
      <c r="B6228" t="s">
        <v>26</v>
      </c>
      <c r="C6228" s="2" t="s">
        <v>1540</v>
      </c>
      <c r="D6228" s="1">
        <v>44111</v>
      </c>
      <c r="E6228">
        <f>MONTH(D6228)</f>
        <v>10</v>
      </c>
      <c r="F6228" s="2" t="s">
        <v>2098</v>
      </c>
      <c r="G6228" t="s">
        <v>219</v>
      </c>
      <c r="H6228" t="s">
        <v>220</v>
      </c>
      <c r="I6228" t="s">
        <v>22</v>
      </c>
      <c r="J6228" s="2" t="s">
        <v>42</v>
      </c>
      <c r="K6228" s="2" t="s">
        <v>3019</v>
      </c>
      <c r="L6228" t="s">
        <v>25</v>
      </c>
      <c r="M6228" s="10" t="s">
        <v>26</v>
      </c>
      <c r="N6228" t="s">
        <v>26</v>
      </c>
      <c r="O6228" s="10" t="s">
        <v>26</v>
      </c>
      <c r="P6228" s="8" t="s">
        <v>26</v>
      </c>
      <c r="Q6228" s="8">
        <f>(2618262*100)/2995732</f>
        <v>87.399740697766021</v>
      </c>
    </row>
    <row r="6229" spans="1:17" x14ac:dyDescent="0.2">
      <c r="A6229">
        <f>YEAR(D6229)</f>
        <v>2020</v>
      </c>
      <c r="B6229" t="s">
        <v>26</v>
      </c>
      <c r="C6229" s="2" t="s">
        <v>3023</v>
      </c>
      <c r="D6229" s="1">
        <v>44105</v>
      </c>
      <c r="E6229">
        <f>MONTH(D6229)</f>
        <v>10</v>
      </c>
      <c r="F6229" s="2" t="s">
        <v>19</v>
      </c>
      <c r="G6229" s="2" t="s">
        <v>362</v>
      </c>
      <c r="H6229" t="s">
        <v>3074</v>
      </c>
      <c r="I6229" t="s">
        <v>36</v>
      </c>
      <c r="J6229" s="2" t="s">
        <v>42</v>
      </c>
      <c r="K6229" s="2" t="s">
        <v>3019</v>
      </c>
      <c r="L6229" t="s">
        <v>26</v>
      </c>
      <c r="M6229" s="8">
        <v>1.6856666666666669</v>
      </c>
      <c r="N6229" t="s">
        <v>26</v>
      </c>
      <c r="O6229" s="8">
        <v>1.6856666666666669</v>
      </c>
      <c r="P6229" s="8">
        <f>EXP(-1.363+3.366*LOG(O6229,10))</f>
        <v>0.54898373667223233</v>
      </c>
      <c r="Q6229" s="8">
        <f>(8197453*100)/8541008</f>
        <v>95.977582505484136</v>
      </c>
    </row>
    <row r="6230" spans="1:17" x14ac:dyDescent="0.2">
      <c r="A6230">
        <f>YEAR(D6230)</f>
        <v>2020</v>
      </c>
      <c r="B6230" t="s">
        <v>26</v>
      </c>
      <c r="C6230" s="2" t="s">
        <v>3025</v>
      </c>
      <c r="D6230" s="1">
        <v>44112</v>
      </c>
      <c r="E6230">
        <f>MONTH(D6230)</f>
        <v>10</v>
      </c>
      <c r="F6230" s="2" t="s">
        <v>2098</v>
      </c>
      <c r="G6230" t="s">
        <v>230</v>
      </c>
      <c r="H6230" t="s">
        <v>259</v>
      </c>
      <c r="I6230" t="s">
        <v>22</v>
      </c>
      <c r="J6230" s="2" t="s">
        <v>42</v>
      </c>
      <c r="K6230" s="2" t="s">
        <v>3019</v>
      </c>
      <c r="L6230" t="s">
        <v>25</v>
      </c>
      <c r="M6230" s="8">
        <v>4.2283333330000001</v>
      </c>
      <c r="N6230" t="s">
        <v>26</v>
      </c>
      <c r="O6230" s="8">
        <v>4.2283333330000001</v>
      </c>
      <c r="P6230" s="8">
        <f>EXP(-1.363+3.366*LOG(O6230,10))</f>
        <v>2.1057792396965977</v>
      </c>
      <c r="Q6230" s="8">
        <f>(1955155*100)/2180255</f>
        <v>89.67551960665152</v>
      </c>
    </row>
    <row r="6231" spans="1:17" x14ac:dyDescent="0.2">
      <c r="A6231">
        <f>YEAR(D6231)</f>
        <v>2020</v>
      </c>
      <c r="B6231" t="s">
        <v>26</v>
      </c>
      <c r="C6231" s="2" t="s">
        <v>3026</v>
      </c>
      <c r="D6231" s="1">
        <v>44112</v>
      </c>
      <c r="E6231">
        <f>MONTH(D6231)</f>
        <v>10</v>
      </c>
      <c r="F6231" s="2" t="s">
        <v>2098</v>
      </c>
      <c r="G6231" t="s">
        <v>219</v>
      </c>
      <c r="H6231" t="s">
        <v>220</v>
      </c>
      <c r="I6231" t="s">
        <v>22</v>
      </c>
      <c r="J6231" s="2" t="s">
        <v>42</v>
      </c>
      <c r="K6231" s="2" t="s">
        <v>3019</v>
      </c>
      <c r="L6231" t="s">
        <v>25</v>
      </c>
      <c r="M6231" s="10" t="s">
        <v>26</v>
      </c>
      <c r="N6231" t="s">
        <v>26</v>
      </c>
      <c r="O6231" s="10" t="s">
        <v>26</v>
      </c>
      <c r="P6231" s="8" t="s">
        <v>26</v>
      </c>
      <c r="Q6231" s="8">
        <f>(2317420*100)/2442061</f>
        <v>94.896073439606951</v>
      </c>
    </row>
    <row r="6232" spans="1:17" x14ac:dyDescent="0.2">
      <c r="A6232">
        <f>YEAR(D6232)</f>
        <v>2020</v>
      </c>
      <c r="B6232" t="s">
        <v>26</v>
      </c>
      <c r="C6232" s="2" t="s">
        <v>3026</v>
      </c>
      <c r="D6232" s="1">
        <v>44112</v>
      </c>
      <c r="E6232">
        <f>MONTH(D6232)</f>
        <v>10</v>
      </c>
      <c r="F6232" s="2" t="s">
        <v>2098</v>
      </c>
      <c r="G6232" t="s">
        <v>219</v>
      </c>
      <c r="H6232" t="s">
        <v>220</v>
      </c>
      <c r="I6232" t="s">
        <v>22</v>
      </c>
      <c r="J6232" s="2" t="s">
        <v>42</v>
      </c>
      <c r="K6232" s="2" t="s">
        <v>3019</v>
      </c>
      <c r="L6232" t="s">
        <v>25</v>
      </c>
      <c r="M6232" s="10" t="s">
        <v>26</v>
      </c>
      <c r="N6232" t="s">
        <v>26</v>
      </c>
      <c r="O6232" s="10" t="s">
        <v>26</v>
      </c>
      <c r="P6232" s="8" t="s">
        <v>26</v>
      </c>
      <c r="Q6232" s="8">
        <f>(2317420*100)/2442061</f>
        <v>94.896073439606951</v>
      </c>
    </row>
    <row r="6233" spans="1:17" x14ac:dyDescent="0.2">
      <c r="A6233">
        <f>YEAR(D6233)</f>
        <v>2020</v>
      </c>
      <c r="B6233" t="s">
        <v>26</v>
      </c>
      <c r="C6233" s="2" t="s">
        <v>3026</v>
      </c>
      <c r="D6233" s="1">
        <v>44112</v>
      </c>
      <c r="E6233">
        <f>MONTH(D6233)</f>
        <v>10</v>
      </c>
      <c r="F6233" s="2" t="s">
        <v>2098</v>
      </c>
      <c r="G6233" t="s">
        <v>219</v>
      </c>
      <c r="H6233" t="s">
        <v>220</v>
      </c>
      <c r="I6233" t="s">
        <v>22</v>
      </c>
      <c r="J6233" s="2" t="s">
        <v>42</v>
      </c>
      <c r="K6233" s="2" t="s">
        <v>3019</v>
      </c>
      <c r="L6233" t="s">
        <v>25</v>
      </c>
      <c r="M6233" s="10" t="s">
        <v>26</v>
      </c>
      <c r="N6233" t="s">
        <v>26</v>
      </c>
      <c r="O6233" s="10" t="s">
        <v>26</v>
      </c>
      <c r="P6233" s="8" t="s">
        <v>26</v>
      </c>
      <c r="Q6233" s="8">
        <f>(2317420*100)/2442061</f>
        <v>94.896073439606951</v>
      </c>
    </row>
    <row r="6234" spans="1:17" x14ac:dyDescent="0.2">
      <c r="A6234">
        <f>YEAR(D6234)</f>
        <v>2020</v>
      </c>
      <c r="B6234" t="s">
        <v>26</v>
      </c>
      <c r="C6234" s="2" t="s">
        <v>3026</v>
      </c>
      <c r="D6234" s="1">
        <v>44112</v>
      </c>
      <c r="E6234">
        <f>MONTH(D6234)</f>
        <v>10</v>
      </c>
      <c r="F6234" s="2" t="s">
        <v>2098</v>
      </c>
      <c r="G6234" t="s">
        <v>219</v>
      </c>
      <c r="H6234" t="s">
        <v>220</v>
      </c>
      <c r="I6234" t="s">
        <v>22</v>
      </c>
      <c r="J6234" s="2" t="s">
        <v>42</v>
      </c>
      <c r="K6234" s="2" t="s">
        <v>3019</v>
      </c>
      <c r="L6234" t="s">
        <v>25</v>
      </c>
      <c r="M6234" s="10" t="s">
        <v>26</v>
      </c>
      <c r="N6234" t="s">
        <v>26</v>
      </c>
      <c r="O6234" s="10" t="s">
        <v>26</v>
      </c>
      <c r="P6234" s="8" t="s">
        <v>26</v>
      </c>
      <c r="Q6234" s="8">
        <f>(2317420*100)/2442061</f>
        <v>94.896073439606951</v>
      </c>
    </row>
    <row r="6235" spans="1:17" x14ac:dyDescent="0.2">
      <c r="A6235">
        <f>YEAR(D6235)</f>
        <v>2020</v>
      </c>
      <c r="B6235" t="s">
        <v>26</v>
      </c>
      <c r="C6235" s="2" t="s">
        <v>3026</v>
      </c>
      <c r="D6235" s="1">
        <v>44112</v>
      </c>
      <c r="E6235">
        <f>MONTH(D6235)</f>
        <v>10</v>
      </c>
      <c r="F6235" s="2" t="s">
        <v>2098</v>
      </c>
      <c r="G6235" t="s">
        <v>230</v>
      </c>
      <c r="H6235" t="s">
        <v>268</v>
      </c>
      <c r="I6235" t="s">
        <v>22</v>
      </c>
      <c r="J6235" s="2" t="s">
        <v>42</v>
      </c>
      <c r="K6235" s="2" t="s">
        <v>3019</v>
      </c>
      <c r="L6235" t="s">
        <v>25</v>
      </c>
      <c r="M6235" s="8">
        <v>3.5356666670000001</v>
      </c>
      <c r="N6235" t="s">
        <v>26</v>
      </c>
      <c r="O6235" s="8">
        <v>3.5356666670000001</v>
      </c>
      <c r="P6235" s="8">
        <f>EXP(-1.363+3.366*LOG(O6235,10))</f>
        <v>1.6211802664427075</v>
      </c>
      <c r="Q6235" s="8">
        <f>(2317420*100)/2442061</f>
        <v>94.896073439606951</v>
      </c>
    </row>
    <row r="6236" spans="1:17" x14ac:dyDescent="0.2">
      <c r="A6236">
        <f>YEAR(D6236)</f>
        <v>2020</v>
      </c>
      <c r="B6236" t="s">
        <v>26</v>
      </c>
      <c r="C6236" s="2" t="s">
        <v>3026</v>
      </c>
      <c r="D6236" s="1">
        <v>44112</v>
      </c>
      <c r="E6236">
        <f>MONTH(D6236)</f>
        <v>10</v>
      </c>
      <c r="F6236" s="2" t="s">
        <v>2098</v>
      </c>
      <c r="G6236" t="s">
        <v>230</v>
      </c>
      <c r="H6236" t="s">
        <v>268</v>
      </c>
      <c r="I6236" t="s">
        <v>22</v>
      </c>
      <c r="J6236" s="2" t="s">
        <v>42</v>
      </c>
      <c r="K6236" s="2" t="s">
        <v>3019</v>
      </c>
      <c r="L6236" t="s">
        <v>25</v>
      </c>
      <c r="M6236" s="8">
        <v>3.5356666670000001</v>
      </c>
      <c r="N6236" t="s">
        <v>26</v>
      </c>
      <c r="O6236" s="8">
        <v>3.5356666670000001</v>
      </c>
      <c r="P6236" s="8">
        <f>EXP(-1.363+3.366*LOG(O6236,10))</f>
        <v>1.6211802664427075</v>
      </c>
      <c r="Q6236" s="8">
        <f>(2317420*100)/2442061</f>
        <v>94.896073439606951</v>
      </c>
    </row>
    <row r="6237" spans="1:17" x14ac:dyDescent="0.2">
      <c r="A6237">
        <f>YEAR(D6237)</f>
        <v>2020</v>
      </c>
      <c r="B6237" t="s">
        <v>26</v>
      </c>
      <c r="C6237" s="2" t="s">
        <v>3026</v>
      </c>
      <c r="D6237" s="1">
        <v>44112</v>
      </c>
      <c r="E6237">
        <f>MONTH(D6237)</f>
        <v>10</v>
      </c>
      <c r="F6237" s="2" t="s">
        <v>2098</v>
      </c>
      <c r="G6237" t="s">
        <v>230</v>
      </c>
      <c r="H6237" t="s">
        <v>268</v>
      </c>
      <c r="I6237" t="s">
        <v>36</v>
      </c>
      <c r="J6237" s="2" t="s">
        <v>42</v>
      </c>
      <c r="K6237" s="2" t="s">
        <v>3019</v>
      </c>
      <c r="L6237" t="s">
        <v>25</v>
      </c>
      <c r="M6237" s="8">
        <v>3.3683333329999998</v>
      </c>
      <c r="N6237" t="s">
        <v>26</v>
      </c>
      <c r="O6237" s="8">
        <v>3.3683333329999998</v>
      </c>
      <c r="P6237" s="8">
        <f>EXP(-1.363+3.366*LOG(O6237,10))</f>
        <v>1.510255893489963</v>
      </c>
      <c r="Q6237" s="8">
        <f>(2317420*100)/2442061</f>
        <v>94.896073439606951</v>
      </c>
    </row>
    <row r="6238" spans="1:17" x14ac:dyDescent="0.2">
      <c r="A6238">
        <f>YEAR(D6238)</f>
        <v>2020</v>
      </c>
      <c r="B6238" t="s">
        <v>26</v>
      </c>
      <c r="C6238" s="2" t="s">
        <v>3026</v>
      </c>
      <c r="D6238" s="1">
        <v>44112</v>
      </c>
      <c r="E6238">
        <f>MONTH(D6238)</f>
        <v>10</v>
      </c>
      <c r="F6238" s="2" t="s">
        <v>2098</v>
      </c>
      <c r="G6238" t="s">
        <v>230</v>
      </c>
      <c r="H6238" t="s">
        <v>268</v>
      </c>
      <c r="I6238" t="s">
        <v>36</v>
      </c>
      <c r="J6238" s="2" t="s">
        <v>42</v>
      </c>
      <c r="K6238" s="2" t="s">
        <v>3019</v>
      </c>
      <c r="L6238" t="s">
        <v>25</v>
      </c>
      <c r="M6238" s="8">
        <v>3.3683333329999998</v>
      </c>
      <c r="N6238" t="s">
        <v>26</v>
      </c>
      <c r="O6238" s="8">
        <v>3.3683333329999998</v>
      </c>
      <c r="P6238" s="8">
        <f>EXP(-1.363+3.366*LOG(O6238,10))</f>
        <v>1.510255893489963</v>
      </c>
      <c r="Q6238" s="8">
        <f>(2317420*100)/2442061</f>
        <v>94.896073439606951</v>
      </c>
    </row>
    <row r="6239" spans="1:17" x14ac:dyDescent="0.2">
      <c r="A6239">
        <f>YEAR(D6239)</f>
        <v>2020</v>
      </c>
      <c r="B6239" t="s">
        <v>26</v>
      </c>
      <c r="C6239" s="2" t="s">
        <v>3026</v>
      </c>
      <c r="D6239" s="1">
        <v>44112</v>
      </c>
      <c r="E6239">
        <f>MONTH(D6239)</f>
        <v>10</v>
      </c>
      <c r="F6239" s="2" t="s">
        <v>2098</v>
      </c>
      <c r="G6239" t="s">
        <v>230</v>
      </c>
      <c r="H6239" t="s">
        <v>268</v>
      </c>
      <c r="I6239" t="s">
        <v>22</v>
      </c>
      <c r="J6239" s="2" t="s">
        <v>42</v>
      </c>
      <c r="K6239" s="2" t="s">
        <v>3019</v>
      </c>
      <c r="L6239" t="s">
        <v>25</v>
      </c>
      <c r="M6239" s="8">
        <v>3.5356666670000001</v>
      </c>
      <c r="N6239" t="s">
        <v>26</v>
      </c>
      <c r="O6239" s="8">
        <v>3.5356666670000001</v>
      </c>
      <c r="P6239" s="8">
        <f>EXP(-1.363+3.366*LOG(O6239,10))</f>
        <v>1.6211802664427075</v>
      </c>
      <c r="Q6239" s="8">
        <f>(2317420*100)/2442061</f>
        <v>94.896073439606951</v>
      </c>
    </row>
    <row r="6240" spans="1:17" x14ac:dyDescent="0.2">
      <c r="A6240">
        <f>YEAR(D6240)</f>
        <v>2020</v>
      </c>
      <c r="B6240" t="s">
        <v>26</v>
      </c>
      <c r="C6240" s="2" t="s">
        <v>3026</v>
      </c>
      <c r="D6240" s="1">
        <v>44112</v>
      </c>
      <c r="E6240">
        <f>MONTH(D6240)</f>
        <v>10</v>
      </c>
      <c r="F6240" s="2" t="s">
        <v>2098</v>
      </c>
      <c r="G6240" t="s">
        <v>230</v>
      </c>
      <c r="H6240" t="s">
        <v>268</v>
      </c>
      <c r="I6240" t="s">
        <v>22</v>
      </c>
      <c r="J6240" s="2" t="s">
        <v>42</v>
      </c>
      <c r="K6240" s="2" t="s">
        <v>3019</v>
      </c>
      <c r="L6240" t="s">
        <v>25</v>
      </c>
      <c r="M6240" s="8">
        <v>3.5356666670000001</v>
      </c>
      <c r="N6240" t="s">
        <v>26</v>
      </c>
      <c r="O6240" s="8">
        <v>3.5356666670000001</v>
      </c>
      <c r="P6240" s="8">
        <f>EXP(-1.363+3.366*LOG(O6240,10))</f>
        <v>1.6211802664427075</v>
      </c>
      <c r="Q6240" s="8">
        <f>(2317420*100)/2442061</f>
        <v>94.896073439606951</v>
      </c>
    </row>
    <row r="6241" spans="1:17" x14ac:dyDescent="0.2">
      <c r="A6241">
        <f>YEAR(D6241)</f>
        <v>2020</v>
      </c>
      <c r="B6241" t="s">
        <v>26</v>
      </c>
      <c r="C6241" s="2" t="s">
        <v>3026</v>
      </c>
      <c r="D6241" s="1">
        <v>44112</v>
      </c>
      <c r="E6241">
        <f>MONTH(D6241)</f>
        <v>10</v>
      </c>
      <c r="F6241" s="2" t="s">
        <v>2098</v>
      </c>
      <c r="G6241" t="s">
        <v>230</v>
      </c>
      <c r="H6241" t="s">
        <v>268</v>
      </c>
      <c r="I6241" t="s">
        <v>22</v>
      </c>
      <c r="J6241" s="2" t="s">
        <v>42</v>
      </c>
      <c r="K6241" s="2" t="s">
        <v>3019</v>
      </c>
      <c r="L6241" t="s">
        <v>25</v>
      </c>
      <c r="M6241" s="8">
        <v>3.5356666670000001</v>
      </c>
      <c r="N6241" t="s">
        <v>26</v>
      </c>
      <c r="O6241" s="8">
        <v>3.5356666670000001</v>
      </c>
      <c r="P6241" s="8">
        <f>EXP(-1.363+3.366*LOG(O6241,10))</f>
        <v>1.6211802664427075</v>
      </c>
      <c r="Q6241" s="8">
        <f>(2317420*100)/2442061</f>
        <v>94.896073439606951</v>
      </c>
    </row>
    <row r="6242" spans="1:17" x14ac:dyDescent="0.2">
      <c r="A6242">
        <f>YEAR(D6242)</f>
        <v>2020</v>
      </c>
      <c r="B6242" t="s">
        <v>26</v>
      </c>
      <c r="C6242" s="2" t="s">
        <v>3026</v>
      </c>
      <c r="D6242" s="1">
        <v>44112</v>
      </c>
      <c r="E6242">
        <f>MONTH(D6242)</f>
        <v>10</v>
      </c>
      <c r="F6242" s="2" t="s">
        <v>2098</v>
      </c>
      <c r="G6242" t="s">
        <v>230</v>
      </c>
      <c r="H6242" t="s">
        <v>268</v>
      </c>
      <c r="I6242" t="s">
        <v>22</v>
      </c>
      <c r="J6242" s="2" t="s">
        <v>42</v>
      </c>
      <c r="K6242" s="2" t="s">
        <v>3019</v>
      </c>
      <c r="L6242" t="s">
        <v>25</v>
      </c>
      <c r="M6242" s="8">
        <v>3.5356666670000001</v>
      </c>
      <c r="N6242" t="s">
        <v>26</v>
      </c>
      <c r="O6242" s="8">
        <v>3.5356666670000001</v>
      </c>
      <c r="P6242" s="8">
        <f>EXP(-1.363+3.366*LOG(O6242,10))</f>
        <v>1.6211802664427075</v>
      </c>
      <c r="Q6242" s="8">
        <f>(2317420*100)/2442061</f>
        <v>94.896073439606951</v>
      </c>
    </row>
    <row r="6243" spans="1:17" x14ac:dyDescent="0.2">
      <c r="A6243">
        <f>YEAR(D6243)</f>
        <v>2020</v>
      </c>
      <c r="B6243" t="s">
        <v>26</v>
      </c>
      <c r="C6243" s="2" t="s">
        <v>3025</v>
      </c>
      <c r="D6243" s="1">
        <v>44112</v>
      </c>
      <c r="E6243">
        <f>MONTH(D6243)</f>
        <v>10</v>
      </c>
      <c r="F6243" s="2" t="s">
        <v>2098</v>
      </c>
      <c r="G6243" t="s">
        <v>352</v>
      </c>
      <c r="H6243" t="s">
        <v>1459</v>
      </c>
      <c r="I6243" t="s">
        <v>22</v>
      </c>
      <c r="J6243" s="2" t="s">
        <v>42</v>
      </c>
      <c r="K6243" s="2" t="s">
        <v>3019</v>
      </c>
      <c r="L6243" t="s">
        <v>25</v>
      </c>
      <c r="M6243" s="8">
        <v>1.1910000000000001</v>
      </c>
      <c r="N6243" t="s">
        <v>26</v>
      </c>
      <c r="O6243" s="8">
        <v>1.1910000000000001</v>
      </c>
      <c r="P6243" s="8">
        <f>EXP(-1.363+3.366*LOG(O6243,10))</f>
        <v>0.33039016297752993</v>
      </c>
      <c r="Q6243" s="8">
        <f>(1955155*100)/2180255</f>
        <v>89.67551960665152</v>
      </c>
    </row>
    <row r="6244" spans="1:17" x14ac:dyDescent="0.2">
      <c r="A6244">
        <f>YEAR(D6244)</f>
        <v>2020</v>
      </c>
      <c r="B6244" t="s">
        <v>26</v>
      </c>
      <c r="C6244" s="2" t="s">
        <v>3025</v>
      </c>
      <c r="D6244" s="1">
        <v>44112</v>
      </c>
      <c r="E6244">
        <f>MONTH(D6244)</f>
        <v>10</v>
      </c>
      <c r="F6244" s="2" t="s">
        <v>2098</v>
      </c>
      <c r="G6244" t="s">
        <v>352</v>
      </c>
      <c r="H6244" t="s">
        <v>1459</v>
      </c>
      <c r="I6244" t="s">
        <v>22</v>
      </c>
      <c r="J6244" s="2" t="s">
        <v>42</v>
      </c>
      <c r="K6244" s="2" t="s">
        <v>3019</v>
      </c>
      <c r="L6244" t="s">
        <v>25</v>
      </c>
      <c r="M6244" s="8">
        <v>1.1910000000000001</v>
      </c>
      <c r="N6244" t="s">
        <v>26</v>
      </c>
      <c r="O6244" s="8">
        <v>1.1910000000000001</v>
      </c>
      <c r="P6244" s="8">
        <f>EXP(-1.363+3.366*LOG(O6244,10))</f>
        <v>0.33039016297752993</v>
      </c>
      <c r="Q6244" s="8">
        <f>(1955155*100)/2180255</f>
        <v>89.67551960665152</v>
      </c>
    </row>
    <row r="6245" spans="1:17" x14ac:dyDescent="0.2">
      <c r="A6245">
        <f>YEAR(D6245)</f>
        <v>2020</v>
      </c>
      <c r="B6245" t="s">
        <v>26</v>
      </c>
      <c r="C6245" s="2" t="s">
        <v>3026</v>
      </c>
      <c r="D6245" s="1">
        <v>44112</v>
      </c>
      <c r="E6245">
        <f>MONTH(D6245)</f>
        <v>10</v>
      </c>
      <c r="F6245" s="2" t="s">
        <v>2098</v>
      </c>
      <c r="G6245" t="s">
        <v>362</v>
      </c>
      <c r="H6245" t="s">
        <v>2030</v>
      </c>
      <c r="I6245" t="s">
        <v>36</v>
      </c>
      <c r="J6245" s="2" t="s">
        <v>42</v>
      </c>
      <c r="K6245" s="2" t="s">
        <v>3019</v>
      </c>
      <c r="L6245" t="s">
        <v>25</v>
      </c>
      <c r="M6245" s="8">
        <v>1.383</v>
      </c>
      <c r="N6245" t="s">
        <v>26</v>
      </c>
      <c r="O6245" s="8">
        <v>1.383</v>
      </c>
      <c r="P6245" s="8">
        <f>EXP(-1.363+3.366*LOG(O6245,10))</f>
        <v>0.41106967974959296</v>
      </c>
      <c r="Q6245" s="8">
        <f>(2317420*100)/2442061</f>
        <v>94.896073439606951</v>
      </c>
    </row>
    <row r="6246" spans="1:17" x14ac:dyDescent="0.2">
      <c r="A6246">
        <f>YEAR(D6246)</f>
        <v>2020</v>
      </c>
      <c r="B6246" t="s">
        <v>26</v>
      </c>
      <c r="C6246" s="2" t="s">
        <v>3024</v>
      </c>
      <c r="D6246" s="1">
        <v>44113</v>
      </c>
      <c r="E6246">
        <f>MONTH(D6246)</f>
        <v>10</v>
      </c>
      <c r="F6246" s="2" t="s">
        <v>2098</v>
      </c>
      <c r="G6246" t="s">
        <v>230</v>
      </c>
      <c r="H6246" t="s">
        <v>268</v>
      </c>
      <c r="I6246" t="s">
        <v>22</v>
      </c>
      <c r="J6246" s="2" t="s">
        <v>42</v>
      </c>
      <c r="K6246" s="2" t="s">
        <v>3019</v>
      </c>
      <c r="L6246" t="s">
        <v>25</v>
      </c>
      <c r="M6246" s="8">
        <v>3.5356666670000001</v>
      </c>
      <c r="N6246" t="s">
        <v>26</v>
      </c>
      <c r="O6246" s="8">
        <v>3.5356666670000001</v>
      </c>
      <c r="P6246" s="8">
        <f>EXP(-1.363+3.366*LOG(O6246,10))</f>
        <v>1.6211802664427075</v>
      </c>
      <c r="Q6246" s="8">
        <f>(2412691*100)/2623642</f>
        <v>91.959611867777696</v>
      </c>
    </row>
    <row r="6247" spans="1:17" x14ac:dyDescent="0.2">
      <c r="A6247">
        <f>YEAR(D6247)</f>
        <v>2020</v>
      </c>
      <c r="B6247" t="s">
        <v>26</v>
      </c>
      <c r="C6247" s="2" t="s">
        <v>3024</v>
      </c>
      <c r="D6247" s="1">
        <v>44113</v>
      </c>
      <c r="E6247">
        <f>MONTH(D6247)</f>
        <v>10</v>
      </c>
      <c r="F6247" s="2" t="s">
        <v>2098</v>
      </c>
      <c r="G6247" t="s">
        <v>219</v>
      </c>
      <c r="H6247" t="s">
        <v>220</v>
      </c>
      <c r="I6247" t="s">
        <v>22</v>
      </c>
      <c r="J6247" s="2" t="s">
        <v>42</v>
      </c>
      <c r="K6247" s="2" t="s">
        <v>3019</v>
      </c>
      <c r="L6247" t="s">
        <v>25</v>
      </c>
      <c r="M6247" s="10" t="s">
        <v>26</v>
      </c>
      <c r="N6247" t="s">
        <v>26</v>
      </c>
      <c r="O6247" s="10" t="s">
        <v>26</v>
      </c>
      <c r="P6247" s="8" t="s">
        <v>26</v>
      </c>
      <c r="Q6247" s="8">
        <f>(2412691*100)/2623642</f>
        <v>91.959611867777696</v>
      </c>
    </row>
    <row r="6248" spans="1:17" x14ac:dyDescent="0.2">
      <c r="A6248">
        <f>YEAR(D6248)</f>
        <v>2020</v>
      </c>
      <c r="B6248" t="s">
        <v>26</v>
      </c>
      <c r="C6248" s="2" t="s">
        <v>3024</v>
      </c>
      <c r="D6248" s="1">
        <v>44113</v>
      </c>
      <c r="E6248">
        <f>MONTH(D6248)</f>
        <v>10</v>
      </c>
      <c r="F6248" s="2" t="s">
        <v>2098</v>
      </c>
      <c r="G6248" t="s">
        <v>219</v>
      </c>
      <c r="H6248" t="s">
        <v>220</v>
      </c>
      <c r="I6248" t="s">
        <v>22</v>
      </c>
      <c r="J6248" s="2" t="s">
        <v>42</v>
      </c>
      <c r="K6248" s="2" t="s">
        <v>3019</v>
      </c>
      <c r="L6248" t="s">
        <v>25</v>
      </c>
      <c r="M6248" s="10" t="s">
        <v>26</v>
      </c>
      <c r="N6248" t="s">
        <v>26</v>
      </c>
      <c r="O6248" s="10" t="s">
        <v>26</v>
      </c>
      <c r="P6248" s="8" t="s">
        <v>26</v>
      </c>
      <c r="Q6248" s="8">
        <f>(2412691*100)/2623642</f>
        <v>91.959611867777696</v>
      </c>
    </row>
    <row r="6249" spans="1:17" x14ac:dyDescent="0.2">
      <c r="A6249">
        <f>YEAR(D6249)</f>
        <v>2020</v>
      </c>
      <c r="B6249" t="s">
        <v>26</v>
      </c>
      <c r="C6249" s="2" t="s">
        <v>3024</v>
      </c>
      <c r="D6249" s="1">
        <v>44113</v>
      </c>
      <c r="E6249">
        <f>MONTH(D6249)</f>
        <v>10</v>
      </c>
      <c r="F6249" s="2" t="s">
        <v>2098</v>
      </c>
      <c r="G6249" t="s">
        <v>219</v>
      </c>
      <c r="H6249" t="s">
        <v>220</v>
      </c>
      <c r="I6249" t="s">
        <v>22</v>
      </c>
      <c r="J6249" s="2" t="s">
        <v>42</v>
      </c>
      <c r="K6249" s="2" t="s">
        <v>3019</v>
      </c>
      <c r="L6249" t="s">
        <v>25</v>
      </c>
      <c r="M6249" s="10" t="s">
        <v>26</v>
      </c>
      <c r="N6249" t="s">
        <v>26</v>
      </c>
      <c r="O6249" s="10" t="s">
        <v>26</v>
      </c>
      <c r="P6249" s="8" t="s">
        <v>26</v>
      </c>
      <c r="Q6249" s="8">
        <f>(2412691*100)/2623642</f>
        <v>91.959611867777696</v>
      </c>
    </row>
    <row r="6250" spans="1:17" x14ac:dyDescent="0.2">
      <c r="A6250">
        <f>YEAR(D6250)</f>
        <v>2020</v>
      </c>
      <c r="B6250" t="s">
        <v>26</v>
      </c>
      <c r="C6250" s="2" t="s">
        <v>3024</v>
      </c>
      <c r="D6250" s="1">
        <v>44113</v>
      </c>
      <c r="E6250">
        <f>MONTH(D6250)</f>
        <v>10</v>
      </c>
      <c r="F6250" s="2" t="s">
        <v>2098</v>
      </c>
      <c r="G6250" t="s">
        <v>230</v>
      </c>
      <c r="H6250" t="s">
        <v>268</v>
      </c>
      <c r="I6250" t="s">
        <v>22</v>
      </c>
      <c r="J6250" s="2" t="s">
        <v>42</v>
      </c>
      <c r="K6250" s="2" t="s">
        <v>3019</v>
      </c>
      <c r="L6250" t="s">
        <v>25</v>
      </c>
      <c r="M6250" s="8">
        <v>3.5356666670000001</v>
      </c>
      <c r="N6250" t="s">
        <v>26</v>
      </c>
      <c r="O6250" s="8">
        <v>3.5356666670000001</v>
      </c>
      <c r="P6250" s="8">
        <f>EXP(-1.363+3.366*LOG(O6250,10))</f>
        <v>1.6211802664427075</v>
      </c>
      <c r="Q6250" s="8">
        <f>(2412691*100)/2623642</f>
        <v>91.959611867777696</v>
      </c>
    </row>
    <row r="6251" spans="1:17" x14ac:dyDescent="0.2">
      <c r="A6251">
        <f>YEAR(D6251)</f>
        <v>2020</v>
      </c>
      <c r="B6251" t="s">
        <v>26</v>
      </c>
      <c r="C6251" s="2" t="s">
        <v>3024</v>
      </c>
      <c r="D6251" s="1">
        <v>44113</v>
      </c>
      <c r="E6251">
        <f>MONTH(D6251)</f>
        <v>10</v>
      </c>
      <c r="F6251" s="2" t="s">
        <v>2098</v>
      </c>
      <c r="G6251" t="s">
        <v>219</v>
      </c>
      <c r="H6251" t="s">
        <v>220</v>
      </c>
      <c r="I6251" t="s">
        <v>22</v>
      </c>
      <c r="J6251" s="2" t="s">
        <v>42</v>
      </c>
      <c r="K6251" s="2" t="s">
        <v>3019</v>
      </c>
      <c r="L6251" t="s">
        <v>25</v>
      </c>
      <c r="M6251" s="10" t="s">
        <v>26</v>
      </c>
      <c r="N6251" t="s">
        <v>26</v>
      </c>
      <c r="O6251" s="10" t="s">
        <v>26</v>
      </c>
      <c r="P6251" s="8" t="s">
        <v>26</v>
      </c>
      <c r="Q6251" s="8">
        <f>(2412691*100)/2623642</f>
        <v>91.959611867777696</v>
      </c>
    </row>
    <row r="6252" spans="1:17" x14ac:dyDescent="0.2">
      <c r="A6252">
        <f>YEAR(D6252)</f>
        <v>2020</v>
      </c>
      <c r="B6252" t="s">
        <v>26</v>
      </c>
      <c r="C6252" s="2" t="s">
        <v>3024</v>
      </c>
      <c r="D6252" s="1">
        <v>44113</v>
      </c>
      <c r="E6252">
        <f>MONTH(D6252)</f>
        <v>10</v>
      </c>
      <c r="F6252" s="2" t="s">
        <v>2098</v>
      </c>
      <c r="G6252" t="s">
        <v>230</v>
      </c>
      <c r="H6252" t="s">
        <v>268</v>
      </c>
      <c r="I6252" t="s">
        <v>36</v>
      </c>
      <c r="J6252" s="2" t="s">
        <v>42</v>
      </c>
      <c r="K6252" s="2" t="s">
        <v>3019</v>
      </c>
      <c r="L6252" t="s">
        <v>25</v>
      </c>
      <c r="M6252" s="8">
        <v>3.3683333329999998</v>
      </c>
      <c r="N6252" t="s">
        <v>26</v>
      </c>
      <c r="O6252" s="8">
        <v>3.3683333329999998</v>
      </c>
      <c r="P6252" s="8">
        <f>EXP(-1.363+3.366*LOG(O6252,10))</f>
        <v>1.510255893489963</v>
      </c>
      <c r="Q6252" s="8">
        <f>(2412691*100)/2623642</f>
        <v>91.959611867777696</v>
      </c>
    </row>
    <row r="6253" spans="1:17" x14ac:dyDescent="0.2">
      <c r="A6253">
        <f>YEAR(D6253)</f>
        <v>2020</v>
      </c>
      <c r="B6253" t="s">
        <v>26</v>
      </c>
      <c r="C6253" s="2" t="s">
        <v>3024</v>
      </c>
      <c r="D6253" s="1">
        <v>44113</v>
      </c>
      <c r="E6253">
        <f>MONTH(D6253)</f>
        <v>10</v>
      </c>
      <c r="F6253" s="2" t="s">
        <v>2098</v>
      </c>
      <c r="G6253" t="s">
        <v>230</v>
      </c>
      <c r="H6253" t="s">
        <v>268</v>
      </c>
      <c r="I6253" t="s">
        <v>22</v>
      </c>
      <c r="J6253" s="2" t="s">
        <v>42</v>
      </c>
      <c r="K6253" s="2" t="s">
        <v>3019</v>
      </c>
      <c r="L6253" t="s">
        <v>25</v>
      </c>
      <c r="M6253" s="8">
        <v>3.5356666670000001</v>
      </c>
      <c r="N6253" t="s">
        <v>26</v>
      </c>
      <c r="O6253" s="8">
        <v>3.5356666670000001</v>
      </c>
      <c r="P6253" s="8">
        <f>EXP(-1.363+3.366*LOG(O6253,10))</f>
        <v>1.6211802664427075</v>
      </c>
      <c r="Q6253" s="8">
        <f>(2412691*100)/2623642</f>
        <v>91.959611867777696</v>
      </c>
    </row>
    <row r="6254" spans="1:17" x14ac:dyDescent="0.2">
      <c r="A6254">
        <f>YEAR(D6254)</f>
        <v>2020</v>
      </c>
      <c r="B6254" t="s">
        <v>26</v>
      </c>
      <c r="C6254" s="2" t="s">
        <v>3024</v>
      </c>
      <c r="D6254" s="1">
        <v>44113</v>
      </c>
      <c r="E6254">
        <f>MONTH(D6254)</f>
        <v>10</v>
      </c>
      <c r="F6254" s="2" t="s">
        <v>2098</v>
      </c>
      <c r="G6254" t="s">
        <v>219</v>
      </c>
      <c r="H6254" t="s">
        <v>220</v>
      </c>
      <c r="I6254" t="s">
        <v>22</v>
      </c>
      <c r="J6254" s="2" t="s">
        <v>42</v>
      </c>
      <c r="K6254" s="2" t="s">
        <v>3019</v>
      </c>
      <c r="L6254" t="s">
        <v>25</v>
      </c>
      <c r="M6254" s="10" t="s">
        <v>26</v>
      </c>
      <c r="N6254" t="s">
        <v>26</v>
      </c>
      <c r="O6254" s="10" t="s">
        <v>26</v>
      </c>
      <c r="P6254" s="8" t="s">
        <v>26</v>
      </c>
      <c r="Q6254" s="8">
        <f>(2412691*100)/2623642</f>
        <v>91.959611867777696</v>
      </c>
    </row>
    <row r="6255" spans="1:17" x14ac:dyDescent="0.2">
      <c r="A6255">
        <f>YEAR(D6255)</f>
        <v>2020</v>
      </c>
      <c r="B6255" t="s">
        <v>26</v>
      </c>
      <c r="C6255" s="2" t="s">
        <v>3024</v>
      </c>
      <c r="D6255" s="1">
        <v>44113</v>
      </c>
      <c r="E6255">
        <f>MONTH(D6255)</f>
        <v>10</v>
      </c>
      <c r="F6255" s="2" t="s">
        <v>2098</v>
      </c>
      <c r="G6255" t="s">
        <v>219</v>
      </c>
      <c r="H6255" t="s">
        <v>220</v>
      </c>
      <c r="I6255" t="s">
        <v>22</v>
      </c>
      <c r="J6255" s="2" t="s">
        <v>42</v>
      </c>
      <c r="K6255" s="2" t="s">
        <v>3019</v>
      </c>
      <c r="L6255" t="s">
        <v>25</v>
      </c>
      <c r="M6255" s="10" t="s">
        <v>26</v>
      </c>
      <c r="N6255" t="s">
        <v>26</v>
      </c>
      <c r="O6255" s="10" t="s">
        <v>26</v>
      </c>
      <c r="P6255" s="8" t="s">
        <v>26</v>
      </c>
      <c r="Q6255" s="8">
        <f>(2412691*100)/2623642</f>
        <v>91.959611867777696</v>
      </c>
    </row>
    <row r="6256" spans="1:17" x14ac:dyDescent="0.2">
      <c r="A6256">
        <f>YEAR(D6256)</f>
        <v>2020</v>
      </c>
      <c r="B6256" t="s">
        <v>26</v>
      </c>
      <c r="C6256" s="2" t="s">
        <v>3024</v>
      </c>
      <c r="D6256" s="1">
        <v>44113</v>
      </c>
      <c r="E6256">
        <f>MONTH(D6256)</f>
        <v>10</v>
      </c>
      <c r="F6256" s="2" t="s">
        <v>19</v>
      </c>
      <c r="G6256" t="s">
        <v>230</v>
      </c>
      <c r="H6256" t="s">
        <v>268</v>
      </c>
      <c r="I6256" t="s">
        <v>22</v>
      </c>
      <c r="J6256" s="2" t="s">
        <v>42</v>
      </c>
      <c r="K6256" s="2" t="s">
        <v>3019</v>
      </c>
      <c r="L6256" t="s">
        <v>25</v>
      </c>
      <c r="M6256" s="8">
        <v>3.5356666670000001</v>
      </c>
      <c r="N6256" t="s">
        <v>26</v>
      </c>
      <c r="O6256" s="8">
        <v>3.5356666670000001</v>
      </c>
      <c r="P6256" s="8">
        <f>EXP(-1.363+3.366*LOG(O6256,10))</f>
        <v>1.6211802664427075</v>
      </c>
      <c r="Q6256" s="8">
        <f>(2412691*100)/2623642</f>
        <v>91.959611867777696</v>
      </c>
    </row>
    <row r="6257" spans="1:17" x14ac:dyDescent="0.2">
      <c r="A6257">
        <f>YEAR(D6257)</f>
        <v>2020</v>
      </c>
      <c r="B6257" t="s">
        <v>26</v>
      </c>
      <c r="C6257" s="2" t="s">
        <v>3020</v>
      </c>
      <c r="D6257" s="1">
        <v>44116</v>
      </c>
      <c r="E6257">
        <f>MONTH(D6257)</f>
        <v>10</v>
      </c>
      <c r="F6257" s="2" t="s">
        <v>2098</v>
      </c>
      <c r="G6257" t="s">
        <v>219</v>
      </c>
      <c r="H6257" t="s">
        <v>220</v>
      </c>
      <c r="I6257" t="s">
        <v>22</v>
      </c>
      <c r="J6257" s="2" t="s">
        <v>42</v>
      </c>
      <c r="K6257" s="2" t="s">
        <v>3019</v>
      </c>
      <c r="L6257" t="s">
        <v>25</v>
      </c>
      <c r="M6257" s="10" t="s">
        <v>26</v>
      </c>
      <c r="N6257" t="s">
        <v>26</v>
      </c>
      <c r="O6257" s="10" t="s">
        <v>26</v>
      </c>
      <c r="P6257" s="8" t="s">
        <v>26</v>
      </c>
      <c r="Q6257" s="8">
        <f>(3359412*100)/3462762</f>
        <v>97.015388294084318</v>
      </c>
    </row>
    <row r="6258" spans="1:17" x14ac:dyDescent="0.2">
      <c r="A6258">
        <f>YEAR(D6258)</f>
        <v>2020</v>
      </c>
      <c r="B6258" t="s">
        <v>26</v>
      </c>
      <c r="C6258" s="2" t="s">
        <v>3020</v>
      </c>
      <c r="D6258" s="1">
        <v>44116</v>
      </c>
      <c r="E6258">
        <f>MONTH(D6258)</f>
        <v>10</v>
      </c>
      <c r="F6258" s="2" t="s">
        <v>2098</v>
      </c>
      <c r="G6258" t="s">
        <v>219</v>
      </c>
      <c r="H6258" t="s">
        <v>220</v>
      </c>
      <c r="I6258" t="s">
        <v>22</v>
      </c>
      <c r="J6258" s="2" t="s">
        <v>42</v>
      </c>
      <c r="K6258" s="2" t="s">
        <v>3019</v>
      </c>
      <c r="L6258" t="s">
        <v>25</v>
      </c>
      <c r="M6258" s="10" t="s">
        <v>26</v>
      </c>
      <c r="N6258" t="s">
        <v>26</v>
      </c>
      <c r="O6258" s="10" t="s">
        <v>26</v>
      </c>
      <c r="P6258" s="8" t="s">
        <v>26</v>
      </c>
      <c r="Q6258" s="8">
        <f>(3359412*100)/3462762</f>
        <v>97.015388294084318</v>
      </c>
    </row>
    <row r="6259" spans="1:17" x14ac:dyDescent="0.2">
      <c r="A6259">
        <f>YEAR(D6259)</f>
        <v>2020</v>
      </c>
      <c r="B6259" t="s">
        <v>26</v>
      </c>
      <c r="C6259" s="2" t="s">
        <v>3020</v>
      </c>
      <c r="D6259" s="1">
        <v>44116</v>
      </c>
      <c r="E6259">
        <f>MONTH(D6259)</f>
        <v>10</v>
      </c>
      <c r="F6259" s="2" t="s">
        <v>2098</v>
      </c>
      <c r="G6259" t="s">
        <v>219</v>
      </c>
      <c r="H6259" t="s">
        <v>220</v>
      </c>
      <c r="I6259" t="s">
        <v>22</v>
      </c>
      <c r="J6259" s="2" t="s">
        <v>42</v>
      </c>
      <c r="K6259" s="2" t="s">
        <v>3019</v>
      </c>
      <c r="L6259" t="s">
        <v>25</v>
      </c>
      <c r="M6259" s="10" t="s">
        <v>26</v>
      </c>
      <c r="N6259" t="s">
        <v>26</v>
      </c>
      <c r="O6259" s="10" t="s">
        <v>26</v>
      </c>
      <c r="P6259" s="8" t="s">
        <v>26</v>
      </c>
      <c r="Q6259" s="8">
        <f>(3359412*100)/3462762</f>
        <v>97.015388294084318</v>
      </c>
    </row>
    <row r="6260" spans="1:17" x14ac:dyDescent="0.2">
      <c r="A6260">
        <f>YEAR(D6260)</f>
        <v>2020</v>
      </c>
      <c r="B6260" t="s">
        <v>26</v>
      </c>
      <c r="C6260" s="2" t="s">
        <v>3020</v>
      </c>
      <c r="D6260" s="1">
        <v>44116</v>
      </c>
      <c r="E6260">
        <f>MONTH(D6260)</f>
        <v>10</v>
      </c>
      <c r="F6260" s="2" t="s">
        <v>2098</v>
      </c>
      <c r="G6260" t="s">
        <v>219</v>
      </c>
      <c r="H6260" t="s">
        <v>220</v>
      </c>
      <c r="I6260" t="s">
        <v>22</v>
      </c>
      <c r="J6260" s="2" t="s">
        <v>42</v>
      </c>
      <c r="K6260" s="2" t="s">
        <v>3019</v>
      </c>
      <c r="L6260" t="s">
        <v>25</v>
      </c>
      <c r="M6260" s="10" t="s">
        <v>26</v>
      </c>
      <c r="N6260" t="s">
        <v>26</v>
      </c>
      <c r="O6260" s="10" t="s">
        <v>26</v>
      </c>
      <c r="P6260" s="8" t="s">
        <v>26</v>
      </c>
      <c r="Q6260" s="8">
        <f>(3359412*100)/3462762</f>
        <v>97.015388294084318</v>
      </c>
    </row>
    <row r="6261" spans="1:17" x14ac:dyDescent="0.2">
      <c r="A6261">
        <f>YEAR(D6261)</f>
        <v>2020</v>
      </c>
      <c r="B6261" t="s">
        <v>26</v>
      </c>
      <c r="C6261" s="2" t="s">
        <v>3020</v>
      </c>
      <c r="D6261" s="1">
        <v>44116</v>
      </c>
      <c r="E6261">
        <f>MONTH(D6261)</f>
        <v>10</v>
      </c>
      <c r="F6261" s="2" t="s">
        <v>19</v>
      </c>
      <c r="G6261" t="s">
        <v>362</v>
      </c>
      <c r="H6261" t="s">
        <v>447</v>
      </c>
      <c r="I6261" t="s">
        <v>36</v>
      </c>
      <c r="J6261" s="2" t="s">
        <v>42</v>
      </c>
      <c r="K6261" s="2" t="s">
        <v>3019</v>
      </c>
      <c r="L6261" t="s">
        <v>25</v>
      </c>
      <c r="M6261" s="8">
        <v>1.0956666669999999</v>
      </c>
      <c r="N6261" t="s">
        <v>26</v>
      </c>
      <c r="O6261" s="8">
        <v>1.0956666669999999</v>
      </c>
      <c r="P6261" s="8">
        <f>EXP(-1.363+3.366*LOG(O6261,10))</f>
        <v>0.29245562330904107</v>
      </c>
      <c r="Q6261" s="8">
        <f>(3359412*100)/3462762</f>
        <v>97.015388294084318</v>
      </c>
    </row>
    <row r="6262" spans="1:17" x14ac:dyDescent="0.2">
      <c r="A6262">
        <f>YEAR(D6262)</f>
        <v>2020</v>
      </c>
      <c r="B6262" t="s">
        <v>26</v>
      </c>
      <c r="C6262" s="2" t="s">
        <v>3020</v>
      </c>
      <c r="D6262" s="1">
        <v>44116</v>
      </c>
      <c r="E6262">
        <f>MONTH(D6262)</f>
        <v>10</v>
      </c>
      <c r="F6262" s="2" t="s">
        <v>19</v>
      </c>
      <c r="G6262" t="s">
        <v>352</v>
      </c>
      <c r="H6262" t="s">
        <v>1459</v>
      </c>
      <c r="I6262" t="s">
        <v>22</v>
      </c>
      <c r="J6262" s="2" t="s">
        <v>42</v>
      </c>
      <c r="K6262" s="2" t="s">
        <v>3019</v>
      </c>
      <c r="L6262" t="s">
        <v>25</v>
      </c>
      <c r="M6262" s="8">
        <v>1.1910000000000001</v>
      </c>
      <c r="N6262" t="s">
        <v>26</v>
      </c>
      <c r="O6262" s="8">
        <v>1.1910000000000001</v>
      </c>
      <c r="P6262" s="8">
        <f>EXP(-1.363+3.366*LOG(O6262,10))</f>
        <v>0.33039016297752993</v>
      </c>
      <c r="Q6262" s="8">
        <f>(3359412*100)/3462762</f>
        <v>97.015388294084318</v>
      </c>
    </row>
    <row r="6263" spans="1:17" x14ac:dyDescent="0.2">
      <c r="A6263">
        <f>YEAR(D6263)</f>
        <v>2020</v>
      </c>
      <c r="B6263" t="s">
        <v>26</v>
      </c>
      <c r="C6263" s="2" t="s">
        <v>3025</v>
      </c>
      <c r="D6263" s="1">
        <v>44112</v>
      </c>
      <c r="E6263">
        <f>MONTH(D6263)</f>
        <v>10</v>
      </c>
      <c r="F6263" s="2" t="s">
        <v>19</v>
      </c>
      <c r="G6263" t="s">
        <v>352</v>
      </c>
      <c r="H6263" t="s">
        <v>1459</v>
      </c>
      <c r="I6263" t="s">
        <v>36</v>
      </c>
      <c r="J6263" s="2" t="s">
        <v>42</v>
      </c>
      <c r="K6263" s="2" t="s">
        <v>3019</v>
      </c>
      <c r="L6263" t="s">
        <v>25</v>
      </c>
      <c r="M6263" s="8">
        <v>1.0913333329999999</v>
      </c>
      <c r="N6263" t="s">
        <v>26</v>
      </c>
      <c r="O6263" s="8">
        <v>1.0913333329999999</v>
      </c>
      <c r="P6263" s="8">
        <f>EXP(-1.363+3.366*LOG(O6263,10))</f>
        <v>0.29076633015787234</v>
      </c>
      <c r="Q6263" s="8">
        <f>(1955155*100)/2180255</f>
        <v>89.67551960665152</v>
      </c>
    </row>
    <row r="6264" spans="1:17" x14ac:dyDescent="0.2">
      <c r="A6264">
        <f>YEAR(D6264)</f>
        <v>2020</v>
      </c>
      <c r="B6264" t="s">
        <v>26</v>
      </c>
      <c r="C6264" s="2" t="s">
        <v>3025</v>
      </c>
      <c r="D6264" s="1">
        <v>44112</v>
      </c>
      <c r="E6264">
        <f>MONTH(D6264)</f>
        <v>10</v>
      </c>
      <c r="F6264" s="2" t="s">
        <v>19</v>
      </c>
      <c r="G6264" t="s">
        <v>352</v>
      </c>
      <c r="H6264" t="s">
        <v>494</v>
      </c>
      <c r="I6264" t="s">
        <v>22</v>
      </c>
      <c r="J6264" s="2" t="s">
        <v>42</v>
      </c>
      <c r="K6264" s="2" t="s">
        <v>3019</v>
      </c>
      <c r="L6264" t="s">
        <v>25</v>
      </c>
      <c r="M6264" s="8">
        <v>1.7226666669999999</v>
      </c>
      <c r="N6264" t="s">
        <v>26</v>
      </c>
      <c r="O6264" s="8">
        <v>1.7226666669999999</v>
      </c>
      <c r="P6264" s="8">
        <f>EXP(-1.363+3.366*LOG(O6264,10))</f>
        <v>0.56668788662759551</v>
      </c>
      <c r="Q6264" s="8">
        <f>(1955155*100)/2180255</f>
        <v>89.67551960665152</v>
      </c>
    </row>
    <row r="6265" spans="1:17" x14ac:dyDescent="0.2">
      <c r="A6265">
        <f>YEAR(D6265)</f>
        <v>2020</v>
      </c>
      <c r="B6265" t="e">
        <f>CONCATENATE(K6265,#REF!)</f>
        <v>#REF!</v>
      </c>
      <c r="C6265" s="2" t="s">
        <v>3025</v>
      </c>
      <c r="D6265" s="1">
        <v>44112</v>
      </c>
      <c r="E6265">
        <f>MONTH(D6265)</f>
        <v>10</v>
      </c>
      <c r="F6265" s="2" t="s">
        <v>19</v>
      </c>
      <c r="G6265" s="2" t="s">
        <v>20</v>
      </c>
      <c r="H6265" t="s">
        <v>103</v>
      </c>
      <c r="I6265" t="s">
        <v>22</v>
      </c>
      <c r="J6265" s="2" t="s">
        <v>42</v>
      </c>
      <c r="K6265" s="2" t="s">
        <v>3019</v>
      </c>
      <c r="L6265" t="s">
        <v>25</v>
      </c>
      <c r="M6265" s="8">
        <v>2.177</v>
      </c>
      <c r="N6265" t="s">
        <v>26</v>
      </c>
      <c r="O6265" s="8">
        <v>2.177</v>
      </c>
      <c r="P6265" s="8">
        <f>EXP(-1.363+3.366*LOG(O6265,10))</f>
        <v>0.79790277256387487</v>
      </c>
      <c r="Q6265" s="8">
        <f>(1955155*100)/2180255</f>
        <v>89.67551960665152</v>
      </c>
    </row>
    <row r="6266" spans="1:17" x14ac:dyDescent="0.2">
      <c r="A6266">
        <v>2018</v>
      </c>
      <c r="B6266" t="s">
        <v>2587</v>
      </c>
      <c r="C6266" t="s">
        <v>2283</v>
      </c>
      <c r="D6266" t="s">
        <v>2586</v>
      </c>
      <c r="E6266">
        <v>3</v>
      </c>
      <c r="F6266" t="s">
        <v>2284</v>
      </c>
      <c r="G6266" t="s">
        <v>230</v>
      </c>
      <c r="H6266" t="s">
        <v>259</v>
      </c>
      <c r="I6266" t="s">
        <v>22</v>
      </c>
      <c r="J6266" t="s">
        <v>66</v>
      </c>
      <c r="K6266" t="s">
        <v>2285</v>
      </c>
      <c r="L6266" t="s">
        <v>25</v>
      </c>
      <c r="M6266" s="8">
        <v>4.2283333330000001</v>
      </c>
      <c r="N6266">
        <v>6.9359999999999999</v>
      </c>
      <c r="O6266" s="8">
        <v>6.9359999999999999</v>
      </c>
      <c r="P6266" s="8">
        <f>EXP(-1.363+3.366*LOG(O6266,10))</f>
        <v>4.3412971168997201</v>
      </c>
      <c r="Q6266" s="8">
        <f>(1148193*100)/12288027</f>
        <v>9.3439980234418432</v>
      </c>
    </row>
    <row r="6267" spans="1:17" x14ac:dyDescent="0.2">
      <c r="A6267">
        <v>2018</v>
      </c>
      <c r="B6267" t="s">
        <v>2585</v>
      </c>
      <c r="C6267" t="s">
        <v>2283</v>
      </c>
      <c r="D6267" t="s">
        <v>2586</v>
      </c>
      <c r="E6267">
        <v>3</v>
      </c>
      <c r="F6267" t="s">
        <v>2284</v>
      </c>
      <c r="G6267" t="s">
        <v>230</v>
      </c>
      <c r="H6267" t="s">
        <v>255</v>
      </c>
      <c r="I6267" t="s">
        <v>22</v>
      </c>
      <c r="J6267" t="s">
        <v>66</v>
      </c>
      <c r="K6267" t="s">
        <v>2285</v>
      </c>
      <c r="L6267" t="s">
        <v>25</v>
      </c>
      <c r="M6267" s="8">
        <v>3.1943333329999999</v>
      </c>
      <c r="N6267">
        <v>6.2949999999999999</v>
      </c>
      <c r="O6267" s="8">
        <v>6.2949999999999999</v>
      </c>
      <c r="P6267" s="8">
        <f>EXP(-1.363+3.366*LOG(O6267,10))</f>
        <v>3.7675301047795871</v>
      </c>
      <c r="Q6267" s="8">
        <f>(1148193*100)/12288027</f>
        <v>9.3439980234418432</v>
      </c>
    </row>
    <row r="6268" spans="1:17" x14ac:dyDescent="0.2">
      <c r="A6268">
        <v>2017</v>
      </c>
      <c r="B6268" t="s">
        <v>2345</v>
      </c>
      <c r="C6268" t="s">
        <v>52</v>
      </c>
      <c r="D6268" t="s">
        <v>2346</v>
      </c>
      <c r="E6268">
        <v>4</v>
      </c>
      <c r="F6268" t="s">
        <v>2284</v>
      </c>
      <c r="G6268" t="s">
        <v>230</v>
      </c>
      <c r="H6268" t="s">
        <v>255</v>
      </c>
      <c r="I6268" t="s">
        <v>22</v>
      </c>
      <c r="J6268" t="s">
        <v>42</v>
      </c>
      <c r="K6268" t="s">
        <v>2285</v>
      </c>
      <c r="L6268" t="s">
        <v>25</v>
      </c>
      <c r="M6268" s="8">
        <v>3.1943333329999999</v>
      </c>
      <c r="N6268">
        <v>6.1909999999999998</v>
      </c>
      <c r="O6268" s="8">
        <v>6.1909999999999998</v>
      </c>
      <c r="P6268" s="8">
        <f>EXP(-1.363+3.366*LOG(O6268,10))</f>
        <v>3.6768884561768953</v>
      </c>
      <c r="Q6268" s="8">
        <f>(1626350*100)/1973941</f>
        <v>82.391013713175823</v>
      </c>
    </row>
    <row r="6269" spans="1:17" x14ac:dyDescent="0.2">
      <c r="A6269">
        <v>2017</v>
      </c>
      <c r="B6269" t="s">
        <v>2324</v>
      </c>
      <c r="C6269" t="s">
        <v>89</v>
      </c>
      <c r="D6269" t="s">
        <v>2321</v>
      </c>
      <c r="E6269">
        <v>3</v>
      </c>
      <c r="F6269" t="s">
        <v>2284</v>
      </c>
      <c r="G6269" t="s">
        <v>230</v>
      </c>
      <c r="H6269" t="s">
        <v>235</v>
      </c>
      <c r="I6269" t="s">
        <v>22</v>
      </c>
      <c r="J6269" t="s">
        <v>66</v>
      </c>
      <c r="K6269" t="s">
        <v>2285</v>
      </c>
      <c r="L6269" t="s">
        <v>25</v>
      </c>
      <c r="M6269" s="8">
        <v>3.4609999999999999</v>
      </c>
      <c r="N6269">
        <v>5.6779999999999999</v>
      </c>
      <c r="O6269" s="8">
        <v>5.6779999999999999</v>
      </c>
      <c r="P6269" s="8">
        <f>EXP(-1.363+3.366*LOG(O6269,10))</f>
        <v>3.2401566475572121</v>
      </c>
      <c r="Q6269" s="8">
        <f>(61997.93*100)/7298102</f>
        <v>0.84950758430068529</v>
      </c>
    </row>
    <row r="6270" spans="1:17" x14ac:dyDescent="0.2">
      <c r="A6270">
        <v>2016</v>
      </c>
      <c r="B6270" t="s">
        <v>2221</v>
      </c>
      <c r="C6270" t="s">
        <v>1624</v>
      </c>
      <c r="D6270" t="s">
        <v>2213</v>
      </c>
      <c r="E6270">
        <v>6</v>
      </c>
      <c r="F6270" t="s">
        <v>2098</v>
      </c>
      <c r="G6270" t="s">
        <v>230</v>
      </c>
      <c r="H6270" t="s">
        <v>231</v>
      </c>
      <c r="I6270" t="s">
        <v>22</v>
      </c>
      <c r="J6270" t="s">
        <v>42</v>
      </c>
      <c r="K6270" t="s">
        <v>1543</v>
      </c>
      <c r="L6270" t="s">
        <v>25</v>
      </c>
      <c r="M6270" s="8" t="s">
        <v>26</v>
      </c>
      <c r="N6270">
        <v>5.3010000000000002</v>
      </c>
      <c r="O6270" s="8">
        <v>5.3010000000000002</v>
      </c>
      <c r="P6270" s="8">
        <f>EXP(-1.363+3.366*LOG(O6270,10))</f>
        <v>2.9305448724285785</v>
      </c>
      <c r="Q6270" s="8">
        <f>(1599772*100)/1881247</f>
        <v>85.037849894245682</v>
      </c>
    </row>
    <row r="6271" spans="1:17" x14ac:dyDescent="0.2">
      <c r="A6271">
        <v>2016</v>
      </c>
      <c r="B6271" t="s">
        <v>2181</v>
      </c>
      <c r="C6271" t="s">
        <v>1624</v>
      </c>
      <c r="D6271" t="s">
        <v>2175</v>
      </c>
      <c r="E6271">
        <v>6</v>
      </c>
      <c r="F6271" t="s">
        <v>2098</v>
      </c>
      <c r="G6271" t="s">
        <v>230</v>
      </c>
      <c r="H6271" t="s">
        <v>231</v>
      </c>
      <c r="I6271" t="s">
        <v>22</v>
      </c>
      <c r="J6271" t="s">
        <v>42</v>
      </c>
      <c r="K6271" t="s">
        <v>1543</v>
      </c>
      <c r="L6271" t="s">
        <v>25</v>
      </c>
      <c r="M6271" s="8" t="s">
        <v>26</v>
      </c>
      <c r="N6271">
        <v>5.0579999999999998</v>
      </c>
      <c r="O6271" s="8">
        <v>5.0579999999999998</v>
      </c>
      <c r="P6271" s="8">
        <f>EXP(-1.363+3.366*LOG(O6271,10))</f>
        <v>2.7362619167320545</v>
      </c>
      <c r="Q6271" s="8">
        <f>(1599772*100)/1881247</f>
        <v>85.037849894245682</v>
      </c>
    </row>
    <row r="6272" spans="1:17" x14ac:dyDescent="0.2">
      <c r="A6272">
        <v>2016</v>
      </c>
      <c r="B6272" t="s">
        <v>2222</v>
      </c>
      <c r="C6272" t="s">
        <v>1624</v>
      </c>
      <c r="D6272" t="s">
        <v>2213</v>
      </c>
      <c r="E6272">
        <v>6</v>
      </c>
      <c r="F6272" t="s">
        <v>2098</v>
      </c>
      <c r="G6272" t="s">
        <v>230</v>
      </c>
      <c r="H6272" t="s">
        <v>231</v>
      </c>
      <c r="I6272" t="s">
        <v>22</v>
      </c>
      <c r="J6272" t="s">
        <v>42</v>
      </c>
      <c r="K6272" t="s">
        <v>1543</v>
      </c>
      <c r="L6272" t="s">
        <v>25</v>
      </c>
      <c r="M6272" s="8" t="s">
        <v>26</v>
      </c>
      <c r="N6272">
        <v>4.8360000000000003</v>
      </c>
      <c r="O6272" s="8">
        <v>4.8360000000000003</v>
      </c>
      <c r="P6272" s="8">
        <f>EXP(-1.363+3.366*LOG(O6272,10))</f>
        <v>2.5624936323049665</v>
      </c>
      <c r="Q6272" s="8">
        <f>(1599772*100)/1881247</f>
        <v>85.037849894245682</v>
      </c>
    </row>
    <row r="6273" spans="1:17" x14ac:dyDescent="0.2">
      <c r="A6273">
        <v>2017</v>
      </c>
      <c r="B6273" t="s">
        <v>2389</v>
      </c>
      <c r="C6273" t="s">
        <v>52</v>
      </c>
      <c r="D6273" t="s">
        <v>2390</v>
      </c>
      <c r="E6273">
        <v>4</v>
      </c>
      <c r="F6273" t="s">
        <v>2284</v>
      </c>
      <c r="G6273" t="s">
        <v>230</v>
      </c>
      <c r="H6273" t="s">
        <v>268</v>
      </c>
      <c r="I6273" t="s">
        <v>22</v>
      </c>
      <c r="J6273" t="s">
        <v>42</v>
      </c>
      <c r="K6273" t="s">
        <v>2285</v>
      </c>
      <c r="L6273" t="s">
        <v>25</v>
      </c>
      <c r="M6273" s="8">
        <v>3.5356666670000001</v>
      </c>
      <c r="N6273">
        <v>4.7930000000000001</v>
      </c>
      <c r="O6273" s="8">
        <v>4.7930000000000001</v>
      </c>
      <c r="P6273" s="8">
        <f>EXP(-1.363+3.366*LOG(O6273,10))</f>
        <v>2.5292545270643525</v>
      </c>
      <c r="Q6273" s="8">
        <f>(1626350*100)/1973941</f>
        <v>82.391013713175823</v>
      </c>
    </row>
    <row r="6274" spans="1:17" x14ac:dyDescent="0.2">
      <c r="A6274">
        <v>2017</v>
      </c>
      <c r="B6274" t="s">
        <v>2406</v>
      </c>
      <c r="C6274" t="s">
        <v>52</v>
      </c>
      <c r="D6274" t="s">
        <v>2405</v>
      </c>
      <c r="E6274">
        <v>5</v>
      </c>
      <c r="F6274" t="s">
        <v>2284</v>
      </c>
      <c r="G6274" t="s">
        <v>230</v>
      </c>
      <c r="H6274" t="s">
        <v>268</v>
      </c>
      <c r="I6274" t="s">
        <v>22</v>
      </c>
      <c r="J6274" t="s">
        <v>42</v>
      </c>
      <c r="K6274" t="s">
        <v>2285</v>
      </c>
      <c r="L6274" t="s">
        <v>25</v>
      </c>
      <c r="M6274" s="8">
        <v>3.5356666670000001</v>
      </c>
      <c r="N6274">
        <v>4.5709999999999997</v>
      </c>
      <c r="O6274" s="8">
        <v>4.5709999999999997</v>
      </c>
      <c r="P6274" s="8">
        <f>EXP(-1.363+3.366*LOG(O6274,10))</f>
        <v>2.3598493231110629</v>
      </c>
      <c r="Q6274" s="8">
        <f>(1626350*100)/1973941</f>
        <v>82.391013713175823</v>
      </c>
    </row>
    <row r="6275" spans="1:17" x14ac:dyDescent="0.2">
      <c r="A6275">
        <v>2018</v>
      </c>
      <c r="B6275" t="s">
        <v>2630</v>
      </c>
      <c r="C6275" t="s">
        <v>1635</v>
      </c>
      <c r="D6275" t="s">
        <v>2626</v>
      </c>
      <c r="E6275">
        <v>4</v>
      </c>
      <c r="F6275" t="s">
        <v>2284</v>
      </c>
      <c r="G6275" t="s">
        <v>230</v>
      </c>
      <c r="H6275" t="s">
        <v>268</v>
      </c>
      <c r="I6275" t="s">
        <v>22</v>
      </c>
      <c r="J6275" t="s">
        <v>42</v>
      </c>
      <c r="K6275" t="s">
        <v>2285</v>
      </c>
      <c r="L6275" t="s">
        <v>25</v>
      </c>
      <c r="M6275" s="8">
        <v>3.5356666670000001</v>
      </c>
      <c r="N6275">
        <v>4.1109999999999998</v>
      </c>
      <c r="O6275" s="8">
        <v>4.1109999999999998</v>
      </c>
      <c r="P6275" s="8">
        <f>EXP(-1.363+3.366*LOG(O6275,10))</f>
        <v>2.0209085890465373</v>
      </c>
      <c r="Q6275" s="8">
        <f>(3602085*100)/4019599</f>
        <v>89.613043490159086</v>
      </c>
    </row>
    <row r="6276" spans="1:17" x14ac:dyDescent="0.2">
      <c r="A6276">
        <v>2018</v>
      </c>
      <c r="B6276" t="s">
        <v>2764</v>
      </c>
      <c r="C6276" t="s">
        <v>1635</v>
      </c>
      <c r="D6276" t="s">
        <v>2763</v>
      </c>
      <c r="E6276">
        <v>6</v>
      </c>
      <c r="F6276" t="s">
        <v>2284</v>
      </c>
      <c r="G6276" t="s">
        <v>230</v>
      </c>
      <c r="H6276" t="s">
        <v>268</v>
      </c>
      <c r="I6276" t="s">
        <v>22</v>
      </c>
      <c r="J6276" t="s">
        <v>42</v>
      </c>
      <c r="K6276" t="s">
        <v>2285</v>
      </c>
      <c r="L6276" t="s">
        <v>25</v>
      </c>
      <c r="M6276" s="8">
        <v>3.5356666670000001</v>
      </c>
      <c r="N6276">
        <v>4.0289999999999999</v>
      </c>
      <c r="O6276" s="8">
        <v>4.0289999999999999</v>
      </c>
      <c r="P6276" s="8">
        <f>EXP(-1.363+3.366*LOG(O6276,10))</f>
        <v>1.9622543719066878</v>
      </c>
      <c r="Q6276" s="8">
        <f>(3602085*100)/4019599</f>
        <v>89.613043490159086</v>
      </c>
    </row>
    <row r="6277" spans="1:17" x14ac:dyDescent="0.2">
      <c r="A6277">
        <v>2017</v>
      </c>
      <c r="B6277" t="s">
        <v>2366</v>
      </c>
      <c r="C6277" t="s">
        <v>89</v>
      </c>
      <c r="D6277" t="s">
        <v>2355</v>
      </c>
      <c r="E6277">
        <v>4</v>
      </c>
      <c r="F6277" t="s">
        <v>2284</v>
      </c>
      <c r="G6277" t="s">
        <v>230</v>
      </c>
      <c r="H6277" t="s">
        <v>268</v>
      </c>
      <c r="I6277" t="s">
        <v>22</v>
      </c>
      <c r="J6277" t="s">
        <v>66</v>
      </c>
      <c r="K6277" t="s">
        <v>2285</v>
      </c>
      <c r="L6277" t="s">
        <v>25</v>
      </c>
      <c r="M6277" s="8">
        <v>3.5356666670000001</v>
      </c>
      <c r="N6277">
        <v>3.9980000000000002</v>
      </c>
      <c r="O6277" s="8">
        <v>3.9980000000000002</v>
      </c>
      <c r="P6277" s="8">
        <f>EXP(-1.363+3.366*LOG(O6277,10))</f>
        <v>1.9402228360196623</v>
      </c>
      <c r="Q6277" s="8">
        <f>(61997.93*100)/7298102</f>
        <v>0.84950758430068529</v>
      </c>
    </row>
    <row r="6278" spans="1:17" x14ac:dyDescent="0.2">
      <c r="A6278">
        <v>2017</v>
      </c>
      <c r="B6278" t="s">
        <v>2454</v>
      </c>
      <c r="C6278" t="s">
        <v>50</v>
      </c>
      <c r="D6278" t="s">
        <v>2455</v>
      </c>
      <c r="E6278">
        <v>5</v>
      </c>
      <c r="F6278" t="s">
        <v>2284</v>
      </c>
      <c r="G6278" t="s">
        <v>230</v>
      </c>
      <c r="H6278" t="s">
        <v>259</v>
      </c>
      <c r="I6278" t="s">
        <v>22</v>
      </c>
      <c r="J6278" t="s">
        <v>42</v>
      </c>
      <c r="K6278" t="s">
        <v>2285</v>
      </c>
      <c r="L6278" t="s">
        <v>25</v>
      </c>
      <c r="M6278" s="8">
        <v>4.2283333330000001</v>
      </c>
      <c r="N6278">
        <v>3.972</v>
      </c>
      <c r="O6278" s="8">
        <v>3.972</v>
      </c>
      <c r="P6278" s="8">
        <f>EXP(-1.363+3.366*LOG(O6278,10))</f>
        <v>1.9218054855636615</v>
      </c>
      <c r="Q6278" s="8">
        <f>(4488342*100)/4914798</f>
        <v>91.323020803703429</v>
      </c>
    </row>
    <row r="6279" spans="1:17" x14ac:dyDescent="0.2">
      <c r="A6279">
        <v>2018</v>
      </c>
      <c r="B6279" t="s">
        <v>2929</v>
      </c>
      <c r="C6279" t="s">
        <v>50</v>
      </c>
      <c r="D6279" t="s">
        <v>2927</v>
      </c>
      <c r="E6279">
        <v>9</v>
      </c>
      <c r="F6279" t="s">
        <v>2284</v>
      </c>
      <c r="G6279" t="s">
        <v>230</v>
      </c>
      <c r="H6279" t="s">
        <v>268</v>
      </c>
      <c r="I6279" t="s">
        <v>22</v>
      </c>
      <c r="J6279" t="s">
        <v>42</v>
      </c>
      <c r="K6279" t="s">
        <v>2285</v>
      </c>
      <c r="L6279" t="s">
        <v>25</v>
      </c>
      <c r="M6279" s="8">
        <v>3.5356666670000001</v>
      </c>
      <c r="N6279">
        <v>3.9630000000000001</v>
      </c>
      <c r="O6279" s="8">
        <v>3.9630000000000001</v>
      </c>
      <c r="P6279" s="8">
        <f>EXP(-1.363+3.366*LOG(O6279,10))</f>
        <v>1.9154431915531416</v>
      </c>
      <c r="Q6279" s="8">
        <f>(4488342*100)/4914798</f>
        <v>91.323020803703429</v>
      </c>
    </row>
    <row r="6280" spans="1:17" x14ac:dyDescent="0.2">
      <c r="A6280">
        <v>2018</v>
      </c>
      <c r="B6280" t="s">
        <v>2760</v>
      </c>
      <c r="C6280" t="s">
        <v>1635</v>
      </c>
      <c r="D6280" t="s">
        <v>2761</v>
      </c>
      <c r="E6280">
        <v>6</v>
      </c>
      <c r="F6280" t="s">
        <v>2284</v>
      </c>
      <c r="G6280" t="s">
        <v>1520</v>
      </c>
      <c r="H6280" t="s">
        <v>1528</v>
      </c>
      <c r="I6280" t="s">
        <v>22</v>
      </c>
      <c r="J6280" t="s">
        <v>42</v>
      </c>
      <c r="K6280" t="s">
        <v>2285</v>
      </c>
      <c r="L6280" t="s">
        <v>25</v>
      </c>
      <c r="M6280" s="8">
        <v>3.624333333</v>
      </c>
      <c r="N6280">
        <v>3.9460000000000002</v>
      </c>
      <c r="O6280" s="8">
        <v>3.9460000000000002</v>
      </c>
      <c r="P6280" s="8">
        <f>EXP(-1.363+3.366*LOG(O6280,10))</f>
        <v>1.9034437286575965</v>
      </c>
      <c r="Q6280" s="8">
        <f>(3602085*100)/4019599</f>
        <v>89.613043490159086</v>
      </c>
    </row>
    <row r="6281" spans="1:17" x14ac:dyDescent="0.2">
      <c r="A6281">
        <v>2018</v>
      </c>
      <c r="B6281" t="s">
        <v>2704</v>
      </c>
      <c r="C6281" t="s">
        <v>50</v>
      </c>
      <c r="D6281" t="s">
        <v>2703</v>
      </c>
      <c r="E6281">
        <v>5</v>
      </c>
      <c r="F6281" t="s">
        <v>2284</v>
      </c>
      <c r="G6281" t="s">
        <v>230</v>
      </c>
      <c r="H6281" t="s">
        <v>268</v>
      </c>
      <c r="I6281" t="s">
        <v>22</v>
      </c>
      <c r="J6281" t="s">
        <v>42</v>
      </c>
      <c r="K6281" t="s">
        <v>2285</v>
      </c>
      <c r="L6281" t="s">
        <v>25</v>
      </c>
      <c r="M6281" s="8">
        <v>3.5356666670000001</v>
      </c>
      <c r="N6281">
        <v>3.9409999999999998</v>
      </c>
      <c r="O6281" s="8">
        <v>3.9409999999999998</v>
      </c>
      <c r="P6281" s="8">
        <f>EXP(-1.363+3.366*LOG(O6281,10))</f>
        <v>1.8999190115380633</v>
      </c>
      <c r="Q6281" s="8">
        <f>(4488342*100)/4914798</f>
        <v>91.323020803703429</v>
      </c>
    </row>
    <row r="6282" spans="1:17" x14ac:dyDescent="0.2">
      <c r="A6282">
        <v>2018</v>
      </c>
      <c r="B6282" t="s">
        <v>2667</v>
      </c>
      <c r="C6282" t="s">
        <v>2283</v>
      </c>
      <c r="D6282" t="s">
        <v>2665</v>
      </c>
      <c r="E6282">
        <v>5</v>
      </c>
      <c r="F6282" t="s">
        <v>2284</v>
      </c>
      <c r="G6282" t="s">
        <v>230</v>
      </c>
      <c r="H6282" t="s">
        <v>235</v>
      </c>
      <c r="I6282" t="s">
        <v>22</v>
      </c>
      <c r="J6282" t="s">
        <v>66</v>
      </c>
      <c r="K6282" t="s">
        <v>2285</v>
      </c>
      <c r="L6282" t="s">
        <v>25</v>
      </c>
      <c r="M6282" s="8">
        <v>3.4609999999999999</v>
      </c>
      <c r="N6282">
        <v>3.9359999999999999</v>
      </c>
      <c r="O6282" s="8">
        <v>3.9359999999999999</v>
      </c>
      <c r="P6282" s="8">
        <f>EXP(-1.363+3.366*LOG(O6282,10))</f>
        <v>1.896396359074775</v>
      </c>
      <c r="Q6282" s="8">
        <f>(1148193*100)/12288027</f>
        <v>9.3439980234418432</v>
      </c>
    </row>
    <row r="6283" spans="1:17" x14ac:dyDescent="0.2">
      <c r="A6283">
        <v>2018</v>
      </c>
      <c r="B6283" t="s">
        <v>2629</v>
      </c>
      <c r="C6283" t="s">
        <v>50</v>
      </c>
      <c r="D6283" t="s">
        <v>2626</v>
      </c>
      <c r="E6283">
        <v>4</v>
      </c>
      <c r="F6283" t="s">
        <v>2284</v>
      </c>
      <c r="G6283" t="s">
        <v>230</v>
      </c>
      <c r="H6283" t="s">
        <v>268</v>
      </c>
      <c r="I6283" t="s">
        <v>22</v>
      </c>
      <c r="J6283" t="s">
        <v>42</v>
      </c>
      <c r="K6283" t="s">
        <v>2285</v>
      </c>
      <c r="L6283" t="s">
        <v>25</v>
      </c>
      <c r="M6283" s="8">
        <v>3.5356666670000001</v>
      </c>
      <c r="N6283">
        <v>3.931</v>
      </c>
      <c r="O6283" s="8">
        <v>3.931</v>
      </c>
      <c r="P6283" s="8">
        <f>EXP(-1.363+3.366*LOG(O6283,10))</f>
        <v>1.8928757726788072</v>
      </c>
      <c r="Q6283" s="8">
        <f>(4488342*100)/4914798</f>
        <v>91.323020803703429</v>
      </c>
    </row>
    <row r="6284" spans="1:17" x14ac:dyDescent="0.2">
      <c r="A6284">
        <v>2018</v>
      </c>
      <c r="B6284" t="s">
        <v>2837</v>
      </c>
      <c r="C6284" t="s">
        <v>50</v>
      </c>
      <c r="D6284" t="s">
        <v>2838</v>
      </c>
      <c r="E6284">
        <v>8</v>
      </c>
      <c r="F6284" t="s">
        <v>2284</v>
      </c>
      <c r="G6284" t="s">
        <v>230</v>
      </c>
      <c r="H6284" t="s">
        <v>255</v>
      </c>
      <c r="I6284" t="s">
        <v>22</v>
      </c>
      <c r="J6284" t="s">
        <v>42</v>
      </c>
      <c r="K6284" t="s">
        <v>2285</v>
      </c>
      <c r="L6284" t="s">
        <v>25</v>
      </c>
      <c r="M6284" s="8">
        <v>3.1943333329999999</v>
      </c>
      <c r="N6284">
        <v>3.931</v>
      </c>
      <c r="O6284" s="8">
        <v>3.931</v>
      </c>
      <c r="P6284" s="8">
        <f>EXP(-1.363+3.366*LOG(O6284,10))</f>
        <v>1.8928757726788072</v>
      </c>
      <c r="Q6284" s="8">
        <f>(4488342*100)/4914798</f>
        <v>91.323020803703429</v>
      </c>
    </row>
    <row r="6285" spans="1:17" x14ac:dyDescent="0.2">
      <c r="A6285">
        <v>2018</v>
      </c>
      <c r="B6285" t="s">
        <v>2696</v>
      </c>
      <c r="C6285" t="s">
        <v>50</v>
      </c>
      <c r="D6285" t="s">
        <v>2694</v>
      </c>
      <c r="E6285">
        <v>5</v>
      </c>
      <c r="F6285" t="s">
        <v>2284</v>
      </c>
      <c r="G6285" t="s">
        <v>230</v>
      </c>
      <c r="H6285" t="s">
        <v>268</v>
      </c>
      <c r="I6285" t="s">
        <v>22</v>
      </c>
      <c r="J6285" t="s">
        <v>42</v>
      </c>
      <c r="K6285" t="s">
        <v>2285</v>
      </c>
      <c r="L6285" t="s">
        <v>25</v>
      </c>
      <c r="M6285" s="8">
        <v>3.5356666670000001</v>
      </c>
      <c r="N6285">
        <v>3.9260000000000002</v>
      </c>
      <c r="O6285" s="8">
        <v>3.9260000000000002</v>
      </c>
      <c r="P6285" s="8">
        <f>EXP(-1.363+3.366*LOG(O6285,10))</f>
        <v>1.8893572537639982</v>
      </c>
      <c r="Q6285" s="8">
        <f>(4488342*100)/4914798</f>
        <v>91.323020803703429</v>
      </c>
    </row>
    <row r="6286" spans="1:17" x14ac:dyDescent="0.2">
      <c r="A6286">
        <v>2017</v>
      </c>
      <c r="B6286" t="s">
        <v>2303</v>
      </c>
      <c r="C6286" t="s">
        <v>1635</v>
      </c>
      <c r="D6286" t="s">
        <v>2297</v>
      </c>
      <c r="E6286">
        <v>3</v>
      </c>
      <c r="F6286" t="s">
        <v>2284</v>
      </c>
      <c r="G6286" t="s">
        <v>230</v>
      </c>
      <c r="H6286" t="s">
        <v>268</v>
      </c>
      <c r="I6286" t="s">
        <v>22</v>
      </c>
      <c r="J6286" t="s">
        <v>42</v>
      </c>
      <c r="K6286" t="s">
        <v>2285</v>
      </c>
      <c r="L6286" t="s">
        <v>25</v>
      </c>
      <c r="M6286" s="8">
        <v>3.5356666670000001</v>
      </c>
      <c r="N6286">
        <v>3.9209999999999998</v>
      </c>
      <c r="O6286" s="8">
        <v>3.9209999999999998</v>
      </c>
      <c r="P6286" s="8">
        <f>EXP(-1.363+3.366*LOG(O6286,10))</f>
        <v>1.8858408037469527</v>
      </c>
      <c r="Q6286" s="8">
        <f>(3602085*100)/4019599</f>
        <v>89.613043490159086</v>
      </c>
    </row>
    <row r="6287" spans="1:17" x14ac:dyDescent="0.2">
      <c r="A6287">
        <v>2018</v>
      </c>
      <c r="B6287" t="s">
        <v>2780</v>
      </c>
      <c r="C6287" t="s">
        <v>50</v>
      </c>
      <c r="D6287" t="s">
        <v>2778</v>
      </c>
      <c r="E6287">
        <v>6</v>
      </c>
      <c r="F6287" t="s">
        <v>2284</v>
      </c>
      <c r="G6287" t="s">
        <v>230</v>
      </c>
      <c r="H6287" t="s">
        <v>268</v>
      </c>
      <c r="I6287" t="s">
        <v>22</v>
      </c>
      <c r="J6287" t="s">
        <v>42</v>
      </c>
      <c r="K6287" t="s">
        <v>2285</v>
      </c>
      <c r="L6287" t="s">
        <v>25</v>
      </c>
      <c r="M6287" s="8">
        <v>3.5356666670000001</v>
      </c>
      <c r="N6287">
        <v>3.8679999999999999</v>
      </c>
      <c r="O6287" s="8">
        <v>3.8679999999999999</v>
      </c>
      <c r="P6287" s="8">
        <f>EXP(-1.363+3.366*LOG(O6287,10))</f>
        <v>1.8486939976451164</v>
      </c>
      <c r="Q6287" s="8">
        <f>(4488342*100)/4914798</f>
        <v>91.323020803703429</v>
      </c>
    </row>
    <row r="6288" spans="1:17" x14ac:dyDescent="0.2">
      <c r="A6288">
        <v>2018</v>
      </c>
      <c r="B6288" t="s">
        <v>2828</v>
      </c>
      <c r="C6288" t="s">
        <v>1635</v>
      </c>
      <c r="D6288" t="s">
        <v>2829</v>
      </c>
      <c r="E6288">
        <v>8</v>
      </c>
      <c r="F6288" t="s">
        <v>2284</v>
      </c>
      <c r="G6288" t="s">
        <v>230</v>
      </c>
      <c r="H6288" t="s">
        <v>268</v>
      </c>
      <c r="I6288" t="s">
        <v>22</v>
      </c>
      <c r="J6288" t="s">
        <v>42</v>
      </c>
      <c r="K6288" t="s">
        <v>2285</v>
      </c>
      <c r="L6288" t="s">
        <v>25</v>
      </c>
      <c r="M6288" s="8">
        <v>3.5356666670000001</v>
      </c>
      <c r="N6288">
        <v>3.8660000000000001</v>
      </c>
      <c r="O6288" s="8">
        <v>3.8660000000000001</v>
      </c>
      <c r="P6288" s="8">
        <f>EXP(-1.363+3.366*LOG(O6288,10))</f>
        <v>1.8472968087598918</v>
      </c>
      <c r="Q6288" s="8">
        <f>(3602085*100)/4019599</f>
        <v>89.613043490159086</v>
      </c>
    </row>
    <row r="6289" spans="1:17" x14ac:dyDescent="0.2">
      <c r="A6289">
        <v>2018</v>
      </c>
      <c r="B6289" t="s">
        <v>2758</v>
      </c>
      <c r="C6289" t="s">
        <v>2287</v>
      </c>
      <c r="D6289" t="s">
        <v>2759</v>
      </c>
      <c r="E6289">
        <v>6</v>
      </c>
      <c r="F6289" t="s">
        <v>2284</v>
      </c>
      <c r="G6289" t="s">
        <v>230</v>
      </c>
      <c r="H6289" t="s">
        <v>268</v>
      </c>
      <c r="I6289" t="s">
        <v>22</v>
      </c>
      <c r="J6289" t="s">
        <v>66</v>
      </c>
      <c r="K6289" t="s">
        <v>2285</v>
      </c>
      <c r="L6289" t="s">
        <v>25</v>
      </c>
      <c r="M6289" s="8">
        <v>3.5356666670000001</v>
      </c>
      <c r="N6289">
        <v>3.7570000000000001</v>
      </c>
      <c r="O6289" s="8">
        <v>3.7570000000000001</v>
      </c>
      <c r="P6289" s="8">
        <f>EXP(-1.363+3.366*LOG(O6289,10))</f>
        <v>1.7716573467634753</v>
      </c>
      <c r="Q6289" s="8">
        <f>(859450.9*100)/14749408</f>
        <v>5.8270196336015658</v>
      </c>
    </row>
    <row r="6290" spans="1:17" x14ac:dyDescent="0.2">
      <c r="A6290">
        <v>2018</v>
      </c>
      <c r="B6290" t="s">
        <v>2830</v>
      </c>
      <c r="C6290" t="s">
        <v>1635</v>
      </c>
      <c r="D6290" t="s">
        <v>2829</v>
      </c>
      <c r="E6290">
        <v>8</v>
      </c>
      <c r="F6290" t="s">
        <v>2284</v>
      </c>
      <c r="G6290" t="s">
        <v>230</v>
      </c>
      <c r="H6290" t="s">
        <v>268</v>
      </c>
      <c r="I6290" t="s">
        <v>22</v>
      </c>
      <c r="J6290" t="s">
        <v>42</v>
      </c>
      <c r="K6290" t="s">
        <v>2285</v>
      </c>
      <c r="L6290" t="s">
        <v>25</v>
      </c>
      <c r="M6290" s="8">
        <v>3.5356666670000001</v>
      </c>
      <c r="N6290">
        <v>3.7240000000000002</v>
      </c>
      <c r="O6290" s="8">
        <v>3.7240000000000002</v>
      </c>
      <c r="P6290" s="8">
        <f>EXP(-1.363+3.366*LOG(O6290,10))</f>
        <v>1.7489551578880478</v>
      </c>
      <c r="Q6290" s="8">
        <f>(3602085*100)/4019599</f>
        <v>89.613043490159086</v>
      </c>
    </row>
    <row r="6291" spans="1:17" x14ac:dyDescent="0.2">
      <c r="A6291">
        <v>2018</v>
      </c>
      <c r="B6291" t="s">
        <v>2818</v>
      </c>
      <c r="C6291" t="s">
        <v>50</v>
      </c>
      <c r="D6291" t="s">
        <v>2809</v>
      </c>
      <c r="E6291">
        <v>8</v>
      </c>
      <c r="F6291" t="s">
        <v>2284</v>
      </c>
      <c r="G6291" t="s">
        <v>230</v>
      </c>
      <c r="H6291" t="s">
        <v>268</v>
      </c>
      <c r="I6291" t="s">
        <v>22</v>
      </c>
      <c r="J6291" t="s">
        <v>42</v>
      </c>
      <c r="K6291" t="s">
        <v>2285</v>
      </c>
      <c r="L6291" t="s">
        <v>25</v>
      </c>
      <c r="M6291" s="8">
        <v>3.5356666670000001</v>
      </c>
      <c r="N6291">
        <v>3.71</v>
      </c>
      <c r="O6291" s="8">
        <v>3.71</v>
      </c>
      <c r="P6291" s="8">
        <f>EXP(-1.363+3.366*LOG(O6291,10))</f>
        <v>1.7393519125004189</v>
      </c>
      <c r="Q6291" s="8">
        <f>(4488342*100)/4914798</f>
        <v>91.323020803703429</v>
      </c>
    </row>
    <row r="6292" spans="1:17" x14ac:dyDescent="0.2">
      <c r="A6292">
        <v>2018</v>
      </c>
      <c r="B6292" t="s">
        <v>2843</v>
      </c>
      <c r="C6292" t="s">
        <v>50</v>
      </c>
      <c r="D6292" t="s">
        <v>2838</v>
      </c>
      <c r="E6292">
        <v>8</v>
      </c>
      <c r="F6292" t="s">
        <v>2284</v>
      </c>
      <c r="G6292" t="s">
        <v>230</v>
      </c>
      <c r="H6292" t="s">
        <v>268</v>
      </c>
      <c r="I6292" t="s">
        <v>22</v>
      </c>
      <c r="J6292" t="s">
        <v>42</v>
      </c>
      <c r="K6292" t="s">
        <v>2285</v>
      </c>
      <c r="L6292" t="s">
        <v>25</v>
      </c>
      <c r="M6292" s="8">
        <v>3.5356666670000001</v>
      </c>
      <c r="N6292">
        <v>3.71</v>
      </c>
      <c r="O6292" s="8">
        <v>3.71</v>
      </c>
      <c r="P6292" s="8">
        <f>EXP(-1.363+3.366*LOG(O6292,10))</f>
        <v>1.7393519125004189</v>
      </c>
      <c r="Q6292" s="8">
        <f>(4488342*100)/4914798</f>
        <v>91.323020803703429</v>
      </c>
    </row>
    <row r="6293" spans="1:17" x14ac:dyDescent="0.2">
      <c r="A6293">
        <v>2018</v>
      </c>
      <c r="B6293" t="s">
        <v>2930</v>
      </c>
      <c r="C6293" t="s">
        <v>50</v>
      </c>
      <c r="D6293" t="s">
        <v>2927</v>
      </c>
      <c r="E6293">
        <v>9</v>
      </c>
      <c r="F6293" t="s">
        <v>2284</v>
      </c>
      <c r="G6293" t="s">
        <v>230</v>
      </c>
      <c r="H6293" t="s">
        <v>268</v>
      </c>
      <c r="I6293" t="s">
        <v>22</v>
      </c>
      <c r="J6293" t="s">
        <v>42</v>
      </c>
      <c r="K6293" t="s">
        <v>2285</v>
      </c>
      <c r="L6293" t="s">
        <v>25</v>
      </c>
      <c r="M6293" s="8">
        <v>3.5356666670000001</v>
      </c>
      <c r="N6293">
        <v>3.7069999999999999</v>
      </c>
      <c r="O6293" s="8">
        <v>3.7069999999999999</v>
      </c>
      <c r="P6293" s="8">
        <f>EXP(-1.363+3.366*LOG(O6293,10))</f>
        <v>1.7372962485788361</v>
      </c>
      <c r="Q6293" s="8">
        <f>(4488342*100)/4914798</f>
        <v>91.323020803703429</v>
      </c>
    </row>
    <row r="6294" spans="1:17" x14ac:dyDescent="0.2">
      <c r="A6294">
        <v>2017</v>
      </c>
      <c r="B6294" t="s">
        <v>2487</v>
      </c>
      <c r="C6294" t="s">
        <v>52</v>
      </c>
      <c r="D6294" t="s">
        <v>2485</v>
      </c>
      <c r="E6294">
        <v>5</v>
      </c>
      <c r="F6294" t="s">
        <v>2284</v>
      </c>
      <c r="G6294" t="s">
        <v>230</v>
      </c>
      <c r="H6294" t="s">
        <v>259</v>
      </c>
      <c r="I6294" t="s">
        <v>22</v>
      </c>
      <c r="J6294" t="s">
        <v>42</v>
      </c>
      <c r="K6294" t="s">
        <v>2285</v>
      </c>
      <c r="L6294" t="s">
        <v>25</v>
      </c>
      <c r="M6294" s="8">
        <v>4.2283333330000001</v>
      </c>
      <c r="N6294">
        <v>3.7050000000000001</v>
      </c>
      <c r="O6294" s="8">
        <v>3.7050000000000001</v>
      </c>
      <c r="P6294" s="8">
        <f>EXP(-1.363+3.366*LOG(O6294,10))</f>
        <v>1.7359262327042895</v>
      </c>
      <c r="Q6294" s="8">
        <f>(1626350*100)/1973941</f>
        <v>82.391013713175823</v>
      </c>
    </row>
    <row r="6295" spans="1:17" x14ac:dyDescent="0.2">
      <c r="A6295">
        <v>2018</v>
      </c>
      <c r="B6295" t="s">
        <v>2733</v>
      </c>
      <c r="C6295" t="s">
        <v>1635</v>
      </c>
      <c r="D6295" t="s">
        <v>2724</v>
      </c>
      <c r="E6295">
        <v>5</v>
      </c>
      <c r="F6295" t="s">
        <v>2284</v>
      </c>
      <c r="G6295" t="s">
        <v>1520</v>
      </c>
      <c r="H6295" t="s">
        <v>1528</v>
      </c>
      <c r="I6295" t="s">
        <v>22</v>
      </c>
      <c r="J6295" t="s">
        <v>42</v>
      </c>
      <c r="K6295" t="s">
        <v>2285</v>
      </c>
      <c r="L6295" t="s">
        <v>25</v>
      </c>
      <c r="M6295" s="8">
        <v>3.624333333</v>
      </c>
      <c r="N6295">
        <v>3.698</v>
      </c>
      <c r="O6295" s="8">
        <v>3.698</v>
      </c>
      <c r="P6295" s="8">
        <f>EXP(-1.363+3.366*LOG(O6295,10))</f>
        <v>1.7311338671669356</v>
      </c>
      <c r="Q6295" s="8">
        <f>(3602085*100)/4019599</f>
        <v>89.613043490159086</v>
      </c>
    </row>
    <row r="6296" spans="1:17" x14ac:dyDescent="0.2">
      <c r="A6296">
        <v>2017</v>
      </c>
      <c r="B6296" t="s">
        <v>2520</v>
      </c>
      <c r="C6296" t="s">
        <v>52</v>
      </c>
      <c r="D6296" t="s">
        <v>2518</v>
      </c>
      <c r="E6296">
        <v>6</v>
      </c>
      <c r="F6296" t="s">
        <v>2284</v>
      </c>
      <c r="G6296" t="s">
        <v>230</v>
      </c>
      <c r="H6296" t="s">
        <v>259</v>
      </c>
      <c r="I6296" t="s">
        <v>22</v>
      </c>
      <c r="J6296" t="s">
        <v>42</v>
      </c>
      <c r="K6296" t="s">
        <v>2285</v>
      </c>
      <c r="L6296" t="s">
        <v>25</v>
      </c>
      <c r="M6296" s="8">
        <v>4.2283333330000001</v>
      </c>
      <c r="N6296">
        <v>3.661</v>
      </c>
      <c r="O6296" s="8">
        <v>3.661</v>
      </c>
      <c r="P6296" s="8">
        <f>EXP(-1.363+3.366*LOG(O6296,10))</f>
        <v>1.7058724613854011</v>
      </c>
      <c r="Q6296" s="8">
        <f>(1626350*100)/1973941</f>
        <v>82.391013713175823</v>
      </c>
    </row>
    <row r="6297" spans="1:17" x14ac:dyDescent="0.2">
      <c r="A6297">
        <v>2017</v>
      </c>
      <c r="B6297" t="s">
        <v>2542</v>
      </c>
      <c r="C6297" t="s">
        <v>89</v>
      </c>
      <c r="D6297" t="s">
        <v>2543</v>
      </c>
      <c r="E6297">
        <v>6</v>
      </c>
      <c r="F6297" t="s">
        <v>2284</v>
      </c>
      <c r="G6297" t="s">
        <v>230</v>
      </c>
      <c r="H6297" t="s">
        <v>235</v>
      </c>
      <c r="I6297" t="s">
        <v>22</v>
      </c>
      <c r="J6297" t="s">
        <v>66</v>
      </c>
      <c r="K6297" t="s">
        <v>2285</v>
      </c>
      <c r="L6297" t="s">
        <v>25</v>
      </c>
      <c r="M6297" s="8">
        <v>3.4609999999999999</v>
      </c>
      <c r="N6297">
        <v>3.6579999999999999</v>
      </c>
      <c r="O6297" s="8">
        <v>3.6579999999999999</v>
      </c>
      <c r="P6297" s="8">
        <f>EXP(-1.363+3.366*LOG(O6297,10))</f>
        <v>1.7038293863939449</v>
      </c>
      <c r="Q6297" s="8">
        <f>(61997.93*100)/7298102</f>
        <v>0.84950758430068529</v>
      </c>
    </row>
    <row r="6298" spans="1:17" x14ac:dyDescent="0.2">
      <c r="A6298">
        <v>2018</v>
      </c>
      <c r="B6298" t="s">
        <v>2950</v>
      </c>
      <c r="C6298" t="s">
        <v>50</v>
      </c>
      <c r="D6298" t="s">
        <v>2946</v>
      </c>
      <c r="E6298">
        <v>9</v>
      </c>
      <c r="F6298" t="s">
        <v>2284</v>
      </c>
      <c r="G6298" t="s">
        <v>1520</v>
      </c>
      <c r="H6298" t="s">
        <v>1528</v>
      </c>
      <c r="I6298" t="s">
        <v>22</v>
      </c>
      <c r="J6298" t="s">
        <v>42</v>
      </c>
      <c r="K6298" t="s">
        <v>2285</v>
      </c>
      <c r="L6298" t="s">
        <v>25</v>
      </c>
      <c r="M6298" s="8">
        <v>3.624333333</v>
      </c>
      <c r="N6298">
        <v>3.645</v>
      </c>
      <c r="O6298" s="8">
        <v>3.645</v>
      </c>
      <c r="P6298" s="8">
        <f>EXP(-1.363+3.366*LOG(O6298,10))</f>
        <v>1.6949850062334901</v>
      </c>
      <c r="Q6298" s="8">
        <f>(4488342*100)/4914798</f>
        <v>91.323020803703429</v>
      </c>
    </row>
    <row r="6299" spans="1:17" x14ac:dyDescent="0.2">
      <c r="A6299">
        <v>2018</v>
      </c>
      <c r="B6299" t="s">
        <v>2785</v>
      </c>
      <c r="C6299" t="s">
        <v>50</v>
      </c>
      <c r="D6299" t="s">
        <v>2786</v>
      </c>
      <c r="E6299">
        <v>6</v>
      </c>
      <c r="F6299" t="s">
        <v>2284</v>
      </c>
      <c r="G6299" t="s">
        <v>230</v>
      </c>
      <c r="H6299" t="s">
        <v>268</v>
      </c>
      <c r="I6299" t="s">
        <v>22</v>
      </c>
      <c r="J6299" t="s">
        <v>42</v>
      </c>
      <c r="K6299" t="s">
        <v>2285</v>
      </c>
      <c r="L6299" t="s">
        <v>25</v>
      </c>
      <c r="M6299" s="8">
        <v>3.5356666670000001</v>
      </c>
      <c r="N6299">
        <v>3.6389999999999998</v>
      </c>
      <c r="O6299" s="8">
        <v>3.6389999999999998</v>
      </c>
      <c r="P6299" s="8">
        <f>EXP(-1.363+3.366*LOG(O6299,10))</f>
        <v>1.690907892363533</v>
      </c>
      <c r="Q6299" s="8">
        <f>(4488342*100)/4914798</f>
        <v>91.323020803703429</v>
      </c>
    </row>
    <row r="6300" spans="1:17" x14ac:dyDescent="0.2">
      <c r="A6300">
        <v>2018</v>
      </c>
      <c r="B6300" t="s">
        <v>2831</v>
      </c>
      <c r="C6300" t="s">
        <v>50</v>
      </c>
      <c r="D6300" t="s">
        <v>2829</v>
      </c>
      <c r="E6300">
        <v>8</v>
      </c>
      <c r="F6300" t="s">
        <v>2284</v>
      </c>
      <c r="G6300" t="s">
        <v>230</v>
      </c>
      <c r="H6300" t="s">
        <v>268</v>
      </c>
      <c r="I6300" t="s">
        <v>22</v>
      </c>
      <c r="J6300" t="s">
        <v>42</v>
      </c>
      <c r="K6300" t="s">
        <v>2285</v>
      </c>
      <c r="L6300" t="s">
        <v>25</v>
      </c>
      <c r="M6300" s="8">
        <v>3.5356666670000001</v>
      </c>
      <c r="N6300">
        <v>3.6360000000000001</v>
      </c>
      <c r="O6300" s="8">
        <v>3.6360000000000001</v>
      </c>
      <c r="P6300" s="8">
        <f>EXP(-1.363+3.366*LOG(O6300,10))</f>
        <v>1.6888704990478545</v>
      </c>
      <c r="Q6300" s="8">
        <f>(4488342*100)/4914798</f>
        <v>91.323020803703429</v>
      </c>
    </row>
    <row r="6301" spans="1:17" x14ac:dyDescent="0.2">
      <c r="A6301">
        <v>2018</v>
      </c>
      <c r="B6301" t="s">
        <v>2639</v>
      </c>
      <c r="C6301" t="s">
        <v>50</v>
      </c>
      <c r="D6301" t="s">
        <v>2638</v>
      </c>
      <c r="E6301">
        <v>4</v>
      </c>
      <c r="F6301" t="s">
        <v>2284</v>
      </c>
      <c r="G6301" t="s">
        <v>230</v>
      </c>
      <c r="H6301" t="s">
        <v>268</v>
      </c>
      <c r="I6301" t="s">
        <v>22</v>
      </c>
      <c r="J6301" t="s">
        <v>42</v>
      </c>
      <c r="K6301" t="s">
        <v>2285</v>
      </c>
      <c r="L6301" t="s">
        <v>25</v>
      </c>
      <c r="M6301" s="8">
        <v>3.5356666670000001</v>
      </c>
      <c r="N6301">
        <v>3.6280000000000001</v>
      </c>
      <c r="O6301" s="8">
        <v>3.6280000000000001</v>
      </c>
      <c r="P6301" s="8">
        <f>EXP(-1.363+3.366*LOG(O6301,10))</f>
        <v>1.6834412459244572</v>
      </c>
      <c r="Q6301" s="8">
        <f>(4488342*100)/4914798</f>
        <v>91.323020803703429</v>
      </c>
    </row>
    <row r="6302" spans="1:17" x14ac:dyDescent="0.2">
      <c r="A6302">
        <v>2018</v>
      </c>
      <c r="B6302" t="s">
        <v>2731</v>
      </c>
      <c r="C6302" t="s">
        <v>1635</v>
      </c>
      <c r="D6302" t="s">
        <v>2724</v>
      </c>
      <c r="E6302">
        <v>5</v>
      </c>
      <c r="F6302" t="s">
        <v>2284</v>
      </c>
      <c r="G6302" t="s">
        <v>1520</v>
      </c>
      <c r="H6302" t="s">
        <v>1528</v>
      </c>
      <c r="I6302" t="s">
        <v>22</v>
      </c>
      <c r="J6302" t="s">
        <v>42</v>
      </c>
      <c r="K6302" t="s">
        <v>2285</v>
      </c>
      <c r="L6302" t="s">
        <v>25</v>
      </c>
      <c r="M6302" s="8">
        <v>3.624333333</v>
      </c>
      <c r="N6302">
        <v>3.6219999999999999</v>
      </c>
      <c r="O6302" s="8">
        <v>3.6219999999999999</v>
      </c>
      <c r="P6302" s="8">
        <f>EXP(-1.363+3.366*LOG(O6302,10))</f>
        <v>1.6793729323118862</v>
      </c>
      <c r="Q6302" s="8">
        <f>(3602085*100)/4019599</f>
        <v>89.613043490159086</v>
      </c>
    </row>
    <row r="6303" spans="1:17" x14ac:dyDescent="0.2">
      <c r="A6303">
        <v>2018</v>
      </c>
      <c r="B6303" t="s">
        <v>2817</v>
      </c>
      <c r="C6303" t="s">
        <v>50</v>
      </c>
      <c r="D6303" t="s">
        <v>2809</v>
      </c>
      <c r="E6303">
        <v>8</v>
      </c>
      <c r="F6303" t="s">
        <v>2284</v>
      </c>
      <c r="G6303" t="s">
        <v>230</v>
      </c>
      <c r="H6303" t="s">
        <v>268</v>
      </c>
      <c r="I6303" t="s">
        <v>22</v>
      </c>
      <c r="J6303" t="s">
        <v>42</v>
      </c>
      <c r="K6303" t="s">
        <v>2285</v>
      </c>
      <c r="L6303" t="s">
        <v>25</v>
      </c>
      <c r="M6303" s="8">
        <v>3.5356666670000001</v>
      </c>
      <c r="N6303">
        <v>3.597</v>
      </c>
      <c r="O6303" s="8">
        <v>3.597</v>
      </c>
      <c r="P6303" s="8">
        <f>EXP(-1.363+3.366*LOG(O6303,10))</f>
        <v>1.6624551466031769</v>
      </c>
      <c r="Q6303" s="8">
        <f>(4488342*100)/4914798</f>
        <v>91.323020803703429</v>
      </c>
    </row>
    <row r="6304" spans="1:17" x14ac:dyDescent="0.2">
      <c r="A6304">
        <v>2018</v>
      </c>
      <c r="B6304" t="s">
        <v>2942</v>
      </c>
      <c r="C6304" t="s">
        <v>50</v>
      </c>
      <c r="D6304" t="s">
        <v>2927</v>
      </c>
      <c r="E6304">
        <v>9</v>
      </c>
      <c r="F6304" t="s">
        <v>2284</v>
      </c>
      <c r="G6304" t="s">
        <v>1520</v>
      </c>
      <c r="H6304" t="s">
        <v>1528</v>
      </c>
      <c r="I6304" t="s">
        <v>22</v>
      </c>
      <c r="J6304" t="s">
        <v>42</v>
      </c>
      <c r="K6304" t="s">
        <v>2285</v>
      </c>
      <c r="L6304" t="s">
        <v>25</v>
      </c>
      <c r="M6304" s="8">
        <v>3.624333333</v>
      </c>
      <c r="N6304">
        <v>3.5920000000000001</v>
      </c>
      <c r="O6304" s="8">
        <v>3.5920000000000001</v>
      </c>
      <c r="P6304" s="8">
        <f>EXP(-1.363+3.366*LOG(O6304,10))</f>
        <v>1.6590780890163837</v>
      </c>
      <c r="Q6304" s="8">
        <f>(4488342*100)/4914798</f>
        <v>91.323020803703429</v>
      </c>
    </row>
    <row r="6305" spans="1:17" x14ac:dyDescent="0.2">
      <c r="A6305">
        <v>2018</v>
      </c>
      <c r="B6305" t="s">
        <v>2844</v>
      </c>
      <c r="C6305" t="s">
        <v>50</v>
      </c>
      <c r="D6305" t="s">
        <v>2838</v>
      </c>
      <c r="E6305">
        <v>8</v>
      </c>
      <c r="F6305" t="s">
        <v>2284</v>
      </c>
      <c r="G6305" t="s">
        <v>230</v>
      </c>
      <c r="H6305" t="s">
        <v>268</v>
      </c>
      <c r="I6305" t="s">
        <v>22</v>
      </c>
      <c r="J6305" t="s">
        <v>42</v>
      </c>
      <c r="K6305" t="s">
        <v>2285</v>
      </c>
      <c r="L6305" t="s">
        <v>25</v>
      </c>
      <c r="M6305" s="8">
        <v>3.5356666670000001</v>
      </c>
      <c r="N6305">
        <v>3.5859999999999999</v>
      </c>
      <c r="O6305" s="8">
        <v>3.5859999999999999</v>
      </c>
      <c r="P6305" s="8">
        <f>EXP(-1.363+3.366*LOG(O6305,10))</f>
        <v>1.6550284848510393</v>
      </c>
      <c r="Q6305" s="8">
        <f>(4488342*100)/4914798</f>
        <v>91.323020803703429</v>
      </c>
    </row>
    <row r="6306" spans="1:17" x14ac:dyDescent="0.2">
      <c r="A6306">
        <v>2018</v>
      </c>
      <c r="B6306" t="s">
        <v>2734</v>
      </c>
      <c r="C6306" t="s">
        <v>1635</v>
      </c>
      <c r="D6306" t="s">
        <v>2724</v>
      </c>
      <c r="E6306">
        <v>5</v>
      </c>
      <c r="F6306" t="s">
        <v>2284</v>
      </c>
      <c r="G6306" t="s">
        <v>1520</v>
      </c>
      <c r="H6306" t="s">
        <v>1528</v>
      </c>
      <c r="I6306" t="s">
        <v>22</v>
      </c>
      <c r="J6306" t="s">
        <v>42</v>
      </c>
      <c r="K6306" t="s">
        <v>2285</v>
      </c>
      <c r="L6306" t="s">
        <v>25</v>
      </c>
      <c r="M6306" s="8">
        <v>3.624333333</v>
      </c>
      <c r="N6306">
        <v>3.5830000000000002</v>
      </c>
      <c r="O6306" s="8">
        <v>3.5830000000000002</v>
      </c>
      <c r="P6306" s="8">
        <f>EXP(-1.363+3.366*LOG(O6306,10))</f>
        <v>1.6530048556090737</v>
      </c>
      <c r="Q6306" s="8">
        <f>(3602085*100)/4019599</f>
        <v>89.613043490159086</v>
      </c>
    </row>
    <row r="6307" spans="1:17" x14ac:dyDescent="0.2">
      <c r="A6307">
        <v>2018</v>
      </c>
      <c r="B6307" t="s">
        <v>2821</v>
      </c>
      <c r="C6307" t="s">
        <v>50</v>
      </c>
      <c r="D6307" t="s">
        <v>2809</v>
      </c>
      <c r="E6307">
        <v>8</v>
      </c>
      <c r="F6307" t="s">
        <v>2284</v>
      </c>
      <c r="G6307" t="s">
        <v>230</v>
      </c>
      <c r="H6307" t="s">
        <v>268</v>
      </c>
      <c r="I6307" t="s">
        <v>22</v>
      </c>
      <c r="J6307" t="s">
        <v>42</v>
      </c>
      <c r="K6307" t="s">
        <v>2285</v>
      </c>
      <c r="L6307" t="s">
        <v>25</v>
      </c>
      <c r="M6307" s="8">
        <v>3.5356666670000001</v>
      </c>
      <c r="N6307">
        <v>3.5670000000000002</v>
      </c>
      <c r="O6307" s="8">
        <v>3.5670000000000002</v>
      </c>
      <c r="P6307" s="8">
        <f>EXP(-1.363+3.366*LOG(O6307,10))</f>
        <v>1.6422253881818469</v>
      </c>
      <c r="Q6307" s="8">
        <f>(4488342*100)/4914798</f>
        <v>91.323020803703429</v>
      </c>
    </row>
    <row r="6308" spans="1:17" x14ac:dyDescent="0.2">
      <c r="A6308">
        <v>2018</v>
      </c>
      <c r="B6308" t="s">
        <v>2915</v>
      </c>
      <c r="C6308" t="s">
        <v>1635</v>
      </c>
      <c r="D6308" t="s">
        <v>2916</v>
      </c>
      <c r="E6308">
        <v>9</v>
      </c>
      <c r="F6308" t="s">
        <v>2284</v>
      </c>
      <c r="G6308" t="s">
        <v>230</v>
      </c>
      <c r="H6308" t="s">
        <v>268</v>
      </c>
      <c r="I6308" t="s">
        <v>22</v>
      </c>
      <c r="J6308" t="s">
        <v>42</v>
      </c>
      <c r="K6308" t="s">
        <v>2285</v>
      </c>
      <c r="L6308" t="s">
        <v>25</v>
      </c>
      <c r="M6308" s="8">
        <v>3.5356666670000001</v>
      </c>
      <c r="N6308">
        <v>3.556</v>
      </c>
      <c r="O6308" s="8">
        <v>3.556</v>
      </c>
      <c r="P6308" s="8">
        <f>EXP(-1.363+3.366*LOG(O6308,10))</f>
        <v>1.6348274412109507</v>
      </c>
      <c r="Q6308" s="8">
        <f>(3602085*100)/4019599</f>
        <v>89.613043490159086</v>
      </c>
    </row>
    <row r="6309" spans="1:17" x14ac:dyDescent="0.2">
      <c r="A6309">
        <v>2018</v>
      </c>
      <c r="B6309" t="s">
        <v>2842</v>
      </c>
      <c r="C6309" t="s">
        <v>1635</v>
      </c>
      <c r="D6309" t="s">
        <v>2838</v>
      </c>
      <c r="E6309">
        <v>8</v>
      </c>
      <c r="F6309" t="s">
        <v>2284</v>
      </c>
      <c r="G6309" t="s">
        <v>230</v>
      </c>
      <c r="H6309" t="s">
        <v>268</v>
      </c>
      <c r="I6309" t="s">
        <v>22</v>
      </c>
      <c r="J6309" t="s">
        <v>42</v>
      </c>
      <c r="K6309" t="s">
        <v>2285</v>
      </c>
      <c r="L6309" t="s">
        <v>25</v>
      </c>
      <c r="M6309" s="8">
        <v>3.5356666670000001</v>
      </c>
      <c r="N6309">
        <v>3.5539999999999998</v>
      </c>
      <c r="O6309" s="8">
        <v>3.5539999999999998</v>
      </c>
      <c r="P6309" s="8">
        <f>EXP(-1.363+3.366*LOG(O6309,10))</f>
        <v>1.6334834941190253</v>
      </c>
      <c r="Q6309" s="8">
        <f>(3602085*100)/4019599</f>
        <v>89.613043490159086</v>
      </c>
    </row>
    <row r="6310" spans="1:17" x14ac:dyDescent="0.2">
      <c r="A6310">
        <v>2018</v>
      </c>
      <c r="B6310" t="s">
        <v>2902</v>
      </c>
      <c r="C6310" t="s">
        <v>1635</v>
      </c>
      <c r="D6310" t="s">
        <v>2903</v>
      </c>
      <c r="E6310">
        <v>9</v>
      </c>
      <c r="F6310" t="s">
        <v>2284</v>
      </c>
      <c r="G6310" t="s">
        <v>230</v>
      </c>
      <c r="H6310" t="s">
        <v>268</v>
      </c>
      <c r="I6310" t="s">
        <v>22</v>
      </c>
      <c r="J6310" t="s">
        <v>42</v>
      </c>
      <c r="K6310" t="s">
        <v>2285</v>
      </c>
      <c r="L6310" t="s">
        <v>25</v>
      </c>
      <c r="M6310" s="8">
        <v>3.5356666670000001</v>
      </c>
      <c r="N6310">
        <v>3.5430000000000001</v>
      </c>
      <c r="O6310" s="8">
        <v>3.5430000000000001</v>
      </c>
      <c r="P6310" s="8">
        <f>EXP(-1.363+3.366*LOG(O6310,10))</f>
        <v>1.6260980306378812</v>
      </c>
      <c r="Q6310" s="8">
        <f>(3602085*100)/4019599</f>
        <v>89.613043490159086</v>
      </c>
    </row>
    <row r="6311" spans="1:17" x14ac:dyDescent="0.2">
      <c r="A6311">
        <v>2018</v>
      </c>
      <c r="B6311" t="s">
        <v>2677</v>
      </c>
      <c r="C6311" t="s">
        <v>50</v>
      </c>
      <c r="D6311" t="s">
        <v>2665</v>
      </c>
      <c r="E6311">
        <v>5</v>
      </c>
      <c r="F6311" t="s">
        <v>2284</v>
      </c>
      <c r="G6311" t="s">
        <v>1520</v>
      </c>
      <c r="H6311" t="s">
        <v>1528</v>
      </c>
      <c r="I6311" t="s">
        <v>36</v>
      </c>
      <c r="J6311" t="s">
        <v>42</v>
      </c>
      <c r="K6311" t="s">
        <v>2285</v>
      </c>
      <c r="L6311" t="s">
        <v>25</v>
      </c>
      <c r="M6311" s="8">
        <v>3.3860000000000001</v>
      </c>
      <c r="N6311">
        <v>3.504</v>
      </c>
      <c r="O6311" s="8">
        <v>3.504</v>
      </c>
      <c r="P6311" s="8">
        <f>EXP(-1.363+3.366*LOG(O6311,10))</f>
        <v>1.5999985966821282</v>
      </c>
      <c r="Q6311" s="8">
        <f>(4488342*100)/4914798</f>
        <v>91.323020803703429</v>
      </c>
    </row>
    <row r="6312" spans="1:17" x14ac:dyDescent="0.2">
      <c r="A6312">
        <v>2018</v>
      </c>
      <c r="B6312" t="s">
        <v>2802</v>
      </c>
      <c r="C6312" t="s">
        <v>50</v>
      </c>
      <c r="D6312" t="s">
        <v>2803</v>
      </c>
      <c r="E6312">
        <v>7</v>
      </c>
      <c r="F6312" t="s">
        <v>2284</v>
      </c>
      <c r="G6312" t="s">
        <v>230</v>
      </c>
      <c r="H6312" t="s">
        <v>268</v>
      </c>
      <c r="I6312" t="s">
        <v>22</v>
      </c>
      <c r="J6312" t="s">
        <v>42</v>
      </c>
      <c r="K6312" t="s">
        <v>2285</v>
      </c>
      <c r="L6312" t="s">
        <v>25</v>
      </c>
      <c r="M6312" s="8">
        <v>3.5356666670000001</v>
      </c>
      <c r="N6312">
        <v>3.4980000000000002</v>
      </c>
      <c r="O6312" s="8">
        <v>3.4980000000000002</v>
      </c>
      <c r="P6312" s="8">
        <f>EXP(-1.363+3.366*LOG(O6312,10))</f>
        <v>1.5959951562791301</v>
      </c>
      <c r="Q6312" s="8">
        <f>(4488342*100)/4914798</f>
        <v>91.323020803703429</v>
      </c>
    </row>
    <row r="6313" spans="1:17" x14ac:dyDescent="0.2">
      <c r="A6313">
        <v>2018</v>
      </c>
      <c r="B6313" t="s">
        <v>2819</v>
      </c>
      <c r="C6313" t="s">
        <v>50</v>
      </c>
      <c r="D6313" t="s">
        <v>2809</v>
      </c>
      <c r="E6313">
        <v>8</v>
      </c>
      <c r="F6313" t="s">
        <v>2284</v>
      </c>
      <c r="G6313" t="s">
        <v>230</v>
      </c>
      <c r="H6313" t="s">
        <v>268</v>
      </c>
      <c r="I6313" t="s">
        <v>22</v>
      </c>
      <c r="J6313" t="s">
        <v>42</v>
      </c>
      <c r="K6313" t="s">
        <v>2285</v>
      </c>
      <c r="L6313" t="s">
        <v>25</v>
      </c>
      <c r="M6313" s="8">
        <v>3.5356666670000001</v>
      </c>
      <c r="N6313">
        <v>3.496</v>
      </c>
      <c r="O6313" s="8">
        <v>3.496</v>
      </c>
      <c r="P6313" s="8">
        <f>EXP(-1.363+3.366*LOG(O6313,10))</f>
        <v>1.5946613804783787</v>
      </c>
      <c r="Q6313" s="8">
        <f>(4488342*100)/4914798</f>
        <v>91.323020803703429</v>
      </c>
    </row>
    <row r="6314" spans="1:17" x14ac:dyDescent="0.2">
      <c r="A6314">
        <v>2018</v>
      </c>
      <c r="B6314" t="s">
        <v>2840</v>
      </c>
      <c r="C6314" t="s">
        <v>1635</v>
      </c>
      <c r="D6314" t="s">
        <v>2838</v>
      </c>
      <c r="E6314">
        <v>8</v>
      </c>
      <c r="F6314" t="s">
        <v>2284</v>
      </c>
      <c r="G6314" t="s">
        <v>230</v>
      </c>
      <c r="H6314" t="s">
        <v>268</v>
      </c>
      <c r="I6314" t="s">
        <v>22</v>
      </c>
      <c r="J6314" t="s">
        <v>42</v>
      </c>
      <c r="K6314" t="s">
        <v>2285</v>
      </c>
      <c r="L6314" t="s">
        <v>25</v>
      </c>
      <c r="M6314" s="8">
        <v>3.5356666670000001</v>
      </c>
      <c r="N6314">
        <v>3.49</v>
      </c>
      <c r="O6314" s="8">
        <v>3.49</v>
      </c>
      <c r="P6314" s="8">
        <f>EXP(-1.363+3.366*LOG(O6314,10))</f>
        <v>1.5906621675949069</v>
      </c>
      <c r="Q6314" s="8">
        <f>(3602085*100)/4019599</f>
        <v>89.613043490159086</v>
      </c>
    </row>
    <row r="6315" spans="1:17" x14ac:dyDescent="0.2">
      <c r="A6315">
        <v>2018</v>
      </c>
      <c r="B6315" t="s">
        <v>2797</v>
      </c>
      <c r="C6315" t="s">
        <v>1635</v>
      </c>
      <c r="D6315" t="s">
        <v>2794</v>
      </c>
      <c r="E6315">
        <v>7</v>
      </c>
      <c r="F6315" t="s">
        <v>2284</v>
      </c>
      <c r="G6315" t="s">
        <v>230</v>
      </c>
      <c r="H6315" t="s">
        <v>268</v>
      </c>
      <c r="I6315" t="s">
        <v>22</v>
      </c>
      <c r="J6315" t="s">
        <v>42</v>
      </c>
      <c r="K6315" t="s">
        <v>2285</v>
      </c>
      <c r="L6315" t="s">
        <v>25</v>
      </c>
      <c r="M6315" s="8">
        <v>3.5356666670000001</v>
      </c>
      <c r="N6315">
        <v>3.488</v>
      </c>
      <c r="O6315" s="8">
        <v>3.488</v>
      </c>
      <c r="P6315" s="8">
        <f>EXP(-1.363+3.366*LOG(O6315,10))</f>
        <v>1.5893298018354172</v>
      </c>
      <c r="Q6315" s="8">
        <f>(3602085*100)/4019599</f>
        <v>89.613043490159086</v>
      </c>
    </row>
    <row r="6316" spans="1:17" x14ac:dyDescent="0.2">
      <c r="A6316">
        <v>2017</v>
      </c>
      <c r="B6316" t="s">
        <v>2393</v>
      </c>
      <c r="C6316" t="s">
        <v>89</v>
      </c>
      <c r="D6316" t="s">
        <v>2394</v>
      </c>
      <c r="E6316">
        <v>4</v>
      </c>
      <c r="F6316" t="s">
        <v>2284</v>
      </c>
      <c r="G6316" t="s">
        <v>230</v>
      </c>
      <c r="H6316" t="s">
        <v>268</v>
      </c>
      <c r="I6316" t="s">
        <v>22</v>
      </c>
      <c r="J6316" t="s">
        <v>66</v>
      </c>
      <c r="K6316" t="s">
        <v>2285</v>
      </c>
      <c r="L6316" t="s">
        <v>25</v>
      </c>
      <c r="M6316" s="8">
        <v>3.5356666670000001</v>
      </c>
      <c r="N6316">
        <v>3.4830000000000001</v>
      </c>
      <c r="O6316" s="8">
        <v>3.4830000000000001</v>
      </c>
      <c r="P6316" s="8">
        <f>EXP(-1.363+3.366*LOG(O6316,10))</f>
        <v>1.5860004310966931</v>
      </c>
      <c r="Q6316" s="8">
        <f>(61997.93*100)/7298102</f>
        <v>0.84950758430068529</v>
      </c>
    </row>
    <row r="6317" spans="1:17" x14ac:dyDescent="0.2">
      <c r="A6317">
        <v>2018</v>
      </c>
      <c r="B6317" t="s">
        <v>2787</v>
      </c>
      <c r="C6317" t="s">
        <v>2287</v>
      </c>
      <c r="D6317" t="s">
        <v>2786</v>
      </c>
      <c r="E6317">
        <v>6</v>
      </c>
      <c r="F6317" t="s">
        <v>2284</v>
      </c>
      <c r="G6317" t="s">
        <v>230</v>
      </c>
      <c r="H6317" t="s">
        <v>268</v>
      </c>
      <c r="I6317" t="s">
        <v>22</v>
      </c>
      <c r="J6317" t="s">
        <v>66</v>
      </c>
      <c r="K6317" t="s">
        <v>2285</v>
      </c>
      <c r="L6317" t="s">
        <v>25</v>
      </c>
      <c r="M6317" s="8">
        <v>3.5356666670000001</v>
      </c>
      <c r="N6317">
        <v>3.4820000000000002</v>
      </c>
      <c r="O6317" s="8">
        <v>3.4820000000000002</v>
      </c>
      <c r="P6317" s="8">
        <f>EXP(-1.363+3.366*LOG(O6317,10))</f>
        <v>1.5853348216853462</v>
      </c>
      <c r="Q6317" s="8">
        <f>(859450.9*100)/14749408</f>
        <v>5.8270196336015658</v>
      </c>
    </row>
    <row r="6318" spans="1:17" x14ac:dyDescent="0.2">
      <c r="A6318">
        <v>2018</v>
      </c>
      <c r="B6318" t="s">
        <v>2750</v>
      </c>
      <c r="C6318" t="s">
        <v>50</v>
      </c>
      <c r="D6318" t="s">
        <v>2749</v>
      </c>
      <c r="E6318">
        <v>6</v>
      </c>
      <c r="F6318" t="s">
        <v>2284</v>
      </c>
      <c r="G6318" t="s">
        <v>1520</v>
      </c>
      <c r="H6318" t="s">
        <v>1528</v>
      </c>
      <c r="I6318" t="s">
        <v>22</v>
      </c>
      <c r="J6318" t="s">
        <v>42</v>
      </c>
      <c r="K6318" t="s">
        <v>2285</v>
      </c>
      <c r="L6318" t="s">
        <v>25</v>
      </c>
      <c r="M6318" s="8">
        <v>3.624333333</v>
      </c>
      <c r="N6318">
        <v>3.4809999999999999</v>
      </c>
      <c r="O6318" s="8">
        <v>3.4809999999999999</v>
      </c>
      <c r="P6318" s="8">
        <f>EXP(-1.363+3.366*LOG(O6318,10))</f>
        <v>1.58466930055128</v>
      </c>
      <c r="Q6318" s="8">
        <f>(4488342*100)/4914798</f>
        <v>91.323020803703429</v>
      </c>
    </row>
    <row r="6319" spans="1:17" x14ac:dyDescent="0.2">
      <c r="A6319">
        <v>2018</v>
      </c>
      <c r="B6319" t="s">
        <v>2732</v>
      </c>
      <c r="C6319" t="s">
        <v>1635</v>
      </c>
      <c r="D6319" t="s">
        <v>2724</v>
      </c>
      <c r="E6319">
        <v>5</v>
      </c>
      <c r="F6319" t="s">
        <v>2284</v>
      </c>
      <c r="G6319" t="s">
        <v>1520</v>
      </c>
      <c r="H6319" t="s">
        <v>1528</v>
      </c>
      <c r="I6319" t="s">
        <v>22</v>
      </c>
      <c r="J6319" t="s">
        <v>42</v>
      </c>
      <c r="K6319" t="s">
        <v>2285</v>
      </c>
      <c r="L6319" t="s">
        <v>25</v>
      </c>
      <c r="M6319" s="8">
        <v>3.624333333</v>
      </c>
      <c r="N6319">
        <v>3.4780000000000002</v>
      </c>
      <c r="O6319" s="8">
        <v>3.4780000000000002</v>
      </c>
      <c r="P6319" s="8">
        <f>EXP(-1.363+3.366*LOG(O6319,10))</f>
        <v>1.5826732669492651</v>
      </c>
      <c r="Q6319" s="8">
        <f>(3602085*100)/4019599</f>
        <v>89.613043490159086</v>
      </c>
    </row>
    <row r="6320" spans="1:17" x14ac:dyDescent="0.2">
      <c r="A6320">
        <v>2017</v>
      </c>
      <c r="B6320" t="s">
        <v>2569</v>
      </c>
      <c r="C6320" t="s">
        <v>1635</v>
      </c>
      <c r="D6320" t="s">
        <v>2564</v>
      </c>
      <c r="E6320">
        <v>6</v>
      </c>
      <c r="F6320" t="s">
        <v>2284</v>
      </c>
      <c r="G6320" t="s">
        <v>230</v>
      </c>
      <c r="H6320" t="s">
        <v>268</v>
      </c>
      <c r="I6320" t="s">
        <v>22</v>
      </c>
      <c r="J6320" t="s">
        <v>42</v>
      </c>
      <c r="K6320" t="s">
        <v>2285</v>
      </c>
      <c r="L6320" t="s">
        <v>25</v>
      </c>
      <c r="M6320" s="8">
        <v>3.5356666670000001</v>
      </c>
      <c r="N6320">
        <v>3.4630000000000001</v>
      </c>
      <c r="O6320" s="8">
        <v>3.4630000000000001</v>
      </c>
      <c r="P6320" s="8">
        <f>EXP(-1.363+3.366*LOG(O6320,10))</f>
        <v>1.5727050311397373</v>
      </c>
      <c r="Q6320" s="8">
        <f>(3602085*100)/4019599</f>
        <v>89.613043490159086</v>
      </c>
    </row>
    <row r="6321" spans="1:17" x14ac:dyDescent="0.2">
      <c r="A6321">
        <v>2018</v>
      </c>
      <c r="B6321" t="s">
        <v>2820</v>
      </c>
      <c r="C6321" t="s">
        <v>50</v>
      </c>
      <c r="D6321" t="s">
        <v>2809</v>
      </c>
      <c r="E6321">
        <v>8</v>
      </c>
      <c r="F6321" t="s">
        <v>2284</v>
      </c>
      <c r="G6321" t="s">
        <v>230</v>
      </c>
      <c r="H6321" t="s">
        <v>268</v>
      </c>
      <c r="I6321" t="s">
        <v>22</v>
      </c>
      <c r="J6321" t="s">
        <v>42</v>
      </c>
      <c r="K6321" t="s">
        <v>2285</v>
      </c>
      <c r="L6321" t="s">
        <v>25</v>
      </c>
      <c r="M6321" s="8">
        <v>3.5356666670000001</v>
      </c>
      <c r="N6321">
        <v>3.452</v>
      </c>
      <c r="O6321" s="8">
        <v>3.452</v>
      </c>
      <c r="P6321" s="8">
        <f>EXP(-1.363+3.366*LOG(O6321,10))</f>
        <v>1.5654076498134013</v>
      </c>
      <c r="Q6321" s="8">
        <f>(4488342*100)/4914798</f>
        <v>91.323020803703429</v>
      </c>
    </row>
    <row r="6322" spans="1:17" x14ac:dyDescent="0.2">
      <c r="A6322">
        <v>2018</v>
      </c>
      <c r="B6322" t="s">
        <v>2973</v>
      </c>
      <c r="C6322" t="s">
        <v>50</v>
      </c>
      <c r="D6322" t="s">
        <v>2961</v>
      </c>
      <c r="E6322">
        <v>9</v>
      </c>
      <c r="F6322" t="s">
        <v>2284</v>
      </c>
      <c r="G6322" t="s">
        <v>1520</v>
      </c>
      <c r="H6322" t="s">
        <v>1528</v>
      </c>
      <c r="I6322" t="s">
        <v>22</v>
      </c>
      <c r="J6322" t="s">
        <v>42</v>
      </c>
      <c r="K6322" t="s">
        <v>2285</v>
      </c>
      <c r="L6322" t="s">
        <v>25</v>
      </c>
      <c r="M6322" s="8">
        <v>3.624333333</v>
      </c>
      <c r="N6322">
        <v>3.4460000000000002</v>
      </c>
      <c r="O6322" s="8">
        <v>3.4460000000000002</v>
      </c>
      <c r="P6322" s="8">
        <f>EXP(-1.363+3.366*LOG(O6322,10))</f>
        <v>1.5614317819817958</v>
      </c>
      <c r="Q6322" s="8">
        <f>(4488342*100)/4914798</f>
        <v>91.323020803703429</v>
      </c>
    </row>
    <row r="6323" spans="1:17" x14ac:dyDescent="0.2">
      <c r="A6323">
        <v>2018</v>
      </c>
      <c r="B6323" t="s">
        <v>2808</v>
      </c>
      <c r="C6323" t="s">
        <v>1635</v>
      </c>
      <c r="D6323" t="s">
        <v>2809</v>
      </c>
      <c r="E6323">
        <v>8</v>
      </c>
      <c r="F6323" t="s">
        <v>2284</v>
      </c>
      <c r="G6323" t="s">
        <v>230</v>
      </c>
      <c r="H6323" t="s">
        <v>268</v>
      </c>
      <c r="I6323" t="s">
        <v>22</v>
      </c>
      <c r="J6323" t="s">
        <v>42</v>
      </c>
      <c r="K6323" t="s">
        <v>2285</v>
      </c>
      <c r="L6323" t="s">
        <v>25</v>
      </c>
      <c r="M6323" s="8">
        <v>3.5356666670000001</v>
      </c>
      <c r="N6323">
        <v>3.4420000000000002</v>
      </c>
      <c r="O6323" s="8">
        <v>3.4420000000000002</v>
      </c>
      <c r="P6323" s="8">
        <f>EXP(-1.363+3.366*LOG(O6323,10))</f>
        <v>1.5587829786907728</v>
      </c>
      <c r="Q6323" s="8">
        <f>(3602085*100)/4019599</f>
        <v>89.613043490159086</v>
      </c>
    </row>
    <row r="6324" spans="1:17" x14ac:dyDescent="0.2">
      <c r="A6324">
        <v>2018</v>
      </c>
      <c r="B6324" t="s">
        <v>2816</v>
      </c>
      <c r="C6324" t="s">
        <v>50</v>
      </c>
      <c r="D6324" t="s">
        <v>2809</v>
      </c>
      <c r="E6324">
        <v>8</v>
      </c>
      <c r="F6324" t="s">
        <v>2284</v>
      </c>
      <c r="G6324" t="s">
        <v>230</v>
      </c>
      <c r="H6324" t="s">
        <v>268</v>
      </c>
      <c r="I6324" t="s">
        <v>22</v>
      </c>
      <c r="J6324" t="s">
        <v>42</v>
      </c>
      <c r="K6324" t="s">
        <v>2285</v>
      </c>
      <c r="L6324" t="s">
        <v>25</v>
      </c>
      <c r="M6324" s="8">
        <v>3.5356666670000001</v>
      </c>
      <c r="N6324">
        <v>3.4409999999999998</v>
      </c>
      <c r="O6324" s="8">
        <v>3.4409999999999998</v>
      </c>
      <c r="P6324" s="8">
        <f>EXP(-1.363+3.366*LOG(O6324,10))</f>
        <v>1.5581209999030654</v>
      </c>
      <c r="Q6324" s="8">
        <f>(4488342*100)/4914798</f>
        <v>91.323020803703429</v>
      </c>
    </row>
    <row r="6325" spans="1:17" x14ac:dyDescent="0.2">
      <c r="A6325">
        <v>2018</v>
      </c>
      <c r="B6325" t="s">
        <v>2841</v>
      </c>
      <c r="C6325" t="s">
        <v>1635</v>
      </c>
      <c r="D6325" t="s">
        <v>2838</v>
      </c>
      <c r="E6325">
        <v>8</v>
      </c>
      <c r="F6325" t="s">
        <v>2284</v>
      </c>
      <c r="G6325" t="s">
        <v>230</v>
      </c>
      <c r="H6325" t="s">
        <v>268</v>
      </c>
      <c r="I6325" t="s">
        <v>22</v>
      </c>
      <c r="J6325" t="s">
        <v>42</v>
      </c>
      <c r="K6325" t="s">
        <v>2285</v>
      </c>
      <c r="L6325" t="s">
        <v>25</v>
      </c>
      <c r="M6325" s="8">
        <v>3.5356666670000001</v>
      </c>
      <c r="N6325">
        <v>3.4279999999999999</v>
      </c>
      <c r="O6325" s="8">
        <v>3.4279999999999999</v>
      </c>
      <c r="P6325" s="8">
        <f>EXP(-1.363+3.366*LOG(O6325,10))</f>
        <v>1.5495233653310829</v>
      </c>
      <c r="Q6325" s="8">
        <f>(3602085*100)/4019599</f>
        <v>89.613043490159086</v>
      </c>
    </row>
    <row r="6326" spans="1:17" x14ac:dyDescent="0.2">
      <c r="A6326">
        <v>2017</v>
      </c>
      <c r="B6326" t="s">
        <v>2532</v>
      </c>
      <c r="C6326" t="s">
        <v>89</v>
      </c>
      <c r="D6326" t="s">
        <v>2533</v>
      </c>
      <c r="E6326">
        <v>6</v>
      </c>
      <c r="F6326" t="s">
        <v>2284</v>
      </c>
      <c r="G6326" t="s">
        <v>230</v>
      </c>
      <c r="H6326" t="s">
        <v>235</v>
      </c>
      <c r="I6326" t="s">
        <v>22</v>
      </c>
      <c r="J6326" t="s">
        <v>66</v>
      </c>
      <c r="K6326" t="s">
        <v>2285</v>
      </c>
      <c r="L6326" t="s">
        <v>25</v>
      </c>
      <c r="M6326" s="8">
        <v>3.4609999999999999</v>
      </c>
      <c r="N6326">
        <v>3.4239999999999999</v>
      </c>
      <c r="O6326" s="8">
        <v>3.4239999999999999</v>
      </c>
      <c r="P6326" s="8">
        <f>EXP(-1.363+3.366*LOG(O6326,10))</f>
        <v>1.5468809646660588</v>
      </c>
      <c r="Q6326" s="8">
        <f>(61997.93*100)/7298102</f>
        <v>0.84950758430068529</v>
      </c>
    </row>
    <row r="6327" spans="1:17" x14ac:dyDescent="0.2">
      <c r="A6327">
        <v>2018</v>
      </c>
      <c r="B6327" t="s">
        <v>2811</v>
      </c>
      <c r="C6327" t="s">
        <v>1635</v>
      </c>
      <c r="D6327" t="s">
        <v>2809</v>
      </c>
      <c r="E6327">
        <v>8</v>
      </c>
      <c r="F6327" t="s">
        <v>2284</v>
      </c>
      <c r="G6327" t="s">
        <v>230</v>
      </c>
      <c r="H6327" t="s">
        <v>268</v>
      </c>
      <c r="I6327" t="s">
        <v>22</v>
      </c>
      <c r="J6327" t="s">
        <v>42</v>
      </c>
      <c r="K6327" t="s">
        <v>2285</v>
      </c>
      <c r="L6327" t="s">
        <v>25</v>
      </c>
      <c r="M6327" s="8">
        <v>3.5356666670000001</v>
      </c>
      <c r="N6327">
        <v>3.415</v>
      </c>
      <c r="O6327" s="8">
        <v>3.415</v>
      </c>
      <c r="P6327" s="8">
        <f>EXP(-1.363+3.366*LOG(O6327,10))</f>
        <v>1.5409407756525579</v>
      </c>
      <c r="Q6327" s="8">
        <f>(3602085*100)/4019599</f>
        <v>89.613043490159086</v>
      </c>
    </row>
    <row r="6328" spans="1:17" x14ac:dyDescent="0.2">
      <c r="A6328">
        <v>2018</v>
      </c>
      <c r="B6328" t="s">
        <v>2746</v>
      </c>
      <c r="C6328" t="s">
        <v>2283</v>
      </c>
      <c r="D6328" t="s">
        <v>2747</v>
      </c>
      <c r="E6328">
        <v>6</v>
      </c>
      <c r="F6328" t="s">
        <v>2284</v>
      </c>
      <c r="G6328" t="s">
        <v>230</v>
      </c>
      <c r="H6328" t="s">
        <v>268</v>
      </c>
      <c r="I6328" t="s">
        <v>22</v>
      </c>
      <c r="J6328" t="s">
        <v>66</v>
      </c>
      <c r="K6328" t="s">
        <v>2285</v>
      </c>
      <c r="L6328" t="s">
        <v>25</v>
      </c>
      <c r="M6328" s="8">
        <v>3.5356666670000001</v>
      </c>
      <c r="N6328">
        <v>3.407</v>
      </c>
      <c r="O6328" s="8">
        <v>3.407</v>
      </c>
      <c r="P6328" s="8">
        <f>EXP(-1.363+3.366*LOG(O6328,10))</f>
        <v>1.5356666732758766</v>
      </c>
      <c r="Q6328" s="8">
        <f>(1148193*100)/12288027</f>
        <v>9.3439980234418432</v>
      </c>
    </row>
    <row r="6329" spans="1:17" x14ac:dyDescent="0.2">
      <c r="A6329">
        <v>2018</v>
      </c>
      <c r="B6329" t="s">
        <v>2917</v>
      </c>
      <c r="C6329" t="s">
        <v>50</v>
      </c>
      <c r="D6329" t="s">
        <v>2916</v>
      </c>
      <c r="E6329">
        <v>9</v>
      </c>
      <c r="F6329" t="s">
        <v>2284</v>
      </c>
      <c r="G6329" t="s">
        <v>230</v>
      </c>
      <c r="H6329" t="s">
        <v>268</v>
      </c>
      <c r="I6329" t="s">
        <v>22</v>
      </c>
      <c r="J6329" t="s">
        <v>42</v>
      </c>
      <c r="K6329" t="s">
        <v>2285</v>
      </c>
      <c r="L6329" t="s">
        <v>25</v>
      </c>
      <c r="M6329" s="8">
        <v>3.5356666670000001</v>
      </c>
      <c r="N6329">
        <v>3.39</v>
      </c>
      <c r="O6329" s="8">
        <v>3.39</v>
      </c>
      <c r="P6329" s="8">
        <f>EXP(-1.363+3.366*LOG(O6329,10))</f>
        <v>1.5244781947833295</v>
      </c>
      <c r="Q6329" s="8">
        <f>(4488342*100)/4914798</f>
        <v>91.323020803703429</v>
      </c>
    </row>
    <row r="6330" spans="1:17" x14ac:dyDescent="0.2">
      <c r="A6330">
        <v>2018</v>
      </c>
      <c r="B6330" t="s">
        <v>2935</v>
      </c>
      <c r="C6330" t="s">
        <v>2287</v>
      </c>
      <c r="D6330" t="s">
        <v>2927</v>
      </c>
      <c r="E6330">
        <v>9</v>
      </c>
      <c r="F6330" t="s">
        <v>2284</v>
      </c>
      <c r="G6330" t="s">
        <v>230</v>
      </c>
      <c r="H6330" t="s">
        <v>268</v>
      </c>
      <c r="I6330" t="s">
        <v>22</v>
      </c>
      <c r="J6330" t="s">
        <v>66</v>
      </c>
      <c r="K6330" t="s">
        <v>2285</v>
      </c>
      <c r="L6330" t="s">
        <v>25</v>
      </c>
      <c r="M6330" s="8">
        <v>3.5356666670000001</v>
      </c>
      <c r="N6330">
        <v>3.3860000000000001</v>
      </c>
      <c r="O6330" s="8">
        <v>3.3860000000000001</v>
      </c>
      <c r="P6330" s="8">
        <f>EXP(-1.363+3.366*LOG(O6330,10))</f>
        <v>1.5218493704875904</v>
      </c>
      <c r="Q6330" s="8">
        <f>(859450.9*100)/14749408</f>
        <v>5.8270196336015658</v>
      </c>
    </row>
    <row r="6331" spans="1:17" x14ac:dyDescent="0.2">
      <c r="A6331">
        <v>2018</v>
      </c>
      <c r="B6331" t="s">
        <v>2885</v>
      </c>
      <c r="C6331" t="s">
        <v>1635</v>
      </c>
      <c r="D6331" t="s">
        <v>2886</v>
      </c>
      <c r="E6331">
        <v>9</v>
      </c>
      <c r="F6331" t="s">
        <v>2284</v>
      </c>
      <c r="G6331" t="s">
        <v>230</v>
      </c>
      <c r="H6331" t="s">
        <v>268</v>
      </c>
      <c r="I6331" t="s">
        <v>22</v>
      </c>
      <c r="J6331" t="s">
        <v>42</v>
      </c>
      <c r="K6331" t="s">
        <v>2285</v>
      </c>
      <c r="L6331" t="s">
        <v>25</v>
      </c>
      <c r="M6331" s="8">
        <v>3.5356666670000001</v>
      </c>
      <c r="N6331">
        <v>3.3849999999999998</v>
      </c>
      <c r="O6331" s="8">
        <v>3.3849999999999998</v>
      </c>
      <c r="P6331" s="8">
        <f>EXP(-1.363+3.366*LOG(O6331,10))</f>
        <v>1.5211923884168697</v>
      </c>
      <c r="Q6331" s="8">
        <f>(3602085*100)/4019599</f>
        <v>89.613043490159086</v>
      </c>
    </row>
    <row r="6332" spans="1:17" x14ac:dyDescent="0.2">
      <c r="A6332">
        <v>2018</v>
      </c>
      <c r="B6332" t="s">
        <v>2928</v>
      </c>
      <c r="C6332" t="s">
        <v>1635</v>
      </c>
      <c r="D6332" t="s">
        <v>2927</v>
      </c>
      <c r="E6332">
        <v>9</v>
      </c>
      <c r="F6332" t="s">
        <v>2284</v>
      </c>
      <c r="G6332" t="s">
        <v>230</v>
      </c>
      <c r="H6332" t="s">
        <v>268</v>
      </c>
      <c r="I6332" t="s">
        <v>22</v>
      </c>
      <c r="J6332" t="s">
        <v>42</v>
      </c>
      <c r="K6332" t="s">
        <v>2285</v>
      </c>
      <c r="L6332" t="s">
        <v>25</v>
      </c>
      <c r="M6332" s="8">
        <v>3.5356666670000001</v>
      </c>
      <c r="N6332">
        <v>3.3610000000000002</v>
      </c>
      <c r="O6332" s="8">
        <v>3.3610000000000002</v>
      </c>
      <c r="P6332" s="8">
        <f>EXP(-1.363+3.366*LOG(O6332,10))</f>
        <v>1.5054517405146004</v>
      </c>
      <c r="Q6332" s="8">
        <f>(3602085*100)/4019599</f>
        <v>89.613043490159086</v>
      </c>
    </row>
    <row r="6333" spans="1:17" x14ac:dyDescent="0.2">
      <c r="A6333">
        <v>2018</v>
      </c>
      <c r="B6333" t="s">
        <v>2710</v>
      </c>
      <c r="C6333" t="s">
        <v>50</v>
      </c>
      <c r="D6333" t="s">
        <v>2703</v>
      </c>
      <c r="E6333">
        <v>5</v>
      </c>
      <c r="F6333" t="s">
        <v>2284</v>
      </c>
      <c r="G6333" t="s">
        <v>1520</v>
      </c>
      <c r="H6333" t="s">
        <v>1528</v>
      </c>
      <c r="I6333" t="s">
        <v>22</v>
      </c>
      <c r="J6333" t="s">
        <v>42</v>
      </c>
      <c r="K6333" t="s">
        <v>2285</v>
      </c>
      <c r="L6333" t="s">
        <v>25</v>
      </c>
      <c r="M6333" s="8">
        <v>3.624333333</v>
      </c>
      <c r="N6333">
        <v>3.3540000000000001</v>
      </c>
      <c r="O6333" s="8">
        <v>3.3540000000000001</v>
      </c>
      <c r="P6333" s="8">
        <f>EXP(-1.363+3.366*LOG(O6333,10))</f>
        <v>1.5008704715192043</v>
      </c>
      <c r="Q6333" s="8">
        <f>(4488342*100)/4914798</f>
        <v>91.323020803703429</v>
      </c>
    </row>
    <row r="6334" spans="1:17" x14ac:dyDescent="0.2">
      <c r="A6334">
        <v>2018</v>
      </c>
      <c r="B6334" t="s">
        <v>2814</v>
      </c>
      <c r="C6334" t="s">
        <v>1635</v>
      </c>
      <c r="D6334" t="s">
        <v>2809</v>
      </c>
      <c r="E6334">
        <v>8</v>
      </c>
      <c r="F6334" t="s">
        <v>2284</v>
      </c>
      <c r="G6334" t="s">
        <v>230</v>
      </c>
      <c r="H6334" t="s">
        <v>268</v>
      </c>
      <c r="I6334" t="s">
        <v>22</v>
      </c>
      <c r="J6334" t="s">
        <v>42</v>
      </c>
      <c r="K6334" t="s">
        <v>2285</v>
      </c>
      <c r="L6334" t="s">
        <v>25</v>
      </c>
      <c r="M6334" s="8">
        <v>3.5356666670000001</v>
      </c>
      <c r="N6334">
        <v>3.351</v>
      </c>
      <c r="O6334" s="8">
        <v>3.351</v>
      </c>
      <c r="P6334" s="8">
        <f>EXP(-1.363+3.366*LOG(O6334,10))</f>
        <v>1.4989084213521502</v>
      </c>
      <c r="Q6334" s="8">
        <f>(3602085*100)/4019599</f>
        <v>89.613043490159086</v>
      </c>
    </row>
    <row r="6335" spans="1:17" x14ac:dyDescent="0.2">
      <c r="A6335">
        <v>2018</v>
      </c>
      <c r="B6335" t="s">
        <v>2875</v>
      </c>
      <c r="C6335" t="s">
        <v>1635</v>
      </c>
      <c r="D6335" t="s">
        <v>2874</v>
      </c>
      <c r="E6335">
        <v>8</v>
      </c>
      <c r="F6335" t="s">
        <v>2284</v>
      </c>
      <c r="G6335" t="s">
        <v>230</v>
      </c>
      <c r="H6335" t="s">
        <v>268</v>
      </c>
      <c r="I6335" t="s">
        <v>22</v>
      </c>
      <c r="J6335" t="s">
        <v>42</v>
      </c>
      <c r="K6335" t="s">
        <v>2285</v>
      </c>
      <c r="L6335" t="s">
        <v>25</v>
      </c>
      <c r="M6335" s="8">
        <v>3.5356666670000001</v>
      </c>
      <c r="N6335">
        <v>3.3460000000000001</v>
      </c>
      <c r="O6335" s="8">
        <v>3.3460000000000001</v>
      </c>
      <c r="P6335" s="8">
        <f>EXP(-1.363+3.366*LOG(O6335,10))</f>
        <v>1.4956401402943098</v>
      </c>
      <c r="Q6335" s="8">
        <f>(3602085*100)/4019599</f>
        <v>89.613043490159086</v>
      </c>
    </row>
    <row r="6336" spans="1:17" x14ac:dyDescent="0.2">
      <c r="A6336">
        <v>2018</v>
      </c>
      <c r="B6336" t="s">
        <v>2711</v>
      </c>
      <c r="C6336" t="s">
        <v>50</v>
      </c>
      <c r="D6336" t="s">
        <v>2703</v>
      </c>
      <c r="E6336">
        <v>5</v>
      </c>
      <c r="F6336" t="s">
        <v>2284</v>
      </c>
      <c r="G6336" t="s">
        <v>1520</v>
      </c>
      <c r="H6336" t="s">
        <v>1528</v>
      </c>
      <c r="I6336" t="s">
        <v>36</v>
      </c>
      <c r="J6336" t="s">
        <v>42</v>
      </c>
      <c r="K6336" t="s">
        <v>2285</v>
      </c>
      <c r="L6336" t="s">
        <v>25</v>
      </c>
      <c r="M6336" s="8">
        <v>3.3860000000000001</v>
      </c>
      <c r="N6336">
        <v>3.3439999999999999</v>
      </c>
      <c r="O6336" s="8">
        <v>3.3439999999999999</v>
      </c>
      <c r="P6336" s="8">
        <f>EXP(-1.363+3.366*LOG(O6336,10))</f>
        <v>1.494333459103093</v>
      </c>
      <c r="Q6336" s="8">
        <f>(4488342*100)/4914798</f>
        <v>91.323020803703429</v>
      </c>
    </row>
    <row r="6337" spans="1:17" x14ac:dyDescent="0.2">
      <c r="A6337">
        <v>2018</v>
      </c>
      <c r="B6337" t="s">
        <v>2695</v>
      </c>
      <c r="C6337" t="s">
        <v>1635</v>
      </c>
      <c r="D6337" t="s">
        <v>2694</v>
      </c>
      <c r="E6337">
        <v>5</v>
      </c>
      <c r="F6337" t="s">
        <v>2284</v>
      </c>
      <c r="G6337" t="s">
        <v>1735</v>
      </c>
      <c r="H6337" t="s">
        <v>2149</v>
      </c>
      <c r="I6337" t="s">
        <v>22</v>
      </c>
      <c r="J6337" t="s">
        <v>42</v>
      </c>
      <c r="K6337" t="s">
        <v>2285</v>
      </c>
      <c r="L6337" t="s">
        <v>25</v>
      </c>
      <c r="M6337" s="8">
        <v>2.9416666669999998</v>
      </c>
      <c r="N6337">
        <v>3.3420000000000001</v>
      </c>
      <c r="O6337" s="8">
        <v>3.3420000000000001</v>
      </c>
      <c r="P6337" s="8">
        <f>EXP(-1.363+3.366*LOG(O6337,10))</f>
        <v>1.4930271387899232</v>
      </c>
      <c r="Q6337" s="8">
        <f>(3602085*100)/4019599</f>
        <v>89.613043490159086</v>
      </c>
    </row>
    <row r="6338" spans="1:17" x14ac:dyDescent="0.2">
      <c r="A6338">
        <v>2018</v>
      </c>
      <c r="B6338" t="s">
        <v>2709</v>
      </c>
      <c r="C6338" t="s">
        <v>50</v>
      </c>
      <c r="D6338" t="s">
        <v>2703</v>
      </c>
      <c r="E6338">
        <v>5</v>
      </c>
      <c r="F6338" t="s">
        <v>2284</v>
      </c>
      <c r="G6338" t="s">
        <v>1520</v>
      </c>
      <c r="H6338" t="s">
        <v>1528</v>
      </c>
      <c r="I6338" t="s">
        <v>36</v>
      </c>
      <c r="J6338" t="s">
        <v>42</v>
      </c>
      <c r="K6338" t="s">
        <v>2285</v>
      </c>
      <c r="L6338" t="s">
        <v>25</v>
      </c>
      <c r="M6338" s="8">
        <v>3.3860000000000001</v>
      </c>
      <c r="N6338">
        <v>3.3410000000000002</v>
      </c>
      <c r="O6338" s="8">
        <v>3.3410000000000002</v>
      </c>
      <c r="P6338" s="8">
        <f>EXP(-1.363+3.366*LOG(O6338,10))</f>
        <v>1.4923741139989168</v>
      </c>
      <c r="Q6338" s="8">
        <f>(4488342*100)/4914798</f>
        <v>91.323020803703429</v>
      </c>
    </row>
    <row r="6339" spans="1:17" x14ac:dyDescent="0.2">
      <c r="A6339">
        <v>2018</v>
      </c>
      <c r="B6339" t="s">
        <v>2926</v>
      </c>
      <c r="C6339" t="s">
        <v>1635</v>
      </c>
      <c r="D6339" t="s">
        <v>2927</v>
      </c>
      <c r="E6339">
        <v>9</v>
      </c>
      <c r="F6339" t="s">
        <v>2284</v>
      </c>
      <c r="G6339" t="s">
        <v>230</v>
      </c>
      <c r="H6339" t="s">
        <v>268</v>
      </c>
      <c r="I6339" t="s">
        <v>22</v>
      </c>
      <c r="J6339" t="s">
        <v>42</v>
      </c>
      <c r="K6339" t="s">
        <v>2285</v>
      </c>
      <c r="L6339" t="s">
        <v>25</v>
      </c>
      <c r="M6339" s="8">
        <v>3.5356666670000001</v>
      </c>
      <c r="N6339">
        <v>3.3330000000000002</v>
      </c>
      <c r="O6339" s="8">
        <v>3.3330000000000002</v>
      </c>
      <c r="P6339" s="8">
        <f>EXP(-1.363+3.366*LOG(O6339,10))</f>
        <v>1.4871531663648485</v>
      </c>
      <c r="Q6339" s="8">
        <f>(3602085*100)/4019599</f>
        <v>89.613043490159086</v>
      </c>
    </row>
    <row r="6340" spans="1:17" x14ac:dyDescent="0.2">
      <c r="A6340">
        <v>2018</v>
      </c>
      <c r="B6340" t="s">
        <v>2810</v>
      </c>
      <c r="C6340" t="s">
        <v>1635</v>
      </c>
      <c r="D6340" t="s">
        <v>2809</v>
      </c>
      <c r="E6340">
        <v>8</v>
      </c>
      <c r="F6340" t="s">
        <v>2284</v>
      </c>
      <c r="G6340" t="s">
        <v>230</v>
      </c>
      <c r="H6340" t="s">
        <v>268</v>
      </c>
      <c r="I6340" t="s">
        <v>22</v>
      </c>
      <c r="J6340" t="s">
        <v>42</v>
      </c>
      <c r="K6340" t="s">
        <v>2285</v>
      </c>
      <c r="L6340" t="s">
        <v>25</v>
      </c>
      <c r="M6340" s="8">
        <v>3.5356666670000001</v>
      </c>
      <c r="N6340">
        <v>3.3319999999999999</v>
      </c>
      <c r="O6340" s="8">
        <v>3.3319999999999999</v>
      </c>
      <c r="P6340" s="8">
        <f>EXP(-1.363+3.366*LOG(O6340,10))</f>
        <v>1.4865009544658323</v>
      </c>
      <c r="Q6340" s="8">
        <f>(3602085*100)/4019599</f>
        <v>89.613043490159086</v>
      </c>
    </row>
    <row r="6341" spans="1:17" x14ac:dyDescent="0.2">
      <c r="A6341">
        <v>2018</v>
      </c>
      <c r="B6341" t="s">
        <v>2815</v>
      </c>
      <c r="C6341" t="s">
        <v>1635</v>
      </c>
      <c r="D6341" t="s">
        <v>2809</v>
      </c>
      <c r="E6341">
        <v>8</v>
      </c>
      <c r="F6341" t="s">
        <v>2284</v>
      </c>
      <c r="G6341" t="s">
        <v>230</v>
      </c>
      <c r="H6341" t="s">
        <v>268</v>
      </c>
      <c r="I6341" t="s">
        <v>22</v>
      </c>
      <c r="J6341" t="s">
        <v>42</v>
      </c>
      <c r="K6341" t="s">
        <v>2285</v>
      </c>
      <c r="L6341" t="s">
        <v>25</v>
      </c>
      <c r="M6341" s="8">
        <v>3.5356666670000001</v>
      </c>
      <c r="N6341">
        <v>3.331</v>
      </c>
      <c r="O6341" s="8">
        <v>3.331</v>
      </c>
      <c r="P6341" s="8">
        <f>EXP(-1.363+3.366*LOG(O6341,10))</f>
        <v>1.485848832961042</v>
      </c>
      <c r="Q6341" s="8">
        <f>(3602085*100)/4019599</f>
        <v>89.613043490159086</v>
      </c>
    </row>
    <row r="6342" spans="1:17" x14ac:dyDescent="0.2">
      <c r="A6342">
        <v>2018</v>
      </c>
      <c r="B6342" t="s">
        <v>2681</v>
      </c>
      <c r="C6342" t="s">
        <v>2283</v>
      </c>
      <c r="D6342" t="s">
        <v>2682</v>
      </c>
      <c r="E6342">
        <v>5</v>
      </c>
      <c r="F6342" t="s">
        <v>2284</v>
      </c>
      <c r="G6342" t="s">
        <v>230</v>
      </c>
      <c r="H6342" t="s">
        <v>268</v>
      </c>
      <c r="I6342" t="s">
        <v>22</v>
      </c>
      <c r="J6342" t="s">
        <v>66</v>
      </c>
      <c r="K6342" t="s">
        <v>2285</v>
      </c>
      <c r="L6342" t="s">
        <v>25</v>
      </c>
      <c r="M6342" s="8">
        <v>3.5356666670000001</v>
      </c>
      <c r="N6342">
        <v>3.3159999999999998</v>
      </c>
      <c r="O6342" s="8">
        <v>3.3159999999999998</v>
      </c>
      <c r="P6342" s="8">
        <f>EXP(-1.363+3.366*LOG(O6342,10))</f>
        <v>1.4760778676425739</v>
      </c>
      <c r="Q6342" s="8">
        <f>(1148193*100)/12288027</f>
        <v>9.3439980234418432</v>
      </c>
    </row>
    <row r="6343" spans="1:17" x14ac:dyDescent="0.2">
      <c r="A6343">
        <v>2018</v>
      </c>
      <c r="B6343" t="s">
        <v>2974</v>
      </c>
      <c r="C6343" t="s">
        <v>1635</v>
      </c>
      <c r="D6343" t="s">
        <v>2975</v>
      </c>
      <c r="E6343">
        <v>10</v>
      </c>
      <c r="F6343" t="s">
        <v>2284</v>
      </c>
      <c r="G6343" t="s">
        <v>230</v>
      </c>
      <c r="H6343" t="s">
        <v>268</v>
      </c>
      <c r="I6343" t="s">
        <v>22</v>
      </c>
      <c r="J6343" t="s">
        <v>42</v>
      </c>
      <c r="K6343" t="s">
        <v>2285</v>
      </c>
      <c r="L6343" t="s">
        <v>25</v>
      </c>
      <c r="M6343" s="8">
        <v>3.5356666670000001</v>
      </c>
      <c r="N6343">
        <v>3.3109999999999999</v>
      </c>
      <c r="O6343" s="8">
        <v>3.3109999999999999</v>
      </c>
      <c r="P6343" s="8">
        <f>EXP(-1.363+3.366*LOG(O6343,10))</f>
        <v>1.4728254081911478</v>
      </c>
      <c r="Q6343" s="8">
        <f>(3602085*100)/4019599</f>
        <v>89.613043490159086</v>
      </c>
    </row>
    <row r="6344" spans="1:17" x14ac:dyDescent="0.2">
      <c r="A6344">
        <v>2018</v>
      </c>
      <c r="B6344" t="s">
        <v>2877</v>
      </c>
      <c r="C6344" t="s">
        <v>2287</v>
      </c>
      <c r="D6344" t="s">
        <v>2874</v>
      </c>
      <c r="E6344">
        <v>8</v>
      </c>
      <c r="F6344" t="s">
        <v>2284</v>
      </c>
      <c r="G6344" t="s">
        <v>230</v>
      </c>
      <c r="H6344" t="s">
        <v>268</v>
      </c>
      <c r="I6344" t="s">
        <v>22</v>
      </c>
      <c r="J6344" t="s">
        <v>66</v>
      </c>
      <c r="K6344" t="s">
        <v>2285</v>
      </c>
      <c r="L6344" t="s">
        <v>25</v>
      </c>
      <c r="M6344" s="8">
        <v>3.5356666670000001</v>
      </c>
      <c r="N6344">
        <v>3.2949999999999999</v>
      </c>
      <c r="O6344" s="8">
        <v>3.2949999999999999</v>
      </c>
      <c r="P6344" s="8">
        <f>EXP(-1.363+3.366*LOG(O6344,10))</f>
        <v>1.4624327850367169</v>
      </c>
      <c r="Q6344" s="8">
        <f>(859450.9*100)/14749408</f>
        <v>5.8270196336015658</v>
      </c>
    </row>
    <row r="6345" spans="1:17" x14ac:dyDescent="0.2">
      <c r="A6345">
        <v>2018</v>
      </c>
      <c r="B6345" t="s">
        <v>2805</v>
      </c>
      <c r="C6345" t="s">
        <v>50</v>
      </c>
      <c r="D6345" t="s">
        <v>2806</v>
      </c>
      <c r="E6345">
        <v>7</v>
      </c>
      <c r="F6345" t="s">
        <v>2284</v>
      </c>
      <c r="G6345" t="s">
        <v>230</v>
      </c>
      <c r="H6345" t="s">
        <v>268</v>
      </c>
      <c r="I6345" t="s">
        <v>22</v>
      </c>
      <c r="J6345" t="s">
        <v>42</v>
      </c>
      <c r="K6345" t="s">
        <v>2285</v>
      </c>
      <c r="L6345" t="s">
        <v>25</v>
      </c>
      <c r="M6345" s="8">
        <v>3.5356666670000001</v>
      </c>
      <c r="N6345">
        <v>3.28</v>
      </c>
      <c r="O6345" s="8">
        <v>3.28</v>
      </c>
      <c r="P6345" s="8">
        <f>EXP(-1.363+3.366*LOG(O6345,10))</f>
        <v>1.4527108430467415</v>
      </c>
      <c r="Q6345" s="8">
        <f>(4488342*100)/4914798</f>
        <v>91.323020803703429</v>
      </c>
    </row>
    <row r="6346" spans="1:17" x14ac:dyDescent="0.2">
      <c r="A6346">
        <v>2018</v>
      </c>
      <c r="B6346" t="s">
        <v>2951</v>
      </c>
      <c r="C6346" t="s">
        <v>1635</v>
      </c>
      <c r="D6346" t="s">
        <v>2952</v>
      </c>
      <c r="E6346">
        <v>9</v>
      </c>
      <c r="F6346" t="s">
        <v>2284</v>
      </c>
      <c r="G6346" t="s">
        <v>230</v>
      </c>
      <c r="H6346" t="s">
        <v>268</v>
      </c>
      <c r="I6346" t="s">
        <v>22</v>
      </c>
      <c r="J6346" t="s">
        <v>42</v>
      </c>
      <c r="K6346" t="s">
        <v>2285</v>
      </c>
      <c r="L6346" t="s">
        <v>25</v>
      </c>
      <c r="M6346" s="8">
        <v>3.5356666670000001</v>
      </c>
      <c r="N6346">
        <v>3.266</v>
      </c>
      <c r="O6346" s="8">
        <v>3.266</v>
      </c>
      <c r="P6346" s="8">
        <f>EXP(-1.363+3.366*LOG(O6346,10))</f>
        <v>1.4436555355548035</v>
      </c>
      <c r="Q6346" s="8">
        <f>(3602085*100)/4019599</f>
        <v>89.613043490159086</v>
      </c>
    </row>
    <row r="6347" spans="1:17" x14ac:dyDescent="0.2">
      <c r="A6347">
        <v>2018</v>
      </c>
      <c r="B6347" t="s">
        <v>2712</v>
      </c>
      <c r="C6347" t="s">
        <v>1635</v>
      </c>
      <c r="D6347" t="s">
        <v>2703</v>
      </c>
      <c r="E6347">
        <v>5</v>
      </c>
      <c r="F6347" t="s">
        <v>2284</v>
      </c>
      <c r="G6347" t="s">
        <v>1520</v>
      </c>
      <c r="H6347" t="s">
        <v>1528</v>
      </c>
      <c r="I6347" t="s">
        <v>36</v>
      </c>
      <c r="J6347" t="s">
        <v>42</v>
      </c>
      <c r="K6347" t="s">
        <v>2285</v>
      </c>
      <c r="L6347" t="s">
        <v>25</v>
      </c>
      <c r="M6347" s="8">
        <v>3.3860000000000001</v>
      </c>
      <c r="N6347">
        <v>3.26</v>
      </c>
      <c r="O6347" s="8">
        <v>3.26</v>
      </c>
      <c r="P6347" s="8">
        <f>EXP(-1.363+3.366*LOG(O6347,10))</f>
        <v>1.4397801694480989</v>
      </c>
      <c r="Q6347" s="8">
        <f>(3602085*100)/4019599</f>
        <v>89.613043490159086</v>
      </c>
    </row>
    <row r="6348" spans="1:17" x14ac:dyDescent="0.2">
      <c r="A6348">
        <v>2017</v>
      </c>
      <c r="B6348" t="s">
        <v>2570</v>
      </c>
      <c r="C6348" t="s">
        <v>1635</v>
      </c>
      <c r="D6348" t="s">
        <v>2564</v>
      </c>
      <c r="E6348">
        <v>6</v>
      </c>
      <c r="F6348" t="s">
        <v>2284</v>
      </c>
      <c r="G6348" t="s">
        <v>230</v>
      </c>
      <c r="H6348" t="s">
        <v>268</v>
      </c>
      <c r="I6348" t="s">
        <v>22</v>
      </c>
      <c r="J6348" t="s">
        <v>42</v>
      </c>
      <c r="K6348" t="s">
        <v>2285</v>
      </c>
      <c r="L6348" t="s">
        <v>25</v>
      </c>
      <c r="M6348" s="8">
        <v>3.5356666670000001</v>
      </c>
      <c r="N6348">
        <v>3.2549999999999999</v>
      </c>
      <c r="O6348" s="8">
        <v>3.2549999999999999</v>
      </c>
      <c r="P6348" s="8">
        <f>EXP(-1.363+3.366*LOG(O6348,10))</f>
        <v>1.4365532127930389</v>
      </c>
      <c r="Q6348" s="8">
        <f>(3602085*100)/4019599</f>
        <v>89.613043490159086</v>
      </c>
    </row>
    <row r="6349" spans="1:17" x14ac:dyDescent="0.2">
      <c r="A6349">
        <v>2018</v>
      </c>
      <c r="B6349" t="s">
        <v>2813</v>
      </c>
      <c r="C6349" t="s">
        <v>1635</v>
      </c>
      <c r="D6349" t="s">
        <v>2809</v>
      </c>
      <c r="E6349">
        <v>8</v>
      </c>
      <c r="F6349" t="s">
        <v>2284</v>
      </c>
      <c r="G6349" t="s">
        <v>230</v>
      </c>
      <c r="H6349" t="s">
        <v>268</v>
      </c>
      <c r="I6349" t="s">
        <v>22</v>
      </c>
      <c r="J6349" t="s">
        <v>42</v>
      </c>
      <c r="K6349" t="s">
        <v>2285</v>
      </c>
      <c r="L6349" t="s">
        <v>25</v>
      </c>
      <c r="M6349" s="8">
        <v>3.5356666670000001</v>
      </c>
      <c r="N6349">
        <v>3.2480000000000002</v>
      </c>
      <c r="O6349" s="8">
        <v>3.2480000000000002</v>
      </c>
      <c r="P6349" s="8">
        <f>EXP(-1.363+3.366*LOG(O6349,10))</f>
        <v>1.4320393185302573</v>
      </c>
      <c r="Q6349" s="8">
        <f>(3602085*100)/4019599</f>
        <v>89.613043490159086</v>
      </c>
    </row>
    <row r="6350" spans="1:17" x14ac:dyDescent="0.2">
      <c r="A6350">
        <v>2018</v>
      </c>
      <c r="B6350" t="s">
        <v>2933</v>
      </c>
      <c r="C6350" t="s">
        <v>50</v>
      </c>
      <c r="D6350" t="s">
        <v>2927</v>
      </c>
      <c r="E6350">
        <v>9</v>
      </c>
      <c r="F6350" t="s">
        <v>2284</v>
      </c>
      <c r="G6350" t="s">
        <v>230</v>
      </c>
      <c r="H6350" t="s">
        <v>268</v>
      </c>
      <c r="I6350" t="s">
        <v>22</v>
      </c>
      <c r="J6350" t="s">
        <v>42</v>
      </c>
      <c r="K6350" t="s">
        <v>2285</v>
      </c>
      <c r="L6350" t="s">
        <v>25</v>
      </c>
      <c r="M6350" s="8">
        <v>3.5356666670000001</v>
      </c>
      <c r="N6350">
        <v>3.2429999999999999</v>
      </c>
      <c r="O6350" s="8">
        <v>3.2429999999999999</v>
      </c>
      <c r="P6350" s="8">
        <f>EXP(-1.363+3.366*LOG(O6350,10))</f>
        <v>1.428817857387054</v>
      </c>
      <c r="Q6350" s="8">
        <f>(4488342*100)/4914798</f>
        <v>91.323020803703429</v>
      </c>
    </row>
    <row r="6351" spans="1:17" x14ac:dyDescent="0.2">
      <c r="A6351">
        <v>2018</v>
      </c>
      <c r="B6351" t="s">
        <v>2839</v>
      </c>
      <c r="C6351" t="s">
        <v>1635</v>
      </c>
      <c r="D6351" t="s">
        <v>2838</v>
      </c>
      <c r="E6351">
        <v>8</v>
      </c>
      <c r="F6351" t="s">
        <v>2284</v>
      </c>
      <c r="G6351" t="s">
        <v>230</v>
      </c>
      <c r="H6351" t="s">
        <v>268</v>
      </c>
      <c r="I6351" t="s">
        <v>22</v>
      </c>
      <c r="J6351" t="s">
        <v>42</v>
      </c>
      <c r="K6351" t="s">
        <v>2285</v>
      </c>
      <c r="L6351" t="s">
        <v>25</v>
      </c>
      <c r="M6351" s="8">
        <v>3.5356666670000001</v>
      </c>
      <c r="N6351">
        <v>3.2210000000000001</v>
      </c>
      <c r="O6351" s="8">
        <v>3.2210000000000001</v>
      </c>
      <c r="P6351" s="8">
        <f>EXP(-1.363+3.366*LOG(O6351,10))</f>
        <v>1.4146706951613102</v>
      </c>
      <c r="Q6351" s="8">
        <f>(3602085*100)/4019599</f>
        <v>89.613043490159086</v>
      </c>
    </row>
    <row r="6352" spans="1:17" x14ac:dyDescent="0.2">
      <c r="A6352">
        <v>2018</v>
      </c>
      <c r="B6352" t="s">
        <v>2846</v>
      </c>
      <c r="C6352" t="s">
        <v>50</v>
      </c>
      <c r="D6352" t="s">
        <v>2838</v>
      </c>
      <c r="E6352">
        <v>8</v>
      </c>
      <c r="F6352" t="s">
        <v>2284</v>
      </c>
      <c r="G6352" t="s">
        <v>230</v>
      </c>
      <c r="H6352" t="s">
        <v>268</v>
      </c>
      <c r="I6352" t="s">
        <v>22</v>
      </c>
      <c r="J6352" t="s">
        <v>42</v>
      </c>
      <c r="K6352" t="s">
        <v>2285</v>
      </c>
      <c r="L6352" t="s">
        <v>25</v>
      </c>
      <c r="M6352" s="8">
        <v>3.5356666670000001</v>
      </c>
      <c r="N6352">
        <v>3.2130000000000001</v>
      </c>
      <c r="O6352" s="8">
        <v>3.2130000000000001</v>
      </c>
      <c r="P6352" s="8">
        <f>EXP(-1.363+3.366*LOG(O6352,10))</f>
        <v>1.409537310852977</v>
      </c>
      <c r="Q6352" s="8">
        <f>(4488342*100)/4914798</f>
        <v>91.323020803703429</v>
      </c>
    </row>
    <row r="6353" spans="1:17" x14ac:dyDescent="0.2">
      <c r="A6353">
        <v>2018</v>
      </c>
      <c r="B6353" t="s">
        <v>2887</v>
      </c>
      <c r="C6353" t="s">
        <v>1635</v>
      </c>
      <c r="D6353" t="s">
        <v>2886</v>
      </c>
      <c r="E6353">
        <v>9</v>
      </c>
      <c r="F6353" t="s">
        <v>2284</v>
      </c>
      <c r="G6353" t="s">
        <v>230</v>
      </c>
      <c r="H6353" t="s">
        <v>268</v>
      </c>
      <c r="I6353" t="s">
        <v>22</v>
      </c>
      <c r="J6353" t="s">
        <v>42</v>
      </c>
      <c r="K6353" t="s">
        <v>2285</v>
      </c>
      <c r="L6353" t="s">
        <v>25</v>
      </c>
      <c r="M6353" s="8">
        <v>3.5356666670000001</v>
      </c>
      <c r="N6353">
        <v>3.206</v>
      </c>
      <c r="O6353" s="8">
        <v>3.206</v>
      </c>
      <c r="P6353" s="8">
        <f>EXP(-1.363+3.366*LOG(O6353,10))</f>
        <v>1.4050504388082827</v>
      </c>
      <c r="Q6353" s="8">
        <f>(3602085*100)/4019599</f>
        <v>89.613043490159086</v>
      </c>
    </row>
    <row r="6354" spans="1:17" x14ac:dyDescent="0.2">
      <c r="A6354">
        <v>2017</v>
      </c>
      <c r="B6354" t="s">
        <v>2444</v>
      </c>
      <c r="C6354" t="s">
        <v>50</v>
      </c>
      <c r="D6354" t="s">
        <v>2440</v>
      </c>
      <c r="E6354">
        <v>5</v>
      </c>
      <c r="F6354" t="s">
        <v>2284</v>
      </c>
      <c r="G6354" t="s">
        <v>230</v>
      </c>
      <c r="H6354" t="s">
        <v>268</v>
      </c>
      <c r="I6354" t="s">
        <v>22</v>
      </c>
      <c r="J6354" t="s">
        <v>42</v>
      </c>
      <c r="K6354" t="s">
        <v>2285</v>
      </c>
      <c r="L6354" t="s">
        <v>25</v>
      </c>
      <c r="M6354" s="8">
        <v>3.5356666670000001</v>
      </c>
      <c r="N6354">
        <v>3.2010000000000001</v>
      </c>
      <c r="O6354" s="8">
        <v>3.2010000000000001</v>
      </c>
      <c r="P6354" s="8">
        <f>EXP(-1.363+3.366*LOG(O6354,10))</f>
        <v>1.4018482985684766</v>
      </c>
      <c r="Q6354" s="8">
        <f>(4488342*100)/4914798</f>
        <v>91.323020803703429</v>
      </c>
    </row>
    <row r="6355" spans="1:17" x14ac:dyDescent="0.2">
      <c r="A6355">
        <v>2018</v>
      </c>
      <c r="B6355" t="s">
        <v>2697</v>
      </c>
      <c r="C6355" t="s">
        <v>50</v>
      </c>
      <c r="D6355" t="s">
        <v>2694</v>
      </c>
      <c r="E6355">
        <v>5</v>
      </c>
      <c r="F6355" t="s">
        <v>2284</v>
      </c>
      <c r="G6355" t="s">
        <v>230</v>
      </c>
      <c r="H6355" t="s">
        <v>268</v>
      </c>
      <c r="I6355" t="s">
        <v>22</v>
      </c>
      <c r="J6355" t="s">
        <v>42</v>
      </c>
      <c r="K6355" t="s">
        <v>2285</v>
      </c>
      <c r="L6355" t="s">
        <v>25</v>
      </c>
      <c r="M6355" s="8">
        <v>3.5356666670000001</v>
      </c>
      <c r="N6355">
        <v>3.1909999999999998</v>
      </c>
      <c r="O6355" s="8">
        <v>3.1909999999999998</v>
      </c>
      <c r="P6355" s="8">
        <f>EXP(-1.363+3.366*LOG(O6355,10))</f>
        <v>1.3954509475315466</v>
      </c>
      <c r="Q6355" s="8">
        <f>(4488342*100)/4914798</f>
        <v>91.323020803703429</v>
      </c>
    </row>
    <row r="6356" spans="1:17" x14ac:dyDescent="0.2">
      <c r="A6356">
        <v>2018</v>
      </c>
      <c r="B6356" t="s">
        <v>2804</v>
      </c>
      <c r="C6356" t="s">
        <v>50</v>
      </c>
      <c r="D6356" t="s">
        <v>2803</v>
      </c>
      <c r="E6356">
        <v>7</v>
      </c>
      <c r="F6356" t="s">
        <v>2284</v>
      </c>
      <c r="G6356" t="s">
        <v>230</v>
      </c>
      <c r="H6356" t="s">
        <v>268</v>
      </c>
      <c r="I6356" t="s">
        <v>22</v>
      </c>
      <c r="J6356" t="s">
        <v>42</v>
      </c>
      <c r="K6356" t="s">
        <v>2285</v>
      </c>
      <c r="L6356" t="s">
        <v>25</v>
      </c>
      <c r="M6356" s="8">
        <v>3.5356666670000001</v>
      </c>
      <c r="N6356">
        <v>3.1869999999999998</v>
      </c>
      <c r="O6356" s="8">
        <v>3.1869999999999998</v>
      </c>
      <c r="P6356" s="8">
        <f>EXP(-1.363+3.366*LOG(O6356,10))</f>
        <v>1.3928945968688298</v>
      </c>
      <c r="Q6356" s="8">
        <f>(4488342*100)/4914798</f>
        <v>91.323020803703429</v>
      </c>
    </row>
    <row r="6357" spans="1:17" x14ac:dyDescent="0.2">
      <c r="A6357">
        <v>2018</v>
      </c>
      <c r="B6357" t="s">
        <v>2931</v>
      </c>
      <c r="C6357" t="s">
        <v>50</v>
      </c>
      <c r="D6357" t="s">
        <v>2927</v>
      </c>
      <c r="E6357">
        <v>9</v>
      </c>
      <c r="F6357" t="s">
        <v>2284</v>
      </c>
      <c r="G6357" t="s">
        <v>230</v>
      </c>
      <c r="H6357" t="s">
        <v>268</v>
      </c>
      <c r="I6357" t="s">
        <v>22</v>
      </c>
      <c r="J6357" t="s">
        <v>42</v>
      </c>
      <c r="K6357" t="s">
        <v>2285</v>
      </c>
      <c r="L6357" t="s">
        <v>25</v>
      </c>
      <c r="M6357" s="8">
        <v>3.5356666670000001</v>
      </c>
      <c r="N6357">
        <v>3.1840000000000002</v>
      </c>
      <c r="O6357" s="8">
        <v>3.1840000000000002</v>
      </c>
      <c r="P6357" s="8">
        <f>EXP(-1.363+3.366*LOG(O6357,10))</f>
        <v>1.3909783059573628</v>
      </c>
      <c r="Q6357" s="8">
        <f>(4488342*100)/4914798</f>
        <v>91.323020803703429</v>
      </c>
    </row>
    <row r="6358" spans="1:17" x14ac:dyDescent="0.2">
      <c r="A6358">
        <v>2018</v>
      </c>
      <c r="B6358" t="s">
        <v>2796</v>
      </c>
      <c r="C6358" t="s">
        <v>1635</v>
      </c>
      <c r="D6358" t="s">
        <v>2794</v>
      </c>
      <c r="E6358">
        <v>7</v>
      </c>
      <c r="F6358" t="s">
        <v>2284</v>
      </c>
      <c r="G6358" t="s">
        <v>230</v>
      </c>
      <c r="H6358" t="s">
        <v>268</v>
      </c>
      <c r="I6358" t="s">
        <v>22</v>
      </c>
      <c r="J6358" t="s">
        <v>42</v>
      </c>
      <c r="K6358" t="s">
        <v>2285</v>
      </c>
      <c r="L6358" t="s">
        <v>25</v>
      </c>
      <c r="M6358" s="8">
        <v>3.5356666670000001</v>
      </c>
      <c r="N6358">
        <v>3.1789999999999998</v>
      </c>
      <c r="O6358" s="8">
        <v>3.1789999999999998</v>
      </c>
      <c r="P6358" s="8">
        <f>EXP(-1.363+3.366*LOG(O6358,10))</f>
        <v>1.3877863406149316</v>
      </c>
      <c r="Q6358" s="8">
        <f>(3602085*100)/4019599</f>
        <v>89.613043490159086</v>
      </c>
    </row>
    <row r="6359" spans="1:17" x14ac:dyDescent="0.2">
      <c r="A6359">
        <v>2018</v>
      </c>
      <c r="B6359" t="s">
        <v>2882</v>
      </c>
      <c r="C6359" t="s">
        <v>2283</v>
      </c>
      <c r="D6359" t="s">
        <v>2883</v>
      </c>
      <c r="E6359">
        <v>8</v>
      </c>
      <c r="F6359" t="s">
        <v>2284</v>
      </c>
      <c r="G6359" t="s">
        <v>230</v>
      </c>
      <c r="H6359" t="s">
        <v>268</v>
      </c>
      <c r="I6359" t="s">
        <v>22</v>
      </c>
      <c r="J6359" t="s">
        <v>66</v>
      </c>
      <c r="K6359" t="s">
        <v>2285</v>
      </c>
      <c r="L6359" t="s">
        <v>25</v>
      </c>
      <c r="M6359" s="8">
        <v>3.5356666670000001</v>
      </c>
      <c r="N6359">
        <v>3.1659999999999999</v>
      </c>
      <c r="O6359" s="8">
        <v>3.1659999999999999</v>
      </c>
      <c r="P6359" s="8">
        <f>EXP(-1.363+3.366*LOG(O6359,10))</f>
        <v>1.3794980827121506</v>
      </c>
      <c r="Q6359" s="8">
        <f>(1148193*100)/12288027</f>
        <v>9.3439980234418432</v>
      </c>
    </row>
    <row r="6360" spans="1:17" x14ac:dyDescent="0.2">
      <c r="A6360">
        <v>2018</v>
      </c>
      <c r="B6360" t="s">
        <v>2765</v>
      </c>
      <c r="C6360" t="s">
        <v>50</v>
      </c>
      <c r="D6360" t="s">
        <v>2763</v>
      </c>
      <c r="E6360">
        <v>6</v>
      </c>
      <c r="F6360" t="s">
        <v>2284</v>
      </c>
      <c r="G6360" t="s">
        <v>230</v>
      </c>
      <c r="H6360" t="s">
        <v>268</v>
      </c>
      <c r="I6360" t="s">
        <v>22</v>
      </c>
      <c r="J6360" t="s">
        <v>42</v>
      </c>
      <c r="K6360" t="s">
        <v>2285</v>
      </c>
      <c r="L6360" t="s">
        <v>25</v>
      </c>
      <c r="M6360" s="8">
        <v>3.5356666670000001</v>
      </c>
      <c r="N6360">
        <v>3.141</v>
      </c>
      <c r="O6360" s="8">
        <v>3.141</v>
      </c>
      <c r="P6360" s="8">
        <f>EXP(-1.363+3.366*LOG(O6360,10))</f>
        <v>1.3636032898740855</v>
      </c>
      <c r="Q6360" s="8">
        <f>(4488342*100)/4914798</f>
        <v>91.323020803703429</v>
      </c>
    </row>
    <row r="6361" spans="1:17" x14ac:dyDescent="0.2">
      <c r="A6361">
        <v>2018</v>
      </c>
      <c r="B6361" t="s">
        <v>2934</v>
      </c>
      <c r="C6361" t="s">
        <v>2287</v>
      </c>
      <c r="D6361" t="s">
        <v>2927</v>
      </c>
      <c r="E6361">
        <v>9</v>
      </c>
      <c r="F6361" t="s">
        <v>2284</v>
      </c>
      <c r="G6361" t="s">
        <v>230</v>
      </c>
      <c r="H6361" t="s">
        <v>268</v>
      </c>
      <c r="I6361" t="s">
        <v>22</v>
      </c>
      <c r="J6361" t="s">
        <v>66</v>
      </c>
      <c r="K6361" t="s">
        <v>2285</v>
      </c>
      <c r="L6361" t="s">
        <v>25</v>
      </c>
      <c r="M6361" s="8">
        <v>3.5356666670000001</v>
      </c>
      <c r="N6361">
        <v>3.1339999999999999</v>
      </c>
      <c r="O6361" s="8">
        <v>3.1339999999999999</v>
      </c>
      <c r="P6361" s="8">
        <f>EXP(-1.363+3.366*LOG(O6361,10))</f>
        <v>1.3591631881195956</v>
      </c>
      <c r="Q6361" s="8">
        <f>(859450.9*100)/14749408</f>
        <v>5.8270196336015658</v>
      </c>
    </row>
    <row r="6362" spans="1:17" x14ac:dyDescent="0.2">
      <c r="A6362">
        <v>2017</v>
      </c>
      <c r="B6362" t="s">
        <v>2544</v>
      </c>
      <c r="C6362" t="s">
        <v>1635</v>
      </c>
      <c r="D6362" t="s">
        <v>2543</v>
      </c>
      <c r="E6362">
        <v>6</v>
      </c>
      <c r="F6362" t="s">
        <v>2284</v>
      </c>
      <c r="G6362" t="s">
        <v>230</v>
      </c>
      <c r="H6362" t="s">
        <v>268</v>
      </c>
      <c r="I6362" t="s">
        <v>22</v>
      </c>
      <c r="J6362" t="s">
        <v>42</v>
      </c>
      <c r="K6362" t="s">
        <v>2285</v>
      </c>
      <c r="L6362" t="s">
        <v>25</v>
      </c>
      <c r="M6362" s="8">
        <v>3.5356666670000001</v>
      </c>
      <c r="N6362">
        <v>3.133</v>
      </c>
      <c r="O6362" s="8">
        <v>3.133</v>
      </c>
      <c r="P6362" s="8">
        <f>EXP(-1.363+3.366*LOG(O6362,10))</f>
        <v>1.3585292614372764</v>
      </c>
      <c r="Q6362" s="8">
        <f>(3602085*100)/4019599</f>
        <v>89.613043490159086</v>
      </c>
    </row>
    <row r="6363" spans="1:17" x14ac:dyDescent="0.2">
      <c r="A6363">
        <v>2017</v>
      </c>
      <c r="B6363" t="s">
        <v>2428</v>
      </c>
      <c r="C6363" t="s">
        <v>50</v>
      </c>
      <c r="D6363" t="s">
        <v>2425</v>
      </c>
      <c r="E6363">
        <v>5</v>
      </c>
      <c r="F6363" t="s">
        <v>2284</v>
      </c>
      <c r="G6363" t="s">
        <v>230</v>
      </c>
      <c r="H6363" t="s">
        <v>268</v>
      </c>
      <c r="I6363" t="s">
        <v>22</v>
      </c>
      <c r="J6363" t="s">
        <v>42</v>
      </c>
      <c r="K6363" t="s">
        <v>2285</v>
      </c>
      <c r="L6363" t="s">
        <v>25</v>
      </c>
      <c r="M6363" s="8">
        <v>3.5356666670000001</v>
      </c>
      <c r="N6363">
        <v>3.1150000000000002</v>
      </c>
      <c r="O6363" s="8">
        <v>3.1150000000000002</v>
      </c>
      <c r="P6363" s="8">
        <f>EXP(-1.363+3.366*LOG(O6363,10))</f>
        <v>1.3471345750145243</v>
      </c>
      <c r="Q6363" s="8">
        <f>(4488342*100)/4914798</f>
        <v>91.323020803703429</v>
      </c>
    </row>
    <row r="6364" spans="1:17" x14ac:dyDescent="0.2">
      <c r="A6364">
        <v>2018</v>
      </c>
      <c r="B6364" t="s">
        <v>2873</v>
      </c>
      <c r="C6364" t="s">
        <v>50</v>
      </c>
      <c r="D6364" t="s">
        <v>2874</v>
      </c>
      <c r="E6364">
        <v>8</v>
      </c>
      <c r="F6364" t="s">
        <v>2284</v>
      </c>
      <c r="G6364" t="s">
        <v>230</v>
      </c>
      <c r="H6364" t="s">
        <v>268</v>
      </c>
      <c r="I6364" t="s">
        <v>22</v>
      </c>
      <c r="J6364" t="s">
        <v>42</v>
      </c>
      <c r="K6364" t="s">
        <v>2285</v>
      </c>
      <c r="L6364" t="s">
        <v>25</v>
      </c>
      <c r="M6364" s="8">
        <v>3.5356666670000001</v>
      </c>
      <c r="N6364">
        <v>3.0939999999999999</v>
      </c>
      <c r="O6364" s="8">
        <v>3.0939999999999999</v>
      </c>
      <c r="P6364" s="8">
        <f>EXP(-1.363+3.366*LOG(O6364,10))</f>
        <v>1.3338791635138221</v>
      </c>
      <c r="Q6364" s="8">
        <f>(4488342*100)/4914798</f>
        <v>91.323020803703429</v>
      </c>
    </row>
    <row r="6365" spans="1:17" x14ac:dyDescent="0.2">
      <c r="A6365">
        <v>2017</v>
      </c>
      <c r="B6365" t="s">
        <v>2555</v>
      </c>
      <c r="C6365" t="s">
        <v>52</v>
      </c>
      <c r="D6365" t="s">
        <v>2554</v>
      </c>
      <c r="E6365">
        <v>6</v>
      </c>
      <c r="F6365" t="s">
        <v>2284</v>
      </c>
      <c r="G6365" t="s">
        <v>230</v>
      </c>
      <c r="H6365" t="s">
        <v>268</v>
      </c>
      <c r="I6365" t="s">
        <v>22</v>
      </c>
      <c r="J6365" t="s">
        <v>42</v>
      </c>
      <c r="K6365" t="s">
        <v>2285</v>
      </c>
      <c r="L6365" t="s">
        <v>25</v>
      </c>
      <c r="M6365" s="8">
        <v>3.5356666670000001</v>
      </c>
      <c r="N6365">
        <v>3.0870000000000002</v>
      </c>
      <c r="O6365" s="8">
        <v>3.0870000000000002</v>
      </c>
      <c r="P6365" s="8">
        <f>EXP(-1.363+3.366*LOG(O6365,10))</f>
        <v>1.3294699046296736</v>
      </c>
      <c r="Q6365" s="8">
        <f>(1626350*100)/1973941</f>
        <v>82.391013713175823</v>
      </c>
    </row>
    <row r="6366" spans="1:17" x14ac:dyDescent="0.2">
      <c r="A6366">
        <v>2018</v>
      </c>
      <c r="B6366" t="s">
        <v>2757</v>
      </c>
      <c r="C6366" t="s">
        <v>1635</v>
      </c>
      <c r="D6366" t="s">
        <v>2753</v>
      </c>
      <c r="E6366">
        <v>6</v>
      </c>
      <c r="F6366" t="s">
        <v>2284</v>
      </c>
      <c r="G6366" t="s">
        <v>1520</v>
      </c>
      <c r="H6366" t="s">
        <v>1528</v>
      </c>
      <c r="I6366" t="s">
        <v>22</v>
      </c>
      <c r="J6366" t="s">
        <v>42</v>
      </c>
      <c r="K6366" t="s">
        <v>2285</v>
      </c>
      <c r="L6366" t="s">
        <v>25</v>
      </c>
      <c r="M6366" s="8">
        <v>3.624333333</v>
      </c>
      <c r="N6366">
        <v>3.085</v>
      </c>
      <c r="O6366" s="8">
        <v>3.085</v>
      </c>
      <c r="P6366" s="8">
        <f>EXP(-1.363+3.366*LOG(O6366,10))</f>
        <v>1.3282109638135438</v>
      </c>
      <c r="Q6366" s="8">
        <f>(3602085*100)/4019599</f>
        <v>89.613043490159086</v>
      </c>
    </row>
    <row r="6367" spans="1:17" x14ac:dyDescent="0.2">
      <c r="A6367">
        <v>2017</v>
      </c>
      <c r="B6367" t="s">
        <v>2535</v>
      </c>
      <c r="C6367" t="s">
        <v>50</v>
      </c>
      <c r="D6367" t="s">
        <v>2533</v>
      </c>
      <c r="E6367">
        <v>6</v>
      </c>
      <c r="F6367" t="s">
        <v>2284</v>
      </c>
      <c r="G6367" t="s">
        <v>230</v>
      </c>
      <c r="H6367" t="s">
        <v>268</v>
      </c>
      <c r="I6367" t="s">
        <v>22</v>
      </c>
      <c r="J6367" t="s">
        <v>42</v>
      </c>
      <c r="K6367" t="s">
        <v>2285</v>
      </c>
      <c r="L6367" t="s">
        <v>25</v>
      </c>
      <c r="M6367" s="8">
        <v>3.5356666670000001</v>
      </c>
      <c r="N6367">
        <v>3.0840000000000001</v>
      </c>
      <c r="O6367" s="8">
        <v>3.0840000000000001</v>
      </c>
      <c r="P6367" s="8">
        <f>EXP(-1.363+3.366*LOG(O6367,10))</f>
        <v>1.327581634726972</v>
      </c>
      <c r="Q6367" s="8">
        <f>(4488342*100)/4914798</f>
        <v>91.323020803703429</v>
      </c>
    </row>
    <row r="6368" spans="1:17" x14ac:dyDescent="0.2">
      <c r="A6368">
        <v>2018</v>
      </c>
      <c r="B6368" t="s">
        <v>2890</v>
      </c>
      <c r="C6368" t="s">
        <v>50</v>
      </c>
      <c r="D6368" t="s">
        <v>2886</v>
      </c>
      <c r="E6368">
        <v>9</v>
      </c>
      <c r="F6368" t="s">
        <v>2284</v>
      </c>
      <c r="G6368" t="s">
        <v>230</v>
      </c>
      <c r="H6368" t="s">
        <v>268</v>
      </c>
      <c r="I6368" t="s">
        <v>22</v>
      </c>
      <c r="J6368" t="s">
        <v>42</v>
      </c>
      <c r="K6368" t="s">
        <v>2285</v>
      </c>
      <c r="L6368" t="s">
        <v>25</v>
      </c>
      <c r="M6368" s="8">
        <v>3.5356666670000001</v>
      </c>
      <c r="N6368">
        <v>3.069</v>
      </c>
      <c r="O6368" s="8">
        <v>3.069</v>
      </c>
      <c r="P6368" s="8">
        <f>EXP(-1.363+3.366*LOG(O6368,10))</f>
        <v>1.3181530160040915</v>
      </c>
      <c r="Q6368" s="8">
        <f>(4488342*100)/4914798</f>
        <v>91.323020803703429</v>
      </c>
    </row>
    <row r="6369" spans="1:17" x14ac:dyDescent="0.2">
      <c r="A6369">
        <v>2017</v>
      </c>
      <c r="B6369" t="s">
        <v>2344</v>
      </c>
      <c r="C6369" t="s">
        <v>50</v>
      </c>
      <c r="D6369" t="s">
        <v>2337</v>
      </c>
      <c r="E6369">
        <v>4</v>
      </c>
      <c r="F6369" t="s">
        <v>2284</v>
      </c>
      <c r="G6369" t="s">
        <v>1532</v>
      </c>
      <c r="H6369" t="s">
        <v>1944</v>
      </c>
      <c r="I6369" t="s">
        <v>22</v>
      </c>
      <c r="J6369" t="s">
        <v>42</v>
      </c>
      <c r="K6369" t="s">
        <v>2285</v>
      </c>
      <c r="L6369" t="s">
        <v>25</v>
      </c>
      <c r="M6369" s="8">
        <v>3.7026666669999999</v>
      </c>
      <c r="N6369">
        <v>3.0640000000000001</v>
      </c>
      <c r="O6369" s="8">
        <v>3.0640000000000001</v>
      </c>
      <c r="P6369" s="8">
        <f>EXP(-1.363+3.366*LOG(O6369,10))</f>
        <v>1.315014864533065</v>
      </c>
      <c r="Q6369" s="8">
        <f>(4488342*100)/4914798</f>
        <v>91.323020803703429</v>
      </c>
    </row>
    <row r="6370" spans="1:17" x14ac:dyDescent="0.2">
      <c r="A6370">
        <v>2018</v>
      </c>
      <c r="B6370" t="s">
        <v>2954</v>
      </c>
      <c r="C6370" t="s">
        <v>2287</v>
      </c>
      <c r="D6370" t="s">
        <v>2955</v>
      </c>
      <c r="E6370">
        <v>9</v>
      </c>
      <c r="F6370" t="s">
        <v>2284</v>
      </c>
      <c r="G6370" t="s">
        <v>230</v>
      </c>
      <c r="H6370" t="s">
        <v>268</v>
      </c>
      <c r="I6370" t="s">
        <v>22</v>
      </c>
      <c r="J6370" t="s">
        <v>66</v>
      </c>
      <c r="K6370" t="s">
        <v>2285</v>
      </c>
      <c r="L6370" t="s">
        <v>25</v>
      </c>
      <c r="M6370" s="8">
        <v>3.5356666670000001</v>
      </c>
      <c r="N6370">
        <v>3.056</v>
      </c>
      <c r="O6370" s="8">
        <v>3.056</v>
      </c>
      <c r="P6370" s="8">
        <f>EXP(-1.363+3.366*LOG(O6370,10))</f>
        <v>1.309998740517655</v>
      </c>
      <c r="Q6370" s="8">
        <f>(859450.9*100)/14749408</f>
        <v>5.8270196336015658</v>
      </c>
    </row>
    <row r="6371" spans="1:17" x14ac:dyDescent="0.2">
      <c r="A6371">
        <v>2017</v>
      </c>
      <c r="B6371" t="s">
        <v>2536</v>
      </c>
      <c r="C6371" t="s">
        <v>52</v>
      </c>
      <c r="D6371" t="s">
        <v>2533</v>
      </c>
      <c r="E6371">
        <v>6</v>
      </c>
      <c r="F6371" t="s">
        <v>2284</v>
      </c>
      <c r="G6371" t="s">
        <v>230</v>
      </c>
      <c r="H6371" t="s">
        <v>268</v>
      </c>
      <c r="I6371" t="s">
        <v>22</v>
      </c>
      <c r="J6371" t="s">
        <v>42</v>
      </c>
      <c r="K6371" t="s">
        <v>2285</v>
      </c>
      <c r="L6371" t="s">
        <v>25</v>
      </c>
      <c r="M6371" s="8">
        <v>3.5356666670000001</v>
      </c>
      <c r="N6371">
        <v>3.0470000000000002</v>
      </c>
      <c r="O6371" s="8">
        <v>3.0470000000000002</v>
      </c>
      <c r="P6371" s="8">
        <f>EXP(-1.363+3.366*LOG(O6371,10))</f>
        <v>1.3043628459741048</v>
      </c>
      <c r="Q6371" s="8">
        <f>(1626350*100)/1973941</f>
        <v>82.391013713175823</v>
      </c>
    </row>
    <row r="6372" spans="1:17" x14ac:dyDescent="0.2">
      <c r="A6372">
        <v>2017</v>
      </c>
      <c r="B6372" t="s">
        <v>2473</v>
      </c>
      <c r="C6372" t="s">
        <v>50</v>
      </c>
      <c r="D6372" t="s">
        <v>2474</v>
      </c>
      <c r="E6372">
        <v>5</v>
      </c>
      <c r="F6372" t="s">
        <v>2284</v>
      </c>
      <c r="G6372" t="s">
        <v>230</v>
      </c>
      <c r="H6372" t="s">
        <v>268</v>
      </c>
      <c r="I6372" t="s">
        <v>22</v>
      </c>
      <c r="J6372" t="s">
        <v>42</v>
      </c>
      <c r="K6372" t="s">
        <v>2285</v>
      </c>
      <c r="L6372" t="s">
        <v>25</v>
      </c>
      <c r="M6372" s="8">
        <v>3.5356666670000001</v>
      </c>
      <c r="N6372">
        <v>3.0409999999999999</v>
      </c>
      <c r="O6372" s="8">
        <v>3.0409999999999999</v>
      </c>
      <c r="P6372" s="8">
        <f>EXP(-1.363+3.366*LOG(O6372,10))</f>
        <v>1.3006098504594585</v>
      </c>
      <c r="Q6372" s="8">
        <f>(4488342*100)/4914798</f>
        <v>91.323020803703429</v>
      </c>
    </row>
    <row r="6373" spans="1:17" x14ac:dyDescent="0.2">
      <c r="A6373">
        <v>2018</v>
      </c>
      <c r="B6373" t="s">
        <v>2889</v>
      </c>
      <c r="C6373" t="s">
        <v>50</v>
      </c>
      <c r="D6373" t="s">
        <v>2886</v>
      </c>
      <c r="E6373">
        <v>9</v>
      </c>
      <c r="F6373" t="s">
        <v>2284</v>
      </c>
      <c r="G6373" t="s">
        <v>230</v>
      </c>
      <c r="H6373" t="s">
        <v>268</v>
      </c>
      <c r="I6373" t="s">
        <v>22</v>
      </c>
      <c r="J6373" t="s">
        <v>42</v>
      </c>
      <c r="K6373" t="s">
        <v>2285</v>
      </c>
      <c r="L6373" t="s">
        <v>25</v>
      </c>
      <c r="M6373" s="8">
        <v>3.5356666670000001</v>
      </c>
      <c r="N6373">
        <v>3.0379999999999998</v>
      </c>
      <c r="O6373" s="8">
        <v>3.0379999999999998</v>
      </c>
      <c r="P6373" s="8">
        <f>EXP(-1.363+3.366*LOG(O6373,10))</f>
        <v>1.2987346343144417</v>
      </c>
      <c r="Q6373" s="8">
        <f>(4488342*100)/4914798</f>
        <v>91.323020803703429</v>
      </c>
    </row>
    <row r="6374" spans="1:17" x14ac:dyDescent="0.2">
      <c r="A6374">
        <v>2018</v>
      </c>
      <c r="B6374" t="s">
        <v>2995</v>
      </c>
      <c r="C6374" t="s">
        <v>50</v>
      </c>
      <c r="D6374" t="s">
        <v>2996</v>
      </c>
      <c r="E6374">
        <v>11</v>
      </c>
      <c r="F6374" t="s">
        <v>2284</v>
      </c>
      <c r="G6374" t="s">
        <v>230</v>
      </c>
      <c r="H6374" t="s">
        <v>268</v>
      </c>
      <c r="I6374" t="s">
        <v>36</v>
      </c>
      <c r="J6374" t="s">
        <v>42</v>
      </c>
      <c r="K6374" t="s">
        <v>2285</v>
      </c>
      <c r="L6374" t="s">
        <v>25</v>
      </c>
      <c r="M6374" s="8">
        <v>3.3683333329999998</v>
      </c>
      <c r="N6374">
        <v>3.0270000000000001</v>
      </c>
      <c r="O6374" s="8">
        <v>3.0270000000000001</v>
      </c>
      <c r="P6374" s="8">
        <f>EXP(-1.363+3.366*LOG(O6374,10))</f>
        <v>1.2918661603573771</v>
      </c>
      <c r="Q6374" s="8">
        <f>(4488342*100)/4914798</f>
        <v>91.323020803703429</v>
      </c>
    </row>
    <row r="6375" spans="1:17" x14ac:dyDescent="0.2">
      <c r="A6375">
        <v>2018</v>
      </c>
      <c r="B6375" t="s">
        <v>2790</v>
      </c>
      <c r="C6375" t="s">
        <v>50</v>
      </c>
      <c r="D6375" t="s">
        <v>2786</v>
      </c>
      <c r="E6375">
        <v>6</v>
      </c>
      <c r="F6375" t="s">
        <v>2284</v>
      </c>
      <c r="G6375" t="s">
        <v>1520</v>
      </c>
      <c r="H6375" t="s">
        <v>1521</v>
      </c>
      <c r="I6375" t="s">
        <v>22</v>
      </c>
      <c r="J6375" t="s">
        <v>42</v>
      </c>
      <c r="K6375" t="s">
        <v>2285</v>
      </c>
      <c r="L6375" t="s">
        <v>25</v>
      </c>
      <c r="M6375" s="8">
        <v>2.952</v>
      </c>
      <c r="N6375">
        <v>3.0209999999999999</v>
      </c>
      <c r="O6375" s="8">
        <v>3.0209999999999999</v>
      </c>
      <c r="P6375" s="8">
        <f>EXP(-1.363+3.366*LOG(O6375,10))</f>
        <v>1.2881245731248177</v>
      </c>
      <c r="Q6375" s="8">
        <f>(4488342*100)/4914798</f>
        <v>91.323020803703429</v>
      </c>
    </row>
    <row r="6376" spans="1:17" x14ac:dyDescent="0.2">
      <c r="A6376">
        <v>2017</v>
      </c>
      <c r="B6376" t="s">
        <v>2534</v>
      </c>
      <c r="C6376" t="s">
        <v>50</v>
      </c>
      <c r="D6376" t="s">
        <v>2533</v>
      </c>
      <c r="E6376">
        <v>6</v>
      </c>
      <c r="F6376" t="s">
        <v>2284</v>
      </c>
      <c r="G6376" t="s">
        <v>230</v>
      </c>
      <c r="H6376" t="s">
        <v>268</v>
      </c>
      <c r="I6376" t="s">
        <v>22</v>
      </c>
      <c r="J6376" t="s">
        <v>42</v>
      </c>
      <c r="K6376" t="s">
        <v>2285</v>
      </c>
      <c r="L6376" t="s">
        <v>25</v>
      </c>
      <c r="M6376" s="8">
        <v>3.5356666670000001</v>
      </c>
      <c r="N6376">
        <v>3.0169999999999999</v>
      </c>
      <c r="O6376" s="8">
        <v>3.0169999999999999</v>
      </c>
      <c r="P6376" s="8">
        <f>EXP(-1.363+3.366*LOG(O6376,10))</f>
        <v>1.28563208718667</v>
      </c>
      <c r="Q6376" s="8">
        <f>(4488342*100)/4914798</f>
        <v>91.323020803703429</v>
      </c>
    </row>
    <row r="6377" spans="1:17" x14ac:dyDescent="0.2">
      <c r="A6377">
        <v>2017</v>
      </c>
      <c r="B6377" t="s">
        <v>2502</v>
      </c>
      <c r="C6377" t="s">
        <v>50</v>
      </c>
      <c r="D6377" t="s">
        <v>2501</v>
      </c>
      <c r="E6377">
        <v>6</v>
      </c>
      <c r="F6377" t="s">
        <v>2284</v>
      </c>
      <c r="G6377" t="s">
        <v>230</v>
      </c>
      <c r="H6377" t="s">
        <v>268</v>
      </c>
      <c r="I6377" t="s">
        <v>22</v>
      </c>
      <c r="J6377" t="s">
        <v>42</v>
      </c>
      <c r="K6377" t="s">
        <v>2285</v>
      </c>
      <c r="L6377" t="s">
        <v>25</v>
      </c>
      <c r="M6377" s="8">
        <v>3.5356666670000001</v>
      </c>
      <c r="N6377">
        <v>2.9910000000000001</v>
      </c>
      <c r="O6377" s="8">
        <v>2.9910000000000001</v>
      </c>
      <c r="P6377" s="8">
        <f>EXP(-1.363+3.366*LOG(O6377,10))</f>
        <v>1.2694681665451197</v>
      </c>
      <c r="Q6377" s="8">
        <f>(4488342*100)/4914798</f>
        <v>91.323020803703429</v>
      </c>
    </row>
    <row r="6378" spans="1:17" x14ac:dyDescent="0.2">
      <c r="A6378">
        <v>2018</v>
      </c>
      <c r="B6378" t="s">
        <v>2845</v>
      </c>
      <c r="C6378" t="s">
        <v>50</v>
      </c>
      <c r="D6378" t="s">
        <v>2838</v>
      </c>
      <c r="E6378">
        <v>8</v>
      </c>
      <c r="F6378" t="s">
        <v>2284</v>
      </c>
      <c r="G6378" t="s">
        <v>230</v>
      </c>
      <c r="H6378" t="s">
        <v>268</v>
      </c>
      <c r="I6378" t="s">
        <v>22</v>
      </c>
      <c r="J6378" t="s">
        <v>42</v>
      </c>
      <c r="K6378" t="s">
        <v>2285</v>
      </c>
      <c r="L6378" t="s">
        <v>25</v>
      </c>
      <c r="M6378" s="8">
        <v>3.5356666670000001</v>
      </c>
      <c r="N6378">
        <v>2.99</v>
      </c>
      <c r="O6378" s="8">
        <v>2.99</v>
      </c>
      <c r="P6378" s="8">
        <f>EXP(-1.363+3.366*LOG(O6378,10))</f>
        <v>1.2688477686836013</v>
      </c>
      <c r="Q6378" s="8">
        <f>(4488342*100)/4914798</f>
        <v>91.323020803703429</v>
      </c>
    </row>
    <row r="6379" spans="1:17" x14ac:dyDescent="0.2">
      <c r="A6379">
        <v>2018</v>
      </c>
      <c r="B6379" t="s">
        <v>2832</v>
      </c>
      <c r="C6379" t="s">
        <v>2287</v>
      </c>
      <c r="D6379" t="s">
        <v>2829</v>
      </c>
      <c r="E6379">
        <v>8</v>
      </c>
      <c r="F6379" t="s">
        <v>2284</v>
      </c>
      <c r="G6379" t="s">
        <v>230</v>
      </c>
      <c r="H6379" t="s">
        <v>268</v>
      </c>
      <c r="I6379" t="s">
        <v>22</v>
      </c>
      <c r="J6379" t="s">
        <v>66</v>
      </c>
      <c r="K6379" t="s">
        <v>2285</v>
      </c>
      <c r="L6379" t="s">
        <v>25</v>
      </c>
      <c r="M6379" s="8">
        <v>3.5356666670000001</v>
      </c>
      <c r="N6379">
        <v>2.9740000000000002</v>
      </c>
      <c r="O6379" s="8">
        <v>2.9740000000000002</v>
      </c>
      <c r="P6379" s="8">
        <f>EXP(-1.363+3.366*LOG(O6379,10))</f>
        <v>1.258934446064748</v>
      </c>
      <c r="Q6379" s="8">
        <f>(859450.9*100)/14749408</f>
        <v>5.8270196336015658</v>
      </c>
    </row>
    <row r="6380" spans="1:17" x14ac:dyDescent="0.2">
      <c r="A6380">
        <v>2018</v>
      </c>
      <c r="B6380" t="s">
        <v>2932</v>
      </c>
      <c r="C6380" t="s">
        <v>50</v>
      </c>
      <c r="D6380" t="s">
        <v>2927</v>
      </c>
      <c r="E6380">
        <v>9</v>
      </c>
      <c r="F6380" t="s">
        <v>2284</v>
      </c>
      <c r="G6380" t="s">
        <v>230</v>
      </c>
      <c r="H6380" t="s">
        <v>268</v>
      </c>
      <c r="I6380" t="s">
        <v>22</v>
      </c>
      <c r="J6380" t="s">
        <v>42</v>
      </c>
      <c r="K6380" t="s">
        <v>2285</v>
      </c>
      <c r="L6380" t="s">
        <v>25</v>
      </c>
      <c r="M6380" s="8">
        <v>3.5356666670000001</v>
      </c>
      <c r="N6380">
        <v>2.9649999999999999</v>
      </c>
      <c r="O6380" s="8">
        <v>2.9649999999999999</v>
      </c>
      <c r="P6380" s="8">
        <f>EXP(-1.363+3.366*LOG(O6380,10))</f>
        <v>1.2533690083769553</v>
      </c>
      <c r="Q6380" s="8">
        <f>(4488342*100)/4914798</f>
        <v>91.323020803703429</v>
      </c>
    </row>
    <row r="6381" spans="1:17" x14ac:dyDescent="0.2">
      <c r="A6381">
        <v>2016</v>
      </c>
      <c r="B6381" t="s">
        <v>2139</v>
      </c>
      <c r="C6381" t="s">
        <v>1552</v>
      </c>
      <c r="D6381" t="s">
        <v>2125</v>
      </c>
      <c r="E6381">
        <v>4</v>
      </c>
      <c r="F6381" t="s">
        <v>2098</v>
      </c>
      <c r="G6381" t="s">
        <v>20</v>
      </c>
      <c r="H6381" t="s">
        <v>1969</v>
      </c>
      <c r="I6381" t="s">
        <v>22</v>
      </c>
      <c r="J6381" t="s">
        <v>42</v>
      </c>
      <c r="K6381" t="s">
        <v>1543</v>
      </c>
      <c r="L6381" t="s">
        <v>25</v>
      </c>
      <c r="M6381" s="8" t="s">
        <v>26</v>
      </c>
      <c r="N6381">
        <v>2.9590000000000001</v>
      </c>
      <c r="O6381" s="8">
        <v>2.9590000000000001</v>
      </c>
      <c r="P6381" s="8">
        <f>EXP(-1.363+3.366*LOG(O6381,10))</f>
        <v>1.2496630471936421</v>
      </c>
      <c r="Q6381" s="8">
        <f>(3738946*100)/3915493</f>
        <v>95.491065875995687</v>
      </c>
    </row>
    <row r="6382" spans="1:17" x14ac:dyDescent="0.2">
      <c r="A6382">
        <v>2018</v>
      </c>
      <c r="B6382" t="s">
        <v>2836</v>
      </c>
      <c r="C6382" t="s">
        <v>2283</v>
      </c>
      <c r="D6382" t="s">
        <v>2829</v>
      </c>
      <c r="E6382">
        <v>8</v>
      </c>
      <c r="F6382" t="s">
        <v>2284</v>
      </c>
      <c r="G6382" t="s">
        <v>1520</v>
      </c>
      <c r="H6382" t="s">
        <v>1521</v>
      </c>
      <c r="I6382" t="s">
        <v>22</v>
      </c>
      <c r="J6382" t="s">
        <v>66</v>
      </c>
      <c r="K6382" t="s">
        <v>2285</v>
      </c>
      <c r="L6382" t="s">
        <v>25</v>
      </c>
      <c r="M6382" s="8">
        <v>2.952</v>
      </c>
      <c r="N6382">
        <v>2.9529999999999998</v>
      </c>
      <c r="O6382" s="8">
        <v>2.9529999999999998</v>
      </c>
      <c r="P6382" s="8">
        <f>EXP(-1.363+3.366*LOG(O6382,10))</f>
        <v>1.2459605549048913</v>
      </c>
      <c r="Q6382" s="8">
        <f>(1148193*100)/12288027</f>
        <v>9.3439980234418432</v>
      </c>
    </row>
    <row r="6383" spans="1:17" x14ac:dyDescent="0.2">
      <c r="A6383">
        <v>2017</v>
      </c>
      <c r="B6383" t="s">
        <v>2503</v>
      </c>
      <c r="C6383" t="s">
        <v>52</v>
      </c>
      <c r="D6383" t="s">
        <v>2501</v>
      </c>
      <c r="E6383">
        <v>6</v>
      </c>
      <c r="F6383" t="s">
        <v>2284</v>
      </c>
      <c r="G6383" t="s">
        <v>230</v>
      </c>
      <c r="H6383" t="s">
        <v>268</v>
      </c>
      <c r="I6383" t="s">
        <v>22</v>
      </c>
      <c r="J6383" t="s">
        <v>42</v>
      </c>
      <c r="K6383" t="s">
        <v>2285</v>
      </c>
      <c r="L6383" t="s">
        <v>25</v>
      </c>
      <c r="M6383" s="8">
        <v>3.5356666670000001</v>
      </c>
      <c r="N6383">
        <v>2.9369999999999998</v>
      </c>
      <c r="O6383" s="8">
        <v>2.9369999999999998</v>
      </c>
      <c r="P6383" s="8">
        <f>EXP(-1.363+3.366*LOG(O6383,10))</f>
        <v>1.2361042300454004</v>
      </c>
      <c r="Q6383" s="8">
        <f>(1626350*100)/1973941</f>
        <v>82.391013713175823</v>
      </c>
    </row>
    <row r="6384" spans="1:17" x14ac:dyDescent="0.2">
      <c r="A6384">
        <v>2018</v>
      </c>
      <c r="B6384" t="s">
        <v>2792</v>
      </c>
      <c r="C6384" t="s">
        <v>2287</v>
      </c>
      <c r="D6384" t="s">
        <v>2786</v>
      </c>
      <c r="E6384">
        <v>6</v>
      </c>
      <c r="F6384" t="s">
        <v>2284</v>
      </c>
      <c r="G6384" t="s">
        <v>1520</v>
      </c>
      <c r="H6384" t="s">
        <v>1521</v>
      </c>
      <c r="I6384" t="s">
        <v>22</v>
      </c>
      <c r="J6384" t="s">
        <v>66</v>
      </c>
      <c r="K6384" t="s">
        <v>2285</v>
      </c>
      <c r="L6384" t="s">
        <v>25</v>
      </c>
      <c r="M6384" s="8">
        <v>2.952</v>
      </c>
      <c r="N6384">
        <v>2.9359999999999999</v>
      </c>
      <c r="O6384" s="8">
        <v>2.9359999999999999</v>
      </c>
      <c r="P6384" s="8">
        <f>EXP(-1.363+3.366*LOG(O6384,10))</f>
        <v>1.2354890313302056</v>
      </c>
      <c r="Q6384" s="8">
        <f>(859450.9*100)/14749408</f>
        <v>5.8270196336015658</v>
      </c>
    </row>
    <row r="6385" spans="1:17" x14ac:dyDescent="0.2">
      <c r="A6385">
        <v>2018</v>
      </c>
      <c r="B6385" t="s">
        <v>2888</v>
      </c>
      <c r="C6385" t="s">
        <v>50</v>
      </c>
      <c r="D6385" t="s">
        <v>2886</v>
      </c>
      <c r="E6385">
        <v>9</v>
      </c>
      <c r="F6385" t="s">
        <v>2284</v>
      </c>
      <c r="G6385" t="s">
        <v>230</v>
      </c>
      <c r="H6385" t="s">
        <v>268</v>
      </c>
      <c r="I6385" t="s">
        <v>22</v>
      </c>
      <c r="J6385" t="s">
        <v>42</v>
      </c>
      <c r="K6385" t="s">
        <v>2285</v>
      </c>
      <c r="L6385" t="s">
        <v>25</v>
      </c>
      <c r="M6385" s="8">
        <v>3.5356666670000001</v>
      </c>
      <c r="N6385">
        <v>2.9340000000000002</v>
      </c>
      <c r="O6385" s="8">
        <v>2.9340000000000002</v>
      </c>
      <c r="P6385" s="8">
        <f>EXP(-1.363+3.366*LOG(O6385,10))</f>
        <v>1.2342589242085291</v>
      </c>
      <c r="Q6385" s="8">
        <f>(4488342*100)/4914798</f>
        <v>91.323020803703429</v>
      </c>
    </row>
    <row r="6386" spans="1:17" x14ac:dyDescent="0.2">
      <c r="A6386">
        <v>2017</v>
      </c>
      <c r="B6386" t="s">
        <v>2471</v>
      </c>
      <c r="C6386" t="s">
        <v>2287</v>
      </c>
      <c r="D6386" t="s">
        <v>2470</v>
      </c>
      <c r="E6386">
        <v>5</v>
      </c>
      <c r="F6386" t="s">
        <v>2284</v>
      </c>
      <c r="G6386" t="s">
        <v>230</v>
      </c>
      <c r="H6386" t="s">
        <v>268</v>
      </c>
      <c r="I6386" t="s">
        <v>22</v>
      </c>
      <c r="J6386" t="s">
        <v>66</v>
      </c>
      <c r="K6386" t="s">
        <v>2285</v>
      </c>
      <c r="L6386" t="s">
        <v>25</v>
      </c>
      <c r="M6386" s="8">
        <v>3.5356666670000001</v>
      </c>
      <c r="N6386">
        <v>2.9329999999999998</v>
      </c>
      <c r="O6386" s="8">
        <v>2.9329999999999998</v>
      </c>
      <c r="P6386" s="8">
        <f>EXP(-1.363+3.366*LOG(O6386,10))</f>
        <v>1.2336440158375386</v>
      </c>
      <c r="Q6386" s="8">
        <f>(859450.9*100)/14749408</f>
        <v>5.8270196336015658</v>
      </c>
    </row>
    <row r="6387" spans="1:17" x14ac:dyDescent="0.2">
      <c r="A6387">
        <v>2018</v>
      </c>
      <c r="B6387" t="s">
        <v>2876</v>
      </c>
      <c r="C6387" t="s">
        <v>2287</v>
      </c>
      <c r="D6387" t="s">
        <v>2874</v>
      </c>
      <c r="E6387">
        <v>8</v>
      </c>
      <c r="F6387" t="s">
        <v>2284</v>
      </c>
      <c r="G6387" t="s">
        <v>230</v>
      </c>
      <c r="H6387" t="s">
        <v>268</v>
      </c>
      <c r="I6387" t="s">
        <v>22</v>
      </c>
      <c r="J6387" t="s">
        <v>66</v>
      </c>
      <c r="K6387" t="s">
        <v>2285</v>
      </c>
      <c r="L6387" t="s">
        <v>25</v>
      </c>
      <c r="M6387" s="8">
        <v>3.5356666670000001</v>
      </c>
      <c r="N6387">
        <v>2.907</v>
      </c>
      <c r="O6387" s="8">
        <v>2.907</v>
      </c>
      <c r="P6387" s="8">
        <f>EXP(-1.363+3.366*LOG(O6387,10))</f>
        <v>1.2176904330660334</v>
      </c>
      <c r="Q6387" s="8">
        <f>(859450.9*100)/14749408</f>
        <v>5.8270196336015658</v>
      </c>
    </row>
    <row r="6388" spans="1:17" x14ac:dyDescent="0.2">
      <c r="A6388">
        <v>2017</v>
      </c>
      <c r="B6388" t="s">
        <v>2576</v>
      </c>
      <c r="C6388" t="s">
        <v>1635</v>
      </c>
      <c r="D6388" t="s">
        <v>2564</v>
      </c>
      <c r="E6388">
        <v>6</v>
      </c>
      <c r="F6388" t="s">
        <v>2284</v>
      </c>
      <c r="G6388" t="s">
        <v>1520</v>
      </c>
      <c r="H6388" t="s">
        <v>1521</v>
      </c>
      <c r="I6388" t="s">
        <v>22</v>
      </c>
      <c r="J6388" t="s">
        <v>42</v>
      </c>
      <c r="K6388" t="s">
        <v>2285</v>
      </c>
      <c r="L6388" t="s">
        <v>25</v>
      </c>
      <c r="M6388" s="8">
        <v>2.952</v>
      </c>
      <c r="N6388">
        <v>2.8940000000000001</v>
      </c>
      <c r="O6388" s="8">
        <v>2.8940000000000001</v>
      </c>
      <c r="P6388" s="8">
        <f>EXP(-1.363+3.366*LOG(O6388,10))</f>
        <v>1.2097382829751515</v>
      </c>
      <c r="Q6388" s="8">
        <f>(3602085*100)/4019599</f>
        <v>89.613043490159086</v>
      </c>
    </row>
    <row r="6389" spans="1:17" x14ac:dyDescent="0.2">
      <c r="A6389">
        <v>2017</v>
      </c>
      <c r="B6389" t="s">
        <v>2580</v>
      </c>
      <c r="C6389" t="s">
        <v>50</v>
      </c>
      <c r="D6389" t="s">
        <v>2578</v>
      </c>
      <c r="E6389">
        <v>6</v>
      </c>
      <c r="F6389" t="s">
        <v>2284</v>
      </c>
      <c r="G6389" t="s">
        <v>1520</v>
      </c>
      <c r="H6389" t="s">
        <v>1521</v>
      </c>
      <c r="I6389" t="s">
        <v>22</v>
      </c>
      <c r="J6389" t="s">
        <v>42</v>
      </c>
      <c r="K6389" t="s">
        <v>2285</v>
      </c>
      <c r="L6389" t="s">
        <v>25</v>
      </c>
      <c r="M6389" s="8">
        <v>2.952</v>
      </c>
      <c r="N6389">
        <v>2.875</v>
      </c>
      <c r="O6389" s="8">
        <v>2.875</v>
      </c>
      <c r="P6389" s="8">
        <f>EXP(-1.363+3.366*LOG(O6389,10))</f>
        <v>1.1981455659952036</v>
      </c>
      <c r="Q6389" s="8">
        <f>(4488342*100)/4914798</f>
        <v>91.323020803703429</v>
      </c>
    </row>
    <row r="6390" spans="1:17" x14ac:dyDescent="0.2">
      <c r="A6390">
        <v>2017</v>
      </c>
      <c r="B6390" t="s">
        <v>2516</v>
      </c>
      <c r="C6390" t="s">
        <v>52</v>
      </c>
      <c r="D6390" t="s">
        <v>2501</v>
      </c>
      <c r="E6390">
        <v>6</v>
      </c>
      <c r="F6390" t="s">
        <v>2284</v>
      </c>
      <c r="G6390" t="s">
        <v>1520</v>
      </c>
      <c r="H6390" t="s">
        <v>1521</v>
      </c>
      <c r="I6390" t="s">
        <v>22</v>
      </c>
      <c r="J6390" t="s">
        <v>42</v>
      </c>
      <c r="K6390" t="s">
        <v>2285</v>
      </c>
      <c r="L6390" t="s">
        <v>25</v>
      </c>
      <c r="M6390" s="8">
        <v>2.952</v>
      </c>
      <c r="N6390">
        <v>2.871</v>
      </c>
      <c r="O6390" s="8">
        <v>2.871</v>
      </c>
      <c r="P6390" s="8">
        <f>EXP(-1.363+3.366*LOG(O6390,10))</f>
        <v>1.1957094915040829</v>
      </c>
      <c r="Q6390" s="8">
        <f>(1626350*100)/1973941</f>
        <v>82.391013713175823</v>
      </c>
    </row>
    <row r="6391" spans="1:17" x14ac:dyDescent="0.2">
      <c r="A6391">
        <v>2018</v>
      </c>
      <c r="B6391" t="s">
        <v>2789</v>
      </c>
      <c r="C6391" t="s">
        <v>1635</v>
      </c>
      <c r="D6391" t="s">
        <v>2786</v>
      </c>
      <c r="E6391">
        <v>6</v>
      </c>
      <c r="F6391" t="s">
        <v>2284</v>
      </c>
      <c r="G6391" t="s">
        <v>1520</v>
      </c>
      <c r="H6391" t="s">
        <v>1521</v>
      </c>
      <c r="I6391" t="s">
        <v>22</v>
      </c>
      <c r="J6391" t="s">
        <v>42</v>
      </c>
      <c r="K6391" t="s">
        <v>2285</v>
      </c>
      <c r="L6391" t="s">
        <v>25</v>
      </c>
      <c r="M6391" s="8">
        <v>2.952</v>
      </c>
      <c r="N6391">
        <v>2.867</v>
      </c>
      <c r="O6391" s="8">
        <v>2.867</v>
      </c>
      <c r="P6391" s="8">
        <f>EXP(-1.363+3.366*LOG(O6391,10))</f>
        <v>1.1932749839978587</v>
      </c>
      <c r="Q6391" s="8">
        <f>(3602085*100)/4019599</f>
        <v>89.613043490159086</v>
      </c>
    </row>
    <row r="6392" spans="1:17" x14ac:dyDescent="0.2">
      <c r="A6392">
        <v>2017</v>
      </c>
      <c r="B6392" t="s">
        <v>2374</v>
      </c>
      <c r="C6392" t="s">
        <v>50</v>
      </c>
      <c r="D6392" t="s">
        <v>2375</v>
      </c>
      <c r="E6392">
        <v>4</v>
      </c>
      <c r="F6392" t="s">
        <v>2284</v>
      </c>
      <c r="G6392" t="s">
        <v>20</v>
      </c>
      <c r="H6392" t="s">
        <v>87</v>
      </c>
      <c r="I6392" t="s">
        <v>22</v>
      </c>
      <c r="J6392" t="s">
        <v>42</v>
      </c>
      <c r="K6392" t="s">
        <v>2285</v>
      </c>
      <c r="L6392" t="s">
        <v>25</v>
      </c>
      <c r="M6392" s="8">
        <v>2.9449999999999998</v>
      </c>
      <c r="N6392">
        <v>2.8559999999999999</v>
      </c>
      <c r="O6392" s="8">
        <v>2.8559999999999999</v>
      </c>
      <c r="P6392" s="8">
        <f>EXP(-1.363+3.366*LOG(O6392,10))</f>
        <v>1.1865881777330343</v>
      </c>
      <c r="Q6392" s="8">
        <f>(4488342*100)/4914798</f>
        <v>91.323020803703429</v>
      </c>
    </row>
    <row r="6393" spans="1:17" x14ac:dyDescent="0.2">
      <c r="A6393">
        <v>2018</v>
      </c>
      <c r="B6393" t="s">
        <v>2784</v>
      </c>
      <c r="C6393" t="s">
        <v>1635</v>
      </c>
      <c r="D6393" t="s">
        <v>2778</v>
      </c>
      <c r="E6393">
        <v>6</v>
      </c>
      <c r="F6393" t="s">
        <v>2284</v>
      </c>
      <c r="G6393" t="s">
        <v>1520</v>
      </c>
      <c r="H6393" t="s">
        <v>1521</v>
      </c>
      <c r="I6393" t="s">
        <v>22</v>
      </c>
      <c r="J6393" t="s">
        <v>42</v>
      </c>
      <c r="K6393" t="s">
        <v>2285</v>
      </c>
      <c r="L6393" t="s">
        <v>25</v>
      </c>
      <c r="M6393" s="8">
        <v>2.952</v>
      </c>
      <c r="N6393">
        <v>2.85</v>
      </c>
      <c r="O6393" s="8">
        <v>2.85</v>
      </c>
      <c r="P6393" s="8">
        <f>EXP(-1.363+3.366*LOG(O6393,10))</f>
        <v>1.1829458361563918</v>
      </c>
      <c r="Q6393" s="8">
        <f>(3602085*100)/4019599</f>
        <v>89.613043490159086</v>
      </c>
    </row>
    <row r="6394" spans="1:17" x14ac:dyDescent="0.2">
      <c r="A6394">
        <v>2018</v>
      </c>
      <c r="B6394" t="s">
        <v>2943</v>
      </c>
      <c r="C6394" t="s">
        <v>2283</v>
      </c>
      <c r="D6394" t="s">
        <v>2944</v>
      </c>
      <c r="E6394">
        <v>9</v>
      </c>
      <c r="F6394" t="s">
        <v>2284</v>
      </c>
      <c r="G6394" t="s">
        <v>1520</v>
      </c>
      <c r="H6394" t="s">
        <v>1521</v>
      </c>
      <c r="I6394" t="s">
        <v>22</v>
      </c>
      <c r="J6394" t="s">
        <v>66</v>
      </c>
      <c r="K6394" t="s">
        <v>2285</v>
      </c>
      <c r="L6394" t="s">
        <v>25</v>
      </c>
      <c r="M6394" s="8">
        <v>2.952</v>
      </c>
      <c r="N6394">
        <v>2.8370000000000002</v>
      </c>
      <c r="O6394" s="8">
        <v>2.8370000000000002</v>
      </c>
      <c r="P6394" s="8">
        <f>EXP(-1.363+3.366*LOG(O6394,10))</f>
        <v>1.1750662444812467</v>
      </c>
      <c r="Q6394" s="8">
        <f>(1148193*100)/12288027</f>
        <v>9.3439980234418432</v>
      </c>
    </row>
    <row r="6395" spans="1:17" x14ac:dyDescent="0.2">
      <c r="A6395">
        <v>2017</v>
      </c>
      <c r="B6395" t="s">
        <v>2475</v>
      </c>
      <c r="C6395" t="s">
        <v>52</v>
      </c>
      <c r="D6395" t="s">
        <v>2474</v>
      </c>
      <c r="E6395">
        <v>5</v>
      </c>
      <c r="F6395" t="s">
        <v>2284</v>
      </c>
      <c r="G6395" t="s">
        <v>230</v>
      </c>
      <c r="H6395" t="s">
        <v>268</v>
      </c>
      <c r="I6395" t="s">
        <v>22</v>
      </c>
      <c r="J6395" t="s">
        <v>42</v>
      </c>
      <c r="K6395" t="s">
        <v>2285</v>
      </c>
      <c r="L6395" t="s">
        <v>25</v>
      </c>
      <c r="M6395" s="8">
        <v>3.5356666670000001</v>
      </c>
      <c r="N6395">
        <v>2.835</v>
      </c>
      <c r="O6395" s="8">
        <v>2.835</v>
      </c>
      <c r="P6395" s="8">
        <f>EXP(-1.363+3.366*LOG(O6395,10))</f>
        <v>1.1738554770785334</v>
      </c>
      <c r="Q6395" s="8">
        <f>(1626350*100)/1973941</f>
        <v>82.391013713175823</v>
      </c>
    </row>
    <row r="6396" spans="1:17" x14ac:dyDescent="0.2">
      <c r="A6396">
        <v>2018</v>
      </c>
      <c r="B6396" t="s">
        <v>2872</v>
      </c>
      <c r="C6396" t="s">
        <v>2287</v>
      </c>
      <c r="D6396" t="s">
        <v>2838</v>
      </c>
      <c r="E6396">
        <v>8</v>
      </c>
      <c r="F6396" t="s">
        <v>2284</v>
      </c>
      <c r="G6396" t="s">
        <v>1520</v>
      </c>
      <c r="H6396" t="s">
        <v>1521</v>
      </c>
      <c r="I6396" t="s">
        <v>22</v>
      </c>
      <c r="J6396" t="s">
        <v>66</v>
      </c>
      <c r="K6396" t="s">
        <v>2285</v>
      </c>
      <c r="L6396" t="s">
        <v>25</v>
      </c>
      <c r="M6396" s="8">
        <v>2.952</v>
      </c>
      <c r="N6396">
        <v>2.8260000000000001</v>
      </c>
      <c r="O6396" s="8">
        <v>2.8260000000000001</v>
      </c>
      <c r="P6396" s="8">
        <f>EXP(-1.363+3.366*LOG(O6396,10))</f>
        <v>1.1684119068228591</v>
      </c>
      <c r="Q6396" s="8">
        <f>(859450.9*100)/14749408</f>
        <v>5.8270196336015658</v>
      </c>
    </row>
    <row r="6397" spans="1:17" x14ac:dyDescent="0.2">
      <c r="A6397">
        <v>2017</v>
      </c>
      <c r="B6397" t="s">
        <v>2484</v>
      </c>
      <c r="C6397" t="s">
        <v>2287</v>
      </c>
      <c r="D6397" t="s">
        <v>2485</v>
      </c>
      <c r="E6397">
        <v>5</v>
      </c>
      <c r="F6397" t="s">
        <v>2284</v>
      </c>
      <c r="G6397" t="s">
        <v>2206</v>
      </c>
      <c r="H6397" t="s">
        <v>2486</v>
      </c>
      <c r="I6397" t="s">
        <v>22</v>
      </c>
      <c r="J6397" t="s">
        <v>66</v>
      </c>
      <c r="K6397" t="s">
        <v>2285</v>
      </c>
      <c r="L6397" t="s">
        <v>25</v>
      </c>
      <c r="M6397" s="8" t="s">
        <v>26</v>
      </c>
      <c r="N6397">
        <v>2.8210000000000002</v>
      </c>
      <c r="O6397" s="8">
        <v>2.8210000000000002</v>
      </c>
      <c r="P6397" s="8">
        <f>EXP(-1.363+3.366*LOG(O6397,10))</f>
        <v>1.1653911572954838</v>
      </c>
      <c r="Q6397" s="8">
        <f>(859450.9*100)/14749408</f>
        <v>5.8270196336015658</v>
      </c>
    </row>
    <row r="6398" spans="1:17" x14ac:dyDescent="0.2">
      <c r="A6398">
        <v>2018</v>
      </c>
      <c r="B6398" t="s">
        <v>2748</v>
      </c>
      <c r="C6398" t="s">
        <v>2287</v>
      </c>
      <c r="D6398" t="s">
        <v>2749</v>
      </c>
      <c r="E6398">
        <v>6</v>
      </c>
      <c r="F6398" t="s">
        <v>2284</v>
      </c>
      <c r="G6398" t="s">
        <v>2206</v>
      </c>
      <c r="H6398" t="s">
        <v>2486</v>
      </c>
      <c r="I6398" t="s">
        <v>36</v>
      </c>
      <c r="J6398" t="s">
        <v>66</v>
      </c>
      <c r="K6398" t="s">
        <v>2285</v>
      </c>
      <c r="L6398" t="s">
        <v>25</v>
      </c>
      <c r="M6398" s="8" t="s">
        <v>26</v>
      </c>
      <c r="N6398">
        <v>2.8210000000000002</v>
      </c>
      <c r="O6398" s="8">
        <v>2.8210000000000002</v>
      </c>
      <c r="P6398" s="8">
        <f>EXP(-1.363+3.366*LOG(O6398,10))</f>
        <v>1.1653911572954838</v>
      </c>
      <c r="Q6398" s="8">
        <f>(859450.9*100)/14749408</f>
        <v>5.8270196336015658</v>
      </c>
    </row>
    <row r="6399" spans="1:17" x14ac:dyDescent="0.2">
      <c r="A6399">
        <v>2018</v>
      </c>
      <c r="B6399" t="s">
        <v>2793</v>
      </c>
      <c r="C6399" t="s">
        <v>50</v>
      </c>
      <c r="D6399" t="s">
        <v>2794</v>
      </c>
      <c r="E6399">
        <v>7</v>
      </c>
      <c r="F6399" t="s">
        <v>2284</v>
      </c>
      <c r="G6399" t="s">
        <v>2206</v>
      </c>
      <c r="H6399" t="s">
        <v>2795</v>
      </c>
      <c r="I6399" t="s">
        <v>22</v>
      </c>
      <c r="J6399" t="s">
        <v>42</v>
      </c>
      <c r="K6399" t="s">
        <v>2285</v>
      </c>
      <c r="L6399" t="s">
        <v>25</v>
      </c>
      <c r="M6399" s="8" t="s">
        <v>26</v>
      </c>
      <c r="N6399">
        <v>2.8130000000000002</v>
      </c>
      <c r="O6399" s="8">
        <v>2.8130000000000002</v>
      </c>
      <c r="P6399" s="8">
        <f>EXP(-1.363+3.366*LOG(O6399,10))</f>
        <v>1.1605631001147094</v>
      </c>
      <c r="Q6399" s="8">
        <f>(4488342*100)/4914798</f>
        <v>91.323020803703429</v>
      </c>
    </row>
    <row r="6400" spans="1:17" x14ac:dyDescent="0.2">
      <c r="A6400">
        <v>2018</v>
      </c>
      <c r="B6400" t="s">
        <v>2754</v>
      </c>
      <c r="C6400" t="s">
        <v>2287</v>
      </c>
      <c r="D6400" t="s">
        <v>2753</v>
      </c>
      <c r="E6400">
        <v>6</v>
      </c>
      <c r="F6400" t="s">
        <v>2284</v>
      </c>
      <c r="G6400" t="s">
        <v>2206</v>
      </c>
      <c r="H6400" t="s">
        <v>2486</v>
      </c>
      <c r="I6400" t="s">
        <v>36</v>
      </c>
      <c r="J6400" t="s">
        <v>66</v>
      </c>
      <c r="K6400" t="s">
        <v>2285</v>
      </c>
      <c r="L6400" t="s">
        <v>25</v>
      </c>
      <c r="M6400" s="8" t="s">
        <v>26</v>
      </c>
      <c r="N6400">
        <v>2.798</v>
      </c>
      <c r="O6400" s="8">
        <v>2.798</v>
      </c>
      <c r="P6400" s="8">
        <f>EXP(-1.363+3.366*LOG(O6400,10))</f>
        <v>1.1515275811801982</v>
      </c>
      <c r="Q6400" s="8">
        <f>(859450.9*100)/14749408</f>
        <v>5.8270196336015658</v>
      </c>
    </row>
    <row r="6401" spans="1:17" x14ac:dyDescent="0.2">
      <c r="A6401">
        <v>2018</v>
      </c>
      <c r="B6401" t="s">
        <v>2871</v>
      </c>
      <c r="C6401" t="s">
        <v>1635</v>
      </c>
      <c r="D6401" t="s">
        <v>2838</v>
      </c>
      <c r="E6401">
        <v>8</v>
      </c>
      <c r="F6401" t="s">
        <v>2284</v>
      </c>
      <c r="G6401" t="s">
        <v>1520</v>
      </c>
      <c r="H6401" t="s">
        <v>1521</v>
      </c>
      <c r="I6401" t="s">
        <v>36</v>
      </c>
      <c r="J6401" t="s">
        <v>42</v>
      </c>
      <c r="K6401" t="s">
        <v>2285</v>
      </c>
      <c r="L6401" t="s">
        <v>25</v>
      </c>
      <c r="M6401" s="8">
        <v>2.3340000000000001</v>
      </c>
      <c r="N6401">
        <v>2.7930000000000001</v>
      </c>
      <c r="O6401" s="8">
        <v>2.7930000000000001</v>
      </c>
      <c r="P6401" s="8">
        <f>EXP(-1.363+3.366*LOG(O6401,10))</f>
        <v>1.148520703532923</v>
      </c>
      <c r="Q6401" s="8">
        <f>(3602085*100)/4019599</f>
        <v>89.613043490159086</v>
      </c>
    </row>
    <row r="6402" spans="1:17" x14ac:dyDescent="0.2">
      <c r="A6402">
        <v>2017</v>
      </c>
      <c r="B6402" t="s">
        <v>2575</v>
      </c>
      <c r="C6402" t="s">
        <v>1635</v>
      </c>
      <c r="D6402" t="s">
        <v>2564</v>
      </c>
      <c r="E6402">
        <v>6</v>
      </c>
      <c r="F6402" t="s">
        <v>2284</v>
      </c>
      <c r="G6402" t="s">
        <v>1520</v>
      </c>
      <c r="H6402" t="s">
        <v>1521</v>
      </c>
      <c r="I6402" t="s">
        <v>22</v>
      </c>
      <c r="J6402" t="s">
        <v>42</v>
      </c>
      <c r="K6402" t="s">
        <v>2285</v>
      </c>
      <c r="L6402" t="s">
        <v>25</v>
      </c>
      <c r="M6402" s="8">
        <v>2.952</v>
      </c>
      <c r="N6402">
        <v>2.786</v>
      </c>
      <c r="O6402" s="8">
        <v>2.786</v>
      </c>
      <c r="P6402" s="8">
        <f>EXP(-1.363+3.366*LOG(O6402,10))</f>
        <v>1.1443152501264868</v>
      </c>
      <c r="Q6402" s="8">
        <f>(3602085*100)/4019599</f>
        <v>89.613043490159086</v>
      </c>
    </row>
    <row r="6403" spans="1:17" x14ac:dyDescent="0.2">
      <c r="A6403">
        <v>2018</v>
      </c>
      <c r="B6403" t="s">
        <v>2661</v>
      </c>
      <c r="C6403" t="s">
        <v>2287</v>
      </c>
      <c r="D6403" t="s">
        <v>2653</v>
      </c>
      <c r="E6403">
        <v>5</v>
      </c>
      <c r="F6403" t="s">
        <v>2284</v>
      </c>
      <c r="G6403" t="s">
        <v>1532</v>
      </c>
      <c r="H6403" t="s">
        <v>1533</v>
      </c>
      <c r="I6403" t="s">
        <v>36</v>
      </c>
      <c r="J6403" t="s">
        <v>66</v>
      </c>
      <c r="K6403" t="s">
        <v>2285</v>
      </c>
      <c r="L6403" t="s">
        <v>25</v>
      </c>
      <c r="M6403" s="8">
        <v>2.63</v>
      </c>
      <c r="N6403">
        <v>2.782</v>
      </c>
      <c r="O6403" s="8">
        <v>2.782</v>
      </c>
      <c r="P6403" s="8">
        <f>EXP(-1.363+3.366*LOG(O6403,10))</f>
        <v>1.1419143232072764</v>
      </c>
      <c r="Q6403" s="8">
        <f>(859450.9*100)/14749408</f>
        <v>5.8270196336015658</v>
      </c>
    </row>
    <row r="6404" spans="1:17" x14ac:dyDescent="0.2">
      <c r="A6404">
        <v>2018</v>
      </c>
      <c r="B6404" t="s">
        <v>2791</v>
      </c>
      <c r="C6404" t="s">
        <v>50</v>
      </c>
      <c r="D6404" t="s">
        <v>2786</v>
      </c>
      <c r="E6404">
        <v>6</v>
      </c>
      <c r="F6404" t="s">
        <v>2284</v>
      </c>
      <c r="G6404" t="s">
        <v>1520</v>
      </c>
      <c r="H6404" t="s">
        <v>1521</v>
      </c>
      <c r="I6404" t="s">
        <v>36</v>
      </c>
      <c r="J6404" t="s">
        <v>42</v>
      </c>
      <c r="K6404" t="s">
        <v>2285</v>
      </c>
      <c r="L6404" t="s">
        <v>25</v>
      </c>
      <c r="M6404" s="8">
        <v>2.3340000000000001</v>
      </c>
      <c r="N6404">
        <v>2.774</v>
      </c>
      <c r="O6404" s="8">
        <v>2.774</v>
      </c>
      <c r="P6404" s="8">
        <f>EXP(-1.363+3.366*LOG(O6404,10))</f>
        <v>1.1371172519040269</v>
      </c>
      <c r="Q6404" s="8">
        <f>(4488342*100)/4914798</f>
        <v>91.323020803703429</v>
      </c>
    </row>
    <row r="6405" spans="1:17" x14ac:dyDescent="0.2">
      <c r="A6405">
        <v>2018</v>
      </c>
      <c r="B6405" t="s">
        <v>2688</v>
      </c>
      <c r="C6405" t="s">
        <v>50</v>
      </c>
      <c r="D6405" t="s">
        <v>2682</v>
      </c>
      <c r="E6405">
        <v>5</v>
      </c>
      <c r="F6405" t="s">
        <v>2284</v>
      </c>
      <c r="G6405" t="s">
        <v>1532</v>
      </c>
      <c r="H6405" t="s">
        <v>1533</v>
      </c>
      <c r="I6405" t="s">
        <v>36</v>
      </c>
      <c r="J6405" t="s">
        <v>42</v>
      </c>
      <c r="K6405" t="s">
        <v>2285</v>
      </c>
      <c r="L6405" t="s">
        <v>25</v>
      </c>
      <c r="M6405" s="8">
        <v>2.63</v>
      </c>
      <c r="N6405">
        <v>2.7509999999999999</v>
      </c>
      <c r="O6405" s="8">
        <v>2.7509999999999999</v>
      </c>
      <c r="P6405" s="8">
        <f>EXP(-1.363+3.366*LOG(O6405,10))</f>
        <v>1.1233612727281408</v>
      </c>
      <c r="Q6405" s="8">
        <f>(4488342*100)/4914798</f>
        <v>91.323020803703429</v>
      </c>
    </row>
    <row r="6406" spans="1:17" x14ac:dyDescent="0.2">
      <c r="A6406">
        <v>2018</v>
      </c>
      <c r="B6406" t="s">
        <v>2636</v>
      </c>
      <c r="C6406" t="s">
        <v>2283</v>
      </c>
      <c r="D6406" t="s">
        <v>2635</v>
      </c>
      <c r="E6406">
        <v>4</v>
      </c>
      <c r="F6406" t="s">
        <v>2284</v>
      </c>
      <c r="G6406" t="s">
        <v>1532</v>
      </c>
      <c r="H6406" t="s">
        <v>1995</v>
      </c>
      <c r="I6406" t="s">
        <v>22</v>
      </c>
      <c r="J6406" t="s">
        <v>66</v>
      </c>
      <c r="K6406" t="s">
        <v>2285</v>
      </c>
      <c r="L6406" t="s">
        <v>25</v>
      </c>
      <c r="M6406" s="8">
        <v>2.197666667</v>
      </c>
      <c r="N6406">
        <v>2.7109999999999999</v>
      </c>
      <c r="O6406" s="8">
        <v>2.7109999999999999</v>
      </c>
      <c r="P6406" s="8">
        <f>EXP(-1.363+3.366*LOG(O6406,10))</f>
        <v>1.0995642403435855</v>
      </c>
      <c r="Q6406" s="8">
        <f>(1148193*100)/12288027</f>
        <v>9.3439980234418432</v>
      </c>
    </row>
    <row r="6407" spans="1:17" x14ac:dyDescent="0.2">
      <c r="A6407">
        <v>2017</v>
      </c>
      <c r="B6407" t="s">
        <v>2545</v>
      </c>
      <c r="C6407" t="s">
        <v>2287</v>
      </c>
      <c r="D6407" t="s">
        <v>2546</v>
      </c>
      <c r="E6407">
        <v>6</v>
      </c>
      <c r="F6407" t="s">
        <v>2284</v>
      </c>
      <c r="G6407" t="s">
        <v>2206</v>
      </c>
      <c r="H6407" t="s">
        <v>2486</v>
      </c>
      <c r="I6407" t="s">
        <v>22</v>
      </c>
      <c r="J6407" t="s">
        <v>66</v>
      </c>
      <c r="K6407" t="s">
        <v>2285</v>
      </c>
      <c r="L6407" t="s">
        <v>25</v>
      </c>
      <c r="M6407" s="8" t="s">
        <v>26</v>
      </c>
      <c r="N6407">
        <v>2.71</v>
      </c>
      <c r="O6407" s="8">
        <v>2.71</v>
      </c>
      <c r="P6407" s="8">
        <f>EXP(-1.363+3.366*LOG(O6407,10))</f>
        <v>1.0989713798429497</v>
      </c>
      <c r="Q6407" s="8">
        <f>(859450.9*100)/14749408</f>
        <v>5.8270196336015658</v>
      </c>
    </row>
    <row r="6408" spans="1:17" x14ac:dyDescent="0.2">
      <c r="A6408">
        <v>2018</v>
      </c>
      <c r="B6408" t="s">
        <v>2654</v>
      </c>
      <c r="C6408" t="s">
        <v>50</v>
      </c>
      <c r="D6408" t="s">
        <v>2653</v>
      </c>
      <c r="E6408">
        <v>5</v>
      </c>
      <c r="F6408" t="s">
        <v>2284</v>
      </c>
      <c r="G6408" t="s">
        <v>20</v>
      </c>
      <c r="H6408" t="s">
        <v>145</v>
      </c>
      <c r="I6408" t="s">
        <v>22</v>
      </c>
      <c r="J6408" t="s">
        <v>42</v>
      </c>
      <c r="K6408" t="s">
        <v>2285</v>
      </c>
      <c r="L6408" t="s">
        <v>25</v>
      </c>
      <c r="M6408" s="8">
        <v>2.399666667</v>
      </c>
      <c r="N6408">
        <v>2.6640000000000001</v>
      </c>
      <c r="O6408" s="8">
        <v>2.6640000000000001</v>
      </c>
      <c r="P6408" s="8">
        <f>EXP(-1.363+3.366*LOG(O6408,10))</f>
        <v>1.0718093334020913</v>
      </c>
      <c r="Q6408" s="8">
        <f>(4488342*100)/4914798</f>
        <v>91.323020803703429</v>
      </c>
    </row>
    <row r="6409" spans="1:17" x14ac:dyDescent="0.2">
      <c r="A6409">
        <v>2017</v>
      </c>
      <c r="B6409" t="s">
        <v>2519</v>
      </c>
      <c r="C6409" t="s">
        <v>50</v>
      </c>
      <c r="D6409" t="s">
        <v>2518</v>
      </c>
      <c r="E6409">
        <v>6</v>
      </c>
      <c r="F6409" t="s">
        <v>2284</v>
      </c>
      <c r="G6409" t="s">
        <v>230</v>
      </c>
      <c r="H6409" t="s">
        <v>268</v>
      </c>
      <c r="I6409" t="s">
        <v>22</v>
      </c>
      <c r="J6409" t="s">
        <v>42</v>
      </c>
      <c r="K6409" t="s">
        <v>2285</v>
      </c>
      <c r="L6409" t="s">
        <v>25</v>
      </c>
      <c r="M6409" s="8">
        <v>3.5356666670000001</v>
      </c>
      <c r="N6409">
        <v>2.613</v>
      </c>
      <c r="O6409" s="8">
        <v>2.613</v>
      </c>
      <c r="P6409" s="8">
        <f>EXP(-1.363+3.366*LOG(O6409,10))</f>
        <v>1.0419471821617494</v>
      </c>
      <c r="Q6409" s="8">
        <f>(4488342*100)/4914798</f>
        <v>91.323020803703429</v>
      </c>
    </row>
    <row r="6410" spans="1:17" x14ac:dyDescent="0.2">
      <c r="A6410">
        <v>2017</v>
      </c>
      <c r="B6410" t="s">
        <v>2568</v>
      </c>
      <c r="C6410" t="s">
        <v>50</v>
      </c>
      <c r="D6410" t="s">
        <v>2564</v>
      </c>
      <c r="E6410">
        <v>6</v>
      </c>
      <c r="F6410" t="s">
        <v>2284</v>
      </c>
      <c r="G6410" t="s">
        <v>2566</v>
      </c>
      <c r="H6410" t="s">
        <v>2567</v>
      </c>
      <c r="I6410" t="s">
        <v>22</v>
      </c>
      <c r="J6410" t="s">
        <v>42</v>
      </c>
      <c r="K6410" t="s">
        <v>2285</v>
      </c>
      <c r="L6410" t="s">
        <v>25</v>
      </c>
      <c r="M6410" s="8">
        <v>2.3330000000000002</v>
      </c>
      <c r="N6410">
        <v>2.5579999999999998</v>
      </c>
      <c r="O6410" s="8">
        <v>2.5579999999999998</v>
      </c>
      <c r="P6410" s="8">
        <f>EXP(-1.363+3.366*LOG(O6410,10))</f>
        <v>1.0100433170684797</v>
      </c>
      <c r="Q6410" s="8">
        <f>(4488342*100)/4914798</f>
        <v>91.323020803703429</v>
      </c>
    </row>
    <row r="6411" spans="1:17" x14ac:dyDescent="0.2">
      <c r="A6411">
        <v>2018</v>
      </c>
      <c r="B6411" t="s">
        <v>2918</v>
      </c>
      <c r="C6411" t="s">
        <v>2287</v>
      </c>
      <c r="D6411" t="s">
        <v>2919</v>
      </c>
      <c r="E6411">
        <v>9</v>
      </c>
      <c r="F6411" t="s">
        <v>2284</v>
      </c>
      <c r="G6411" t="s">
        <v>2206</v>
      </c>
      <c r="H6411" t="s">
        <v>2800</v>
      </c>
      <c r="I6411" t="s">
        <v>22</v>
      </c>
      <c r="J6411" t="s">
        <v>66</v>
      </c>
      <c r="K6411" t="s">
        <v>2285</v>
      </c>
      <c r="L6411" t="s">
        <v>25</v>
      </c>
      <c r="M6411" s="8">
        <v>2.3330000000000002</v>
      </c>
      <c r="N6411">
        <v>2.536</v>
      </c>
      <c r="O6411" s="8">
        <v>2.536</v>
      </c>
      <c r="P6411" s="8">
        <f>EXP(-1.363+3.366*LOG(O6411,10))</f>
        <v>0.99736983779337673</v>
      </c>
      <c r="Q6411" s="8">
        <f>(859450.9*100)/14749408</f>
        <v>5.8270196336015658</v>
      </c>
    </row>
    <row r="6412" spans="1:17" x14ac:dyDescent="0.2">
      <c r="A6412">
        <v>2018</v>
      </c>
      <c r="B6412" t="s">
        <v>2644</v>
      </c>
      <c r="C6412" t="s">
        <v>1635</v>
      </c>
      <c r="D6412" t="s">
        <v>2645</v>
      </c>
      <c r="E6412">
        <v>5</v>
      </c>
      <c r="F6412" t="s">
        <v>2284</v>
      </c>
      <c r="G6412" t="s">
        <v>20</v>
      </c>
      <c r="H6412" t="s">
        <v>145</v>
      </c>
      <c r="I6412" t="s">
        <v>22</v>
      </c>
      <c r="J6412" t="s">
        <v>42</v>
      </c>
      <c r="K6412" t="s">
        <v>2285</v>
      </c>
      <c r="L6412" t="s">
        <v>25</v>
      </c>
      <c r="M6412" s="8">
        <v>2.399666667</v>
      </c>
      <c r="N6412">
        <v>2.496</v>
      </c>
      <c r="O6412" s="8">
        <v>2.496</v>
      </c>
      <c r="P6412" s="8">
        <f>EXP(-1.363+3.366*LOG(O6412,10))</f>
        <v>0.97445714215519419</v>
      </c>
      <c r="Q6412" s="8">
        <f>(3602085*100)/4019599</f>
        <v>89.613043490159086</v>
      </c>
    </row>
    <row r="6413" spans="1:17" x14ac:dyDescent="0.2">
      <c r="A6413">
        <v>2018</v>
      </c>
      <c r="B6413" t="s">
        <v>2812</v>
      </c>
      <c r="C6413" t="s">
        <v>1635</v>
      </c>
      <c r="D6413" t="s">
        <v>2809</v>
      </c>
      <c r="E6413">
        <v>8</v>
      </c>
      <c r="F6413" t="s">
        <v>2284</v>
      </c>
      <c r="G6413" t="s">
        <v>230</v>
      </c>
      <c r="H6413" t="s">
        <v>268</v>
      </c>
      <c r="I6413" t="s">
        <v>22</v>
      </c>
      <c r="J6413" t="s">
        <v>42</v>
      </c>
      <c r="K6413" t="s">
        <v>2285</v>
      </c>
      <c r="L6413" t="s">
        <v>25</v>
      </c>
      <c r="M6413" s="8">
        <v>3.5356666670000001</v>
      </c>
      <c r="N6413">
        <v>2.4750000000000001</v>
      </c>
      <c r="O6413" s="8">
        <v>2.4750000000000001</v>
      </c>
      <c r="P6413" s="8">
        <f>EXP(-1.363+3.366*LOG(O6413,10))</f>
        <v>0.96249552152258733</v>
      </c>
      <c r="Q6413" s="8">
        <f>(3602085*100)/4019599</f>
        <v>89.613043490159086</v>
      </c>
    </row>
    <row r="6414" spans="1:17" x14ac:dyDescent="0.2">
      <c r="A6414">
        <v>2017</v>
      </c>
      <c r="B6414" t="s">
        <v>2331</v>
      </c>
      <c r="C6414" t="s">
        <v>50</v>
      </c>
      <c r="D6414" t="s">
        <v>2330</v>
      </c>
      <c r="E6414">
        <v>3</v>
      </c>
      <c r="F6414" t="s">
        <v>2284</v>
      </c>
      <c r="G6414" t="s">
        <v>20</v>
      </c>
      <c r="H6414" t="s">
        <v>1969</v>
      </c>
      <c r="I6414" t="s">
        <v>22</v>
      </c>
      <c r="J6414" t="s">
        <v>42</v>
      </c>
      <c r="K6414" t="s">
        <v>2285</v>
      </c>
      <c r="L6414" t="s">
        <v>25</v>
      </c>
      <c r="M6414" s="8" t="s">
        <v>26</v>
      </c>
      <c r="N6414">
        <v>2.4550000000000001</v>
      </c>
      <c r="O6414" s="8">
        <v>2.4550000000000001</v>
      </c>
      <c r="P6414" s="8">
        <f>EXP(-1.363+3.366*LOG(O6414,10))</f>
        <v>0.95114699175408446</v>
      </c>
      <c r="Q6414" s="8">
        <f>(4488342*100)/4914798</f>
        <v>91.323020803703429</v>
      </c>
    </row>
    <row r="6415" spans="1:17" x14ac:dyDescent="0.2">
      <c r="A6415">
        <v>2015</v>
      </c>
      <c r="B6415" t="s">
        <v>1712</v>
      </c>
      <c r="C6415" t="s">
        <v>1547</v>
      </c>
      <c r="D6415" t="s">
        <v>1686</v>
      </c>
      <c r="E6415">
        <v>7</v>
      </c>
      <c r="F6415" t="s">
        <v>19</v>
      </c>
      <c r="G6415" t="s">
        <v>20</v>
      </c>
      <c r="H6415" t="s">
        <v>1703</v>
      </c>
      <c r="I6415" t="s">
        <v>22</v>
      </c>
      <c r="J6415" t="s">
        <v>42</v>
      </c>
      <c r="K6415" t="s">
        <v>1543</v>
      </c>
      <c r="L6415" t="s">
        <v>187</v>
      </c>
      <c r="M6415" s="8">
        <v>2.2745714289999999</v>
      </c>
      <c r="N6415">
        <v>2.4500000000000002</v>
      </c>
      <c r="O6415" s="8">
        <v>2.4500000000000002</v>
      </c>
      <c r="P6415" s="8">
        <f>EXP(-1.363+3.366*LOG(O6415,10))</f>
        <v>0.94831651105522718</v>
      </c>
      <c r="Q6415" s="8">
        <f>(3881584*100)/4292409</f>
        <v>90.429034139104644</v>
      </c>
    </row>
    <row r="6416" spans="1:17" x14ac:dyDescent="0.2">
      <c r="A6416">
        <v>2018</v>
      </c>
      <c r="B6416" t="s">
        <v>2678</v>
      </c>
      <c r="C6416" t="s">
        <v>2287</v>
      </c>
      <c r="D6416" t="s">
        <v>2679</v>
      </c>
      <c r="E6416">
        <v>5</v>
      </c>
      <c r="F6416" t="s">
        <v>2284</v>
      </c>
      <c r="G6416" t="s">
        <v>1532</v>
      </c>
      <c r="H6416" t="s">
        <v>1995</v>
      </c>
      <c r="I6416" t="s">
        <v>22</v>
      </c>
      <c r="J6416" t="s">
        <v>66</v>
      </c>
      <c r="K6416" t="s">
        <v>2285</v>
      </c>
      <c r="L6416" t="s">
        <v>25</v>
      </c>
      <c r="M6416" s="8">
        <v>2.197666667</v>
      </c>
      <c r="N6416">
        <v>2.4489999999999998</v>
      </c>
      <c r="O6416" s="8">
        <v>2.4489999999999998</v>
      </c>
      <c r="P6416" s="8">
        <f>EXP(-1.363+3.366*LOG(O6416,10))</f>
        <v>0.94775073480553129</v>
      </c>
      <c r="Q6416" s="8">
        <f>(859450.9*100)/14749408</f>
        <v>5.8270196336015658</v>
      </c>
    </row>
    <row r="6417" spans="1:17" x14ac:dyDescent="0.2">
      <c r="A6417">
        <v>2018</v>
      </c>
      <c r="B6417" t="s">
        <v>2643</v>
      </c>
      <c r="C6417" t="s">
        <v>50</v>
      </c>
      <c r="D6417" t="s">
        <v>2638</v>
      </c>
      <c r="E6417">
        <v>4</v>
      </c>
      <c r="F6417" t="s">
        <v>2284</v>
      </c>
      <c r="G6417" t="s">
        <v>1532</v>
      </c>
      <c r="H6417" t="s">
        <v>1995</v>
      </c>
      <c r="I6417" t="s">
        <v>22</v>
      </c>
      <c r="J6417" t="s">
        <v>42</v>
      </c>
      <c r="K6417" t="s">
        <v>2285</v>
      </c>
      <c r="L6417" t="s">
        <v>25</v>
      </c>
      <c r="M6417" s="8">
        <v>2.197666667</v>
      </c>
      <c r="N6417">
        <v>2.4470000000000001</v>
      </c>
      <c r="O6417" s="8">
        <v>2.4470000000000001</v>
      </c>
      <c r="P6417" s="8">
        <f>EXP(-1.363+3.366*LOG(O6417,10))</f>
        <v>0.94661950238361958</v>
      </c>
      <c r="Q6417" s="8">
        <f>(4488342*100)/4914798</f>
        <v>91.323020803703429</v>
      </c>
    </row>
    <row r="6418" spans="1:17" x14ac:dyDescent="0.2">
      <c r="A6418">
        <v>2017</v>
      </c>
      <c r="B6418" t="s">
        <v>2396</v>
      </c>
      <c r="C6418" t="s">
        <v>52</v>
      </c>
      <c r="D6418" t="s">
        <v>2397</v>
      </c>
      <c r="E6418">
        <v>5</v>
      </c>
      <c r="F6418" t="s">
        <v>2284</v>
      </c>
      <c r="G6418" t="s">
        <v>20</v>
      </c>
      <c r="H6418" t="s">
        <v>145</v>
      </c>
      <c r="I6418" t="s">
        <v>22</v>
      </c>
      <c r="J6418" t="s">
        <v>42</v>
      </c>
      <c r="K6418" t="s">
        <v>2285</v>
      </c>
      <c r="L6418" t="s">
        <v>25</v>
      </c>
      <c r="M6418" s="8">
        <v>2.399666667</v>
      </c>
      <c r="N6418">
        <v>2.4460000000000002</v>
      </c>
      <c r="O6418" s="8">
        <v>2.4460000000000002</v>
      </c>
      <c r="P6418" s="8">
        <f>EXP(-1.363+3.366*LOG(O6418,10))</f>
        <v>0.94605404625832035</v>
      </c>
      <c r="Q6418" s="8">
        <f>(1626350*100)/1973941</f>
        <v>82.391013713175823</v>
      </c>
    </row>
    <row r="6419" spans="1:17" x14ac:dyDescent="0.2">
      <c r="A6419">
        <v>2017</v>
      </c>
      <c r="B6419" t="s">
        <v>2461</v>
      </c>
      <c r="C6419" t="s">
        <v>50</v>
      </c>
      <c r="D6419" t="s">
        <v>2462</v>
      </c>
      <c r="E6419">
        <v>5</v>
      </c>
      <c r="F6419" t="s">
        <v>2284</v>
      </c>
      <c r="G6419" t="s">
        <v>20</v>
      </c>
      <c r="H6419" t="s">
        <v>103</v>
      </c>
      <c r="I6419" t="s">
        <v>22</v>
      </c>
      <c r="J6419" t="s">
        <v>42</v>
      </c>
      <c r="K6419" t="s">
        <v>2285</v>
      </c>
      <c r="L6419" t="s">
        <v>25</v>
      </c>
      <c r="M6419" s="8">
        <v>2.177</v>
      </c>
      <c r="N6419">
        <v>2.4359999999999999</v>
      </c>
      <c r="O6419" s="8">
        <v>2.4359999999999999</v>
      </c>
      <c r="P6419" s="8">
        <f>EXP(-1.363+3.366*LOG(O6419,10))</f>
        <v>0.94040536041602718</v>
      </c>
      <c r="Q6419" s="8">
        <f>(4488342*100)/4914798</f>
        <v>91.323020803703429</v>
      </c>
    </row>
    <row r="6420" spans="1:17" x14ac:dyDescent="0.2">
      <c r="A6420">
        <v>2018</v>
      </c>
      <c r="B6420" t="s">
        <v>2901</v>
      </c>
      <c r="C6420" t="s">
        <v>2283</v>
      </c>
      <c r="D6420" t="s">
        <v>2900</v>
      </c>
      <c r="E6420">
        <v>9</v>
      </c>
      <c r="F6420" t="s">
        <v>2284</v>
      </c>
      <c r="G6420" t="s">
        <v>1520</v>
      </c>
      <c r="H6420" t="s">
        <v>1521</v>
      </c>
      <c r="I6420" t="s">
        <v>22</v>
      </c>
      <c r="J6420" t="s">
        <v>66</v>
      </c>
      <c r="K6420" t="s">
        <v>2285</v>
      </c>
      <c r="L6420" t="s">
        <v>25</v>
      </c>
      <c r="M6420" s="8">
        <v>2.952</v>
      </c>
      <c r="N6420">
        <v>2.4289999999999998</v>
      </c>
      <c r="O6420" s="8">
        <v>2.4289999999999998</v>
      </c>
      <c r="P6420" s="8">
        <f>EXP(-1.363+3.366*LOG(O6420,10))</f>
        <v>0.93645764487220451</v>
      </c>
      <c r="Q6420" s="8">
        <f>(1148193*100)/12288027</f>
        <v>9.3439980234418432</v>
      </c>
    </row>
    <row r="6421" spans="1:17" x14ac:dyDescent="0.2">
      <c r="A6421">
        <v>2017</v>
      </c>
      <c r="B6421" t="s">
        <v>2528</v>
      </c>
      <c r="C6421" t="s">
        <v>52</v>
      </c>
      <c r="D6421" t="s">
        <v>2523</v>
      </c>
      <c r="E6421">
        <v>6</v>
      </c>
      <c r="F6421" t="s">
        <v>2284</v>
      </c>
      <c r="G6421" t="s">
        <v>230</v>
      </c>
      <c r="H6421" t="s">
        <v>268</v>
      </c>
      <c r="I6421" t="s">
        <v>22</v>
      </c>
      <c r="J6421" t="s">
        <v>42</v>
      </c>
      <c r="K6421" t="s">
        <v>2285</v>
      </c>
      <c r="L6421" t="s">
        <v>25</v>
      </c>
      <c r="M6421" s="8">
        <v>3.5356666670000001</v>
      </c>
      <c r="N6421">
        <v>2.4249999999999998</v>
      </c>
      <c r="O6421" s="8">
        <v>2.4249999999999998</v>
      </c>
      <c r="P6421" s="8">
        <f>EXP(-1.363+3.366*LOG(O6421,10))</f>
        <v>0.934204164340669</v>
      </c>
      <c r="Q6421" s="8">
        <f>(1626350*100)/1973941</f>
        <v>82.391013713175823</v>
      </c>
    </row>
    <row r="6422" spans="1:17" x14ac:dyDescent="0.2">
      <c r="A6422">
        <v>2018</v>
      </c>
      <c r="B6422" t="s">
        <v>2884</v>
      </c>
      <c r="C6422" t="s">
        <v>2283</v>
      </c>
      <c r="D6422" t="s">
        <v>2883</v>
      </c>
      <c r="E6422">
        <v>8</v>
      </c>
      <c r="F6422" t="s">
        <v>2284</v>
      </c>
      <c r="G6422" t="s">
        <v>1520</v>
      </c>
      <c r="H6422" t="s">
        <v>1521</v>
      </c>
      <c r="I6422" t="s">
        <v>22</v>
      </c>
      <c r="J6422" t="s">
        <v>66</v>
      </c>
      <c r="K6422" t="s">
        <v>2285</v>
      </c>
      <c r="L6422" t="s">
        <v>25</v>
      </c>
      <c r="M6422" s="8">
        <v>2.952</v>
      </c>
      <c r="N6422">
        <v>2.4239999999999999</v>
      </c>
      <c r="O6422" s="8">
        <v>2.4239999999999999</v>
      </c>
      <c r="P6422" s="8">
        <f>EXP(-1.363+3.366*LOG(O6422,10))</f>
        <v>0.93364106227732868</v>
      </c>
      <c r="Q6422" s="8">
        <f>(1148193*100)/12288027</f>
        <v>9.3439980234418432</v>
      </c>
    </row>
    <row r="6423" spans="1:17" x14ac:dyDescent="0.2">
      <c r="A6423">
        <v>2018</v>
      </c>
      <c r="B6423" t="s">
        <v>2827</v>
      </c>
      <c r="C6423" t="s">
        <v>1635</v>
      </c>
      <c r="D6423" t="s">
        <v>2809</v>
      </c>
      <c r="E6423">
        <v>8</v>
      </c>
      <c r="F6423" t="s">
        <v>2284</v>
      </c>
      <c r="G6423" t="s">
        <v>1520</v>
      </c>
      <c r="H6423" t="s">
        <v>1521</v>
      </c>
      <c r="I6423" t="s">
        <v>36</v>
      </c>
      <c r="J6423" t="s">
        <v>42</v>
      </c>
      <c r="K6423" t="s">
        <v>2285</v>
      </c>
      <c r="L6423" t="s">
        <v>25</v>
      </c>
      <c r="M6423" s="8">
        <v>2.3340000000000001</v>
      </c>
      <c r="N6423">
        <v>2.403</v>
      </c>
      <c r="O6423" s="8">
        <v>2.403</v>
      </c>
      <c r="P6423" s="8">
        <f>EXP(-1.363+3.366*LOG(O6423,10))</f>
        <v>0.92184073636821151</v>
      </c>
      <c r="Q6423" s="8">
        <f>(3602085*100)/4019599</f>
        <v>89.613043490159086</v>
      </c>
    </row>
    <row r="6424" spans="1:17" x14ac:dyDescent="0.2">
      <c r="A6424">
        <v>2018</v>
      </c>
      <c r="B6424" t="s">
        <v>2662</v>
      </c>
      <c r="C6424" t="s">
        <v>50</v>
      </c>
      <c r="D6424" t="s">
        <v>2653</v>
      </c>
      <c r="E6424">
        <v>5</v>
      </c>
      <c r="F6424" t="s">
        <v>2284</v>
      </c>
      <c r="G6424" t="s">
        <v>1532</v>
      </c>
      <c r="H6424" t="s">
        <v>1995</v>
      </c>
      <c r="I6424" t="s">
        <v>22</v>
      </c>
      <c r="J6424" t="s">
        <v>42</v>
      </c>
      <c r="K6424" t="s">
        <v>2285</v>
      </c>
      <c r="L6424" t="s">
        <v>25</v>
      </c>
      <c r="M6424" s="8">
        <v>2.197666667</v>
      </c>
      <c r="N6424">
        <v>2.399</v>
      </c>
      <c r="O6424" s="8">
        <v>2.399</v>
      </c>
      <c r="P6424" s="8">
        <f>EXP(-1.363+3.366*LOG(O6424,10))</f>
        <v>0.91959843737362867</v>
      </c>
      <c r="Q6424" s="8">
        <f>(4488342*100)/4914798</f>
        <v>91.323020803703429</v>
      </c>
    </row>
    <row r="6425" spans="1:17" x14ac:dyDescent="0.2">
      <c r="A6425">
        <v>2018</v>
      </c>
      <c r="B6425" t="s">
        <v>2801</v>
      </c>
      <c r="C6425" t="s">
        <v>2283</v>
      </c>
      <c r="D6425" t="s">
        <v>2799</v>
      </c>
      <c r="E6425">
        <v>7</v>
      </c>
      <c r="F6425" t="s">
        <v>2284</v>
      </c>
      <c r="G6425" t="s">
        <v>2206</v>
      </c>
      <c r="H6425" t="s">
        <v>2800</v>
      </c>
      <c r="I6425" t="s">
        <v>36</v>
      </c>
      <c r="J6425" t="s">
        <v>66</v>
      </c>
      <c r="K6425" t="s">
        <v>2285</v>
      </c>
      <c r="L6425" t="s">
        <v>25</v>
      </c>
      <c r="M6425" s="8">
        <v>2.3330000000000002</v>
      </c>
      <c r="N6425">
        <v>2.355</v>
      </c>
      <c r="O6425" s="8">
        <v>2.355</v>
      </c>
      <c r="P6425" s="8">
        <f>EXP(-1.363+3.366*LOG(O6425,10))</f>
        <v>0.89504740824044127</v>
      </c>
      <c r="Q6425" s="8">
        <f>(1148193*100)/12288027</f>
        <v>9.3439980234418432</v>
      </c>
    </row>
    <row r="6426" spans="1:17" x14ac:dyDescent="0.2">
      <c r="A6426">
        <v>2018</v>
      </c>
      <c r="B6426" t="s">
        <v>2751</v>
      </c>
      <c r="C6426" t="s">
        <v>1635</v>
      </c>
      <c r="D6426" t="s">
        <v>2749</v>
      </c>
      <c r="E6426">
        <v>6</v>
      </c>
      <c r="F6426" t="s">
        <v>2284</v>
      </c>
      <c r="G6426" t="s">
        <v>1532</v>
      </c>
      <c r="H6426" t="s">
        <v>1995</v>
      </c>
      <c r="I6426" t="s">
        <v>22</v>
      </c>
      <c r="J6426" t="s">
        <v>42</v>
      </c>
      <c r="K6426" t="s">
        <v>2285</v>
      </c>
      <c r="L6426" t="s">
        <v>25</v>
      </c>
      <c r="M6426" s="8">
        <v>2.197666667</v>
      </c>
      <c r="N6426">
        <v>2.3530000000000002</v>
      </c>
      <c r="O6426" s="8">
        <v>2.3530000000000002</v>
      </c>
      <c r="P6426" s="8">
        <f>EXP(-1.363+3.366*LOG(O6426,10))</f>
        <v>0.89393644840964726</v>
      </c>
      <c r="Q6426" s="8">
        <f>(3602085*100)/4019599</f>
        <v>89.613043490159086</v>
      </c>
    </row>
    <row r="6427" spans="1:17" x14ac:dyDescent="0.2">
      <c r="A6427">
        <v>2017</v>
      </c>
      <c r="B6427" t="s">
        <v>2565</v>
      </c>
      <c r="C6427" t="s">
        <v>50</v>
      </c>
      <c r="D6427" t="s">
        <v>2564</v>
      </c>
      <c r="E6427">
        <v>6</v>
      </c>
      <c r="F6427" t="s">
        <v>2284</v>
      </c>
      <c r="G6427" t="s">
        <v>2566</v>
      </c>
      <c r="H6427" t="s">
        <v>2567</v>
      </c>
      <c r="I6427" t="s">
        <v>22</v>
      </c>
      <c r="J6427" t="s">
        <v>42</v>
      </c>
      <c r="K6427" t="s">
        <v>2285</v>
      </c>
      <c r="L6427" t="s">
        <v>25</v>
      </c>
      <c r="M6427" s="8">
        <v>2.3330000000000002</v>
      </c>
      <c r="N6427">
        <v>2.3479999999999999</v>
      </c>
      <c r="O6427" s="8">
        <v>2.3479999999999999</v>
      </c>
      <c r="P6427" s="8">
        <f>EXP(-1.363+3.366*LOG(O6427,10))</f>
        <v>0.89116095686503261</v>
      </c>
      <c r="Q6427" s="8">
        <f>(4488342*100)/4914798</f>
        <v>91.323020803703429</v>
      </c>
    </row>
    <row r="6428" spans="1:17" x14ac:dyDescent="0.2">
      <c r="A6428">
        <v>2015</v>
      </c>
      <c r="B6428" t="s">
        <v>1709</v>
      </c>
      <c r="C6428" t="s">
        <v>1547</v>
      </c>
      <c r="D6428" t="s">
        <v>1710</v>
      </c>
      <c r="E6428">
        <v>7</v>
      </c>
      <c r="F6428" t="s">
        <v>19</v>
      </c>
      <c r="G6428" t="s">
        <v>20</v>
      </c>
      <c r="H6428" t="s">
        <v>1703</v>
      </c>
      <c r="I6428" t="s">
        <v>22</v>
      </c>
      <c r="J6428" t="s">
        <v>42</v>
      </c>
      <c r="K6428" t="s">
        <v>1543</v>
      </c>
      <c r="L6428" t="s">
        <v>187</v>
      </c>
      <c r="M6428" s="8">
        <v>2.2745714289999999</v>
      </c>
      <c r="N6428">
        <v>2.343</v>
      </c>
      <c r="O6428" s="8">
        <v>2.343</v>
      </c>
      <c r="P6428" s="8">
        <f>EXP(-1.363+3.366*LOG(O6428,10))</f>
        <v>0.88838819357936949</v>
      </c>
      <c r="Q6428" s="8">
        <f>(3881584*100)/4292409</f>
        <v>90.429034139104644</v>
      </c>
    </row>
    <row r="6429" spans="1:17" x14ac:dyDescent="0.2">
      <c r="A6429">
        <v>2018</v>
      </c>
      <c r="B6429" t="s">
        <v>2680</v>
      </c>
      <c r="C6429" t="s">
        <v>2287</v>
      </c>
      <c r="D6429" t="s">
        <v>2679</v>
      </c>
      <c r="E6429">
        <v>5</v>
      </c>
      <c r="F6429" t="s">
        <v>2284</v>
      </c>
      <c r="G6429" t="s">
        <v>1532</v>
      </c>
      <c r="H6429" t="s">
        <v>1995</v>
      </c>
      <c r="I6429" t="s">
        <v>22</v>
      </c>
      <c r="J6429" t="s">
        <v>66</v>
      </c>
      <c r="K6429" t="s">
        <v>2285</v>
      </c>
      <c r="L6429" t="s">
        <v>25</v>
      </c>
      <c r="M6429" s="8">
        <v>2.197666667</v>
      </c>
      <c r="N6429">
        <v>2.3420000000000001</v>
      </c>
      <c r="O6429" s="8">
        <v>2.3420000000000001</v>
      </c>
      <c r="P6429" s="8">
        <f>EXP(-1.363+3.366*LOG(O6429,10))</f>
        <v>0.88783396858872299</v>
      </c>
      <c r="Q6429" s="8">
        <f>(859450.9*100)/14749408</f>
        <v>5.8270196336015658</v>
      </c>
    </row>
    <row r="6430" spans="1:17" x14ac:dyDescent="0.2">
      <c r="A6430">
        <v>2015</v>
      </c>
      <c r="B6430" t="s">
        <v>1705</v>
      </c>
      <c r="C6430" t="s">
        <v>1547</v>
      </c>
      <c r="D6430" t="s">
        <v>1706</v>
      </c>
      <c r="E6430">
        <v>6</v>
      </c>
      <c r="F6430" t="s">
        <v>19</v>
      </c>
      <c r="G6430" t="s">
        <v>20</v>
      </c>
      <c r="H6430" t="s">
        <v>1703</v>
      </c>
      <c r="I6430" t="s">
        <v>22</v>
      </c>
      <c r="J6430" t="s">
        <v>42</v>
      </c>
      <c r="K6430" t="s">
        <v>1543</v>
      </c>
      <c r="L6430" t="s">
        <v>187</v>
      </c>
      <c r="M6430" s="8">
        <v>2.2745714289999999</v>
      </c>
      <c r="N6430">
        <v>2.335</v>
      </c>
      <c r="O6430" s="8">
        <v>2.335</v>
      </c>
      <c r="P6430" s="8">
        <f>EXP(-1.363+3.366*LOG(O6430,10))</f>
        <v>0.8839574549215945</v>
      </c>
      <c r="Q6430" s="8">
        <f>(3881584*100)/4292409</f>
        <v>90.429034139104644</v>
      </c>
    </row>
    <row r="6431" spans="1:17" x14ac:dyDescent="0.2">
      <c r="A6431">
        <v>2018</v>
      </c>
      <c r="B6431" t="s">
        <v>2960</v>
      </c>
      <c r="C6431" t="s">
        <v>2283</v>
      </c>
      <c r="D6431" t="s">
        <v>2961</v>
      </c>
      <c r="E6431">
        <v>9</v>
      </c>
      <c r="F6431" t="s">
        <v>2284</v>
      </c>
      <c r="G6431" t="s">
        <v>362</v>
      </c>
      <c r="H6431" t="s">
        <v>393</v>
      </c>
      <c r="I6431" t="s">
        <v>36</v>
      </c>
      <c r="J6431" t="s">
        <v>66</v>
      </c>
      <c r="K6431" t="s">
        <v>2285</v>
      </c>
      <c r="L6431" t="s">
        <v>25</v>
      </c>
      <c r="M6431" s="8">
        <v>2.2189999999999999</v>
      </c>
      <c r="N6431">
        <v>2.3220000000000001</v>
      </c>
      <c r="O6431" s="8">
        <v>2.3220000000000001</v>
      </c>
      <c r="P6431" s="8">
        <f>EXP(-1.363+3.366*LOG(O6431,10))</f>
        <v>0.87677245123070857</v>
      </c>
      <c r="Q6431" s="8">
        <f>(1148193*100)/12288027</f>
        <v>9.3439980234418432</v>
      </c>
    </row>
    <row r="6432" spans="1:17" x14ac:dyDescent="0.2">
      <c r="A6432">
        <v>2018</v>
      </c>
      <c r="B6432" t="s">
        <v>2623</v>
      </c>
      <c r="C6432" t="s">
        <v>2287</v>
      </c>
      <c r="D6432" t="s">
        <v>2618</v>
      </c>
      <c r="E6432">
        <v>4</v>
      </c>
      <c r="F6432" t="s">
        <v>2284</v>
      </c>
      <c r="G6432" t="s">
        <v>1532</v>
      </c>
      <c r="H6432" t="s">
        <v>1995</v>
      </c>
      <c r="I6432" t="s">
        <v>22</v>
      </c>
      <c r="J6432" t="s">
        <v>66</v>
      </c>
      <c r="K6432" t="s">
        <v>2285</v>
      </c>
      <c r="L6432" t="s">
        <v>25</v>
      </c>
      <c r="M6432" s="8">
        <v>2.197666667</v>
      </c>
      <c r="N6432">
        <v>2.319</v>
      </c>
      <c r="O6432" s="8">
        <v>2.319</v>
      </c>
      <c r="P6432" s="8">
        <f>EXP(-1.363+3.366*LOG(O6432,10))</f>
        <v>0.87511700629491962</v>
      </c>
      <c r="Q6432" s="8">
        <f>(859450.9*100)/14749408</f>
        <v>5.8270196336015658</v>
      </c>
    </row>
    <row r="6433" spans="1:17" x14ac:dyDescent="0.2">
      <c r="A6433">
        <v>2011</v>
      </c>
      <c r="B6433" t="s">
        <v>555</v>
      </c>
      <c r="C6433" t="s">
        <v>65</v>
      </c>
      <c r="D6433" t="s">
        <v>58</v>
      </c>
      <c r="E6433">
        <v>6</v>
      </c>
      <c r="F6433" t="s">
        <v>19</v>
      </c>
      <c r="G6433" t="s">
        <v>352</v>
      </c>
      <c r="H6433" t="s">
        <v>494</v>
      </c>
      <c r="I6433" t="s">
        <v>22</v>
      </c>
      <c r="J6433" t="s">
        <v>66</v>
      </c>
      <c r="K6433" t="s">
        <v>24</v>
      </c>
      <c r="L6433" t="s">
        <v>25</v>
      </c>
      <c r="M6433" s="8">
        <v>1.7226666669999999</v>
      </c>
      <c r="N6433">
        <v>2.298</v>
      </c>
      <c r="O6433" s="8">
        <v>2.298</v>
      </c>
      <c r="P6433" s="8">
        <f>EXP(-1.363+3.366*LOG(O6433,10))</f>
        <v>0.86355661582173326</v>
      </c>
      <c r="Q6433" s="8">
        <f>(1788886*100)/6788946</f>
        <v>26.349981278389901</v>
      </c>
    </row>
    <row r="6434" spans="1:17" x14ac:dyDescent="0.2">
      <c r="A6434">
        <v>2018</v>
      </c>
      <c r="B6434" t="s">
        <v>2617</v>
      </c>
      <c r="C6434" t="s">
        <v>1635</v>
      </c>
      <c r="D6434" t="s">
        <v>2618</v>
      </c>
      <c r="E6434">
        <v>4</v>
      </c>
      <c r="F6434" t="s">
        <v>2284</v>
      </c>
      <c r="G6434" t="s">
        <v>20</v>
      </c>
      <c r="H6434" t="s">
        <v>103</v>
      </c>
      <c r="I6434" t="s">
        <v>22</v>
      </c>
      <c r="J6434" t="s">
        <v>42</v>
      </c>
      <c r="K6434" t="s">
        <v>2285</v>
      </c>
      <c r="L6434" t="s">
        <v>25</v>
      </c>
      <c r="M6434" s="8">
        <v>2.177</v>
      </c>
      <c r="N6434">
        <v>2.298</v>
      </c>
      <c r="O6434" s="8">
        <v>2.298</v>
      </c>
      <c r="P6434" s="8">
        <f>EXP(-1.363+3.366*LOG(O6434,10))</f>
        <v>0.86355661582173326</v>
      </c>
      <c r="Q6434" s="8">
        <f>(3602085*100)/4019599</f>
        <v>89.613043490159086</v>
      </c>
    </row>
    <row r="6435" spans="1:17" x14ac:dyDescent="0.2">
      <c r="A6435">
        <v>2011</v>
      </c>
      <c r="B6435" t="s">
        <v>591</v>
      </c>
      <c r="C6435" t="s">
        <v>60</v>
      </c>
      <c r="D6435" t="s">
        <v>190</v>
      </c>
      <c r="E6435">
        <v>7</v>
      </c>
      <c r="F6435" t="s">
        <v>19</v>
      </c>
      <c r="G6435" t="s">
        <v>352</v>
      </c>
      <c r="H6435" t="s">
        <v>494</v>
      </c>
      <c r="I6435" t="s">
        <v>22</v>
      </c>
      <c r="J6435" t="s">
        <v>31</v>
      </c>
      <c r="K6435" t="s">
        <v>24</v>
      </c>
      <c r="L6435" t="s">
        <v>25</v>
      </c>
      <c r="M6435" s="8">
        <v>1.7226666669999999</v>
      </c>
      <c r="N6435">
        <v>2.2290000000000001</v>
      </c>
      <c r="O6435" s="8">
        <v>2.2290000000000001</v>
      </c>
      <c r="P6435" s="8">
        <f>EXP(-1.363+3.366*LOG(O6435,10))</f>
        <v>0.82591657488082559</v>
      </c>
      <c r="Q6435" s="8">
        <f>(27433.05*100)/7611378</f>
        <v>0.36042159514348127</v>
      </c>
    </row>
    <row r="6436" spans="1:17" x14ac:dyDescent="0.2">
      <c r="A6436">
        <v>2015</v>
      </c>
      <c r="B6436" t="s">
        <v>1711</v>
      </c>
      <c r="C6436" t="s">
        <v>1547</v>
      </c>
      <c r="D6436" t="s">
        <v>1710</v>
      </c>
      <c r="E6436">
        <v>7</v>
      </c>
      <c r="F6436" t="s">
        <v>19</v>
      </c>
      <c r="G6436" t="s">
        <v>20</v>
      </c>
      <c r="H6436" t="s">
        <v>1703</v>
      </c>
      <c r="I6436" t="s">
        <v>22</v>
      </c>
      <c r="J6436" t="s">
        <v>42</v>
      </c>
      <c r="K6436" t="s">
        <v>1543</v>
      </c>
      <c r="L6436" t="s">
        <v>187</v>
      </c>
      <c r="M6436" s="8">
        <v>2.2745714289999999</v>
      </c>
      <c r="N6436">
        <v>2.2290000000000001</v>
      </c>
      <c r="O6436" s="8">
        <v>2.2290000000000001</v>
      </c>
      <c r="P6436" s="8">
        <f>EXP(-1.363+3.366*LOG(O6436,10))</f>
        <v>0.82591657488082559</v>
      </c>
      <c r="Q6436" s="8">
        <f>(3881584*100)/4292409</f>
        <v>90.429034139104644</v>
      </c>
    </row>
    <row r="6437" spans="1:17" x14ac:dyDescent="0.2">
      <c r="A6437">
        <v>2018</v>
      </c>
      <c r="B6437" t="s">
        <v>2625</v>
      </c>
      <c r="C6437" t="s">
        <v>50</v>
      </c>
      <c r="D6437" t="s">
        <v>2626</v>
      </c>
      <c r="E6437">
        <v>4</v>
      </c>
      <c r="F6437" t="s">
        <v>2284</v>
      </c>
      <c r="G6437" t="s">
        <v>20</v>
      </c>
      <c r="H6437" t="s">
        <v>87</v>
      </c>
      <c r="I6437" t="s">
        <v>36</v>
      </c>
      <c r="J6437" t="s">
        <v>42</v>
      </c>
      <c r="K6437" t="s">
        <v>2285</v>
      </c>
      <c r="L6437" t="s">
        <v>25</v>
      </c>
      <c r="M6437" s="8">
        <v>1.766</v>
      </c>
      <c r="N6437">
        <v>2.2280000000000002</v>
      </c>
      <c r="O6437" s="8">
        <v>2.2280000000000002</v>
      </c>
      <c r="P6437" s="8">
        <f>EXP(-1.363+3.366*LOG(O6437,10))</f>
        <v>0.82537497377956537</v>
      </c>
      <c r="Q6437" s="8">
        <f>(4488342*100)/4914798</f>
        <v>91.323020803703429</v>
      </c>
    </row>
    <row r="6438" spans="1:17" x14ac:dyDescent="0.2">
      <c r="A6438">
        <v>2015</v>
      </c>
      <c r="B6438" t="s">
        <v>1707</v>
      </c>
      <c r="C6438" t="s">
        <v>1547</v>
      </c>
      <c r="D6438" t="s">
        <v>1708</v>
      </c>
      <c r="E6438">
        <v>6</v>
      </c>
      <c r="F6438" t="s">
        <v>19</v>
      </c>
      <c r="G6438" t="s">
        <v>20</v>
      </c>
      <c r="H6438" t="s">
        <v>1703</v>
      </c>
      <c r="I6438" t="s">
        <v>22</v>
      </c>
      <c r="J6438" t="s">
        <v>42</v>
      </c>
      <c r="K6438" t="s">
        <v>1543</v>
      </c>
      <c r="L6438" t="s">
        <v>187</v>
      </c>
      <c r="M6438" s="8">
        <v>2.2745714289999999</v>
      </c>
      <c r="N6438">
        <v>2.21</v>
      </c>
      <c r="O6438" s="8">
        <v>2.21</v>
      </c>
      <c r="P6438" s="8">
        <f>EXP(-1.363+3.366*LOG(O6438,10))</f>
        <v>0.81564537594962772</v>
      </c>
      <c r="Q6438" s="8">
        <f>(3881584*100)/4292409</f>
        <v>90.429034139104644</v>
      </c>
    </row>
    <row r="6439" spans="1:17" x14ac:dyDescent="0.2">
      <c r="A6439">
        <v>2017</v>
      </c>
      <c r="B6439" t="s">
        <v>2581</v>
      </c>
      <c r="C6439" t="s">
        <v>50</v>
      </c>
      <c r="D6439" t="s">
        <v>2578</v>
      </c>
      <c r="E6439">
        <v>6</v>
      </c>
      <c r="F6439" t="s">
        <v>2284</v>
      </c>
      <c r="G6439" t="s">
        <v>1520</v>
      </c>
      <c r="H6439" t="s">
        <v>1521</v>
      </c>
      <c r="I6439" t="s">
        <v>36</v>
      </c>
      <c r="J6439" t="s">
        <v>42</v>
      </c>
      <c r="K6439" t="s">
        <v>2285</v>
      </c>
      <c r="L6439" t="s">
        <v>25</v>
      </c>
      <c r="M6439" s="8">
        <v>2.3340000000000001</v>
      </c>
      <c r="N6439">
        <v>2.2010000000000001</v>
      </c>
      <c r="O6439" s="8">
        <v>2.2010000000000001</v>
      </c>
      <c r="P6439" s="8">
        <f>EXP(-1.363+3.366*LOG(O6439,10))</f>
        <v>0.81079426574986624</v>
      </c>
      <c r="Q6439" s="8">
        <f>(4488342*100)/4914798</f>
        <v>91.323020803703429</v>
      </c>
    </row>
    <row r="6440" spans="1:17" x14ac:dyDescent="0.2">
      <c r="A6440">
        <v>2018</v>
      </c>
      <c r="B6440" t="s">
        <v>2632</v>
      </c>
      <c r="C6440" t="s">
        <v>2287</v>
      </c>
      <c r="D6440" t="s">
        <v>2626</v>
      </c>
      <c r="E6440">
        <v>4</v>
      </c>
      <c r="F6440" t="s">
        <v>2284</v>
      </c>
      <c r="G6440" t="s">
        <v>1532</v>
      </c>
      <c r="H6440" t="s">
        <v>2531</v>
      </c>
      <c r="I6440" t="s">
        <v>22</v>
      </c>
      <c r="J6440" t="s">
        <v>66</v>
      </c>
      <c r="K6440" t="s">
        <v>2285</v>
      </c>
      <c r="L6440" t="s">
        <v>25</v>
      </c>
      <c r="M6440" s="8" t="s">
        <v>26</v>
      </c>
      <c r="N6440">
        <v>2.1989999999999998</v>
      </c>
      <c r="O6440" s="8">
        <v>2.1989999999999998</v>
      </c>
      <c r="P6440" s="8">
        <f>EXP(-1.363+3.366*LOG(O6440,10))</f>
        <v>0.80971748348903405</v>
      </c>
      <c r="Q6440" s="8">
        <f>(859450.9*100)/14749408</f>
        <v>5.8270196336015658</v>
      </c>
    </row>
    <row r="6441" spans="1:17" x14ac:dyDescent="0.2">
      <c r="A6441">
        <v>2011</v>
      </c>
      <c r="B6441" t="s">
        <v>556</v>
      </c>
      <c r="C6441" t="s">
        <v>65</v>
      </c>
      <c r="D6441" t="s">
        <v>58</v>
      </c>
      <c r="E6441">
        <v>6</v>
      </c>
      <c r="F6441" t="s">
        <v>19</v>
      </c>
      <c r="G6441" t="s">
        <v>352</v>
      </c>
      <c r="H6441" t="s">
        <v>494</v>
      </c>
      <c r="I6441" t="s">
        <v>22</v>
      </c>
      <c r="J6441" t="s">
        <v>66</v>
      </c>
      <c r="K6441" t="s">
        <v>24</v>
      </c>
      <c r="L6441" t="s">
        <v>25</v>
      </c>
      <c r="M6441" s="8">
        <v>1.7226666669999999</v>
      </c>
      <c r="N6441">
        <v>2.1869999999999998</v>
      </c>
      <c r="O6441" s="8">
        <v>2.1869999999999998</v>
      </c>
      <c r="P6441" s="8">
        <f>EXP(-1.363+3.366*LOG(O6441,10))</f>
        <v>0.80326629384318682</v>
      </c>
      <c r="Q6441" s="8">
        <f>(1788886*100)/6788946</f>
        <v>26.349981278389901</v>
      </c>
    </row>
    <row r="6442" spans="1:17" x14ac:dyDescent="0.2">
      <c r="A6442">
        <v>2017</v>
      </c>
      <c r="B6442" t="s">
        <v>2451</v>
      </c>
      <c r="C6442" t="s">
        <v>50</v>
      </c>
      <c r="D6442" t="s">
        <v>2440</v>
      </c>
      <c r="E6442">
        <v>5</v>
      </c>
      <c r="F6442" t="s">
        <v>2284</v>
      </c>
      <c r="G6442" t="s">
        <v>1532</v>
      </c>
      <c r="H6442" t="s">
        <v>1995</v>
      </c>
      <c r="I6442" t="s">
        <v>22</v>
      </c>
      <c r="J6442" t="s">
        <v>42</v>
      </c>
      <c r="K6442" t="s">
        <v>2285</v>
      </c>
      <c r="L6442" t="s">
        <v>25</v>
      </c>
      <c r="M6442" s="8">
        <v>2.197666667</v>
      </c>
      <c r="N6442">
        <v>2.1840000000000002</v>
      </c>
      <c r="O6442" s="8">
        <v>2.1840000000000002</v>
      </c>
      <c r="P6442" s="8">
        <f>EXP(-1.363+3.366*LOG(O6442,10))</f>
        <v>0.80165604566736004</v>
      </c>
      <c r="Q6442" s="8">
        <f>(4488342*100)/4914798</f>
        <v>91.323020803703429</v>
      </c>
    </row>
    <row r="6443" spans="1:17" x14ac:dyDescent="0.2">
      <c r="A6443">
        <v>2018</v>
      </c>
      <c r="B6443" t="s">
        <v>2798</v>
      </c>
      <c r="C6443" t="s">
        <v>2283</v>
      </c>
      <c r="D6443" t="s">
        <v>2799</v>
      </c>
      <c r="E6443">
        <v>7</v>
      </c>
      <c r="F6443" t="s">
        <v>2284</v>
      </c>
      <c r="G6443" t="s">
        <v>2206</v>
      </c>
      <c r="H6443" t="s">
        <v>2800</v>
      </c>
      <c r="I6443" t="s">
        <v>36</v>
      </c>
      <c r="J6443" t="s">
        <v>66</v>
      </c>
      <c r="K6443" t="s">
        <v>2285</v>
      </c>
      <c r="L6443" t="s">
        <v>25</v>
      </c>
      <c r="M6443" s="8">
        <v>2.3330000000000002</v>
      </c>
      <c r="N6443">
        <v>2.1779999999999999</v>
      </c>
      <c r="O6443" s="8">
        <v>2.1779999999999999</v>
      </c>
      <c r="P6443" s="8">
        <f>EXP(-1.363+3.366*LOG(O6443,10))</f>
        <v>0.79843861367171121</v>
      </c>
      <c r="Q6443" s="8">
        <f>(1148193*100)/12288027</f>
        <v>9.3439980234418432</v>
      </c>
    </row>
    <row r="6444" spans="1:17" x14ac:dyDescent="0.2">
      <c r="A6444">
        <v>2015</v>
      </c>
      <c r="B6444" t="s">
        <v>1713</v>
      </c>
      <c r="C6444" t="s">
        <v>1547</v>
      </c>
      <c r="D6444" t="s">
        <v>1686</v>
      </c>
      <c r="E6444">
        <v>7</v>
      </c>
      <c r="F6444" t="s">
        <v>19</v>
      </c>
      <c r="G6444" t="s">
        <v>20</v>
      </c>
      <c r="H6444" t="s">
        <v>1703</v>
      </c>
      <c r="I6444" t="s">
        <v>22</v>
      </c>
      <c r="J6444" t="s">
        <v>42</v>
      </c>
      <c r="K6444" t="s">
        <v>1543</v>
      </c>
      <c r="L6444" t="s">
        <v>187</v>
      </c>
      <c r="M6444" s="8">
        <v>2.2745714289999999</v>
      </c>
      <c r="N6444">
        <v>2.1219999999999999</v>
      </c>
      <c r="O6444" s="8">
        <v>2.1219999999999999</v>
      </c>
      <c r="P6444" s="8">
        <f>EXP(-1.363+3.366*LOG(O6444,10))</f>
        <v>0.76860733898774769</v>
      </c>
      <c r="Q6444" s="8">
        <f>(3881584*100)/4292409</f>
        <v>90.429034139104644</v>
      </c>
    </row>
    <row r="6445" spans="1:17" x14ac:dyDescent="0.2">
      <c r="A6445">
        <v>2011</v>
      </c>
      <c r="B6445" t="s">
        <v>557</v>
      </c>
      <c r="C6445" t="s">
        <v>65</v>
      </c>
      <c r="D6445" t="s">
        <v>58</v>
      </c>
      <c r="E6445">
        <v>6</v>
      </c>
      <c r="F6445" t="s">
        <v>19</v>
      </c>
      <c r="G6445" t="s">
        <v>352</v>
      </c>
      <c r="H6445" t="s">
        <v>494</v>
      </c>
      <c r="I6445" t="s">
        <v>22</v>
      </c>
      <c r="J6445" t="s">
        <v>66</v>
      </c>
      <c r="K6445" t="s">
        <v>24</v>
      </c>
      <c r="L6445" t="s">
        <v>25</v>
      </c>
      <c r="M6445" s="8">
        <v>1.7226666669999999</v>
      </c>
      <c r="N6445">
        <v>2.1059999999999999</v>
      </c>
      <c r="O6445" s="8">
        <v>2.1059999999999999</v>
      </c>
      <c r="P6445" s="8">
        <f>EXP(-1.363+3.366*LOG(O6445,10))</f>
        <v>0.76015027332764096</v>
      </c>
      <c r="Q6445" s="8">
        <f>(1788886*100)/6788946</f>
        <v>26.349981278389901</v>
      </c>
    </row>
    <row r="6446" spans="1:17" x14ac:dyDescent="0.2">
      <c r="A6446">
        <v>2018</v>
      </c>
      <c r="B6446" t="s">
        <v>2762</v>
      </c>
      <c r="C6446" t="s">
        <v>1635</v>
      </c>
      <c r="D6446" t="s">
        <v>2763</v>
      </c>
      <c r="E6446">
        <v>6</v>
      </c>
      <c r="F6446" t="s">
        <v>2284</v>
      </c>
      <c r="G6446" t="s">
        <v>20</v>
      </c>
      <c r="H6446" t="s">
        <v>91</v>
      </c>
      <c r="I6446" t="s">
        <v>22</v>
      </c>
      <c r="J6446" t="s">
        <v>42</v>
      </c>
      <c r="K6446" t="s">
        <v>2285</v>
      </c>
      <c r="L6446" t="s">
        <v>25</v>
      </c>
      <c r="M6446" s="8">
        <v>2.0630000000000002</v>
      </c>
      <c r="N6446">
        <v>2.0790000000000002</v>
      </c>
      <c r="O6446" s="8">
        <v>2.0790000000000002</v>
      </c>
      <c r="P6446" s="8">
        <f>EXP(-1.363+3.366*LOG(O6446,10))</f>
        <v>0.74594620778110898</v>
      </c>
      <c r="Q6446" s="8">
        <f>(3602085*100)/4019599</f>
        <v>89.613043490159086</v>
      </c>
    </row>
    <row r="6447" spans="1:17" x14ac:dyDescent="0.2">
      <c r="A6447">
        <v>2017</v>
      </c>
      <c r="B6447" t="s">
        <v>2313</v>
      </c>
      <c r="C6447" t="s">
        <v>89</v>
      </c>
      <c r="D6447" t="s">
        <v>2311</v>
      </c>
      <c r="E6447">
        <v>3</v>
      </c>
      <c r="F6447" t="s">
        <v>2284</v>
      </c>
      <c r="G6447" t="s">
        <v>20</v>
      </c>
      <c r="H6447" t="s">
        <v>84</v>
      </c>
      <c r="I6447" t="s">
        <v>36</v>
      </c>
      <c r="J6447" t="s">
        <v>66</v>
      </c>
      <c r="K6447" t="s">
        <v>2285</v>
      </c>
      <c r="L6447" t="s">
        <v>25</v>
      </c>
      <c r="M6447" s="8" t="s">
        <v>26</v>
      </c>
      <c r="N6447">
        <v>2.0459999999999998</v>
      </c>
      <c r="O6447" s="8">
        <v>2.0459999999999998</v>
      </c>
      <c r="P6447" s="8">
        <f>EXP(-1.363+3.366*LOG(O6447,10))</f>
        <v>0.72870109508097536</v>
      </c>
      <c r="Q6447" s="8">
        <f>(61997.93*100)/7298102</f>
        <v>0.84950758430068529</v>
      </c>
    </row>
    <row r="6448" spans="1:17" x14ac:dyDescent="0.2">
      <c r="A6448">
        <v>2011</v>
      </c>
      <c r="B6448" t="s">
        <v>749</v>
      </c>
      <c r="C6448" t="s">
        <v>65</v>
      </c>
      <c r="D6448" t="s">
        <v>106</v>
      </c>
      <c r="E6448">
        <v>4</v>
      </c>
      <c r="F6448" t="s">
        <v>19</v>
      </c>
      <c r="G6448" t="s">
        <v>352</v>
      </c>
      <c r="H6448" t="s">
        <v>747</v>
      </c>
      <c r="I6448" t="s">
        <v>22</v>
      </c>
      <c r="J6448" t="s">
        <v>66</v>
      </c>
      <c r="K6448" t="s">
        <v>24</v>
      </c>
      <c r="L6448" t="s">
        <v>25</v>
      </c>
      <c r="M6448" s="8">
        <v>1.3726666670000001</v>
      </c>
      <c r="N6448">
        <v>2.0379999999999998</v>
      </c>
      <c r="O6448" s="8">
        <v>2.0379999999999998</v>
      </c>
      <c r="P6448" s="8">
        <f>EXP(-1.363+3.366*LOG(O6448,10))</f>
        <v>0.724539693538513</v>
      </c>
      <c r="Q6448" s="8">
        <f>(1788886*100)/6788946</f>
        <v>26.349981278389901</v>
      </c>
    </row>
    <row r="6449" spans="1:17" x14ac:dyDescent="0.2">
      <c r="A6449">
        <v>2011</v>
      </c>
      <c r="B6449" t="s">
        <v>592</v>
      </c>
      <c r="C6449" t="s">
        <v>60</v>
      </c>
      <c r="D6449" t="s">
        <v>190</v>
      </c>
      <c r="E6449">
        <v>7</v>
      </c>
      <c r="F6449" t="s">
        <v>19</v>
      </c>
      <c r="G6449" t="s">
        <v>352</v>
      </c>
      <c r="H6449" t="s">
        <v>494</v>
      </c>
      <c r="I6449" t="s">
        <v>22</v>
      </c>
      <c r="J6449" t="s">
        <v>31</v>
      </c>
      <c r="K6449" t="s">
        <v>24</v>
      </c>
      <c r="L6449" t="s">
        <v>25</v>
      </c>
      <c r="M6449" s="8">
        <v>1.7226666669999999</v>
      </c>
      <c r="N6449">
        <v>2.032</v>
      </c>
      <c r="O6449" s="8">
        <v>2.032</v>
      </c>
      <c r="P6449" s="8">
        <f>EXP(-1.363+3.366*LOG(O6449,10))</f>
        <v>0.72142358790785199</v>
      </c>
      <c r="Q6449" s="8">
        <f>(27433.05*100)/7611378</f>
        <v>0.36042159514348127</v>
      </c>
    </row>
    <row r="6450" spans="1:17" x14ac:dyDescent="0.2">
      <c r="A6450">
        <v>2017</v>
      </c>
      <c r="B6450" t="s">
        <v>2310</v>
      </c>
      <c r="C6450" t="s">
        <v>2283</v>
      </c>
      <c r="D6450" t="s">
        <v>2311</v>
      </c>
      <c r="E6450">
        <v>3</v>
      </c>
      <c r="F6450" t="s">
        <v>2284</v>
      </c>
      <c r="G6450" t="s">
        <v>20</v>
      </c>
      <c r="H6450" t="s">
        <v>45</v>
      </c>
      <c r="I6450" t="s">
        <v>22</v>
      </c>
      <c r="J6450" t="s">
        <v>66</v>
      </c>
      <c r="K6450" t="s">
        <v>2285</v>
      </c>
      <c r="L6450" t="s">
        <v>25</v>
      </c>
      <c r="M6450" s="8">
        <v>1.903333333</v>
      </c>
      <c r="N6450">
        <v>2.0289999999999999</v>
      </c>
      <c r="O6450" s="8">
        <v>2.0289999999999999</v>
      </c>
      <c r="P6450" s="8">
        <f>EXP(-1.363+3.366*LOG(O6450,10))</f>
        <v>0.71986712710818834</v>
      </c>
      <c r="Q6450" s="8">
        <f>(1148193*100)/12288027</f>
        <v>9.3439980234418432</v>
      </c>
    </row>
    <row r="6451" spans="1:17" x14ac:dyDescent="0.2">
      <c r="A6451">
        <v>2017</v>
      </c>
      <c r="B6451" t="s">
        <v>2314</v>
      </c>
      <c r="C6451" t="s">
        <v>2287</v>
      </c>
      <c r="D6451" t="s">
        <v>2311</v>
      </c>
      <c r="E6451">
        <v>3</v>
      </c>
      <c r="F6451" t="s">
        <v>2284</v>
      </c>
      <c r="G6451" t="s">
        <v>20</v>
      </c>
      <c r="H6451" t="s">
        <v>84</v>
      </c>
      <c r="I6451" t="s">
        <v>36</v>
      </c>
      <c r="J6451" t="s">
        <v>66</v>
      </c>
      <c r="K6451" t="s">
        <v>2285</v>
      </c>
      <c r="L6451" t="s">
        <v>25</v>
      </c>
      <c r="M6451" s="8" t="s">
        <v>26</v>
      </c>
      <c r="N6451">
        <v>1.9950000000000001</v>
      </c>
      <c r="O6451" s="8">
        <v>1.9950000000000001</v>
      </c>
      <c r="P6451" s="8">
        <f>EXP(-1.363+3.366*LOG(O6451,10))</f>
        <v>0.70230169766748496</v>
      </c>
      <c r="Q6451" s="8">
        <f>(859450.9*100)/14749408</f>
        <v>5.8270196336015658</v>
      </c>
    </row>
    <row r="6452" spans="1:17" x14ac:dyDescent="0.2">
      <c r="A6452">
        <v>2018</v>
      </c>
      <c r="B6452" t="s">
        <v>2637</v>
      </c>
      <c r="C6452" t="s">
        <v>50</v>
      </c>
      <c r="D6452" t="s">
        <v>2638</v>
      </c>
      <c r="E6452">
        <v>4</v>
      </c>
      <c r="F6452" t="s">
        <v>2284</v>
      </c>
      <c r="G6452" t="s">
        <v>20</v>
      </c>
      <c r="H6452" t="s">
        <v>2357</v>
      </c>
      <c r="I6452" t="s">
        <v>36</v>
      </c>
      <c r="J6452" t="s">
        <v>42</v>
      </c>
      <c r="K6452" t="s">
        <v>2285</v>
      </c>
      <c r="L6452" t="s">
        <v>187</v>
      </c>
      <c r="M6452" s="8" t="s">
        <v>26</v>
      </c>
      <c r="N6452">
        <v>1.9950000000000001</v>
      </c>
      <c r="O6452" s="8">
        <v>1.9950000000000001</v>
      </c>
      <c r="P6452" s="8">
        <f>EXP(-1.363+3.366*LOG(O6452,10))</f>
        <v>0.70230169766748496</v>
      </c>
      <c r="Q6452" s="8">
        <f>(4488342*100)/4914798</f>
        <v>91.323020803703429</v>
      </c>
    </row>
    <row r="6453" spans="1:17" x14ac:dyDescent="0.2">
      <c r="A6453">
        <v>2011</v>
      </c>
      <c r="B6453" t="s">
        <v>561</v>
      </c>
      <c r="C6453" t="s">
        <v>17</v>
      </c>
      <c r="D6453" t="s">
        <v>95</v>
      </c>
      <c r="E6453">
        <v>7</v>
      </c>
      <c r="F6453" t="s">
        <v>19</v>
      </c>
      <c r="G6453" t="s">
        <v>352</v>
      </c>
      <c r="H6453" t="s">
        <v>494</v>
      </c>
      <c r="I6453" t="s">
        <v>22</v>
      </c>
      <c r="J6453" t="s">
        <v>23</v>
      </c>
      <c r="K6453" t="s">
        <v>24</v>
      </c>
      <c r="L6453" t="s">
        <v>25</v>
      </c>
      <c r="M6453" s="8">
        <v>1.7226666669999999</v>
      </c>
      <c r="N6453">
        <v>1.9870000000000001</v>
      </c>
      <c r="O6453" s="8">
        <v>1.9870000000000001</v>
      </c>
      <c r="P6453" s="8">
        <f>EXP(-1.363+3.366*LOG(O6453,10))</f>
        <v>0.69818862292567729</v>
      </c>
      <c r="Q6453" s="8">
        <f>(605161.6*100)/5834449</f>
        <v>10.372215096918321</v>
      </c>
    </row>
    <row r="6454" spans="1:17" x14ac:dyDescent="0.2">
      <c r="A6454">
        <v>2011</v>
      </c>
      <c r="B6454" t="s">
        <v>568</v>
      </c>
      <c r="C6454" t="s">
        <v>94</v>
      </c>
      <c r="D6454" t="s">
        <v>95</v>
      </c>
      <c r="E6454">
        <v>7</v>
      </c>
      <c r="F6454" t="s">
        <v>19</v>
      </c>
      <c r="G6454" t="s">
        <v>352</v>
      </c>
      <c r="H6454" t="s">
        <v>494</v>
      </c>
      <c r="I6454" t="s">
        <v>22</v>
      </c>
      <c r="J6454" t="s">
        <v>66</v>
      </c>
      <c r="K6454" t="s">
        <v>24</v>
      </c>
      <c r="L6454" t="s">
        <v>25</v>
      </c>
      <c r="M6454" s="8">
        <v>1.7226666669999999</v>
      </c>
      <c r="N6454">
        <v>1.9610000000000001</v>
      </c>
      <c r="O6454" s="8">
        <v>1.9610000000000001</v>
      </c>
      <c r="P6454" s="8">
        <f>EXP(-1.363+3.366*LOG(O6454,10))</f>
        <v>0.68487398598120763</v>
      </c>
      <c r="Q6454" s="8">
        <f>(46623.23*100)/15165196</f>
        <v>0.30743572321782059</v>
      </c>
    </row>
    <row r="6455" spans="1:17" x14ac:dyDescent="0.2">
      <c r="A6455">
        <v>2017</v>
      </c>
      <c r="B6455" t="s">
        <v>2312</v>
      </c>
      <c r="C6455" t="s">
        <v>1635</v>
      </c>
      <c r="D6455" t="s">
        <v>2311</v>
      </c>
      <c r="E6455">
        <v>3</v>
      </c>
      <c r="F6455" t="s">
        <v>2284</v>
      </c>
      <c r="G6455" t="s">
        <v>20</v>
      </c>
      <c r="H6455" t="s">
        <v>45</v>
      </c>
      <c r="I6455" t="s">
        <v>22</v>
      </c>
      <c r="J6455" t="s">
        <v>42</v>
      </c>
      <c r="K6455" t="s">
        <v>2285</v>
      </c>
      <c r="L6455" t="s">
        <v>25</v>
      </c>
      <c r="M6455" s="8">
        <v>1.903333333</v>
      </c>
      <c r="N6455">
        <v>1.9550000000000001</v>
      </c>
      <c r="O6455" s="8">
        <v>1.9550000000000001</v>
      </c>
      <c r="P6455" s="8">
        <f>EXP(-1.363+3.366*LOG(O6455,10))</f>
        <v>0.68181289927884992</v>
      </c>
      <c r="Q6455" s="8">
        <f>(3602085*100)/4019599</f>
        <v>89.613043490159086</v>
      </c>
    </row>
    <row r="6456" spans="1:17" x14ac:dyDescent="0.2">
      <c r="A6456">
        <v>2017</v>
      </c>
      <c r="B6456" t="s">
        <v>2296</v>
      </c>
      <c r="C6456" t="s">
        <v>2283</v>
      </c>
      <c r="D6456" t="s">
        <v>2297</v>
      </c>
      <c r="E6456">
        <v>3</v>
      </c>
      <c r="F6456" t="s">
        <v>2284</v>
      </c>
      <c r="G6456" t="s">
        <v>20</v>
      </c>
      <c r="H6456" t="s">
        <v>45</v>
      </c>
      <c r="I6456" t="s">
        <v>22</v>
      </c>
      <c r="J6456" t="s">
        <v>66</v>
      </c>
      <c r="K6456" t="s">
        <v>2285</v>
      </c>
      <c r="L6456" t="s">
        <v>25</v>
      </c>
      <c r="M6456" s="8">
        <v>1.903333333</v>
      </c>
      <c r="N6456">
        <v>1.9530000000000001</v>
      </c>
      <c r="O6456" s="8">
        <v>1.9530000000000001</v>
      </c>
      <c r="P6456" s="8">
        <f>EXP(-1.363+3.366*LOG(O6456,10))</f>
        <v>0.68079350018145768</v>
      </c>
      <c r="Q6456" s="8">
        <f>(1148193*100)/12288027</f>
        <v>9.3439980234418432</v>
      </c>
    </row>
    <row r="6457" spans="1:17" x14ac:dyDescent="0.2">
      <c r="A6457">
        <v>2018</v>
      </c>
      <c r="B6457" t="s">
        <v>2652</v>
      </c>
      <c r="C6457" t="s">
        <v>2287</v>
      </c>
      <c r="D6457" t="s">
        <v>2653</v>
      </c>
      <c r="E6457">
        <v>5</v>
      </c>
      <c r="F6457" t="s">
        <v>2284</v>
      </c>
      <c r="G6457" t="s">
        <v>20</v>
      </c>
      <c r="H6457" t="s">
        <v>91</v>
      </c>
      <c r="I6457" t="s">
        <v>36</v>
      </c>
      <c r="J6457" t="s">
        <v>66</v>
      </c>
      <c r="K6457" t="s">
        <v>2285</v>
      </c>
      <c r="L6457" t="s">
        <v>25</v>
      </c>
      <c r="M6457" s="8">
        <v>1.5753333329999999</v>
      </c>
      <c r="N6457">
        <v>1.9530000000000001</v>
      </c>
      <c r="O6457" s="8">
        <v>1.9530000000000001</v>
      </c>
      <c r="P6457" s="8">
        <f>EXP(-1.363+3.366*LOG(O6457,10))</f>
        <v>0.68079350018145768</v>
      </c>
      <c r="Q6457" s="8">
        <f>(859450.9*100)/14749408</f>
        <v>5.8270196336015658</v>
      </c>
    </row>
    <row r="6458" spans="1:17" x14ac:dyDescent="0.2">
      <c r="A6458">
        <v>2017</v>
      </c>
      <c r="B6458" t="s">
        <v>2329</v>
      </c>
      <c r="C6458" t="s">
        <v>52</v>
      </c>
      <c r="D6458" t="s">
        <v>2330</v>
      </c>
      <c r="E6458">
        <v>3</v>
      </c>
      <c r="F6458" t="s">
        <v>2284</v>
      </c>
      <c r="G6458" t="s">
        <v>20</v>
      </c>
      <c r="H6458" t="s">
        <v>145</v>
      </c>
      <c r="I6458" t="s">
        <v>36</v>
      </c>
      <c r="J6458" t="s">
        <v>42</v>
      </c>
      <c r="K6458" t="s">
        <v>2285</v>
      </c>
      <c r="L6458" t="s">
        <v>25</v>
      </c>
      <c r="M6458" s="8">
        <v>1.9886666669999999</v>
      </c>
      <c r="N6458">
        <v>1.9510000000000001</v>
      </c>
      <c r="O6458" s="8">
        <v>1.9510000000000001</v>
      </c>
      <c r="P6458" s="8">
        <f>EXP(-1.363+3.366*LOG(O6458,10))</f>
        <v>0.67977458309447236</v>
      </c>
      <c r="Q6458" s="8">
        <f>(1626350*100)/1973941</f>
        <v>82.391013713175823</v>
      </c>
    </row>
    <row r="6459" spans="1:17" x14ac:dyDescent="0.2">
      <c r="A6459">
        <v>2018</v>
      </c>
      <c r="B6459" t="s">
        <v>2582</v>
      </c>
      <c r="C6459" t="s">
        <v>2287</v>
      </c>
      <c r="D6459" t="s">
        <v>2583</v>
      </c>
      <c r="E6459">
        <v>3</v>
      </c>
      <c r="F6459" t="s">
        <v>2284</v>
      </c>
      <c r="G6459" t="s">
        <v>20</v>
      </c>
      <c r="H6459" t="s">
        <v>2584</v>
      </c>
      <c r="I6459" t="s">
        <v>36</v>
      </c>
      <c r="J6459" t="s">
        <v>66</v>
      </c>
      <c r="K6459" t="s">
        <v>2285</v>
      </c>
      <c r="L6459" t="s">
        <v>25</v>
      </c>
      <c r="M6459" s="8" t="s">
        <v>26</v>
      </c>
      <c r="N6459">
        <v>1.9390000000000001</v>
      </c>
      <c r="O6459" s="8">
        <v>1.9390000000000001</v>
      </c>
      <c r="P6459" s="8">
        <f>EXP(-1.363+3.366*LOG(O6459,10))</f>
        <v>0.67367121770830996</v>
      </c>
      <c r="Q6459" s="8">
        <f>(859450.9*100)/14749408</f>
        <v>5.8270196336015658</v>
      </c>
    </row>
    <row r="6460" spans="1:17" x14ac:dyDescent="0.2">
      <c r="A6460">
        <v>2011</v>
      </c>
      <c r="B6460" t="s">
        <v>587</v>
      </c>
      <c r="C6460" t="s">
        <v>60</v>
      </c>
      <c r="D6460" t="s">
        <v>190</v>
      </c>
      <c r="E6460">
        <v>7</v>
      </c>
      <c r="F6460" t="s">
        <v>19</v>
      </c>
      <c r="G6460" t="s">
        <v>352</v>
      </c>
      <c r="H6460" t="s">
        <v>494</v>
      </c>
      <c r="I6460" t="s">
        <v>22</v>
      </c>
      <c r="J6460" t="s">
        <v>31</v>
      </c>
      <c r="K6460" t="s">
        <v>24</v>
      </c>
      <c r="L6460" t="s">
        <v>25</v>
      </c>
      <c r="M6460" s="8">
        <v>1.7226666669999999</v>
      </c>
      <c r="N6460">
        <v>1.9379999999999999</v>
      </c>
      <c r="O6460" s="8">
        <v>1.9379999999999999</v>
      </c>
      <c r="P6460" s="8">
        <f>EXP(-1.363+3.366*LOG(O6460,10))</f>
        <v>0.67316338943315146</v>
      </c>
      <c r="Q6460" s="8">
        <f>(27433.05*100)/7611378</f>
        <v>0.36042159514348127</v>
      </c>
    </row>
    <row r="6461" spans="1:17" x14ac:dyDescent="0.2">
      <c r="A6461">
        <v>2018</v>
      </c>
      <c r="B6461" t="s">
        <v>2627</v>
      </c>
      <c r="C6461" t="s">
        <v>50</v>
      </c>
      <c r="D6461" t="s">
        <v>2626</v>
      </c>
      <c r="E6461">
        <v>4</v>
      </c>
      <c r="F6461" t="s">
        <v>2284</v>
      </c>
      <c r="G6461" t="s">
        <v>20</v>
      </c>
      <c r="H6461" t="s">
        <v>2357</v>
      </c>
      <c r="I6461" t="s">
        <v>36</v>
      </c>
      <c r="J6461" t="s">
        <v>42</v>
      </c>
      <c r="K6461" t="s">
        <v>2285</v>
      </c>
      <c r="L6461" t="s">
        <v>187</v>
      </c>
      <c r="M6461" s="8" t="s">
        <v>26</v>
      </c>
      <c r="N6461">
        <v>1.9379999999999999</v>
      </c>
      <c r="O6461" s="8">
        <v>1.9379999999999999</v>
      </c>
      <c r="P6461" s="8">
        <f>EXP(-1.363+3.366*LOG(O6461,10))</f>
        <v>0.67316338943315146</v>
      </c>
      <c r="Q6461" s="8">
        <f>(4488342*100)/4914798</f>
        <v>91.323020803703429</v>
      </c>
    </row>
    <row r="6462" spans="1:17" x14ac:dyDescent="0.2">
      <c r="A6462">
        <v>2011</v>
      </c>
      <c r="B6462" t="s">
        <v>565</v>
      </c>
      <c r="C6462" t="s">
        <v>94</v>
      </c>
      <c r="D6462" t="s">
        <v>95</v>
      </c>
      <c r="E6462">
        <v>7</v>
      </c>
      <c r="F6462" t="s">
        <v>19</v>
      </c>
      <c r="G6462" t="s">
        <v>352</v>
      </c>
      <c r="H6462" t="s">
        <v>494</v>
      </c>
      <c r="I6462" t="s">
        <v>22</v>
      </c>
      <c r="J6462" t="s">
        <v>66</v>
      </c>
      <c r="K6462" t="s">
        <v>24</v>
      </c>
      <c r="L6462" t="s">
        <v>25</v>
      </c>
      <c r="M6462" s="8">
        <v>1.7226666669999999</v>
      </c>
      <c r="N6462">
        <v>1.9350000000000001</v>
      </c>
      <c r="O6462" s="8">
        <v>1.9350000000000001</v>
      </c>
      <c r="P6462" s="8">
        <f>EXP(-1.363+3.366*LOG(O6462,10))</f>
        <v>0.67164063076399272</v>
      </c>
      <c r="Q6462" s="8">
        <f>(46623.23*100)/15165196</f>
        <v>0.30743572321782059</v>
      </c>
    </row>
    <row r="6463" spans="1:17" x14ac:dyDescent="0.2">
      <c r="A6463">
        <v>2018</v>
      </c>
      <c r="B6463" t="s">
        <v>2777</v>
      </c>
      <c r="C6463" t="s">
        <v>50</v>
      </c>
      <c r="D6463" t="s">
        <v>2778</v>
      </c>
      <c r="E6463">
        <v>6</v>
      </c>
      <c r="F6463" t="s">
        <v>2284</v>
      </c>
      <c r="G6463" t="s">
        <v>20</v>
      </c>
      <c r="H6463" t="s">
        <v>91</v>
      </c>
      <c r="I6463" t="s">
        <v>36</v>
      </c>
      <c r="J6463" t="s">
        <v>42</v>
      </c>
      <c r="K6463" t="s">
        <v>2285</v>
      </c>
      <c r="L6463" t="s">
        <v>25</v>
      </c>
      <c r="M6463" s="8">
        <v>1.5753333329999999</v>
      </c>
      <c r="N6463">
        <v>1.9139999999999999</v>
      </c>
      <c r="O6463" s="8">
        <v>1.9139999999999999</v>
      </c>
      <c r="P6463" s="8">
        <f>EXP(-1.363+3.366*LOG(O6463,10))</f>
        <v>0.66101188957491752</v>
      </c>
      <c r="Q6463" s="8">
        <f>(4488342*100)/4914798</f>
        <v>91.323020803703429</v>
      </c>
    </row>
    <row r="6464" spans="1:17" x14ac:dyDescent="0.2">
      <c r="A6464">
        <v>2017</v>
      </c>
      <c r="B6464" t="s">
        <v>2368</v>
      </c>
      <c r="C6464" t="s">
        <v>2283</v>
      </c>
      <c r="D6464" t="s">
        <v>2355</v>
      </c>
      <c r="E6464">
        <v>4</v>
      </c>
      <c r="F6464" t="s">
        <v>2284</v>
      </c>
      <c r="G6464" t="s">
        <v>352</v>
      </c>
      <c r="H6464" t="s">
        <v>494</v>
      </c>
      <c r="I6464" t="s">
        <v>22</v>
      </c>
      <c r="J6464" t="s">
        <v>66</v>
      </c>
      <c r="K6464" t="s">
        <v>2285</v>
      </c>
      <c r="L6464" t="s">
        <v>25</v>
      </c>
      <c r="M6464" s="8">
        <v>1.7226666669999999</v>
      </c>
      <c r="N6464">
        <v>1.909</v>
      </c>
      <c r="O6464" s="8">
        <v>1.909</v>
      </c>
      <c r="P6464" s="8">
        <f>EXP(-1.363+3.366*LOG(O6464,10))</f>
        <v>0.65848914324978447</v>
      </c>
      <c r="Q6464" s="8">
        <f>(1148193*100)/12288027</f>
        <v>9.3439980234418432</v>
      </c>
    </row>
    <row r="6465" spans="1:17" x14ac:dyDescent="0.2">
      <c r="A6465">
        <v>2018</v>
      </c>
      <c r="B6465" t="s">
        <v>2590</v>
      </c>
      <c r="C6465" t="s">
        <v>1635</v>
      </c>
      <c r="D6465" t="s">
        <v>2591</v>
      </c>
      <c r="E6465">
        <v>3</v>
      </c>
      <c r="F6465" t="s">
        <v>2284</v>
      </c>
      <c r="G6465" t="s">
        <v>20</v>
      </c>
      <c r="H6465" t="s">
        <v>45</v>
      </c>
      <c r="I6465" t="s">
        <v>22</v>
      </c>
      <c r="J6465" t="s">
        <v>42</v>
      </c>
      <c r="K6465" t="s">
        <v>2285</v>
      </c>
      <c r="L6465" t="s">
        <v>25</v>
      </c>
      <c r="M6465" s="8">
        <v>1.903333333</v>
      </c>
      <c r="N6465">
        <v>1.887</v>
      </c>
      <c r="O6465" s="8">
        <v>1.887</v>
      </c>
      <c r="P6465" s="8">
        <f>EXP(-1.363+3.366*LOG(O6465,10))</f>
        <v>0.64742534843662747</v>
      </c>
      <c r="Q6465" s="8">
        <f>(3602085*100)/4019599</f>
        <v>89.613043490159086</v>
      </c>
    </row>
    <row r="6466" spans="1:17" x14ac:dyDescent="0.2">
      <c r="A6466">
        <v>2017</v>
      </c>
      <c r="B6466" t="s">
        <v>2517</v>
      </c>
      <c r="C6466" t="s">
        <v>50</v>
      </c>
      <c r="D6466" t="s">
        <v>2518</v>
      </c>
      <c r="E6466">
        <v>6</v>
      </c>
      <c r="F6466" t="s">
        <v>2284</v>
      </c>
      <c r="G6466" t="s">
        <v>20</v>
      </c>
      <c r="H6466" t="s">
        <v>91</v>
      </c>
      <c r="I6466" t="s">
        <v>22</v>
      </c>
      <c r="J6466" t="s">
        <v>42</v>
      </c>
      <c r="K6466" t="s">
        <v>2285</v>
      </c>
      <c r="L6466" t="s">
        <v>25</v>
      </c>
      <c r="M6466" s="8">
        <v>2.0630000000000002</v>
      </c>
      <c r="N6466">
        <v>1.883</v>
      </c>
      <c r="O6466" s="8">
        <v>1.883</v>
      </c>
      <c r="P6466" s="8">
        <f>EXP(-1.363+3.366*LOG(O6466,10))</f>
        <v>0.64542012165281437</v>
      </c>
      <c r="Q6466" s="8">
        <f>(4488342*100)/4914798</f>
        <v>91.323020803703429</v>
      </c>
    </row>
    <row r="6467" spans="1:17" x14ac:dyDescent="0.2">
      <c r="A6467">
        <v>2017</v>
      </c>
      <c r="B6467" t="s">
        <v>2530</v>
      </c>
      <c r="C6467" t="s">
        <v>2283</v>
      </c>
      <c r="D6467" t="s">
        <v>2523</v>
      </c>
      <c r="E6467">
        <v>6</v>
      </c>
      <c r="F6467" t="s">
        <v>2284</v>
      </c>
      <c r="G6467" t="s">
        <v>1532</v>
      </c>
      <c r="H6467" t="s">
        <v>2531</v>
      </c>
      <c r="I6467" t="s">
        <v>36</v>
      </c>
      <c r="J6467" t="s">
        <v>66</v>
      </c>
      <c r="K6467" t="s">
        <v>2285</v>
      </c>
      <c r="L6467" t="s">
        <v>25</v>
      </c>
      <c r="M6467" s="8" t="s">
        <v>26</v>
      </c>
      <c r="N6467">
        <v>1.8779999999999999</v>
      </c>
      <c r="O6467" s="8">
        <v>1.8779999999999999</v>
      </c>
      <c r="P6467" s="8">
        <f>EXP(-1.363+3.366*LOG(O6467,10))</f>
        <v>0.64291635353132981</v>
      </c>
      <c r="Q6467" s="8">
        <f>(1148193*100)/12288027</f>
        <v>9.3439980234418432</v>
      </c>
    </row>
    <row r="6468" spans="1:17" x14ac:dyDescent="0.2">
      <c r="A6468">
        <v>2018</v>
      </c>
      <c r="B6468" t="s">
        <v>2633</v>
      </c>
      <c r="C6468" t="s">
        <v>2287</v>
      </c>
      <c r="D6468" t="s">
        <v>2626</v>
      </c>
      <c r="E6468">
        <v>4</v>
      </c>
      <c r="F6468" t="s">
        <v>2284</v>
      </c>
      <c r="G6468" t="s">
        <v>1532</v>
      </c>
      <c r="H6468" t="s">
        <v>2531</v>
      </c>
      <c r="I6468" t="s">
        <v>22</v>
      </c>
      <c r="J6468" t="s">
        <v>66</v>
      </c>
      <c r="K6468" t="s">
        <v>2285</v>
      </c>
      <c r="L6468" t="s">
        <v>25</v>
      </c>
      <c r="M6468" s="8" t="s">
        <v>26</v>
      </c>
      <c r="N6468">
        <v>1.8740000000000001</v>
      </c>
      <c r="O6468" s="8">
        <v>1.8740000000000001</v>
      </c>
      <c r="P6468" s="8">
        <f>EXP(-1.363+3.366*LOG(O6468,10))</f>
        <v>0.64091555406597733</v>
      </c>
      <c r="Q6468" s="8">
        <f>(859450.9*100)/14749408</f>
        <v>5.8270196336015658</v>
      </c>
    </row>
    <row r="6469" spans="1:17" x14ac:dyDescent="0.2">
      <c r="A6469">
        <v>2018</v>
      </c>
      <c r="B6469" t="s">
        <v>2624</v>
      </c>
      <c r="C6469" t="s">
        <v>2287</v>
      </c>
      <c r="D6469" t="s">
        <v>2618</v>
      </c>
      <c r="E6469">
        <v>4</v>
      </c>
      <c r="F6469" t="s">
        <v>2284</v>
      </c>
      <c r="G6469" t="s">
        <v>1532</v>
      </c>
      <c r="H6469" t="s">
        <v>2531</v>
      </c>
      <c r="I6469" t="s">
        <v>36</v>
      </c>
      <c r="J6469" t="s">
        <v>66</v>
      </c>
      <c r="K6469" t="s">
        <v>2285</v>
      </c>
      <c r="L6469" t="s">
        <v>25</v>
      </c>
      <c r="M6469" s="8" t="s">
        <v>26</v>
      </c>
      <c r="N6469">
        <v>1.867</v>
      </c>
      <c r="O6469" s="8">
        <v>1.867</v>
      </c>
      <c r="P6469" s="8">
        <f>EXP(-1.363+3.366*LOG(O6469,10))</f>
        <v>0.63741889996496082</v>
      </c>
      <c r="Q6469" s="8">
        <f>(859450.9*100)/14749408</f>
        <v>5.8270196336015658</v>
      </c>
    </row>
    <row r="6470" spans="1:17" x14ac:dyDescent="0.2">
      <c r="A6470">
        <v>2017</v>
      </c>
      <c r="B6470" t="s">
        <v>2347</v>
      </c>
      <c r="C6470" t="s">
        <v>89</v>
      </c>
      <c r="D6470" t="s">
        <v>2346</v>
      </c>
      <c r="E6470">
        <v>4</v>
      </c>
      <c r="F6470" t="s">
        <v>2284</v>
      </c>
      <c r="G6470" t="s">
        <v>352</v>
      </c>
      <c r="H6470" t="s">
        <v>494</v>
      </c>
      <c r="I6470" t="s">
        <v>22</v>
      </c>
      <c r="J6470" t="s">
        <v>66</v>
      </c>
      <c r="K6470" t="s">
        <v>2285</v>
      </c>
      <c r="L6470" t="s">
        <v>25</v>
      </c>
      <c r="M6470" s="8">
        <v>1.7226666669999999</v>
      </c>
      <c r="N6470">
        <v>1.8620000000000001</v>
      </c>
      <c r="O6470" s="8">
        <v>1.8620000000000001</v>
      </c>
      <c r="P6470" s="8">
        <f>EXP(-1.363+3.366*LOG(O6470,10))</f>
        <v>0.63492499294559546</v>
      </c>
      <c r="Q6470" s="8">
        <f>(61997.93*100)/7298102</f>
        <v>0.84950758430068529</v>
      </c>
    </row>
    <row r="6471" spans="1:17" x14ac:dyDescent="0.2">
      <c r="A6471">
        <v>2011</v>
      </c>
      <c r="B6471" t="s">
        <v>585</v>
      </c>
      <c r="C6471" t="s">
        <v>60</v>
      </c>
      <c r="D6471" t="s">
        <v>190</v>
      </c>
      <c r="E6471">
        <v>7</v>
      </c>
      <c r="F6471" t="s">
        <v>19</v>
      </c>
      <c r="G6471" t="s">
        <v>352</v>
      </c>
      <c r="H6471" t="s">
        <v>494</v>
      </c>
      <c r="I6471" t="s">
        <v>22</v>
      </c>
      <c r="J6471" t="s">
        <v>31</v>
      </c>
      <c r="K6471" t="s">
        <v>24</v>
      </c>
      <c r="L6471" t="s">
        <v>25</v>
      </c>
      <c r="M6471" s="8">
        <v>1.7226666669999999</v>
      </c>
      <c r="N6471">
        <v>1.853</v>
      </c>
      <c r="O6471" s="8">
        <v>1.853</v>
      </c>
      <c r="P6471" s="8">
        <f>EXP(-1.363+3.366*LOG(O6471,10))</f>
        <v>0.63044375245448214</v>
      </c>
      <c r="Q6471" s="8">
        <f>(27433.05*100)/7611378</f>
        <v>0.36042159514348127</v>
      </c>
    </row>
    <row r="6472" spans="1:17" x14ac:dyDescent="0.2">
      <c r="A6472">
        <v>2017</v>
      </c>
      <c r="B6472" t="s">
        <v>2459</v>
      </c>
      <c r="C6472" t="s">
        <v>2283</v>
      </c>
      <c r="D6472" t="s">
        <v>2455</v>
      </c>
      <c r="E6472">
        <v>5</v>
      </c>
      <c r="F6472" t="s">
        <v>2284</v>
      </c>
      <c r="G6472" t="s">
        <v>352</v>
      </c>
      <c r="H6472" t="s">
        <v>494</v>
      </c>
      <c r="I6472" t="s">
        <v>22</v>
      </c>
      <c r="J6472" t="s">
        <v>66</v>
      </c>
      <c r="K6472" t="s">
        <v>2285</v>
      </c>
      <c r="L6472" t="s">
        <v>25</v>
      </c>
      <c r="M6472" s="8">
        <v>1.7226666669999999</v>
      </c>
      <c r="N6472">
        <v>1.8520000000000001</v>
      </c>
      <c r="O6472" s="8">
        <v>1.8520000000000001</v>
      </c>
      <c r="P6472" s="8">
        <f>EXP(-1.363+3.366*LOG(O6472,10))</f>
        <v>0.62994645616441358</v>
      </c>
      <c r="Q6472" s="8">
        <f>(1148193*100)/12288027</f>
        <v>9.3439980234418432</v>
      </c>
    </row>
    <row r="6473" spans="1:17" x14ac:dyDescent="0.2">
      <c r="A6473">
        <v>2017</v>
      </c>
      <c r="B6473" t="s">
        <v>2420</v>
      </c>
      <c r="C6473" t="s">
        <v>89</v>
      </c>
      <c r="D6473" t="s">
        <v>2412</v>
      </c>
      <c r="E6473">
        <v>5</v>
      </c>
      <c r="F6473" t="s">
        <v>2284</v>
      </c>
      <c r="G6473" t="s">
        <v>352</v>
      </c>
      <c r="H6473" t="s">
        <v>494</v>
      </c>
      <c r="I6473" t="s">
        <v>22</v>
      </c>
      <c r="J6473" t="s">
        <v>66</v>
      </c>
      <c r="K6473" t="s">
        <v>2285</v>
      </c>
      <c r="L6473" t="s">
        <v>25</v>
      </c>
      <c r="M6473" s="8">
        <v>1.7226666669999999</v>
      </c>
      <c r="N6473">
        <v>1.8440000000000001</v>
      </c>
      <c r="O6473" s="8">
        <v>1.8440000000000001</v>
      </c>
      <c r="P6473" s="8">
        <f>EXP(-1.363+3.366*LOG(O6473,10))</f>
        <v>0.62597255272623797</v>
      </c>
      <c r="Q6473" s="8">
        <f>(61997.93*100)/7298102</f>
        <v>0.84950758430068529</v>
      </c>
    </row>
    <row r="6474" spans="1:17" x14ac:dyDescent="0.2">
      <c r="A6474">
        <v>2017</v>
      </c>
      <c r="B6474" t="s">
        <v>2282</v>
      </c>
      <c r="C6474" t="s">
        <v>2283</v>
      </c>
      <c r="D6474" t="s">
        <v>2259</v>
      </c>
      <c r="E6474">
        <v>3</v>
      </c>
      <c r="F6474" t="s">
        <v>2284</v>
      </c>
      <c r="G6474" t="s">
        <v>20</v>
      </c>
      <c r="H6474" t="s">
        <v>103</v>
      </c>
      <c r="I6474" t="s">
        <v>36</v>
      </c>
      <c r="J6474" t="s">
        <v>66</v>
      </c>
      <c r="K6474" t="s">
        <v>2285</v>
      </c>
      <c r="L6474" t="s">
        <v>25</v>
      </c>
      <c r="M6474" s="8">
        <v>1.856666667</v>
      </c>
      <c r="N6474">
        <v>1.8420000000000001</v>
      </c>
      <c r="O6474" s="8">
        <v>1.8420000000000001</v>
      </c>
      <c r="P6474" s="8">
        <f>EXP(-1.363+3.366*LOG(O6474,10))</f>
        <v>0.62498031899318629</v>
      </c>
      <c r="Q6474" s="8">
        <f>(1148193*100)/12288027</f>
        <v>9.3439980234418432</v>
      </c>
    </row>
    <row r="6475" spans="1:17" x14ac:dyDescent="0.2">
      <c r="A6475">
        <v>2018</v>
      </c>
      <c r="B6475" t="s">
        <v>2771</v>
      </c>
      <c r="C6475" t="s">
        <v>50</v>
      </c>
      <c r="D6475" t="s">
        <v>2770</v>
      </c>
      <c r="E6475">
        <v>6</v>
      </c>
      <c r="F6475" t="s">
        <v>2284</v>
      </c>
      <c r="G6475" t="s">
        <v>352</v>
      </c>
      <c r="H6475" t="s">
        <v>494</v>
      </c>
      <c r="I6475" t="s">
        <v>22</v>
      </c>
      <c r="J6475" t="s">
        <v>42</v>
      </c>
      <c r="K6475" t="s">
        <v>2285</v>
      </c>
      <c r="L6475" t="s">
        <v>25</v>
      </c>
      <c r="M6475" s="8">
        <v>1.7226666669999999</v>
      </c>
      <c r="N6475">
        <v>1.839</v>
      </c>
      <c r="O6475" s="8">
        <v>1.839</v>
      </c>
      <c r="P6475" s="8">
        <f>EXP(-1.363+3.366*LOG(O6475,10))</f>
        <v>0.62349290116708</v>
      </c>
      <c r="Q6475" s="8">
        <f>(4488342*100)/4914798</f>
        <v>91.323020803703429</v>
      </c>
    </row>
    <row r="6476" spans="1:17" x14ac:dyDescent="0.2">
      <c r="A6476">
        <v>2017</v>
      </c>
      <c r="B6476" t="s">
        <v>2419</v>
      </c>
      <c r="C6476" t="s">
        <v>2283</v>
      </c>
      <c r="D6476" t="s">
        <v>2412</v>
      </c>
      <c r="E6476">
        <v>5</v>
      </c>
      <c r="F6476" t="s">
        <v>2284</v>
      </c>
      <c r="G6476" t="s">
        <v>352</v>
      </c>
      <c r="H6476" t="s">
        <v>494</v>
      </c>
      <c r="I6476" t="s">
        <v>22</v>
      </c>
      <c r="J6476" t="s">
        <v>66</v>
      </c>
      <c r="K6476" t="s">
        <v>2285</v>
      </c>
      <c r="L6476" t="s">
        <v>25</v>
      </c>
      <c r="M6476" s="8">
        <v>1.7226666669999999</v>
      </c>
      <c r="N6476">
        <v>1.825</v>
      </c>
      <c r="O6476" s="8">
        <v>1.825</v>
      </c>
      <c r="P6476" s="8">
        <f>EXP(-1.363+3.366*LOG(O6476,10))</f>
        <v>0.61656644547050232</v>
      </c>
      <c r="Q6476" s="8">
        <f>(1148193*100)/12288027</f>
        <v>9.3439980234418432</v>
      </c>
    </row>
    <row r="6477" spans="1:17" x14ac:dyDescent="0.2">
      <c r="A6477">
        <v>2017</v>
      </c>
      <c r="B6477" t="s">
        <v>2341</v>
      </c>
      <c r="C6477" t="s">
        <v>2287</v>
      </c>
      <c r="D6477" t="s">
        <v>2337</v>
      </c>
      <c r="E6477">
        <v>4</v>
      </c>
      <c r="F6477" t="s">
        <v>2284</v>
      </c>
      <c r="G6477" t="s">
        <v>303</v>
      </c>
      <c r="H6477" t="s">
        <v>304</v>
      </c>
      <c r="I6477" t="s">
        <v>36</v>
      </c>
      <c r="J6477" t="s">
        <v>66</v>
      </c>
      <c r="K6477" t="s">
        <v>2285</v>
      </c>
      <c r="L6477" t="s">
        <v>305</v>
      </c>
      <c r="M6477" s="8">
        <v>1.365</v>
      </c>
      <c r="N6477">
        <v>1.8140000000000001</v>
      </c>
      <c r="O6477" s="8">
        <v>1.8140000000000001</v>
      </c>
      <c r="P6477" s="8">
        <f>EXP(-1.363+3.366*LOG(O6477,10))</f>
        <v>0.61114140998538335</v>
      </c>
      <c r="Q6477" s="8">
        <f>(859450.9*100)/14749408</f>
        <v>5.8270196336015658</v>
      </c>
    </row>
    <row r="6478" spans="1:17" x14ac:dyDescent="0.2">
      <c r="A6478">
        <v>2017</v>
      </c>
      <c r="B6478" t="s">
        <v>2376</v>
      </c>
      <c r="C6478" t="s">
        <v>50</v>
      </c>
      <c r="D6478" t="s">
        <v>2375</v>
      </c>
      <c r="E6478">
        <v>4</v>
      </c>
      <c r="F6478" t="s">
        <v>2284</v>
      </c>
      <c r="G6478" t="s">
        <v>20</v>
      </c>
      <c r="H6478" t="s">
        <v>2357</v>
      </c>
      <c r="I6478" t="s">
        <v>36</v>
      </c>
      <c r="J6478" t="s">
        <v>42</v>
      </c>
      <c r="K6478" t="s">
        <v>2285</v>
      </c>
      <c r="L6478" t="s">
        <v>187</v>
      </c>
      <c r="M6478" s="8" t="s">
        <v>26</v>
      </c>
      <c r="N6478">
        <v>1.81</v>
      </c>
      <c r="O6478" s="8">
        <v>1.81</v>
      </c>
      <c r="P6478" s="8">
        <f>EXP(-1.363+3.366*LOG(O6478,10))</f>
        <v>0.60917242882334166</v>
      </c>
      <c r="Q6478" s="8">
        <f>(4488342*100)/4914798</f>
        <v>91.323020803703429</v>
      </c>
    </row>
    <row r="6479" spans="1:17" x14ac:dyDescent="0.2">
      <c r="A6479">
        <v>2017</v>
      </c>
      <c r="B6479" t="s">
        <v>2458</v>
      </c>
      <c r="C6479" t="s">
        <v>52</v>
      </c>
      <c r="D6479" t="s">
        <v>2455</v>
      </c>
      <c r="E6479">
        <v>5</v>
      </c>
      <c r="F6479" t="s">
        <v>2284</v>
      </c>
      <c r="G6479" t="s">
        <v>352</v>
      </c>
      <c r="H6479" t="s">
        <v>494</v>
      </c>
      <c r="I6479" t="s">
        <v>22</v>
      </c>
      <c r="J6479" t="s">
        <v>42</v>
      </c>
      <c r="K6479" t="s">
        <v>2285</v>
      </c>
      <c r="L6479" t="s">
        <v>25</v>
      </c>
      <c r="M6479" s="8">
        <v>1.7226666669999999</v>
      </c>
      <c r="N6479">
        <v>1.806</v>
      </c>
      <c r="O6479" s="8">
        <v>1.806</v>
      </c>
      <c r="P6479" s="8">
        <f>EXP(-1.363+3.366*LOG(O6479,10))</f>
        <v>0.60720545623927602</v>
      </c>
      <c r="Q6479" s="8">
        <f>(1626350*100)/1973941</f>
        <v>82.391013713175823</v>
      </c>
    </row>
    <row r="6480" spans="1:17" x14ac:dyDescent="0.2">
      <c r="A6480">
        <v>2017</v>
      </c>
      <c r="B6480" t="s">
        <v>2356</v>
      </c>
      <c r="C6480" t="s">
        <v>2287</v>
      </c>
      <c r="D6480" t="s">
        <v>2355</v>
      </c>
      <c r="E6480">
        <v>4</v>
      </c>
      <c r="F6480" t="s">
        <v>2284</v>
      </c>
      <c r="G6480" t="s">
        <v>20</v>
      </c>
      <c r="H6480" t="s">
        <v>2357</v>
      </c>
      <c r="I6480" t="s">
        <v>36</v>
      </c>
      <c r="J6480" t="s">
        <v>66</v>
      </c>
      <c r="K6480" t="s">
        <v>2285</v>
      </c>
      <c r="L6480" t="s">
        <v>187</v>
      </c>
      <c r="M6480" s="8" t="s">
        <v>26</v>
      </c>
      <c r="N6480">
        <v>1.798</v>
      </c>
      <c r="O6480" s="8">
        <v>1.798</v>
      </c>
      <c r="P6480" s="8">
        <f>EXP(-1.363+3.366*LOG(O6480,10))</f>
        <v>0.6032775463848451</v>
      </c>
      <c r="Q6480" s="8">
        <f>(859450.9*100)/14749408</f>
        <v>5.8270196336015658</v>
      </c>
    </row>
    <row r="6481" spans="1:17" x14ac:dyDescent="0.2">
      <c r="A6481">
        <v>2011</v>
      </c>
      <c r="B6481" t="s">
        <v>586</v>
      </c>
      <c r="C6481" t="s">
        <v>60</v>
      </c>
      <c r="D6481" t="s">
        <v>190</v>
      </c>
      <c r="E6481">
        <v>7</v>
      </c>
      <c r="F6481" t="s">
        <v>19</v>
      </c>
      <c r="G6481" t="s">
        <v>352</v>
      </c>
      <c r="H6481" t="s">
        <v>494</v>
      </c>
      <c r="I6481" t="s">
        <v>22</v>
      </c>
      <c r="J6481" t="s">
        <v>31</v>
      </c>
      <c r="K6481" t="s">
        <v>24</v>
      </c>
      <c r="L6481" t="s">
        <v>25</v>
      </c>
      <c r="M6481" s="8">
        <v>1.7226666669999999</v>
      </c>
      <c r="N6481">
        <v>1.796</v>
      </c>
      <c r="O6481" s="8">
        <v>1.796</v>
      </c>
      <c r="P6481" s="8">
        <f>EXP(-1.363+3.366*LOG(O6481,10))</f>
        <v>0.60229682803128082</v>
      </c>
      <c r="Q6481" s="8">
        <f>(27433.05*100)/7611378</f>
        <v>0.36042159514348127</v>
      </c>
    </row>
    <row r="6482" spans="1:17" x14ac:dyDescent="0.2">
      <c r="A6482">
        <v>2017</v>
      </c>
      <c r="B6482" t="s">
        <v>2286</v>
      </c>
      <c r="C6482" t="s">
        <v>2287</v>
      </c>
      <c r="D6482" t="s">
        <v>2288</v>
      </c>
      <c r="E6482">
        <v>3</v>
      </c>
      <c r="F6482" t="s">
        <v>2284</v>
      </c>
      <c r="G6482" t="s">
        <v>20</v>
      </c>
      <c r="H6482" t="s">
        <v>103</v>
      </c>
      <c r="I6482" t="s">
        <v>36</v>
      </c>
      <c r="J6482" t="s">
        <v>66</v>
      </c>
      <c r="K6482" t="s">
        <v>2285</v>
      </c>
      <c r="L6482" t="s">
        <v>25</v>
      </c>
      <c r="M6482" s="8">
        <v>1.856666667</v>
      </c>
      <c r="N6482">
        <v>1.786</v>
      </c>
      <c r="O6482" s="8">
        <v>1.786</v>
      </c>
      <c r="P6482" s="8">
        <f>EXP(-1.363+3.366*LOG(O6482,10))</f>
        <v>0.5974008060269228</v>
      </c>
      <c r="Q6482" s="8">
        <f>(859450.9*100)/14749408</f>
        <v>5.8270196336015658</v>
      </c>
    </row>
    <row r="6483" spans="1:17" x14ac:dyDescent="0.2">
      <c r="A6483">
        <v>2017</v>
      </c>
      <c r="B6483" t="s">
        <v>2299</v>
      </c>
      <c r="C6483" t="s">
        <v>52</v>
      </c>
      <c r="D6483" t="s">
        <v>2297</v>
      </c>
      <c r="E6483">
        <v>3</v>
      </c>
      <c r="F6483" t="s">
        <v>2284</v>
      </c>
      <c r="G6483" t="s">
        <v>20</v>
      </c>
      <c r="H6483" t="s">
        <v>45</v>
      </c>
      <c r="I6483" t="s">
        <v>22</v>
      </c>
      <c r="J6483" t="s">
        <v>42</v>
      </c>
      <c r="K6483" t="s">
        <v>2285</v>
      </c>
      <c r="L6483" t="s">
        <v>25</v>
      </c>
      <c r="M6483" s="8">
        <v>1.903333333</v>
      </c>
      <c r="N6483">
        <v>1.786</v>
      </c>
      <c r="O6483" s="8">
        <v>1.786</v>
      </c>
      <c r="P6483" s="8">
        <f>EXP(-1.363+3.366*LOG(O6483,10))</f>
        <v>0.5974008060269228</v>
      </c>
      <c r="Q6483" s="8">
        <f>(1626350*100)/1973941</f>
        <v>82.391013713175823</v>
      </c>
    </row>
    <row r="6484" spans="1:17" x14ac:dyDescent="0.2">
      <c r="A6484">
        <v>2017</v>
      </c>
      <c r="B6484" t="s">
        <v>2300</v>
      </c>
      <c r="C6484" t="s">
        <v>2283</v>
      </c>
      <c r="D6484" t="s">
        <v>2297</v>
      </c>
      <c r="E6484">
        <v>3</v>
      </c>
      <c r="F6484" t="s">
        <v>2284</v>
      </c>
      <c r="G6484" t="s">
        <v>20</v>
      </c>
      <c r="H6484" t="s">
        <v>103</v>
      </c>
      <c r="I6484" t="s">
        <v>36</v>
      </c>
      <c r="J6484" t="s">
        <v>66</v>
      </c>
      <c r="K6484" t="s">
        <v>2285</v>
      </c>
      <c r="L6484" t="s">
        <v>25</v>
      </c>
      <c r="M6484" s="8">
        <v>1.856666667</v>
      </c>
      <c r="N6484">
        <v>1.7829999999999999</v>
      </c>
      <c r="O6484" s="8">
        <v>1.7829999999999999</v>
      </c>
      <c r="P6484" s="8">
        <f>EXP(-1.363+3.366*LOG(O6484,10))</f>
        <v>0.5959344632983401</v>
      </c>
      <c r="Q6484" s="8">
        <f>(1148193*100)/12288027</f>
        <v>9.3439980234418432</v>
      </c>
    </row>
    <row r="6485" spans="1:17" x14ac:dyDescent="0.2">
      <c r="A6485">
        <v>2018</v>
      </c>
      <c r="B6485" t="s">
        <v>2968</v>
      </c>
      <c r="C6485" t="s">
        <v>1635</v>
      </c>
      <c r="D6485" t="s">
        <v>2961</v>
      </c>
      <c r="E6485">
        <v>9</v>
      </c>
      <c r="F6485" t="s">
        <v>2284</v>
      </c>
      <c r="G6485" t="s">
        <v>352</v>
      </c>
      <c r="H6485" t="s">
        <v>494</v>
      </c>
      <c r="I6485" t="s">
        <v>22</v>
      </c>
      <c r="J6485" t="s">
        <v>42</v>
      </c>
      <c r="K6485" t="s">
        <v>2285</v>
      </c>
      <c r="L6485" t="s">
        <v>25</v>
      </c>
      <c r="M6485" s="8">
        <v>1.7226666669999999</v>
      </c>
      <c r="N6485">
        <v>1.7789999999999999</v>
      </c>
      <c r="O6485" s="8">
        <v>1.7789999999999999</v>
      </c>
      <c r="P6485" s="8">
        <f>EXP(-1.363+3.366*LOG(O6485,10))</f>
        <v>0.593981111617089</v>
      </c>
      <c r="Q6485" s="8">
        <f>(3602085*100)/4019599</f>
        <v>89.613043490159086</v>
      </c>
    </row>
    <row r="6486" spans="1:17" x14ac:dyDescent="0.2">
      <c r="A6486">
        <v>2017</v>
      </c>
      <c r="B6486" t="s">
        <v>2387</v>
      </c>
      <c r="C6486" t="s">
        <v>52</v>
      </c>
      <c r="D6486" t="s">
        <v>2385</v>
      </c>
      <c r="E6486">
        <v>4</v>
      </c>
      <c r="F6486" t="s">
        <v>2284</v>
      </c>
      <c r="G6486" t="s">
        <v>352</v>
      </c>
      <c r="H6486" t="s">
        <v>494</v>
      </c>
      <c r="I6486" t="s">
        <v>22</v>
      </c>
      <c r="J6486" t="s">
        <v>42</v>
      </c>
      <c r="K6486" t="s">
        <v>2285</v>
      </c>
      <c r="L6486" t="s">
        <v>25</v>
      </c>
      <c r="M6486" s="8">
        <v>1.7226666669999999</v>
      </c>
      <c r="N6486">
        <v>1.7609999999999999</v>
      </c>
      <c r="O6486" s="8">
        <v>1.7609999999999999</v>
      </c>
      <c r="P6486" s="8">
        <f>EXP(-1.363+3.366*LOG(O6486,10))</f>
        <v>0.58521615292621287</v>
      </c>
      <c r="Q6486" s="8">
        <f>(1626350*100)/1973941</f>
        <v>82.391013713175823</v>
      </c>
    </row>
    <row r="6487" spans="1:17" x14ac:dyDescent="0.2">
      <c r="A6487">
        <v>2018</v>
      </c>
      <c r="B6487" t="s">
        <v>2619</v>
      </c>
      <c r="C6487" t="s">
        <v>50</v>
      </c>
      <c r="D6487" t="s">
        <v>2620</v>
      </c>
      <c r="E6487">
        <v>4</v>
      </c>
      <c r="F6487" t="s">
        <v>2284</v>
      </c>
      <c r="G6487" t="s">
        <v>20</v>
      </c>
      <c r="H6487" t="s">
        <v>2357</v>
      </c>
      <c r="I6487" t="s">
        <v>36</v>
      </c>
      <c r="J6487" t="s">
        <v>42</v>
      </c>
      <c r="K6487" t="s">
        <v>2285</v>
      </c>
      <c r="L6487" t="s">
        <v>187</v>
      </c>
      <c r="M6487" s="8" t="s">
        <v>26</v>
      </c>
      <c r="N6487">
        <v>1.758</v>
      </c>
      <c r="O6487" s="8">
        <v>1.758</v>
      </c>
      <c r="P6487" s="8">
        <f>EXP(-1.363+3.366*LOG(O6487,10))</f>
        <v>0.58375933359633836</v>
      </c>
      <c r="Q6487" s="8">
        <f>(4488342*100)/4914798</f>
        <v>91.323020803703429</v>
      </c>
    </row>
    <row r="6488" spans="1:17" x14ac:dyDescent="0.2">
      <c r="A6488">
        <v>2017</v>
      </c>
      <c r="B6488" t="s">
        <v>2417</v>
      </c>
      <c r="C6488" t="s">
        <v>2283</v>
      </c>
      <c r="D6488" t="s">
        <v>2412</v>
      </c>
      <c r="E6488">
        <v>5</v>
      </c>
      <c r="F6488" t="s">
        <v>2284</v>
      </c>
      <c r="G6488" t="s">
        <v>352</v>
      </c>
      <c r="H6488" t="s">
        <v>494</v>
      </c>
      <c r="I6488" t="s">
        <v>22</v>
      </c>
      <c r="J6488" t="s">
        <v>66</v>
      </c>
      <c r="K6488" t="s">
        <v>2285</v>
      </c>
      <c r="L6488" t="s">
        <v>25</v>
      </c>
      <c r="M6488" s="8">
        <v>1.7226666669999999</v>
      </c>
      <c r="N6488">
        <v>1.754</v>
      </c>
      <c r="O6488" s="8">
        <v>1.754</v>
      </c>
      <c r="P6488" s="8">
        <f>EXP(-1.363+3.366*LOG(O6488,10))</f>
        <v>0.58181869329930691</v>
      </c>
      <c r="Q6488" s="8">
        <f>(1148193*100)/12288027</f>
        <v>9.3439980234418432</v>
      </c>
    </row>
    <row r="6489" spans="1:17" x14ac:dyDescent="0.2">
      <c r="A6489">
        <v>2017</v>
      </c>
      <c r="B6489" t="s">
        <v>2367</v>
      </c>
      <c r="C6489" t="s">
        <v>2283</v>
      </c>
      <c r="D6489" t="s">
        <v>2355</v>
      </c>
      <c r="E6489">
        <v>4</v>
      </c>
      <c r="F6489" t="s">
        <v>2284</v>
      </c>
      <c r="G6489" t="s">
        <v>352</v>
      </c>
      <c r="H6489" t="s">
        <v>494</v>
      </c>
      <c r="I6489" t="s">
        <v>22</v>
      </c>
      <c r="J6489" t="s">
        <v>66</v>
      </c>
      <c r="K6489" t="s">
        <v>2285</v>
      </c>
      <c r="L6489" t="s">
        <v>25</v>
      </c>
      <c r="M6489" s="8">
        <v>1.7226666669999999</v>
      </c>
      <c r="N6489">
        <v>1.7470000000000001</v>
      </c>
      <c r="O6489" s="8">
        <v>1.7470000000000001</v>
      </c>
      <c r="P6489" s="8">
        <f>EXP(-1.363+3.366*LOG(O6489,10))</f>
        <v>0.57842748987101877</v>
      </c>
      <c r="Q6489" s="8">
        <f>(1148193*100)/12288027</f>
        <v>9.3439980234418432</v>
      </c>
    </row>
    <row r="6490" spans="1:17" x14ac:dyDescent="0.2">
      <c r="A6490">
        <v>2018</v>
      </c>
      <c r="B6490" t="s">
        <v>2701</v>
      </c>
      <c r="C6490" t="s">
        <v>2283</v>
      </c>
      <c r="D6490" t="s">
        <v>2694</v>
      </c>
      <c r="E6490">
        <v>5</v>
      </c>
      <c r="F6490" t="s">
        <v>2284</v>
      </c>
      <c r="G6490" t="s">
        <v>352</v>
      </c>
      <c r="H6490" t="s">
        <v>1271</v>
      </c>
      <c r="I6490" t="s">
        <v>22</v>
      </c>
      <c r="J6490" t="s">
        <v>66</v>
      </c>
      <c r="K6490" t="s">
        <v>2285</v>
      </c>
      <c r="L6490" t="s">
        <v>25</v>
      </c>
      <c r="M6490" s="8" t="s">
        <v>26</v>
      </c>
      <c r="N6490">
        <v>1.74</v>
      </c>
      <c r="O6490" s="8">
        <v>1.74</v>
      </c>
      <c r="P6490" s="8">
        <f>EXP(-1.363+3.366*LOG(O6490,10))</f>
        <v>0.57504255611953503</v>
      </c>
      <c r="Q6490" s="8">
        <f>(1148193*100)/12288027</f>
        <v>9.3439980234418432</v>
      </c>
    </row>
    <row r="6491" spans="1:17" x14ac:dyDescent="0.2">
      <c r="A6491">
        <v>2018</v>
      </c>
      <c r="B6491" t="s">
        <v>2663</v>
      </c>
      <c r="C6491" t="s">
        <v>2287</v>
      </c>
      <c r="D6491" t="s">
        <v>2653</v>
      </c>
      <c r="E6491">
        <v>5</v>
      </c>
      <c r="F6491" t="s">
        <v>2284</v>
      </c>
      <c r="G6491" t="s">
        <v>1532</v>
      </c>
      <c r="H6491" t="s">
        <v>2531</v>
      </c>
      <c r="I6491" t="s">
        <v>36</v>
      </c>
      <c r="J6491" t="s">
        <v>66</v>
      </c>
      <c r="K6491" t="s">
        <v>2285</v>
      </c>
      <c r="L6491" t="s">
        <v>25</v>
      </c>
      <c r="M6491" s="8" t="s">
        <v>26</v>
      </c>
      <c r="N6491">
        <v>1.7390000000000001</v>
      </c>
      <c r="O6491" s="8">
        <v>1.7390000000000001</v>
      </c>
      <c r="P6491" s="8">
        <f>EXP(-1.363+3.366*LOG(O6491,10))</f>
        <v>0.57455950675509992</v>
      </c>
      <c r="Q6491" s="8">
        <f>(859450.9*100)/14749408</f>
        <v>5.8270196336015658</v>
      </c>
    </row>
    <row r="6492" spans="1:17" x14ac:dyDescent="0.2">
      <c r="A6492">
        <v>2011</v>
      </c>
      <c r="B6492" t="s">
        <v>964</v>
      </c>
      <c r="C6492" t="s">
        <v>60</v>
      </c>
      <c r="D6492" t="s">
        <v>190</v>
      </c>
      <c r="E6492">
        <v>7</v>
      </c>
      <c r="F6492" t="s">
        <v>19</v>
      </c>
      <c r="G6492" t="s">
        <v>352</v>
      </c>
      <c r="H6492" t="s">
        <v>747</v>
      </c>
      <c r="I6492" t="s">
        <v>22</v>
      </c>
      <c r="J6492" t="s">
        <v>31</v>
      </c>
      <c r="K6492" t="s">
        <v>24</v>
      </c>
      <c r="L6492" t="s">
        <v>25</v>
      </c>
      <c r="M6492" s="8">
        <v>1.3726666670000001</v>
      </c>
      <c r="N6492">
        <v>1.736</v>
      </c>
      <c r="O6492" s="8">
        <v>1.736</v>
      </c>
      <c r="P6492" s="8">
        <f>EXP(-1.363+3.366*LOG(O6492,10))</f>
        <v>0.57311112843402445</v>
      </c>
      <c r="Q6492" s="8">
        <f>(27433.05*100)/7611378</f>
        <v>0.36042159514348127</v>
      </c>
    </row>
    <row r="6493" spans="1:17" x14ac:dyDescent="0.2">
      <c r="A6493">
        <v>2018</v>
      </c>
      <c r="B6493" t="s">
        <v>2604</v>
      </c>
      <c r="C6493" t="s">
        <v>50</v>
      </c>
      <c r="D6493" t="s">
        <v>2603</v>
      </c>
      <c r="E6493">
        <v>4</v>
      </c>
      <c r="F6493" t="s">
        <v>2284</v>
      </c>
      <c r="G6493" t="s">
        <v>352</v>
      </c>
      <c r="H6493" t="s">
        <v>494</v>
      </c>
      <c r="I6493" t="s">
        <v>22</v>
      </c>
      <c r="J6493" t="s">
        <v>42</v>
      </c>
      <c r="K6493" t="s">
        <v>2285</v>
      </c>
      <c r="L6493" t="s">
        <v>25</v>
      </c>
      <c r="M6493" s="8">
        <v>1.7226666669999999</v>
      </c>
      <c r="N6493">
        <v>1.736</v>
      </c>
      <c r="O6493" s="8">
        <v>1.736</v>
      </c>
      <c r="P6493" s="8">
        <f>EXP(-1.363+3.366*LOG(O6493,10))</f>
        <v>0.57311112843402445</v>
      </c>
      <c r="Q6493" s="8">
        <f>(4488342*100)/4914798</f>
        <v>91.323020803703429</v>
      </c>
    </row>
    <row r="6494" spans="1:17" x14ac:dyDescent="0.2">
      <c r="A6494">
        <v>2017</v>
      </c>
      <c r="B6494" t="s">
        <v>2354</v>
      </c>
      <c r="C6494" t="s">
        <v>89</v>
      </c>
      <c r="D6494" t="s">
        <v>2355</v>
      </c>
      <c r="E6494">
        <v>4</v>
      </c>
      <c r="F6494" t="s">
        <v>2284</v>
      </c>
      <c r="G6494" t="s">
        <v>20</v>
      </c>
      <c r="H6494" t="s">
        <v>91</v>
      </c>
      <c r="I6494" t="s">
        <v>22</v>
      </c>
      <c r="J6494" t="s">
        <v>66</v>
      </c>
      <c r="K6494" t="s">
        <v>2285</v>
      </c>
      <c r="L6494" t="s">
        <v>25</v>
      </c>
      <c r="M6494" s="8">
        <v>2.0630000000000002</v>
      </c>
      <c r="N6494">
        <v>1.7350000000000001</v>
      </c>
      <c r="O6494" s="8">
        <v>1.7350000000000001</v>
      </c>
      <c r="P6494" s="8">
        <f>EXP(-1.363+3.366*LOG(O6494,10))</f>
        <v>0.572628592383569</v>
      </c>
      <c r="Q6494" s="8">
        <f>(61997.93*100)/7298102</f>
        <v>0.84950758430068529</v>
      </c>
    </row>
    <row r="6495" spans="1:17" x14ac:dyDescent="0.2">
      <c r="A6495">
        <v>2017</v>
      </c>
      <c r="B6495" t="s">
        <v>2339</v>
      </c>
      <c r="C6495" t="s">
        <v>2283</v>
      </c>
      <c r="D6495" t="s">
        <v>2337</v>
      </c>
      <c r="E6495">
        <v>4</v>
      </c>
      <c r="F6495" t="s">
        <v>2284</v>
      </c>
      <c r="G6495" t="s">
        <v>352</v>
      </c>
      <c r="H6495" t="s">
        <v>494</v>
      </c>
      <c r="I6495" t="s">
        <v>22</v>
      </c>
      <c r="J6495" t="s">
        <v>66</v>
      </c>
      <c r="K6495" t="s">
        <v>2285</v>
      </c>
      <c r="L6495" t="s">
        <v>25</v>
      </c>
      <c r="M6495" s="8">
        <v>1.7226666669999999</v>
      </c>
      <c r="N6495">
        <v>1.734</v>
      </c>
      <c r="O6495" s="8">
        <v>1.734</v>
      </c>
      <c r="P6495" s="8">
        <f>EXP(-1.363+3.366*LOG(O6495,10))</f>
        <v>0.57214618476106616</v>
      </c>
      <c r="Q6495" s="8">
        <f>(1148193*100)/12288027</f>
        <v>9.3439980234418432</v>
      </c>
    </row>
    <row r="6496" spans="1:17" x14ac:dyDescent="0.2">
      <c r="A6496">
        <v>2017</v>
      </c>
      <c r="B6496" t="s">
        <v>2289</v>
      </c>
      <c r="C6496" t="s">
        <v>2287</v>
      </c>
      <c r="D6496" t="s">
        <v>2288</v>
      </c>
      <c r="E6496">
        <v>3</v>
      </c>
      <c r="F6496" t="s">
        <v>2284</v>
      </c>
      <c r="G6496" t="s">
        <v>20</v>
      </c>
      <c r="H6496" t="s">
        <v>103</v>
      </c>
      <c r="I6496" t="s">
        <v>36</v>
      </c>
      <c r="J6496" t="s">
        <v>66</v>
      </c>
      <c r="K6496" t="s">
        <v>2285</v>
      </c>
      <c r="L6496" t="s">
        <v>25</v>
      </c>
      <c r="M6496" s="8">
        <v>1.856666667</v>
      </c>
      <c r="N6496">
        <v>1.7250000000000001</v>
      </c>
      <c r="O6496" s="8">
        <v>1.7250000000000001</v>
      </c>
      <c r="P6496" s="8">
        <f>EXP(-1.363+3.366*LOG(O6496,10))</f>
        <v>0.56781030200395566</v>
      </c>
      <c r="Q6496" s="8">
        <f>(859450.9*100)/14749408</f>
        <v>5.8270196336015658</v>
      </c>
    </row>
    <row r="6497" spans="1:17" x14ac:dyDescent="0.2">
      <c r="A6497">
        <v>2011</v>
      </c>
      <c r="B6497" t="s">
        <v>883</v>
      </c>
      <c r="C6497" t="s">
        <v>94</v>
      </c>
      <c r="D6497" t="s">
        <v>63</v>
      </c>
      <c r="E6497">
        <v>6</v>
      </c>
      <c r="F6497" t="s">
        <v>19</v>
      </c>
      <c r="G6497" t="s">
        <v>352</v>
      </c>
      <c r="H6497" t="s">
        <v>747</v>
      </c>
      <c r="I6497" t="s">
        <v>22</v>
      </c>
      <c r="J6497" t="s">
        <v>66</v>
      </c>
      <c r="K6497" t="s">
        <v>24</v>
      </c>
      <c r="L6497" t="s">
        <v>25</v>
      </c>
      <c r="M6497" s="8">
        <v>1.3726666670000001</v>
      </c>
      <c r="N6497">
        <v>1.7230000000000001</v>
      </c>
      <c r="O6497" s="8">
        <v>1.7230000000000001</v>
      </c>
      <c r="P6497" s="8">
        <f>EXP(-1.363+3.366*LOG(O6497,10))</f>
        <v>0.56684818858190544</v>
      </c>
      <c r="Q6497" s="8">
        <f>(46623.23*100)/15165196</f>
        <v>0.30743572321782059</v>
      </c>
    </row>
    <row r="6498" spans="1:17" x14ac:dyDescent="0.2">
      <c r="A6498">
        <v>2018</v>
      </c>
      <c r="B6498" t="s">
        <v>2969</v>
      </c>
      <c r="C6498" t="s">
        <v>1635</v>
      </c>
      <c r="D6498" t="s">
        <v>2961</v>
      </c>
      <c r="E6498">
        <v>9</v>
      </c>
      <c r="F6498" t="s">
        <v>2284</v>
      </c>
      <c r="G6498" t="s">
        <v>352</v>
      </c>
      <c r="H6498" t="s">
        <v>494</v>
      </c>
      <c r="I6498" t="s">
        <v>22</v>
      </c>
      <c r="J6498" t="s">
        <v>42</v>
      </c>
      <c r="K6498" t="s">
        <v>2285</v>
      </c>
      <c r="L6498" t="s">
        <v>25</v>
      </c>
      <c r="M6498" s="8">
        <v>1.7226666669999999</v>
      </c>
      <c r="N6498">
        <v>1.722</v>
      </c>
      <c r="O6498" s="8">
        <v>1.722</v>
      </c>
      <c r="P6498" s="8">
        <f>EXP(-1.363+3.366*LOG(O6498,10))</f>
        <v>0.56636732521357047</v>
      </c>
      <c r="Q6498" s="8">
        <f>(3602085*100)/4019599</f>
        <v>89.613043490159086</v>
      </c>
    </row>
    <row r="6499" spans="1:17" x14ac:dyDescent="0.2">
      <c r="A6499">
        <v>2011</v>
      </c>
      <c r="B6499" t="s">
        <v>884</v>
      </c>
      <c r="C6499" t="s">
        <v>65</v>
      </c>
      <c r="D6499" t="s">
        <v>58</v>
      </c>
      <c r="E6499">
        <v>6</v>
      </c>
      <c r="F6499" t="s">
        <v>19</v>
      </c>
      <c r="G6499" t="s">
        <v>352</v>
      </c>
      <c r="H6499" t="s">
        <v>747</v>
      </c>
      <c r="I6499" t="s">
        <v>22</v>
      </c>
      <c r="J6499" t="s">
        <v>66</v>
      </c>
      <c r="K6499" t="s">
        <v>24</v>
      </c>
      <c r="L6499" t="s">
        <v>25</v>
      </c>
      <c r="M6499" s="8">
        <v>1.3726666670000001</v>
      </c>
      <c r="N6499">
        <v>1.7210000000000001</v>
      </c>
      <c r="O6499" s="8">
        <v>1.7210000000000001</v>
      </c>
      <c r="P6499" s="8">
        <f>EXP(-1.363+3.366*LOG(O6499,10))</f>
        <v>0.56588659079405923</v>
      </c>
      <c r="Q6499" s="8">
        <f>(1788886*100)/6788946</f>
        <v>26.349981278389901</v>
      </c>
    </row>
    <row r="6500" spans="1:17" x14ac:dyDescent="0.2">
      <c r="A6500">
        <v>2017</v>
      </c>
      <c r="B6500" t="s">
        <v>2418</v>
      </c>
      <c r="C6500" t="s">
        <v>2283</v>
      </c>
      <c r="D6500" t="s">
        <v>2412</v>
      </c>
      <c r="E6500">
        <v>5</v>
      </c>
      <c r="F6500" t="s">
        <v>2284</v>
      </c>
      <c r="G6500" t="s">
        <v>352</v>
      </c>
      <c r="H6500" t="s">
        <v>494</v>
      </c>
      <c r="I6500" t="s">
        <v>22</v>
      </c>
      <c r="J6500" t="s">
        <v>66</v>
      </c>
      <c r="K6500" t="s">
        <v>2285</v>
      </c>
      <c r="L6500" t="s">
        <v>25</v>
      </c>
      <c r="M6500" s="8">
        <v>1.7226666669999999</v>
      </c>
      <c r="N6500">
        <v>1.718</v>
      </c>
      <c r="O6500" s="8">
        <v>1.718</v>
      </c>
      <c r="P6500" s="8">
        <f>EXP(-1.363+3.366*LOG(O6500,10))</f>
        <v>0.5644451616318219</v>
      </c>
      <c r="Q6500" s="8">
        <f>(1148193*100)/12288027</f>
        <v>9.3439980234418432</v>
      </c>
    </row>
    <row r="6501" spans="1:17" x14ac:dyDescent="0.2">
      <c r="A6501">
        <v>2011</v>
      </c>
      <c r="B6501" t="s">
        <v>965</v>
      </c>
      <c r="C6501" t="s">
        <v>60</v>
      </c>
      <c r="D6501" t="s">
        <v>190</v>
      </c>
      <c r="E6501">
        <v>7</v>
      </c>
      <c r="F6501" t="s">
        <v>19</v>
      </c>
      <c r="G6501" t="s">
        <v>352</v>
      </c>
      <c r="H6501" t="s">
        <v>747</v>
      </c>
      <c r="I6501" t="s">
        <v>22</v>
      </c>
      <c r="J6501" t="s">
        <v>31</v>
      </c>
      <c r="K6501" t="s">
        <v>24</v>
      </c>
      <c r="L6501" t="s">
        <v>25</v>
      </c>
      <c r="M6501" s="8">
        <v>1.3726666670000001</v>
      </c>
      <c r="N6501">
        <v>1.7090000000000001</v>
      </c>
      <c r="O6501" s="8">
        <v>1.7090000000000001</v>
      </c>
      <c r="P6501" s="8">
        <f>EXP(-1.363+3.366*LOG(O6501,10))</f>
        <v>0.5601278504799222</v>
      </c>
      <c r="Q6501" s="8">
        <f>(27433.05*100)/7611378</f>
        <v>0.36042159514348127</v>
      </c>
    </row>
    <row r="6502" spans="1:17" x14ac:dyDescent="0.2">
      <c r="A6502">
        <v>2017</v>
      </c>
      <c r="B6502" t="s">
        <v>2421</v>
      </c>
      <c r="C6502" t="s">
        <v>89</v>
      </c>
      <c r="D6502" t="s">
        <v>2412</v>
      </c>
      <c r="E6502">
        <v>5</v>
      </c>
      <c r="F6502" t="s">
        <v>2284</v>
      </c>
      <c r="G6502" t="s">
        <v>352</v>
      </c>
      <c r="H6502" t="s">
        <v>2422</v>
      </c>
      <c r="I6502" t="s">
        <v>22</v>
      </c>
      <c r="J6502" t="s">
        <v>66</v>
      </c>
      <c r="K6502" t="s">
        <v>2285</v>
      </c>
      <c r="L6502" t="s">
        <v>25</v>
      </c>
      <c r="M6502" s="8">
        <v>1.69</v>
      </c>
      <c r="N6502">
        <v>1.6970000000000001</v>
      </c>
      <c r="O6502" s="8">
        <v>1.6970000000000001</v>
      </c>
      <c r="P6502" s="8">
        <f>EXP(-1.363+3.366*LOG(O6502,10))</f>
        <v>0.55438775474082236</v>
      </c>
      <c r="Q6502" s="8">
        <f>(61997.93*100)/7298102</f>
        <v>0.84950758430068529</v>
      </c>
    </row>
    <row r="6503" spans="1:17" x14ac:dyDescent="0.2">
      <c r="A6503">
        <v>2017</v>
      </c>
      <c r="B6503" t="s">
        <v>2348</v>
      </c>
      <c r="C6503" t="s">
        <v>52</v>
      </c>
      <c r="D6503" t="s">
        <v>2346</v>
      </c>
      <c r="E6503">
        <v>4</v>
      </c>
      <c r="F6503" t="s">
        <v>2284</v>
      </c>
      <c r="G6503" t="s">
        <v>352</v>
      </c>
      <c r="H6503" t="s">
        <v>494</v>
      </c>
      <c r="I6503" t="s">
        <v>22</v>
      </c>
      <c r="J6503" t="s">
        <v>42</v>
      </c>
      <c r="K6503" t="s">
        <v>2285</v>
      </c>
      <c r="L6503" t="s">
        <v>25</v>
      </c>
      <c r="M6503" s="8">
        <v>1.7226666669999999</v>
      </c>
      <c r="N6503">
        <v>1.694</v>
      </c>
      <c r="O6503" s="8">
        <v>1.694</v>
      </c>
      <c r="P6503" s="8">
        <f>EXP(-1.363+3.366*LOG(O6503,10))</f>
        <v>0.5529556523052922</v>
      </c>
      <c r="Q6503" s="8">
        <f>(1626350*100)/1973941</f>
        <v>82.391013713175823</v>
      </c>
    </row>
    <row r="6504" spans="1:17" x14ac:dyDescent="0.2">
      <c r="A6504">
        <v>2018</v>
      </c>
      <c r="B6504" t="s">
        <v>2782</v>
      </c>
      <c r="C6504" t="s">
        <v>1635</v>
      </c>
      <c r="D6504" t="s">
        <v>2778</v>
      </c>
      <c r="E6504">
        <v>6</v>
      </c>
      <c r="F6504" t="s">
        <v>2284</v>
      </c>
      <c r="G6504" t="s">
        <v>352</v>
      </c>
      <c r="H6504" t="s">
        <v>494</v>
      </c>
      <c r="I6504" t="s">
        <v>22</v>
      </c>
      <c r="J6504" t="s">
        <v>42</v>
      </c>
      <c r="K6504" t="s">
        <v>2285</v>
      </c>
      <c r="L6504" t="s">
        <v>25</v>
      </c>
      <c r="M6504" s="8">
        <v>1.7226666669999999</v>
      </c>
      <c r="N6504">
        <v>1.6870000000000001</v>
      </c>
      <c r="O6504" s="8">
        <v>1.6870000000000001</v>
      </c>
      <c r="P6504" s="8">
        <f>EXP(-1.363+3.366*LOG(O6504,10))</f>
        <v>0.54961863509143816</v>
      </c>
      <c r="Q6504" s="8">
        <f>(3602085*100)/4019599</f>
        <v>89.613043490159086</v>
      </c>
    </row>
    <row r="6505" spans="1:17" x14ac:dyDescent="0.2">
      <c r="A6505">
        <v>2017</v>
      </c>
      <c r="B6505" t="s">
        <v>2350</v>
      </c>
      <c r="C6505" t="s">
        <v>52</v>
      </c>
      <c r="D6505" t="s">
        <v>2346</v>
      </c>
      <c r="E6505">
        <v>4</v>
      </c>
      <c r="F6505" t="s">
        <v>2284</v>
      </c>
      <c r="G6505" t="s">
        <v>352</v>
      </c>
      <c r="H6505" t="s">
        <v>747</v>
      </c>
      <c r="I6505" t="s">
        <v>22</v>
      </c>
      <c r="J6505" t="s">
        <v>42</v>
      </c>
      <c r="K6505" t="s">
        <v>2285</v>
      </c>
      <c r="L6505" t="s">
        <v>25</v>
      </c>
      <c r="M6505" s="8">
        <v>1.3726666670000001</v>
      </c>
      <c r="N6505">
        <v>1.6859999999999999</v>
      </c>
      <c r="O6505" s="8">
        <v>1.6859999999999999</v>
      </c>
      <c r="P6505" s="8">
        <f>EXP(-1.363+3.366*LOG(O6505,10))</f>
        <v>0.54914243954135034</v>
      </c>
      <c r="Q6505" s="8">
        <f>(1626350*100)/1973941</f>
        <v>82.391013713175823</v>
      </c>
    </row>
    <row r="6506" spans="1:17" x14ac:dyDescent="0.2">
      <c r="A6506">
        <v>2017</v>
      </c>
      <c r="B6506" t="s">
        <v>2433</v>
      </c>
      <c r="C6506" t="s">
        <v>89</v>
      </c>
      <c r="D6506" t="s">
        <v>2425</v>
      </c>
      <c r="E6506">
        <v>5</v>
      </c>
      <c r="F6506" t="s">
        <v>2284</v>
      </c>
      <c r="G6506" t="s">
        <v>352</v>
      </c>
      <c r="H6506" t="s">
        <v>485</v>
      </c>
      <c r="I6506" t="s">
        <v>22</v>
      </c>
      <c r="J6506" t="s">
        <v>66</v>
      </c>
      <c r="K6506" t="s">
        <v>2285</v>
      </c>
      <c r="L6506" t="s">
        <v>25</v>
      </c>
      <c r="M6506" s="8" t="s">
        <v>26</v>
      </c>
      <c r="N6506">
        <v>1.657</v>
      </c>
      <c r="O6506" s="8">
        <v>1.657</v>
      </c>
      <c r="P6506" s="8">
        <f>EXP(-1.363+3.366*LOG(O6506,10))</f>
        <v>0.53538967289501715</v>
      </c>
      <c r="Q6506" s="8">
        <f>(61997.93*100)/7298102</f>
        <v>0.84950758430068529</v>
      </c>
    </row>
    <row r="6507" spans="1:17" x14ac:dyDescent="0.2">
      <c r="A6507">
        <v>2017</v>
      </c>
      <c r="B6507" t="s">
        <v>2430</v>
      </c>
      <c r="C6507" t="s">
        <v>2283</v>
      </c>
      <c r="D6507" t="s">
        <v>2425</v>
      </c>
      <c r="E6507">
        <v>5</v>
      </c>
      <c r="F6507" t="s">
        <v>2284</v>
      </c>
      <c r="G6507" t="s">
        <v>352</v>
      </c>
      <c r="H6507" t="s">
        <v>485</v>
      </c>
      <c r="I6507" t="s">
        <v>22</v>
      </c>
      <c r="J6507" t="s">
        <v>66</v>
      </c>
      <c r="K6507" t="s">
        <v>2285</v>
      </c>
      <c r="L6507" t="s">
        <v>25</v>
      </c>
      <c r="M6507" s="8" t="s">
        <v>26</v>
      </c>
      <c r="N6507">
        <v>1.6439999999999999</v>
      </c>
      <c r="O6507" s="8">
        <v>1.6439999999999999</v>
      </c>
      <c r="P6507" s="8">
        <f>EXP(-1.363+3.366*LOG(O6507,10))</f>
        <v>0.52926051747266778</v>
      </c>
      <c r="Q6507" s="8">
        <f>(1148193*100)/12288027</f>
        <v>9.3439980234418432</v>
      </c>
    </row>
    <row r="6508" spans="1:17" x14ac:dyDescent="0.2">
      <c r="A6508">
        <v>2017</v>
      </c>
      <c r="B6508" t="s">
        <v>2491</v>
      </c>
      <c r="C6508" t="s">
        <v>2283</v>
      </c>
      <c r="D6508" t="s">
        <v>2485</v>
      </c>
      <c r="E6508">
        <v>5</v>
      </c>
      <c r="F6508" t="s">
        <v>2284</v>
      </c>
      <c r="G6508" t="s">
        <v>352</v>
      </c>
      <c r="H6508" t="s">
        <v>2492</v>
      </c>
      <c r="I6508" t="s">
        <v>22</v>
      </c>
      <c r="J6508" t="s">
        <v>66</v>
      </c>
      <c r="K6508" t="s">
        <v>2285</v>
      </c>
      <c r="L6508" t="s">
        <v>25</v>
      </c>
      <c r="M6508" s="8" t="s">
        <v>26</v>
      </c>
      <c r="N6508">
        <v>1.6359999999999999</v>
      </c>
      <c r="O6508" s="8">
        <v>1.6359999999999999</v>
      </c>
      <c r="P6508" s="8">
        <f>EXP(-1.363+3.366*LOG(O6508,10))</f>
        <v>0.52549982880671842</v>
      </c>
      <c r="Q6508" s="8">
        <f>(1148193*100)/12288027</f>
        <v>9.3439980234418432</v>
      </c>
    </row>
    <row r="6509" spans="1:17" x14ac:dyDescent="0.2">
      <c r="A6509">
        <v>2018</v>
      </c>
      <c r="B6509" t="s">
        <v>2605</v>
      </c>
      <c r="C6509" t="s">
        <v>50</v>
      </c>
      <c r="D6509" t="s">
        <v>2603</v>
      </c>
      <c r="E6509">
        <v>4</v>
      </c>
      <c r="F6509" t="s">
        <v>2284</v>
      </c>
      <c r="G6509" t="s">
        <v>352</v>
      </c>
      <c r="H6509" t="s">
        <v>747</v>
      </c>
      <c r="I6509" t="s">
        <v>22</v>
      </c>
      <c r="J6509" t="s">
        <v>42</v>
      </c>
      <c r="K6509" t="s">
        <v>2285</v>
      </c>
      <c r="L6509" t="s">
        <v>25</v>
      </c>
      <c r="M6509" s="8">
        <v>1.3726666670000001</v>
      </c>
      <c r="N6509">
        <v>1.6359999999999999</v>
      </c>
      <c r="O6509" s="8">
        <v>1.6359999999999999</v>
      </c>
      <c r="P6509" s="8">
        <f>EXP(-1.363+3.366*LOG(O6509,10))</f>
        <v>0.52549982880671842</v>
      </c>
      <c r="Q6509" s="8">
        <f>(4488342*100)/4914798</f>
        <v>91.323020803703429</v>
      </c>
    </row>
    <row r="6510" spans="1:17" x14ac:dyDescent="0.2">
      <c r="A6510">
        <v>2018</v>
      </c>
      <c r="B6510" t="s">
        <v>2986</v>
      </c>
      <c r="C6510" t="s">
        <v>2287</v>
      </c>
      <c r="D6510" t="s">
        <v>2987</v>
      </c>
      <c r="E6510">
        <v>10</v>
      </c>
      <c r="F6510" t="s">
        <v>2284</v>
      </c>
      <c r="G6510" t="s">
        <v>20</v>
      </c>
      <c r="H6510" t="s">
        <v>207</v>
      </c>
      <c r="I6510" t="s">
        <v>22</v>
      </c>
      <c r="J6510" t="s">
        <v>66</v>
      </c>
      <c r="K6510" t="s">
        <v>2285</v>
      </c>
      <c r="L6510" t="s">
        <v>25</v>
      </c>
      <c r="M6510" s="8" t="s">
        <v>26</v>
      </c>
      <c r="N6510">
        <v>1.629</v>
      </c>
      <c r="O6510" s="8">
        <v>1.629</v>
      </c>
      <c r="P6510" s="8">
        <f>EXP(-1.363+3.366*LOG(O6510,10))</f>
        <v>0.52221618453406393</v>
      </c>
      <c r="Q6510" s="8">
        <f>(859450.9*100)/14749408</f>
        <v>5.8270196336015658</v>
      </c>
    </row>
    <row r="6511" spans="1:17" x14ac:dyDescent="0.2">
      <c r="A6511">
        <v>2017</v>
      </c>
      <c r="B6511" t="s">
        <v>2431</v>
      </c>
      <c r="C6511" t="s">
        <v>2283</v>
      </c>
      <c r="D6511" t="s">
        <v>2425</v>
      </c>
      <c r="E6511">
        <v>5</v>
      </c>
      <c r="F6511" t="s">
        <v>2284</v>
      </c>
      <c r="G6511" t="s">
        <v>352</v>
      </c>
      <c r="H6511" t="s">
        <v>485</v>
      </c>
      <c r="I6511" t="s">
        <v>22</v>
      </c>
      <c r="J6511" t="s">
        <v>66</v>
      </c>
      <c r="K6511" t="s">
        <v>2285</v>
      </c>
      <c r="L6511" t="s">
        <v>25</v>
      </c>
      <c r="M6511" s="8" t="s">
        <v>26</v>
      </c>
      <c r="N6511">
        <v>1.623</v>
      </c>
      <c r="O6511" s="8">
        <v>1.623</v>
      </c>
      <c r="P6511" s="8">
        <f>EXP(-1.363+3.366*LOG(O6511,10))</f>
        <v>0.51940681326825766</v>
      </c>
      <c r="Q6511" s="8">
        <f>(1148193*100)/12288027</f>
        <v>9.3439980234418432</v>
      </c>
    </row>
    <row r="6512" spans="1:17" x14ac:dyDescent="0.2">
      <c r="A6512">
        <v>2017</v>
      </c>
      <c r="B6512" t="s">
        <v>2457</v>
      </c>
      <c r="C6512" t="s">
        <v>2283</v>
      </c>
      <c r="D6512" t="s">
        <v>2455</v>
      </c>
      <c r="E6512">
        <v>5</v>
      </c>
      <c r="F6512" t="s">
        <v>2284</v>
      </c>
      <c r="G6512" t="s">
        <v>352</v>
      </c>
      <c r="H6512" t="s">
        <v>485</v>
      </c>
      <c r="I6512" t="s">
        <v>22</v>
      </c>
      <c r="J6512" t="s">
        <v>66</v>
      </c>
      <c r="K6512" t="s">
        <v>2285</v>
      </c>
      <c r="L6512" t="s">
        <v>25</v>
      </c>
      <c r="M6512" s="8" t="s">
        <v>26</v>
      </c>
      <c r="N6512">
        <v>1.6220000000000001</v>
      </c>
      <c r="O6512" s="8">
        <v>1.6220000000000001</v>
      </c>
      <c r="P6512" s="8">
        <f>EXP(-1.363+3.366*LOG(O6512,10))</f>
        <v>0.51893905040054078</v>
      </c>
      <c r="Q6512" s="8">
        <f>(1148193*100)/12288027</f>
        <v>9.3439980234418432</v>
      </c>
    </row>
    <row r="6513" spans="1:17" x14ac:dyDescent="0.2">
      <c r="A6513">
        <v>2018</v>
      </c>
      <c r="B6513" t="s">
        <v>2848</v>
      </c>
      <c r="C6513" t="s">
        <v>1635</v>
      </c>
      <c r="D6513" t="s">
        <v>2838</v>
      </c>
      <c r="E6513">
        <v>8</v>
      </c>
      <c r="F6513" t="s">
        <v>2284</v>
      </c>
      <c r="G6513" t="s">
        <v>362</v>
      </c>
      <c r="H6513" t="s">
        <v>2030</v>
      </c>
      <c r="I6513" t="s">
        <v>22</v>
      </c>
      <c r="J6513" t="s">
        <v>42</v>
      </c>
      <c r="K6513" t="s">
        <v>2285</v>
      </c>
      <c r="L6513" t="s">
        <v>25</v>
      </c>
      <c r="M6513" s="8">
        <v>1.4923333329999999</v>
      </c>
      <c r="N6513">
        <v>1.6220000000000001</v>
      </c>
      <c r="O6513" s="8">
        <v>1.6220000000000001</v>
      </c>
      <c r="P6513" s="8">
        <f>EXP(-1.363+3.366*LOG(O6513,10))</f>
        <v>0.51893905040054078</v>
      </c>
      <c r="Q6513" s="8">
        <f>(3602085*100)/4019599</f>
        <v>89.613043490159086</v>
      </c>
    </row>
    <row r="6514" spans="1:17" x14ac:dyDescent="0.2">
      <c r="A6514">
        <v>2018</v>
      </c>
      <c r="B6514" t="s">
        <v>2849</v>
      </c>
      <c r="C6514" t="s">
        <v>1635</v>
      </c>
      <c r="D6514" t="s">
        <v>2838</v>
      </c>
      <c r="E6514">
        <v>8</v>
      </c>
      <c r="F6514" t="s">
        <v>2284</v>
      </c>
      <c r="G6514" t="s">
        <v>362</v>
      </c>
      <c r="H6514" t="s">
        <v>2030</v>
      </c>
      <c r="I6514" t="s">
        <v>22</v>
      </c>
      <c r="J6514" t="s">
        <v>42</v>
      </c>
      <c r="K6514" t="s">
        <v>2285</v>
      </c>
      <c r="L6514" t="s">
        <v>25</v>
      </c>
      <c r="M6514" s="8">
        <v>1.4923333329999999</v>
      </c>
      <c r="N6514">
        <v>1.621</v>
      </c>
      <c r="O6514" s="8">
        <v>1.621</v>
      </c>
      <c r="P6514" s="8">
        <f>EXP(-1.363+3.366*LOG(O6514,10))</f>
        <v>0.51847142070090513</v>
      </c>
      <c r="Q6514" s="8">
        <f>(3602085*100)/4019599</f>
        <v>89.613043490159086</v>
      </c>
    </row>
    <row r="6515" spans="1:17" x14ac:dyDescent="0.2">
      <c r="A6515">
        <v>2017</v>
      </c>
      <c r="B6515" t="s">
        <v>2349</v>
      </c>
      <c r="C6515" t="s">
        <v>2287</v>
      </c>
      <c r="D6515" t="s">
        <v>2346</v>
      </c>
      <c r="E6515">
        <v>4</v>
      </c>
      <c r="F6515" t="s">
        <v>2284</v>
      </c>
      <c r="G6515" t="s">
        <v>352</v>
      </c>
      <c r="H6515" t="s">
        <v>494</v>
      </c>
      <c r="I6515" t="s">
        <v>22</v>
      </c>
      <c r="J6515" t="s">
        <v>66</v>
      </c>
      <c r="K6515" t="s">
        <v>2285</v>
      </c>
      <c r="L6515" t="s">
        <v>25</v>
      </c>
      <c r="M6515" s="8">
        <v>1.7226666669999999</v>
      </c>
      <c r="N6515">
        <v>1.617</v>
      </c>
      <c r="O6515" s="8">
        <v>1.617</v>
      </c>
      <c r="P6515" s="8">
        <f>EXP(-1.363+3.366*LOG(O6515,10))</f>
        <v>0.51660223446790465</v>
      </c>
      <c r="Q6515" s="8">
        <f>(859450.9*100)/14749408</f>
        <v>5.8270196336015658</v>
      </c>
    </row>
    <row r="6516" spans="1:17" x14ac:dyDescent="0.2">
      <c r="A6516">
        <v>2011</v>
      </c>
      <c r="B6516" t="s">
        <v>966</v>
      </c>
      <c r="C6516" t="s">
        <v>60</v>
      </c>
      <c r="D6516" t="s">
        <v>190</v>
      </c>
      <c r="E6516">
        <v>7</v>
      </c>
      <c r="F6516" t="s">
        <v>19</v>
      </c>
      <c r="G6516" t="s">
        <v>352</v>
      </c>
      <c r="H6516" t="s">
        <v>747</v>
      </c>
      <c r="I6516" t="s">
        <v>22</v>
      </c>
      <c r="J6516" t="s">
        <v>31</v>
      </c>
      <c r="K6516" t="s">
        <v>24</v>
      </c>
      <c r="L6516" t="s">
        <v>25</v>
      </c>
      <c r="M6516" s="8">
        <v>1.3726666670000001</v>
      </c>
      <c r="N6516">
        <v>1.615</v>
      </c>
      <c r="O6516" s="8">
        <v>1.615</v>
      </c>
      <c r="P6516" s="8">
        <f>EXP(-1.363+3.366*LOG(O6516,10))</f>
        <v>0.51566844151121694</v>
      </c>
      <c r="Q6516" s="8">
        <f>(27433.05*100)/7611378</f>
        <v>0.36042159514348127</v>
      </c>
    </row>
    <row r="6517" spans="1:17" x14ac:dyDescent="0.2">
      <c r="A6517">
        <v>2017</v>
      </c>
      <c r="B6517" t="s">
        <v>2351</v>
      </c>
      <c r="C6517" t="s">
        <v>52</v>
      </c>
      <c r="D6517" t="s">
        <v>2346</v>
      </c>
      <c r="E6517">
        <v>4</v>
      </c>
      <c r="F6517" t="s">
        <v>2284</v>
      </c>
      <c r="G6517" t="s">
        <v>352</v>
      </c>
      <c r="H6517" t="s">
        <v>747</v>
      </c>
      <c r="I6517" t="s">
        <v>22</v>
      </c>
      <c r="J6517" t="s">
        <v>42</v>
      </c>
      <c r="K6517" t="s">
        <v>2285</v>
      </c>
      <c r="L6517" t="s">
        <v>25</v>
      </c>
      <c r="M6517" s="8">
        <v>1.3726666670000001</v>
      </c>
      <c r="N6517">
        <v>1.61</v>
      </c>
      <c r="O6517" s="8">
        <v>1.61</v>
      </c>
      <c r="P6517" s="8">
        <f>EXP(-1.363+3.366*LOG(O6517,10))</f>
        <v>0.51333629577098083</v>
      </c>
      <c r="Q6517" s="8">
        <f>(1626350*100)/1973941</f>
        <v>82.391013713175823</v>
      </c>
    </row>
    <row r="6518" spans="1:17" x14ac:dyDescent="0.2">
      <c r="A6518">
        <v>2017</v>
      </c>
      <c r="B6518" t="s">
        <v>2429</v>
      </c>
      <c r="C6518" t="s">
        <v>2283</v>
      </c>
      <c r="D6518" t="s">
        <v>2425</v>
      </c>
      <c r="E6518">
        <v>5</v>
      </c>
      <c r="F6518" t="s">
        <v>2284</v>
      </c>
      <c r="G6518" t="s">
        <v>352</v>
      </c>
      <c r="H6518" t="s">
        <v>485</v>
      </c>
      <c r="I6518" t="s">
        <v>22</v>
      </c>
      <c r="J6518" t="s">
        <v>66</v>
      </c>
      <c r="K6518" t="s">
        <v>2285</v>
      </c>
      <c r="L6518" t="s">
        <v>25</v>
      </c>
      <c r="M6518" s="8" t="s">
        <v>26</v>
      </c>
      <c r="N6518">
        <v>1.607</v>
      </c>
      <c r="O6518" s="8">
        <v>1.607</v>
      </c>
      <c r="P6518" s="8">
        <f>EXP(-1.363+3.366*LOG(O6518,10))</f>
        <v>0.5119386123859706</v>
      </c>
      <c r="Q6518" s="8">
        <f>(1148193*100)/12288027</f>
        <v>9.3439980234418432</v>
      </c>
    </row>
    <row r="6519" spans="1:17" x14ac:dyDescent="0.2">
      <c r="A6519">
        <v>2017</v>
      </c>
      <c r="B6519" t="s">
        <v>2416</v>
      </c>
      <c r="C6519" t="s">
        <v>89</v>
      </c>
      <c r="D6519" t="s">
        <v>2412</v>
      </c>
      <c r="E6519">
        <v>5</v>
      </c>
      <c r="F6519" t="s">
        <v>2284</v>
      </c>
      <c r="G6519" t="s">
        <v>352</v>
      </c>
      <c r="H6519" t="s">
        <v>485</v>
      </c>
      <c r="I6519" t="s">
        <v>22</v>
      </c>
      <c r="J6519" t="s">
        <v>66</v>
      </c>
      <c r="K6519" t="s">
        <v>2285</v>
      </c>
      <c r="L6519" t="s">
        <v>25</v>
      </c>
      <c r="M6519" s="8" t="s">
        <v>26</v>
      </c>
      <c r="N6519">
        <v>1.5980000000000001</v>
      </c>
      <c r="O6519" s="8">
        <v>1.5980000000000001</v>
      </c>
      <c r="P6519" s="8">
        <f>EXP(-1.363+3.366*LOG(O6519,10))</f>
        <v>0.50775279420544339</v>
      </c>
      <c r="Q6519" s="8">
        <f>(61997.93*100)/7298102</f>
        <v>0.84950758430068529</v>
      </c>
    </row>
    <row r="6520" spans="1:17" x14ac:dyDescent="0.2">
      <c r="A6520">
        <v>2018</v>
      </c>
      <c r="B6520" t="s">
        <v>2686</v>
      </c>
      <c r="C6520" t="s">
        <v>2283</v>
      </c>
      <c r="D6520" t="s">
        <v>2682</v>
      </c>
      <c r="E6520">
        <v>5</v>
      </c>
      <c r="F6520" t="s">
        <v>2284</v>
      </c>
      <c r="G6520" t="s">
        <v>352</v>
      </c>
      <c r="H6520" t="s">
        <v>485</v>
      </c>
      <c r="I6520" t="s">
        <v>22</v>
      </c>
      <c r="J6520" t="s">
        <v>66</v>
      </c>
      <c r="K6520" t="s">
        <v>2285</v>
      </c>
      <c r="L6520" t="s">
        <v>25</v>
      </c>
      <c r="M6520" s="8" t="s">
        <v>26</v>
      </c>
      <c r="N6520">
        <v>1.5940000000000001</v>
      </c>
      <c r="O6520" s="8">
        <v>1.5940000000000001</v>
      </c>
      <c r="P6520" s="8">
        <f>EXP(-1.363+3.366*LOG(O6520,10))</f>
        <v>0.5058959188748825</v>
      </c>
      <c r="Q6520" s="8">
        <f>(1148193*100)/12288027</f>
        <v>9.3439980234418432</v>
      </c>
    </row>
    <row r="6521" spans="1:17" x14ac:dyDescent="0.2">
      <c r="A6521">
        <v>2017</v>
      </c>
      <c r="B6521" t="s">
        <v>2395</v>
      </c>
      <c r="C6521" t="s">
        <v>89</v>
      </c>
      <c r="D6521" t="s">
        <v>2394</v>
      </c>
      <c r="E6521">
        <v>4</v>
      </c>
      <c r="F6521" t="s">
        <v>2284</v>
      </c>
      <c r="G6521" t="s">
        <v>352</v>
      </c>
      <c r="H6521" t="s">
        <v>494</v>
      </c>
      <c r="I6521" t="s">
        <v>22</v>
      </c>
      <c r="J6521" t="s">
        <v>66</v>
      </c>
      <c r="K6521" t="s">
        <v>2285</v>
      </c>
      <c r="L6521" t="s">
        <v>25</v>
      </c>
      <c r="M6521" s="8">
        <v>1.7226666669999999</v>
      </c>
      <c r="N6521">
        <v>1.589</v>
      </c>
      <c r="O6521" s="8">
        <v>1.589</v>
      </c>
      <c r="P6521" s="8">
        <f>EXP(-1.363+3.366*LOG(O6521,10))</f>
        <v>0.5035778495464649</v>
      </c>
      <c r="Q6521" s="8">
        <f>(61997.93*100)/7298102</f>
        <v>0.84950758430068529</v>
      </c>
    </row>
    <row r="6522" spans="1:17" x14ac:dyDescent="0.2">
      <c r="A6522">
        <v>2018</v>
      </c>
      <c r="B6522" t="s">
        <v>2641</v>
      </c>
      <c r="C6522" t="s">
        <v>2287</v>
      </c>
      <c r="D6522" t="s">
        <v>2638</v>
      </c>
      <c r="E6522">
        <v>4</v>
      </c>
      <c r="F6522" t="s">
        <v>2284</v>
      </c>
      <c r="G6522" t="s">
        <v>352</v>
      </c>
      <c r="H6522" t="s">
        <v>2422</v>
      </c>
      <c r="I6522" t="s">
        <v>22</v>
      </c>
      <c r="J6522" t="s">
        <v>66</v>
      </c>
      <c r="K6522" t="s">
        <v>2285</v>
      </c>
      <c r="L6522" t="s">
        <v>25</v>
      </c>
      <c r="M6522" s="8">
        <v>1.69</v>
      </c>
      <c r="N6522">
        <v>1.589</v>
      </c>
      <c r="O6522" s="8">
        <v>1.589</v>
      </c>
      <c r="P6522" s="8">
        <f>EXP(-1.363+3.366*LOG(O6522,10))</f>
        <v>0.5035778495464649</v>
      </c>
      <c r="Q6522" s="8">
        <f>(859450.9*100)/14749408</f>
        <v>5.8270196336015658</v>
      </c>
    </row>
    <row r="6523" spans="1:17" x14ac:dyDescent="0.2">
      <c r="A6523">
        <v>2018</v>
      </c>
      <c r="B6523" t="s">
        <v>2864</v>
      </c>
      <c r="C6523" t="s">
        <v>2283</v>
      </c>
      <c r="D6523" t="s">
        <v>2838</v>
      </c>
      <c r="E6523">
        <v>8</v>
      </c>
      <c r="F6523" t="s">
        <v>2284</v>
      </c>
      <c r="G6523" t="s">
        <v>352</v>
      </c>
      <c r="H6523" t="s">
        <v>485</v>
      </c>
      <c r="I6523" t="s">
        <v>22</v>
      </c>
      <c r="J6523" t="s">
        <v>66</v>
      </c>
      <c r="K6523" t="s">
        <v>2285</v>
      </c>
      <c r="L6523" t="s">
        <v>25</v>
      </c>
      <c r="M6523" s="8" t="s">
        <v>26</v>
      </c>
      <c r="N6523">
        <v>1.5860000000000001</v>
      </c>
      <c r="O6523" s="8">
        <v>1.5860000000000001</v>
      </c>
      <c r="P6523" s="8">
        <f>EXP(-1.363+3.366*LOG(O6523,10))</f>
        <v>0.50218862337778059</v>
      </c>
      <c r="Q6523" s="8">
        <f>(1148193*100)/12288027</f>
        <v>9.3439980234418432</v>
      </c>
    </row>
    <row r="6524" spans="1:17" x14ac:dyDescent="0.2">
      <c r="A6524">
        <v>2018</v>
      </c>
      <c r="B6524" t="s">
        <v>2985</v>
      </c>
      <c r="C6524" t="s">
        <v>50</v>
      </c>
      <c r="D6524" t="s">
        <v>2984</v>
      </c>
      <c r="E6524">
        <v>10</v>
      </c>
      <c r="F6524" t="s">
        <v>2284</v>
      </c>
      <c r="G6524" t="s">
        <v>352</v>
      </c>
      <c r="H6524" t="s">
        <v>2422</v>
      </c>
      <c r="I6524" t="s">
        <v>36</v>
      </c>
      <c r="J6524" t="s">
        <v>42</v>
      </c>
      <c r="K6524" t="s">
        <v>2285</v>
      </c>
      <c r="L6524" t="s">
        <v>25</v>
      </c>
      <c r="M6524" s="8" t="s">
        <v>26</v>
      </c>
      <c r="N6524">
        <v>1.581</v>
      </c>
      <c r="O6524" s="8">
        <v>1.581</v>
      </c>
      <c r="P6524" s="8">
        <f>EXP(-1.363+3.366*LOG(O6524,10))</f>
        <v>0.49987594276862324</v>
      </c>
      <c r="Q6524" s="8">
        <f>(4488342*100)/4914798</f>
        <v>91.323020803703429</v>
      </c>
    </row>
    <row r="6525" spans="1:17" x14ac:dyDescent="0.2">
      <c r="A6525">
        <v>2017</v>
      </c>
      <c r="B6525" t="s">
        <v>2488</v>
      </c>
      <c r="C6525" t="s">
        <v>89</v>
      </c>
      <c r="D6525" t="s">
        <v>2485</v>
      </c>
      <c r="E6525">
        <v>5</v>
      </c>
      <c r="F6525" t="s">
        <v>2284</v>
      </c>
      <c r="G6525" t="s">
        <v>362</v>
      </c>
      <c r="H6525" t="s">
        <v>2030</v>
      </c>
      <c r="I6525" t="s">
        <v>22</v>
      </c>
      <c r="J6525" t="s">
        <v>66</v>
      </c>
      <c r="K6525" t="s">
        <v>2285</v>
      </c>
      <c r="L6525" t="s">
        <v>25</v>
      </c>
      <c r="M6525" s="8">
        <v>1.4923333329999999</v>
      </c>
      <c r="N6525">
        <v>1.57</v>
      </c>
      <c r="O6525" s="8">
        <v>1.57</v>
      </c>
      <c r="P6525" s="8">
        <f>EXP(-1.363+3.366*LOG(O6525,10))</f>
        <v>0.49479993492058572</v>
      </c>
      <c r="Q6525" s="8">
        <f>(61997.93*100)/7298102</f>
        <v>0.84950758430068529</v>
      </c>
    </row>
    <row r="6526" spans="1:17" x14ac:dyDescent="0.2">
      <c r="A6526">
        <v>2017</v>
      </c>
      <c r="B6526" t="s">
        <v>2304</v>
      </c>
      <c r="C6526" t="s">
        <v>2287</v>
      </c>
      <c r="D6526" t="s">
        <v>2297</v>
      </c>
      <c r="E6526">
        <v>3</v>
      </c>
      <c r="F6526" t="s">
        <v>2284</v>
      </c>
      <c r="G6526" t="s">
        <v>303</v>
      </c>
      <c r="H6526" t="s">
        <v>2305</v>
      </c>
      <c r="I6526" t="s">
        <v>36</v>
      </c>
      <c r="J6526" t="s">
        <v>66</v>
      </c>
      <c r="K6526" t="s">
        <v>2285</v>
      </c>
      <c r="L6526" t="s">
        <v>305</v>
      </c>
      <c r="M6526" s="8">
        <v>1.6180000000000001</v>
      </c>
      <c r="N6526">
        <v>1.569</v>
      </c>
      <c r="O6526" s="8">
        <v>1.569</v>
      </c>
      <c r="P6526" s="8">
        <f>EXP(-1.363+3.366*LOG(O6526,10))</f>
        <v>0.4943392918783357</v>
      </c>
      <c r="Q6526" s="8">
        <f>(859450.9*100)/14749408</f>
        <v>5.8270196336015658</v>
      </c>
    </row>
    <row r="6527" spans="1:17" x14ac:dyDescent="0.2">
      <c r="A6527">
        <v>2011</v>
      </c>
      <c r="B6527" t="s">
        <v>885</v>
      </c>
      <c r="C6527" t="s">
        <v>65</v>
      </c>
      <c r="D6527" t="s">
        <v>58</v>
      </c>
      <c r="E6527">
        <v>6</v>
      </c>
      <c r="F6527" t="s">
        <v>19</v>
      </c>
      <c r="G6527" t="s">
        <v>352</v>
      </c>
      <c r="H6527" t="s">
        <v>747</v>
      </c>
      <c r="I6527" t="s">
        <v>22</v>
      </c>
      <c r="J6527" t="s">
        <v>66</v>
      </c>
      <c r="K6527" t="s">
        <v>24</v>
      </c>
      <c r="L6527" t="s">
        <v>25</v>
      </c>
      <c r="M6527" s="8">
        <v>1.3726666670000001</v>
      </c>
      <c r="N6527">
        <v>1.56</v>
      </c>
      <c r="O6527" s="8">
        <v>1.56</v>
      </c>
      <c r="P6527" s="8">
        <f>EXP(-1.363+3.366*LOG(O6527,10))</f>
        <v>0.49019961075647334</v>
      </c>
      <c r="Q6527" s="8">
        <f>(1788886*100)/6788946</f>
        <v>26.349981278389901</v>
      </c>
    </row>
    <row r="6528" spans="1:17" x14ac:dyDescent="0.2">
      <c r="A6528">
        <v>2017</v>
      </c>
      <c r="B6528" t="s">
        <v>2556</v>
      </c>
      <c r="C6528" t="s">
        <v>2283</v>
      </c>
      <c r="D6528" t="s">
        <v>2554</v>
      </c>
      <c r="E6528">
        <v>6</v>
      </c>
      <c r="F6528" t="s">
        <v>2284</v>
      </c>
      <c r="G6528" t="s">
        <v>352</v>
      </c>
      <c r="H6528" t="s">
        <v>494</v>
      </c>
      <c r="I6528" t="s">
        <v>22</v>
      </c>
      <c r="J6528" t="s">
        <v>66</v>
      </c>
      <c r="K6528" t="s">
        <v>2285</v>
      </c>
      <c r="L6528" t="s">
        <v>25</v>
      </c>
      <c r="M6528" s="8">
        <v>1.7226666669999999</v>
      </c>
      <c r="N6528">
        <v>1.5589999999999999</v>
      </c>
      <c r="O6528" s="8">
        <v>1.5589999999999999</v>
      </c>
      <c r="P6528" s="8">
        <f>EXP(-1.363+3.366*LOG(O6528,10))</f>
        <v>0.48974032551681768</v>
      </c>
      <c r="Q6528" s="8">
        <f>(1148193*100)/12288027</f>
        <v>9.3439980234418432</v>
      </c>
    </row>
    <row r="6529" spans="1:17" x14ac:dyDescent="0.2">
      <c r="A6529">
        <v>2018</v>
      </c>
      <c r="B6529" t="s">
        <v>2685</v>
      </c>
      <c r="C6529" t="s">
        <v>2283</v>
      </c>
      <c r="D6529" t="s">
        <v>2682</v>
      </c>
      <c r="E6529">
        <v>5</v>
      </c>
      <c r="F6529" t="s">
        <v>2284</v>
      </c>
      <c r="G6529" t="s">
        <v>352</v>
      </c>
      <c r="H6529" t="s">
        <v>485</v>
      </c>
      <c r="I6529" t="s">
        <v>22</v>
      </c>
      <c r="J6529" t="s">
        <v>66</v>
      </c>
      <c r="K6529" t="s">
        <v>2285</v>
      </c>
      <c r="L6529" t="s">
        <v>25</v>
      </c>
      <c r="M6529" s="8" t="s">
        <v>26</v>
      </c>
      <c r="N6529">
        <v>1.5589999999999999</v>
      </c>
      <c r="O6529" s="8">
        <v>1.5589999999999999</v>
      </c>
      <c r="P6529" s="8">
        <f>EXP(-1.363+3.366*LOG(O6529,10))</f>
        <v>0.48974032551681768</v>
      </c>
      <c r="Q6529" s="8">
        <f>(1148193*100)/12288027</f>
        <v>9.3439980234418432</v>
      </c>
    </row>
    <row r="6530" spans="1:17" x14ac:dyDescent="0.2">
      <c r="A6530">
        <v>2018</v>
      </c>
      <c r="B6530" t="s">
        <v>2650</v>
      </c>
      <c r="C6530" t="s">
        <v>50</v>
      </c>
      <c r="D6530" t="s">
        <v>2645</v>
      </c>
      <c r="E6530">
        <v>5</v>
      </c>
      <c r="F6530" t="s">
        <v>2284</v>
      </c>
      <c r="G6530" t="s">
        <v>352</v>
      </c>
      <c r="H6530" t="s">
        <v>623</v>
      </c>
      <c r="I6530" t="s">
        <v>22</v>
      </c>
      <c r="J6530" t="s">
        <v>42</v>
      </c>
      <c r="K6530" t="s">
        <v>2285</v>
      </c>
      <c r="L6530" t="s">
        <v>25</v>
      </c>
      <c r="M6530" s="8">
        <v>1.387</v>
      </c>
      <c r="N6530">
        <v>1.5549999999999999</v>
      </c>
      <c r="O6530" s="8">
        <v>1.5549999999999999</v>
      </c>
      <c r="P6530" s="8">
        <f>EXP(-1.363+3.366*LOG(O6530,10))</f>
        <v>0.48790454540477424</v>
      </c>
      <c r="Q6530" s="8">
        <f>(4488342*100)/4914798</f>
        <v>91.323020803703429</v>
      </c>
    </row>
    <row r="6531" spans="1:17" x14ac:dyDescent="0.2">
      <c r="A6531">
        <v>2018</v>
      </c>
      <c r="B6531" t="s">
        <v>2847</v>
      </c>
      <c r="C6531" t="s">
        <v>1635</v>
      </c>
      <c r="D6531" t="s">
        <v>2838</v>
      </c>
      <c r="E6531">
        <v>8</v>
      </c>
      <c r="F6531" t="s">
        <v>2284</v>
      </c>
      <c r="G6531" t="s">
        <v>362</v>
      </c>
      <c r="H6531" t="s">
        <v>2030</v>
      </c>
      <c r="I6531" t="s">
        <v>22</v>
      </c>
      <c r="J6531" t="s">
        <v>42</v>
      </c>
      <c r="K6531" t="s">
        <v>2285</v>
      </c>
      <c r="L6531" t="s">
        <v>25</v>
      </c>
      <c r="M6531" s="8">
        <v>1.4923333329999999</v>
      </c>
      <c r="N6531">
        <v>1.554</v>
      </c>
      <c r="O6531" s="8">
        <v>1.554</v>
      </c>
      <c r="P6531" s="8">
        <f>EXP(-1.363+3.366*LOG(O6531,10))</f>
        <v>0.48744594082367254</v>
      </c>
      <c r="Q6531" s="8">
        <f>(3602085*100)/4019599</f>
        <v>89.613043490159086</v>
      </c>
    </row>
    <row r="6532" spans="1:17" x14ac:dyDescent="0.2">
      <c r="A6532">
        <v>2018</v>
      </c>
      <c r="B6532" t="s">
        <v>2594</v>
      </c>
      <c r="C6532" t="s">
        <v>50</v>
      </c>
      <c r="D6532" t="s">
        <v>2591</v>
      </c>
      <c r="E6532">
        <v>3</v>
      </c>
      <c r="F6532" t="s">
        <v>2284</v>
      </c>
      <c r="G6532" t="s">
        <v>352</v>
      </c>
      <c r="H6532" t="s">
        <v>623</v>
      </c>
      <c r="I6532" t="s">
        <v>22</v>
      </c>
      <c r="J6532" t="s">
        <v>42</v>
      </c>
      <c r="K6532" t="s">
        <v>2285</v>
      </c>
      <c r="L6532" t="s">
        <v>25</v>
      </c>
      <c r="M6532" s="8">
        <v>1.387</v>
      </c>
      <c r="N6532">
        <v>1.5529999999999999</v>
      </c>
      <c r="O6532" s="8">
        <v>1.5529999999999999</v>
      </c>
      <c r="P6532" s="8">
        <f>EXP(-1.363+3.366*LOG(O6532,10))</f>
        <v>0.48698747251560315</v>
      </c>
      <c r="Q6532" s="8">
        <f>(4488342*100)/4914798</f>
        <v>91.323020803703429</v>
      </c>
    </row>
    <row r="6533" spans="1:17" x14ac:dyDescent="0.2">
      <c r="A6533">
        <v>2018</v>
      </c>
      <c r="B6533" t="s">
        <v>2788</v>
      </c>
      <c r="C6533" t="s">
        <v>50</v>
      </c>
      <c r="D6533" t="s">
        <v>2786</v>
      </c>
      <c r="E6533">
        <v>6</v>
      </c>
      <c r="F6533" t="s">
        <v>2284</v>
      </c>
      <c r="G6533" t="s">
        <v>2210</v>
      </c>
      <c r="H6533" t="s">
        <v>2549</v>
      </c>
      <c r="I6533" t="s">
        <v>22</v>
      </c>
      <c r="J6533" t="s">
        <v>42</v>
      </c>
      <c r="K6533" t="s">
        <v>2285</v>
      </c>
      <c r="L6533" t="s">
        <v>25</v>
      </c>
      <c r="M6533" s="8" t="s">
        <v>26</v>
      </c>
      <c r="N6533">
        <v>1.55</v>
      </c>
      <c r="O6533" s="8">
        <v>1.55</v>
      </c>
      <c r="P6533" s="8">
        <f>EXP(-1.363+3.366*LOG(O6533,10))</f>
        <v>0.48561288570198308</v>
      </c>
      <c r="Q6533" s="8">
        <f>(4488342*100)/4914798</f>
        <v>91.323020803703429</v>
      </c>
    </row>
    <row r="6534" spans="1:17" x14ac:dyDescent="0.2">
      <c r="A6534">
        <v>2011</v>
      </c>
      <c r="B6534" t="s">
        <v>897</v>
      </c>
      <c r="C6534" t="s">
        <v>65</v>
      </c>
      <c r="D6534" t="s">
        <v>58</v>
      </c>
      <c r="E6534">
        <v>6</v>
      </c>
      <c r="F6534" t="s">
        <v>19</v>
      </c>
      <c r="G6534" t="s">
        <v>352</v>
      </c>
      <c r="H6534" t="s">
        <v>747</v>
      </c>
      <c r="I6534" t="s">
        <v>22</v>
      </c>
      <c r="J6534" t="s">
        <v>66</v>
      </c>
      <c r="K6534" t="s">
        <v>24</v>
      </c>
      <c r="L6534" t="s">
        <v>25</v>
      </c>
      <c r="M6534" s="8">
        <v>1.3726666670000001</v>
      </c>
      <c r="N6534">
        <v>1.5469999999999999</v>
      </c>
      <c r="O6534" s="8">
        <v>1.5469999999999999</v>
      </c>
      <c r="P6534" s="8">
        <f>EXP(-1.363+3.366*LOG(O6534,10))</f>
        <v>0.4842395270482413</v>
      </c>
      <c r="Q6534" s="8">
        <f>(1788886*100)/6788946</f>
        <v>26.349981278389901</v>
      </c>
    </row>
    <row r="6535" spans="1:17" x14ac:dyDescent="0.2">
      <c r="A6535">
        <v>2017</v>
      </c>
      <c r="B6535" t="s">
        <v>2415</v>
      </c>
      <c r="C6535" t="s">
        <v>2283</v>
      </c>
      <c r="D6535" t="s">
        <v>2412</v>
      </c>
      <c r="E6535">
        <v>5</v>
      </c>
      <c r="F6535" t="s">
        <v>2284</v>
      </c>
      <c r="G6535" t="s">
        <v>352</v>
      </c>
      <c r="H6535" t="s">
        <v>485</v>
      </c>
      <c r="I6535" t="s">
        <v>22</v>
      </c>
      <c r="J6535" t="s">
        <v>66</v>
      </c>
      <c r="K6535" t="s">
        <v>2285</v>
      </c>
      <c r="L6535" t="s">
        <v>25</v>
      </c>
      <c r="M6535" s="8" t="s">
        <v>26</v>
      </c>
      <c r="N6535">
        <v>1.5449999999999999</v>
      </c>
      <c r="O6535" s="8">
        <v>1.5449999999999999</v>
      </c>
      <c r="P6535" s="8">
        <f>EXP(-1.363+3.366*LOG(O6535,10))</f>
        <v>0.48332463755597688</v>
      </c>
      <c r="Q6535" s="8">
        <f>(1148193*100)/12288027</f>
        <v>9.3439980234418432</v>
      </c>
    </row>
    <row r="6536" spans="1:17" x14ac:dyDescent="0.2">
      <c r="A6536">
        <v>2017</v>
      </c>
      <c r="B6536" t="s">
        <v>2434</v>
      </c>
      <c r="C6536" t="s">
        <v>89</v>
      </c>
      <c r="D6536" t="s">
        <v>2425</v>
      </c>
      <c r="E6536">
        <v>5</v>
      </c>
      <c r="F6536" t="s">
        <v>2284</v>
      </c>
      <c r="G6536" t="s">
        <v>352</v>
      </c>
      <c r="H6536" t="s">
        <v>485</v>
      </c>
      <c r="I6536" t="s">
        <v>22</v>
      </c>
      <c r="J6536" t="s">
        <v>66</v>
      </c>
      <c r="K6536" t="s">
        <v>2285</v>
      </c>
      <c r="L6536" t="s">
        <v>25</v>
      </c>
      <c r="M6536" s="8" t="s">
        <v>26</v>
      </c>
      <c r="N6536">
        <v>1.53</v>
      </c>
      <c r="O6536" s="8">
        <v>1.53</v>
      </c>
      <c r="P6536" s="8">
        <f>EXP(-1.363+3.366*LOG(O6536,10))</f>
        <v>0.47648042197970419</v>
      </c>
      <c r="Q6536" s="8">
        <f>(61997.93*100)/7298102</f>
        <v>0.84950758430068529</v>
      </c>
    </row>
    <row r="6537" spans="1:17" x14ac:dyDescent="0.2">
      <c r="A6537">
        <v>2017</v>
      </c>
      <c r="B6537" t="s">
        <v>2548</v>
      </c>
      <c r="C6537" t="s">
        <v>2287</v>
      </c>
      <c r="D6537" t="s">
        <v>2546</v>
      </c>
      <c r="E6537">
        <v>6</v>
      </c>
      <c r="F6537" t="s">
        <v>2284</v>
      </c>
      <c r="G6537" t="s">
        <v>2210</v>
      </c>
      <c r="H6537" t="s">
        <v>2549</v>
      </c>
      <c r="I6537" t="s">
        <v>22</v>
      </c>
      <c r="J6537" t="s">
        <v>66</v>
      </c>
      <c r="K6537" t="s">
        <v>2285</v>
      </c>
      <c r="L6537" t="s">
        <v>25</v>
      </c>
      <c r="M6537" s="8" t="s">
        <v>26</v>
      </c>
      <c r="N6537">
        <v>1.53</v>
      </c>
      <c r="O6537" s="8">
        <v>1.53</v>
      </c>
      <c r="P6537" s="8">
        <f>EXP(-1.363+3.366*LOG(O6537,10))</f>
        <v>0.47648042197970419</v>
      </c>
      <c r="Q6537" s="8">
        <f>(859450.9*100)/14749408</f>
        <v>5.8270196336015658</v>
      </c>
    </row>
    <row r="6538" spans="1:17" x14ac:dyDescent="0.2">
      <c r="A6538">
        <v>2017</v>
      </c>
      <c r="B6538" t="s">
        <v>2522</v>
      </c>
      <c r="C6538" t="s">
        <v>52</v>
      </c>
      <c r="D6538" t="s">
        <v>2523</v>
      </c>
      <c r="E6538">
        <v>6</v>
      </c>
      <c r="F6538" t="s">
        <v>2284</v>
      </c>
      <c r="G6538" t="s">
        <v>20</v>
      </c>
      <c r="H6538" t="s">
        <v>45</v>
      </c>
      <c r="I6538" t="s">
        <v>22</v>
      </c>
      <c r="J6538" t="s">
        <v>42</v>
      </c>
      <c r="K6538" t="s">
        <v>2285</v>
      </c>
      <c r="L6538" t="s">
        <v>25</v>
      </c>
      <c r="M6538" s="8">
        <v>1.903333333</v>
      </c>
      <c r="N6538">
        <v>1.5209999999999999</v>
      </c>
      <c r="O6538" s="8">
        <v>1.5209999999999999</v>
      </c>
      <c r="P6538" s="8">
        <f>EXP(-1.363+3.366*LOG(O6538,10))</f>
        <v>0.4723887235503984</v>
      </c>
      <c r="Q6538" s="8">
        <f>(1626350*100)/1973941</f>
        <v>82.391013713175823</v>
      </c>
    </row>
    <row r="6539" spans="1:17" x14ac:dyDescent="0.2">
      <c r="A6539">
        <v>2017</v>
      </c>
      <c r="B6539" t="s">
        <v>2476</v>
      </c>
      <c r="C6539" t="s">
        <v>50</v>
      </c>
      <c r="D6539" t="s">
        <v>2474</v>
      </c>
      <c r="E6539">
        <v>5</v>
      </c>
      <c r="F6539" t="s">
        <v>2284</v>
      </c>
      <c r="G6539" t="s">
        <v>362</v>
      </c>
      <c r="H6539" t="s">
        <v>2030</v>
      </c>
      <c r="I6539" t="s">
        <v>22</v>
      </c>
      <c r="J6539" t="s">
        <v>42</v>
      </c>
      <c r="K6539" t="s">
        <v>2285</v>
      </c>
      <c r="L6539" t="s">
        <v>25</v>
      </c>
      <c r="M6539" s="8">
        <v>1.4923333329999999</v>
      </c>
      <c r="N6539">
        <v>1.5189999999999999</v>
      </c>
      <c r="O6539" s="8">
        <v>1.5189999999999999</v>
      </c>
      <c r="P6539" s="8">
        <f>EXP(-1.363+3.366*LOG(O6539,10))</f>
        <v>0.47148097240299902</v>
      </c>
      <c r="Q6539" s="8">
        <f>(4488342*100)/4914798</f>
        <v>91.323020803703429</v>
      </c>
    </row>
    <row r="6540" spans="1:17" x14ac:dyDescent="0.2">
      <c r="A6540">
        <v>2018</v>
      </c>
      <c r="B6540" t="s">
        <v>2939</v>
      </c>
      <c r="C6540" t="s">
        <v>50</v>
      </c>
      <c r="D6540" t="s">
        <v>2927</v>
      </c>
      <c r="E6540">
        <v>9</v>
      </c>
      <c r="F6540" t="s">
        <v>2284</v>
      </c>
      <c r="G6540" t="s">
        <v>352</v>
      </c>
      <c r="H6540" t="s">
        <v>747</v>
      </c>
      <c r="I6540" t="s">
        <v>22</v>
      </c>
      <c r="J6540" t="s">
        <v>42</v>
      </c>
      <c r="K6540" t="s">
        <v>2285</v>
      </c>
      <c r="L6540" t="s">
        <v>25</v>
      </c>
      <c r="M6540" s="8">
        <v>1.3726666670000001</v>
      </c>
      <c r="N6540">
        <v>1.5189999999999999</v>
      </c>
      <c r="O6540" s="8">
        <v>1.5189999999999999</v>
      </c>
      <c r="P6540" s="8">
        <f>EXP(-1.363+3.366*LOG(O6540,10))</f>
        <v>0.47148097240299902</v>
      </c>
      <c r="Q6540" s="8">
        <f>(4488342*100)/4914798</f>
        <v>91.323020803703429</v>
      </c>
    </row>
    <row r="6541" spans="1:17" x14ac:dyDescent="0.2">
      <c r="A6541">
        <v>2018</v>
      </c>
      <c r="B6541" t="s">
        <v>2740</v>
      </c>
      <c r="C6541" t="s">
        <v>2287</v>
      </c>
      <c r="D6541" t="s">
        <v>2736</v>
      </c>
      <c r="E6541">
        <v>5</v>
      </c>
      <c r="F6541" t="s">
        <v>2284</v>
      </c>
      <c r="G6541" t="s">
        <v>362</v>
      </c>
      <c r="H6541" t="s">
        <v>2030</v>
      </c>
      <c r="I6541" t="s">
        <v>22</v>
      </c>
      <c r="J6541" t="s">
        <v>66</v>
      </c>
      <c r="K6541" t="s">
        <v>2285</v>
      </c>
      <c r="L6541" t="s">
        <v>25</v>
      </c>
      <c r="M6541" s="8">
        <v>1.4923333329999999</v>
      </c>
      <c r="N6541">
        <v>1.5149999999999999</v>
      </c>
      <c r="O6541" s="8">
        <v>1.5149999999999999</v>
      </c>
      <c r="P6541" s="8">
        <f>EXP(-1.363+3.366*LOG(O6541,10))</f>
        <v>0.46966712594705068</v>
      </c>
      <c r="Q6541" s="8">
        <f>(859450.9*100)/14749408</f>
        <v>5.8270196336015658</v>
      </c>
    </row>
    <row r="6542" spans="1:17" x14ac:dyDescent="0.2">
      <c r="A6542">
        <v>2017</v>
      </c>
      <c r="B6542" t="s">
        <v>2342</v>
      </c>
      <c r="C6542" t="s">
        <v>2287</v>
      </c>
      <c r="D6542" t="s">
        <v>2337</v>
      </c>
      <c r="E6542">
        <v>4</v>
      </c>
      <c r="F6542" t="s">
        <v>2284</v>
      </c>
      <c r="G6542" t="s">
        <v>303</v>
      </c>
      <c r="H6542" t="s">
        <v>2343</v>
      </c>
      <c r="I6542" t="s">
        <v>36</v>
      </c>
      <c r="J6542" t="s">
        <v>66</v>
      </c>
      <c r="K6542" t="s">
        <v>2285</v>
      </c>
      <c r="L6542" t="s">
        <v>305</v>
      </c>
      <c r="M6542" s="8">
        <v>1.702</v>
      </c>
      <c r="N6542">
        <v>1.5029999999999999</v>
      </c>
      <c r="O6542" s="8">
        <v>1.5029999999999999</v>
      </c>
      <c r="P6542" s="8">
        <f>EXP(-1.363+3.366*LOG(O6542,10))</f>
        <v>0.46423886157132416</v>
      </c>
      <c r="Q6542" s="8">
        <f>(859450.9*100)/14749408</f>
        <v>5.8270196336015658</v>
      </c>
    </row>
    <row r="6543" spans="1:17" x14ac:dyDescent="0.2">
      <c r="A6543">
        <v>2017</v>
      </c>
      <c r="B6543" t="s">
        <v>2414</v>
      </c>
      <c r="C6543" t="s">
        <v>2287</v>
      </c>
      <c r="D6543" t="s">
        <v>2412</v>
      </c>
      <c r="E6543">
        <v>5</v>
      </c>
      <c r="F6543" t="s">
        <v>2284</v>
      </c>
      <c r="G6543" t="s">
        <v>362</v>
      </c>
      <c r="H6543" t="s">
        <v>447</v>
      </c>
      <c r="I6543" t="s">
        <v>22</v>
      </c>
      <c r="J6543" t="s">
        <v>66</v>
      </c>
      <c r="K6543" t="s">
        <v>2285</v>
      </c>
      <c r="L6543" t="s">
        <v>25</v>
      </c>
      <c r="M6543" s="8">
        <v>1.421</v>
      </c>
      <c r="N6543">
        <v>1.502</v>
      </c>
      <c r="O6543" s="8">
        <v>1.502</v>
      </c>
      <c r="P6543" s="8">
        <f>EXP(-1.363+3.366*LOG(O6543,10))</f>
        <v>0.46378740685153158</v>
      </c>
      <c r="Q6543" s="8">
        <f>(859450.9*100)/14749408</f>
        <v>5.8270196336015658</v>
      </c>
    </row>
    <row r="6544" spans="1:17" x14ac:dyDescent="0.2">
      <c r="A6544">
        <v>2017</v>
      </c>
      <c r="B6544" t="s">
        <v>2500</v>
      </c>
      <c r="C6544" t="s">
        <v>2287</v>
      </c>
      <c r="D6544" t="s">
        <v>2501</v>
      </c>
      <c r="E6544">
        <v>6</v>
      </c>
      <c r="F6544" t="s">
        <v>2284</v>
      </c>
      <c r="G6544" t="s">
        <v>20</v>
      </c>
      <c r="H6544" t="s">
        <v>2295</v>
      </c>
      <c r="I6544" t="s">
        <v>22</v>
      </c>
      <c r="J6544" t="s">
        <v>66</v>
      </c>
      <c r="K6544" t="s">
        <v>2285</v>
      </c>
      <c r="L6544" t="s">
        <v>25</v>
      </c>
      <c r="M6544" s="8">
        <v>1.1566666670000001</v>
      </c>
      <c r="N6544">
        <v>1.5</v>
      </c>
      <c r="O6544" s="8">
        <v>1.5</v>
      </c>
      <c r="P6544" s="8">
        <f>EXP(-1.363+3.366*LOG(O6544,10))</f>
        <v>0.46288491383783903</v>
      </c>
      <c r="Q6544" s="8">
        <f>(859450.9*100)/14749408</f>
        <v>5.8270196336015658</v>
      </c>
    </row>
    <row r="6545" spans="1:17" x14ac:dyDescent="0.2">
      <c r="A6545">
        <v>2017</v>
      </c>
      <c r="B6545" t="s">
        <v>2447</v>
      </c>
      <c r="C6545" t="s">
        <v>52</v>
      </c>
      <c r="D6545" t="s">
        <v>2440</v>
      </c>
      <c r="E6545">
        <v>5</v>
      </c>
      <c r="F6545" t="s">
        <v>2284</v>
      </c>
      <c r="G6545" t="s">
        <v>352</v>
      </c>
      <c r="H6545" t="s">
        <v>623</v>
      </c>
      <c r="I6545" t="s">
        <v>22</v>
      </c>
      <c r="J6545" t="s">
        <v>42</v>
      </c>
      <c r="K6545" t="s">
        <v>2285</v>
      </c>
      <c r="L6545" t="s">
        <v>25</v>
      </c>
      <c r="M6545" s="8">
        <v>1.387</v>
      </c>
      <c r="N6545">
        <v>1.4930000000000001</v>
      </c>
      <c r="O6545" s="8">
        <v>1.4930000000000001</v>
      </c>
      <c r="P6545" s="8">
        <f>EXP(-1.363+3.366*LOG(O6545,10))</f>
        <v>0.45973056599674739</v>
      </c>
      <c r="Q6545" s="8">
        <f>(1626350*100)/1973941</f>
        <v>82.391013713175823</v>
      </c>
    </row>
    <row r="6546" spans="1:17" x14ac:dyDescent="0.2">
      <c r="A6546">
        <v>2017</v>
      </c>
      <c r="B6546" t="s">
        <v>2306</v>
      </c>
      <c r="C6546" t="s">
        <v>1635</v>
      </c>
      <c r="D6546" t="s">
        <v>2307</v>
      </c>
      <c r="E6546">
        <v>3</v>
      </c>
      <c r="F6546" t="s">
        <v>2284</v>
      </c>
      <c r="G6546" t="s">
        <v>352</v>
      </c>
      <c r="H6546" t="s">
        <v>623</v>
      </c>
      <c r="I6546" t="s">
        <v>22</v>
      </c>
      <c r="J6546" t="s">
        <v>42</v>
      </c>
      <c r="K6546" t="s">
        <v>2285</v>
      </c>
      <c r="L6546" t="s">
        <v>25</v>
      </c>
      <c r="M6546" s="8">
        <v>1.387</v>
      </c>
      <c r="N6546">
        <v>1.4890000000000001</v>
      </c>
      <c r="O6546" s="8">
        <v>1.4890000000000001</v>
      </c>
      <c r="P6546" s="8">
        <f>EXP(-1.363+3.366*LOG(O6546,10))</f>
        <v>0.45793114373229954</v>
      </c>
      <c r="Q6546" s="8">
        <f>(3602085*100)/4019599</f>
        <v>89.613043490159086</v>
      </c>
    </row>
    <row r="6547" spans="1:17" x14ac:dyDescent="0.2">
      <c r="A6547">
        <v>2018</v>
      </c>
      <c r="B6547" t="s">
        <v>2739</v>
      </c>
      <c r="C6547" t="s">
        <v>2287</v>
      </c>
      <c r="D6547" t="s">
        <v>2736</v>
      </c>
      <c r="E6547">
        <v>5</v>
      </c>
      <c r="F6547" t="s">
        <v>2284</v>
      </c>
      <c r="G6547" t="s">
        <v>362</v>
      </c>
      <c r="H6547" t="s">
        <v>2030</v>
      </c>
      <c r="I6547" t="s">
        <v>22</v>
      </c>
      <c r="J6547" t="s">
        <v>66</v>
      </c>
      <c r="K6547" t="s">
        <v>2285</v>
      </c>
      <c r="L6547" t="s">
        <v>25</v>
      </c>
      <c r="M6547" s="8">
        <v>1.4923333329999999</v>
      </c>
      <c r="N6547">
        <v>1.4890000000000001</v>
      </c>
      <c r="O6547" s="8">
        <v>1.4890000000000001</v>
      </c>
      <c r="P6547" s="8">
        <f>EXP(-1.363+3.366*LOG(O6547,10))</f>
        <v>0.45793114373229954</v>
      </c>
      <c r="Q6547" s="8">
        <f>(859450.9*100)/14749408</f>
        <v>5.8270196336015658</v>
      </c>
    </row>
    <row r="6548" spans="1:17" x14ac:dyDescent="0.2">
      <c r="A6548">
        <v>2018</v>
      </c>
      <c r="B6548" t="s">
        <v>2634</v>
      </c>
      <c r="C6548" t="s">
        <v>2283</v>
      </c>
      <c r="D6548" t="s">
        <v>2635</v>
      </c>
      <c r="E6548">
        <v>4</v>
      </c>
      <c r="F6548" t="s">
        <v>2284</v>
      </c>
      <c r="G6548" t="s">
        <v>352</v>
      </c>
      <c r="H6548" t="s">
        <v>485</v>
      </c>
      <c r="I6548" t="s">
        <v>22</v>
      </c>
      <c r="J6548" t="s">
        <v>66</v>
      </c>
      <c r="K6548" t="s">
        <v>2285</v>
      </c>
      <c r="L6548" t="s">
        <v>25</v>
      </c>
      <c r="M6548" s="8" t="s">
        <v>26</v>
      </c>
      <c r="N6548">
        <v>1.4870000000000001</v>
      </c>
      <c r="O6548" s="8">
        <v>1.4870000000000001</v>
      </c>
      <c r="P6548" s="8">
        <f>EXP(-1.363+3.366*LOG(O6548,10))</f>
        <v>0.45703226905591893</v>
      </c>
      <c r="Q6548" s="8">
        <f>(1148193*100)/12288027</f>
        <v>9.3439980234418432</v>
      </c>
    </row>
    <row r="6549" spans="1:17" x14ac:dyDescent="0.2">
      <c r="A6549">
        <v>2017</v>
      </c>
      <c r="B6549" t="s">
        <v>2332</v>
      </c>
      <c r="C6549" t="s">
        <v>1635</v>
      </c>
      <c r="D6549" t="s">
        <v>2330</v>
      </c>
      <c r="E6549">
        <v>3</v>
      </c>
      <c r="F6549" t="s">
        <v>2284</v>
      </c>
      <c r="G6549" t="s">
        <v>20</v>
      </c>
      <c r="H6549" t="s">
        <v>149</v>
      </c>
      <c r="I6549" t="s">
        <v>22</v>
      </c>
      <c r="J6549" t="s">
        <v>42</v>
      </c>
      <c r="K6549" t="s">
        <v>2285</v>
      </c>
      <c r="L6549" t="s">
        <v>25</v>
      </c>
      <c r="M6549" s="8">
        <v>1.45</v>
      </c>
      <c r="N6549">
        <v>1.486</v>
      </c>
      <c r="O6549" s="8">
        <v>1.486</v>
      </c>
      <c r="P6549" s="8">
        <f>EXP(-1.363+3.366*LOG(O6549,10))</f>
        <v>0.45658304100812963</v>
      </c>
      <c r="Q6549" s="8">
        <f>(3602085*100)/4019599</f>
        <v>89.613043490159086</v>
      </c>
    </row>
    <row r="6550" spans="1:17" x14ac:dyDescent="0.2">
      <c r="A6550">
        <v>2017</v>
      </c>
      <c r="B6550" t="s">
        <v>2424</v>
      </c>
      <c r="C6550" t="s">
        <v>50</v>
      </c>
      <c r="D6550" t="s">
        <v>2425</v>
      </c>
      <c r="E6550">
        <v>5</v>
      </c>
      <c r="F6550" t="s">
        <v>2284</v>
      </c>
      <c r="G6550" t="s">
        <v>20</v>
      </c>
      <c r="H6550" t="s">
        <v>2295</v>
      </c>
      <c r="I6550" t="s">
        <v>22</v>
      </c>
      <c r="J6550" t="s">
        <v>42</v>
      </c>
      <c r="K6550" t="s">
        <v>2285</v>
      </c>
      <c r="L6550" t="s">
        <v>25</v>
      </c>
      <c r="M6550" s="8">
        <v>1.1566666670000001</v>
      </c>
      <c r="N6550">
        <v>1.482</v>
      </c>
      <c r="O6550" s="8">
        <v>1.482</v>
      </c>
      <c r="P6550" s="8">
        <f>EXP(-1.363+3.366*LOG(O6550,10))</f>
        <v>0.45478752526593097</v>
      </c>
      <c r="Q6550" s="8">
        <f>(4488342*100)/4914798</f>
        <v>91.323020803703429</v>
      </c>
    </row>
    <row r="6551" spans="1:17" x14ac:dyDescent="0.2">
      <c r="A6551">
        <v>2017</v>
      </c>
      <c r="B6551" t="s">
        <v>2315</v>
      </c>
      <c r="C6551" t="s">
        <v>89</v>
      </c>
      <c r="D6551" t="s">
        <v>2311</v>
      </c>
      <c r="E6551">
        <v>3</v>
      </c>
      <c r="F6551" t="s">
        <v>2284</v>
      </c>
      <c r="G6551" t="s">
        <v>20</v>
      </c>
      <c r="H6551" t="s">
        <v>91</v>
      </c>
      <c r="I6551" t="s">
        <v>36</v>
      </c>
      <c r="J6551" t="s">
        <v>66</v>
      </c>
      <c r="K6551" t="s">
        <v>2285</v>
      </c>
      <c r="L6551" t="s">
        <v>25</v>
      </c>
      <c r="M6551" s="8">
        <v>1.5753333329999999</v>
      </c>
      <c r="N6551">
        <v>1.478</v>
      </c>
      <c r="O6551" s="8">
        <v>1.478</v>
      </c>
      <c r="P6551" s="8">
        <f>EXP(-1.363+3.366*LOG(O6551,10))</f>
        <v>0.45299424627563478</v>
      </c>
      <c r="Q6551" s="8">
        <f>(61997.93*100)/7298102</f>
        <v>0.84950758430068529</v>
      </c>
    </row>
    <row r="6552" spans="1:17" x14ac:dyDescent="0.2">
      <c r="A6552">
        <v>2018</v>
      </c>
      <c r="B6552" t="s">
        <v>2979</v>
      </c>
      <c r="C6552" t="s">
        <v>2283</v>
      </c>
      <c r="D6552" t="s">
        <v>2978</v>
      </c>
      <c r="E6552">
        <v>10</v>
      </c>
      <c r="F6552" t="s">
        <v>2284</v>
      </c>
      <c r="G6552" t="s">
        <v>352</v>
      </c>
      <c r="H6552" t="s">
        <v>728</v>
      </c>
      <c r="I6552" t="s">
        <v>36</v>
      </c>
      <c r="J6552" t="s">
        <v>66</v>
      </c>
      <c r="K6552" t="s">
        <v>2285</v>
      </c>
      <c r="L6552" t="s">
        <v>187</v>
      </c>
      <c r="M6552" s="8">
        <v>1.376333333</v>
      </c>
      <c r="N6552">
        <v>1.4770000000000001</v>
      </c>
      <c r="O6552" s="8">
        <v>1.4770000000000001</v>
      </c>
      <c r="P6552" s="8">
        <f>EXP(-1.363+3.366*LOG(O6552,10))</f>
        <v>0.45254627640177858</v>
      </c>
      <c r="Q6552" s="8">
        <f>(1148193*100)/12288027</f>
        <v>9.3439980234418432</v>
      </c>
    </row>
    <row r="6553" spans="1:17" x14ac:dyDescent="0.2">
      <c r="A6553">
        <v>2017</v>
      </c>
      <c r="B6553" t="s">
        <v>2432</v>
      </c>
      <c r="C6553" t="s">
        <v>2283</v>
      </c>
      <c r="D6553" t="s">
        <v>2425</v>
      </c>
      <c r="E6553">
        <v>5</v>
      </c>
      <c r="F6553" t="s">
        <v>2284</v>
      </c>
      <c r="G6553" t="s">
        <v>352</v>
      </c>
      <c r="H6553" t="s">
        <v>485</v>
      </c>
      <c r="I6553" t="s">
        <v>22</v>
      </c>
      <c r="J6553" t="s">
        <v>66</v>
      </c>
      <c r="K6553" t="s">
        <v>2285</v>
      </c>
      <c r="L6553" t="s">
        <v>25</v>
      </c>
      <c r="M6553" s="8" t="s">
        <v>26</v>
      </c>
      <c r="N6553">
        <v>1.472</v>
      </c>
      <c r="O6553" s="8">
        <v>1.472</v>
      </c>
      <c r="P6553" s="8">
        <f>EXP(-1.363+3.366*LOG(O6553,10))</f>
        <v>0.450308528825627</v>
      </c>
      <c r="Q6553" s="8">
        <f>(1148193*100)/12288027</f>
        <v>9.3439980234418432</v>
      </c>
    </row>
    <row r="6554" spans="1:17" x14ac:dyDescent="0.2">
      <c r="A6554">
        <v>2018</v>
      </c>
      <c r="B6554" t="s">
        <v>2593</v>
      </c>
      <c r="C6554" t="s">
        <v>50</v>
      </c>
      <c r="D6554" t="s">
        <v>2591</v>
      </c>
      <c r="E6554">
        <v>3</v>
      </c>
      <c r="F6554" t="s">
        <v>2284</v>
      </c>
      <c r="G6554" t="s">
        <v>20</v>
      </c>
      <c r="H6554" t="s">
        <v>149</v>
      </c>
      <c r="I6554" t="s">
        <v>22</v>
      </c>
      <c r="J6554" t="s">
        <v>42</v>
      </c>
      <c r="K6554" t="s">
        <v>2285</v>
      </c>
      <c r="L6554" t="s">
        <v>25</v>
      </c>
      <c r="M6554" s="8">
        <v>1.45</v>
      </c>
      <c r="N6554">
        <v>1.4670000000000001</v>
      </c>
      <c r="O6554" s="8">
        <v>1.4670000000000001</v>
      </c>
      <c r="P6554" s="8">
        <f>EXP(-1.363+3.366*LOG(O6554,10))</f>
        <v>0.44807428893285645</v>
      </c>
      <c r="Q6554" s="8">
        <f>(4488342*100)/4914798</f>
        <v>91.323020803703429</v>
      </c>
    </row>
    <row r="6555" spans="1:17" x14ac:dyDescent="0.2">
      <c r="A6555">
        <v>2017</v>
      </c>
      <c r="B6555" t="s">
        <v>2322</v>
      </c>
      <c r="C6555" t="s">
        <v>1635</v>
      </c>
      <c r="D6555" t="s">
        <v>2321</v>
      </c>
      <c r="E6555">
        <v>3</v>
      </c>
      <c r="F6555" t="s">
        <v>2284</v>
      </c>
      <c r="G6555" t="s">
        <v>20</v>
      </c>
      <c r="H6555" t="s">
        <v>149</v>
      </c>
      <c r="I6555" t="s">
        <v>22</v>
      </c>
      <c r="J6555" t="s">
        <v>42</v>
      </c>
      <c r="K6555" t="s">
        <v>2285</v>
      </c>
      <c r="L6555" t="s">
        <v>25</v>
      </c>
      <c r="M6555" s="8">
        <v>1.45</v>
      </c>
      <c r="N6555">
        <v>1.4590000000000001</v>
      </c>
      <c r="O6555" s="8">
        <v>1.4590000000000001</v>
      </c>
      <c r="P6555" s="8">
        <f>EXP(-1.363+3.366*LOG(O6555,10))</f>
        <v>0.4445068171449883</v>
      </c>
      <c r="Q6555" s="8">
        <f>(3602085*100)/4019599</f>
        <v>89.613043490159086</v>
      </c>
    </row>
    <row r="6556" spans="1:17" x14ac:dyDescent="0.2">
      <c r="A6556">
        <v>2017</v>
      </c>
      <c r="B6556" t="s">
        <v>2336</v>
      </c>
      <c r="C6556" t="s">
        <v>50</v>
      </c>
      <c r="D6556" t="s">
        <v>2337</v>
      </c>
      <c r="E6556">
        <v>4</v>
      </c>
      <c r="F6556" t="s">
        <v>2284</v>
      </c>
      <c r="G6556" t="s">
        <v>20</v>
      </c>
      <c r="H6556" t="s">
        <v>2295</v>
      </c>
      <c r="I6556" t="s">
        <v>22</v>
      </c>
      <c r="J6556" t="s">
        <v>42</v>
      </c>
      <c r="K6556" t="s">
        <v>2285</v>
      </c>
      <c r="L6556" t="s">
        <v>25</v>
      </c>
      <c r="M6556" s="8">
        <v>1.1566666670000001</v>
      </c>
      <c r="N6556">
        <v>1.4590000000000001</v>
      </c>
      <c r="O6556" s="8">
        <v>1.4590000000000001</v>
      </c>
      <c r="P6556" s="8">
        <f>EXP(-1.363+3.366*LOG(O6556,10))</f>
        <v>0.4445068171449883</v>
      </c>
      <c r="Q6556" s="8">
        <f>(4488342*100)/4914798</f>
        <v>91.323020803703429</v>
      </c>
    </row>
    <row r="6557" spans="1:17" x14ac:dyDescent="0.2">
      <c r="A6557">
        <v>2018</v>
      </c>
      <c r="B6557" t="s">
        <v>2936</v>
      </c>
      <c r="C6557" t="s">
        <v>2287</v>
      </c>
      <c r="D6557" t="s">
        <v>2927</v>
      </c>
      <c r="E6557">
        <v>9</v>
      </c>
      <c r="F6557" t="s">
        <v>2284</v>
      </c>
      <c r="G6557" t="s">
        <v>362</v>
      </c>
      <c r="H6557" t="s">
        <v>447</v>
      </c>
      <c r="I6557" t="s">
        <v>22</v>
      </c>
      <c r="J6557" t="s">
        <v>66</v>
      </c>
      <c r="K6557" t="s">
        <v>2285</v>
      </c>
      <c r="L6557" t="s">
        <v>25</v>
      </c>
      <c r="M6557" s="8">
        <v>1.421</v>
      </c>
      <c r="N6557">
        <v>1.4590000000000001</v>
      </c>
      <c r="O6557" s="8">
        <v>1.4590000000000001</v>
      </c>
      <c r="P6557" s="8">
        <f>EXP(-1.363+3.366*LOG(O6557,10))</f>
        <v>0.4445068171449883</v>
      </c>
      <c r="Q6557" s="8">
        <f>(859450.9*100)/14749408</f>
        <v>5.8270196336015658</v>
      </c>
    </row>
    <row r="6558" spans="1:17" x14ac:dyDescent="0.2">
      <c r="A6558">
        <v>2017</v>
      </c>
      <c r="B6558" t="s">
        <v>2372</v>
      </c>
      <c r="C6558" t="s">
        <v>2287</v>
      </c>
      <c r="D6558" t="s">
        <v>2355</v>
      </c>
      <c r="E6558">
        <v>4</v>
      </c>
      <c r="F6558" t="s">
        <v>2284</v>
      </c>
      <c r="G6558" t="s">
        <v>303</v>
      </c>
      <c r="H6558" t="s">
        <v>2373</v>
      </c>
      <c r="I6558" t="s">
        <v>22</v>
      </c>
      <c r="J6558" t="s">
        <v>66</v>
      </c>
      <c r="K6558" t="s">
        <v>2285</v>
      </c>
      <c r="L6558" t="s">
        <v>305</v>
      </c>
      <c r="M6558" s="8" t="s">
        <v>26</v>
      </c>
      <c r="N6558">
        <v>1.458</v>
      </c>
      <c r="O6558" s="8">
        <v>1.458</v>
      </c>
      <c r="P6558" s="8">
        <f>EXP(-1.363+3.366*LOG(O6558,10))</f>
        <v>0.44406151703054614</v>
      </c>
      <c r="Q6558" s="8">
        <f>(859450.9*100)/14749408</f>
        <v>5.8270196336015658</v>
      </c>
    </row>
    <row r="6559" spans="1:17" x14ac:dyDescent="0.2">
      <c r="A6559">
        <v>2018</v>
      </c>
      <c r="B6559" t="s">
        <v>2977</v>
      </c>
      <c r="C6559" t="s">
        <v>2283</v>
      </c>
      <c r="D6559" t="s">
        <v>2978</v>
      </c>
      <c r="E6559">
        <v>10</v>
      </c>
      <c r="F6559" t="s">
        <v>2284</v>
      </c>
      <c r="G6559" t="s">
        <v>352</v>
      </c>
      <c r="H6559" t="s">
        <v>728</v>
      </c>
      <c r="I6559" t="s">
        <v>36</v>
      </c>
      <c r="J6559" t="s">
        <v>66</v>
      </c>
      <c r="K6559" t="s">
        <v>2285</v>
      </c>
      <c r="L6559" t="s">
        <v>187</v>
      </c>
      <c r="M6559" s="8">
        <v>1.376333333</v>
      </c>
      <c r="N6559">
        <v>1.458</v>
      </c>
      <c r="O6559" s="8">
        <v>1.458</v>
      </c>
      <c r="P6559" s="8">
        <f>EXP(-1.363+3.366*LOG(O6559,10))</f>
        <v>0.44406151703054614</v>
      </c>
      <c r="Q6559" s="8">
        <f>(1148193*100)/12288027</f>
        <v>9.3439980234418432</v>
      </c>
    </row>
    <row r="6560" spans="1:17" x14ac:dyDescent="0.2">
      <c r="A6560">
        <v>2017</v>
      </c>
      <c r="B6560" t="s">
        <v>2441</v>
      </c>
      <c r="C6560" t="s">
        <v>50</v>
      </c>
      <c r="D6560" t="s">
        <v>2440</v>
      </c>
      <c r="E6560">
        <v>5</v>
      </c>
      <c r="F6560" t="s">
        <v>2284</v>
      </c>
      <c r="G6560" t="s">
        <v>20</v>
      </c>
      <c r="H6560" t="s">
        <v>2295</v>
      </c>
      <c r="I6560" t="s">
        <v>22</v>
      </c>
      <c r="J6560" t="s">
        <v>42</v>
      </c>
      <c r="K6560" t="s">
        <v>2285</v>
      </c>
      <c r="L6560" t="s">
        <v>25</v>
      </c>
      <c r="M6560" s="8">
        <v>1.1566666670000001</v>
      </c>
      <c r="N6560">
        <v>1.4530000000000001</v>
      </c>
      <c r="O6560" s="8">
        <v>1.4530000000000001</v>
      </c>
      <c r="P6560" s="8">
        <f>EXP(-1.363+3.366*LOG(O6560,10))</f>
        <v>0.44183713296094801</v>
      </c>
      <c r="Q6560" s="8">
        <f>(4488342*100)/4914798</f>
        <v>91.323020803703429</v>
      </c>
    </row>
    <row r="6561" spans="1:17" x14ac:dyDescent="0.2">
      <c r="A6561">
        <v>2017</v>
      </c>
      <c r="B6561" t="s">
        <v>2340</v>
      </c>
      <c r="C6561" t="s">
        <v>50</v>
      </c>
      <c r="D6561" t="s">
        <v>2337</v>
      </c>
      <c r="E6561">
        <v>4</v>
      </c>
      <c r="F6561" t="s">
        <v>2284</v>
      </c>
      <c r="G6561" t="s">
        <v>352</v>
      </c>
      <c r="H6561" t="s">
        <v>623</v>
      </c>
      <c r="I6561" t="s">
        <v>22</v>
      </c>
      <c r="J6561" t="s">
        <v>42</v>
      </c>
      <c r="K6561" t="s">
        <v>2285</v>
      </c>
      <c r="L6561" t="s">
        <v>25</v>
      </c>
      <c r="M6561" s="8">
        <v>1.387</v>
      </c>
      <c r="N6561">
        <v>1.4510000000000001</v>
      </c>
      <c r="O6561" s="8">
        <v>1.4510000000000001</v>
      </c>
      <c r="P6561" s="8">
        <f>EXP(-1.363+3.366*LOG(O6561,10))</f>
        <v>0.44094836800886894</v>
      </c>
      <c r="Q6561" s="8">
        <f>(4488342*100)/4914798</f>
        <v>91.323020803703429</v>
      </c>
    </row>
    <row r="6562" spans="1:17" x14ac:dyDescent="0.2">
      <c r="A6562">
        <v>2017</v>
      </c>
      <c r="B6562" t="s">
        <v>2363</v>
      </c>
      <c r="C6562" t="s">
        <v>50</v>
      </c>
      <c r="D6562" t="s">
        <v>2355</v>
      </c>
      <c r="E6562">
        <v>4</v>
      </c>
      <c r="F6562" t="s">
        <v>2284</v>
      </c>
      <c r="G6562" t="s">
        <v>20</v>
      </c>
      <c r="H6562" t="s">
        <v>2295</v>
      </c>
      <c r="I6562" t="s">
        <v>22</v>
      </c>
      <c r="J6562" t="s">
        <v>42</v>
      </c>
      <c r="K6562" t="s">
        <v>2285</v>
      </c>
      <c r="L6562" t="s">
        <v>25</v>
      </c>
      <c r="M6562" s="8">
        <v>1.1566666670000001</v>
      </c>
      <c r="N6562">
        <v>1.4510000000000001</v>
      </c>
      <c r="O6562" s="8">
        <v>1.4510000000000001</v>
      </c>
      <c r="P6562" s="8">
        <f>EXP(-1.363+3.366*LOG(O6562,10))</f>
        <v>0.44094836800886894</v>
      </c>
      <c r="Q6562" s="8">
        <f>(4488342*100)/4914798</f>
        <v>91.323020803703429</v>
      </c>
    </row>
    <row r="6563" spans="1:17" x14ac:dyDescent="0.2">
      <c r="A6563">
        <v>2018</v>
      </c>
      <c r="B6563" t="s">
        <v>2602</v>
      </c>
      <c r="C6563" t="s">
        <v>1635</v>
      </c>
      <c r="D6563" t="s">
        <v>2603</v>
      </c>
      <c r="E6563">
        <v>4</v>
      </c>
      <c r="F6563" t="s">
        <v>2284</v>
      </c>
      <c r="G6563" t="s">
        <v>20</v>
      </c>
      <c r="H6563" t="s">
        <v>2295</v>
      </c>
      <c r="I6563" t="s">
        <v>22</v>
      </c>
      <c r="J6563" t="s">
        <v>42</v>
      </c>
      <c r="K6563" t="s">
        <v>2285</v>
      </c>
      <c r="L6563" t="s">
        <v>25</v>
      </c>
      <c r="M6563" s="8">
        <v>1.1566666670000001</v>
      </c>
      <c r="N6563">
        <v>1.448</v>
      </c>
      <c r="O6563" s="8">
        <v>1.448</v>
      </c>
      <c r="P6563" s="8">
        <f>EXP(-1.363+3.366*LOG(O6563,10))</f>
        <v>0.43961628118519985</v>
      </c>
      <c r="Q6563" s="8">
        <f>(3602085*100)/4019599</f>
        <v>89.613043490159086</v>
      </c>
    </row>
    <row r="6564" spans="1:17" x14ac:dyDescent="0.2">
      <c r="A6564">
        <v>2017</v>
      </c>
      <c r="B6564" t="s">
        <v>2404</v>
      </c>
      <c r="C6564" t="s">
        <v>50</v>
      </c>
      <c r="D6564" t="s">
        <v>2405</v>
      </c>
      <c r="E6564">
        <v>5</v>
      </c>
      <c r="F6564" t="s">
        <v>2284</v>
      </c>
      <c r="G6564" t="s">
        <v>20</v>
      </c>
      <c r="H6564" t="s">
        <v>2295</v>
      </c>
      <c r="I6564" t="s">
        <v>22</v>
      </c>
      <c r="J6564" t="s">
        <v>42</v>
      </c>
      <c r="K6564" t="s">
        <v>2285</v>
      </c>
      <c r="L6564" t="s">
        <v>25</v>
      </c>
      <c r="M6564" s="8">
        <v>1.1566666670000001</v>
      </c>
      <c r="N6564">
        <v>1.4450000000000001</v>
      </c>
      <c r="O6564" s="8">
        <v>1.4450000000000001</v>
      </c>
      <c r="P6564" s="8">
        <f>EXP(-1.363+3.366*LOG(O6564,10))</f>
        <v>0.43828546834783944</v>
      </c>
      <c r="Q6564" s="8">
        <f>(4488342*100)/4914798</f>
        <v>91.323020803703429</v>
      </c>
    </row>
    <row r="6565" spans="1:17" x14ac:dyDescent="0.2">
      <c r="A6565">
        <v>2017</v>
      </c>
      <c r="B6565" t="s">
        <v>2521</v>
      </c>
      <c r="C6565" t="s">
        <v>52</v>
      </c>
      <c r="D6565" t="s">
        <v>2518</v>
      </c>
      <c r="E6565">
        <v>6</v>
      </c>
      <c r="F6565" t="s">
        <v>2284</v>
      </c>
      <c r="G6565" t="s">
        <v>352</v>
      </c>
      <c r="H6565" t="s">
        <v>747</v>
      </c>
      <c r="I6565" t="s">
        <v>22</v>
      </c>
      <c r="J6565" t="s">
        <v>42</v>
      </c>
      <c r="K6565" t="s">
        <v>2285</v>
      </c>
      <c r="L6565" t="s">
        <v>25</v>
      </c>
      <c r="M6565" s="8">
        <v>1.3726666670000001</v>
      </c>
      <c r="N6565">
        <v>1.44</v>
      </c>
      <c r="O6565" s="8">
        <v>1.44</v>
      </c>
      <c r="P6565" s="8">
        <f>EXP(-1.363+3.366*LOG(O6565,10))</f>
        <v>0.43607028189921843</v>
      </c>
      <c r="Q6565" s="8">
        <f>(1626350*100)/1973941</f>
        <v>82.391013713175823</v>
      </c>
    </row>
    <row r="6566" spans="1:17" x14ac:dyDescent="0.2">
      <c r="A6566">
        <v>2017</v>
      </c>
      <c r="B6566" t="s">
        <v>2320</v>
      </c>
      <c r="C6566" t="s">
        <v>1635</v>
      </c>
      <c r="D6566" t="s">
        <v>2321</v>
      </c>
      <c r="E6566">
        <v>3</v>
      </c>
      <c r="F6566" t="s">
        <v>2284</v>
      </c>
      <c r="G6566" t="s">
        <v>20</v>
      </c>
      <c r="H6566" t="s">
        <v>149</v>
      </c>
      <c r="I6566" t="s">
        <v>22</v>
      </c>
      <c r="J6566" t="s">
        <v>42</v>
      </c>
      <c r="K6566" t="s">
        <v>2285</v>
      </c>
      <c r="L6566" t="s">
        <v>25</v>
      </c>
      <c r="M6566" s="8">
        <v>1.45</v>
      </c>
      <c r="N6566">
        <v>1.431</v>
      </c>
      <c r="O6566" s="8">
        <v>1.431</v>
      </c>
      <c r="P6566" s="8">
        <f>EXP(-1.363+3.366*LOG(O6566,10))</f>
        <v>0.43209189529714875</v>
      </c>
      <c r="Q6566" s="8">
        <f>(3602085*100)/4019599</f>
        <v>89.613043490159086</v>
      </c>
    </row>
    <row r="6567" spans="1:17" x14ac:dyDescent="0.2">
      <c r="A6567">
        <v>2017</v>
      </c>
      <c r="B6567" t="s">
        <v>2509</v>
      </c>
      <c r="C6567" t="s">
        <v>89</v>
      </c>
      <c r="D6567" t="s">
        <v>2501</v>
      </c>
      <c r="E6567">
        <v>6</v>
      </c>
      <c r="F6567" t="s">
        <v>2284</v>
      </c>
      <c r="G6567" t="s">
        <v>352</v>
      </c>
      <c r="H6567" t="s">
        <v>623</v>
      </c>
      <c r="I6567" t="s">
        <v>22</v>
      </c>
      <c r="J6567" t="s">
        <v>66</v>
      </c>
      <c r="K6567" t="s">
        <v>2285</v>
      </c>
      <c r="L6567" t="s">
        <v>25</v>
      </c>
      <c r="M6567" s="8">
        <v>1.387</v>
      </c>
      <c r="N6567">
        <v>1.43</v>
      </c>
      <c r="O6567" s="8">
        <v>1.43</v>
      </c>
      <c r="P6567" s="8">
        <f>EXP(-1.363+3.366*LOG(O6567,10))</f>
        <v>0.43165056391138301</v>
      </c>
      <c r="Q6567" s="8">
        <f>(61997.93*100)/7298102</f>
        <v>0.84950758430068529</v>
      </c>
    </row>
    <row r="6568" spans="1:17" x14ac:dyDescent="0.2">
      <c r="A6568">
        <v>2017</v>
      </c>
      <c r="B6568" t="s">
        <v>2327</v>
      </c>
      <c r="C6568" t="s">
        <v>2287</v>
      </c>
      <c r="D6568" t="s">
        <v>2321</v>
      </c>
      <c r="E6568">
        <v>3</v>
      </c>
      <c r="F6568" t="s">
        <v>2284</v>
      </c>
      <c r="G6568" t="s">
        <v>352</v>
      </c>
      <c r="H6568" t="s">
        <v>1271</v>
      </c>
      <c r="I6568" t="s">
        <v>36</v>
      </c>
      <c r="J6568" t="s">
        <v>66</v>
      </c>
      <c r="K6568" t="s">
        <v>2285</v>
      </c>
      <c r="L6568" t="s">
        <v>25</v>
      </c>
      <c r="M6568" s="8">
        <v>1.3939999999999999</v>
      </c>
      <c r="N6568">
        <v>1.423</v>
      </c>
      <c r="O6568" s="8">
        <v>1.423</v>
      </c>
      <c r="P6568" s="8">
        <f>EXP(-1.363+3.366*LOG(O6568,10))</f>
        <v>0.42856523750367709</v>
      </c>
      <c r="Q6568" s="8">
        <f>(859450.9*100)/14749408</f>
        <v>5.8270196336015658</v>
      </c>
    </row>
    <row r="6569" spans="1:17" x14ac:dyDescent="0.2">
      <c r="A6569">
        <v>2018</v>
      </c>
      <c r="B6569" t="s">
        <v>2698</v>
      </c>
      <c r="C6569" t="s">
        <v>50</v>
      </c>
      <c r="D6569" t="s">
        <v>2694</v>
      </c>
      <c r="E6569">
        <v>5</v>
      </c>
      <c r="F6569" t="s">
        <v>2284</v>
      </c>
      <c r="G6569" t="s">
        <v>362</v>
      </c>
      <c r="H6569" t="s">
        <v>447</v>
      </c>
      <c r="I6569" t="s">
        <v>22</v>
      </c>
      <c r="J6569" t="s">
        <v>42</v>
      </c>
      <c r="K6569" t="s">
        <v>2285</v>
      </c>
      <c r="L6569" t="s">
        <v>25</v>
      </c>
      <c r="M6569" s="8">
        <v>1.421</v>
      </c>
      <c r="N6569">
        <v>1.423</v>
      </c>
      <c r="O6569" s="8">
        <v>1.423</v>
      </c>
      <c r="P6569" s="8">
        <f>EXP(-1.363+3.366*LOG(O6569,10))</f>
        <v>0.42856523750367709</v>
      </c>
      <c r="Q6569" s="8">
        <f>(4488342*100)/4914798</f>
        <v>91.323020803703429</v>
      </c>
    </row>
    <row r="6570" spans="1:17" x14ac:dyDescent="0.2">
      <c r="A6570">
        <v>2018</v>
      </c>
      <c r="B6570" t="s">
        <v>2850</v>
      </c>
      <c r="C6570" t="s">
        <v>2287</v>
      </c>
      <c r="D6570" t="s">
        <v>2838</v>
      </c>
      <c r="E6570">
        <v>8</v>
      </c>
      <c r="F6570" t="s">
        <v>2284</v>
      </c>
      <c r="G6570" t="s">
        <v>362</v>
      </c>
      <c r="H6570" t="s">
        <v>2030</v>
      </c>
      <c r="I6570" t="s">
        <v>36</v>
      </c>
      <c r="J6570" t="s">
        <v>66</v>
      </c>
      <c r="K6570" t="s">
        <v>2285</v>
      </c>
      <c r="L6570" t="s">
        <v>25</v>
      </c>
      <c r="M6570" s="8">
        <v>1.383</v>
      </c>
      <c r="N6570">
        <v>1.423</v>
      </c>
      <c r="O6570" s="8">
        <v>1.423</v>
      </c>
      <c r="P6570" s="8">
        <f>EXP(-1.363+3.366*LOG(O6570,10))</f>
        <v>0.42856523750367709</v>
      </c>
      <c r="Q6570" s="8">
        <f>(859450.9*100)/14749408</f>
        <v>5.8270196336015658</v>
      </c>
    </row>
    <row r="6571" spans="1:17" x14ac:dyDescent="0.2">
      <c r="A6571">
        <v>2018</v>
      </c>
      <c r="B6571" t="s">
        <v>2779</v>
      </c>
      <c r="C6571" t="s">
        <v>1635</v>
      </c>
      <c r="D6571" t="s">
        <v>2778</v>
      </c>
      <c r="E6571">
        <v>6</v>
      </c>
      <c r="F6571" t="s">
        <v>2284</v>
      </c>
      <c r="G6571" t="s">
        <v>20</v>
      </c>
      <c r="H6571" t="s">
        <v>149</v>
      </c>
      <c r="I6571" t="s">
        <v>22</v>
      </c>
      <c r="J6571" t="s">
        <v>42</v>
      </c>
      <c r="K6571" t="s">
        <v>2285</v>
      </c>
      <c r="L6571" t="s">
        <v>25</v>
      </c>
      <c r="M6571" s="8">
        <v>1.45</v>
      </c>
      <c r="N6571">
        <v>1.4219999999999999</v>
      </c>
      <c r="O6571" s="8">
        <v>1.4219999999999999</v>
      </c>
      <c r="P6571" s="8">
        <f>EXP(-1.363+3.366*LOG(O6571,10))</f>
        <v>0.42812504770468757</v>
      </c>
      <c r="Q6571" s="8">
        <f>(3602085*100)/4019599</f>
        <v>89.613043490159086</v>
      </c>
    </row>
    <row r="6572" spans="1:17" x14ac:dyDescent="0.2">
      <c r="A6572">
        <v>2017</v>
      </c>
      <c r="B6572" t="s">
        <v>2463</v>
      </c>
      <c r="C6572" t="s">
        <v>1635</v>
      </c>
      <c r="D6572" t="s">
        <v>2462</v>
      </c>
      <c r="E6572">
        <v>5</v>
      </c>
      <c r="F6572" t="s">
        <v>2284</v>
      </c>
      <c r="G6572" t="s">
        <v>362</v>
      </c>
      <c r="H6572" t="s">
        <v>447</v>
      </c>
      <c r="I6572" t="s">
        <v>22</v>
      </c>
      <c r="J6572" t="s">
        <v>42</v>
      </c>
      <c r="K6572" t="s">
        <v>2285</v>
      </c>
      <c r="L6572" t="s">
        <v>25</v>
      </c>
      <c r="M6572" s="8">
        <v>1.421</v>
      </c>
      <c r="N6572">
        <v>1.4159999999999999</v>
      </c>
      <c r="O6572" s="8">
        <v>1.4159999999999999</v>
      </c>
      <c r="P6572" s="8">
        <f>EXP(-1.363+3.366*LOG(O6572,10))</f>
        <v>0.42548691256906124</v>
      </c>
      <c r="Q6572" s="8">
        <f>(3602085*100)/4019599</f>
        <v>89.613043490159086</v>
      </c>
    </row>
    <row r="6573" spans="1:17" x14ac:dyDescent="0.2">
      <c r="A6573">
        <v>2017</v>
      </c>
      <c r="B6573" t="s">
        <v>2316</v>
      </c>
      <c r="C6573" t="s">
        <v>50</v>
      </c>
      <c r="D6573" t="s">
        <v>2311</v>
      </c>
      <c r="E6573">
        <v>3</v>
      </c>
      <c r="F6573" t="s">
        <v>2284</v>
      </c>
      <c r="G6573" t="s">
        <v>20</v>
      </c>
      <c r="H6573" t="s">
        <v>149</v>
      </c>
      <c r="I6573" t="s">
        <v>22</v>
      </c>
      <c r="J6573" t="s">
        <v>42</v>
      </c>
      <c r="K6573" t="s">
        <v>2285</v>
      </c>
      <c r="L6573" t="s">
        <v>25</v>
      </c>
      <c r="M6573" s="8">
        <v>1.45</v>
      </c>
      <c r="N6573">
        <v>1.4119999999999999</v>
      </c>
      <c r="O6573" s="8">
        <v>1.4119999999999999</v>
      </c>
      <c r="P6573" s="8">
        <f>EXP(-1.363+3.366*LOG(O6573,10))</f>
        <v>0.42373102042220906</v>
      </c>
      <c r="Q6573" s="8">
        <f>(4488342*100)/4914798</f>
        <v>91.323020803703429</v>
      </c>
    </row>
    <row r="6574" spans="1:17" x14ac:dyDescent="0.2">
      <c r="A6574">
        <v>2017</v>
      </c>
      <c r="B6574" t="s">
        <v>2529</v>
      </c>
      <c r="C6574" t="s">
        <v>52</v>
      </c>
      <c r="D6574" t="s">
        <v>2523</v>
      </c>
      <c r="E6574">
        <v>6</v>
      </c>
      <c r="F6574" t="s">
        <v>2284</v>
      </c>
      <c r="G6574" t="s">
        <v>352</v>
      </c>
      <c r="H6574" t="s">
        <v>747</v>
      </c>
      <c r="I6574" t="s">
        <v>22</v>
      </c>
      <c r="J6574" t="s">
        <v>42</v>
      </c>
      <c r="K6574" t="s">
        <v>2285</v>
      </c>
      <c r="L6574" t="s">
        <v>25</v>
      </c>
      <c r="M6574" s="8">
        <v>1.3726666670000001</v>
      </c>
      <c r="N6574">
        <v>1.4079999999999999</v>
      </c>
      <c r="O6574" s="8">
        <v>1.4079999999999999</v>
      </c>
      <c r="P6574" s="8">
        <f>EXP(-1.363+3.366*LOG(O6574,10))</f>
        <v>0.42197742403579069</v>
      </c>
      <c r="Q6574" s="8">
        <f>(1626350*100)/1973941</f>
        <v>82.391013713175823</v>
      </c>
    </row>
    <row r="6575" spans="1:17" x14ac:dyDescent="0.2">
      <c r="A6575">
        <v>2018</v>
      </c>
      <c r="B6575" t="s">
        <v>2600</v>
      </c>
      <c r="C6575" t="s">
        <v>50</v>
      </c>
      <c r="D6575" t="s">
        <v>2599</v>
      </c>
      <c r="E6575">
        <v>4</v>
      </c>
      <c r="F6575" t="s">
        <v>2284</v>
      </c>
      <c r="G6575" t="s">
        <v>20</v>
      </c>
      <c r="H6575" t="s">
        <v>2601</v>
      </c>
      <c r="I6575" t="s">
        <v>22</v>
      </c>
      <c r="J6575" t="s">
        <v>42</v>
      </c>
      <c r="K6575" t="s">
        <v>2285</v>
      </c>
      <c r="L6575" t="s">
        <v>25</v>
      </c>
      <c r="M6575" s="8">
        <v>1.3069999999999999</v>
      </c>
      <c r="N6575">
        <v>1.4079999999999999</v>
      </c>
      <c r="O6575" s="8">
        <v>1.4079999999999999</v>
      </c>
      <c r="P6575" s="8">
        <f>EXP(-1.363+3.366*LOG(O6575,10))</f>
        <v>0.42197742403579069</v>
      </c>
      <c r="Q6575" s="8">
        <f>(4488342*100)/4914798</f>
        <v>91.323020803703429</v>
      </c>
    </row>
    <row r="6576" spans="1:17" x14ac:dyDescent="0.2">
      <c r="A6576">
        <v>2017</v>
      </c>
      <c r="B6576" t="s">
        <v>2443</v>
      </c>
      <c r="C6576" t="s">
        <v>50</v>
      </c>
      <c r="D6576" t="s">
        <v>2440</v>
      </c>
      <c r="E6576">
        <v>5</v>
      </c>
      <c r="F6576" t="s">
        <v>2284</v>
      </c>
      <c r="G6576" t="s">
        <v>20</v>
      </c>
      <c r="H6576" t="s">
        <v>2295</v>
      </c>
      <c r="I6576" t="s">
        <v>22</v>
      </c>
      <c r="J6576" t="s">
        <v>42</v>
      </c>
      <c r="K6576" t="s">
        <v>2285</v>
      </c>
      <c r="L6576" t="s">
        <v>25</v>
      </c>
      <c r="M6576" s="8">
        <v>1.1566666670000001</v>
      </c>
      <c r="N6576">
        <v>1.4059999999999999</v>
      </c>
      <c r="O6576" s="8">
        <v>1.4059999999999999</v>
      </c>
      <c r="P6576" s="8">
        <f>EXP(-1.363+3.366*LOG(O6576,10))</f>
        <v>0.42110148784828405</v>
      </c>
      <c r="Q6576" s="8">
        <f>(4488342*100)/4914798</f>
        <v>91.323020803703429</v>
      </c>
    </row>
    <row r="6577" spans="1:17" x14ac:dyDescent="0.2">
      <c r="A6577">
        <v>2017</v>
      </c>
      <c r="B6577" t="s">
        <v>2439</v>
      </c>
      <c r="C6577" t="s">
        <v>50</v>
      </c>
      <c r="D6577" t="s">
        <v>2440</v>
      </c>
      <c r="E6577">
        <v>5</v>
      </c>
      <c r="F6577" t="s">
        <v>2284</v>
      </c>
      <c r="G6577" t="s">
        <v>20</v>
      </c>
      <c r="H6577" t="s">
        <v>2295</v>
      </c>
      <c r="I6577" t="s">
        <v>22</v>
      </c>
      <c r="J6577" t="s">
        <v>42</v>
      </c>
      <c r="K6577" t="s">
        <v>2285</v>
      </c>
      <c r="L6577" t="s">
        <v>25</v>
      </c>
      <c r="M6577" s="8">
        <v>1.1566666670000001</v>
      </c>
      <c r="N6577">
        <v>1.403</v>
      </c>
      <c r="O6577" s="8">
        <v>1.403</v>
      </c>
      <c r="P6577" s="8">
        <f>EXP(-1.363+3.366*LOG(O6577,10))</f>
        <v>0.41978866231101469</v>
      </c>
      <c r="Q6577" s="8">
        <f>(4488342*100)/4914798</f>
        <v>91.323020803703429</v>
      </c>
    </row>
    <row r="6578" spans="1:17" x14ac:dyDescent="0.2">
      <c r="A6578">
        <v>2017</v>
      </c>
      <c r="B6578" t="s">
        <v>2333</v>
      </c>
      <c r="C6578" t="s">
        <v>1635</v>
      </c>
      <c r="D6578" t="s">
        <v>2330</v>
      </c>
      <c r="E6578">
        <v>3</v>
      </c>
      <c r="F6578" t="s">
        <v>2284</v>
      </c>
      <c r="G6578" t="s">
        <v>352</v>
      </c>
      <c r="H6578" t="s">
        <v>623</v>
      </c>
      <c r="I6578" t="s">
        <v>22</v>
      </c>
      <c r="J6578" t="s">
        <v>42</v>
      </c>
      <c r="K6578" t="s">
        <v>2285</v>
      </c>
      <c r="L6578" t="s">
        <v>25</v>
      </c>
      <c r="M6578" s="8">
        <v>1.387</v>
      </c>
      <c r="N6578">
        <v>1.401</v>
      </c>
      <c r="O6578" s="8">
        <v>1.401</v>
      </c>
      <c r="P6578" s="8">
        <f>EXP(-1.363+3.366*LOG(O6578,10))</f>
        <v>0.41891416509209689</v>
      </c>
      <c r="Q6578" s="8">
        <f>(3602085*100)/4019599</f>
        <v>89.613043490159086</v>
      </c>
    </row>
    <row r="6579" spans="1:17" x14ac:dyDescent="0.2">
      <c r="A6579">
        <v>2018</v>
      </c>
      <c r="B6579" t="s">
        <v>2992</v>
      </c>
      <c r="C6579" t="s">
        <v>2283</v>
      </c>
      <c r="D6579" t="s">
        <v>2993</v>
      </c>
      <c r="E6579">
        <v>10</v>
      </c>
      <c r="F6579" t="s">
        <v>2284</v>
      </c>
      <c r="G6579" t="s">
        <v>1959</v>
      </c>
      <c r="H6579" t="s">
        <v>2994</v>
      </c>
      <c r="I6579" t="s">
        <v>22</v>
      </c>
      <c r="J6579" t="s">
        <v>66</v>
      </c>
      <c r="K6579" t="s">
        <v>2285</v>
      </c>
      <c r="L6579" t="s">
        <v>305</v>
      </c>
      <c r="M6579" s="8" t="s">
        <v>26</v>
      </c>
      <c r="N6579">
        <v>1.4</v>
      </c>
      <c r="O6579" s="8">
        <v>1.4</v>
      </c>
      <c r="P6579" s="8">
        <f>EXP(-1.363+3.366*LOG(O6579,10))</f>
        <v>0.4184771325901912</v>
      </c>
      <c r="Q6579" s="8">
        <f>(1148193*100)/12288027</f>
        <v>9.3439980234418432</v>
      </c>
    </row>
    <row r="6580" spans="1:17" x14ac:dyDescent="0.2">
      <c r="A6580">
        <v>2017</v>
      </c>
      <c r="B6580" t="s">
        <v>2469</v>
      </c>
      <c r="C6580" t="s">
        <v>2287</v>
      </c>
      <c r="D6580" t="s">
        <v>2470</v>
      </c>
      <c r="E6580">
        <v>5</v>
      </c>
      <c r="F6580" t="s">
        <v>2284</v>
      </c>
      <c r="G6580" t="s">
        <v>20</v>
      </c>
      <c r="H6580" t="s">
        <v>207</v>
      </c>
      <c r="I6580" t="s">
        <v>22</v>
      </c>
      <c r="J6580" t="s">
        <v>66</v>
      </c>
      <c r="K6580" t="s">
        <v>2285</v>
      </c>
      <c r="L6580" t="s">
        <v>25</v>
      </c>
      <c r="M6580" s="8" t="s">
        <v>26</v>
      </c>
      <c r="N6580">
        <v>1.399</v>
      </c>
      <c r="O6580" s="8">
        <v>1.399</v>
      </c>
      <c r="P6580" s="8">
        <f>EXP(-1.363+3.366*LOG(O6580,10))</f>
        <v>0.41804024423380703</v>
      </c>
      <c r="Q6580" s="8">
        <f>(859450.9*100)/14749408</f>
        <v>5.8270196336015658</v>
      </c>
    </row>
    <row r="6581" spans="1:17" x14ac:dyDescent="0.2">
      <c r="A6581">
        <v>2018</v>
      </c>
      <c r="B6581" t="s">
        <v>2614</v>
      </c>
      <c r="C6581" t="s">
        <v>1635</v>
      </c>
      <c r="D6581" t="s">
        <v>2607</v>
      </c>
      <c r="E6581">
        <v>4</v>
      </c>
      <c r="F6581" t="s">
        <v>2284</v>
      </c>
      <c r="G6581" t="s">
        <v>352</v>
      </c>
      <c r="H6581" t="s">
        <v>623</v>
      </c>
      <c r="I6581" t="s">
        <v>22</v>
      </c>
      <c r="J6581" t="s">
        <v>42</v>
      </c>
      <c r="K6581" t="s">
        <v>2285</v>
      </c>
      <c r="L6581" t="s">
        <v>25</v>
      </c>
      <c r="M6581" s="8">
        <v>1.387</v>
      </c>
      <c r="N6581">
        <v>1.399</v>
      </c>
      <c r="O6581" s="8">
        <v>1.399</v>
      </c>
      <c r="P6581" s="8">
        <f>EXP(-1.363+3.366*LOG(O6581,10))</f>
        <v>0.41804024423380703</v>
      </c>
      <c r="Q6581" s="8">
        <f>(3602085*100)/4019599</f>
        <v>89.613043490159086</v>
      </c>
    </row>
    <row r="6582" spans="1:17" x14ac:dyDescent="0.2">
      <c r="A6582">
        <v>2017</v>
      </c>
      <c r="B6582" t="s">
        <v>2401</v>
      </c>
      <c r="C6582" t="s">
        <v>50</v>
      </c>
      <c r="D6582" t="s">
        <v>2397</v>
      </c>
      <c r="E6582">
        <v>5</v>
      </c>
      <c r="F6582" t="s">
        <v>2284</v>
      </c>
      <c r="G6582" t="s">
        <v>20</v>
      </c>
      <c r="H6582" t="s">
        <v>2295</v>
      </c>
      <c r="I6582" t="s">
        <v>22</v>
      </c>
      <c r="J6582" t="s">
        <v>42</v>
      </c>
      <c r="K6582" t="s">
        <v>2285</v>
      </c>
      <c r="L6582" t="s">
        <v>25</v>
      </c>
      <c r="M6582" s="8">
        <v>1.1566666670000001</v>
      </c>
      <c r="N6582">
        <v>1.395</v>
      </c>
      <c r="O6582" s="8">
        <v>1.395</v>
      </c>
      <c r="P6582" s="8">
        <f>EXP(-1.363+3.366*LOG(O6582,10))</f>
        <v>0.41629413337320925</v>
      </c>
      <c r="Q6582" s="8">
        <f>(4488342*100)/4914798</f>
        <v>91.323020803703429</v>
      </c>
    </row>
    <row r="6583" spans="1:17" x14ac:dyDescent="0.2">
      <c r="A6583">
        <v>2017</v>
      </c>
      <c r="B6583" t="s">
        <v>2510</v>
      </c>
      <c r="C6583" t="s">
        <v>2287</v>
      </c>
      <c r="D6583" t="s">
        <v>2501</v>
      </c>
      <c r="E6583">
        <v>6</v>
      </c>
      <c r="F6583" t="s">
        <v>2284</v>
      </c>
      <c r="G6583" t="s">
        <v>352</v>
      </c>
      <c r="H6583" t="s">
        <v>623</v>
      </c>
      <c r="I6583" t="s">
        <v>22</v>
      </c>
      <c r="J6583" t="s">
        <v>66</v>
      </c>
      <c r="K6583" t="s">
        <v>2285</v>
      </c>
      <c r="L6583" t="s">
        <v>25</v>
      </c>
      <c r="M6583" s="8">
        <v>1.387</v>
      </c>
      <c r="N6583">
        <v>1.393</v>
      </c>
      <c r="O6583" s="8">
        <v>1.393</v>
      </c>
      <c r="P6583" s="8">
        <f>EXP(-1.363+3.366*LOG(O6583,10))</f>
        <v>0.41542194426039386</v>
      </c>
      <c r="Q6583" s="8">
        <f>(859450.9*100)/14749408</f>
        <v>5.8270196336015658</v>
      </c>
    </row>
    <row r="6584" spans="1:17" x14ac:dyDescent="0.2">
      <c r="A6584">
        <v>2018</v>
      </c>
      <c r="B6584" t="s">
        <v>2592</v>
      </c>
      <c r="C6584" t="s">
        <v>50</v>
      </c>
      <c r="D6584" t="s">
        <v>2591</v>
      </c>
      <c r="E6584">
        <v>3</v>
      </c>
      <c r="F6584" t="s">
        <v>2284</v>
      </c>
      <c r="G6584" t="s">
        <v>20</v>
      </c>
      <c r="H6584" t="s">
        <v>149</v>
      </c>
      <c r="I6584" t="s">
        <v>22</v>
      </c>
      <c r="J6584" t="s">
        <v>42</v>
      </c>
      <c r="K6584" t="s">
        <v>2285</v>
      </c>
      <c r="L6584" t="s">
        <v>25</v>
      </c>
      <c r="M6584" s="8">
        <v>1.45</v>
      </c>
      <c r="N6584">
        <v>1.393</v>
      </c>
      <c r="O6584" s="8">
        <v>1.393</v>
      </c>
      <c r="P6584" s="8">
        <f>EXP(-1.363+3.366*LOG(O6584,10))</f>
        <v>0.41542194426039386</v>
      </c>
      <c r="Q6584" s="8">
        <f>(4488342*100)/4914798</f>
        <v>91.323020803703429</v>
      </c>
    </row>
    <row r="6585" spans="1:17" x14ac:dyDescent="0.2">
      <c r="A6585">
        <v>2018</v>
      </c>
      <c r="B6585" t="s">
        <v>2865</v>
      </c>
      <c r="C6585" t="s">
        <v>50</v>
      </c>
      <c r="D6585" t="s">
        <v>2838</v>
      </c>
      <c r="E6585">
        <v>8</v>
      </c>
      <c r="F6585" t="s">
        <v>2284</v>
      </c>
      <c r="G6585" t="s">
        <v>352</v>
      </c>
      <c r="H6585" t="s">
        <v>623</v>
      </c>
      <c r="I6585" t="s">
        <v>22</v>
      </c>
      <c r="J6585" t="s">
        <v>42</v>
      </c>
      <c r="K6585" t="s">
        <v>2285</v>
      </c>
      <c r="L6585" t="s">
        <v>25</v>
      </c>
      <c r="M6585" s="8">
        <v>1.387</v>
      </c>
      <c r="N6585">
        <v>1.391</v>
      </c>
      <c r="O6585" s="8">
        <v>1.391</v>
      </c>
      <c r="P6585" s="8">
        <f>EXP(-1.363+3.366*LOG(O6585,10))</f>
        <v>0.4145503332871982</v>
      </c>
      <c r="Q6585" s="8">
        <f>(4488342*100)/4914798</f>
        <v>91.323020803703429</v>
      </c>
    </row>
    <row r="6586" spans="1:17" x14ac:dyDescent="0.2">
      <c r="A6586">
        <v>2011</v>
      </c>
      <c r="B6586" t="s">
        <v>1080</v>
      </c>
      <c r="C6586" t="s">
        <v>65</v>
      </c>
      <c r="D6586" t="s">
        <v>71</v>
      </c>
      <c r="E6586">
        <v>7</v>
      </c>
      <c r="F6586" t="s">
        <v>19</v>
      </c>
      <c r="G6586" t="s">
        <v>352</v>
      </c>
      <c r="H6586" t="s">
        <v>975</v>
      </c>
      <c r="I6586" t="s">
        <v>22</v>
      </c>
      <c r="J6586" t="s">
        <v>66</v>
      </c>
      <c r="K6586" t="s">
        <v>24</v>
      </c>
      <c r="L6586" t="s">
        <v>25</v>
      </c>
      <c r="M6586" s="8">
        <v>1.0693333330000001</v>
      </c>
      <c r="N6586">
        <v>1.3859999999999999</v>
      </c>
      <c r="O6586" s="8">
        <v>1.3859999999999999</v>
      </c>
      <c r="P6586" s="8">
        <f>EXP(-1.363+3.366*LOG(O6586,10))</f>
        <v>0.41237383815226764</v>
      </c>
      <c r="Q6586" s="8">
        <f>(1788886*100)/6788946</f>
        <v>26.349981278389901</v>
      </c>
    </row>
    <row r="6587" spans="1:17" x14ac:dyDescent="0.2">
      <c r="A6587">
        <v>2018</v>
      </c>
      <c r="B6587" t="s">
        <v>2595</v>
      </c>
      <c r="C6587" t="s">
        <v>1635</v>
      </c>
      <c r="D6587" t="s">
        <v>2591</v>
      </c>
      <c r="E6587">
        <v>3</v>
      </c>
      <c r="F6587" t="s">
        <v>2284</v>
      </c>
      <c r="G6587" t="s">
        <v>352</v>
      </c>
      <c r="H6587" t="s">
        <v>623</v>
      </c>
      <c r="I6587" t="s">
        <v>22</v>
      </c>
      <c r="J6587" t="s">
        <v>42</v>
      </c>
      <c r="K6587" t="s">
        <v>2285</v>
      </c>
      <c r="L6587" t="s">
        <v>25</v>
      </c>
      <c r="M6587" s="8">
        <v>1.387</v>
      </c>
      <c r="N6587">
        <v>1.3839999999999999</v>
      </c>
      <c r="O6587" s="8">
        <v>1.3839999999999999</v>
      </c>
      <c r="P6587" s="8">
        <f>EXP(-1.363+3.366*LOG(O6587,10))</f>
        <v>0.41150425419598963</v>
      </c>
      <c r="Q6587" s="8">
        <f>(3602085*100)/4019599</f>
        <v>89.613043490159086</v>
      </c>
    </row>
    <row r="6588" spans="1:17" x14ac:dyDescent="0.2">
      <c r="A6588">
        <v>2018</v>
      </c>
      <c r="B6588" t="s">
        <v>2658</v>
      </c>
      <c r="C6588" t="s">
        <v>50</v>
      </c>
      <c r="D6588" t="s">
        <v>2653</v>
      </c>
      <c r="E6588">
        <v>5</v>
      </c>
      <c r="F6588" t="s">
        <v>2284</v>
      </c>
      <c r="G6588" t="s">
        <v>20</v>
      </c>
      <c r="H6588" t="s">
        <v>2601</v>
      </c>
      <c r="I6588" t="s">
        <v>22</v>
      </c>
      <c r="J6588" t="s">
        <v>42</v>
      </c>
      <c r="K6588" t="s">
        <v>2285</v>
      </c>
      <c r="L6588" t="s">
        <v>25</v>
      </c>
      <c r="M6588" s="8">
        <v>1.3069999999999999</v>
      </c>
      <c r="N6588">
        <v>1.383</v>
      </c>
      <c r="O6588" s="8">
        <v>1.383</v>
      </c>
      <c r="P6588" s="8">
        <f>EXP(-1.363+3.366*LOG(O6588,10))</f>
        <v>0.41106967974959296</v>
      </c>
      <c r="Q6588" s="8">
        <f>(4488342*100)/4914798</f>
        <v>91.323020803703429</v>
      </c>
    </row>
    <row r="6589" spans="1:17" x14ac:dyDescent="0.2">
      <c r="A6589">
        <v>2018</v>
      </c>
      <c r="B6589" t="s">
        <v>2659</v>
      </c>
      <c r="C6589" t="s">
        <v>50</v>
      </c>
      <c r="D6589" t="s">
        <v>2653</v>
      </c>
      <c r="E6589">
        <v>5</v>
      </c>
      <c r="F6589" t="s">
        <v>2284</v>
      </c>
      <c r="G6589" t="s">
        <v>20</v>
      </c>
      <c r="H6589" t="s">
        <v>2601</v>
      </c>
      <c r="I6589" t="s">
        <v>22</v>
      </c>
      <c r="J6589" t="s">
        <v>42</v>
      </c>
      <c r="K6589" t="s">
        <v>2285</v>
      </c>
      <c r="L6589" t="s">
        <v>25</v>
      </c>
      <c r="M6589" s="8">
        <v>1.3069999999999999</v>
      </c>
      <c r="N6589">
        <v>1.379</v>
      </c>
      <c r="O6589" s="8">
        <v>1.379</v>
      </c>
      <c r="P6589" s="8">
        <f>EXP(-1.363+3.366*LOG(O6589,10))</f>
        <v>0.40933283349304955</v>
      </c>
      <c r="Q6589" s="8">
        <f>(4488342*100)/4914798</f>
        <v>91.323020803703429</v>
      </c>
    </row>
    <row r="6590" spans="1:17" x14ac:dyDescent="0.2">
      <c r="A6590">
        <v>2017</v>
      </c>
      <c r="B6590" t="s">
        <v>2398</v>
      </c>
      <c r="C6590" t="s">
        <v>1635</v>
      </c>
      <c r="D6590" t="s">
        <v>2397</v>
      </c>
      <c r="E6590">
        <v>5</v>
      </c>
      <c r="F6590" t="s">
        <v>2284</v>
      </c>
      <c r="G6590" t="s">
        <v>20</v>
      </c>
      <c r="H6590" t="s">
        <v>149</v>
      </c>
      <c r="I6590" t="s">
        <v>22</v>
      </c>
      <c r="J6590" t="s">
        <v>42</v>
      </c>
      <c r="K6590" t="s">
        <v>2285</v>
      </c>
      <c r="L6590" t="s">
        <v>25</v>
      </c>
      <c r="M6590" s="8">
        <v>1.45</v>
      </c>
      <c r="N6590">
        <v>1.377</v>
      </c>
      <c r="O6590" s="8">
        <v>1.377</v>
      </c>
      <c r="P6590" s="8">
        <f>EXP(-1.363+3.366*LOG(O6590,10))</f>
        <v>0.40846528207464344</v>
      </c>
      <c r="Q6590" s="8">
        <f>(3602085*100)/4019599</f>
        <v>89.613043490159086</v>
      </c>
    </row>
    <row r="6591" spans="1:17" x14ac:dyDescent="0.2">
      <c r="A6591">
        <v>2017</v>
      </c>
      <c r="B6591" t="s">
        <v>2426</v>
      </c>
      <c r="C6591" t="s">
        <v>50</v>
      </c>
      <c r="D6591" t="s">
        <v>2425</v>
      </c>
      <c r="E6591">
        <v>5</v>
      </c>
      <c r="F6591" t="s">
        <v>2284</v>
      </c>
      <c r="G6591" t="s">
        <v>20</v>
      </c>
      <c r="H6591" t="s">
        <v>2295</v>
      </c>
      <c r="I6591" t="s">
        <v>22</v>
      </c>
      <c r="J6591" t="s">
        <v>42</v>
      </c>
      <c r="K6591" t="s">
        <v>2285</v>
      </c>
      <c r="L6591" t="s">
        <v>25</v>
      </c>
      <c r="M6591" s="8">
        <v>1.1566666670000001</v>
      </c>
      <c r="N6591">
        <v>1.375</v>
      </c>
      <c r="O6591" s="8">
        <v>1.375</v>
      </c>
      <c r="P6591" s="8">
        <f>EXP(-1.363+3.366*LOG(O6591,10))</f>
        <v>0.40759831240142752</v>
      </c>
      <c r="Q6591" s="8">
        <f>(4488342*100)/4914798</f>
        <v>91.323020803703429</v>
      </c>
    </row>
    <row r="6592" spans="1:17" x14ac:dyDescent="0.2">
      <c r="A6592">
        <v>2018</v>
      </c>
      <c r="B6592" t="s">
        <v>2657</v>
      </c>
      <c r="C6592" t="s">
        <v>50</v>
      </c>
      <c r="D6592" t="s">
        <v>2653</v>
      </c>
      <c r="E6592">
        <v>5</v>
      </c>
      <c r="F6592" t="s">
        <v>2284</v>
      </c>
      <c r="G6592" t="s">
        <v>20</v>
      </c>
      <c r="H6592" t="s">
        <v>2601</v>
      </c>
      <c r="I6592" t="s">
        <v>22</v>
      </c>
      <c r="J6592" t="s">
        <v>42</v>
      </c>
      <c r="K6592" t="s">
        <v>2285</v>
      </c>
      <c r="L6592" t="s">
        <v>25</v>
      </c>
      <c r="M6592" s="8">
        <v>1.3069999999999999</v>
      </c>
      <c r="N6592">
        <v>1.371</v>
      </c>
      <c r="O6592" s="8">
        <v>1.371</v>
      </c>
      <c r="P6592" s="8">
        <f>EXP(-1.363+3.366*LOG(O6592,10))</f>
        <v>0.40586612011250206</v>
      </c>
      <c r="Q6592" s="8">
        <f>(4488342*100)/4914798</f>
        <v>91.323020803703429</v>
      </c>
    </row>
    <row r="6593" spans="1:17" x14ac:dyDescent="0.2">
      <c r="A6593">
        <v>2018</v>
      </c>
      <c r="B6593" t="s">
        <v>2640</v>
      </c>
      <c r="C6593" t="s">
        <v>50</v>
      </c>
      <c r="D6593" t="s">
        <v>2638</v>
      </c>
      <c r="E6593">
        <v>4</v>
      </c>
      <c r="F6593" t="s">
        <v>2284</v>
      </c>
      <c r="G6593" t="s">
        <v>362</v>
      </c>
      <c r="H6593" t="s">
        <v>447</v>
      </c>
      <c r="I6593" t="s">
        <v>22</v>
      </c>
      <c r="J6593" t="s">
        <v>42</v>
      </c>
      <c r="K6593" t="s">
        <v>2285</v>
      </c>
      <c r="L6593" t="s">
        <v>25</v>
      </c>
      <c r="M6593" s="8">
        <v>1.421</v>
      </c>
      <c r="N6593">
        <v>1.369</v>
      </c>
      <c r="O6593" s="8">
        <v>1.369</v>
      </c>
      <c r="P6593" s="8">
        <f>EXP(-1.363+3.366*LOG(O6593,10))</f>
        <v>0.40500089841031278</v>
      </c>
      <c r="Q6593" s="8">
        <f>(4488342*100)/4914798</f>
        <v>91.323020803703429</v>
      </c>
    </row>
    <row r="6594" spans="1:17" x14ac:dyDescent="0.2">
      <c r="A6594">
        <v>2018</v>
      </c>
      <c r="B6594" t="s">
        <v>2689</v>
      </c>
      <c r="C6594" t="s">
        <v>50</v>
      </c>
      <c r="D6594" t="s">
        <v>2690</v>
      </c>
      <c r="E6594">
        <v>5</v>
      </c>
      <c r="F6594" t="s">
        <v>2284</v>
      </c>
      <c r="G6594" t="s">
        <v>20</v>
      </c>
      <c r="H6594" t="s">
        <v>2601</v>
      </c>
      <c r="I6594" t="s">
        <v>22</v>
      </c>
      <c r="J6594" t="s">
        <v>42</v>
      </c>
      <c r="K6594" t="s">
        <v>2285</v>
      </c>
      <c r="L6594" t="s">
        <v>25</v>
      </c>
      <c r="M6594" s="8">
        <v>1.3069999999999999</v>
      </c>
      <c r="N6594">
        <v>1.3680000000000001</v>
      </c>
      <c r="O6594" s="8">
        <v>1.3680000000000001</v>
      </c>
      <c r="P6594" s="8">
        <f>EXP(-1.363+3.366*LOG(O6594,10))</f>
        <v>0.40456850637012381</v>
      </c>
      <c r="Q6594" s="8">
        <f>(4488342*100)/4914798</f>
        <v>91.323020803703429</v>
      </c>
    </row>
    <row r="6595" spans="1:17" x14ac:dyDescent="0.2">
      <c r="A6595">
        <v>2018</v>
      </c>
      <c r="B6595" t="s">
        <v>2737</v>
      </c>
      <c r="C6595" t="s">
        <v>1635</v>
      </c>
      <c r="D6595" t="s">
        <v>2736</v>
      </c>
      <c r="E6595">
        <v>5</v>
      </c>
      <c r="F6595" t="s">
        <v>2284</v>
      </c>
      <c r="G6595" t="s">
        <v>20</v>
      </c>
      <c r="H6595" t="s">
        <v>2601</v>
      </c>
      <c r="I6595" t="s">
        <v>22</v>
      </c>
      <c r="J6595" t="s">
        <v>42</v>
      </c>
      <c r="K6595" t="s">
        <v>2285</v>
      </c>
      <c r="L6595" t="s">
        <v>25</v>
      </c>
      <c r="M6595" s="8">
        <v>1.3069999999999999</v>
      </c>
      <c r="N6595">
        <v>1.3680000000000001</v>
      </c>
      <c r="O6595" s="8">
        <v>1.3680000000000001</v>
      </c>
      <c r="P6595" s="8">
        <f>EXP(-1.363+3.366*LOG(O6595,10))</f>
        <v>0.40456850637012381</v>
      </c>
      <c r="Q6595" s="8">
        <f>(3602085*100)/4019599</f>
        <v>89.613043490159086</v>
      </c>
    </row>
    <row r="6596" spans="1:17" x14ac:dyDescent="0.2">
      <c r="A6596">
        <v>2017</v>
      </c>
      <c r="B6596" t="s">
        <v>2318</v>
      </c>
      <c r="C6596" t="s">
        <v>2283</v>
      </c>
      <c r="D6596" t="s">
        <v>2311</v>
      </c>
      <c r="E6596">
        <v>3</v>
      </c>
      <c r="F6596" t="s">
        <v>2284</v>
      </c>
      <c r="G6596" t="s">
        <v>352</v>
      </c>
      <c r="H6596" t="s">
        <v>1271</v>
      </c>
      <c r="I6596" t="s">
        <v>36</v>
      </c>
      <c r="J6596" t="s">
        <v>66</v>
      </c>
      <c r="K6596" t="s">
        <v>2285</v>
      </c>
      <c r="L6596" t="s">
        <v>25</v>
      </c>
      <c r="M6596" s="8">
        <v>1.3939999999999999</v>
      </c>
      <c r="N6596">
        <v>1.367</v>
      </c>
      <c r="O6596" s="8">
        <v>1.367</v>
      </c>
      <c r="P6596" s="8">
        <f>EXP(-1.363+3.366*LOG(O6596,10))</f>
        <v>0.40413626028036237</v>
      </c>
      <c r="Q6596" s="8">
        <f>(1148193*100)/12288027</f>
        <v>9.3439980234418432</v>
      </c>
    </row>
    <row r="6597" spans="1:17" x14ac:dyDescent="0.2">
      <c r="A6597">
        <v>2017</v>
      </c>
      <c r="B6597" t="s">
        <v>2371</v>
      </c>
      <c r="C6597" t="s">
        <v>52</v>
      </c>
      <c r="D6597" t="s">
        <v>2355</v>
      </c>
      <c r="E6597">
        <v>4</v>
      </c>
      <c r="F6597" t="s">
        <v>2284</v>
      </c>
      <c r="G6597" t="s">
        <v>352</v>
      </c>
      <c r="H6597" t="s">
        <v>1142</v>
      </c>
      <c r="I6597" t="s">
        <v>22</v>
      </c>
      <c r="J6597" t="s">
        <v>42</v>
      </c>
      <c r="K6597" t="s">
        <v>2285</v>
      </c>
      <c r="L6597" t="s">
        <v>25</v>
      </c>
      <c r="M6597" s="8">
        <v>1.1423333330000001</v>
      </c>
      <c r="N6597">
        <v>1.3660000000000001</v>
      </c>
      <c r="O6597" s="8">
        <v>1.3660000000000001</v>
      </c>
      <c r="P6597" s="8">
        <f>EXP(-1.363+3.366*LOG(O6597,10))</f>
        <v>0.4037041601984771</v>
      </c>
      <c r="Q6597" s="8">
        <f>(1626350*100)/1973941</f>
        <v>82.391013713175823</v>
      </c>
    </row>
    <row r="6598" spans="1:17" x14ac:dyDescent="0.2">
      <c r="A6598">
        <v>2018</v>
      </c>
      <c r="B6598" t="s">
        <v>2769</v>
      </c>
      <c r="C6598" t="s">
        <v>1635</v>
      </c>
      <c r="D6598" t="s">
        <v>2770</v>
      </c>
      <c r="E6598">
        <v>6</v>
      </c>
      <c r="F6598" t="s">
        <v>2284</v>
      </c>
      <c r="G6598" t="s">
        <v>20</v>
      </c>
      <c r="H6598" t="s">
        <v>149</v>
      </c>
      <c r="I6598" t="s">
        <v>22</v>
      </c>
      <c r="J6598" t="s">
        <v>42</v>
      </c>
      <c r="K6598" t="s">
        <v>2285</v>
      </c>
      <c r="L6598" t="s">
        <v>25</v>
      </c>
      <c r="M6598" s="8">
        <v>1.45</v>
      </c>
      <c r="N6598">
        <v>1.365</v>
      </c>
      <c r="O6598" s="8">
        <v>1.365</v>
      </c>
      <c r="P6598" s="8">
        <f>EXP(-1.363+3.366*LOG(O6598,10))</f>
        <v>0.40327220618198095</v>
      </c>
      <c r="Q6598" s="8">
        <f>(3602085*100)/4019599</f>
        <v>89.613043490159086</v>
      </c>
    </row>
    <row r="6599" spans="1:17" x14ac:dyDescent="0.2">
      <c r="A6599">
        <v>2018</v>
      </c>
      <c r="B6599" t="s">
        <v>2947</v>
      </c>
      <c r="C6599" t="s">
        <v>2283</v>
      </c>
      <c r="D6599" t="s">
        <v>2946</v>
      </c>
      <c r="E6599">
        <v>9</v>
      </c>
      <c r="F6599" t="s">
        <v>2284</v>
      </c>
      <c r="G6599" t="s">
        <v>332</v>
      </c>
      <c r="H6599" t="s">
        <v>2948</v>
      </c>
      <c r="I6599" t="s">
        <v>22</v>
      </c>
      <c r="J6599" t="s">
        <v>66</v>
      </c>
      <c r="K6599" t="s">
        <v>2285</v>
      </c>
      <c r="L6599" t="s">
        <v>25</v>
      </c>
      <c r="M6599" s="8" t="s">
        <v>26</v>
      </c>
      <c r="N6599">
        <v>1.365</v>
      </c>
      <c r="O6599" s="8">
        <v>1.365</v>
      </c>
      <c r="P6599" s="8">
        <f>EXP(-1.363+3.366*LOG(O6599,10))</f>
        <v>0.40327220618198095</v>
      </c>
      <c r="Q6599" s="8">
        <f>(1148193*100)/12288027</f>
        <v>9.3439980234418432</v>
      </c>
    </row>
    <row r="6600" spans="1:17" x14ac:dyDescent="0.2">
      <c r="A6600">
        <v>2017</v>
      </c>
      <c r="B6600" t="s">
        <v>2319</v>
      </c>
      <c r="C6600" t="s">
        <v>2283</v>
      </c>
      <c r="D6600" t="s">
        <v>2311</v>
      </c>
      <c r="E6600">
        <v>3</v>
      </c>
      <c r="F6600" t="s">
        <v>2284</v>
      </c>
      <c r="G6600" t="s">
        <v>352</v>
      </c>
      <c r="H6600" t="s">
        <v>1271</v>
      </c>
      <c r="I6600" t="s">
        <v>36</v>
      </c>
      <c r="J6600" t="s">
        <v>66</v>
      </c>
      <c r="K6600" t="s">
        <v>2285</v>
      </c>
      <c r="L6600" t="s">
        <v>25</v>
      </c>
      <c r="M6600" s="8">
        <v>1.3939999999999999</v>
      </c>
      <c r="N6600">
        <v>1.3640000000000001</v>
      </c>
      <c r="O6600" s="8">
        <v>1.3640000000000001</v>
      </c>
      <c r="P6600" s="8">
        <f>EXP(-1.363+3.366*LOG(O6600,10))</f>
        <v>0.40284039828845214</v>
      </c>
      <c r="Q6600" s="8">
        <f>(1148193*100)/12288027</f>
        <v>9.3439980234418432</v>
      </c>
    </row>
    <row r="6601" spans="1:17" x14ac:dyDescent="0.2">
      <c r="A6601">
        <v>2018</v>
      </c>
      <c r="B6601" t="s">
        <v>2705</v>
      </c>
      <c r="C6601" t="s">
        <v>2283</v>
      </c>
      <c r="D6601" t="s">
        <v>2703</v>
      </c>
      <c r="E6601">
        <v>5</v>
      </c>
      <c r="F6601" t="s">
        <v>2284</v>
      </c>
      <c r="G6601" t="s">
        <v>362</v>
      </c>
      <c r="H6601" t="s">
        <v>447</v>
      </c>
      <c r="I6601" t="s">
        <v>22</v>
      </c>
      <c r="J6601" t="s">
        <v>66</v>
      </c>
      <c r="K6601" t="s">
        <v>2285</v>
      </c>
      <c r="L6601" t="s">
        <v>25</v>
      </c>
      <c r="M6601" s="8">
        <v>1.421</v>
      </c>
      <c r="N6601">
        <v>1.3620000000000001</v>
      </c>
      <c r="O6601" s="8">
        <v>1.3620000000000001</v>
      </c>
      <c r="P6601" s="8">
        <f>EXP(-1.363+3.366*LOG(O6601,10))</f>
        <v>0.40197722110093304</v>
      </c>
      <c r="Q6601" s="8">
        <f>(1148193*100)/12288027</f>
        <v>9.3439980234418432</v>
      </c>
    </row>
    <row r="6602" spans="1:17" x14ac:dyDescent="0.2">
      <c r="A6602">
        <v>2017</v>
      </c>
      <c r="B6602" t="s">
        <v>2362</v>
      </c>
      <c r="C6602" t="s">
        <v>1635</v>
      </c>
      <c r="D6602" t="s">
        <v>2355</v>
      </c>
      <c r="E6602">
        <v>4</v>
      </c>
      <c r="F6602" t="s">
        <v>2284</v>
      </c>
      <c r="G6602" t="s">
        <v>20</v>
      </c>
      <c r="H6602" t="s">
        <v>2295</v>
      </c>
      <c r="I6602" t="s">
        <v>22</v>
      </c>
      <c r="J6602" t="s">
        <v>42</v>
      </c>
      <c r="K6602" t="s">
        <v>2285</v>
      </c>
      <c r="L6602" t="s">
        <v>25</v>
      </c>
      <c r="M6602" s="8">
        <v>1.1566666670000001</v>
      </c>
      <c r="N6602">
        <v>1.36</v>
      </c>
      <c r="O6602" s="8">
        <v>1.36</v>
      </c>
      <c r="P6602" s="8">
        <f>EXP(-1.363+3.366*LOG(O6602,10))</f>
        <v>0.40111462909784418</v>
      </c>
      <c r="Q6602" s="8">
        <f>(3602085*100)/4019599</f>
        <v>89.613043490159086</v>
      </c>
    </row>
    <row r="6603" spans="1:17" x14ac:dyDescent="0.2">
      <c r="A6603">
        <v>2018</v>
      </c>
      <c r="B6603" t="s">
        <v>2953</v>
      </c>
      <c r="C6603" t="s">
        <v>50</v>
      </c>
      <c r="D6603" t="s">
        <v>2952</v>
      </c>
      <c r="E6603">
        <v>9</v>
      </c>
      <c r="F6603" t="s">
        <v>2284</v>
      </c>
      <c r="G6603" t="s">
        <v>352</v>
      </c>
      <c r="H6603" t="s">
        <v>2167</v>
      </c>
      <c r="I6603" t="s">
        <v>22</v>
      </c>
      <c r="J6603" t="s">
        <v>42</v>
      </c>
      <c r="K6603" t="s">
        <v>2285</v>
      </c>
      <c r="L6603" t="s">
        <v>25</v>
      </c>
      <c r="M6603" s="8">
        <v>1.2443333329999999</v>
      </c>
      <c r="N6603">
        <v>1.36</v>
      </c>
      <c r="O6603" s="8">
        <v>1.36</v>
      </c>
      <c r="P6603" s="8">
        <f>EXP(-1.363+3.366*LOG(O6603,10))</f>
        <v>0.40111462909784418</v>
      </c>
      <c r="Q6603" s="8">
        <f>(4488342*100)/4914798</f>
        <v>91.323020803703429</v>
      </c>
    </row>
    <row r="6604" spans="1:17" x14ac:dyDescent="0.2">
      <c r="A6604">
        <v>2017</v>
      </c>
      <c r="B6604" t="s">
        <v>2379</v>
      </c>
      <c r="C6604" t="s">
        <v>50</v>
      </c>
      <c r="D6604" t="s">
        <v>2375</v>
      </c>
      <c r="E6604">
        <v>4</v>
      </c>
      <c r="F6604" t="s">
        <v>2284</v>
      </c>
      <c r="G6604" t="s">
        <v>20</v>
      </c>
      <c r="H6604" t="s">
        <v>2295</v>
      </c>
      <c r="I6604" t="s">
        <v>22</v>
      </c>
      <c r="J6604" t="s">
        <v>42</v>
      </c>
      <c r="K6604" t="s">
        <v>2285</v>
      </c>
      <c r="L6604" t="s">
        <v>25</v>
      </c>
      <c r="M6604" s="8">
        <v>1.1566666670000001</v>
      </c>
      <c r="N6604">
        <v>1.359</v>
      </c>
      <c r="O6604" s="8">
        <v>1.359</v>
      </c>
      <c r="P6604" s="8">
        <f>EXP(-1.363+3.366*LOG(O6604,10))</f>
        <v>0.40068355268509798</v>
      </c>
      <c r="Q6604" s="8">
        <f>(4488342*100)/4914798</f>
        <v>91.323020803703429</v>
      </c>
    </row>
    <row r="6605" spans="1:17" x14ac:dyDescent="0.2">
      <c r="A6605">
        <v>2017</v>
      </c>
      <c r="B6605" t="s">
        <v>2301</v>
      </c>
      <c r="C6605" t="s">
        <v>1635</v>
      </c>
      <c r="D6605" t="s">
        <v>2297</v>
      </c>
      <c r="E6605">
        <v>3</v>
      </c>
      <c r="F6605" t="s">
        <v>2284</v>
      </c>
      <c r="G6605" t="s">
        <v>20</v>
      </c>
      <c r="H6605" t="s">
        <v>149</v>
      </c>
      <c r="I6605" t="s">
        <v>22</v>
      </c>
      <c r="J6605" t="s">
        <v>42</v>
      </c>
      <c r="K6605" t="s">
        <v>2285</v>
      </c>
      <c r="L6605" t="s">
        <v>25</v>
      </c>
      <c r="M6605" s="8">
        <v>1.45</v>
      </c>
      <c r="N6605">
        <v>1.357</v>
      </c>
      <c r="O6605" s="8">
        <v>1.357</v>
      </c>
      <c r="P6605" s="8">
        <f>EXP(-1.363+3.366*LOG(O6605,10))</f>
        <v>0.39982183932704901</v>
      </c>
      <c r="Q6605" s="8">
        <f>(3602085*100)/4019599</f>
        <v>89.613043490159086</v>
      </c>
    </row>
    <row r="6606" spans="1:17" x14ac:dyDescent="0.2">
      <c r="A6606">
        <v>2018</v>
      </c>
      <c r="B6606" t="s">
        <v>2863</v>
      </c>
      <c r="C6606" t="s">
        <v>2287</v>
      </c>
      <c r="D6606" t="s">
        <v>2838</v>
      </c>
      <c r="E6606">
        <v>8</v>
      </c>
      <c r="F6606" t="s">
        <v>2284</v>
      </c>
      <c r="G6606" t="s">
        <v>332</v>
      </c>
      <c r="H6606" t="s">
        <v>330</v>
      </c>
      <c r="I6606" t="s">
        <v>22</v>
      </c>
      <c r="J6606" t="s">
        <v>66</v>
      </c>
      <c r="K6606" t="s">
        <v>2285</v>
      </c>
      <c r="L6606" t="s">
        <v>25</v>
      </c>
      <c r="M6606" s="8">
        <v>1.2170000000000001</v>
      </c>
      <c r="N6606">
        <v>1.357</v>
      </c>
      <c r="O6606" s="8">
        <v>1.357</v>
      </c>
      <c r="P6606" s="8">
        <f>EXP(-1.363+3.366*LOG(O6606,10))</f>
        <v>0.39982183932704901</v>
      </c>
      <c r="Q6606" s="8">
        <f>(859450.9*100)/14749408</f>
        <v>5.8270196336015658</v>
      </c>
    </row>
    <row r="6607" spans="1:17" x14ac:dyDescent="0.2">
      <c r="A6607">
        <v>2018</v>
      </c>
      <c r="B6607" t="s">
        <v>2609</v>
      </c>
      <c r="C6607" t="s">
        <v>50</v>
      </c>
      <c r="D6607" t="s">
        <v>2607</v>
      </c>
      <c r="E6607">
        <v>4</v>
      </c>
      <c r="F6607" t="s">
        <v>2284</v>
      </c>
      <c r="G6607" t="s">
        <v>20</v>
      </c>
      <c r="H6607" t="s">
        <v>2601</v>
      </c>
      <c r="I6607" t="s">
        <v>22</v>
      </c>
      <c r="J6607" t="s">
        <v>42</v>
      </c>
      <c r="K6607" t="s">
        <v>2285</v>
      </c>
      <c r="L6607" t="s">
        <v>25</v>
      </c>
      <c r="M6607" s="8">
        <v>1.3069999999999999</v>
      </c>
      <c r="N6607">
        <v>1.3560000000000001</v>
      </c>
      <c r="O6607" s="8">
        <v>1.3560000000000001</v>
      </c>
      <c r="P6607" s="8">
        <f>EXP(-1.363+3.366*LOG(O6607,10))</f>
        <v>0.39939120249788196</v>
      </c>
      <c r="Q6607" s="8">
        <f>(4488342*100)/4914798</f>
        <v>91.323020803703429</v>
      </c>
    </row>
    <row r="6608" spans="1:17" x14ac:dyDescent="0.2">
      <c r="A6608">
        <v>2018</v>
      </c>
      <c r="B6608" t="s">
        <v>2913</v>
      </c>
      <c r="C6608" t="s">
        <v>50</v>
      </c>
      <c r="D6608" t="s">
        <v>2911</v>
      </c>
      <c r="E6608">
        <v>9</v>
      </c>
      <c r="F6608" t="s">
        <v>2284</v>
      </c>
      <c r="G6608" t="s">
        <v>332</v>
      </c>
      <c r="H6608" t="s">
        <v>330</v>
      </c>
      <c r="I6608" t="s">
        <v>22</v>
      </c>
      <c r="J6608" t="s">
        <v>42</v>
      </c>
      <c r="K6608" t="s">
        <v>2285</v>
      </c>
      <c r="L6608" t="s">
        <v>25</v>
      </c>
      <c r="M6608" s="8">
        <v>1.2170000000000001</v>
      </c>
      <c r="N6608">
        <v>1.355</v>
      </c>
      <c r="O6608" s="8">
        <v>1.355</v>
      </c>
      <c r="P6608" s="8">
        <f>EXP(-1.363+3.366*LOG(O6608,10))</f>
        <v>0.39896071231281999</v>
      </c>
      <c r="Q6608" s="8">
        <f>(4488342*100)/4914798</f>
        <v>91.323020803703429</v>
      </c>
    </row>
    <row r="6609" spans="1:17" x14ac:dyDescent="0.2">
      <c r="A6609">
        <v>2018</v>
      </c>
      <c r="B6609" t="s">
        <v>2611</v>
      </c>
      <c r="C6609" t="s">
        <v>50</v>
      </c>
      <c r="D6609" t="s">
        <v>2607</v>
      </c>
      <c r="E6609">
        <v>4</v>
      </c>
      <c r="F6609" t="s">
        <v>2284</v>
      </c>
      <c r="G6609" t="s">
        <v>362</v>
      </c>
      <c r="H6609" t="s">
        <v>447</v>
      </c>
      <c r="I6609" t="s">
        <v>22</v>
      </c>
      <c r="J6609" t="s">
        <v>42</v>
      </c>
      <c r="K6609" t="s">
        <v>2285</v>
      </c>
      <c r="L6609" t="s">
        <v>25</v>
      </c>
      <c r="M6609" s="8">
        <v>1.421</v>
      </c>
      <c r="N6609">
        <v>1.3520000000000001</v>
      </c>
      <c r="O6609" s="8">
        <v>1.3520000000000001</v>
      </c>
      <c r="P6609" s="8">
        <f>EXP(-1.363+3.366*LOG(O6609,10))</f>
        <v>0.39767012220492265</v>
      </c>
      <c r="Q6609" s="8">
        <f>(4488342*100)/4914798</f>
        <v>91.323020803703429</v>
      </c>
    </row>
    <row r="6610" spans="1:17" x14ac:dyDescent="0.2">
      <c r="A6610">
        <v>2017</v>
      </c>
      <c r="B6610" t="s">
        <v>2553</v>
      </c>
      <c r="C6610" t="s">
        <v>52</v>
      </c>
      <c r="D6610" t="s">
        <v>2554</v>
      </c>
      <c r="E6610">
        <v>6</v>
      </c>
      <c r="F6610" t="s">
        <v>2284</v>
      </c>
      <c r="G6610" t="s">
        <v>20</v>
      </c>
      <c r="H6610" t="s">
        <v>149</v>
      </c>
      <c r="I6610" t="s">
        <v>22</v>
      </c>
      <c r="J6610" t="s">
        <v>42</v>
      </c>
      <c r="K6610" t="s">
        <v>2285</v>
      </c>
      <c r="L6610" t="s">
        <v>25</v>
      </c>
      <c r="M6610" s="8">
        <v>1.45</v>
      </c>
      <c r="N6610">
        <v>1.351</v>
      </c>
      <c r="O6610" s="8">
        <v>1.351</v>
      </c>
      <c r="P6610" s="8">
        <f>EXP(-1.363+3.366*LOG(O6610,10))</f>
        <v>0.39724021917926999</v>
      </c>
      <c r="Q6610" s="8">
        <f>(1626350*100)/1973941</f>
        <v>82.391013713175823</v>
      </c>
    </row>
    <row r="6611" spans="1:17" x14ac:dyDescent="0.2">
      <c r="A6611">
        <v>2018</v>
      </c>
      <c r="B6611" t="s">
        <v>2622</v>
      </c>
      <c r="C6611" t="s">
        <v>1635</v>
      </c>
      <c r="D6611" t="s">
        <v>2618</v>
      </c>
      <c r="E6611">
        <v>4</v>
      </c>
      <c r="F6611" t="s">
        <v>2284</v>
      </c>
      <c r="G6611" t="s">
        <v>352</v>
      </c>
      <c r="H6611" t="s">
        <v>623</v>
      </c>
      <c r="I6611" t="s">
        <v>22</v>
      </c>
      <c r="J6611" t="s">
        <v>42</v>
      </c>
      <c r="K6611" t="s">
        <v>2285</v>
      </c>
      <c r="L6611" t="s">
        <v>25</v>
      </c>
      <c r="M6611" s="8">
        <v>1.387</v>
      </c>
      <c r="N6611">
        <v>1.351</v>
      </c>
      <c r="O6611" s="8">
        <v>1.351</v>
      </c>
      <c r="P6611" s="8">
        <f>EXP(-1.363+3.366*LOG(O6611,10))</f>
        <v>0.39724021917926999</v>
      </c>
      <c r="Q6611" s="8">
        <f>(3602085*100)/4019599</f>
        <v>89.613043490159086</v>
      </c>
    </row>
    <row r="6612" spans="1:17" x14ac:dyDescent="0.2">
      <c r="A6612">
        <v>2017</v>
      </c>
      <c r="B6612" t="s">
        <v>2378</v>
      </c>
      <c r="C6612" t="s">
        <v>50</v>
      </c>
      <c r="D6612" t="s">
        <v>2375</v>
      </c>
      <c r="E6612">
        <v>4</v>
      </c>
      <c r="F6612" t="s">
        <v>2284</v>
      </c>
      <c r="G6612" t="s">
        <v>20</v>
      </c>
      <c r="H6612" t="s">
        <v>2295</v>
      </c>
      <c r="I6612" t="s">
        <v>22</v>
      </c>
      <c r="J6612" t="s">
        <v>42</v>
      </c>
      <c r="K6612" t="s">
        <v>2285</v>
      </c>
      <c r="L6612" t="s">
        <v>25</v>
      </c>
      <c r="M6612" s="8">
        <v>1.1566666670000001</v>
      </c>
      <c r="N6612">
        <v>1.35</v>
      </c>
      <c r="O6612" s="8">
        <v>1.35</v>
      </c>
      <c r="P6612" s="8">
        <f>EXP(-1.363+3.366*LOG(O6612,10))</f>
        <v>0.39681046308954848</v>
      </c>
      <c r="Q6612" s="8">
        <f>(4488342*100)/4914798</f>
        <v>91.323020803703429</v>
      </c>
    </row>
    <row r="6613" spans="1:17" x14ac:dyDescent="0.2">
      <c r="A6613">
        <v>2018</v>
      </c>
      <c r="B6613" t="s">
        <v>2598</v>
      </c>
      <c r="C6613" t="s">
        <v>1635</v>
      </c>
      <c r="D6613" t="s">
        <v>2599</v>
      </c>
      <c r="E6613">
        <v>4</v>
      </c>
      <c r="F6613" t="s">
        <v>2284</v>
      </c>
      <c r="G6613" t="s">
        <v>20</v>
      </c>
      <c r="H6613" t="s">
        <v>2295</v>
      </c>
      <c r="I6613" t="s">
        <v>22</v>
      </c>
      <c r="J6613" t="s">
        <v>42</v>
      </c>
      <c r="K6613" t="s">
        <v>2285</v>
      </c>
      <c r="L6613" t="s">
        <v>25</v>
      </c>
      <c r="M6613" s="8">
        <v>1.1566666670000001</v>
      </c>
      <c r="N6613">
        <v>1.3480000000000001</v>
      </c>
      <c r="O6613" s="8">
        <v>1.3480000000000001</v>
      </c>
      <c r="P6613" s="8">
        <f>EXP(-1.363+3.366*LOG(O6613,10))</f>
        <v>0.39595139195222417</v>
      </c>
      <c r="Q6613" s="8">
        <f>(3602085*100)/4019599</f>
        <v>89.613043490159086</v>
      </c>
    </row>
    <row r="6614" spans="1:17" x14ac:dyDescent="0.2">
      <c r="A6614">
        <v>2017</v>
      </c>
      <c r="B6614" t="s">
        <v>2464</v>
      </c>
      <c r="C6614" t="s">
        <v>50</v>
      </c>
      <c r="D6614" t="s">
        <v>2462</v>
      </c>
      <c r="E6614">
        <v>5</v>
      </c>
      <c r="F6614" t="s">
        <v>2284</v>
      </c>
      <c r="G6614" t="s">
        <v>362</v>
      </c>
      <c r="H6614" t="s">
        <v>447</v>
      </c>
      <c r="I6614" t="s">
        <v>22</v>
      </c>
      <c r="J6614" t="s">
        <v>42</v>
      </c>
      <c r="K6614" t="s">
        <v>2285</v>
      </c>
      <c r="L6614" t="s">
        <v>25</v>
      </c>
      <c r="M6614" s="8">
        <v>1.421</v>
      </c>
      <c r="N6614">
        <v>1.347</v>
      </c>
      <c r="O6614" s="8">
        <v>1.347</v>
      </c>
      <c r="P6614" s="8">
        <f>EXP(-1.363+3.366*LOG(O6614,10))</f>
        <v>0.39552207702195086</v>
      </c>
      <c r="Q6614" s="8">
        <f>(4488342*100)/4914798</f>
        <v>91.323020803703429</v>
      </c>
    </row>
    <row r="6615" spans="1:17" x14ac:dyDescent="0.2">
      <c r="A6615">
        <v>2017</v>
      </c>
      <c r="B6615" t="s">
        <v>2382</v>
      </c>
      <c r="C6615" t="s">
        <v>50</v>
      </c>
      <c r="D6615" t="s">
        <v>2375</v>
      </c>
      <c r="E6615">
        <v>4</v>
      </c>
      <c r="F6615" t="s">
        <v>2284</v>
      </c>
      <c r="G6615" t="s">
        <v>20</v>
      </c>
      <c r="H6615" t="s">
        <v>2295</v>
      </c>
      <c r="I6615" t="s">
        <v>22</v>
      </c>
      <c r="J6615" t="s">
        <v>42</v>
      </c>
      <c r="K6615" t="s">
        <v>2285</v>
      </c>
      <c r="L6615" t="s">
        <v>25</v>
      </c>
      <c r="M6615" s="8">
        <v>1.1566666670000001</v>
      </c>
      <c r="N6615">
        <v>1.3440000000000001</v>
      </c>
      <c r="O6615" s="8">
        <v>1.3440000000000001</v>
      </c>
      <c r="P6615" s="8">
        <f>EXP(-1.363+3.366*LOG(O6615,10))</f>
        <v>0.3942350154900725</v>
      </c>
      <c r="Q6615" s="8">
        <f>(4488342*100)/4914798</f>
        <v>91.323020803703429</v>
      </c>
    </row>
    <row r="6616" spans="1:17" x14ac:dyDescent="0.2">
      <c r="A6616">
        <v>2018</v>
      </c>
      <c r="B6616" t="s">
        <v>2621</v>
      </c>
      <c r="C6616" t="s">
        <v>50</v>
      </c>
      <c r="D6616" t="s">
        <v>2620</v>
      </c>
      <c r="E6616">
        <v>4</v>
      </c>
      <c r="F6616" t="s">
        <v>2284</v>
      </c>
      <c r="G6616" t="s">
        <v>20</v>
      </c>
      <c r="H6616" t="s">
        <v>2601</v>
      </c>
      <c r="I6616" t="s">
        <v>22</v>
      </c>
      <c r="J6616" t="s">
        <v>42</v>
      </c>
      <c r="K6616" t="s">
        <v>2285</v>
      </c>
      <c r="L6616" t="s">
        <v>25</v>
      </c>
      <c r="M6616" s="8">
        <v>1.3069999999999999</v>
      </c>
      <c r="N6616">
        <v>1.3440000000000001</v>
      </c>
      <c r="O6616" s="8">
        <v>1.3440000000000001</v>
      </c>
      <c r="P6616" s="8">
        <f>EXP(-1.363+3.366*LOG(O6616,10))</f>
        <v>0.3942350154900725</v>
      </c>
      <c r="Q6616" s="8">
        <f>(4488342*100)/4914798</f>
        <v>91.323020803703429</v>
      </c>
    </row>
    <row r="6617" spans="1:17" x14ac:dyDescent="0.2">
      <c r="A6617">
        <v>2018</v>
      </c>
      <c r="B6617" t="s">
        <v>2967</v>
      </c>
      <c r="C6617" t="s">
        <v>2283</v>
      </c>
      <c r="D6617" t="s">
        <v>2961</v>
      </c>
      <c r="E6617">
        <v>9</v>
      </c>
      <c r="F6617" t="s">
        <v>2284</v>
      </c>
      <c r="G6617" t="s">
        <v>352</v>
      </c>
      <c r="H6617" t="s">
        <v>485</v>
      </c>
      <c r="I6617" t="s">
        <v>36</v>
      </c>
      <c r="J6617" t="s">
        <v>66</v>
      </c>
      <c r="K6617" t="s">
        <v>2285</v>
      </c>
      <c r="L6617" t="s">
        <v>25</v>
      </c>
      <c r="M6617" s="8" t="s">
        <v>26</v>
      </c>
      <c r="N6617">
        <v>1.3380000000000001</v>
      </c>
      <c r="O6617" s="8">
        <v>1.3380000000000001</v>
      </c>
      <c r="P6617" s="8">
        <f>EXP(-1.363+3.366*LOG(O6617,10))</f>
        <v>0.39166487240012421</v>
      </c>
      <c r="Q6617" s="8">
        <f>(1148193*100)/12288027</f>
        <v>9.3439980234418432</v>
      </c>
    </row>
    <row r="6618" spans="1:17" x14ac:dyDescent="0.2">
      <c r="A6618">
        <v>2018</v>
      </c>
      <c r="B6618" t="s">
        <v>2610</v>
      </c>
      <c r="C6618" t="s">
        <v>50</v>
      </c>
      <c r="D6618" t="s">
        <v>2607</v>
      </c>
      <c r="E6618">
        <v>4</v>
      </c>
      <c r="F6618" t="s">
        <v>2284</v>
      </c>
      <c r="G6618" t="s">
        <v>20</v>
      </c>
      <c r="H6618" t="s">
        <v>2601</v>
      </c>
      <c r="I6618" t="s">
        <v>22</v>
      </c>
      <c r="J6618" t="s">
        <v>42</v>
      </c>
      <c r="K6618" t="s">
        <v>2285</v>
      </c>
      <c r="L6618" t="s">
        <v>25</v>
      </c>
      <c r="M6618" s="8">
        <v>1.3069999999999999</v>
      </c>
      <c r="N6618">
        <v>1.337</v>
      </c>
      <c r="O6618" s="8">
        <v>1.337</v>
      </c>
      <c r="P6618" s="8">
        <f>EXP(-1.363+3.366*LOG(O6618,10))</f>
        <v>0.39123703183131658</v>
      </c>
      <c r="Q6618" s="8">
        <f>(4488342*100)/4914798</f>
        <v>91.323020803703429</v>
      </c>
    </row>
    <row r="6619" spans="1:17" x14ac:dyDescent="0.2">
      <c r="A6619">
        <v>2017</v>
      </c>
      <c r="B6619" t="s">
        <v>2308</v>
      </c>
      <c r="C6619" t="s">
        <v>2287</v>
      </c>
      <c r="D6619" t="s">
        <v>2309</v>
      </c>
      <c r="E6619">
        <v>3</v>
      </c>
      <c r="F6619" t="s">
        <v>2284</v>
      </c>
      <c r="G6619" t="s">
        <v>20</v>
      </c>
      <c r="H6619" t="s">
        <v>91</v>
      </c>
      <c r="I6619" t="s">
        <v>36</v>
      </c>
      <c r="J6619" t="s">
        <v>66</v>
      </c>
      <c r="K6619" t="s">
        <v>2285</v>
      </c>
      <c r="L6619" t="s">
        <v>25</v>
      </c>
      <c r="M6619" s="8">
        <v>1.5753333329999999</v>
      </c>
      <c r="N6619">
        <v>1.3340000000000001</v>
      </c>
      <c r="O6619" s="8">
        <v>1.3340000000000001</v>
      </c>
      <c r="P6619" s="8">
        <f>EXP(-1.363+3.366*LOG(O6619,10))</f>
        <v>0.38995439693475109</v>
      </c>
      <c r="Q6619" s="8">
        <f>(859450.9*100)/14749408</f>
        <v>5.8270196336015658</v>
      </c>
    </row>
    <row r="6620" spans="1:17" x14ac:dyDescent="0.2">
      <c r="A6620">
        <v>2018</v>
      </c>
      <c r="B6620" t="s">
        <v>2613</v>
      </c>
      <c r="C6620" t="s">
        <v>1635</v>
      </c>
      <c r="D6620" t="s">
        <v>2607</v>
      </c>
      <c r="E6620">
        <v>4</v>
      </c>
      <c r="F6620" t="s">
        <v>2284</v>
      </c>
      <c r="G6620" t="s">
        <v>352</v>
      </c>
      <c r="H6620" t="s">
        <v>623</v>
      </c>
      <c r="I6620" t="s">
        <v>22</v>
      </c>
      <c r="J6620" t="s">
        <v>42</v>
      </c>
      <c r="K6620" t="s">
        <v>2285</v>
      </c>
      <c r="L6620" t="s">
        <v>25</v>
      </c>
      <c r="M6620" s="8">
        <v>1.387</v>
      </c>
      <c r="N6620">
        <v>1.333</v>
      </c>
      <c r="O6620" s="8">
        <v>1.333</v>
      </c>
      <c r="P6620" s="8">
        <f>EXP(-1.363+3.366*LOG(O6620,10))</f>
        <v>0.38952714777111325</v>
      </c>
      <c r="Q6620" s="8">
        <f>(3602085*100)/4019599</f>
        <v>89.613043490159086</v>
      </c>
    </row>
    <row r="6621" spans="1:17" x14ac:dyDescent="0.2">
      <c r="A6621">
        <v>2018</v>
      </c>
      <c r="B6621" t="s">
        <v>2693</v>
      </c>
      <c r="C6621" t="s">
        <v>50</v>
      </c>
      <c r="D6621" t="s">
        <v>2694</v>
      </c>
      <c r="E6621">
        <v>5</v>
      </c>
      <c r="F6621" t="s">
        <v>2284</v>
      </c>
      <c r="G6621" t="s">
        <v>20</v>
      </c>
      <c r="H6621" t="s">
        <v>171</v>
      </c>
      <c r="I6621" t="s">
        <v>22</v>
      </c>
      <c r="J6621" t="s">
        <v>42</v>
      </c>
      <c r="K6621" t="s">
        <v>2285</v>
      </c>
      <c r="L6621" t="s">
        <v>25</v>
      </c>
      <c r="M6621" s="8">
        <v>1.258</v>
      </c>
      <c r="N6621">
        <v>1.329</v>
      </c>
      <c r="O6621" s="8">
        <v>1.329</v>
      </c>
      <c r="P6621" s="8">
        <f>EXP(-1.363+3.366*LOG(O6621,10))</f>
        <v>0.38781963171889589</v>
      </c>
      <c r="Q6621" s="8">
        <f>(4488342*100)/4914798</f>
        <v>91.323020803703429</v>
      </c>
    </row>
    <row r="6622" spans="1:17" x14ac:dyDescent="0.2">
      <c r="A6622">
        <v>2018</v>
      </c>
      <c r="B6622" t="s">
        <v>2612</v>
      </c>
      <c r="C6622" t="s">
        <v>50</v>
      </c>
      <c r="D6622" t="s">
        <v>2607</v>
      </c>
      <c r="E6622">
        <v>4</v>
      </c>
      <c r="F6622" t="s">
        <v>2284</v>
      </c>
      <c r="G6622" t="s">
        <v>362</v>
      </c>
      <c r="H6622" t="s">
        <v>447</v>
      </c>
      <c r="I6622" t="s">
        <v>22</v>
      </c>
      <c r="J6622" t="s">
        <v>42</v>
      </c>
      <c r="K6622" t="s">
        <v>2285</v>
      </c>
      <c r="L6622" t="s">
        <v>25</v>
      </c>
      <c r="M6622" s="8">
        <v>1.421</v>
      </c>
      <c r="N6622">
        <v>1.325</v>
      </c>
      <c r="O6622" s="8">
        <v>1.325</v>
      </c>
      <c r="P6622" s="8">
        <f>EXP(-1.363+3.366*LOG(O6622,10))</f>
        <v>0.38611448750761251</v>
      </c>
      <c r="Q6622" s="8">
        <f>(4488342*100)/4914798</f>
        <v>91.323020803703429</v>
      </c>
    </row>
    <row r="6623" spans="1:17" x14ac:dyDescent="0.2">
      <c r="A6623">
        <v>2017</v>
      </c>
      <c r="B6623" t="s">
        <v>2524</v>
      </c>
      <c r="C6623" t="s">
        <v>50</v>
      </c>
      <c r="D6623" t="s">
        <v>2523</v>
      </c>
      <c r="E6623">
        <v>6</v>
      </c>
      <c r="F6623" t="s">
        <v>2284</v>
      </c>
      <c r="G6623" t="s">
        <v>20</v>
      </c>
      <c r="H6623" t="s">
        <v>2295</v>
      </c>
      <c r="I6623" t="s">
        <v>22</v>
      </c>
      <c r="J6623" t="s">
        <v>42</v>
      </c>
      <c r="K6623" t="s">
        <v>2285</v>
      </c>
      <c r="L6623" t="s">
        <v>25</v>
      </c>
      <c r="M6623" s="8">
        <v>1.1566666670000001</v>
      </c>
      <c r="N6623">
        <v>1.3240000000000001</v>
      </c>
      <c r="O6623" s="8">
        <v>1.3240000000000001</v>
      </c>
      <c r="P6623" s="8">
        <f>EXP(-1.363+3.366*LOG(O6623,10))</f>
        <v>0.3856885725058028</v>
      </c>
      <c r="Q6623" s="8">
        <f>(4488342*100)/4914798</f>
        <v>91.323020803703429</v>
      </c>
    </row>
    <row r="6624" spans="1:17" x14ac:dyDescent="0.2">
      <c r="A6624">
        <v>2017</v>
      </c>
      <c r="B6624" t="s">
        <v>2369</v>
      </c>
      <c r="C6624" t="s">
        <v>1635</v>
      </c>
      <c r="D6624" t="s">
        <v>2355</v>
      </c>
      <c r="E6624">
        <v>4</v>
      </c>
      <c r="F6624" t="s">
        <v>2284</v>
      </c>
      <c r="G6624" t="s">
        <v>352</v>
      </c>
      <c r="H6624" t="s">
        <v>494</v>
      </c>
      <c r="I6624" t="s">
        <v>22</v>
      </c>
      <c r="J6624" t="s">
        <v>42</v>
      </c>
      <c r="K6624" t="s">
        <v>2285</v>
      </c>
      <c r="L6624" t="s">
        <v>25</v>
      </c>
      <c r="M6624" s="8">
        <v>1.7226666669999999</v>
      </c>
      <c r="N6624">
        <v>1.323</v>
      </c>
      <c r="O6624" s="8">
        <v>1.323</v>
      </c>
      <c r="P6624" s="8">
        <f>EXP(-1.363+3.366*LOG(O6624,10))</f>
        <v>0.38526280604497704</v>
      </c>
      <c r="Q6624" s="8">
        <f>(3602085*100)/4019599</f>
        <v>89.613043490159086</v>
      </c>
    </row>
    <row r="6625" spans="1:17" x14ac:dyDescent="0.2">
      <c r="A6625">
        <v>2018</v>
      </c>
      <c r="B6625" t="s">
        <v>2735</v>
      </c>
      <c r="C6625" t="s">
        <v>2287</v>
      </c>
      <c r="D6625" t="s">
        <v>2736</v>
      </c>
      <c r="E6625">
        <v>5</v>
      </c>
      <c r="F6625" t="s">
        <v>2284</v>
      </c>
      <c r="G6625" t="s">
        <v>20</v>
      </c>
      <c r="H6625" t="s">
        <v>2295</v>
      </c>
      <c r="I6625" t="s">
        <v>22</v>
      </c>
      <c r="J6625" t="s">
        <v>66</v>
      </c>
      <c r="K6625" t="s">
        <v>2285</v>
      </c>
      <c r="L6625" t="s">
        <v>25</v>
      </c>
      <c r="M6625" s="8">
        <v>1.1566666670000001</v>
      </c>
      <c r="N6625">
        <v>1.323</v>
      </c>
      <c r="O6625" s="8">
        <v>1.323</v>
      </c>
      <c r="P6625" s="8">
        <f>EXP(-1.363+3.366*LOG(O6625,10))</f>
        <v>0.38526280604497704</v>
      </c>
      <c r="Q6625" s="8">
        <f>(859450.9*100)/14749408</f>
        <v>5.8270196336015658</v>
      </c>
    </row>
    <row r="6626" spans="1:17" x14ac:dyDescent="0.2">
      <c r="A6626">
        <v>2017</v>
      </c>
      <c r="B6626" t="s">
        <v>2381</v>
      </c>
      <c r="C6626" t="s">
        <v>50</v>
      </c>
      <c r="D6626" t="s">
        <v>2375</v>
      </c>
      <c r="E6626">
        <v>4</v>
      </c>
      <c r="F6626" t="s">
        <v>2284</v>
      </c>
      <c r="G6626" t="s">
        <v>20</v>
      </c>
      <c r="H6626" t="s">
        <v>2295</v>
      </c>
      <c r="I6626" t="s">
        <v>22</v>
      </c>
      <c r="J6626" t="s">
        <v>42</v>
      </c>
      <c r="K6626" t="s">
        <v>2285</v>
      </c>
      <c r="L6626" t="s">
        <v>25</v>
      </c>
      <c r="M6626" s="8">
        <v>1.1566666670000001</v>
      </c>
      <c r="N6626">
        <v>1.3220000000000001</v>
      </c>
      <c r="O6626" s="8">
        <v>1.3220000000000001</v>
      </c>
      <c r="P6626" s="8">
        <f>EXP(-1.363+3.366*LOG(O6626,10))</f>
        <v>0.38483718818554774</v>
      </c>
      <c r="Q6626" s="8">
        <f>(4488342*100)/4914798</f>
        <v>91.323020803703429</v>
      </c>
    </row>
    <row r="6627" spans="1:17" x14ac:dyDescent="0.2">
      <c r="A6627">
        <v>2011</v>
      </c>
      <c r="B6627" t="s">
        <v>1033</v>
      </c>
      <c r="C6627" t="s">
        <v>65</v>
      </c>
      <c r="D6627" t="s">
        <v>58</v>
      </c>
      <c r="E6627">
        <v>6</v>
      </c>
      <c r="F6627" t="s">
        <v>19</v>
      </c>
      <c r="G6627" t="s">
        <v>352</v>
      </c>
      <c r="H6627" t="s">
        <v>975</v>
      </c>
      <c r="I6627" t="s">
        <v>22</v>
      </c>
      <c r="J6627" t="s">
        <v>66</v>
      </c>
      <c r="K6627" t="s">
        <v>24</v>
      </c>
      <c r="L6627" t="s">
        <v>25</v>
      </c>
      <c r="M6627" s="8">
        <v>1.0693333330000001</v>
      </c>
      <c r="N6627">
        <v>1.32</v>
      </c>
      <c r="O6627" s="8">
        <v>1.32</v>
      </c>
      <c r="P6627" s="8">
        <f>EXP(-1.363+3.366*LOG(O6627,10))</f>
        <v>0.38398639851287925</v>
      </c>
      <c r="Q6627" s="8">
        <f>(1788886*100)/6788946</f>
        <v>26.349981278389901</v>
      </c>
    </row>
    <row r="6628" spans="1:17" x14ac:dyDescent="0.2">
      <c r="A6628">
        <v>2017</v>
      </c>
      <c r="B6628" t="s">
        <v>2477</v>
      </c>
      <c r="C6628" t="s">
        <v>1635</v>
      </c>
      <c r="D6628" t="s">
        <v>2474</v>
      </c>
      <c r="E6628">
        <v>5</v>
      </c>
      <c r="F6628" t="s">
        <v>2284</v>
      </c>
      <c r="G6628" t="s">
        <v>362</v>
      </c>
      <c r="H6628" t="s">
        <v>447</v>
      </c>
      <c r="I6628" t="s">
        <v>22</v>
      </c>
      <c r="J6628" t="s">
        <v>42</v>
      </c>
      <c r="K6628" t="s">
        <v>2285</v>
      </c>
      <c r="L6628" t="s">
        <v>25</v>
      </c>
      <c r="M6628" s="8">
        <v>1.421</v>
      </c>
      <c r="N6628">
        <v>1.32</v>
      </c>
      <c r="O6628" s="8">
        <v>1.32</v>
      </c>
      <c r="P6628" s="8">
        <f>EXP(-1.363+3.366*LOG(O6628,10))</f>
        <v>0.38398639851287925</v>
      </c>
      <c r="Q6628" s="8">
        <f>(3602085*100)/4019599</f>
        <v>89.613043490159086</v>
      </c>
    </row>
    <row r="6629" spans="1:17" x14ac:dyDescent="0.2">
      <c r="A6629">
        <v>2017</v>
      </c>
      <c r="B6629" t="s">
        <v>2445</v>
      </c>
      <c r="C6629" t="s">
        <v>52</v>
      </c>
      <c r="D6629" t="s">
        <v>2440</v>
      </c>
      <c r="E6629">
        <v>5</v>
      </c>
      <c r="F6629" t="s">
        <v>2284</v>
      </c>
      <c r="G6629" t="s">
        <v>362</v>
      </c>
      <c r="H6629" t="s">
        <v>447</v>
      </c>
      <c r="I6629" t="s">
        <v>22</v>
      </c>
      <c r="J6629" t="s">
        <v>42</v>
      </c>
      <c r="K6629" t="s">
        <v>2285</v>
      </c>
      <c r="L6629" t="s">
        <v>25</v>
      </c>
      <c r="M6629" s="8">
        <v>1.421</v>
      </c>
      <c r="N6629">
        <v>1.3180000000000001</v>
      </c>
      <c r="O6629" s="8">
        <v>1.3180000000000001</v>
      </c>
      <c r="P6629" s="8">
        <f>EXP(-1.363+3.366*LOG(O6629,10))</f>
        <v>0.38313620397250447</v>
      </c>
      <c r="Q6629" s="8">
        <f>(1626350*100)/1973941</f>
        <v>82.391013713175823</v>
      </c>
    </row>
    <row r="6630" spans="1:17" x14ac:dyDescent="0.2">
      <c r="A6630">
        <v>2017</v>
      </c>
      <c r="B6630" t="s">
        <v>2298</v>
      </c>
      <c r="C6630" t="s">
        <v>52</v>
      </c>
      <c r="D6630" t="s">
        <v>2297</v>
      </c>
      <c r="E6630">
        <v>3</v>
      </c>
      <c r="F6630" t="s">
        <v>2284</v>
      </c>
      <c r="G6630" t="s">
        <v>20</v>
      </c>
      <c r="H6630" t="s">
        <v>45</v>
      </c>
      <c r="I6630" t="s">
        <v>36</v>
      </c>
      <c r="J6630" t="s">
        <v>42</v>
      </c>
      <c r="K6630" t="s">
        <v>2285</v>
      </c>
      <c r="L6630" t="s">
        <v>25</v>
      </c>
      <c r="M6630" s="8">
        <v>1.5053333330000001</v>
      </c>
      <c r="N6630">
        <v>1.3169999999999999</v>
      </c>
      <c r="O6630" s="8">
        <v>1.3169999999999999</v>
      </c>
      <c r="P6630" s="8">
        <f>EXP(-1.363+3.366*LOG(O6630,10))</f>
        <v>0.38271133002870728</v>
      </c>
      <c r="Q6630" s="8">
        <f>(1626350*100)/1973941</f>
        <v>82.391013713175823</v>
      </c>
    </row>
    <row r="6631" spans="1:17" x14ac:dyDescent="0.2">
      <c r="A6631">
        <v>2017</v>
      </c>
      <c r="B6631" t="s">
        <v>2325</v>
      </c>
      <c r="C6631" t="s">
        <v>2287</v>
      </c>
      <c r="D6631" t="s">
        <v>2321</v>
      </c>
      <c r="E6631">
        <v>3</v>
      </c>
      <c r="F6631" t="s">
        <v>2284</v>
      </c>
      <c r="G6631" t="s">
        <v>352</v>
      </c>
      <c r="H6631" t="s">
        <v>1271</v>
      </c>
      <c r="I6631" t="s">
        <v>36</v>
      </c>
      <c r="J6631" t="s">
        <v>66</v>
      </c>
      <c r="K6631" t="s">
        <v>2285</v>
      </c>
      <c r="L6631" t="s">
        <v>25</v>
      </c>
      <c r="M6631" s="8">
        <v>1.3939999999999999</v>
      </c>
      <c r="N6631">
        <v>1.3169999999999999</v>
      </c>
      <c r="O6631" s="8">
        <v>1.3169999999999999</v>
      </c>
      <c r="P6631" s="8">
        <f>EXP(-1.363+3.366*LOG(O6631,10))</f>
        <v>0.38271133002870728</v>
      </c>
      <c r="Q6631" s="8">
        <f>(859450.9*100)/14749408</f>
        <v>5.8270196336015658</v>
      </c>
    </row>
    <row r="6632" spans="1:17" x14ac:dyDescent="0.2">
      <c r="A6632">
        <v>2018</v>
      </c>
      <c r="B6632" t="s">
        <v>2656</v>
      </c>
      <c r="C6632" t="s">
        <v>1635</v>
      </c>
      <c r="D6632" t="s">
        <v>2653</v>
      </c>
      <c r="E6632">
        <v>5</v>
      </c>
      <c r="F6632" t="s">
        <v>2284</v>
      </c>
      <c r="G6632" t="s">
        <v>20</v>
      </c>
      <c r="H6632" t="s">
        <v>2295</v>
      </c>
      <c r="I6632" t="s">
        <v>22</v>
      </c>
      <c r="J6632" t="s">
        <v>42</v>
      </c>
      <c r="K6632" t="s">
        <v>2285</v>
      </c>
      <c r="L6632" t="s">
        <v>25</v>
      </c>
      <c r="M6632" s="8">
        <v>1.1566666670000001</v>
      </c>
      <c r="N6632">
        <v>1.3169999999999999</v>
      </c>
      <c r="O6632" s="8">
        <v>1.3169999999999999</v>
      </c>
      <c r="P6632" s="8">
        <f>EXP(-1.363+3.366*LOG(O6632,10))</f>
        <v>0.38271133002870728</v>
      </c>
      <c r="Q6632" s="8">
        <f>(3602085*100)/4019599</f>
        <v>89.613043490159086</v>
      </c>
    </row>
    <row r="6633" spans="1:17" x14ac:dyDescent="0.2">
      <c r="A6633">
        <v>2017</v>
      </c>
      <c r="B6633" t="s">
        <v>2380</v>
      </c>
      <c r="C6633" t="s">
        <v>50</v>
      </c>
      <c r="D6633" t="s">
        <v>2375</v>
      </c>
      <c r="E6633">
        <v>4</v>
      </c>
      <c r="F6633" t="s">
        <v>2284</v>
      </c>
      <c r="G6633" t="s">
        <v>20</v>
      </c>
      <c r="H6633" t="s">
        <v>2295</v>
      </c>
      <c r="I6633" t="s">
        <v>22</v>
      </c>
      <c r="J6633" t="s">
        <v>42</v>
      </c>
      <c r="K6633" t="s">
        <v>2285</v>
      </c>
      <c r="L6633" t="s">
        <v>25</v>
      </c>
      <c r="M6633" s="8">
        <v>1.1566666670000001</v>
      </c>
      <c r="N6633">
        <v>1.3160000000000001</v>
      </c>
      <c r="O6633" s="8">
        <v>1.3160000000000001</v>
      </c>
      <c r="P6633" s="8">
        <f>EXP(-1.363+3.366*LOG(O6633,10))</f>
        <v>0.38228660505026146</v>
      </c>
      <c r="Q6633" s="8">
        <f>(4488342*100)/4914798</f>
        <v>91.323020803703429</v>
      </c>
    </row>
    <row r="6634" spans="1:17" x14ac:dyDescent="0.2">
      <c r="A6634">
        <v>2017</v>
      </c>
      <c r="B6634" t="s">
        <v>2460</v>
      </c>
      <c r="C6634" t="s">
        <v>89</v>
      </c>
      <c r="D6634" t="s">
        <v>2455</v>
      </c>
      <c r="E6634">
        <v>5</v>
      </c>
      <c r="F6634" t="s">
        <v>2284</v>
      </c>
      <c r="G6634" t="s">
        <v>352</v>
      </c>
      <c r="H6634" t="s">
        <v>1387</v>
      </c>
      <c r="I6634" t="s">
        <v>22</v>
      </c>
      <c r="J6634" t="s">
        <v>66</v>
      </c>
      <c r="K6634" t="s">
        <v>2285</v>
      </c>
      <c r="L6634" t="s">
        <v>25</v>
      </c>
      <c r="M6634" s="8" t="s">
        <v>26</v>
      </c>
      <c r="N6634">
        <v>1.3140000000000001</v>
      </c>
      <c r="O6634" s="8">
        <v>1.3140000000000001</v>
      </c>
      <c r="P6634" s="8">
        <f>EXP(-1.363+3.366*LOG(O6634,10))</f>
        <v>0.38143760223312367</v>
      </c>
      <c r="Q6634" s="8">
        <f>(61997.93*100)/7298102</f>
        <v>0.84950758430068529</v>
      </c>
    </row>
    <row r="6635" spans="1:17" x14ac:dyDescent="0.2">
      <c r="A6635">
        <v>2018</v>
      </c>
      <c r="B6635" t="s">
        <v>2655</v>
      </c>
      <c r="C6635" t="s">
        <v>1635</v>
      </c>
      <c r="D6635" t="s">
        <v>2653</v>
      </c>
      <c r="E6635">
        <v>5</v>
      </c>
      <c r="F6635" t="s">
        <v>2284</v>
      </c>
      <c r="G6635" t="s">
        <v>20</v>
      </c>
      <c r="H6635" t="s">
        <v>2295</v>
      </c>
      <c r="I6635" t="s">
        <v>22</v>
      </c>
      <c r="J6635" t="s">
        <v>42</v>
      </c>
      <c r="K6635" t="s">
        <v>2285</v>
      </c>
      <c r="L6635" t="s">
        <v>25</v>
      </c>
      <c r="M6635" s="8">
        <v>1.1566666670000001</v>
      </c>
      <c r="N6635">
        <v>1.3129999999999999</v>
      </c>
      <c r="O6635" s="8">
        <v>1.3129999999999999</v>
      </c>
      <c r="P6635" s="8">
        <f>EXP(-1.363+3.366*LOG(O6635,10))</f>
        <v>0.38101332451645986</v>
      </c>
      <c r="Q6635" s="8">
        <f>(3602085*100)/4019599</f>
        <v>89.613043490159086</v>
      </c>
    </row>
    <row r="6636" spans="1:17" x14ac:dyDescent="0.2">
      <c r="A6636">
        <v>2018</v>
      </c>
      <c r="B6636" t="s">
        <v>2851</v>
      </c>
      <c r="C6636" t="s">
        <v>1635</v>
      </c>
      <c r="D6636" t="s">
        <v>2838</v>
      </c>
      <c r="E6636">
        <v>8</v>
      </c>
      <c r="F6636" t="s">
        <v>2284</v>
      </c>
      <c r="G6636" t="s">
        <v>362</v>
      </c>
      <c r="H6636" t="s">
        <v>447</v>
      </c>
      <c r="I6636" t="s">
        <v>22</v>
      </c>
      <c r="J6636" t="s">
        <v>42</v>
      </c>
      <c r="K6636" t="s">
        <v>2285</v>
      </c>
      <c r="L6636" t="s">
        <v>25</v>
      </c>
      <c r="M6636" s="8">
        <v>1.421</v>
      </c>
      <c r="N6636">
        <v>1.3120000000000001</v>
      </c>
      <c r="O6636" s="8">
        <v>1.3120000000000001</v>
      </c>
      <c r="P6636" s="8">
        <f>EXP(-1.363+3.366*LOG(O6636,10))</f>
        <v>0.38058919600920404</v>
      </c>
      <c r="Q6636" s="8">
        <f>(3602085*100)/4019599</f>
        <v>89.613043490159086</v>
      </c>
    </row>
    <row r="6637" spans="1:17" x14ac:dyDescent="0.2">
      <c r="A6637">
        <v>2018</v>
      </c>
      <c r="B6637" t="s">
        <v>2957</v>
      </c>
      <c r="C6637" t="s">
        <v>2287</v>
      </c>
      <c r="D6637" t="s">
        <v>2955</v>
      </c>
      <c r="E6637">
        <v>9</v>
      </c>
      <c r="F6637" t="s">
        <v>2284</v>
      </c>
      <c r="G6637" t="s">
        <v>352</v>
      </c>
      <c r="H6637" t="s">
        <v>2958</v>
      </c>
      <c r="I6637" t="s">
        <v>22</v>
      </c>
      <c r="J6637" t="s">
        <v>66</v>
      </c>
      <c r="K6637" t="s">
        <v>2285</v>
      </c>
      <c r="L6637" t="s">
        <v>26</v>
      </c>
      <c r="M6637" s="8" t="s">
        <v>26</v>
      </c>
      <c r="N6637">
        <v>1.3109999999999999</v>
      </c>
      <c r="O6637" s="8">
        <v>1.3109999999999999</v>
      </c>
      <c r="P6637" s="8">
        <f>EXP(-1.363+3.366*LOG(O6637,10))</f>
        <v>0.38016521677254911</v>
      </c>
      <c r="Q6637" s="8">
        <f>(859450.9*100)/14749408</f>
        <v>5.8270196336015658</v>
      </c>
    </row>
    <row r="6638" spans="1:17" x14ac:dyDescent="0.2">
      <c r="A6638">
        <v>2011</v>
      </c>
      <c r="B6638" t="s">
        <v>984</v>
      </c>
      <c r="C6638" t="s">
        <v>50</v>
      </c>
      <c r="D6638" t="s">
        <v>73</v>
      </c>
      <c r="E6638">
        <v>5</v>
      </c>
      <c r="F6638" t="s">
        <v>19</v>
      </c>
      <c r="G6638" t="s">
        <v>352</v>
      </c>
      <c r="H6638" t="s">
        <v>975</v>
      </c>
      <c r="I6638" t="s">
        <v>22</v>
      </c>
      <c r="J6638" t="s">
        <v>42</v>
      </c>
      <c r="K6638" t="s">
        <v>24</v>
      </c>
      <c r="L6638" t="s">
        <v>25</v>
      </c>
      <c r="M6638" s="8">
        <v>1.0693333330000001</v>
      </c>
      <c r="N6638">
        <v>1.306</v>
      </c>
      <c r="O6638" s="8">
        <v>1.306</v>
      </c>
      <c r="P6638" s="8">
        <f>EXP(-1.363+3.366*LOG(O6638,10))</f>
        <v>0.37804756179507359</v>
      </c>
      <c r="Q6638" s="8">
        <f>(4488342*100)/4914798</f>
        <v>91.323020803703429</v>
      </c>
    </row>
    <row r="6639" spans="1:17" x14ac:dyDescent="0.2">
      <c r="A6639">
        <v>2018</v>
      </c>
      <c r="B6639" t="s">
        <v>2723</v>
      </c>
      <c r="C6639" t="s">
        <v>50</v>
      </c>
      <c r="D6639" t="s">
        <v>2724</v>
      </c>
      <c r="E6639">
        <v>5</v>
      </c>
      <c r="F6639" t="s">
        <v>2284</v>
      </c>
      <c r="G6639" t="s">
        <v>20</v>
      </c>
      <c r="H6639" t="s">
        <v>171</v>
      </c>
      <c r="I6639" t="s">
        <v>22</v>
      </c>
      <c r="J6639" t="s">
        <v>42</v>
      </c>
      <c r="K6639" t="s">
        <v>2285</v>
      </c>
      <c r="L6639" t="s">
        <v>25</v>
      </c>
      <c r="M6639" s="8">
        <v>1.258</v>
      </c>
      <c r="N6639">
        <v>1.306</v>
      </c>
      <c r="O6639" s="8">
        <v>1.306</v>
      </c>
      <c r="P6639" s="8">
        <f>EXP(-1.363+3.366*LOG(O6639,10))</f>
        <v>0.37804756179507359</v>
      </c>
      <c r="Q6639" s="8">
        <f>(4488342*100)/4914798</f>
        <v>91.323020803703429</v>
      </c>
    </row>
    <row r="6640" spans="1:17" x14ac:dyDescent="0.2">
      <c r="A6640">
        <v>2018</v>
      </c>
      <c r="B6640" t="s">
        <v>2608</v>
      </c>
      <c r="C6640" t="s">
        <v>50</v>
      </c>
      <c r="D6640" t="s">
        <v>2607</v>
      </c>
      <c r="E6640">
        <v>4</v>
      </c>
      <c r="F6640" t="s">
        <v>2284</v>
      </c>
      <c r="G6640" t="s">
        <v>20</v>
      </c>
      <c r="H6640" t="s">
        <v>2601</v>
      </c>
      <c r="I6640" t="s">
        <v>22</v>
      </c>
      <c r="J6640" t="s">
        <v>42</v>
      </c>
      <c r="K6640" t="s">
        <v>2285</v>
      </c>
      <c r="L6640" t="s">
        <v>25</v>
      </c>
      <c r="M6640" s="8">
        <v>1.3069999999999999</v>
      </c>
      <c r="N6640">
        <v>1.3029999999999999</v>
      </c>
      <c r="O6640" s="8">
        <v>1.3029999999999999</v>
      </c>
      <c r="P6640" s="8">
        <f>EXP(-1.363+3.366*LOG(O6640,10))</f>
        <v>0.37677876398784771</v>
      </c>
      <c r="Q6640" s="8">
        <f>(4488342*100)/4914798</f>
        <v>91.323020803703429</v>
      </c>
    </row>
    <row r="6641" spans="1:17" x14ac:dyDescent="0.2">
      <c r="A6641">
        <v>2017</v>
      </c>
      <c r="B6641" t="s">
        <v>2495</v>
      </c>
      <c r="C6641" t="s">
        <v>52</v>
      </c>
      <c r="D6641" t="s">
        <v>2485</v>
      </c>
      <c r="E6641">
        <v>5</v>
      </c>
      <c r="F6641" t="s">
        <v>2284</v>
      </c>
      <c r="G6641" t="s">
        <v>352</v>
      </c>
      <c r="H6641" t="s">
        <v>747</v>
      </c>
      <c r="I6641" t="s">
        <v>22</v>
      </c>
      <c r="J6641" t="s">
        <v>42</v>
      </c>
      <c r="K6641" t="s">
        <v>2285</v>
      </c>
      <c r="L6641" t="s">
        <v>25</v>
      </c>
      <c r="M6641" s="8">
        <v>1.3726666670000001</v>
      </c>
      <c r="N6641">
        <v>1.3</v>
      </c>
      <c r="O6641" s="8">
        <v>1.3</v>
      </c>
      <c r="P6641" s="8">
        <f>EXP(-1.363+3.366*LOG(O6641,10))</f>
        <v>0.37551131460231935</v>
      </c>
      <c r="Q6641" s="8">
        <f>(1626350*100)/1973941</f>
        <v>82.391013713175823</v>
      </c>
    </row>
    <row r="6642" spans="1:17" x14ac:dyDescent="0.2">
      <c r="A6642">
        <v>2018</v>
      </c>
      <c r="B6642" t="s">
        <v>2860</v>
      </c>
      <c r="C6642" t="s">
        <v>2283</v>
      </c>
      <c r="D6642" t="s">
        <v>2838</v>
      </c>
      <c r="E6642">
        <v>8</v>
      </c>
      <c r="F6642" t="s">
        <v>2284</v>
      </c>
      <c r="G6642" t="s">
        <v>332</v>
      </c>
      <c r="H6642" t="s">
        <v>327</v>
      </c>
      <c r="I6642" t="s">
        <v>22</v>
      </c>
      <c r="J6642" t="s">
        <v>66</v>
      </c>
      <c r="K6642" t="s">
        <v>2285</v>
      </c>
      <c r="L6642" t="s">
        <v>25</v>
      </c>
      <c r="M6642" s="8">
        <v>1.239333333</v>
      </c>
      <c r="N6642">
        <v>1.3</v>
      </c>
      <c r="O6642" s="8">
        <v>1.3</v>
      </c>
      <c r="P6642" s="8">
        <f>EXP(-1.363+3.366*LOG(O6642,10))</f>
        <v>0.37551131460231935</v>
      </c>
      <c r="Q6642" s="8">
        <f>(1148193*100)/12288027</f>
        <v>9.3439980234418432</v>
      </c>
    </row>
    <row r="6643" spans="1:17" x14ac:dyDescent="0.2">
      <c r="A6643">
        <v>2017</v>
      </c>
      <c r="B6643" t="s">
        <v>2442</v>
      </c>
      <c r="C6643" t="s">
        <v>50</v>
      </c>
      <c r="D6643" t="s">
        <v>2440</v>
      </c>
      <c r="E6643">
        <v>5</v>
      </c>
      <c r="F6643" t="s">
        <v>2284</v>
      </c>
      <c r="G6643" t="s">
        <v>20</v>
      </c>
      <c r="H6643" t="s">
        <v>2295</v>
      </c>
      <c r="I6643" t="s">
        <v>22</v>
      </c>
      <c r="J6643" t="s">
        <v>42</v>
      </c>
      <c r="K6643" t="s">
        <v>2285</v>
      </c>
      <c r="L6643" t="s">
        <v>25</v>
      </c>
      <c r="M6643" s="8">
        <v>1.1566666670000001</v>
      </c>
      <c r="N6643">
        <v>1.2969999999999999</v>
      </c>
      <c r="O6643" s="8">
        <v>1.2969999999999999</v>
      </c>
      <c r="P6643" s="8">
        <f>EXP(-1.363+3.366*LOG(O6643,10))</f>
        <v>0.37424521531222943</v>
      </c>
      <c r="Q6643" s="8">
        <f>(4488342*100)/4914798</f>
        <v>91.323020803703429</v>
      </c>
    </row>
    <row r="6644" spans="1:17" x14ac:dyDescent="0.2">
      <c r="A6644">
        <v>2018</v>
      </c>
      <c r="B6644" t="s">
        <v>2963</v>
      </c>
      <c r="C6644" t="s">
        <v>2283</v>
      </c>
      <c r="D6644" t="s">
        <v>2961</v>
      </c>
      <c r="E6644">
        <v>9</v>
      </c>
      <c r="F6644" t="s">
        <v>2284</v>
      </c>
      <c r="G6644" t="s">
        <v>362</v>
      </c>
      <c r="H6644" t="s">
        <v>2964</v>
      </c>
      <c r="I6644" t="s">
        <v>22</v>
      </c>
      <c r="J6644" t="s">
        <v>66</v>
      </c>
      <c r="K6644" t="s">
        <v>2285</v>
      </c>
      <c r="L6644" t="s">
        <v>25</v>
      </c>
      <c r="M6644" s="8" t="s">
        <v>26</v>
      </c>
      <c r="N6644">
        <v>1.2969999999999999</v>
      </c>
      <c r="O6644" s="8">
        <v>1.2969999999999999</v>
      </c>
      <c r="P6644" s="8">
        <f>EXP(-1.363+3.366*LOG(O6644,10))</f>
        <v>0.37424521531222943</v>
      </c>
      <c r="Q6644" s="8">
        <f>(1148193*100)/12288027</f>
        <v>9.3439980234418432</v>
      </c>
    </row>
    <row r="6645" spans="1:17" x14ac:dyDescent="0.2">
      <c r="A6645">
        <v>2018</v>
      </c>
      <c r="B6645" t="s">
        <v>2835</v>
      </c>
      <c r="C6645" t="s">
        <v>1635</v>
      </c>
      <c r="D6645" t="s">
        <v>2829</v>
      </c>
      <c r="E6645">
        <v>8</v>
      </c>
      <c r="F6645" t="s">
        <v>2284</v>
      </c>
      <c r="G6645" t="s">
        <v>352</v>
      </c>
      <c r="H6645" t="s">
        <v>1459</v>
      </c>
      <c r="I6645" t="s">
        <v>22</v>
      </c>
      <c r="J6645" t="s">
        <v>42</v>
      </c>
      <c r="K6645" t="s">
        <v>2285</v>
      </c>
      <c r="L6645" t="s">
        <v>25</v>
      </c>
      <c r="M6645" s="8">
        <v>1.1910000000000001</v>
      </c>
      <c r="N6645">
        <v>1.29</v>
      </c>
      <c r="O6645" s="8">
        <v>1.29</v>
      </c>
      <c r="P6645" s="8">
        <f>EXP(-1.363+3.366*LOG(O6645,10))</f>
        <v>0.37129624345302809</v>
      </c>
      <c r="Q6645" s="8">
        <f>(3602085*100)/4019599</f>
        <v>89.613043490159086</v>
      </c>
    </row>
    <row r="6646" spans="1:17" x14ac:dyDescent="0.2">
      <c r="A6646">
        <v>2018</v>
      </c>
      <c r="B6646" t="s">
        <v>2983</v>
      </c>
      <c r="C6646" t="s">
        <v>2283</v>
      </c>
      <c r="D6646" t="s">
        <v>2984</v>
      </c>
      <c r="E6646">
        <v>10</v>
      </c>
      <c r="F6646" t="s">
        <v>2284</v>
      </c>
      <c r="G6646" t="s">
        <v>362</v>
      </c>
      <c r="H6646" t="s">
        <v>447</v>
      </c>
      <c r="I6646" t="s">
        <v>22</v>
      </c>
      <c r="J6646" t="s">
        <v>66</v>
      </c>
      <c r="K6646" t="s">
        <v>2285</v>
      </c>
      <c r="L6646" t="s">
        <v>25</v>
      </c>
      <c r="M6646" s="8">
        <v>1.421</v>
      </c>
      <c r="N6646">
        <v>1.288</v>
      </c>
      <c r="O6646" s="8">
        <v>1.288</v>
      </c>
      <c r="P6646" s="8">
        <f>EXP(-1.363+3.366*LOG(O6646,10))</f>
        <v>0.37045503484148717</v>
      </c>
      <c r="Q6646" s="8">
        <f>(1148193*100)/12288027</f>
        <v>9.3439980234418432</v>
      </c>
    </row>
    <row r="6647" spans="1:17" x14ac:dyDescent="0.2">
      <c r="A6647">
        <v>2017</v>
      </c>
      <c r="B6647" t="s">
        <v>2423</v>
      </c>
      <c r="C6647" t="s">
        <v>2287</v>
      </c>
      <c r="D6647" t="s">
        <v>2412</v>
      </c>
      <c r="E6647">
        <v>5</v>
      </c>
      <c r="F6647" t="s">
        <v>2284</v>
      </c>
      <c r="G6647" t="s">
        <v>352</v>
      </c>
      <c r="H6647" t="s">
        <v>1142</v>
      </c>
      <c r="I6647" t="s">
        <v>22</v>
      </c>
      <c r="J6647" t="s">
        <v>66</v>
      </c>
      <c r="K6647" t="s">
        <v>2285</v>
      </c>
      <c r="L6647" t="s">
        <v>25</v>
      </c>
      <c r="M6647" s="8">
        <v>1.1423333330000001</v>
      </c>
      <c r="N6647">
        <v>1.2809999999999999</v>
      </c>
      <c r="O6647" s="8">
        <v>1.2809999999999999</v>
      </c>
      <c r="P6647" s="8">
        <f>EXP(-1.363+3.366*LOG(O6647,10))</f>
        <v>0.36751555699009297</v>
      </c>
      <c r="Q6647" s="8">
        <f>(859450.9*100)/14749408</f>
        <v>5.8270196336015658</v>
      </c>
    </row>
    <row r="6648" spans="1:17" x14ac:dyDescent="0.2">
      <c r="A6648">
        <v>2018</v>
      </c>
      <c r="B6648" t="s">
        <v>2861</v>
      </c>
      <c r="C6648" t="s">
        <v>1635</v>
      </c>
      <c r="D6648" t="s">
        <v>2838</v>
      </c>
      <c r="E6648">
        <v>8</v>
      </c>
      <c r="F6648" t="s">
        <v>2284</v>
      </c>
      <c r="G6648" t="s">
        <v>332</v>
      </c>
      <c r="H6648" t="s">
        <v>330</v>
      </c>
      <c r="I6648" t="s">
        <v>22</v>
      </c>
      <c r="J6648" t="s">
        <v>42</v>
      </c>
      <c r="K6648" t="s">
        <v>2285</v>
      </c>
      <c r="L6648" t="s">
        <v>25</v>
      </c>
      <c r="M6648" s="8">
        <v>1.2170000000000001</v>
      </c>
      <c r="N6648">
        <v>1.28</v>
      </c>
      <c r="O6648" s="8">
        <v>1.28</v>
      </c>
      <c r="P6648" s="8">
        <f>EXP(-1.363+3.366*LOG(O6648,10))</f>
        <v>0.36709623589119439</v>
      </c>
      <c r="Q6648" s="8">
        <f>(3602085*100)/4019599</f>
        <v>89.613043490159086</v>
      </c>
    </row>
    <row r="6649" spans="1:17" x14ac:dyDescent="0.2">
      <c r="A6649">
        <v>2018</v>
      </c>
      <c r="B6649" t="s">
        <v>2648</v>
      </c>
      <c r="C6649" t="s">
        <v>1635</v>
      </c>
      <c r="D6649" t="s">
        <v>2645</v>
      </c>
      <c r="E6649">
        <v>5</v>
      </c>
      <c r="F6649" t="s">
        <v>2284</v>
      </c>
      <c r="G6649" t="s">
        <v>20</v>
      </c>
      <c r="H6649" t="s">
        <v>2295</v>
      </c>
      <c r="I6649" t="s">
        <v>22</v>
      </c>
      <c r="J6649" t="s">
        <v>42</v>
      </c>
      <c r="K6649" t="s">
        <v>2285</v>
      </c>
      <c r="L6649" t="s">
        <v>25</v>
      </c>
      <c r="M6649" s="8">
        <v>1.1566666670000001</v>
      </c>
      <c r="N6649">
        <v>1.2789999999999999</v>
      </c>
      <c r="O6649" s="8">
        <v>1.2789999999999999</v>
      </c>
      <c r="P6649" s="8">
        <f>EXP(-1.363+3.366*LOG(O6649,10))</f>
        <v>0.36667706605974665</v>
      </c>
      <c r="Q6649" s="8">
        <f>(3602085*100)/4019599</f>
        <v>89.613043490159086</v>
      </c>
    </row>
    <row r="6650" spans="1:17" x14ac:dyDescent="0.2">
      <c r="A6650">
        <v>2018</v>
      </c>
      <c r="B6650" t="s">
        <v>2666</v>
      </c>
      <c r="C6650" t="s">
        <v>50</v>
      </c>
      <c r="D6650" t="s">
        <v>2665</v>
      </c>
      <c r="E6650">
        <v>5</v>
      </c>
      <c r="F6650" t="s">
        <v>2284</v>
      </c>
      <c r="G6650" t="s">
        <v>20</v>
      </c>
      <c r="H6650" t="s">
        <v>2601</v>
      </c>
      <c r="I6650" t="s">
        <v>22</v>
      </c>
      <c r="J6650" t="s">
        <v>42</v>
      </c>
      <c r="K6650" t="s">
        <v>2285</v>
      </c>
      <c r="L6650" t="s">
        <v>25</v>
      </c>
      <c r="M6650" s="8">
        <v>1.3069999999999999</v>
      </c>
      <c r="N6650">
        <v>1.2769999999999999</v>
      </c>
      <c r="O6650" s="8">
        <v>1.2769999999999999</v>
      </c>
      <c r="P6650" s="8">
        <f>EXP(-1.363+3.366*LOG(O6650,10))</f>
        <v>0.36583918045383002</v>
      </c>
      <c r="Q6650" s="8">
        <f>(4488342*100)/4914798</f>
        <v>91.323020803703429</v>
      </c>
    </row>
    <row r="6651" spans="1:17" x14ac:dyDescent="0.2">
      <c r="A6651">
        <v>2017</v>
      </c>
      <c r="B6651" t="s">
        <v>2427</v>
      </c>
      <c r="C6651" t="s">
        <v>1635</v>
      </c>
      <c r="D6651" t="s">
        <v>2425</v>
      </c>
      <c r="E6651">
        <v>5</v>
      </c>
      <c r="F6651" t="s">
        <v>2284</v>
      </c>
      <c r="G6651" t="s">
        <v>20</v>
      </c>
      <c r="H6651" t="s">
        <v>2295</v>
      </c>
      <c r="I6651" t="s">
        <v>22</v>
      </c>
      <c r="J6651" t="s">
        <v>42</v>
      </c>
      <c r="K6651" t="s">
        <v>2285</v>
      </c>
      <c r="L6651" t="s">
        <v>25</v>
      </c>
      <c r="M6651" s="8">
        <v>1.1566666670000001</v>
      </c>
      <c r="N6651">
        <v>1.276</v>
      </c>
      <c r="O6651" s="8">
        <v>1.276</v>
      </c>
      <c r="P6651" s="8">
        <f>EXP(-1.363+3.366*LOG(O6651,10))</f>
        <v>0.3654204648068658</v>
      </c>
      <c r="Q6651" s="8">
        <f>(3602085*100)/4019599</f>
        <v>89.613043490159086</v>
      </c>
    </row>
    <row r="6652" spans="1:17" x14ac:dyDescent="0.2">
      <c r="A6652">
        <v>2018</v>
      </c>
      <c r="B6652" t="s">
        <v>2856</v>
      </c>
      <c r="C6652" t="s">
        <v>2283</v>
      </c>
      <c r="D6652" t="s">
        <v>2838</v>
      </c>
      <c r="E6652">
        <v>8</v>
      </c>
      <c r="F6652" t="s">
        <v>2284</v>
      </c>
      <c r="G6652" t="s">
        <v>332</v>
      </c>
      <c r="H6652" t="s">
        <v>327</v>
      </c>
      <c r="I6652" t="s">
        <v>22</v>
      </c>
      <c r="J6652" t="s">
        <v>66</v>
      </c>
      <c r="K6652" t="s">
        <v>2285</v>
      </c>
      <c r="L6652" t="s">
        <v>25</v>
      </c>
      <c r="M6652" s="8">
        <v>1.239333333</v>
      </c>
      <c r="N6652">
        <v>1.276</v>
      </c>
      <c r="O6652" s="8">
        <v>1.276</v>
      </c>
      <c r="P6652" s="8">
        <f>EXP(-1.363+3.366*LOG(O6652,10))</f>
        <v>0.3654204648068658</v>
      </c>
      <c r="Q6652" s="8">
        <f>(1148193*100)/12288027</f>
        <v>9.3439980234418432</v>
      </c>
    </row>
    <row r="6653" spans="1:17" x14ac:dyDescent="0.2">
      <c r="A6653">
        <v>2017</v>
      </c>
      <c r="B6653" t="s">
        <v>2326</v>
      </c>
      <c r="C6653" t="s">
        <v>2287</v>
      </c>
      <c r="D6653" t="s">
        <v>2321</v>
      </c>
      <c r="E6653">
        <v>3</v>
      </c>
      <c r="F6653" t="s">
        <v>2284</v>
      </c>
      <c r="G6653" t="s">
        <v>352</v>
      </c>
      <c r="H6653" t="s">
        <v>1271</v>
      </c>
      <c r="I6653" t="s">
        <v>36</v>
      </c>
      <c r="J6653" t="s">
        <v>66</v>
      </c>
      <c r="K6653" t="s">
        <v>2285</v>
      </c>
      <c r="L6653" t="s">
        <v>25</v>
      </c>
      <c r="M6653" s="8">
        <v>1.3939999999999999</v>
      </c>
      <c r="N6653">
        <v>1.2729999999999999</v>
      </c>
      <c r="O6653" s="8">
        <v>1.2729999999999999</v>
      </c>
      <c r="P6653" s="8">
        <f>EXP(-1.363+3.366*LOG(O6653,10))</f>
        <v>0.36416522725658995</v>
      </c>
      <c r="Q6653" s="8">
        <f>(859450.9*100)/14749408</f>
        <v>5.8270196336015658</v>
      </c>
    </row>
    <row r="6654" spans="1:17" x14ac:dyDescent="0.2">
      <c r="A6654">
        <v>2017</v>
      </c>
      <c r="B6654" t="s">
        <v>2402</v>
      </c>
      <c r="C6654" t="s">
        <v>50</v>
      </c>
      <c r="D6654" t="s">
        <v>2397</v>
      </c>
      <c r="E6654">
        <v>5</v>
      </c>
      <c r="F6654" t="s">
        <v>2284</v>
      </c>
      <c r="G6654" t="s">
        <v>20</v>
      </c>
      <c r="H6654" t="s">
        <v>2295</v>
      </c>
      <c r="I6654" t="s">
        <v>22</v>
      </c>
      <c r="J6654" t="s">
        <v>42</v>
      </c>
      <c r="K6654" t="s">
        <v>2285</v>
      </c>
      <c r="L6654" t="s">
        <v>25</v>
      </c>
      <c r="M6654" s="8">
        <v>1.1566666670000001</v>
      </c>
      <c r="N6654">
        <v>1.2729999999999999</v>
      </c>
      <c r="O6654" s="8">
        <v>1.2729999999999999</v>
      </c>
      <c r="P6654" s="8">
        <f>EXP(-1.363+3.366*LOG(O6654,10))</f>
        <v>0.36416522725658995</v>
      </c>
      <c r="Q6654" s="8">
        <f>(4488342*100)/4914798</f>
        <v>91.323020803703429</v>
      </c>
    </row>
    <row r="6655" spans="1:17" x14ac:dyDescent="0.2">
      <c r="A6655">
        <v>2018</v>
      </c>
      <c r="B6655" t="s">
        <v>2742</v>
      </c>
      <c r="C6655" t="s">
        <v>1635</v>
      </c>
      <c r="D6655" t="s">
        <v>2736</v>
      </c>
      <c r="E6655">
        <v>5</v>
      </c>
      <c r="F6655" t="s">
        <v>2284</v>
      </c>
      <c r="G6655" t="s">
        <v>332</v>
      </c>
      <c r="H6655" t="s">
        <v>327</v>
      </c>
      <c r="I6655" t="s">
        <v>22</v>
      </c>
      <c r="J6655" t="s">
        <v>42</v>
      </c>
      <c r="K6655" t="s">
        <v>2285</v>
      </c>
      <c r="L6655" t="s">
        <v>25</v>
      </c>
      <c r="M6655" s="8">
        <v>1.239333333</v>
      </c>
      <c r="N6655">
        <v>1.2729999999999999</v>
      </c>
      <c r="O6655" s="8">
        <v>1.2729999999999999</v>
      </c>
      <c r="P6655" s="8">
        <f>EXP(-1.363+3.366*LOG(O6655,10))</f>
        <v>0.36416522725658995</v>
      </c>
      <c r="Q6655" s="8">
        <f>(3602085*100)/4019599</f>
        <v>89.613043490159086</v>
      </c>
    </row>
    <row r="6656" spans="1:17" x14ac:dyDescent="0.2">
      <c r="A6656">
        <v>2011</v>
      </c>
      <c r="B6656" t="s">
        <v>1337</v>
      </c>
      <c r="C6656" t="s">
        <v>65</v>
      </c>
      <c r="D6656" t="s">
        <v>100</v>
      </c>
      <c r="E6656">
        <v>7</v>
      </c>
      <c r="F6656" t="s">
        <v>19</v>
      </c>
      <c r="G6656" t="s">
        <v>352</v>
      </c>
      <c r="H6656" t="s">
        <v>353</v>
      </c>
      <c r="I6656" t="s">
        <v>22</v>
      </c>
      <c r="J6656" t="s">
        <v>66</v>
      </c>
      <c r="K6656" t="s">
        <v>24</v>
      </c>
      <c r="L6656" t="s">
        <v>25</v>
      </c>
      <c r="M6656" s="8">
        <v>1.1623333330000001</v>
      </c>
      <c r="N6656">
        <v>1.272</v>
      </c>
      <c r="O6656" s="8">
        <v>1.272</v>
      </c>
      <c r="P6656" s="8">
        <f>EXP(-1.363+3.366*LOG(O6656,10))</f>
        <v>0.36374711808344318</v>
      </c>
      <c r="Q6656" s="8">
        <f>(1788886*100)/6788946</f>
        <v>26.349981278389901</v>
      </c>
    </row>
    <row r="6657" spans="1:17" x14ac:dyDescent="0.2">
      <c r="A6657">
        <v>2014</v>
      </c>
      <c r="B6657" t="s">
        <v>1657</v>
      </c>
      <c r="C6657" t="s">
        <v>1635</v>
      </c>
      <c r="D6657" t="s">
        <v>1579</v>
      </c>
      <c r="E6657">
        <v>6</v>
      </c>
      <c r="F6657" t="s">
        <v>19</v>
      </c>
      <c r="G6657" t="s">
        <v>332</v>
      </c>
      <c r="H6657" t="s">
        <v>1641</v>
      </c>
      <c r="I6657" t="s">
        <v>22</v>
      </c>
      <c r="J6657" t="s">
        <v>42</v>
      </c>
      <c r="K6657" t="s">
        <v>1543</v>
      </c>
      <c r="L6657" t="s">
        <v>26</v>
      </c>
      <c r="M6657" s="8" t="s">
        <v>26</v>
      </c>
      <c r="N6657">
        <v>1.272</v>
      </c>
      <c r="O6657" s="8">
        <v>1.272</v>
      </c>
      <c r="P6657" s="8">
        <f>EXP(-1.363+3.366*LOG(O6657,10))</f>
        <v>0.36374711808344318</v>
      </c>
      <c r="Q6657" s="8">
        <f>(3602085*100)/4019599</f>
        <v>89.613043490159086</v>
      </c>
    </row>
    <row r="6658" spans="1:17" x14ac:dyDescent="0.2">
      <c r="A6658">
        <v>2017</v>
      </c>
      <c r="B6658" t="s">
        <v>2446</v>
      </c>
      <c r="C6658" t="s">
        <v>1635</v>
      </c>
      <c r="D6658" t="s">
        <v>2440</v>
      </c>
      <c r="E6658">
        <v>5</v>
      </c>
      <c r="F6658" t="s">
        <v>2284</v>
      </c>
      <c r="G6658" t="s">
        <v>352</v>
      </c>
      <c r="H6658" t="s">
        <v>623</v>
      </c>
      <c r="I6658" t="s">
        <v>22</v>
      </c>
      <c r="J6658" t="s">
        <v>42</v>
      </c>
      <c r="K6658" t="s">
        <v>2285</v>
      </c>
      <c r="L6658" t="s">
        <v>25</v>
      </c>
      <c r="M6658" s="8">
        <v>1.387</v>
      </c>
      <c r="N6658">
        <v>1.2709999999999999</v>
      </c>
      <c r="O6658" s="8">
        <v>1.2709999999999999</v>
      </c>
      <c r="P6658" s="8">
        <f>EXP(-1.363+3.366*LOG(O6658,10))</f>
        <v>0.36332916068899862</v>
      </c>
      <c r="Q6658" s="8">
        <f>(3602085*100)/4019599</f>
        <v>89.613043490159086</v>
      </c>
    </row>
    <row r="6659" spans="1:17" x14ac:dyDescent="0.2">
      <c r="A6659">
        <v>2017</v>
      </c>
      <c r="B6659" t="s">
        <v>2540</v>
      </c>
      <c r="C6659" t="s">
        <v>50</v>
      </c>
      <c r="D6659" t="s">
        <v>2533</v>
      </c>
      <c r="E6659">
        <v>6</v>
      </c>
      <c r="F6659" t="s">
        <v>2284</v>
      </c>
      <c r="G6659" t="s">
        <v>352</v>
      </c>
      <c r="H6659" t="s">
        <v>353</v>
      </c>
      <c r="I6659" t="s">
        <v>22</v>
      </c>
      <c r="J6659" t="s">
        <v>42</v>
      </c>
      <c r="K6659" t="s">
        <v>2285</v>
      </c>
      <c r="L6659" t="s">
        <v>25</v>
      </c>
      <c r="M6659" s="8">
        <v>1.1623333330000001</v>
      </c>
      <c r="N6659">
        <v>1.2689999999999999</v>
      </c>
      <c r="O6659" s="8">
        <v>1.2689999999999999</v>
      </c>
      <c r="P6659" s="8">
        <f>EXP(-1.363+3.366*LOG(O6659,10))</f>
        <v>0.36249370149331106</v>
      </c>
      <c r="Q6659" s="8">
        <f>(4488342*100)/4914798</f>
        <v>91.323020803703429</v>
      </c>
    </row>
    <row r="6660" spans="1:17" x14ac:dyDescent="0.2">
      <c r="A6660">
        <v>2017</v>
      </c>
      <c r="B6660" t="s">
        <v>2403</v>
      </c>
      <c r="C6660" t="s">
        <v>1635</v>
      </c>
      <c r="D6660" t="s">
        <v>2397</v>
      </c>
      <c r="E6660">
        <v>5</v>
      </c>
      <c r="F6660" t="s">
        <v>2284</v>
      </c>
      <c r="G6660" t="s">
        <v>20</v>
      </c>
      <c r="H6660" t="s">
        <v>207</v>
      </c>
      <c r="I6660" t="s">
        <v>22</v>
      </c>
      <c r="J6660" t="s">
        <v>42</v>
      </c>
      <c r="K6660" t="s">
        <v>2285</v>
      </c>
      <c r="L6660" t="s">
        <v>25</v>
      </c>
      <c r="M6660" s="8" t="s">
        <v>26</v>
      </c>
      <c r="N6660">
        <v>1.2669999999999999</v>
      </c>
      <c r="O6660" s="8">
        <v>1.2669999999999999</v>
      </c>
      <c r="P6660" s="8">
        <f>EXP(-1.363+3.366*LOG(O6660,10))</f>
        <v>0.36165885018449601</v>
      </c>
      <c r="Q6660" s="8">
        <f>(3602085*100)/4019599</f>
        <v>89.613043490159086</v>
      </c>
    </row>
    <row r="6661" spans="1:17" x14ac:dyDescent="0.2">
      <c r="A6661">
        <v>2018</v>
      </c>
      <c r="B6661" t="s">
        <v>2899</v>
      </c>
      <c r="C6661" t="s">
        <v>2283</v>
      </c>
      <c r="D6661" t="s">
        <v>2900</v>
      </c>
      <c r="E6661">
        <v>9</v>
      </c>
      <c r="F6661" t="s">
        <v>2284</v>
      </c>
      <c r="G6661" t="s">
        <v>332</v>
      </c>
      <c r="H6661" t="s">
        <v>327</v>
      </c>
      <c r="I6661" t="s">
        <v>22</v>
      </c>
      <c r="J6661" t="s">
        <v>66</v>
      </c>
      <c r="K6661" t="s">
        <v>2285</v>
      </c>
      <c r="L6661" t="s">
        <v>25</v>
      </c>
      <c r="M6661" s="8">
        <v>1.239333333</v>
      </c>
      <c r="N6661">
        <v>1.2669999999999999</v>
      </c>
      <c r="O6661" s="8">
        <v>1.2669999999999999</v>
      </c>
      <c r="P6661" s="8">
        <f>EXP(-1.363+3.366*LOG(O6661,10))</f>
        <v>0.36165885018449601</v>
      </c>
      <c r="Q6661" s="8">
        <f>(1148193*100)/12288027</f>
        <v>9.3439980234418432</v>
      </c>
    </row>
    <row r="6662" spans="1:17" x14ac:dyDescent="0.2">
      <c r="A6662">
        <v>2017</v>
      </c>
      <c r="B6662" t="s">
        <v>2493</v>
      </c>
      <c r="C6662" t="s">
        <v>50</v>
      </c>
      <c r="D6662" t="s">
        <v>2485</v>
      </c>
      <c r="E6662">
        <v>5</v>
      </c>
      <c r="F6662" t="s">
        <v>2284</v>
      </c>
      <c r="G6662" t="s">
        <v>352</v>
      </c>
      <c r="H6662" t="s">
        <v>623</v>
      </c>
      <c r="I6662" t="s">
        <v>22</v>
      </c>
      <c r="J6662" t="s">
        <v>42</v>
      </c>
      <c r="K6662" t="s">
        <v>2285</v>
      </c>
      <c r="L6662" t="s">
        <v>25</v>
      </c>
      <c r="M6662" s="8">
        <v>1.387</v>
      </c>
      <c r="N6662">
        <v>1.266</v>
      </c>
      <c r="O6662" s="8">
        <v>1.266</v>
      </c>
      <c r="P6662" s="8">
        <f>EXP(-1.363+3.366*LOG(O6662,10))</f>
        <v>0.36124165264893493</v>
      </c>
      <c r="Q6662" s="8">
        <f>(4488342*100)/4914798</f>
        <v>91.323020803703429</v>
      </c>
    </row>
    <row r="6663" spans="1:17" x14ac:dyDescent="0.2">
      <c r="A6663">
        <v>2018</v>
      </c>
      <c r="B6663" t="s">
        <v>2741</v>
      </c>
      <c r="C6663" t="s">
        <v>1635</v>
      </c>
      <c r="D6663" t="s">
        <v>2736</v>
      </c>
      <c r="E6663">
        <v>5</v>
      </c>
      <c r="F6663" t="s">
        <v>2284</v>
      </c>
      <c r="G6663" t="s">
        <v>332</v>
      </c>
      <c r="H6663" t="s">
        <v>327</v>
      </c>
      <c r="I6663" t="s">
        <v>22</v>
      </c>
      <c r="J6663" t="s">
        <v>42</v>
      </c>
      <c r="K6663" t="s">
        <v>2285</v>
      </c>
      <c r="L6663" t="s">
        <v>25</v>
      </c>
      <c r="M6663" s="8">
        <v>1.239333333</v>
      </c>
      <c r="N6663">
        <v>1.2609999999999999</v>
      </c>
      <c r="O6663" s="8">
        <v>1.2609999999999999</v>
      </c>
      <c r="P6663" s="8">
        <f>EXP(-1.363+3.366*LOG(O6663,10))</f>
        <v>0.35915794874774842</v>
      </c>
      <c r="Q6663" s="8">
        <f>(3602085*100)/4019599</f>
        <v>89.613043490159086</v>
      </c>
    </row>
    <row r="6664" spans="1:17" x14ac:dyDescent="0.2">
      <c r="A6664">
        <v>2014</v>
      </c>
      <c r="B6664" t="s">
        <v>1650</v>
      </c>
      <c r="C6664" t="s">
        <v>1635</v>
      </c>
      <c r="D6664" t="s">
        <v>1568</v>
      </c>
      <c r="E6664">
        <v>6</v>
      </c>
      <c r="F6664" t="s">
        <v>19</v>
      </c>
      <c r="G6664" t="s">
        <v>332</v>
      </c>
      <c r="H6664" t="s">
        <v>1641</v>
      </c>
      <c r="I6664" t="s">
        <v>22</v>
      </c>
      <c r="J6664" t="s">
        <v>42</v>
      </c>
      <c r="K6664" t="s">
        <v>1543</v>
      </c>
      <c r="L6664" t="s">
        <v>26</v>
      </c>
      <c r="M6664" s="8" t="s">
        <v>26</v>
      </c>
      <c r="N6664">
        <v>1.26</v>
      </c>
      <c r="O6664" s="8">
        <v>1.26</v>
      </c>
      <c r="P6664" s="8">
        <f>EXP(-1.363+3.366*LOG(O6664,10))</f>
        <v>0.35874166517700351</v>
      </c>
      <c r="Q6664" s="8">
        <f>(3602085*100)/4019599</f>
        <v>89.613043490159086</v>
      </c>
    </row>
    <row r="6665" spans="1:17" x14ac:dyDescent="0.2">
      <c r="A6665">
        <v>2018</v>
      </c>
      <c r="B6665" t="s">
        <v>2895</v>
      </c>
      <c r="C6665" t="s">
        <v>2287</v>
      </c>
      <c r="D6665" t="s">
        <v>2886</v>
      </c>
      <c r="E6665">
        <v>9</v>
      </c>
      <c r="F6665" t="s">
        <v>2284</v>
      </c>
      <c r="G6665" t="s">
        <v>332</v>
      </c>
      <c r="H6665" t="s">
        <v>330</v>
      </c>
      <c r="I6665" t="s">
        <v>22</v>
      </c>
      <c r="J6665" t="s">
        <v>66</v>
      </c>
      <c r="K6665" t="s">
        <v>2285</v>
      </c>
      <c r="L6665" t="s">
        <v>25</v>
      </c>
      <c r="M6665" s="8">
        <v>1.2170000000000001</v>
      </c>
      <c r="N6665">
        <v>1.26</v>
      </c>
      <c r="O6665" s="8">
        <v>1.26</v>
      </c>
      <c r="P6665" s="8">
        <f>EXP(-1.363+3.366*LOG(O6665,10))</f>
        <v>0.35874166517700351</v>
      </c>
      <c r="Q6665" s="8">
        <f>(859450.9*100)/14749408</f>
        <v>5.8270196336015658</v>
      </c>
    </row>
    <row r="6666" spans="1:17" x14ac:dyDescent="0.2">
      <c r="A6666">
        <v>2017</v>
      </c>
      <c r="B6666" t="s">
        <v>2377</v>
      </c>
      <c r="C6666" t="s">
        <v>50</v>
      </c>
      <c r="D6666" t="s">
        <v>2375</v>
      </c>
      <c r="E6666">
        <v>4</v>
      </c>
      <c r="F6666" t="s">
        <v>2284</v>
      </c>
      <c r="G6666" t="s">
        <v>20</v>
      </c>
      <c r="H6666" t="s">
        <v>2295</v>
      </c>
      <c r="I6666" t="s">
        <v>36</v>
      </c>
      <c r="J6666" t="s">
        <v>42</v>
      </c>
      <c r="K6666" t="s">
        <v>2285</v>
      </c>
      <c r="L6666" t="s">
        <v>25</v>
      </c>
      <c r="M6666" s="8">
        <v>1.0436666670000001</v>
      </c>
      <c r="N6666">
        <v>1.2589999999999999</v>
      </c>
      <c r="O6666" s="8">
        <v>1.2589999999999999</v>
      </c>
      <c r="P6666" s="8">
        <f>EXP(-1.363+3.366*LOG(O6666,10))</f>
        <v>0.35832553416118129</v>
      </c>
      <c r="Q6666" s="8">
        <f>(4488342*100)/4914798</f>
        <v>91.323020803703429</v>
      </c>
    </row>
    <row r="6667" spans="1:17" x14ac:dyDescent="0.2">
      <c r="A6667">
        <v>2018</v>
      </c>
      <c r="B6667" t="s">
        <v>2664</v>
      </c>
      <c r="C6667" t="s">
        <v>1635</v>
      </c>
      <c r="D6667" t="s">
        <v>2665</v>
      </c>
      <c r="E6667">
        <v>5</v>
      </c>
      <c r="F6667" t="s">
        <v>2284</v>
      </c>
      <c r="G6667" t="s">
        <v>20</v>
      </c>
      <c r="H6667" t="s">
        <v>2295</v>
      </c>
      <c r="I6667" t="s">
        <v>22</v>
      </c>
      <c r="J6667" t="s">
        <v>42</v>
      </c>
      <c r="K6667" t="s">
        <v>2285</v>
      </c>
      <c r="L6667" t="s">
        <v>25</v>
      </c>
      <c r="M6667" s="8">
        <v>1.1566666670000001</v>
      </c>
      <c r="N6667">
        <v>1.2589999999999999</v>
      </c>
      <c r="O6667" s="8">
        <v>1.2589999999999999</v>
      </c>
      <c r="P6667" s="8">
        <f>EXP(-1.363+3.366*LOG(O6667,10))</f>
        <v>0.35832553416118129</v>
      </c>
      <c r="Q6667" s="8">
        <f>(3602085*100)/4019599</f>
        <v>89.613043490159086</v>
      </c>
    </row>
    <row r="6668" spans="1:17" x14ac:dyDescent="0.2">
      <c r="A6668">
        <v>2018</v>
      </c>
      <c r="B6668" t="s">
        <v>2738</v>
      </c>
      <c r="C6668" t="s">
        <v>1635</v>
      </c>
      <c r="D6668" t="s">
        <v>2736</v>
      </c>
      <c r="E6668">
        <v>5</v>
      </c>
      <c r="F6668" t="s">
        <v>2284</v>
      </c>
      <c r="G6668" t="s">
        <v>20</v>
      </c>
      <c r="H6668" t="s">
        <v>2601</v>
      </c>
      <c r="I6668" t="s">
        <v>22</v>
      </c>
      <c r="J6668" t="s">
        <v>42</v>
      </c>
      <c r="K6668" t="s">
        <v>2285</v>
      </c>
      <c r="L6668" t="s">
        <v>25</v>
      </c>
      <c r="M6668" s="8">
        <v>1.3069999999999999</v>
      </c>
      <c r="N6668">
        <v>1.2589999999999999</v>
      </c>
      <c r="O6668" s="8">
        <v>1.2589999999999999</v>
      </c>
      <c r="P6668" s="8">
        <f>EXP(-1.363+3.366*LOG(O6668,10))</f>
        <v>0.35832553416118129</v>
      </c>
      <c r="Q6668" s="8">
        <f>(3602085*100)/4019599</f>
        <v>89.613043490159086</v>
      </c>
    </row>
    <row r="6669" spans="1:17" x14ac:dyDescent="0.2">
      <c r="A6669">
        <v>2018</v>
      </c>
      <c r="B6669" t="s">
        <v>2945</v>
      </c>
      <c r="C6669" t="s">
        <v>2283</v>
      </c>
      <c r="D6669" t="s">
        <v>2946</v>
      </c>
      <c r="E6669">
        <v>9</v>
      </c>
      <c r="F6669" t="s">
        <v>2284</v>
      </c>
      <c r="G6669" t="s">
        <v>332</v>
      </c>
      <c r="H6669" t="s">
        <v>327</v>
      </c>
      <c r="I6669" t="s">
        <v>22</v>
      </c>
      <c r="J6669" t="s">
        <v>66</v>
      </c>
      <c r="K6669" t="s">
        <v>2285</v>
      </c>
      <c r="L6669" t="s">
        <v>25</v>
      </c>
      <c r="M6669" s="8">
        <v>1.239333333</v>
      </c>
      <c r="N6669">
        <v>1.2569999999999999</v>
      </c>
      <c r="O6669" s="8">
        <v>1.2569999999999999</v>
      </c>
      <c r="P6669" s="8">
        <f>EXP(-1.363+3.366*LOG(O6669,10))</f>
        <v>0.35749373005517826</v>
      </c>
      <c r="Q6669" s="8">
        <f>(1148193*100)/12288027</f>
        <v>9.3439980234418432</v>
      </c>
    </row>
    <row r="6670" spans="1:17" x14ac:dyDescent="0.2">
      <c r="A6670">
        <v>2017</v>
      </c>
      <c r="B6670" t="s">
        <v>2358</v>
      </c>
      <c r="C6670" t="s">
        <v>2287</v>
      </c>
      <c r="D6670" t="s">
        <v>2355</v>
      </c>
      <c r="E6670">
        <v>4</v>
      </c>
      <c r="F6670" t="s">
        <v>2284</v>
      </c>
      <c r="G6670" t="s">
        <v>20</v>
      </c>
      <c r="H6670" t="s">
        <v>2295</v>
      </c>
      <c r="I6670" t="s">
        <v>22</v>
      </c>
      <c r="J6670" t="s">
        <v>66</v>
      </c>
      <c r="K6670" t="s">
        <v>2285</v>
      </c>
      <c r="L6670" t="s">
        <v>25</v>
      </c>
      <c r="M6670" s="8">
        <v>1.1566666670000001</v>
      </c>
      <c r="N6670">
        <v>1.256</v>
      </c>
      <c r="O6670" s="8">
        <v>1.256</v>
      </c>
      <c r="P6670" s="8">
        <f>EXP(-1.363+3.366*LOG(O6670,10))</f>
        <v>0.35707805709563334</v>
      </c>
      <c r="Q6670" s="8">
        <f>(859450.9*100)/14749408</f>
        <v>5.8270196336015658</v>
      </c>
    </row>
    <row r="6671" spans="1:17" x14ac:dyDescent="0.2">
      <c r="A6671">
        <v>2018</v>
      </c>
      <c r="B6671" t="s">
        <v>2752</v>
      </c>
      <c r="C6671" t="s">
        <v>1635</v>
      </c>
      <c r="D6671" t="s">
        <v>2753</v>
      </c>
      <c r="E6671">
        <v>6</v>
      </c>
      <c r="F6671" t="s">
        <v>2284</v>
      </c>
      <c r="G6671" t="s">
        <v>20</v>
      </c>
      <c r="H6671" t="s">
        <v>2295</v>
      </c>
      <c r="I6671" t="s">
        <v>22</v>
      </c>
      <c r="J6671" t="s">
        <v>42</v>
      </c>
      <c r="K6671" t="s">
        <v>2285</v>
      </c>
      <c r="L6671" t="s">
        <v>25</v>
      </c>
      <c r="M6671" s="8">
        <v>1.1566666670000001</v>
      </c>
      <c r="N6671">
        <v>1.256</v>
      </c>
      <c r="O6671" s="8">
        <v>1.256</v>
      </c>
      <c r="P6671" s="8">
        <f>EXP(-1.363+3.366*LOG(O6671,10))</f>
        <v>0.35707805709563334</v>
      </c>
      <c r="Q6671" s="8">
        <f>(3602085*100)/4019599</f>
        <v>89.613043490159086</v>
      </c>
    </row>
    <row r="6672" spans="1:17" x14ac:dyDescent="0.2">
      <c r="A6672">
        <v>2017</v>
      </c>
      <c r="B6672" t="s">
        <v>2448</v>
      </c>
      <c r="C6672" t="s">
        <v>52</v>
      </c>
      <c r="D6672" t="s">
        <v>2440</v>
      </c>
      <c r="E6672">
        <v>5</v>
      </c>
      <c r="F6672" t="s">
        <v>2284</v>
      </c>
      <c r="G6672" t="s">
        <v>352</v>
      </c>
      <c r="H6672" t="s">
        <v>623</v>
      </c>
      <c r="I6672" t="s">
        <v>22</v>
      </c>
      <c r="J6672" t="s">
        <v>42</v>
      </c>
      <c r="K6672" t="s">
        <v>2285</v>
      </c>
      <c r="L6672" t="s">
        <v>25</v>
      </c>
      <c r="M6672" s="8">
        <v>1.387</v>
      </c>
      <c r="N6672">
        <v>1.254</v>
      </c>
      <c r="O6672" s="8">
        <v>1.254</v>
      </c>
      <c r="P6672" s="8">
        <f>EXP(-1.363+3.366*LOG(O6672,10))</f>
        <v>0.35624716969064596</v>
      </c>
      <c r="Q6672" s="8">
        <f>(1626350*100)/1973941</f>
        <v>82.391013713175823</v>
      </c>
    </row>
    <row r="6673" spans="1:17" x14ac:dyDescent="0.2">
      <c r="A6673">
        <v>2017</v>
      </c>
      <c r="B6673" t="s">
        <v>2527</v>
      </c>
      <c r="C6673" t="s">
        <v>52</v>
      </c>
      <c r="D6673" t="s">
        <v>2523</v>
      </c>
      <c r="E6673">
        <v>6</v>
      </c>
      <c r="F6673" t="s">
        <v>2284</v>
      </c>
      <c r="G6673" t="s">
        <v>20</v>
      </c>
      <c r="H6673" t="s">
        <v>2295</v>
      </c>
      <c r="I6673" t="s">
        <v>22</v>
      </c>
      <c r="J6673" t="s">
        <v>42</v>
      </c>
      <c r="K6673" t="s">
        <v>2285</v>
      </c>
      <c r="L6673" t="s">
        <v>25</v>
      </c>
      <c r="M6673" s="8">
        <v>1.1566666670000001</v>
      </c>
      <c r="N6673">
        <v>1.2529999999999999</v>
      </c>
      <c r="O6673" s="8">
        <v>1.2529999999999999</v>
      </c>
      <c r="P6673" s="8">
        <f>EXP(-1.363+3.366*LOG(O6673,10))</f>
        <v>0.35583195537631995</v>
      </c>
      <c r="Q6673" s="8">
        <f>(1626350*100)/1973941</f>
        <v>82.391013713175823</v>
      </c>
    </row>
    <row r="6674" spans="1:17" x14ac:dyDescent="0.2">
      <c r="A6674">
        <v>2017</v>
      </c>
      <c r="B6674" t="s">
        <v>2526</v>
      </c>
      <c r="C6674" t="s">
        <v>52</v>
      </c>
      <c r="D6674" t="s">
        <v>2523</v>
      </c>
      <c r="E6674">
        <v>6</v>
      </c>
      <c r="F6674" t="s">
        <v>2284</v>
      </c>
      <c r="G6674" t="s">
        <v>20</v>
      </c>
      <c r="H6674" t="s">
        <v>2295</v>
      </c>
      <c r="I6674" t="s">
        <v>22</v>
      </c>
      <c r="J6674" t="s">
        <v>42</v>
      </c>
      <c r="K6674" t="s">
        <v>2285</v>
      </c>
      <c r="L6674" t="s">
        <v>25</v>
      </c>
      <c r="M6674" s="8">
        <v>1.1566666670000001</v>
      </c>
      <c r="N6674">
        <v>1.252</v>
      </c>
      <c r="O6674" s="8">
        <v>1.252</v>
      </c>
      <c r="P6674" s="8">
        <f>EXP(-1.363+3.366*LOG(O6674,10))</f>
        <v>0.35541689407498445</v>
      </c>
      <c r="Q6674" s="8">
        <f>(1626350*100)/1973941</f>
        <v>82.391013713175823</v>
      </c>
    </row>
    <row r="6675" spans="1:17" x14ac:dyDescent="0.2">
      <c r="A6675">
        <v>2017</v>
      </c>
      <c r="B6675" t="s">
        <v>2541</v>
      </c>
      <c r="C6675" t="s">
        <v>2283</v>
      </c>
      <c r="D6675" t="s">
        <v>2533</v>
      </c>
      <c r="E6675">
        <v>6</v>
      </c>
      <c r="F6675" t="s">
        <v>2284</v>
      </c>
      <c r="G6675" t="s">
        <v>352</v>
      </c>
      <c r="H6675" t="s">
        <v>1387</v>
      </c>
      <c r="I6675" t="s">
        <v>22</v>
      </c>
      <c r="J6675" t="s">
        <v>66</v>
      </c>
      <c r="K6675" t="s">
        <v>2285</v>
      </c>
      <c r="L6675" t="s">
        <v>25</v>
      </c>
      <c r="M6675" s="8" t="s">
        <v>26</v>
      </c>
      <c r="N6675">
        <v>1.252</v>
      </c>
      <c r="O6675" s="8">
        <v>1.252</v>
      </c>
      <c r="P6675" s="8">
        <f>EXP(-1.363+3.366*LOG(O6675,10))</f>
        <v>0.35541689407498445</v>
      </c>
      <c r="Q6675" s="8">
        <f>(1148193*100)/12288027</f>
        <v>9.3439980234418432</v>
      </c>
    </row>
    <row r="6676" spans="1:17" x14ac:dyDescent="0.2">
      <c r="A6676">
        <v>2018</v>
      </c>
      <c r="B6676" t="s">
        <v>2755</v>
      </c>
      <c r="C6676" t="s">
        <v>50</v>
      </c>
      <c r="D6676" t="s">
        <v>2753</v>
      </c>
      <c r="E6676">
        <v>6</v>
      </c>
      <c r="F6676" t="s">
        <v>2284</v>
      </c>
      <c r="G6676" t="s">
        <v>352</v>
      </c>
      <c r="H6676" t="s">
        <v>623</v>
      </c>
      <c r="I6676" t="s">
        <v>22</v>
      </c>
      <c r="J6676" t="s">
        <v>42</v>
      </c>
      <c r="K6676" t="s">
        <v>2285</v>
      </c>
      <c r="L6676" t="s">
        <v>25</v>
      </c>
      <c r="M6676" s="8">
        <v>1.387</v>
      </c>
      <c r="N6676">
        <v>1.252</v>
      </c>
      <c r="O6676" s="8">
        <v>1.252</v>
      </c>
      <c r="P6676" s="8">
        <f>EXP(-1.363+3.366*LOG(O6676,10))</f>
        <v>0.35541689407498445</v>
      </c>
      <c r="Q6676" s="8">
        <f>(4488342*100)/4914798</f>
        <v>91.323020803703429</v>
      </c>
    </row>
    <row r="6677" spans="1:17" x14ac:dyDescent="0.2">
      <c r="A6677">
        <v>2018</v>
      </c>
      <c r="B6677" t="s">
        <v>2776</v>
      </c>
      <c r="C6677" t="s">
        <v>2283</v>
      </c>
      <c r="D6677" t="s">
        <v>2770</v>
      </c>
      <c r="E6677">
        <v>6</v>
      </c>
      <c r="F6677" t="s">
        <v>2284</v>
      </c>
      <c r="G6677" t="s">
        <v>352</v>
      </c>
      <c r="H6677" t="s">
        <v>1387</v>
      </c>
      <c r="I6677" t="s">
        <v>22</v>
      </c>
      <c r="J6677" t="s">
        <v>66</v>
      </c>
      <c r="K6677" t="s">
        <v>2285</v>
      </c>
      <c r="L6677" t="s">
        <v>25</v>
      </c>
      <c r="M6677" s="8" t="s">
        <v>26</v>
      </c>
      <c r="N6677">
        <v>1.2490000000000001</v>
      </c>
      <c r="O6677" s="8">
        <v>1.2490000000000001</v>
      </c>
      <c r="P6677" s="8">
        <f>EXP(-1.363+3.366*LOG(O6677,10))</f>
        <v>0.35417262890691981</v>
      </c>
      <c r="Q6677" s="8">
        <f>(1148193*100)/12288027</f>
        <v>9.3439980234418432</v>
      </c>
    </row>
    <row r="6678" spans="1:17" x14ac:dyDescent="0.2">
      <c r="A6678">
        <v>2018</v>
      </c>
      <c r="B6678" t="s">
        <v>2988</v>
      </c>
      <c r="C6678" t="s">
        <v>50</v>
      </c>
      <c r="D6678" t="s">
        <v>2989</v>
      </c>
      <c r="E6678">
        <v>10</v>
      </c>
      <c r="F6678" t="s">
        <v>2284</v>
      </c>
      <c r="G6678" t="s">
        <v>352</v>
      </c>
      <c r="H6678" t="s">
        <v>623</v>
      </c>
      <c r="I6678" t="s">
        <v>22</v>
      </c>
      <c r="J6678" t="s">
        <v>42</v>
      </c>
      <c r="K6678" t="s">
        <v>2285</v>
      </c>
      <c r="L6678" t="s">
        <v>25</v>
      </c>
      <c r="M6678" s="8">
        <v>1.387</v>
      </c>
      <c r="N6678">
        <v>1.2490000000000001</v>
      </c>
      <c r="O6678" s="8">
        <v>1.2490000000000001</v>
      </c>
      <c r="P6678" s="8">
        <f>EXP(-1.363+3.366*LOG(O6678,10))</f>
        <v>0.35417262890691981</v>
      </c>
      <c r="Q6678" s="8">
        <f>(4488342*100)/4914798</f>
        <v>91.323020803703429</v>
      </c>
    </row>
    <row r="6679" spans="1:17" x14ac:dyDescent="0.2">
      <c r="A6679">
        <v>2011</v>
      </c>
      <c r="B6679" t="s">
        <v>1340</v>
      </c>
      <c r="C6679" t="s">
        <v>94</v>
      </c>
      <c r="D6679" t="s">
        <v>100</v>
      </c>
      <c r="E6679">
        <v>7</v>
      </c>
      <c r="F6679" t="s">
        <v>19</v>
      </c>
      <c r="G6679" t="s">
        <v>352</v>
      </c>
      <c r="H6679" t="s">
        <v>353</v>
      </c>
      <c r="I6679" t="s">
        <v>22</v>
      </c>
      <c r="J6679" t="s">
        <v>66</v>
      </c>
      <c r="K6679" t="s">
        <v>24</v>
      </c>
      <c r="L6679" t="s">
        <v>25</v>
      </c>
      <c r="M6679" s="8">
        <v>1.1623333330000001</v>
      </c>
      <c r="N6679">
        <v>1.248</v>
      </c>
      <c r="O6679" s="8">
        <v>1.248</v>
      </c>
      <c r="P6679" s="8">
        <f>EXP(-1.363+3.366*LOG(O6679,10))</f>
        <v>0.35375818031595058</v>
      </c>
      <c r="Q6679" s="8">
        <f>(46623.23*100)/15165196</f>
        <v>0.30743572321782059</v>
      </c>
    </row>
    <row r="6680" spans="1:17" x14ac:dyDescent="0.2">
      <c r="A6680">
        <v>2018</v>
      </c>
      <c r="B6680" t="s">
        <v>2743</v>
      </c>
      <c r="C6680" t="s">
        <v>2287</v>
      </c>
      <c r="D6680" t="s">
        <v>2736</v>
      </c>
      <c r="E6680">
        <v>5</v>
      </c>
      <c r="F6680" t="s">
        <v>2284</v>
      </c>
      <c r="G6680" t="s">
        <v>352</v>
      </c>
      <c r="H6680" t="s">
        <v>623</v>
      </c>
      <c r="I6680" t="s">
        <v>22</v>
      </c>
      <c r="J6680" t="s">
        <v>66</v>
      </c>
      <c r="K6680" t="s">
        <v>2285</v>
      </c>
      <c r="L6680" t="s">
        <v>25</v>
      </c>
      <c r="M6680" s="8">
        <v>1.387</v>
      </c>
      <c r="N6680">
        <v>1.248</v>
      </c>
      <c r="O6680" s="8">
        <v>1.248</v>
      </c>
      <c r="P6680" s="8">
        <f>EXP(-1.363+3.366*LOG(O6680,10))</f>
        <v>0.35375818031595058</v>
      </c>
      <c r="Q6680" s="8">
        <f>(859450.9*100)/14749408</f>
        <v>5.8270196336015658</v>
      </c>
    </row>
    <row r="6681" spans="1:17" x14ac:dyDescent="0.2">
      <c r="A6681">
        <v>2011</v>
      </c>
      <c r="B6681" t="s">
        <v>1009</v>
      </c>
      <c r="C6681" t="s">
        <v>52</v>
      </c>
      <c r="D6681" t="s">
        <v>81</v>
      </c>
      <c r="E6681">
        <v>6</v>
      </c>
      <c r="F6681" t="s">
        <v>19</v>
      </c>
      <c r="G6681" t="s">
        <v>352</v>
      </c>
      <c r="H6681" t="s">
        <v>975</v>
      </c>
      <c r="I6681" t="s">
        <v>22</v>
      </c>
      <c r="J6681" t="s">
        <v>42</v>
      </c>
      <c r="K6681" t="s">
        <v>24</v>
      </c>
      <c r="L6681" t="s">
        <v>25</v>
      </c>
      <c r="M6681" s="8">
        <v>1.0693333330000001</v>
      </c>
      <c r="N6681">
        <v>1.246</v>
      </c>
      <c r="O6681" s="8">
        <v>1.246</v>
      </c>
      <c r="P6681" s="8">
        <f>EXP(-1.363+3.366*LOG(O6681,10))</f>
        <v>0.35292974322797283</v>
      </c>
      <c r="Q6681" s="8">
        <f>(1626350*100)/1973941</f>
        <v>82.391013713175823</v>
      </c>
    </row>
    <row r="6682" spans="1:17" x14ac:dyDescent="0.2">
      <c r="A6682">
        <v>2011</v>
      </c>
      <c r="B6682" t="s">
        <v>1068</v>
      </c>
      <c r="C6682" t="s">
        <v>65</v>
      </c>
      <c r="D6682" t="s">
        <v>58</v>
      </c>
      <c r="E6682">
        <v>6</v>
      </c>
      <c r="F6682" t="s">
        <v>19</v>
      </c>
      <c r="G6682" t="s">
        <v>352</v>
      </c>
      <c r="H6682" t="s">
        <v>975</v>
      </c>
      <c r="I6682" t="s">
        <v>22</v>
      </c>
      <c r="J6682" t="s">
        <v>66</v>
      </c>
      <c r="K6682" t="s">
        <v>24</v>
      </c>
      <c r="L6682" t="s">
        <v>25</v>
      </c>
      <c r="M6682" s="8">
        <v>1.0693333330000001</v>
      </c>
      <c r="N6682">
        <v>1.2450000000000001</v>
      </c>
      <c r="O6682" s="8">
        <v>1.2450000000000001</v>
      </c>
      <c r="P6682" s="8">
        <f>EXP(-1.363+3.366*LOG(O6682,10))</f>
        <v>0.35251575486337688</v>
      </c>
      <c r="Q6682" s="8">
        <f>(1788886*100)/6788946</f>
        <v>26.349981278389901</v>
      </c>
    </row>
    <row r="6683" spans="1:17" x14ac:dyDescent="0.2">
      <c r="A6683">
        <v>2017</v>
      </c>
      <c r="B6683" t="s">
        <v>2400</v>
      </c>
      <c r="C6683" t="s">
        <v>50</v>
      </c>
      <c r="D6683" t="s">
        <v>2397</v>
      </c>
      <c r="E6683">
        <v>5</v>
      </c>
      <c r="F6683" t="s">
        <v>2284</v>
      </c>
      <c r="G6683" t="s">
        <v>20</v>
      </c>
      <c r="H6683" t="s">
        <v>2295</v>
      </c>
      <c r="I6683" t="s">
        <v>22</v>
      </c>
      <c r="J6683" t="s">
        <v>42</v>
      </c>
      <c r="K6683" t="s">
        <v>2285</v>
      </c>
      <c r="L6683" t="s">
        <v>25</v>
      </c>
      <c r="M6683" s="8">
        <v>1.1566666670000001</v>
      </c>
      <c r="N6683">
        <v>1.2450000000000001</v>
      </c>
      <c r="O6683" s="8">
        <v>1.2450000000000001</v>
      </c>
      <c r="P6683" s="8">
        <f>EXP(-1.363+3.366*LOG(O6683,10))</f>
        <v>0.35251575486337688</v>
      </c>
      <c r="Q6683" s="8">
        <f>(4488342*100)/4914798</f>
        <v>91.323020803703429</v>
      </c>
    </row>
    <row r="6684" spans="1:17" x14ac:dyDescent="0.2">
      <c r="A6684">
        <v>2018</v>
      </c>
      <c r="B6684" t="s">
        <v>2628</v>
      </c>
      <c r="C6684" t="s">
        <v>50</v>
      </c>
      <c r="D6684" t="s">
        <v>2626</v>
      </c>
      <c r="E6684">
        <v>4</v>
      </c>
      <c r="F6684" t="s">
        <v>2284</v>
      </c>
      <c r="G6684" t="s">
        <v>20</v>
      </c>
      <c r="H6684" t="s">
        <v>2601</v>
      </c>
      <c r="I6684" t="s">
        <v>36</v>
      </c>
      <c r="J6684" t="s">
        <v>42</v>
      </c>
      <c r="K6684" t="s">
        <v>2285</v>
      </c>
      <c r="L6684" t="s">
        <v>25</v>
      </c>
      <c r="M6684" s="8">
        <v>1.2030000000000001</v>
      </c>
      <c r="N6684">
        <v>1.2350000000000001</v>
      </c>
      <c r="O6684" s="8">
        <v>1.2350000000000001</v>
      </c>
      <c r="P6684" s="8">
        <f>EXP(-1.363+3.366*LOG(O6684,10))</f>
        <v>0.34838432697611055</v>
      </c>
      <c r="Q6684" s="8">
        <f>(4488342*100)/4914798</f>
        <v>91.323020803703429</v>
      </c>
    </row>
    <row r="6685" spans="1:17" x14ac:dyDescent="0.2">
      <c r="A6685">
        <v>2011</v>
      </c>
      <c r="B6685" t="s">
        <v>1078</v>
      </c>
      <c r="C6685" t="s">
        <v>65</v>
      </c>
      <c r="D6685" t="s">
        <v>71</v>
      </c>
      <c r="E6685">
        <v>7</v>
      </c>
      <c r="F6685" t="s">
        <v>19</v>
      </c>
      <c r="G6685" t="s">
        <v>352</v>
      </c>
      <c r="H6685" t="s">
        <v>975</v>
      </c>
      <c r="I6685" t="s">
        <v>22</v>
      </c>
      <c r="J6685" t="s">
        <v>66</v>
      </c>
      <c r="K6685" t="s">
        <v>24</v>
      </c>
      <c r="L6685" t="s">
        <v>25</v>
      </c>
      <c r="M6685" s="8">
        <v>1.0693333330000001</v>
      </c>
      <c r="N6685">
        <v>1.234</v>
      </c>
      <c r="O6685" s="8">
        <v>1.234</v>
      </c>
      <c r="P6685" s="8">
        <f>EXP(-1.363+3.366*LOG(O6685,10))</f>
        <v>0.34797203123246861</v>
      </c>
      <c r="Q6685" s="8">
        <f>(1788886*100)/6788946</f>
        <v>26.349981278389901</v>
      </c>
    </row>
    <row r="6686" spans="1:17" x14ac:dyDescent="0.2">
      <c r="A6686">
        <v>2017</v>
      </c>
      <c r="B6686" t="s">
        <v>2359</v>
      </c>
      <c r="C6686" t="s">
        <v>52</v>
      </c>
      <c r="D6686" t="s">
        <v>2355</v>
      </c>
      <c r="E6686">
        <v>4</v>
      </c>
      <c r="F6686" t="s">
        <v>2284</v>
      </c>
      <c r="G6686" t="s">
        <v>20</v>
      </c>
      <c r="H6686" t="s">
        <v>2295</v>
      </c>
      <c r="I6686" t="s">
        <v>22</v>
      </c>
      <c r="J6686" t="s">
        <v>42</v>
      </c>
      <c r="K6686" t="s">
        <v>2285</v>
      </c>
      <c r="L6686" t="s">
        <v>25</v>
      </c>
      <c r="M6686" s="8">
        <v>1.1566666670000001</v>
      </c>
      <c r="N6686">
        <v>1.232</v>
      </c>
      <c r="O6686" s="8">
        <v>1.232</v>
      </c>
      <c r="P6686" s="8">
        <f>EXP(-1.363+3.366*LOG(O6686,10))</f>
        <v>0.34714790264173095</v>
      </c>
      <c r="Q6686" s="8">
        <f>(1626350*100)/1973941</f>
        <v>82.391013713175823</v>
      </c>
    </row>
    <row r="6687" spans="1:17" x14ac:dyDescent="0.2">
      <c r="A6687">
        <v>2018</v>
      </c>
      <c r="B6687" t="s">
        <v>2647</v>
      </c>
      <c r="C6687" t="s">
        <v>1635</v>
      </c>
      <c r="D6687" t="s">
        <v>2645</v>
      </c>
      <c r="E6687">
        <v>5</v>
      </c>
      <c r="F6687" t="s">
        <v>2284</v>
      </c>
      <c r="G6687" t="s">
        <v>20</v>
      </c>
      <c r="H6687" t="s">
        <v>2295</v>
      </c>
      <c r="I6687" t="s">
        <v>22</v>
      </c>
      <c r="J6687" t="s">
        <v>42</v>
      </c>
      <c r="K6687" t="s">
        <v>2285</v>
      </c>
      <c r="L6687" t="s">
        <v>25</v>
      </c>
      <c r="M6687" s="8">
        <v>1.1566666670000001</v>
      </c>
      <c r="N6687">
        <v>1.2290000000000001</v>
      </c>
      <c r="O6687" s="8">
        <v>1.2290000000000001</v>
      </c>
      <c r="P6687" s="8">
        <f>EXP(-1.363+3.366*LOG(O6687,10))</f>
        <v>0.34591286800811261</v>
      </c>
      <c r="Q6687" s="8">
        <f>(3602085*100)/4019599</f>
        <v>89.613043490159086</v>
      </c>
    </row>
    <row r="6688" spans="1:17" x14ac:dyDescent="0.2">
      <c r="A6688">
        <v>2011</v>
      </c>
      <c r="B6688" t="s">
        <v>1062</v>
      </c>
      <c r="C6688" t="s">
        <v>57</v>
      </c>
      <c r="D6688" t="s">
        <v>58</v>
      </c>
      <c r="E6688">
        <v>6</v>
      </c>
      <c r="F6688" t="s">
        <v>19</v>
      </c>
      <c r="G6688" t="s">
        <v>352</v>
      </c>
      <c r="H6688" t="s">
        <v>975</v>
      </c>
      <c r="I6688" t="s">
        <v>22</v>
      </c>
      <c r="J6688" t="s">
        <v>31</v>
      </c>
      <c r="K6688" t="s">
        <v>24</v>
      </c>
      <c r="L6688" t="s">
        <v>25</v>
      </c>
      <c r="M6688" s="8">
        <v>1.0693333330000001</v>
      </c>
      <c r="N6688">
        <v>1.2270000000000001</v>
      </c>
      <c r="O6688" s="8">
        <v>1.2270000000000001</v>
      </c>
      <c r="P6688" s="8">
        <f>EXP(-1.363+3.366*LOG(O6688,10))</f>
        <v>0.34509028454242208</v>
      </c>
      <c r="Q6688" s="8">
        <f>(321151.3*100)/5927002</f>
        <v>5.4184442657518925</v>
      </c>
    </row>
    <row r="6689" spans="1:17" x14ac:dyDescent="0.2">
      <c r="A6689">
        <v>2018</v>
      </c>
      <c r="B6689" t="s">
        <v>2924</v>
      </c>
      <c r="C6689" t="s">
        <v>2287</v>
      </c>
      <c r="D6689" t="s">
        <v>2919</v>
      </c>
      <c r="E6689">
        <v>9</v>
      </c>
      <c r="F6689" t="s">
        <v>2284</v>
      </c>
      <c r="G6689" t="s">
        <v>332</v>
      </c>
      <c r="H6689" t="s">
        <v>330</v>
      </c>
      <c r="I6689" t="s">
        <v>22</v>
      </c>
      <c r="J6689" t="s">
        <v>66</v>
      </c>
      <c r="K6689" t="s">
        <v>2285</v>
      </c>
      <c r="L6689" t="s">
        <v>25</v>
      </c>
      <c r="M6689" s="8">
        <v>1.2170000000000001</v>
      </c>
      <c r="N6689">
        <v>1.222</v>
      </c>
      <c r="O6689" s="8">
        <v>1.222</v>
      </c>
      <c r="P6689" s="8">
        <f>EXP(-1.363+3.366*LOG(O6689,10))</f>
        <v>0.34303653518353822</v>
      </c>
      <c r="Q6689" s="8">
        <f>(859450.9*100)/14749408</f>
        <v>5.8270196336015658</v>
      </c>
    </row>
    <row r="6690" spans="1:17" x14ac:dyDescent="0.2">
      <c r="A6690">
        <v>2018</v>
      </c>
      <c r="B6690" t="s">
        <v>2646</v>
      </c>
      <c r="C6690" t="s">
        <v>1635</v>
      </c>
      <c r="D6690" t="s">
        <v>2645</v>
      </c>
      <c r="E6690">
        <v>5</v>
      </c>
      <c r="F6690" t="s">
        <v>2284</v>
      </c>
      <c r="G6690" t="s">
        <v>20</v>
      </c>
      <c r="H6690" t="s">
        <v>2295</v>
      </c>
      <c r="I6690" t="s">
        <v>22</v>
      </c>
      <c r="J6690" t="s">
        <v>42</v>
      </c>
      <c r="K6690" t="s">
        <v>2285</v>
      </c>
      <c r="L6690" t="s">
        <v>25</v>
      </c>
      <c r="M6690" s="8">
        <v>1.1566666670000001</v>
      </c>
      <c r="N6690">
        <v>1.2210000000000001</v>
      </c>
      <c r="O6690" s="8">
        <v>1.2210000000000001</v>
      </c>
      <c r="P6690" s="8">
        <f>EXP(-1.363+3.366*LOG(O6690,10))</f>
        <v>0.34262625030863014</v>
      </c>
      <c r="Q6690" s="8">
        <f>(3602085*100)/4019599</f>
        <v>89.613043490159086</v>
      </c>
    </row>
    <row r="6691" spans="1:17" x14ac:dyDescent="0.2">
      <c r="A6691">
        <v>2018</v>
      </c>
      <c r="B6691" t="s">
        <v>2949</v>
      </c>
      <c r="C6691" t="s">
        <v>50</v>
      </c>
      <c r="D6691" t="s">
        <v>2946</v>
      </c>
      <c r="E6691">
        <v>9</v>
      </c>
      <c r="F6691" t="s">
        <v>2284</v>
      </c>
      <c r="G6691" t="s">
        <v>332</v>
      </c>
      <c r="H6691" t="s">
        <v>330</v>
      </c>
      <c r="I6691" t="s">
        <v>22</v>
      </c>
      <c r="J6691" t="s">
        <v>42</v>
      </c>
      <c r="K6691" t="s">
        <v>2285</v>
      </c>
      <c r="L6691" t="s">
        <v>25</v>
      </c>
      <c r="M6691" s="8">
        <v>1.2170000000000001</v>
      </c>
      <c r="N6691">
        <v>1.2210000000000001</v>
      </c>
      <c r="O6691" s="8">
        <v>1.2210000000000001</v>
      </c>
      <c r="P6691" s="8">
        <f>EXP(-1.363+3.366*LOG(O6691,10))</f>
        <v>0.34262625030863014</v>
      </c>
      <c r="Q6691" s="8">
        <f>(4488342*100)/4914798</f>
        <v>91.323020803703429</v>
      </c>
    </row>
    <row r="6692" spans="1:17" x14ac:dyDescent="0.2">
      <c r="A6692">
        <v>2011</v>
      </c>
      <c r="B6692" t="s">
        <v>978</v>
      </c>
      <c r="C6692" t="s">
        <v>52</v>
      </c>
      <c r="D6692" t="s">
        <v>95</v>
      </c>
      <c r="E6692">
        <v>7</v>
      </c>
      <c r="F6692" t="s">
        <v>19</v>
      </c>
      <c r="G6692" t="s">
        <v>352</v>
      </c>
      <c r="H6692" t="s">
        <v>975</v>
      </c>
      <c r="I6692" t="s">
        <v>22</v>
      </c>
      <c r="J6692" t="s">
        <v>42</v>
      </c>
      <c r="K6692" t="s">
        <v>24</v>
      </c>
      <c r="L6692" t="s">
        <v>25</v>
      </c>
      <c r="M6692" s="8">
        <v>1.0693333330000001</v>
      </c>
      <c r="N6692">
        <v>1.218</v>
      </c>
      <c r="O6692" s="8">
        <v>1.218</v>
      </c>
      <c r="P6692" s="8">
        <f>EXP(-1.363+3.366*LOG(O6692,10))</f>
        <v>0.34139632690706545</v>
      </c>
      <c r="Q6692" s="8">
        <f>(1626350*100)/1973941</f>
        <v>82.391013713175823</v>
      </c>
    </row>
    <row r="6693" spans="1:17" x14ac:dyDescent="0.2">
      <c r="A6693">
        <v>2011</v>
      </c>
      <c r="B6693" t="s">
        <v>1032</v>
      </c>
      <c r="C6693" t="s">
        <v>65</v>
      </c>
      <c r="D6693" t="s">
        <v>58</v>
      </c>
      <c r="E6693">
        <v>6</v>
      </c>
      <c r="F6693" t="s">
        <v>19</v>
      </c>
      <c r="G6693" t="s">
        <v>352</v>
      </c>
      <c r="H6693" t="s">
        <v>975</v>
      </c>
      <c r="I6693" t="s">
        <v>22</v>
      </c>
      <c r="J6693" t="s">
        <v>66</v>
      </c>
      <c r="K6693" t="s">
        <v>24</v>
      </c>
      <c r="L6693" t="s">
        <v>25</v>
      </c>
      <c r="M6693" s="8">
        <v>1.0693333330000001</v>
      </c>
      <c r="N6693">
        <v>1.216</v>
      </c>
      <c r="O6693" s="8">
        <v>1.216</v>
      </c>
      <c r="P6693" s="8">
        <f>EXP(-1.363+3.366*LOG(O6693,10))</f>
        <v>0.34057715467737154</v>
      </c>
      <c r="Q6693" s="8">
        <f>(1788886*100)/6788946</f>
        <v>26.349981278389901</v>
      </c>
    </row>
    <row r="6694" spans="1:17" x14ac:dyDescent="0.2">
      <c r="A6694">
        <v>2011</v>
      </c>
      <c r="B6694" t="s">
        <v>1067</v>
      </c>
      <c r="C6694" t="s">
        <v>65</v>
      </c>
      <c r="D6694" t="s">
        <v>58</v>
      </c>
      <c r="E6694">
        <v>6</v>
      </c>
      <c r="F6694" t="s">
        <v>19</v>
      </c>
      <c r="G6694" t="s">
        <v>352</v>
      </c>
      <c r="H6694" t="s">
        <v>975</v>
      </c>
      <c r="I6694" t="s">
        <v>22</v>
      </c>
      <c r="J6694" t="s">
        <v>66</v>
      </c>
      <c r="K6694" t="s">
        <v>24</v>
      </c>
      <c r="L6694" t="s">
        <v>25</v>
      </c>
      <c r="M6694" s="8">
        <v>1.0693333330000001</v>
      </c>
      <c r="N6694">
        <v>1.216</v>
      </c>
      <c r="O6694" s="8">
        <v>1.216</v>
      </c>
      <c r="P6694" s="8">
        <f>EXP(-1.363+3.366*LOG(O6694,10))</f>
        <v>0.34057715467737154</v>
      </c>
      <c r="Q6694" s="8">
        <f>(1788886*100)/6788946</f>
        <v>26.349981278389901</v>
      </c>
    </row>
    <row r="6695" spans="1:17" x14ac:dyDescent="0.2">
      <c r="A6695">
        <v>2011</v>
      </c>
      <c r="B6695" t="s">
        <v>1077</v>
      </c>
      <c r="C6695" t="s">
        <v>65</v>
      </c>
      <c r="D6695" t="s">
        <v>71</v>
      </c>
      <c r="E6695">
        <v>7</v>
      </c>
      <c r="F6695" t="s">
        <v>19</v>
      </c>
      <c r="G6695" t="s">
        <v>352</v>
      </c>
      <c r="H6695" t="s">
        <v>975</v>
      </c>
      <c r="I6695" t="s">
        <v>22</v>
      </c>
      <c r="J6695" t="s">
        <v>66</v>
      </c>
      <c r="K6695" t="s">
        <v>24</v>
      </c>
      <c r="L6695" t="s">
        <v>25</v>
      </c>
      <c r="M6695" s="8">
        <v>1.0693333330000001</v>
      </c>
      <c r="N6695">
        <v>1.216</v>
      </c>
      <c r="O6695" s="8">
        <v>1.216</v>
      </c>
      <c r="P6695" s="8">
        <f>EXP(-1.363+3.366*LOG(O6695,10))</f>
        <v>0.34057715467737154</v>
      </c>
      <c r="Q6695" s="8">
        <f>(1788886*100)/6788946</f>
        <v>26.349981278389901</v>
      </c>
    </row>
    <row r="6696" spans="1:17" x14ac:dyDescent="0.2">
      <c r="A6696">
        <v>2017</v>
      </c>
      <c r="B6696" t="s">
        <v>2494</v>
      </c>
      <c r="C6696" t="s">
        <v>2287</v>
      </c>
      <c r="D6696" t="s">
        <v>2485</v>
      </c>
      <c r="E6696">
        <v>5</v>
      </c>
      <c r="F6696" t="s">
        <v>2284</v>
      </c>
      <c r="G6696" t="s">
        <v>352</v>
      </c>
      <c r="H6696" t="s">
        <v>623</v>
      </c>
      <c r="I6696" t="s">
        <v>22</v>
      </c>
      <c r="J6696" t="s">
        <v>66</v>
      </c>
      <c r="K6696" t="s">
        <v>2285</v>
      </c>
      <c r="L6696" t="s">
        <v>25</v>
      </c>
      <c r="M6696" s="8">
        <v>1.387</v>
      </c>
      <c r="N6696">
        <v>1.2150000000000001</v>
      </c>
      <c r="O6696" s="8">
        <v>1.2150000000000001</v>
      </c>
      <c r="P6696" s="8">
        <f>EXP(-1.363+3.366*LOG(O6696,10))</f>
        <v>0.340167801779999</v>
      </c>
      <c r="Q6696" s="8">
        <f>(859450.9*100)/14749408</f>
        <v>5.8270196336015658</v>
      </c>
    </row>
    <row r="6697" spans="1:17" x14ac:dyDescent="0.2">
      <c r="A6697">
        <v>2017</v>
      </c>
      <c r="B6697" t="s">
        <v>2302</v>
      </c>
      <c r="C6697" t="s">
        <v>52</v>
      </c>
      <c r="D6697" t="s">
        <v>2297</v>
      </c>
      <c r="E6697">
        <v>3</v>
      </c>
      <c r="F6697" t="s">
        <v>2284</v>
      </c>
      <c r="G6697" t="s">
        <v>20</v>
      </c>
      <c r="H6697" t="s">
        <v>149</v>
      </c>
      <c r="I6697" t="s">
        <v>22</v>
      </c>
      <c r="J6697" t="s">
        <v>42</v>
      </c>
      <c r="K6697" t="s">
        <v>2285</v>
      </c>
      <c r="L6697" t="s">
        <v>25</v>
      </c>
      <c r="M6697" s="8">
        <v>1.45</v>
      </c>
      <c r="N6697">
        <v>1.214</v>
      </c>
      <c r="O6697" s="8">
        <v>1.214</v>
      </c>
      <c r="P6697" s="8">
        <f>EXP(-1.363+3.366*LOG(O6697,10))</f>
        <v>0.33975860445273182</v>
      </c>
      <c r="Q6697" s="8">
        <f>(1626350*100)/1973941</f>
        <v>82.391013713175823</v>
      </c>
    </row>
    <row r="6698" spans="1:17" x14ac:dyDescent="0.2">
      <c r="A6698">
        <v>2011</v>
      </c>
      <c r="B6698" t="s">
        <v>1099</v>
      </c>
      <c r="C6698" t="s">
        <v>52</v>
      </c>
      <c r="D6698" t="s">
        <v>58</v>
      </c>
      <c r="E6698">
        <v>6</v>
      </c>
      <c r="F6698" t="s">
        <v>19</v>
      </c>
      <c r="G6698" t="s">
        <v>352</v>
      </c>
      <c r="H6698" t="s">
        <v>975</v>
      </c>
      <c r="I6698" t="s">
        <v>22</v>
      </c>
      <c r="J6698" t="s">
        <v>42</v>
      </c>
      <c r="K6698" t="s">
        <v>24</v>
      </c>
      <c r="L6698" t="s">
        <v>25</v>
      </c>
      <c r="M6698" s="8">
        <v>1.0693333330000001</v>
      </c>
      <c r="N6698">
        <v>1.212</v>
      </c>
      <c r="O6698" s="8">
        <v>1.212</v>
      </c>
      <c r="P6698" s="8">
        <f>EXP(-1.363+3.366*LOG(O6698,10))</f>
        <v>0.3389406767844052</v>
      </c>
      <c r="Q6698" s="8">
        <f>(1626350*100)/1973941</f>
        <v>82.391013713175823</v>
      </c>
    </row>
    <row r="6699" spans="1:17" x14ac:dyDescent="0.2">
      <c r="A6699">
        <v>2011</v>
      </c>
      <c r="B6699" t="s">
        <v>1057</v>
      </c>
      <c r="C6699" t="s">
        <v>89</v>
      </c>
      <c r="D6699" t="s">
        <v>53</v>
      </c>
      <c r="E6699">
        <v>6</v>
      </c>
      <c r="F6699" t="s">
        <v>19</v>
      </c>
      <c r="G6699" t="s">
        <v>352</v>
      </c>
      <c r="H6699" t="s">
        <v>975</v>
      </c>
      <c r="I6699" t="s">
        <v>22</v>
      </c>
      <c r="J6699" t="s">
        <v>66</v>
      </c>
      <c r="K6699" t="s">
        <v>24</v>
      </c>
      <c r="L6699" t="s">
        <v>25</v>
      </c>
      <c r="M6699" s="8">
        <v>1.0693333330000001</v>
      </c>
      <c r="N6699">
        <v>1.2090000000000001</v>
      </c>
      <c r="O6699" s="8">
        <v>1.2090000000000001</v>
      </c>
      <c r="P6699" s="8">
        <f>EXP(-1.363+3.366*LOG(O6699,10))</f>
        <v>0.33771495378432509</v>
      </c>
      <c r="Q6699" s="8">
        <f>(61997.93*100)/7298102</f>
        <v>0.84950758430068529</v>
      </c>
    </row>
    <row r="6700" spans="1:17" x14ac:dyDescent="0.2">
      <c r="A6700">
        <v>2014</v>
      </c>
      <c r="B6700" t="s">
        <v>1649</v>
      </c>
      <c r="C6700" t="s">
        <v>1635</v>
      </c>
      <c r="D6700" t="s">
        <v>1568</v>
      </c>
      <c r="E6700">
        <v>6</v>
      </c>
      <c r="F6700" t="s">
        <v>19</v>
      </c>
      <c r="G6700" t="s">
        <v>332</v>
      </c>
      <c r="H6700" t="s">
        <v>1641</v>
      </c>
      <c r="I6700" t="s">
        <v>22</v>
      </c>
      <c r="J6700" t="s">
        <v>42</v>
      </c>
      <c r="K6700" t="s">
        <v>1543</v>
      </c>
      <c r="L6700" t="s">
        <v>26</v>
      </c>
      <c r="M6700" s="8" t="s">
        <v>26</v>
      </c>
      <c r="N6700">
        <v>1.2050000000000001</v>
      </c>
      <c r="O6700" s="8">
        <v>1.2050000000000001</v>
      </c>
      <c r="P6700" s="8">
        <f>EXP(-1.363+3.366*LOG(O6700,10))</f>
        <v>0.33608284056791321</v>
      </c>
      <c r="Q6700" s="8">
        <f>(3602085*100)/4019599</f>
        <v>89.613043490159086</v>
      </c>
    </row>
    <row r="6701" spans="1:17" x14ac:dyDescent="0.2">
      <c r="A6701">
        <v>2018</v>
      </c>
      <c r="B6701" t="s">
        <v>2862</v>
      </c>
      <c r="C6701" t="s">
        <v>50</v>
      </c>
      <c r="D6701" t="s">
        <v>2838</v>
      </c>
      <c r="E6701">
        <v>8</v>
      </c>
      <c r="F6701" t="s">
        <v>2284</v>
      </c>
      <c r="G6701" t="s">
        <v>332</v>
      </c>
      <c r="H6701" t="s">
        <v>330</v>
      </c>
      <c r="I6701" t="s">
        <v>22</v>
      </c>
      <c r="J6701" t="s">
        <v>42</v>
      </c>
      <c r="K6701" t="s">
        <v>2285</v>
      </c>
      <c r="L6701" t="s">
        <v>25</v>
      </c>
      <c r="M6701" s="8">
        <v>1.2170000000000001</v>
      </c>
      <c r="N6701">
        <v>1.2050000000000001</v>
      </c>
      <c r="O6701" s="8">
        <v>1.2050000000000001</v>
      </c>
      <c r="P6701" s="8">
        <f>EXP(-1.363+3.366*LOG(O6701,10))</f>
        <v>0.33608284056791321</v>
      </c>
      <c r="Q6701" s="8">
        <f>(4488342*100)/4914798</f>
        <v>91.323020803703429</v>
      </c>
    </row>
    <row r="6702" spans="1:17" x14ac:dyDescent="0.2">
      <c r="A6702">
        <v>2017</v>
      </c>
      <c r="B6702" t="s">
        <v>2504</v>
      </c>
      <c r="C6702" t="s">
        <v>2283</v>
      </c>
      <c r="D6702" t="s">
        <v>2501</v>
      </c>
      <c r="E6702">
        <v>6</v>
      </c>
      <c r="F6702" t="s">
        <v>2284</v>
      </c>
      <c r="G6702" t="s">
        <v>362</v>
      </c>
      <c r="H6702" t="s">
        <v>447</v>
      </c>
      <c r="I6702" t="s">
        <v>22</v>
      </c>
      <c r="J6702" t="s">
        <v>66</v>
      </c>
      <c r="K6702" t="s">
        <v>2285</v>
      </c>
      <c r="L6702" t="s">
        <v>25</v>
      </c>
      <c r="M6702" s="8">
        <v>1.421</v>
      </c>
      <c r="N6702">
        <v>1.202</v>
      </c>
      <c r="O6702" s="8">
        <v>1.202</v>
      </c>
      <c r="P6702" s="8">
        <f>EXP(-1.363+3.366*LOG(O6702,10))</f>
        <v>0.33486039617977131</v>
      </c>
      <c r="Q6702" s="8">
        <f>(1148193*100)/12288027</f>
        <v>9.3439980234418432</v>
      </c>
    </row>
    <row r="6703" spans="1:17" x14ac:dyDescent="0.2">
      <c r="A6703">
        <v>2011</v>
      </c>
      <c r="B6703" t="s">
        <v>1098</v>
      </c>
      <c r="C6703" t="s">
        <v>52</v>
      </c>
      <c r="D6703" t="s">
        <v>58</v>
      </c>
      <c r="E6703">
        <v>6</v>
      </c>
      <c r="F6703" t="s">
        <v>19</v>
      </c>
      <c r="G6703" t="s">
        <v>352</v>
      </c>
      <c r="H6703" t="s">
        <v>975</v>
      </c>
      <c r="I6703" t="s">
        <v>22</v>
      </c>
      <c r="J6703" t="s">
        <v>42</v>
      </c>
      <c r="K6703" t="s">
        <v>24</v>
      </c>
      <c r="L6703" t="s">
        <v>25</v>
      </c>
      <c r="M6703" s="8">
        <v>1.0693333330000001</v>
      </c>
      <c r="N6703">
        <v>1.2010000000000001</v>
      </c>
      <c r="O6703" s="8">
        <v>1.2010000000000001</v>
      </c>
      <c r="P6703" s="8">
        <f>EXP(-1.363+3.366*LOG(O6703,10))</f>
        <v>0.33445322757041596</v>
      </c>
      <c r="Q6703" s="8">
        <f>(1626350*100)/1973941</f>
        <v>82.391013713175823</v>
      </c>
    </row>
    <row r="6704" spans="1:17" x14ac:dyDescent="0.2">
      <c r="A6704">
        <v>2017</v>
      </c>
      <c r="B6704" t="s">
        <v>2411</v>
      </c>
      <c r="C6704" t="s">
        <v>50</v>
      </c>
      <c r="D6704" t="s">
        <v>2412</v>
      </c>
      <c r="E6704">
        <v>5</v>
      </c>
      <c r="F6704" t="s">
        <v>2284</v>
      </c>
      <c r="G6704" t="s">
        <v>20</v>
      </c>
      <c r="H6704" t="s">
        <v>2295</v>
      </c>
      <c r="I6704" t="s">
        <v>36</v>
      </c>
      <c r="J6704" t="s">
        <v>42</v>
      </c>
      <c r="K6704" t="s">
        <v>2285</v>
      </c>
      <c r="L6704" t="s">
        <v>25</v>
      </c>
      <c r="M6704" s="8">
        <v>1.0436666670000001</v>
      </c>
      <c r="N6704">
        <v>1.1990000000000001</v>
      </c>
      <c r="O6704" s="8">
        <v>1.1990000000000001</v>
      </c>
      <c r="P6704" s="8">
        <f>EXP(-1.363+3.366*LOG(O6704,10))</f>
        <v>0.33363936005221922</v>
      </c>
      <c r="Q6704" s="8">
        <f>(4488342*100)/4914798</f>
        <v>91.323020803703429</v>
      </c>
    </row>
    <row r="6705" spans="1:17" x14ac:dyDescent="0.2">
      <c r="A6705">
        <v>2017</v>
      </c>
      <c r="B6705" t="s">
        <v>2413</v>
      </c>
      <c r="C6705" t="s">
        <v>50</v>
      </c>
      <c r="D6705" t="s">
        <v>2412</v>
      </c>
      <c r="E6705">
        <v>5</v>
      </c>
      <c r="F6705" t="s">
        <v>2284</v>
      </c>
      <c r="G6705" t="s">
        <v>20</v>
      </c>
      <c r="H6705" t="s">
        <v>2295</v>
      </c>
      <c r="I6705" t="s">
        <v>36</v>
      </c>
      <c r="J6705" t="s">
        <v>42</v>
      </c>
      <c r="K6705" t="s">
        <v>2285</v>
      </c>
      <c r="L6705" t="s">
        <v>25</v>
      </c>
      <c r="M6705" s="8">
        <v>1.0436666670000001</v>
      </c>
      <c r="N6705">
        <v>1.1990000000000001</v>
      </c>
      <c r="O6705" s="8">
        <v>1.1990000000000001</v>
      </c>
      <c r="P6705" s="8">
        <f>EXP(-1.363+3.366*LOG(O6705,10))</f>
        <v>0.33363936005221922</v>
      </c>
      <c r="Q6705" s="8">
        <f>(4488342*100)/4914798</f>
        <v>91.323020803703429</v>
      </c>
    </row>
    <row r="6706" spans="1:17" x14ac:dyDescent="0.2">
      <c r="A6706">
        <v>2018</v>
      </c>
      <c r="B6706" t="s">
        <v>2775</v>
      </c>
      <c r="C6706" t="s">
        <v>1635</v>
      </c>
      <c r="D6706" t="s">
        <v>2770</v>
      </c>
      <c r="E6706">
        <v>6</v>
      </c>
      <c r="F6706" t="s">
        <v>2284</v>
      </c>
      <c r="G6706" t="s">
        <v>352</v>
      </c>
      <c r="H6706" t="s">
        <v>1142</v>
      </c>
      <c r="I6706" t="s">
        <v>22</v>
      </c>
      <c r="J6706" t="s">
        <v>42</v>
      </c>
      <c r="K6706" t="s">
        <v>2285</v>
      </c>
      <c r="L6706" t="s">
        <v>25</v>
      </c>
      <c r="M6706" s="8">
        <v>1.1423333330000001</v>
      </c>
      <c r="N6706">
        <v>1.198</v>
      </c>
      <c r="O6706" s="8">
        <v>1.198</v>
      </c>
      <c r="P6706" s="8">
        <f>EXP(-1.363+3.366*LOG(O6706,10))</f>
        <v>0.33323266128385137</v>
      </c>
      <c r="Q6706" s="8">
        <f>(3602085*100)/4019599</f>
        <v>89.613043490159086</v>
      </c>
    </row>
    <row r="6707" spans="1:17" x14ac:dyDescent="0.2">
      <c r="A6707">
        <v>2017</v>
      </c>
      <c r="B6707" t="s">
        <v>2388</v>
      </c>
      <c r="C6707" t="s">
        <v>52</v>
      </c>
      <c r="D6707" t="s">
        <v>2385</v>
      </c>
      <c r="E6707">
        <v>4</v>
      </c>
      <c r="F6707" t="s">
        <v>2284</v>
      </c>
      <c r="G6707" t="s">
        <v>352</v>
      </c>
      <c r="H6707" t="s">
        <v>1139</v>
      </c>
      <c r="I6707" t="s">
        <v>22</v>
      </c>
      <c r="J6707" t="s">
        <v>42</v>
      </c>
      <c r="K6707" t="s">
        <v>2285</v>
      </c>
      <c r="L6707" t="s">
        <v>25</v>
      </c>
      <c r="M6707" s="8" t="s">
        <v>26</v>
      </c>
      <c r="N6707">
        <v>1.1970000000000001</v>
      </c>
      <c r="O6707" s="8">
        <v>1.1970000000000001</v>
      </c>
      <c r="P6707" s="8">
        <f>EXP(-1.363+3.366*LOG(O6707,10))</f>
        <v>0.33282611926976968</v>
      </c>
      <c r="Q6707" s="8">
        <f>(1626350*100)/1973941</f>
        <v>82.391013713175823</v>
      </c>
    </row>
    <row r="6708" spans="1:17" x14ac:dyDescent="0.2">
      <c r="A6708">
        <v>2017</v>
      </c>
      <c r="B6708" t="s">
        <v>2563</v>
      </c>
      <c r="C6708" t="s">
        <v>50</v>
      </c>
      <c r="D6708" t="s">
        <v>2564</v>
      </c>
      <c r="E6708">
        <v>6</v>
      </c>
      <c r="F6708" t="s">
        <v>2284</v>
      </c>
      <c r="G6708" t="s">
        <v>20</v>
      </c>
      <c r="H6708" t="s">
        <v>2295</v>
      </c>
      <c r="I6708" t="s">
        <v>22</v>
      </c>
      <c r="J6708" t="s">
        <v>42</v>
      </c>
      <c r="K6708" t="s">
        <v>2285</v>
      </c>
      <c r="L6708" t="s">
        <v>25</v>
      </c>
      <c r="M6708" s="8">
        <v>1.1566666670000001</v>
      </c>
      <c r="N6708">
        <v>1.1950000000000001</v>
      </c>
      <c r="O6708" s="8">
        <v>1.1950000000000001</v>
      </c>
      <c r="P6708" s="8">
        <f>EXP(-1.363+3.366*LOG(O6708,10))</f>
        <v>0.33201350578640443</v>
      </c>
      <c r="Q6708" s="8">
        <f>(4488342*100)/4914798</f>
        <v>91.323020803703429</v>
      </c>
    </row>
    <row r="6709" spans="1:17" x14ac:dyDescent="0.2">
      <c r="A6709">
        <v>2018</v>
      </c>
      <c r="B6709" t="s">
        <v>2674</v>
      </c>
      <c r="C6709" t="s">
        <v>1635</v>
      </c>
      <c r="D6709" t="s">
        <v>2665</v>
      </c>
      <c r="E6709">
        <v>5</v>
      </c>
      <c r="F6709" t="s">
        <v>2284</v>
      </c>
      <c r="G6709" t="s">
        <v>352</v>
      </c>
      <c r="H6709" t="s">
        <v>353</v>
      </c>
      <c r="I6709" t="s">
        <v>22</v>
      </c>
      <c r="J6709" t="s">
        <v>42</v>
      </c>
      <c r="K6709" t="s">
        <v>2285</v>
      </c>
      <c r="L6709" t="s">
        <v>25</v>
      </c>
      <c r="M6709" s="8">
        <v>1.1623333330000001</v>
      </c>
      <c r="N6709">
        <v>1.1910000000000001</v>
      </c>
      <c r="O6709" s="8">
        <v>1.1910000000000001</v>
      </c>
      <c r="P6709" s="8">
        <f>EXP(-1.363+3.366*LOG(O6709,10))</f>
        <v>0.33039016297752993</v>
      </c>
      <c r="Q6709" s="8">
        <f>(3602085*100)/4019599</f>
        <v>89.613043490159086</v>
      </c>
    </row>
    <row r="6710" spans="1:17" x14ac:dyDescent="0.2">
      <c r="A6710">
        <v>2017</v>
      </c>
      <c r="B6710" t="s">
        <v>2465</v>
      </c>
      <c r="C6710" t="s">
        <v>52</v>
      </c>
      <c r="D6710" t="s">
        <v>2462</v>
      </c>
      <c r="E6710">
        <v>5</v>
      </c>
      <c r="F6710" t="s">
        <v>2284</v>
      </c>
      <c r="G6710" t="s">
        <v>352</v>
      </c>
      <c r="H6710" t="s">
        <v>623</v>
      </c>
      <c r="I6710" t="s">
        <v>22</v>
      </c>
      <c r="J6710" t="s">
        <v>42</v>
      </c>
      <c r="K6710" t="s">
        <v>2285</v>
      </c>
      <c r="L6710" t="s">
        <v>25</v>
      </c>
      <c r="M6710" s="8">
        <v>1.387</v>
      </c>
      <c r="N6710">
        <v>1.19</v>
      </c>
      <c r="O6710" s="8">
        <v>1.19</v>
      </c>
      <c r="P6710" s="8">
        <f>EXP(-1.363+3.366*LOG(O6710,10))</f>
        <v>0.32998472022148279</v>
      </c>
      <c r="Q6710" s="8">
        <f>(1626350*100)/1973941</f>
        <v>82.391013713175823</v>
      </c>
    </row>
    <row r="6711" spans="1:17" x14ac:dyDescent="0.2">
      <c r="A6711">
        <v>2018</v>
      </c>
      <c r="B6711" t="s">
        <v>2956</v>
      </c>
      <c r="C6711" t="s">
        <v>2287</v>
      </c>
      <c r="D6711" t="s">
        <v>2955</v>
      </c>
      <c r="E6711">
        <v>9</v>
      </c>
      <c r="F6711" t="s">
        <v>2284</v>
      </c>
      <c r="G6711" t="s">
        <v>332</v>
      </c>
      <c r="H6711" t="s">
        <v>330</v>
      </c>
      <c r="I6711" t="s">
        <v>22</v>
      </c>
      <c r="J6711" t="s">
        <v>66</v>
      </c>
      <c r="K6711" t="s">
        <v>2285</v>
      </c>
      <c r="L6711" t="s">
        <v>25</v>
      </c>
      <c r="M6711" s="8">
        <v>1.2170000000000001</v>
      </c>
      <c r="N6711">
        <v>1.1879999999999999</v>
      </c>
      <c r="O6711" s="8">
        <v>1.1879999999999999</v>
      </c>
      <c r="P6711" s="8">
        <f>EXP(-1.363+3.366*LOG(O6711,10))</f>
        <v>0.32917430674217807</v>
      </c>
      <c r="Q6711" s="8">
        <f>(859450.9*100)/14749408</f>
        <v>5.8270196336015658</v>
      </c>
    </row>
    <row r="6712" spans="1:17" x14ac:dyDescent="0.2">
      <c r="A6712">
        <v>2018</v>
      </c>
      <c r="B6712" t="s">
        <v>2962</v>
      </c>
      <c r="C6712" t="s">
        <v>2283</v>
      </c>
      <c r="D6712" t="s">
        <v>2961</v>
      </c>
      <c r="E6712">
        <v>9</v>
      </c>
      <c r="F6712" t="s">
        <v>2284</v>
      </c>
      <c r="G6712" t="s">
        <v>362</v>
      </c>
      <c r="H6712" t="s">
        <v>2030</v>
      </c>
      <c r="I6712" t="s">
        <v>36</v>
      </c>
      <c r="J6712" t="s">
        <v>66</v>
      </c>
      <c r="K6712" t="s">
        <v>2285</v>
      </c>
      <c r="L6712" t="s">
        <v>25</v>
      </c>
      <c r="M6712" s="8">
        <v>1.383</v>
      </c>
      <c r="N6712">
        <v>1.1859999999999999</v>
      </c>
      <c r="O6712" s="8">
        <v>1.1859999999999999</v>
      </c>
      <c r="P6712" s="8">
        <f>EXP(-1.363+3.366*LOG(O6712,10))</f>
        <v>0.32836452311500397</v>
      </c>
      <c r="Q6712" s="8">
        <f>(1148193*100)/12288027</f>
        <v>9.3439980234418432</v>
      </c>
    </row>
    <row r="6713" spans="1:17" x14ac:dyDescent="0.2">
      <c r="A6713">
        <v>2017</v>
      </c>
      <c r="B6713" t="s">
        <v>2480</v>
      </c>
      <c r="C6713" t="s">
        <v>52</v>
      </c>
      <c r="D6713" t="s">
        <v>2474</v>
      </c>
      <c r="E6713">
        <v>5</v>
      </c>
      <c r="F6713" t="s">
        <v>2284</v>
      </c>
      <c r="G6713" t="s">
        <v>352</v>
      </c>
      <c r="H6713" t="s">
        <v>623</v>
      </c>
      <c r="I6713" t="s">
        <v>22</v>
      </c>
      <c r="J6713" t="s">
        <v>42</v>
      </c>
      <c r="K6713" t="s">
        <v>2285</v>
      </c>
      <c r="L6713" t="s">
        <v>25</v>
      </c>
      <c r="M6713" s="8">
        <v>1.387</v>
      </c>
      <c r="N6713">
        <v>1.1850000000000001</v>
      </c>
      <c r="O6713" s="8">
        <v>1.1850000000000001</v>
      </c>
      <c r="P6713" s="8">
        <f>EXP(-1.363+3.366*LOG(O6713,10))</f>
        <v>0.3279598676744665</v>
      </c>
      <c r="Q6713" s="8">
        <f>(1626350*100)/1973941</f>
        <v>82.391013713175823</v>
      </c>
    </row>
    <row r="6714" spans="1:17" x14ac:dyDescent="0.2">
      <c r="A6714">
        <v>2017</v>
      </c>
      <c r="B6714" t="s">
        <v>2452</v>
      </c>
      <c r="C6714" t="s">
        <v>2287</v>
      </c>
      <c r="D6714" t="s">
        <v>2453</v>
      </c>
      <c r="E6714">
        <v>5</v>
      </c>
      <c r="F6714" t="s">
        <v>2284</v>
      </c>
      <c r="G6714" t="s">
        <v>352</v>
      </c>
      <c r="H6714" t="s">
        <v>1142</v>
      </c>
      <c r="I6714" t="s">
        <v>22</v>
      </c>
      <c r="J6714" t="s">
        <v>66</v>
      </c>
      <c r="K6714" t="s">
        <v>2285</v>
      </c>
      <c r="L6714" t="s">
        <v>25</v>
      </c>
      <c r="M6714" s="8">
        <v>1.1423333330000001</v>
      </c>
      <c r="N6714">
        <v>1.1830000000000001</v>
      </c>
      <c r="O6714" s="8">
        <v>1.1830000000000001</v>
      </c>
      <c r="P6714" s="8">
        <f>EXP(-1.363+3.366*LOG(O6714,10))</f>
        <v>0.32715102989730271</v>
      </c>
      <c r="Q6714" s="8">
        <f>(859450.9*100)/14749408</f>
        <v>5.8270196336015658</v>
      </c>
    </row>
    <row r="6715" spans="1:17" x14ac:dyDescent="0.2">
      <c r="A6715">
        <v>2017</v>
      </c>
      <c r="B6715" t="s">
        <v>2360</v>
      </c>
      <c r="C6715" t="s">
        <v>52</v>
      </c>
      <c r="D6715" t="s">
        <v>2355</v>
      </c>
      <c r="E6715">
        <v>4</v>
      </c>
      <c r="F6715" t="s">
        <v>2284</v>
      </c>
      <c r="G6715" t="s">
        <v>20</v>
      </c>
      <c r="H6715" t="s">
        <v>2295</v>
      </c>
      <c r="I6715" t="s">
        <v>22</v>
      </c>
      <c r="J6715" t="s">
        <v>42</v>
      </c>
      <c r="K6715" t="s">
        <v>2285</v>
      </c>
      <c r="L6715" t="s">
        <v>25</v>
      </c>
      <c r="M6715" s="8">
        <v>1.1566666670000001</v>
      </c>
      <c r="N6715">
        <v>1.1819999999999999</v>
      </c>
      <c r="O6715" s="8">
        <v>1.1819999999999999</v>
      </c>
      <c r="P6715" s="8">
        <f>EXP(-1.363+3.366*LOG(O6715,10))</f>
        <v>0.32674684770408013</v>
      </c>
      <c r="Q6715" s="8">
        <f>(1626350*100)/1973941</f>
        <v>82.391013713175823</v>
      </c>
    </row>
    <row r="6716" spans="1:17" x14ac:dyDescent="0.2">
      <c r="A6716">
        <v>2018</v>
      </c>
      <c r="B6716" t="s">
        <v>2781</v>
      </c>
      <c r="C6716" t="s">
        <v>1635</v>
      </c>
      <c r="D6716" t="s">
        <v>2778</v>
      </c>
      <c r="E6716">
        <v>6</v>
      </c>
      <c r="F6716" t="s">
        <v>2284</v>
      </c>
      <c r="G6716" t="s">
        <v>332</v>
      </c>
      <c r="H6716" t="s">
        <v>330</v>
      </c>
      <c r="I6716" t="s">
        <v>36</v>
      </c>
      <c r="J6716" t="s">
        <v>42</v>
      </c>
      <c r="K6716" t="s">
        <v>2285</v>
      </c>
      <c r="L6716" t="s">
        <v>25</v>
      </c>
      <c r="M6716" s="8">
        <v>1.100666667</v>
      </c>
      <c r="N6716">
        <v>1.1819999999999999</v>
      </c>
      <c r="O6716" s="8">
        <v>1.1819999999999999</v>
      </c>
      <c r="P6716" s="8">
        <f>EXP(-1.363+3.366*LOG(O6716,10))</f>
        <v>0.32674684770408013</v>
      </c>
      <c r="Q6716" s="8">
        <f>(3602085*100)/4019599</f>
        <v>89.613043490159086</v>
      </c>
    </row>
    <row r="6717" spans="1:17" x14ac:dyDescent="0.2">
      <c r="A6717">
        <v>2018</v>
      </c>
      <c r="B6717" t="s">
        <v>2858</v>
      </c>
      <c r="C6717" t="s">
        <v>2283</v>
      </c>
      <c r="D6717" t="s">
        <v>2838</v>
      </c>
      <c r="E6717">
        <v>8</v>
      </c>
      <c r="F6717" t="s">
        <v>2284</v>
      </c>
      <c r="G6717" t="s">
        <v>332</v>
      </c>
      <c r="H6717" t="s">
        <v>327</v>
      </c>
      <c r="I6717" t="s">
        <v>22</v>
      </c>
      <c r="J6717" t="s">
        <v>66</v>
      </c>
      <c r="K6717" t="s">
        <v>2285</v>
      </c>
      <c r="L6717" t="s">
        <v>25</v>
      </c>
      <c r="M6717" s="8">
        <v>1.239333333</v>
      </c>
      <c r="N6717">
        <v>1.1819999999999999</v>
      </c>
      <c r="O6717" s="8">
        <v>1.1819999999999999</v>
      </c>
      <c r="P6717" s="8">
        <f>EXP(-1.363+3.366*LOG(O6717,10))</f>
        <v>0.32674684770408013</v>
      </c>
      <c r="Q6717" s="8">
        <f>(1148193*100)/12288027</f>
        <v>9.3439980234418432</v>
      </c>
    </row>
    <row r="6718" spans="1:17" x14ac:dyDescent="0.2">
      <c r="A6718">
        <v>2018</v>
      </c>
      <c r="B6718" t="s">
        <v>2725</v>
      </c>
      <c r="C6718" t="s">
        <v>2287</v>
      </c>
      <c r="D6718" t="s">
        <v>2724</v>
      </c>
      <c r="E6718">
        <v>5</v>
      </c>
      <c r="F6718" t="s">
        <v>2284</v>
      </c>
      <c r="G6718" t="s">
        <v>332</v>
      </c>
      <c r="H6718" t="s">
        <v>327</v>
      </c>
      <c r="I6718" t="s">
        <v>22</v>
      </c>
      <c r="J6718" t="s">
        <v>66</v>
      </c>
      <c r="K6718" t="s">
        <v>2285</v>
      </c>
      <c r="L6718" t="s">
        <v>25</v>
      </c>
      <c r="M6718" s="8">
        <v>1.239333333</v>
      </c>
      <c r="N6718">
        <v>1.177</v>
      </c>
      <c r="O6718" s="8">
        <v>1.177</v>
      </c>
      <c r="P6718" s="8">
        <f>EXP(-1.363+3.366*LOG(O6718,10))</f>
        <v>0.32472830656804619</v>
      </c>
      <c r="Q6718" s="8">
        <f>(859450.9*100)/14749408</f>
        <v>5.8270196336015658</v>
      </c>
    </row>
    <row r="6719" spans="1:17" x14ac:dyDescent="0.2">
      <c r="A6719">
        <v>2017</v>
      </c>
      <c r="B6719" t="s">
        <v>2290</v>
      </c>
      <c r="C6719" t="s">
        <v>2283</v>
      </c>
      <c r="D6719" t="s">
        <v>2288</v>
      </c>
      <c r="E6719">
        <v>3</v>
      </c>
      <c r="F6719" t="s">
        <v>2284</v>
      </c>
      <c r="G6719" t="s">
        <v>20</v>
      </c>
      <c r="H6719" t="s">
        <v>149</v>
      </c>
      <c r="I6719" t="s">
        <v>36</v>
      </c>
      <c r="J6719" t="s">
        <v>66</v>
      </c>
      <c r="K6719" t="s">
        <v>2285</v>
      </c>
      <c r="L6719" t="s">
        <v>25</v>
      </c>
      <c r="M6719" s="8">
        <v>1.032666667</v>
      </c>
      <c r="N6719">
        <v>1.175</v>
      </c>
      <c r="O6719" s="8">
        <v>1.175</v>
      </c>
      <c r="P6719" s="8">
        <f>EXP(-1.363+3.366*LOG(O6719,10))</f>
        <v>0.32392199738107635</v>
      </c>
      <c r="Q6719" s="8">
        <f>(1148193*100)/12288027</f>
        <v>9.3439980234418432</v>
      </c>
    </row>
    <row r="6720" spans="1:17" x14ac:dyDescent="0.2">
      <c r="A6720">
        <v>2018</v>
      </c>
      <c r="B6720" t="s">
        <v>2606</v>
      </c>
      <c r="C6720" t="s">
        <v>1635</v>
      </c>
      <c r="D6720" t="s">
        <v>2607</v>
      </c>
      <c r="E6720">
        <v>4</v>
      </c>
      <c r="F6720" t="s">
        <v>2284</v>
      </c>
      <c r="G6720" t="s">
        <v>20</v>
      </c>
      <c r="H6720" t="s">
        <v>2295</v>
      </c>
      <c r="I6720" t="s">
        <v>22</v>
      </c>
      <c r="J6720" t="s">
        <v>42</v>
      </c>
      <c r="K6720" t="s">
        <v>2285</v>
      </c>
      <c r="L6720" t="s">
        <v>25</v>
      </c>
      <c r="M6720" s="8">
        <v>1.1566666670000001</v>
      </c>
      <c r="N6720">
        <v>1.1739999999999999</v>
      </c>
      <c r="O6720" s="8">
        <v>1.1739999999999999</v>
      </c>
      <c r="P6720" s="8">
        <f>EXP(-1.363+3.366*LOG(O6720,10))</f>
        <v>0.32351908034862248</v>
      </c>
      <c r="Q6720" s="8">
        <f>(3602085*100)/4019599</f>
        <v>89.613043490159086</v>
      </c>
    </row>
    <row r="6721" spans="1:17" x14ac:dyDescent="0.2">
      <c r="A6721">
        <v>2011</v>
      </c>
      <c r="B6721" t="s">
        <v>1341</v>
      </c>
      <c r="C6721" t="s">
        <v>52</v>
      </c>
      <c r="D6721" t="s">
        <v>58</v>
      </c>
      <c r="E6721">
        <v>6</v>
      </c>
      <c r="F6721" t="s">
        <v>19</v>
      </c>
      <c r="G6721" t="s">
        <v>352</v>
      </c>
      <c r="H6721" t="s">
        <v>353</v>
      </c>
      <c r="I6721" t="s">
        <v>22</v>
      </c>
      <c r="J6721" t="s">
        <v>42</v>
      </c>
      <c r="K6721" t="s">
        <v>24</v>
      </c>
      <c r="L6721" t="s">
        <v>25</v>
      </c>
      <c r="M6721" s="8">
        <v>1.1623333330000001</v>
      </c>
      <c r="N6721">
        <v>1.1719999999999999</v>
      </c>
      <c r="O6721" s="8">
        <v>1.1719999999999999</v>
      </c>
      <c r="P6721" s="8">
        <f>EXP(-1.363+3.366*LOG(O6721,10))</f>
        <v>0.32271372176875684</v>
      </c>
      <c r="Q6721" s="8">
        <f>(1626350*100)/1973941</f>
        <v>82.391013713175823</v>
      </c>
    </row>
    <row r="6722" spans="1:17" x14ac:dyDescent="0.2">
      <c r="A6722">
        <v>2018</v>
      </c>
      <c r="B6722" t="s">
        <v>2908</v>
      </c>
      <c r="C6722" t="s">
        <v>2287</v>
      </c>
      <c r="D6722" t="s">
        <v>2907</v>
      </c>
      <c r="E6722">
        <v>9</v>
      </c>
      <c r="F6722" t="s">
        <v>2284</v>
      </c>
      <c r="G6722" t="s">
        <v>332</v>
      </c>
      <c r="H6722" t="s">
        <v>327</v>
      </c>
      <c r="I6722" t="s">
        <v>22</v>
      </c>
      <c r="J6722" t="s">
        <v>66</v>
      </c>
      <c r="K6722" t="s">
        <v>2285</v>
      </c>
      <c r="L6722" t="s">
        <v>25</v>
      </c>
      <c r="M6722" s="8">
        <v>1.239333333</v>
      </c>
      <c r="N6722">
        <v>1.1719999999999999</v>
      </c>
      <c r="O6722" s="8">
        <v>1.1719999999999999</v>
      </c>
      <c r="P6722" s="8">
        <f>EXP(-1.363+3.366*LOG(O6722,10))</f>
        <v>0.32271372176875684</v>
      </c>
      <c r="Q6722" s="8">
        <f>(859450.9*100)/14749408</f>
        <v>5.8270196336015658</v>
      </c>
    </row>
    <row r="6723" spans="1:17" x14ac:dyDescent="0.2">
      <c r="A6723">
        <v>2011</v>
      </c>
      <c r="B6723" t="s">
        <v>1101</v>
      </c>
      <c r="C6723" t="s">
        <v>52</v>
      </c>
      <c r="D6723" t="s">
        <v>58</v>
      </c>
      <c r="E6723">
        <v>6</v>
      </c>
      <c r="F6723" t="s">
        <v>19</v>
      </c>
      <c r="G6723" t="s">
        <v>352</v>
      </c>
      <c r="H6723" t="s">
        <v>975</v>
      </c>
      <c r="I6723" t="s">
        <v>22</v>
      </c>
      <c r="J6723" t="s">
        <v>42</v>
      </c>
      <c r="K6723" t="s">
        <v>24</v>
      </c>
      <c r="L6723" t="s">
        <v>25</v>
      </c>
      <c r="M6723" s="8">
        <v>1.0693333330000001</v>
      </c>
      <c r="N6723">
        <v>1.171</v>
      </c>
      <c r="O6723" s="8">
        <v>1.171</v>
      </c>
      <c r="P6723" s="8">
        <f>EXP(-1.363+3.366*LOG(O6723,10))</f>
        <v>0.32231128036682255</v>
      </c>
      <c r="Q6723" s="8">
        <f>(1626350*100)/1973941</f>
        <v>82.391013713175823</v>
      </c>
    </row>
    <row r="6724" spans="1:17" x14ac:dyDescent="0.2">
      <c r="A6724">
        <v>2018</v>
      </c>
      <c r="B6724" t="s">
        <v>2702</v>
      </c>
      <c r="C6724" t="s">
        <v>50</v>
      </c>
      <c r="D6724" t="s">
        <v>2703</v>
      </c>
      <c r="E6724">
        <v>5</v>
      </c>
      <c r="F6724" t="s">
        <v>2284</v>
      </c>
      <c r="G6724" t="s">
        <v>20</v>
      </c>
      <c r="H6724" t="s">
        <v>171</v>
      </c>
      <c r="I6724" t="s">
        <v>22</v>
      </c>
      <c r="J6724" t="s">
        <v>42</v>
      </c>
      <c r="K6724" t="s">
        <v>2285</v>
      </c>
      <c r="L6724" t="s">
        <v>25</v>
      </c>
      <c r="M6724" s="8">
        <v>1.258</v>
      </c>
      <c r="N6724">
        <v>1.171</v>
      </c>
      <c r="O6724" s="8">
        <v>1.171</v>
      </c>
      <c r="P6724" s="8">
        <f>EXP(-1.363+3.366*LOG(O6724,10))</f>
        <v>0.32231128036682255</v>
      </c>
      <c r="Q6724" s="8">
        <f>(4488342*100)/4914798</f>
        <v>91.323020803703429</v>
      </c>
    </row>
    <row r="6725" spans="1:17" x14ac:dyDescent="0.2">
      <c r="A6725">
        <v>2018</v>
      </c>
      <c r="B6725" t="s">
        <v>2976</v>
      </c>
      <c r="C6725" t="s">
        <v>50</v>
      </c>
      <c r="D6725" t="s">
        <v>2975</v>
      </c>
      <c r="E6725">
        <v>10</v>
      </c>
      <c r="F6725" t="s">
        <v>2284</v>
      </c>
      <c r="G6725" t="s">
        <v>352</v>
      </c>
      <c r="H6725" t="s">
        <v>1142</v>
      </c>
      <c r="I6725" t="s">
        <v>22</v>
      </c>
      <c r="J6725" t="s">
        <v>42</v>
      </c>
      <c r="K6725" t="s">
        <v>2285</v>
      </c>
      <c r="L6725" t="s">
        <v>25</v>
      </c>
      <c r="M6725" s="8">
        <v>1.1423333330000001</v>
      </c>
      <c r="N6725">
        <v>1.169</v>
      </c>
      <c r="O6725" s="8">
        <v>1.169</v>
      </c>
      <c r="P6725" s="8">
        <f>EXP(-1.363+3.366*LOG(O6725,10))</f>
        <v>0.3215068737033614</v>
      </c>
      <c r="Q6725" s="8">
        <f>(4488342*100)/4914798</f>
        <v>91.323020803703429</v>
      </c>
    </row>
    <row r="6726" spans="1:17" x14ac:dyDescent="0.2">
      <c r="A6726">
        <v>2018</v>
      </c>
      <c r="B6726" t="s">
        <v>2857</v>
      </c>
      <c r="C6726" t="s">
        <v>2283</v>
      </c>
      <c r="D6726" t="s">
        <v>2838</v>
      </c>
      <c r="E6726">
        <v>8</v>
      </c>
      <c r="F6726" t="s">
        <v>2284</v>
      </c>
      <c r="G6726" t="s">
        <v>332</v>
      </c>
      <c r="H6726" t="s">
        <v>327</v>
      </c>
      <c r="I6726" t="s">
        <v>22</v>
      </c>
      <c r="J6726" t="s">
        <v>66</v>
      </c>
      <c r="K6726" t="s">
        <v>2285</v>
      </c>
      <c r="L6726" t="s">
        <v>25</v>
      </c>
      <c r="M6726" s="8">
        <v>1.239333333</v>
      </c>
      <c r="N6726">
        <v>1.165</v>
      </c>
      <c r="O6726" s="8">
        <v>1.165</v>
      </c>
      <c r="P6726" s="8">
        <f>EXP(-1.363+3.366*LOG(O6726,10))</f>
        <v>0.31989996698481304</v>
      </c>
      <c r="Q6726" s="8">
        <f>(1148193*100)/12288027</f>
        <v>9.3439980234418432</v>
      </c>
    </row>
    <row r="6727" spans="1:17" x14ac:dyDescent="0.2">
      <c r="A6727">
        <v>2014</v>
      </c>
      <c r="B6727" t="s">
        <v>1640</v>
      </c>
      <c r="C6727" t="s">
        <v>1635</v>
      </c>
      <c r="D6727" t="s">
        <v>1558</v>
      </c>
      <c r="E6727">
        <v>6</v>
      </c>
      <c r="F6727" t="s">
        <v>19</v>
      </c>
      <c r="G6727" t="s">
        <v>332</v>
      </c>
      <c r="H6727" t="s">
        <v>1641</v>
      </c>
      <c r="I6727" t="s">
        <v>36</v>
      </c>
      <c r="J6727" t="s">
        <v>42</v>
      </c>
      <c r="K6727" t="s">
        <v>1543</v>
      </c>
      <c r="L6727" t="s">
        <v>26</v>
      </c>
      <c r="M6727" s="8" t="s">
        <v>26</v>
      </c>
      <c r="N6727">
        <v>1.1639999999999999</v>
      </c>
      <c r="O6727" s="8">
        <v>1.1639999999999999</v>
      </c>
      <c r="P6727" s="8">
        <f>EXP(-1.363+3.366*LOG(O6727,10))</f>
        <v>0.31949863794278327</v>
      </c>
      <c r="Q6727" s="8">
        <f>(3602085*100)/4019599</f>
        <v>89.613043490159086</v>
      </c>
    </row>
    <row r="6728" spans="1:17" x14ac:dyDescent="0.2">
      <c r="A6728">
        <v>2017</v>
      </c>
      <c r="B6728" t="s">
        <v>2334</v>
      </c>
      <c r="C6728" t="s">
        <v>52</v>
      </c>
      <c r="D6728" t="s">
        <v>2330</v>
      </c>
      <c r="E6728">
        <v>3</v>
      </c>
      <c r="F6728" t="s">
        <v>2284</v>
      </c>
      <c r="G6728" t="s">
        <v>352</v>
      </c>
      <c r="H6728" t="s">
        <v>975</v>
      </c>
      <c r="I6728" t="s">
        <v>22</v>
      </c>
      <c r="J6728" t="s">
        <v>42</v>
      </c>
      <c r="K6728" t="s">
        <v>2285</v>
      </c>
      <c r="L6728" t="s">
        <v>25</v>
      </c>
      <c r="M6728" s="8">
        <v>1.0693333330000001</v>
      </c>
      <c r="N6728">
        <v>1.1639999999999999</v>
      </c>
      <c r="O6728" s="8">
        <v>1.1639999999999999</v>
      </c>
      <c r="P6728" s="8">
        <f>EXP(-1.363+3.366*LOG(O6728,10))</f>
        <v>0.31949863794278327</v>
      </c>
      <c r="Q6728" s="8">
        <f>(1626350*100)/1973941</f>
        <v>82.391013713175823</v>
      </c>
    </row>
    <row r="6729" spans="1:17" x14ac:dyDescent="0.2">
      <c r="A6729">
        <v>2017</v>
      </c>
      <c r="B6729" t="s">
        <v>2399</v>
      </c>
      <c r="C6729" t="s">
        <v>1635</v>
      </c>
      <c r="D6729" t="s">
        <v>2397</v>
      </c>
      <c r="E6729">
        <v>5</v>
      </c>
      <c r="F6729" t="s">
        <v>2284</v>
      </c>
      <c r="G6729" t="s">
        <v>20</v>
      </c>
      <c r="H6729" t="s">
        <v>2295</v>
      </c>
      <c r="I6729" t="s">
        <v>22</v>
      </c>
      <c r="J6729" t="s">
        <v>42</v>
      </c>
      <c r="K6729" t="s">
        <v>2285</v>
      </c>
      <c r="L6729" t="s">
        <v>25</v>
      </c>
      <c r="M6729" s="8">
        <v>1.1566666670000001</v>
      </c>
      <c r="N6729">
        <v>1.1619999999999999</v>
      </c>
      <c r="O6729" s="8">
        <v>1.1619999999999999</v>
      </c>
      <c r="P6729" s="8">
        <f>EXP(-1.363+3.366*LOG(O6729,10))</f>
        <v>0.31869645753841269</v>
      </c>
      <c r="Q6729" s="8">
        <f>(3602085*100)/4019599</f>
        <v>89.613043490159086</v>
      </c>
    </row>
    <row r="6730" spans="1:17" x14ac:dyDescent="0.2">
      <c r="A6730">
        <v>2017</v>
      </c>
      <c r="B6730" t="s">
        <v>2292</v>
      </c>
      <c r="C6730" t="s">
        <v>2283</v>
      </c>
      <c r="D6730" t="s">
        <v>2288</v>
      </c>
      <c r="E6730">
        <v>3</v>
      </c>
      <c r="F6730" t="s">
        <v>2284</v>
      </c>
      <c r="G6730" t="s">
        <v>20</v>
      </c>
      <c r="H6730" t="s">
        <v>149</v>
      </c>
      <c r="I6730" t="s">
        <v>36</v>
      </c>
      <c r="J6730" t="s">
        <v>66</v>
      </c>
      <c r="K6730" t="s">
        <v>2285</v>
      </c>
      <c r="L6730" t="s">
        <v>25</v>
      </c>
      <c r="M6730" s="8">
        <v>1.032666667</v>
      </c>
      <c r="N6730">
        <v>1.1599999999999999</v>
      </c>
      <c r="O6730" s="8">
        <v>1.1599999999999999</v>
      </c>
      <c r="P6730" s="8">
        <f>EXP(-1.363+3.366*LOG(O6730,10))</f>
        <v>0.31789491453181007</v>
      </c>
      <c r="Q6730" s="8">
        <f>(1148193*100)/12288027</f>
        <v>9.3439980234418432</v>
      </c>
    </row>
    <row r="6731" spans="1:17" x14ac:dyDescent="0.2">
      <c r="A6731">
        <v>2018</v>
      </c>
      <c r="B6731" t="s">
        <v>2878</v>
      </c>
      <c r="C6731" t="s">
        <v>50</v>
      </c>
      <c r="D6731" t="s">
        <v>2874</v>
      </c>
      <c r="E6731">
        <v>8</v>
      </c>
      <c r="F6731" t="s">
        <v>2284</v>
      </c>
      <c r="G6731" t="s">
        <v>332</v>
      </c>
      <c r="H6731" t="s">
        <v>330</v>
      </c>
      <c r="I6731" t="s">
        <v>22</v>
      </c>
      <c r="J6731" t="s">
        <v>42</v>
      </c>
      <c r="K6731" t="s">
        <v>2285</v>
      </c>
      <c r="L6731" t="s">
        <v>25</v>
      </c>
      <c r="M6731" s="8">
        <v>1.2170000000000001</v>
      </c>
      <c r="N6731">
        <v>1.157</v>
      </c>
      <c r="O6731" s="8">
        <v>1.157</v>
      </c>
      <c r="P6731" s="8">
        <f>EXP(-1.363+3.366*LOG(O6731,10))</f>
        <v>0.31669379643637297</v>
      </c>
      <c r="Q6731" s="8">
        <f>(4488342*100)/4914798</f>
        <v>91.323020803703429</v>
      </c>
    </row>
    <row r="6732" spans="1:17" x14ac:dyDescent="0.2">
      <c r="A6732">
        <v>2018</v>
      </c>
      <c r="B6732" t="s">
        <v>2912</v>
      </c>
      <c r="C6732" t="s">
        <v>2283</v>
      </c>
      <c r="D6732" t="s">
        <v>2911</v>
      </c>
      <c r="E6732">
        <v>9</v>
      </c>
      <c r="F6732" t="s">
        <v>2284</v>
      </c>
      <c r="G6732" t="s">
        <v>332</v>
      </c>
      <c r="H6732" t="s">
        <v>327</v>
      </c>
      <c r="I6732" t="s">
        <v>22</v>
      </c>
      <c r="J6732" t="s">
        <v>66</v>
      </c>
      <c r="K6732" t="s">
        <v>2285</v>
      </c>
      <c r="L6732" t="s">
        <v>25</v>
      </c>
      <c r="M6732" s="8">
        <v>1.239333333</v>
      </c>
      <c r="N6732">
        <v>1.1559999999999999</v>
      </c>
      <c r="O6732" s="8">
        <v>1.1559999999999999</v>
      </c>
      <c r="P6732" s="8">
        <f>EXP(-1.363+3.366*LOG(O6732,10))</f>
        <v>0.31629374307822899</v>
      </c>
      <c r="Q6732" s="8">
        <f>(1148193*100)/12288027</f>
        <v>9.3439980234418432</v>
      </c>
    </row>
    <row r="6733" spans="1:17" x14ac:dyDescent="0.2">
      <c r="A6733">
        <v>2018</v>
      </c>
      <c r="B6733" t="s">
        <v>2642</v>
      </c>
      <c r="C6733" t="s">
        <v>2287</v>
      </c>
      <c r="D6733" t="s">
        <v>2638</v>
      </c>
      <c r="E6733">
        <v>4</v>
      </c>
      <c r="F6733" t="s">
        <v>2284</v>
      </c>
      <c r="G6733" t="s">
        <v>352</v>
      </c>
      <c r="H6733" t="s">
        <v>1387</v>
      </c>
      <c r="I6733" t="s">
        <v>22</v>
      </c>
      <c r="J6733" t="s">
        <v>66</v>
      </c>
      <c r="K6733" t="s">
        <v>2285</v>
      </c>
      <c r="L6733" t="s">
        <v>25</v>
      </c>
      <c r="M6733" s="8" t="s">
        <v>26</v>
      </c>
      <c r="N6733">
        <v>1.153</v>
      </c>
      <c r="O6733" s="8">
        <v>1.153</v>
      </c>
      <c r="P6733" s="8">
        <f>EXP(-1.363+3.366*LOG(O6733,10))</f>
        <v>0.31509454206557952</v>
      </c>
      <c r="Q6733" s="8">
        <f>(859450.9*100)/14749408</f>
        <v>5.8270196336015658</v>
      </c>
    </row>
    <row r="6734" spans="1:17" x14ac:dyDescent="0.2">
      <c r="A6734">
        <v>2011</v>
      </c>
      <c r="B6734" t="s">
        <v>1081</v>
      </c>
      <c r="C6734" t="s">
        <v>65</v>
      </c>
      <c r="D6734" t="s">
        <v>71</v>
      </c>
      <c r="E6734">
        <v>7</v>
      </c>
      <c r="F6734" t="s">
        <v>19</v>
      </c>
      <c r="G6734" t="s">
        <v>352</v>
      </c>
      <c r="H6734" t="s">
        <v>975</v>
      </c>
      <c r="I6734" t="s">
        <v>22</v>
      </c>
      <c r="J6734" t="s">
        <v>66</v>
      </c>
      <c r="K6734" t="s">
        <v>24</v>
      </c>
      <c r="L6734" t="s">
        <v>25</v>
      </c>
      <c r="M6734" s="8">
        <v>1.0693333330000001</v>
      </c>
      <c r="N6734">
        <v>1.1499999999999999</v>
      </c>
      <c r="O6734" s="8">
        <v>1.1499999999999999</v>
      </c>
      <c r="P6734" s="8">
        <f>EXP(-1.363+3.366*LOG(O6734,10))</f>
        <v>0.31389678121197528</v>
      </c>
      <c r="Q6734" s="8">
        <f>(1788886*100)/6788946</f>
        <v>26.349981278389901</v>
      </c>
    </row>
    <row r="6735" spans="1:17" x14ac:dyDescent="0.2">
      <c r="A6735">
        <v>2018</v>
      </c>
      <c r="B6735" t="s">
        <v>2649</v>
      </c>
      <c r="C6735" t="s">
        <v>50</v>
      </c>
      <c r="D6735" t="s">
        <v>2645</v>
      </c>
      <c r="E6735">
        <v>5</v>
      </c>
      <c r="F6735" t="s">
        <v>2284</v>
      </c>
      <c r="G6735" t="s">
        <v>20</v>
      </c>
      <c r="H6735" t="s">
        <v>2601</v>
      </c>
      <c r="I6735" t="s">
        <v>36</v>
      </c>
      <c r="J6735" t="s">
        <v>42</v>
      </c>
      <c r="K6735" t="s">
        <v>2285</v>
      </c>
      <c r="L6735" t="s">
        <v>25</v>
      </c>
      <c r="M6735" s="8">
        <v>1.2030000000000001</v>
      </c>
      <c r="N6735">
        <v>1.149</v>
      </c>
      <c r="O6735" s="8">
        <v>1.149</v>
      </c>
      <c r="P6735" s="8">
        <f>EXP(-1.363+3.366*LOG(O6735,10))</f>
        <v>0.31349784797846325</v>
      </c>
      <c r="Q6735" s="8">
        <f>(4488342*100)/4914798</f>
        <v>91.323020803703429</v>
      </c>
    </row>
    <row r="6736" spans="1:17" x14ac:dyDescent="0.2">
      <c r="A6736">
        <v>2017</v>
      </c>
      <c r="B6736" t="s">
        <v>2515</v>
      </c>
      <c r="C6736" t="s">
        <v>2283</v>
      </c>
      <c r="D6736" t="s">
        <v>2501</v>
      </c>
      <c r="E6736">
        <v>6</v>
      </c>
      <c r="F6736" t="s">
        <v>2284</v>
      </c>
      <c r="G6736" t="s">
        <v>352</v>
      </c>
      <c r="H6736" t="s">
        <v>1387</v>
      </c>
      <c r="I6736" t="s">
        <v>22</v>
      </c>
      <c r="J6736" t="s">
        <v>66</v>
      </c>
      <c r="K6736" t="s">
        <v>2285</v>
      </c>
      <c r="L6736" t="s">
        <v>25</v>
      </c>
      <c r="M6736" s="8" t="s">
        <v>26</v>
      </c>
      <c r="N6736">
        <v>1.1479999999999999</v>
      </c>
      <c r="O6736" s="8">
        <v>1.1479999999999999</v>
      </c>
      <c r="P6736" s="8">
        <f>EXP(-1.363+3.366*LOG(O6736,10))</f>
        <v>0.31309907506210993</v>
      </c>
      <c r="Q6736" s="8">
        <f>(1148193*100)/12288027</f>
        <v>9.3439980234418432</v>
      </c>
    </row>
    <row r="6737" spans="1:17" x14ac:dyDescent="0.2">
      <c r="A6737">
        <v>2011</v>
      </c>
      <c r="B6737" t="s">
        <v>1100</v>
      </c>
      <c r="C6737" t="s">
        <v>52</v>
      </c>
      <c r="D6737" t="s">
        <v>58</v>
      </c>
      <c r="E6737">
        <v>6</v>
      </c>
      <c r="F6737" t="s">
        <v>19</v>
      </c>
      <c r="G6737" t="s">
        <v>352</v>
      </c>
      <c r="H6737" t="s">
        <v>975</v>
      </c>
      <c r="I6737" t="s">
        <v>22</v>
      </c>
      <c r="J6737" t="s">
        <v>42</v>
      </c>
      <c r="K6737" t="s">
        <v>24</v>
      </c>
      <c r="L6737" t="s">
        <v>25</v>
      </c>
      <c r="M6737" s="8">
        <v>1.0693333330000001</v>
      </c>
      <c r="N6737">
        <v>1.147</v>
      </c>
      <c r="O6737" s="8">
        <v>1.147</v>
      </c>
      <c r="P6737" s="8">
        <f>EXP(-1.363+3.366*LOG(O6737,10))</f>
        <v>0.31270046253805456</v>
      </c>
      <c r="Q6737" s="8">
        <f>(1626350*100)/1973941</f>
        <v>82.391013713175823</v>
      </c>
    </row>
    <row r="6738" spans="1:17" x14ac:dyDescent="0.2">
      <c r="A6738">
        <v>2011</v>
      </c>
      <c r="B6738" t="s">
        <v>1082</v>
      </c>
      <c r="C6738" t="s">
        <v>65</v>
      </c>
      <c r="D6738" t="s">
        <v>71</v>
      </c>
      <c r="E6738">
        <v>7</v>
      </c>
      <c r="F6738" t="s">
        <v>19</v>
      </c>
      <c r="G6738" t="s">
        <v>352</v>
      </c>
      <c r="H6738" t="s">
        <v>975</v>
      </c>
      <c r="I6738" t="s">
        <v>22</v>
      </c>
      <c r="J6738" t="s">
        <v>66</v>
      </c>
      <c r="K6738" t="s">
        <v>24</v>
      </c>
      <c r="L6738" t="s">
        <v>25</v>
      </c>
      <c r="M6738" s="8">
        <v>1.0693333330000001</v>
      </c>
      <c r="N6738">
        <v>1.1419999999999999</v>
      </c>
      <c r="O6738" s="8">
        <v>1.1419999999999999</v>
      </c>
      <c r="P6738" s="8">
        <f>EXP(-1.363+3.366*LOG(O6738,10))</f>
        <v>0.31070980843918017</v>
      </c>
      <c r="Q6738" s="8">
        <f>(1788886*100)/6788946</f>
        <v>26.349981278389901</v>
      </c>
    </row>
    <row r="6739" spans="1:17" x14ac:dyDescent="0.2">
      <c r="A6739">
        <v>2018</v>
      </c>
      <c r="B6739" t="s">
        <v>2826</v>
      </c>
      <c r="C6739" t="s">
        <v>1635</v>
      </c>
      <c r="D6739" t="s">
        <v>2809</v>
      </c>
      <c r="E6739">
        <v>8</v>
      </c>
      <c r="F6739" t="s">
        <v>2284</v>
      </c>
      <c r="G6739" t="s">
        <v>352</v>
      </c>
      <c r="H6739" t="s">
        <v>1142</v>
      </c>
      <c r="I6739" t="s">
        <v>36</v>
      </c>
      <c r="J6739" t="s">
        <v>42</v>
      </c>
      <c r="K6739" t="s">
        <v>2285</v>
      </c>
      <c r="L6739" t="s">
        <v>25</v>
      </c>
      <c r="M6739" s="8">
        <v>0.93500000000000005</v>
      </c>
      <c r="N6739">
        <v>1.141</v>
      </c>
      <c r="O6739" s="8">
        <v>1.141</v>
      </c>
      <c r="P6739" s="8">
        <f>EXP(-1.363+3.366*LOG(O6739,10))</f>
        <v>0.31031215985249122</v>
      </c>
      <c r="Q6739" s="8">
        <f>(3602085*100)/4019599</f>
        <v>89.613043490159086</v>
      </c>
    </row>
    <row r="6740" spans="1:17" x14ac:dyDescent="0.2">
      <c r="A6740">
        <v>2018</v>
      </c>
      <c r="B6740" t="s">
        <v>2855</v>
      </c>
      <c r="C6740" t="s">
        <v>2283</v>
      </c>
      <c r="D6740" t="s">
        <v>2838</v>
      </c>
      <c r="E6740">
        <v>8</v>
      </c>
      <c r="F6740" t="s">
        <v>2284</v>
      </c>
      <c r="G6740" t="s">
        <v>332</v>
      </c>
      <c r="H6740" t="s">
        <v>327</v>
      </c>
      <c r="I6740" t="s">
        <v>22</v>
      </c>
      <c r="J6740" t="s">
        <v>66</v>
      </c>
      <c r="K6740" t="s">
        <v>2285</v>
      </c>
      <c r="L6740" t="s">
        <v>25</v>
      </c>
      <c r="M6740" s="8">
        <v>1.239333333</v>
      </c>
      <c r="N6740">
        <v>1.139</v>
      </c>
      <c r="O6740" s="8">
        <v>1.139</v>
      </c>
      <c r="P6740" s="8">
        <f>EXP(-1.363+3.366*LOG(O6740,10))</f>
        <v>0.30951734551838006</v>
      </c>
      <c r="Q6740" s="8">
        <f>(1148193*100)/12288027</f>
        <v>9.3439980234418432</v>
      </c>
    </row>
    <row r="6741" spans="1:17" x14ac:dyDescent="0.2">
      <c r="A6741">
        <v>2017</v>
      </c>
      <c r="B6741" t="s">
        <v>2450</v>
      </c>
      <c r="C6741" t="s">
        <v>1635</v>
      </c>
      <c r="D6741" t="s">
        <v>2440</v>
      </c>
      <c r="E6741">
        <v>5</v>
      </c>
      <c r="F6741" t="s">
        <v>2284</v>
      </c>
      <c r="G6741" t="s">
        <v>352</v>
      </c>
      <c r="H6741" t="s">
        <v>1142</v>
      </c>
      <c r="I6741" t="s">
        <v>22</v>
      </c>
      <c r="J6741" t="s">
        <v>42</v>
      </c>
      <c r="K6741" t="s">
        <v>2285</v>
      </c>
      <c r="L6741" t="s">
        <v>25</v>
      </c>
      <c r="M6741" s="8">
        <v>1.1423333330000001</v>
      </c>
      <c r="N6741">
        <v>1.1379999999999999</v>
      </c>
      <c r="O6741" s="8">
        <v>1.1379999999999999</v>
      </c>
      <c r="P6741" s="8">
        <f>EXP(-1.363+3.366*LOG(O6741,10))</f>
        <v>0.3091201799229632</v>
      </c>
      <c r="Q6741" s="8">
        <f>(3602085*100)/4019599</f>
        <v>89.613043490159086</v>
      </c>
    </row>
    <row r="6742" spans="1:17" x14ac:dyDescent="0.2">
      <c r="A6742">
        <v>2017</v>
      </c>
      <c r="B6742" t="s">
        <v>2525</v>
      </c>
      <c r="C6742" t="s">
        <v>50</v>
      </c>
      <c r="D6742" t="s">
        <v>2523</v>
      </c>
      <c r="E6742">
        <v>6</v>
      </c>
      <c r="F6742" t="s">
        <v>2284</v>
      </c>
      <c r="G6742" t="s">
        <v>20</v>
      </c>
      <c r="H6742" t="s">
        <v>2295</v>
      </c>
      <c r="I6742" t="s">
        <v>22</v>
      </c>
      <c r="J6742" t="s">
        <v>42</v>
      </c>
      <c r="K6742" t="s">
        <v>2285</v>
      </c>
      <c r="L6742" t="s">
        <v>25</v>
      </c>
      <c r="M6742" s="8">
        <v>1.1566666670000001</v>
      </c>
      <c r="N6742">
        <v>1.1319999999999999</v>
      </c>
      <c r="O6742" s="8">
        <v>1.1319999999999999</v>
      </c>
      <c r="P6742" s="8">
        <f>EXP(-1.363+3.366*LOG(O6742,10))</f>
        <v>0.30674057315777897</v>
      </c>
      <c r="Q6742" s="8">
        <f>(4488342*100)/4914798</f>
        <v>91.323020803703429</v>
      </c>
    </row>
    <row r="6743" spans="1:17" x14ac:dyDescent="0.2">
      <c r="A6743">
        <v>2017</v>
      </c>
      <c r="B6743" t="s">
        <v>2386</v>
      </c>
      <c r="C6743" t="s">
        <v>50</v>
      </c>
      <c r="D6743" t="s">
        <v>2385</v>
      </c>
      <c r="E6743">
        <v>4</v>
      </c>
      <c r="F6743" t="s">
        <v>2284</v>
      </c>
      <c r="G6743" t="s">
        <v>20</v>
      </c>
      <c r="H6743" t="s">
        <v>2295</v>
      </c>
      <c r="I6743" t="s">
        <v>36</v>
      </c>
      <c r="J6743" t="s">
        <v>42</v>
      </c>
      <c r="K6743" t="s">
        <v>2285</v>
      </c>
      <c r="L6743" t="s">
        <v>25</v>
      </c>
      <c r="M6743" s="8">
        <v>1.0436666670000001</v>
      </c>
      <c r="N6743">
        <v>1.127</v>
      </c>
      <c r="O6743" s="8">
        <v>1.127</v>
      </c>
      <c r="P6743" s="8">
        <f>EXP(-1.363+3.366*LOG(O6743,10))</f>
        <v>0.30476201105342549</v>
      </c>
      <c r="Q6743" s="8">
        <f>(4488342*100)/4914798</f>
        <v>91.323020803703429</v>
      </c>
    </row>
    <row r="6744" spans="1:17" x14ac:dyDescent="0.2">
      <c r="A6744">
        <v>2011</v>
      </c>
      <c r="B6744" t="s">
        <v>1339</v>
      </c>
      <c r="C6744" t="s">
        <v>60</v>
      </c>
      <c r="D6744" t="s">
        <v>190</v>
      </c>
      <c r="E6744">
        <v>7</v>
      </c>
      <c r="F6744" t="s">
        <v>19</v>
      </c>
      <c r="G6744" t="s">
        <v>352</v>
      </c>
      <c r="H6744" t="s">
        <v>353</v>
      </c>
      <c r="I6744" t="s">
        <v>22</v>
      </c>
      <c r="J6744" t="s">
        <v>31</v>
      </c>
      <c r="K6744" t="s">
        <v>24</v>
      </c>
      <c r="L6744" t="s">
        <v>25</v>
      </c>
      <c r="M6744" s="8">
        <v>1.1623333330000001</v>
      </c>
      <c r="N6744">
        <v>1.1259999999999999</v>
      </c>
      <c r="O6744" s="8">
        <v>1.1259999999999999</v>
      </c>
      <c r="P6744" s="8">
        <f>EXP(-1.363+3.366*LOG(O6744,10))</f>
        <v>0.30436678430518044</v>
      </c>
      <c r="Q6744" s="8">
        <f>(27433.05*100)/7611378</f>
        <v>0.36042159514348127</v>
      </c>
    </row>
    <row r="6745" spans="1:17" x14ac:dyDescent="0.2">
      <c r="A6745">
        <v>2017</v>
      </c>
      <c r="B6745" t="s">
        <v>2365</v>
      </c>
      <c r="C6745" t="s">
        <v>50</v>
      </c>
      <c r="D6745" t="s">
        <v>2355</v>
      </c>
      <c r="E6745">
        <v>4</v>
      </c>
      <c r="F6745" t="s">
        <v>2284</v>
      </c>
      <c r="G6745" t="s">
        <v>20</v>
      </c>
      <c r="H6745" t="s">
        <v>2295</v>
      </c>
      <c r="I6745" t="s">
        <v>36</v>
      </c>
      <c r="J6745" t="s">
        <v>42</v>
      </c>
      <c r="K6745" t="s">
        <v>2285</v>
      </c>
      <c r="L6745" t="s">
        <v>25</v>
      </c>
      <c r="M6745" s="8">
        <v>1.0436666670000001</v>
      </c>
      <c r="N6745">
        <v>1.1259999999999999</v>
      </c>
      <c r="O6745" s="8">
        <v>1.1259999999999999</v>
      </c>
      <c r="P6745" s="8">
        <f>EXP(-1.363+3.366*LOG(O6745,10))</f>
        <v>0.30436678430518044</v>
      </c>
      <c r="Q6745" s="8">
        <f>(4488342*100)/4914798</f>
        <v>91.323020803703429</v>
      </c>
    </row>
    <row r="6746" spans="1:17" x14ac:dyDescent="0.2">
      <c r="A6746">
        <v>2017</v>
      </c>
      <c r="B6746" t="s">
        <v>2498</v>
      </c>
      <c r="C6746" t="s">
        <v>2283</v>
      </c>
      <c r="D6746" t="s">
        <v>2485</v>
      </c>
      <c r="E6746">
        <v>5</v>
      </c>
      <c r="F6746" t="s">
        <v>2284</v>
      </c>
      <c r="G6746" t="s">
        <v>352</v>
      </c>
      <c r="H6746" t="s">
        <v>975</v>
      </c>
      <c r="I6746" t="s">
        <v>22</v>
      </c>
      <c r="J6746" t="s">
        <v>66</v>
      </c>
      <c r="K6746" t="s">
        <v>2285</v>
      </c>
      <c r="L6746" t="s">
        <v>25</v>
      </c>
      <c r="M6746" s="8">
        <v>1.0693333330000001</v>
      </c>
      <c r="N6746">
        <v>1.1240000000000001</v>
      </c>
      <c r="O6746" s="8">
        <v>1.1240000000000001</v>
      </c>
      <c r="P6746" s="8">
        <f>EXP(-1.363+3.366*LOG(O6746,10))</f>
        <v>0.30357681709994905</v>
      </c>
      <c r="Q6746" s="8">
        <f>(1148193*100)/12288027</f>
        <v>9.3439980234418432</v>
      </c>
    </row>
    <row r="6747" spans="1:17" x14ac:dyDescent="0.2">
      <c r="A6747">
        <v>2017</v>
      </c>
      <c r="B6747" t="s">
        <v>2537</v>
      </c>
      <c r="C6747" t="s">
        <v>2283</v>
      </c>
      <c r="D6747" t="s">
        <v>2533</v>
      </c>
      <c r="E6747">
        <v>6</v>
      </c>
      <c r="F6747" t="s">
        <v>2284</v>
      </c>
      <c r="G6747" t="s">
        <v>352</v>
      </c>
      <c r="H6747" t="s">
        <v>480</v>
      </c>
      <c r="I6747" t="s">
        <v>22</v>
      </c>
      <c r="J6747" t="s">
        <v>66</v>
      </c>
      <c r="K6747" t="s">
        <v>2285</v>
      </c>
      <c r="L6747" t="s">
        <v>25</v>
      </c>
      <c r="M6747" s="8" t="s">
        <v>26</v>
      </c>
      <c r="N6747">
        <v>1.1240000000000001</v>
      </c>
      <c r="O6747" s="8">
        <v>1.1240000000000001</v>
      </c>
      <c r="P6747" s="8">
        <f>EXP(-1.363+3.366*LOG(O6747,10))</f>
        <v>0.30357681709994905</v>
      </c>
      <c r="Q6747" s="8">
        <f>(1148193*100)/12288027</f>
        <v>9.3439980234418432</v>
      </c>
    </row>
    <row r="6748" spans="1:17" x14ac:dyDescent="0.2">
      <c r="A6748">
        <v>2011</v>
      </c>
      <c r="B6748" t="s">
        <v>1095</v>
      </c>
      <c r="C6748" t="s">
        <v>52</v>
      </c>
      <c r="D6748" t="s">
        <v>58</v>
      </c>
      <c r="E6748">
        <v>6</v>
      </c>
      <c r="F6748" t="s">
        <v>19</v>
      </c>
      <c r="G6748" t="s">
        <v>352</v>
      </c>
      <c r="H6748" t="s">
        <v>975</v>
      </c>
      <c r="I6748" t="s">
        <v>22</v>
      </c>
      <c r="J6748" t="s">
        <v>42</v>
      </c>
      <c r="K6748" t="s">
        <v>24</v>
      </c>
      <c r="L6748" t="s">
        <v>25</v>
      </c>
      <c r="M6748" s="8">
        <v>1.0693333330000001</v>
      </c>
      <c r="N6748">
        <v>1.123</v>
      </c>
      <c r="O6748" s="8">
        <v>1.123</v>
      </c>
      <c r="P6748" s="8">
        <f>EXP(-1.363+3.366*LOG(O6748,10))</f>
        <v>0.30318207679809628</v>
      </c>
      <c r="Q6748" s="8">
        <f>(1626350*100)/1973941</f>
        <v>82.391013713175823</v>
      </c>
    </row>
    <row r="6749" spans="1:17" x14ac:dyDescent="0.2">
      <c r="A6749">
        <v>2014</v>
      </c>
      <c r="B6749" t="s">
        <v>1642</v>
      </c>
      <c r="C6749" t="s">
        <v>1635</v>
      </c>
      <c r="D6749" t="s">
        <v>1558</v>
      </c>
      <c r="E6749">
        <v>6</v>
      </c>
      <c r="F6749" t="s">
        <v>19</v>
      </c>
      <c r="G6749" t="s">
        <v>332</v>
      </c>
      <c r="H6749" t="s">
        <v>1641</v>
      </c>
      <c r="I6749" t="s">
        <v>22</v>
      </c>
      <c r="J6749" t="s">
        <v>42</v>
      </c>
      <c r="K6749" t="s">
        <v>1543</v>
      </c>
      <c r="L6749" t="s">
        <v>26</v>
      </c>
      <c r="M6749" s="8" t="s">
        <v>26</v>
      </c>
      <c r="N6749">
        <v>1.1220000000000001</v>
      </c>
      <c r="O6749" s="8">
        <v>1.1220000000000001</v>
      </c>
      <c r="P6749" s="8">
        <f>EXP(-1.363+3.366*LOG(O6749,10))</f>
        <v>0.302787498800352</v>
      </c>
      <c r="Q6749" s="8">
        <f>(3602085*100)/4019599</f>
        <v>89.613043490159086</v>
      </c>
    </row>
    <row r="6750" spans="1:17" x14ac:dyDescent="0.2">
      <c r="A6750">
        <v>2018</v>
      </c>
      <c r="B6750" t="s">
        <v>2938</v>
      </c>
      <c r="C6750" t="s">
        <v>2287</v>
      </c>
      <c r="D6750" t="s">
        <v>2927</v>
      </c>
      <c r="E6750">
        <v>9</v>
      </c>
      <c r="F6750" t="s">
        <v>2284</v>
      </c>
      <c r="G6750" t="s">
        <v>332</v>
      </c>
      <c r="H6750" t="s">
        <v>330</v>
      </c>
      <c r="I6750" t="s">
        <v>22</v>
      </c>
      <c r="J6750" t="s">
        <v>66</v>
      </c>
      <c r="K6750" t="s">
        <v>2285</v>
      </c>
      <c r="L6750" t="s">
        <v>25</v>
      </c>
      <c r="M6750" s="8">
        <v>1.2170000000000001</v>
      </c>
      <c r="N6750">
        <v>1.121</v>
      </c>
      <c r="O6750" s="8">
        <v>1.121</v>
      </c>
      <c r="P6750" s="8">
        <f>EXP(-1.363+3.366*LOG(O6750,10))</f>
        <v>0.30239308318454866</v>
      </c>
      <c r="Q6750" s="8">
        <f>(859450.9*100)/14749408</f>
        <v>5.8270196336015658</v>
      </c>
    </row>
    <row r="6751" spans="1:17" x14ac:dyDescent="0.2">
      <c r="A6751">
        <v>2017</v>
      </c>
      <c r="B6751" t="s">
        <v>2483</v>
      </c>
      <c r="C6751" t="s">
        <v>2287</v>
      </c>
      <c r="D6751" t="s">
        <v>2474</v>
      </c>
      <c r="E6751">
        <v>5</v>
      </c>
      <c r="F6751" t="s">
        <v>2284</v>
      </c>
      <c r="G6751" t="s">
        <v>352</v>
      </c>
      <c r="H6751" t="s">
        <v>1344</v>
      </c>
      <c r="I6751" t="s">
        <v>22</v>
      </c>
      <c r="J6751" t="s">
        <v>66</v>
      </c>
      <c r="K6751" t="s">
        <v>2285</v>
      </c>
      <c r="L6751" t="s">
        <v>25</v>
      </c>
      <c r="M6751" s="8">
        <v>0.91800000000000004</v>
      </c>
      <c r="N6751">
        <v>1.1180000000000001</v>
      </c>
      <c r="O6751" s="8">
        <v>1.1180000000000001</v>
      </c>
      <c r="P6751" s="8">
        <f>EXP(-1.363+3.366*LOG(O6751,10))</f>
        <v>0.30121081140871669</v>
      </c>
      <c r="Q6751" s="8">
        <f>(859450.9*100)/14749408</f>
        <v>5.8270196336015658</v>
      </c>
    </row>
    <row r="6752" spans="1:17" x14ac:dyDescent="0.2">
      <c r="A6752">
        <v>2018</v>
      </c>
      <c r="B6752" t="s">
        <v>2854</v>
      </c>
      <c r="C6752" t="s">
        <v>2287</v>
      </c>
      <c r="D6752" t="s">
        <v>2838</v>
      </c>
      <c r="E6752">
        <v>8</v>
      </c>
      <c r="F6752" t="s">
        <v>2284</v>
      </c>
      <c r="G6752" t="s">
        <v>332</v>
      </c>
      <c r="H6752" t="s">
        <v>327</v>
      </c>
      <c r="I6752" t="s">
        <v>22</v>
      </c>
      <c r="J6752" t="s">
        <v>66</v>
      </c>
      <c r="K6752" t="s">
        <v>2285</v>
      </c>
      <c r="L6752" t="s">
        <v>25</v>
      </c>
      <c r="M6752" s="8">
        <v>1.239333333</v>
      </c>
      <c r="N6752">
        <v>1.1180000000000001</v>
      </c>
      <c r="O6752" s="8">
        <v>1.1180000000000001</v>
      </c>
      <c r="P6752" s="8">
        <f>EXP(-1.363+3.366*LOG(O6752,10))</f>
        <v>0.30121081140871669</v>
      </c>
      <c r="Q6752" s="8">
        <f>(859450.9*100)/14749408</f>
        <v>5.8270196336015658</v>
      </c>
    </row>
    <row r="6753" spans="1:17" x14ac:dyDescent="0.2">
      <c r="A6753">
        <v>2018</v>
      </c>
      <c r="B6753" t="s">
        <v>2768</v>
      </c>
      <c r="C6753" t="s">
        <v>50</v>
      </c>
      <c r="D6753" t="s">
        <v>2763</v>
      </c>
      <c r="E6753">
        <v>6</v>
      </c>
      <c r="F6753" t="s">
        <v>2284</v>
      </c>
      <c r="G6753" t="s">
        <v>352</v>
      </c>
      <c r="H6753" t="s">
        <v>975</v>
      </c>
      <c r="I6753" t="s">
        <v>22</v>
      </c>
      <c r="J6753" t="s">
        <v>42</v>
      </c>
      <c r="K6753" t="s">
        <v>2285</v>
      </c>
      <c r="L6753" t="s">
        <v>25</v>
      </c>
      <c r="M6753" s="8">
        <v>1.0693333330000001</v>
      </c>
      <c r="N6753">
        <v>1.117</v>
      </c>
      <c r="O6753" s="8">
        <v>1.117</v>
      </c>
      <c r="P6753" s="8">
        <f>EXP(-1.363+3.366*LOG(O6753,10))</f>
        <v>0.30081704610114496</v>
      </c>
      <c r="Q6753" s="8">
        <f>(4488342*100)/4914798</f>
        <v>91.323020803703429</v>
      </c>
    </row>
    <row r="6754" spans="1:17" x14ac:dyDescent="0.2">
      <c r="A6754">
        <v>2014</v>
      </c>
      <c r="B6754" t="s">
        <v>1636</v>
      </c>
      <c r="C6754" t="s">
        <v>1635</v>
      </c>
      <c r="D6754" t="s">
        <v>1558</v>
      </c>
      <c r="E6754">
        <v>6</v>
      </c>
      <c r="F6754" t="s">
        <v>19</v>
      </c>
      <c r="G6754" t="s">
        <v>352</v>
      </c>
      <c r="H6754" t="s">
        <v>26</v>
      </c>
      <c r="I6754" t="s">
        <v>22</v>
      </c>
      <c r="J6754" t="s">
        <v>42</v>
      </c>
      <c r="K6754" t="s">
        <v>1543</v>
      </c>
      <c r="L6754" t="s">
        <v>26</v>
      </c>
      <c r="M6754" s="8" t="s">
        <v>26</v>
      </c>
      <c r="N6754">
        <v>1.115</v>
      </c>
      <c r="O6754" s="8">
        <v>1.115</v>
      </c>
      <c r="P6754" s="8">
        <f>EXP(-1.363+3.366*LOG(O6754,10))</f>
        <v>0.30003000388261347</v>
      </c>
      <c r="Q6754" s="8">
        <f>(3602085*100)/4019599</f>
        <v>89.613043490159086</v>
      </c>
    </row>
    <row r="6755" spans="1:17" x14ac:dyDescent="0.2">
      <c r="A6755">
        <v>2018</v>
      </c>
      <c r="B6755" t="s">
        <v>2894</v>
      </c>
      <c r="C6755" t="s">
        <v>2287</v>
      </c>
      <c r="D6755" t="s">
        <v>2886</v>
      </c>
      <c r="E6755">
        <v>9</v>
      </c>
      <c r="F6755" t="s">
        <v>2284</v>
      </c>
      <c r="G6755" t="s">
        <v>332</v>
      </c>
      <c r="H6755" t="s">
        <v>330</v>
      </c>
      <c r="I6755" t="s">
        <v>22</v>
      </c>
      <c r="J6755" t="s">
        <v>66</v>
      </c>
      <c r="K6755" t="s">
        <v>2285</v>
      </c>
      <c r="L6755" t="s">
        <v>25</v>
      </c>
      <c r="M6755" s="8">
        <v>1.2170000000000001</v>
      </c>
      <c r="N6755">
        <v>1.115</v>
      </c>
      <c r="O6755" s="8">
        <v>1.115</v>
      </c>
      <c r="P6755" s="8">
        <f>EXP(-1.363+3.366*LOG(O6755,10))</f>
        <v>0.30003000388261347</v>
      </c>
      <c r="Q6755" s="8">
        <f>(859450.9*100)/14749408</f>
        <v>5.8270196336015658</v>
      </c>
    </row>
    <row r="6756" spans="1:17" x14ac:dyDescent="0.2">
      <c r="A6756">
        <v>2011</v>
      </c>
      <c r="B6756" t="s">
        <v>1071</v>
      </c>
      <c r="C6756" t="s">
        <v>65</v>
      </c>
      <c r="D6756" t="s">
        <v>58</v>
      </c>
      <c r="E6756">
        <v>6</v>
      </c>
      <c r="F6756" t="s">
        <v>19</v>
      </c>
      <c r="G6756" t="s">
        <v>352</v>
      </c>
      <c r="H6756" t="s">
        <v>975</v>
      </c>
      <c r="I6756" t="s">
        <v>22</v>
      </c>
      <c r="J6756" t="s">
        <v>66</v>
      </c>
      <c r="K6756" t="s">
        <v>24</v>
      </c>
      <c r="L6756" t="s">
        <v>25</v>
      </c>
      <c r="M6756" s="8">
        <v>1.0693333330000001</v>
      </c>
      <c r="N6756">
        <v>1.113</v>
      </c>
      <c r="O6756" s="8">
        <v>1.113</v>
      </c>
      <c r="P6756" s="8">
        <f>EXP(-1.363+3.366*LOG(O6756,10))</f>
        <v>0.29924361338328659</v>
      </c>
      <c r="Q6756" s="8">
        <f>(1788886*100)/6788946</f>
        <v>26.349981278389901</v>
      </c>
    </row>
    <row r="6757" spans="1:17" x14ac:dyDescent="0.2">
      <c r="A6757">
        <v>2011</v>
      </c>
      <c r="B6757" t="s">
        <v>1079</v>
      </c>
      <c r="C6757" t="s">
        <v>65</v>
      </c>
      <c r="D6757" t="s">
        <v>71</v>
      </c>
      <c r="E6757">
        <v>7</v>
      </c>
      <c r="F6757" t="s">
        <v>19</v>
      </c>
      <c r="G6757" t="s">
        <v>352</v>
      </c>
      <c r="H6757" t="s">
        <v>975</v>
      </c>
      <c r="I6757" t="s">
        <v>22</v>
      </c>
      <c r="J6757" t="s">
        <v>66</v>
      </c>
      <c r="K6757" t="s">
        <v>24</v>
      </c>
      <c r="L6757" t="s">
        <v>25</v>
      </c>
      <c r="M6757" s="8">
        <v>1.0693333330000001</v>
      </c>
      <c r="N6757">
        <v>1.113</v>
      </c>
      <c r="O6757" s="8">
        <v>1.113</v>
      </c>
      <c r="P6757" s="8">
        <f>EXP(-1.363+3.366*LOG(O6757,10))</f>
        <v>0.29924361338328659</v>
      </c>
      <c r="Q6757" s="8">
        <f>(1788886*100)/6788946</f>
        <v>26.349981278389901</v>
      </c>
    </row>
    <row r="6758" spans="1:17" x14ac:dyDescent="0.2">
      <c r="A6758">
        <v>2018</v>
      </c>
      <c r="B6758" t="s">
        <v>2921</v>
      </c>
      <c r="C6758" t="s">
        <v>2283</v>
      </c>
      <c r="D6758" t="s">
        <v>2919</v>
      </c>
      <c r="E6758">
        <v>9</v>
      </c>
      <c r="F6758" t="s">
        <v>2284</v>
      </c>
      <c r="G6758" t="s">
        <v>332</v>
      </c>
      <c r="H6758" t="s">
        <v>327</v>
      </c>
      <c r="I6758" t="s">
        <v>22</v>
      </c>
      <c r="J6758" t="s">
        <v>66</v>
      </c>
      <c r="K6758" t="s">
        <v>2285</v>
      </c>
      <c r="L6758" t="s">
        <v>25</v>
      </c>
      <c r="M6758" s="8">
        <v>1.239333333</v>
      </c>
      <c r="N6758">
        <v>1.1120000000000001</v>
      </c>
      <c r="O6758" s="8">
        <v>1.1120000000000001</v>
      </c>
      <c r="P6758" s="8">
        <f>EXP(-1.363+3.366*LOG(O6758,10))</f>
        <v>0.2988506627251275</v>
      </c>
      <c r="Q6758" s="8">
        <f>(1148193*100)/12288027</f>
        <v>9.3439980234418432</v>
      </c>
    </row>
    <row r="6759" spans="1:17" x14ac:dyDescent="0.2">
      <c r="A6759">
        <v>2011</v>
      </c>
      <c r="B6759" t="s">
        <v>1066</v>
      </c>
      <c r="C6759" t="s">
        <v>65</v>
      </c>
      <c r="D6759" t="s">
        <v>58</v>
      </c>
      <c r="E6759">
        <v>6</v>
      </c>
      <c r="F6759" t="s">
        <v>19</v>
      </c>
      <c r="G6759" t="s">
        <v>352</v>
      </c>
      <c r="H6759" t="s">
        <v>975</v>
      </c>
      <c r="I6759" t="s">
        <v>22</v>
      </c>
      <c r="J6759" t="s">
        <v>66</v>
      </c>
      <c r="K6759" t="s">
        <v>24</v>
      </c>
      <c r="L6759" t="s">
        <v>25</v>
      </c>
      <c r="M6759" s="8">
        <v>1.0693333330000001</v>
      </c>
      <c r="N6759">
        <v>1.111</v>
      </c>
      <c r="O6759" s="8">
        <v>1.111</v>
      </c>
      <c r="P6759" s="8">
        <f>EXP(-1.363+3.366*LOG(O6759,10))</f>
        <v>0.29845787523315026</v>
      </c>
      <c r="Q6759" s="8">
        <f>(1788886*100)/6788946</f>
        <v>26.349981278389901</v>
      </c>
    </row>
    <row r="6760" spans="1:17" x14ac:dyDescent="0.2">
      <c r="A6760">
        <v>2011</v>
      </c>
      <c r="B6760" t="s">
        <v>1010</v>
      </c>
      <c r="C6760" t="s">
        <v>52</v>
      </c>
      <c r="D6760" t="s">
        <v>81</v>
      </c>
      <c r="E6760">
        <v>6</v>
      </c>
      <c r="F6760" t="s">
        <v>19</v>
      </c>
      <c r="G6760" t="s">
        <v>352</v>
      </c>
      <c r="H6760" t="s">
        <v>975</v>
      </c>
      <c r="I6760" t="s">
        <v>22</v>
      </c>
      <c r="J6760" t="s">
        <v>42</v>
      </c>
      <c r="K6760" t="s">
        <v>24</v>
      </c>
      <c r="L6760" t="s">
        <v>25</v>
      </c>
      <c r="M6760" s="8">
        <v>1.0693333330000001</v>
      </c>
      <c r="N6760">
        <v>1.1100000000000001</v>
      </c>
      <c r="O6760" s="8">
        <v>1.1100000000000001</v>
      </c>
      <c r="P6760" s="8">
        <f>EXP(-1.363+3.366*LOG(O6760,10))</f>
        <v>0.29806525098637582</v>
      </c>
      <c r="Q6760" s="8">
        <f>(1626350*100)/1973941</f>
        <v>82.391013713175823</v>
      </c>
    </row>
    <row r="6761" spans="1:17" x14ac:dyDescent="0.2">
      <c r="A6761">
        <v>2011</v>
      </c>
      <c r="B6761" t="s">
        <v>1091</v>
      </c>
      <c r="C6761" t="s">
        <v>52</v>
      </c>
      <c r="D6761" t="s">
        <v>58</v>
      </c>
      <c r="E6761">
        <v>6</v>
      </c>
      <c r="F6761" t="s">
        <v>19</v>
      </c>
      <c r="G6761" t="s">
        <v>352</v>
      </c>
      <c r="H6761" t="s">
        <v>975</v>
      </c>
      <c r="I6761" t="s">
        <v>22</v>
      </c>
      <c r="J6761" t="s">
        <v>42</v>
      </c>
      <c r="K6761" t="s">
        <v>24</v>
      </c>
      <c r="L6761" t="s">
        <v>25</v>
      </c>
      <c r="M6761" s="8">
        <v>1.0693333330000001</v>
      </c>
      <c r="N6761">
        <v>1.1100000000000001</v>
      </c>
      <c r="O6761" s="8">
        <v>1.1100000000000001</v>
      </c>
      <c r="P6761" s="8">
        <f>EXP(-1.363+3.366*LOG(O6761,10))</f>
        <v>0.29806525098637582</v>
      </c>
      <c r="Q6761" s="8">
        <f>(1626350*100)/1973941</f>
        <v>82.391013713175823</v>
      </c>
    </row>
    <row r="6762" spans="1:17" x14ac:dyDescent="0.2">
      <c r="A6762">
        <v>2017</v>
      </c>
      <c r="B6762" t="s">
        <v>2323</v>
      </c>
      <c r="C6762" t="s">
        <v>50</v>
      </c>
      <c r="D6762" t="s">
        <v>2321</v>
      </c>
      <c r="E6762">
        <v>3</v>
      </c>
      <c r="F6762" t="s">
        <v>2284</v>
      </c>
      <c r="G6762" t="s">
        <v>20</v>
      </c>
      <c r="H6762" t="s">
        <v>2295</v>
      </c>
      <c r="I6762" t="s">
        <v>36</v>
      </c>
      <c r="J6762" t="s">
        <v>42</v>
      </c>
      <c r="K6762" t="s">
        <v>2285</v>
      </c>
      <c r="L6762" t="s">
        <v>25</v>
      </c>
      <c r="M6762" s="8">
        <v>1.0436666670000001</v>
      </c>
      <c r="N6762">
        <v>1.109</v>
      </c>
      <c r="O6762" s="8">
        <v>1.109</v>
      </c>
      <c r="P6762" s="8">
        <f>EXP(-1.363+3.366*LOG(O6762,10))</f>
        <v>0.29767279006393421</v>
      </c>
      <c r="Q6762" s="8">
        <f>(4488342*100)/4914798</f>
        <v>91.323020803703429</v>
      </c>
    </row>
    <row r="6763" spans="1:17" x14ac:dyDescent="0.2">
      <c r="A6763">
        <v>2017</v>
      </c>
      <c r="B6763" t="s">
        <v>2384</v>
      </c>
      <c r="C6763" t="s">
        <v>1635</v>
      </c>
      <c r="D6763" t="s">
        <v>2385</v>
      </c>
      <c r="E6763">
        <v>4</v>
      </c>
      <c r="F6763" t="s">
        <v>2284</v>
      </c>
      <c r="G6763" t="s">
        <v>20</v>
      </c>
      <c r="H6763" t="s">
        <v>2295</v>
      </c>
      <c r="I6763" t="s">
        <v>22</v>
      </c>
      <c r="J6763" t="s">
        <v>42</v>
      </c>
      <c r="K6763" t="s">
        <v>2285</v>
      </c>
      <c r="L6763" t="s">
        <v>25</v>
      </c>
      <c r="M6763" s="8">
        <v>1.1566666670000001</v>
      </c>
      <c r="N6763">
        <v>1.109</v>
      </c>
      <c r="O6763" s="8">
        <v>1.109</v>
      </c>
      <c r="P6763" s="8">
        <f>EXP(-1.363+3.366*LOG(O6763,10))</f>
        <v>0.29767279006393421</v>
      </c>
      <c r="Q6763" s="8">
        <f>(3602085*100)/4019599</f>
        <v>89.613043490159086</v>
      </c>
    </row>
    <row r="6764" spans="1:17" x14ac:dyDescent="0.2">
      <c r="A6764">
        <v>2017</v>
      </c>
      <c r="B6764" t="s">
        <v>2364</v>
      </c>
      <c r="C6764" t="s">
        <v>50</v>
      </c>
      <c r="D6764" t="s">
        <v>2355</v>
      </c>
      <c r="E6764">
        <v>4</v>
      </c>
      <c r="F6764" t="s">
        <v>2284</v>
      </c>
      <c r="G6764" t="s">
        <v>20</v>
      </c>
      <c r="H6764" t="s">
        <v>2295</v>
      </c>
      <c r="I6764" t="s">
        <v>22</v>
      </c>
      <c r="J6764" t="s">
        <v>42</v>
      </c>
      <c r="K6764" t="s">
        <v>2285</v>
      </c>
      <c r="L6764" t="s">
        <v>25</v>
      </c>
      <c r="M6764" s="8">
        <v>1.1566666670000001</v>
      </c>
      <c r="N6764">
        <v>1.1080000000000001</v>
      </c>
      <c r="O6764" s="8">
        <v>1.1080000000000001</v>
      </c>
      <c r="P6764" s="8">
        <f>EXP(-1.363+3.366*LOG(O6764,10))</f>
        <v>0.29728049254506556</v>
      </c>
      <c r="Q6764" s="8">
        <f>(4488342*100)/4914798</f>
        <v>91.323020803703429</v>
      </c>
    </row>
    <row r="6765" spans="1:17" x14ac:dyDescent="0.2">
      <c r="A6765">
        <v>2018</v>
      </c>
      <c r="B6765" t="s">
        <v>2981</v>
      </c>
      <c r="C6765" t="s">
        <v>50</v>
      </c>
      <c r="D6765" t="s">
        <v>2982</v>
      </c>
      <c r="E6765">
        <v>10</v>
      </c>
      <c r="F6765" t="s">
        <v>2284</v>
      </c>
      <c r="G6765" t="s">
        <v>352</v>
      </c>
      <c r="H6765" t="s">
        <v>975</v>
      </c>
      <c r="I6765" t="s">
        <v>22</v>
      </c>
      <c r="J6765" t="s">
        <v>42</v>
      </c>
      <c r="K6765" t="s">
        <v>2285</v>
      </c>
      <c r="L6765" t="s">
        <v>25</v>
      </c>
      <c r="M6765" s="8">
        <v>1.0693333330000001</v>
      </c>
      <c r="N6765">
        <v>1.1060000000000001</v>
      </c>
      <c r="O6765" s="8">
        <v>1.1060000000000001</v>
      </c>
      <c r="P6765" s="8">
        <f>EXP(-1.363+3.366*LOG(O6765,10))</f>
        <v>0.296496388035557</v>
      </c>
      <c r="Q6765" s="8">
        <f>(4488342*100)/4914798</f>
        <v>91.323020803703429</v>
      </c>
    </row>
    <row r="6766" spans="1:17" x14ac:dyDescent="0.2">
      <c r="A6766">
        <v>2014</v>
      </c>
      <c r="B6766" t="s">
        <v>1637</v>
      </c>
      <c r="C6766" t="s">
        <v>1635</v>
      </c>
      <c r="D6766" t="s">
        <v>1558</v>
      </c>
      <c r="E6766">
        <v>6</v>
      </c>
      <c r="F6766" t="s">
        <v>19</v>
      </c>
      <c r="G6766" t="s">
        <v>26</v>
      </c>
      <c r="H6766" t="s">
        <v>26</v>
      </c>
      <c r="I6766" t="s">
        <v>22</v>
      </c>
      <c r="J6766" t="s">
        <v>42</v>
      </c>
      <c r="K6766" t="s">
        <v>1543</v>
      </c>
      <c r="L6766" t="s">
        <v>26</v>
      </c>
      <c r="M6766" s="8" t="s">
        <v>26</v>
      </c>
      <c r="N6766">
        <v>1.105</v>
      </c>
      <c r="O6766" s="8">
        <v>1.105</v>
      </c>
      <c r="P6766" s="8">
        <f>EXP(-1.363+3.366*LOG(O6766,10))</f>
        <v>0.29610458120394789</v>
      </c>
      <c r="Q6766" s="8">
        <f>(3602085*100)/4019599</f>
        <v>89.613043490159086</v>
      </c>
    </row>
    <row r="6767" spans="1:17" x14ac:dyDescent="0.2">
      <c r="A6767">
        <v>2018</v>
      </c>
      <c r="B6767" t="s">
        <v>2708</v>
      </c>
      <c r="C6767" t="s">
        <v>2283</v>
      </c>
      <c r="D6767" t="s">
        <v>2703</v>
      </c>
      <c r="E6767">
        <v>5</v>
      </c>
      <c r="F6767" t="s">
        <v>2284</v>
      </c>
      <c r="G6767" t="s">
        <v>352</v>
      </c>
      <c r="H6767" t="s">
        <v>1671</v>
      </c>
      <c r="I6767" t="s">
        <v>22</v>
      </c>
      <c r="J6767" t="s">
        <v>66</v>
      </c>
      <c r="K6767" t="s">
        <v>2285</v>
      </c>
      <c r="L6767" t="s">
        <v>25</v>
      </c>
      <c r="M6767" s="8" t="s">
        <v>26</v>
      </c>
      <c r="N6767">
        <v>1.105</v>
      </c>
      <c r="O6767" s="8">
        <v>1.105</v>
      </c>
      <c r="P6767" s="8">
        <f>EXP(-1.363+3.366*LOG(O6767,10))</f>
        <v>0.29610458120394789</v>
      </c>
      <c r="Q6767" s="8">
        <f>(1148193*100)/12288027</f>
        <v>9.3439980234418432</v>
      </c>
    </row>
    <row r="6768" spans="1:17" x14ac:dyDescent="0.2">
      <c r="A6768">
        <v>2018</v>
      </c>
      <c r="B6768" t="s">
        <v>2990</v>
      </c>
      <c r="C6768" t="s">
        <v>2283</v>
      </c>
      <c r="D6768" t="s">
        <v>2991</v>
      </c>
      <c r="E6768">
        <v>10</v>
      </c>
      <c r="F6768" t="s">
        <v>2284</v>
      </c>
      <c r="G6768" t="s">
        <v>352</v>
      </c>
      <c r="H6768" t="s">
        <v>480</v>
      </c>
      <c r="I6768" t="s">
        <v>22</v>
      </c>
      <c r="J6768" t="s">
        <v>66</v>
      </c>
      <c r="K6768" t="s">
        <v>2285</v>
      </c>
      <c r="L6768" t="s">
        <v>25</v>
      </c>
      <c r="M6768" s="8" t="s">
        <v>26</v>
      </c>
      <c r="N6768">
        <v>1.105</v>
      </c>
      <c r="O6768" s="8">
        <v>1.105</v>
      </c>
      <c r="P6768" s="8">
        <f>EXP(-1.363+3.366*LOG(O6768,10))</f>
        <v>0.29610458120394789</v>
      </c>
      <c r="Q6768" s="8">
        <f>(1148193*100)/12288027</f>
        <v>9.3439980234418432</v>
      </c>
    </row>
    <row r="6769" spans="1:17" x14ac:dyDescent="0.2">
      <c r="A6769">
        <v>2018</v>
      </c>
      <c r="B6769" t="s">
        <v>2859</v>
      </c>
      <c r="C6769" t="s">
        <v>2283</v>
      </c>
      <c r="D6769" t="s">
        <v>2838</v>
      </c>
      <c r="E6769">
        <v>8</v>
      </c>
      <c r="F6769" t="s">
        <v>2284</v>
      </c>
      <c r="G6769" t="s">
        <v>332</v>
      </c>
      <c r="H6769" t="s">
        <v>327</v>
      </c>
      <c r="I6769" t="s">
        <v>22</v>
      </c>
      <c r="J6769" t="s">
        <v>66</v>
      </c>
      <c r="K6769" t="s">
        <v>2285</v>
      </c>
      <c r="L6769" t="s">
        <v>25</v>
      </c>
      <c r="M6769" s="8">
        <v>1.239333333</v>
      </c>
      <c r="N6769">
        <v>1.1040000000000001</v>
      </c>
      <c r="O6769" s="8">
        <v>1.1040000000000001</v>
      </c>
      <c r="P6769" s="8">
        <f>EXP(-1.363+3.366*LOG(O6769,10))</f>
        <v>0.29571293809397403</v>
      </c>
      <c r="Q6769" s="8">
        <f>(1148193*100)/12288027</f>
        <v>9.3439980234418432</v>
      </c>
    </row>
    <row r="6770" spans="1:17" x14ac:dyDescent="0.2">
      <c r="A6770">
        <v>2017</v>
      </c>
      <c r="B6770" t="s">
        <v>2370</v>
      </c>
      <c r="C6770" t="s">
        <v>52</v>
      </c>
      <c r="D6770" t="s">
        <v>2355</v>
      </c>
      <c r="E6770">
        <v>4</v>
      </c>
      <c r="F6770" t="s">
        <v>2284</v>
      </c>
      <c r="G6770" t="s">
        <v>352</v>
      </c>
      <c r="H6770" t="s">
        <v>975</v>
      </c>
      <c r="I6770" t="s">
        <v>22</v>
      </c>
      <c r="J6770" t="s">
        <v>42</v>
      </c>
      <c r="K6770" t="s">
        <v>2285</v>
      </c>
      <c r="L6770" t="s">
        <v>25</v>
      </c>
      <c r="M6770" s="8">
        <v>1.0693333330000001</v>
      </c>
      <c r="N6770">
        <v>1.103</v>
      </c>
      <c r="O6770" s="8">
        <v>1.103</v>
      </c>
      <c r="P6770" s="8">
        <f>EXP(-1.363+3.366*LOG(O6770,10))</f>
        <v>0.29532145878542754</v>
      </c>
      <c r="Q6770" s="8">
        <f>(1626350*100)/1973941</f>
        <v>82.391013713175823</v>
      </c>
    </row>
    <row r="6771" spans="1:17" x14ac:dyDescent="0.2">
      <c r="A6771">
        <v>2018</v>
      </c>
      <c r="B6771" t="s">
        <v>2718</v>
      </c>
      <c r="C6771" t="s">
        <v>2283</v>
      </c>
      <c r="D6771" t="s">
        <v>2714</v>
      </c>
      <c r="E6771">
        <v>5</v>
      </c>
      <c r="F6771" t="s">
        <v>2284</v>
      </c>
      <c r="G6771" t="s">
        <v>352</v>
      </c>
      <c r="H6771" t="s">
        <v>480</v>
      </c>
      <c r="I6771" t="s">
        <v>22</v>
      </c>
      <c r="J6771" t="s">
        <v>66</v>
      </c>
      <c r="K6771" t="s">
        <v>2285</v>
      </c>
      <c r="L6771" t="s">
        <v>25</v>
      </c>
      <c r="M6771" s="8" t="s">
        <v>26</v>
      </c>
      <c r="N6771">
        <v>1.1000000000000001</v>
      </c>
      <c r="O6771" s="8">
        <v>1.1000000000000001</v>
      </c>
      <c r="P6771" s="8">
        <f>EXP(-1.363+3.366*LOG(O6771,10))</f>
        <v>0.29414800446794787</v>
      </c>
      <c r="Q6771" s="8">
        <f>(1148193*100)/12288027</f>
        <v>9.3439980234418432</v>
      </c>
    </row>
    <row r="6772" spans="1:17" x14ac:dyDescent="0.2">
      <c r="A6772">
        <v>2018</v>
      </c>
      <c r="B6772" t="s">
        <v>2891</v>
      </c>
      <c r="C6772" t="s">
        <v>2287</v>
      </c>
      <c r="D6772" t="s">
        <v>2886</v>
      </c>
      <c r="E6772">
        <v>9</v>
      </c>
      <c r="F6772" t="s">
        <v>2284</v>
      </c>
      <c r="G6772" t="s">
        <v>332</v>
      </c>
      <c r="H6772" t="s">
        <v>327</v>
      </c>
      <c r="I6772" t="s">
        <v>22</v>
      </c>
      <c r="J6772" t="s">
        <v>66</v>
      </c>
      <c r="K6772" t="s">
        <v>2285</v>
      </c>
      <c r="L6772" t="s">
        <v>25</v>
      </c>
      <c r="M6772" s="8">
        <v>1.239333333</v>
      </c>
      <c r="N6772">
        <v>1.1000000000000001</v>
      </c>
      <c r="O6772" s="8">
        <v>1.1000000000000001</v>
      </c>
      <c r="P6772" s="8">
        <f>EXP(-1.363+3.366*LOG(O6772,10))</f>
        <v>0.29414800446794787</v>
      </c>
      <c r="Q6772" s="8">
        <f>(859450.9*100)/14749408</f>
        <v>5.8270196336015658</v>
      </c>
    </row>
    <row r="6773" spans="1:17" x14ac:dyDescent="0.2">
      <c r="A6773">
        <v>2011</v>
      </c>
      <c r="B6773" t="s">
        <v>1335</v>
      </c>
      <c r="C6773" t="s">
        <v>30</v>
      </c>
      <c r="D6773" t="s">
        <v>63</v>
      </c>
      <c r="E6773">
        <v>6</v>
      </c>
      <c r="F6773" t="s">
        <v>19</v>
      </c>
      <c r="G6773" t="s">
        <v>352</v>
      </c>
      <c r="H6773" t="s">
        <v>353</v>
      </c>
      <c r="I6773" t="s">
        <v>22</v>
      </c>
      <c r="J6773" t="s">
        <v>31</v>
      </c>
      <c r="K6773" t="s">
        <v>24</v>
      </c>
      <c r="L6773" t="s">
        <v>25</v>
      </c>
      <c r="M6773" s="8">
        <v>1.1623333330000001</v>
      </c>
      <c r="N6773">
        <v>1.099</v>
      </c>
      <c r="O6773" s="8">
        <v>1.099</v>
      </c>
      <c r="P6773" s="8">
        <f>EXP(-1.363+3.366*LOG(O6773,10))</f>
        <v>0.29375718116526434</v>
      </c>
      <c r="Q6773" s="8">
        <f>(34897.31*100)/4728180</f>
        <v>0.73807067412831151</v>
      </c>
    </row>
    <row r="6774" spans="1:17" x14ac:dyDescent="0.2">
      <c r="A6774">
        <v>2017</v>
      </c>
      <c r="B6774" t="s">
        <v>2468</v>
      </c>
      <c r="C6774" t="s">
        <v>50</v>
      </c>
      <c r="D6774" t="s">
        <v>2462</v>
      </c>
      <c r="E6774">
        <v>5</v>
      </c>
      <c r="F6774" t="s">
        <v>2284</v>
      </c>
      <c r="G6774" t="s">
        <v>352</v>
      </c>
      <c r="H6774" t="s">
        <v>1344</v>
      </c>
      <c r="I6774" t="s">
        <v>22</v>
      </c>
      <c r="J6774" t="s">
        <v>42</v>
      </c>
      <c r="K6774" t="s">
        <v>2285</v>
      </c>
      <c r="L6774" t="s">
        <v>25</v>
      </c>
      <c r="M6774" s="8">
        <v>0.91800000000000004</v>
      </c>
      <c r="N6774">
        <v>1.0900000000000001</v>
      </c>
      <c r="O6774" s="8">
        <v>1.0900000000000001</v>
      </c>
      <c r="P6774" s="8">
        <f>EXP(-1.363+3.366*LOG(O6774,10))</f>
        <v>0.29024717021337249</v>
      </c>
      <c r="Q6774" s="8">
        <f>(4488342*100)/4914798</f>
        <v>91.323020803703429</v>
      </c>
    </row>
    <row r="6775" spans="1:17" x14ac:dyDescent="0.2">
      <c r="A6775">
        <v>2011</v>
      </c>
      <c r="B6775" t="s">
        <v>1073</v>
      </c>
      <c r="C6775" t="s">
        <v>65</v>
      </c>
      <c r="D6775" t="s">
        <v>58</v>
      </c>
      <c r="E6775">
        <v>6</v>
      </c>
      <c r="F6775" t="s">
        <v>19</v>
      </c>
      <c r="G6775" t="s">
        <v>352</v>
      </c>
      <c r="H6775" t="s">
        <v>975</v>
      </c>
      <c r="I6775" t="s">
        <v>22</v>
      </c>
      <c r="J6775" t="s">
        <v>66</v>
      </c>
      <c r="K6775" t="s">
        <v>24</v>
      </c>
      <c r="L6775" t="s">
        <v>25</v>
      </c>
      <c r="M6775" s="8">
        <v>1.0693333330000001</v>
      </c>
      <c r="N6775">
        <v>1.089</v>
      </c>
      <c r="O6775" s="8">
        <v>1.089</v>
      </c>
      <c r="P6775" s="8">
        <f>EXP(-1.363+3.366*LOG(O6775,10))</f>
        <v>0.28985799256578343</v>
      </c>
      <c r="Q6775" s="8">
        <f>(1788886*100)/6788946</f>
        <v>26.349981278389901</v>
      </c>
    </row>
    <row r="6776" spans="1:17" x14ac:dyDescent="0.2">
      <c r="A6776">
        <v>2018</v>
      </c>
      <c r="B6776" t="s">
        <v>2616</v>
      </c>
      <c r="C6776" t="s">
        <v>1635</v>
      </c>
      <c r="D6776" t="s">
        <v>2607</v>
      </c>
      <c r="E6776">
        <v>4</v>
      </c>
      <c r="F6776" t="s">
        <v>2284</v>
      </c>
      <c r="G6776" t="s">
        <v>352</v>
      </c>
      <c r="H6776" t="s">
        <v>975</v>
      </c>
      <c r="I6776" t="s">
        <v>22</v>
      </c>
      <c r="J6776" t="s">
        <v>42</v>
      </c>
      <c r="K6776" t="s">
        <v>2285</v>
      </c>
      <c r="L6776" t="s">
        <v>25</v>
      </c>
      <c r="M6776" s="8">
        <v>1.0693333330000001</v>
      </c>
      <c r="N6776">
        <v>1.089</v>
      </c>
      <c r="O6776" s="8">
        <v>1.089</v>
      </c>
      <c r="P6776" s="8">
        <f>EXP(-1.363+3.366*LOG(O6776,10))</f>
        <v>0.28985799256578343</v>
      </c>
      <c r="Q6776" s="8">
        <f>(3602085*100)/4019599</f>
        <v>89.613043490159086</v>
      </c>
    </row>
    <row r="6777" spans="1:17" x14ac:dyDescent="0.2">
      <c r="A6777">
        <v>2017</v>
      </c>
      <c r="B6777" t="s">
        <v>2317</v>
      </c>
      <c r="C6777" t="s">
        <v>2287</v>
      </c>
      <c r="D6777" t="s">
        <v>2311</v>
      </c>
      <c r="E6777">
        <v>3</v>
      </c>
      <c r="F6777" t="s">
        <v>2284</v>
      </c>
      <c r="G6777" t="s">
        <v>20</v>
      </c>
      <c r="H6777" t="s">
        <v>149</v>
      </c>
      <c r="I6777" t="s">
        <v>36</v>
      </c>
      <c r="J6777" t="s">
        <v>66</v>
      </c>
      <c r="K6777" t="s">
        <v>2285</v>
      </c>
      <c r="L6777" t="s">
        <v>25</v>
      </c>
      <c r="M6777" s="8">
        <v>1.032666667</v>
      </c>
      <c r="N6777">
        <v>1.087</v>
      </c>
      <c r="O6777" s="8">
        <v>1.087</v>
      </c>
      <c r="P6777" s="8">
        <f>EXP(-1.363+3.366*LOG(O6777,10))</f>
        <v>0.28908013238763441</v>
      </c>
      <c r="Q6777" s="8">
        <f>(859450.9*100)/14749408</f>
        <v>5.8270196336015658</v>
      </c>
    </row>
    <row r="6778" spans="1:17" x14ac:dyDescent="0.2">
      <c r="A6778">
        <v>2011</v>
      </c>
      <c r="B6778" t="s">
        <v>1097</v>
      </c>
      <c r="C6778" t="s">
        <v>52</v>
      </c>
      <c r="D6778" t="s">
        <v>58</v>
      </c>
      <c r="E6778">
        <v>6</v>
      </c>
      <c r="F6778" t="s">
        <v>19</v>
      </c>
      <c r="G6778" t="s">
        <v>352</v>
      </c>
      <c r="H6778" t="s">
        <v>975</v>
      </c>
      <c r="I6778" t="s">
        <v>22</v>
      </c>
      <c r="J6778" t="s">
        <v>42</v>
      </c>
      <c r="K6778" t="s">
        <v>24</v>
      </c>
      <c r="L6778" t="s">
        <v>25</v>
      </c>
      <c r="M6778" s="8">
        <v>1.0693333330000001</v>
      </c>
      <c r="N6778">
        <v>1.083</v>
      </c>
      <c r="O6778" s="8">
        <v>1.083</v>
      </c>
      <c r="P6778" s="8">
        <f>EXP(-1.363+3.366*LOG(O6778,10))</f>
        <v>0.2875263947884002</v>
      </c>
      <c r="Q6778" s="8">
        <f>(1626350*100)/1973941</f>
        <v>82.391013713175823</v>
      </c>
    </row>
    <row r="6779" spans="1:17" x14ac:dyDescent="0.2">
      <c r="A6779">
        <v>2017</v>
      </c>
      <c r="B6779" t="s">
        <v>2383</v>
      </c>
      <c r="C6779" t="s">
        <v>50</v>
      </c>
      <c r="D6779" t="s">
        <v>2375</v>
      </c>
      <c r="E6779">
        <v>4</v>
      </c>
      <c r="F6779" t="s">
        <v>2284</v>
      </c>
      <c r="G6779" t="s">
        <v>352</v>
      </c>
      <c r="H6779" t="s">
        <v>975</v>
      </c>
      <c r="I6779" t="s">
        <v>22</v>
      </c>
      <c r="J6779" t="s">
        <v>42</v>
      </c>
      <c r="K6779" t="s">
        <v>2285</v>
      </c>
      <c r="L6779" t="s">
        <v>25</v>
      </c>
      <c r="M6779" s="8">
        <v>1.0693333330000001</v>
      </c>
      <c r="N6779">
        <v>1.0820000000000001</v>
      </c>
      <c r="O6779" s="8">
        <v>1.0820000000000001</v>
      </c>
      <c r="P6779" s="8">
        <f>EXP(-1.363+3.366*LOG(O6779,10))</f>
        <v>0.28713837394119668</v>
      </c>
      <c r="Q6779" s="8">
        <f>(4488342*100)/4914798</f>
        <v>91.323020803703429</v>
      </c>
    </row>
    <row r="6780" spans="1:17" x14ac:dyDescent="0.2">
      <c r="A6780">
        <v>2018</v>
      </c>
      <c r="B6780" t="s">
        <v>2966</v>
      </c>
      <c r="C6780" t="s">
        <v>2283</v>
      </c>
      <c r="D6780" t="s">
        <v>2961</v>
      </c>
      <c r="E6780">
        <v>9</v>
      </c>
      <c r="F6780" t="s">
        <v>2284</v>
      </c>
      <c r="G6780" t="s">
        <v>352</v>
      </c>
      <c r="H6780" t="s">
        <v>480</v>
      </c>
      <c r="I6780" t="s">
        <v>22</v>
      </c>
      <c r="J6780" t="s">
        <v>66</v>
      </c>
      <c r="K6780" t="s">
        <v>2285</v>
      </c>
      <c r="L6780" t="s">
        <v>25</v>
      </c>
      <c r="M6780" s="8" t="s">
        <v>26</v>
      </c>
      <c r="N6780">
        <v>1.081</v>
      </c>
      <c r="O6780" s="8">
        <v>1.081</v>
      </c>
      <c r="P6780" s="8">
        <f>EXP(-1.363+3.366*LOG(O6780,10))</f>
        <v>0.28675051867946061</v>
      </c>
      <c r="Q6780" s="8">
        <f>(1148193*100)/12288027</f>
        <v>9.3439980234418432</v>
      </c>
    </row>
    <row r="6781" spans="1:17" x14ac:dyDescent="0.2">
      <c r="A6781">
        <v>2017</v>
      </c>
      <c r="B6781" t="s">
        <v>2508</v>
      </c>
      <c r="C6781" t="s">
        <v>2283</v>
      </c>
      <c r="D6781" t="s">
        <v>2501</v>
      </c>
      <c r="E6781">
        <v>6</v>
      </c>
      <c r="F6781" t="s">
        <v>2284</v>
      </c>
      <c r="G6781" t="s">
        <v>352</v>
      </c>
      <c r="H6781" t="s">
        <v>480</v>
      </c>
      <c r="I6781" t="s">
        <v>22</v>
      </c>
      <c r="J6781" t="s">
        <v>66</v>
      </c>
      <c r="K6781" t="s">
        <v>2285</v>
      </c>
      <c r="L6781" t="s">
        <v>25</v>
      </c>
      <c r="M6781" s="8" t="s">
        <v>26</v>
      </c>
      <c r="N6781">
        <v>1.077</v>
      </c>
      <c r="O6781" s="8">
        <v>1.077</v>
      </c>
      <c r="P6781" s="8">
        <f>EXP(-1.363+3.366*LOG(O6781,10))</f>
        <v>0.28520075513730392</v>
      </c>
      <c r="Q6781" s="8">
        <f>(1148193*100)/12288027</f>
        <v>9.3439980234418432</v>
      </c>
    </row>
    <row r="6782" spans="1:17" x14ac:dyDescent="0.2">
      <c r="A6782">
        <v>2018</v>
      </c>
      <c r="B6782" t="s">
        <v>2867</v>
      </c>
      <c r="C6782" t="s">
        <v>1635</v>
      </c>
      <c r="D6782" t="s">
        <v>2838</v>
      </c>
      <c r="E6782">
        <v>8</v>
      </c>
      <c r="F6782" t="s">
        <v>2284</v>
      </c>
      <c r="G6782" t="s">
        <v>352</v>
      </c>
      <c r="H6782" t="s">
        <v>975</v>
      </c>
      <c r="I6782" t="s">
        <v>22</v>
      </c>
      <c r="J6782" t="s">
        <v>42</v>
      </c>
      <c r="K6782" t="s">
        <v>2285</v>
      </c>
      <c r="L6782" t="s">
        <v>25</v>
      </c>
      <c r="M6782" s="8">
        <v>1.0693333330000001</v>
      </c>
      <c r="N6782">
        <v>1.077</v>
      </c>
      <c r="O6782" s="8">
        <v>1.077</v>
      </c>
      <c r="P6782" s="8">
        <f>EXP(-1.363+3.366*LOG(O6782,10))</f>
        <v>0.28520075513730392</v>
      </c>
      <c r="Q6782" s="8">
        <f>(3602085*100)/4019599</f>
        <v>89.613043490159086</v>
      </c>
    </row>
    <row r="6783" spans="1:17" x14ac:dyDescent="0.2">
      <c r="A6783">
        <v>2017</v>
      </c>
      <c r="B6783" t="s">
        <v>2481</v>
      </c>
      <c r="C6783" t="s">
        <v>52</v>
      </c>
      <c r="D6783" t="s">
        <v>2474</v>
      </c>
      <c r="E6783">
        <v>5</v>
      </c>
      <c r="F6783" t="s">
        <v>2284</v>
      </c>
      <c r="G6783" t="s">
        <v>352</v>
      </c>
      <c r="H6783" t="s">
        <v>975</v>
      </c>
      <c r="I6783" t="s">
        <v>22</v>
      </c>
      <c r="J6783" t="s">
        <v>42</v>
      </c>
      <c r="K6783" t="s">
        <v>2285</v>
      </c>
      <c r="L6783" t="s">
        <v>25</v>
      </c>
      <c r="M6783" s="8">
        <v>1.0693333330000001</v>
      </c>
      <c r="N6783">
        <v>1.0760000000000001</v>
      </c>
      <c r="O6783" s="8">
        <v>1.0760000000000001</v>
      </c>
      <c r="P6783" s="8">
        <f>EXP(-1.363+3.366*LOG(O6783,10))</f>
        <v>0.28481372904151914</v>
      </c>
      <c r="Q6783" s="8">
        <f>(1626350*100)/1973941</f>
        <v>82.391013713175823</v>
      </c>
    </row>
    <row r="6784" spans="1:17" x14ac:dyDescent="0.2">
      <c r="A6784">
        <v>2018</v>
      </c>
      <c r="B6784" t="s">
        <v>2684</v>
      </c>
      <c r="C6784" t="s">
        <v>2283</v>
      </c>
      <c r="D6784" t="s">
        <v>2682</v>
      </c>
      <c r="E6784">
        <v>5</v>
      </c>
      <c r="F6784" t="s">
        <v>2284</v>
      </c>
      <c r="G6784" t="s">
        <v>352</v>
      </c>
      <c r="H6784" t="s">
        <v>480</v>
      </c>
      <c r="I6784" t="s">
        <v>22</v>
      </c>
      <c r="J6784" t="s">
        <v>66</v>
      </c>
      <c r="K6784" t="s">
        <v>2285</v>
      </c>
      <c r="L6784" t="s">
        <v>25</v>
      </c>
      <c r="M6784" s="8" t="s">
        <v>26</v>
      </c>
      <c r="N6784">
        <v>1.0760000000000001</v>
      </c>
      <c r="O6784" s="8">
        <v>1.0760000000000001</v>
      </c>
      <c r="P6784" s="8">
        <f>EXP(-1.363+3.366*LOG(O6784,10))</f>
        <v>0.28481372904151914</v>
      </c>
      <c r="Q6784" s="8">
        <f>(1148193*100)/12288027</f>
        <v>9.3439980234418432</v>
      </c>
    </row>
    <row r="6785" spans="1:17" x14ac:dyDescent="0.2">
      <c r="A6785">
        <v>2018</v>
      </c>
      <c r="B6785" t="s">
        <v>2716</v>
      </c>
      <c r="C6785" t="s">
        <v>2283</v>
      </c>
      <c r="D6785" t="s">
        <v>2714</v>
      </c>
      <c r="E6785">
        <v>5</v>
      </c>
      <c r="F6785" t="s">
        <v>2284</v>
      </c>
      <c r="G6785" t="s">
        <v>352</v>
      </c>
      <c r="H6785" t="s">
        <v>480</v>
      </c>
      <c r="I6785" t="s">
        <v>22</v>
      </c>
      <c r="J6785" t="s">
        <v>66</v>
      </c>
      <c r="K6785" t="s">
        <v>2285</v>
      </c>
      <c r="L6785" t="s">
        <v>25</v>
      </c>
      <c r="M6785" s="8" t="s">
        <v>26</v>
      </c>
      <c r="N6785">
        <v>1.0760000000000001</v>
      </c>
      <c r="O6785" s="8">
        <v>1.0760000000000001</v>
      </c>
      <c r="P6785" s="8">
        <f>EXP(-1.363+3.366*LOG(O6785,10))</f>
        <v>0.28481372904151914</v>
      </c>
      <c r="Q6785" s="8">
        <f>(1148193*100)/12288027</f>
        <v>9.3439980234418432</v>
      </c>
    </row>
    <row r="6786" spans="1:17" x14ac:dyDescent="0.2">
      <c r="A6786">
        <v>2018</v>
      </c>
      <c r="B6786" t="s">
        <v>2673</v>
      </c>
      <c r="C6786" t="s">
        <v>2283</v>
      </c>
      <c r="D6786" t="s">
        <v>2665</v>
      </c>
      <c r="E6786">
        <v>5</v>
      </c>
      <c r="F6786" t="s">
        <v>2284</v>
      </c>
      <c r="G6786" t="s">
        <v>352</v>
      </c>
      <c r="H6786" t="s">
        <v>975</v>
      </c>
      <c r="I6786" t="s">
        <v>22</v>
      </c>
      <c r="J6786" t="s">
        <v>66</v>
      </c>
      <c r="K6786" t="s">
        <v>2285</v>
      </c>
      <c r="L6786" t="s">
        <v>25</v>
      </c>
      <c r="M6786" s="8">
        <v>1.0693333330000001</v>
      </c>
      <c r="N6786">
        <v>1.075</v>
      </c>
      <c r="O6786" s="8">
        <v>1.075</v>
      </c>
      <c r="P6786" s="8">
        <f>EXP(-1.363+3.366*LOG(O6786,10))</f>
        <v>0.28442686902747244</v>
      </c>
      <c r="Q6786" s="8">
        <f>(1148193*100)/12288027</f>
        <v>9.3439980234418432</v>
      </c>
    </row>
    <row r="6787" spans="1:17" x14ac:dyDescent="0.2">
      <c r="A6787">
        <v>2018</v>
      </c>
      <c r="B6787" t="s">
        <v>2853</v>
      </c>
      <c r="C6787" t="s">
        <v>50</v>
      </c>
      <c r="D6787" t="s">
        <v>2838</v>
      </c>
      <c r="E6787">
        <v>8</v>
      </c>
      <c r="F6787" t="s">
        <v>2284</v>
      </c>
      <c r="G6787" t="s">
        <v>332</v>
      </c>
      <c r="H6787" t="s">
        <v>327</v>
      </c>
      <c r="I6787" t="s">
        <v>22</v>
      </c>
      <c r="J6787" t="s">
        <v>42</v>
      </c>
      <c r="K6787" t="s">
        <v>2285</v>
      </c>
      <c r="L6787" t="s">
        <v>25</v>
      </c>
      <c r="M6787" s="8">
        <v>1.239333333</v>
      </c>
      <c r="N6787">
        <v>1.071</v>
      </c>
      <c r="O6787" s="8">
        <v>1.071</v>
      </c>
      <c r="P6787" s="8">
        <f>EXP(-1.363+3.366*LOG(O6787,10))</f>
        <v>0.28288109145296952</v>
      </c>
      <c r="Q6787" s="8">
        <f>(4488342*100)/4914798</f>
        <v>91.323020803703429</v>
      </c>
    </row>
    <row r="6788" spans="1:17" x14ac:dyDescent="0.2">
      <c r="A6788">
        <v>2017</v>
      </c>
      <c r="B6788" t="s">
        <v>2507</v>
      </c>
      <c r="C6788" t="s">
        <v>2283</v>
      </c>
      <c r="D6788" t="s">
        <v>2501</v>
      </c>
      <c r="E6788">
        <v>6</v>
      </c>
      <c r="F6788" t="s">
        <v>2284</v>
      </c>
      <c r="G6788" t="s">
        <v>352</v>
      </c>
      <c r="H6788" t="s">
        <v>480</v>
      </c>
      <c r="I6788" t="s">
        <v>22</v>
      </c>
      <c r="J6788" t="s">
        <v>66</v>
      </c>
      <c r="K6788" t="s">
        <v>2285</v>
      </c>
      <c r="L6788" t="s">
        <v>25</v>
      </c>
      <c r="M6788" s="8" t="s">
        <v>26</v>
      </c>
      <c r="N6788">
        <v>1.07</v>
      </c>
      <c r="O6788" s="8">
        <v>1.07</v>
      </c>
      <c r="P6788" s="8">
        <f>EXP(-1.363+3.366*LOG(O6788,10))</f>
        <v>0.28249506309688477</v>
      </c>
      <c r="Q6788" s="8">
        <f>(1148193*100)/12288027</f>
        <v>9.3439980234418432</v>
      </c>
    </row>
    <row r="6789" spans="1:17" x14ac:dyDescent="0.2">
      <c r="A6789">
        <v>2018</v>
      </c>
      <c r="B6789" t="s">
        <v>2719</v>
      </c>
      <c r="C6789" t="s">
        <v>2283</v>
      </c>
      <c r="D6789" t="s">
        <v>2714</v>
      </c>
      <c r="E6789">
        <v>5</v>
      </c>
      <c r="F6789" t="s">
        <v>2284</v>
      </c>
      <c r="G6789" t="s">
        <v>352</v>
      </c>
      <c r="H6789" t="s">
        <v>480</v>
      </c>
      <c r="I6789" t="s">
        <v>22</v>
      </c>
      <c r="J6789" t="s">
        <v>66</v>
      </c>
      <c r="K6789" t="s">
        <v>2285</v>
      </c>
      <c r="L6789" t="s">
        <v>25</v>
      </c>
      <c r="M6789" s="8" t="s">
        <v>26</v>
      </c>
      <c r="N6789">
        <v>1.07</v>
      </c>
      <c r="O6789" s="8">
        <v>1.07</v>
      </c>
      <c r="P6789" s="8">
        <f>EXP(-1.363+3.366*LOG(O6789,10))</f>
        <v>0.28249506309688477</v>
      </c>
      <c r="Q6789" s="8">
        <f>(1148193*100)/12288027</f>
        <v>9.3439980234418432</v>
      </c>
    </row>
    <row r="6790" spans="1:17" x14ac:dyDescent="0.2">
      <c r="A6790">
        <v>2018</v>
      </c>
      <c r="B6790" t="s">
        <v>2717</v>
      </c>
      <c r="C6790" t="s">
        <v>2283</v>
      </c>
      <c r="D6790" t="s">
        <v>2714</v>
      </c>
      <c r="E6790">
        <v>5</v>
      </c>
      <c r="F6790" t="s">
        <v>2284</v>
      </c>
      <c r="G6790" t="s">
        <v>352</v>
      </c>
      <c r="H6790" t="s">
        <v>480</v>
      </c>
      <c r="I6790" t="s">
        <v>22</v>
      </c>
      <c r="J6790" t="s">
        <v>66</v>
      </c>
      <c r="K6790" t="s">
        <v>2285</v>
      </c>
      <c r="L6790" t="s">
        <v>25</v>
      </c>
      <c r="M6790" s="8" t="s">
        <v>26</v>
      </c>
      <c r="N6790">
        <v>1.0680000000000001</v>
      </c>
      <c r="O6790" s="8">
        <v>1.0680000000000001</v>
      </c>
      <c r="P6790" s="8">
        <f>EXP(-1.363+3.366*LOG(O6790,10))</f>
        <v>0.28172350621541009</v>
      </c>
      <c r="Q6790" s="8">
        <f>(1148193*100)/12288027</f>
        <v>9.3439980234418432</v>
      </c>
    </row>
    <row r="6791" spans="1:17" x14ac:dyDescent="0.2">
      <c r="A6791">
        <v>2017</v>
      </c>
      <c r="B6791" t="s">
        <v>2456</v>
      </c>
      <c r="C6791" t="s">
        <v>2283</v>
      </c>
      <c r="D6791" t="s">
        <v>2455</v>
      </c>
      <c r="E6791">
        <v>5</v>
      </c>
      <c r="F6791" t="s">
        <v>2284</v>
      </c>
      <c r="G6791" t="s">
        <v>352</v>
      </c>
      <c r="H6791" t="s">
        <v>480</v>
      </c>
      <c r="I6791" t="s">
        <v>22</v>
      </c>
      <c r="J6791" t="s">
        <v>66</v>
      </c>
      <c r="K6791" t="s">
        <v>2285</v>
      </c>
      <c r="L6791" t="s">
        <v>25</v>
      </c>
      <c r="M6791" s="8" t="s">
        <v>26</v>
      </c>
      <c r="N6791">
        <v>1.0669999999999999</v>
      </c>
      <c r="O6791" s="8">
        <v>1.0669999999999999</v>
      </c>
      <c r="P6791" s="8">
        <f>EXP(-1.363+3.366*LOG(O6791,10))</f>
        <v>0.28133797785782927</v>
      </c>
      <c r="Q6791" s="8">
        <f>(1148193*100)/12288027</f>
        <v>9.3439980234418432</v>
      </c>
    </row>
    <row r="6792" spans="1:17" x14ac:dyDescent="0.2">
      <c r="A6792">
        <v>2018</v>
      </c>
      <c r="B6792" t="s">
        <v>2707</v>
      </c>
      <c r="C6792" t="s">
        <v>2283</v>
      </c>
      <c r="D6792" t="s">
        <v>2703</v>
      </c>
      <c r="E6792">
        <v>5</v>
      </c>
      <c r="F6792" t="s">
        <v>2284</v>
      </c>
      <c r="G6792" t="s">
        <v>352</v>
      </c>
      <c r="H6792" t="s">
        <v>1671</v>
      </c>
      <c r="I6792" t="s">
        <v>22</v>
      </c>
      <c r="J6792" t="s">
        <v>66</v>
      </c>
      <c r="K6792" t="s">
        <v>2285</v>
      </c>
      <c r="L6792" t="s">
        <v>25</v>
      </c>
      <c r="M6792" s="8" t="s">
        <v>26</v>
      </c>
      <c r="N6792">
        <v>1.0669999999999999</v>
      </c>
      <c r="O6792" s="8">
        <v>1.0669999999999999</v>
      </c>
      <c r="P6792" s="8">
        <f>EXP(-1.363+3.366*LOG(O6792,10))</f>
        <v>0.28133797785782927</v>
      </c>
      <c r="Q6792" s="8">
        <f>(1148193*100)/12288027</f>
        <v>9.3439980234418432</v>
      </c>
    </row>
    <row r="6793" spans="1:17" x14ac:dyDescent="0.2">
      <c r="A6793">
        <v>2018</v>
      </c>
      <c r="B6793" t="s">
        <v>2713</v>
      </c>
      <c r="C6793" t="s">
        <v>2283</v>
      </c>
      <c r="D6793" t="s">
        <v>2714</v>
      </c>
      <c r="E6793">
        <v>5</v>
      </c>
      <c r="F6793" t="s">
        <v>2284</v>
      </c>
      <c r="G6793" t="s">
        <v>352</v>
      </c>
      <c r="H6793" t="s">
        <v>480</v>
      </c>
      <c r="I6793" t="s">
        <v>22</v>
      </c>
      <c r="J6793" t="s">
        <v>66</v>
      </c>
      <c r="K6793" t="s">
        <v>2285</v>
      </c>
      <c r="L6793" t="s">
        <v>25</v>
      </c>
      <c r="M6793" s="8" t="s">
        <v>26</v>
      </c>
      <c r="N6793">
        <v>1.0660000000000001</v>
      </c>
      <c r="O6793" s="8">
        <v>1.0660000000000001</v>
      </c>
      <c r="P6793" s="8">
        <f>EXP(-1.363+3.366*LOG(O6793,10))</f>
        <v>0.28095261633442709</v>
      </c>
      <c r="Q6793" s="8">
        <f>(1148193*100)/12288027</f>
        <v>9.3439980234418432</v>
      </c>
    </row>
    <row r="6794" spans="1:17" x14ac:dyDescent="0.2">
      <c r="A6794">
        <v>2018</v>
      </c>
      <c r="B6794" t="s">
        <v>2892</v>
      </c>
      <c r="C6794" t="s">
        <v>2287</v>
      </c>
      <c r="D6794" t="s">
        <v>2886</v>
      </c>
      <c r="E6794">
        <v>9</v>
      </c>
      <c r="F6794" t="s">
        <v>2284</v>
      </c>
      <c r="G6794" t="s">
        <v>332</v>
      </c>
      <c r="H6794" t="s">
        <v>327</v>
      </c>
      <c r="I6794" t="s">
        <v>22</v>
      </c>
      <c r="J6794" t="s">
        <v>66</v>
      </c>
      <c r="K6794" t="s">
        <v>2285</v>
      </c>
      <c r="L6794" t="s">
        <v>25</v>
      </c>
      <c r="M6794" s="8">
        <v>1.239333333</v>
      </c>
      <c r="N6794">
        <v>1.0640000000000001</v>
      </c>
      <c r="O6794" s="8">
        <v>1.0640000000000001</v>
      </c>
      <c r="P6794" s="8">
        <f>EXP(-1.363+3.366*LOG(O6794,10))</f>
        <v>0.28018239412710855</v>
      </c>
      <c r="Q6794" s="8">
        <f>(859450.9*100)/14749408</f>
        <v>5.8270196336015658</v>
      </c>
    </row>
    <row r="6795" spans="1:17" x14ac:dyDescent="0.2">
      <c r="A6795">
        <v>2017</v>
      </c>
      <c r="B6795" t="s">
        <v>2407</v>
      </c>
      <c r="C6795" t="s">
        <v>2283</v>
      </c>
      <c r="D6795" t="s">
        <v>2408</v>
      </c>
      <c r="E6795">
        <v>5</v>
      </c>
      <c r="F6795" t="s">
        <v>2284</v>
      </c>
      <c r="G6795" t="s">
        <v>352</v>
      </c>
      <c r="H6795" t="s">
        <v>975</v>
      </c>
      <c r="I6795" t="s">
        <v>22</v>
      </c>
      <c r="J6795" t="s">
        <v>66</v>
      </c>
      <c r="K6795" t="s">
        <v>2285</v>
      </c>
      <c r="L6795" t="s">
        <v>25</v>
      </c>
      <c r="M6795" s="8">
        <v>1.0693333330000001</v>
      </c>
      <c r="N6795">
        <v>1.0589999999999999</v>
      </c>
      <c r="O6795" s="8">
        <v>1.0589999999999999</v>
      </c>
      <c r="P6795" s="8">
        <f>EXP(-1.363+3.366*LOG(O6795,10))</f>
        <v>0.27825976411637127</v>
      </c>
      <c r="Q6795" s="8">
        <f>(1148193*100)/12288027</f>
        <v>9.3439980234418432</v>
      </c>
    </row>
    <row r="6796" spans="1:17" x14ac:dyDescent="0.2">
      <c r="A6796">
        <v>2018</v>
      </c>
      <c r="B6796" t="s">
        <v>2823</v>
      </c>
      <c r="C6796" t="s">
        <v>1635</v>
      </c>
      <c r="D6796" t="s">
        <v>2809</v>
      </c>
      <c r="E6796">
        <v>8</v>
      </c>
      <c r="F6796" t="s">
        <v>2284</v>
      </c>
      <c r="G6796" t="s">
        <v>352</v>
      </c>
      <c r="H6796" t="s">
        <v>975</v>
      </c>
      <c r="I6796" t="s">
        <v>36</v>
      </c>
      <c r="J6796" t="s">
        <v>42</v>
      </c>
      <c r="K6796" t="s">
        <v>2285</v>
      </c>
      <c r="L6796" t="s">
        <v>25</v>
      </c>
      <c r="M6796" s="8">
        <v>0.95199999999999996</v>
      </c>
      <c r="N6796">
        <v>1.0580000000000001</v>
      </c>
      <c r="O6796" s="8">
        <v>1.0580000000000001</v>
      </c>
      <c r="P6796" s="8">
        <f>EXP(-1.363+3.366*LOG(O6796,10))</f>
        <v>0.27787574030810647</v>
      </c>
      <c r="Q6796" s="8">
        <f>(3602085*100)/4019599</f>
        <v>89.613043490159086</v>
      </c>
    </row>
    <row r="6797" spans="1:17" x14ac:dyDescent="0.2">
      <c r="A6797">
        <v>2018</v>
      </c>
      <c r="B6797" t="s">
        <v>2721</v>
      </c>
      <c r="C6797" t="s">
        <v>2283</v>
      </c>
      <c r="D6797" t="s">
        <v>2714</v>
      </c>
      <c r="E6797">
        <v>5</v>
      </c>
      <c r="F6797" t="s">
        <v>2284</v>
      </c>
      <c r="G6797" t="s">
        <v>352</v>
      </c>
      <c r="H6797" t="s">
        <v>480</v>
      </c>
      <c r="I6797" t="s">
        <v>22</v>
      </c>
      <c r="J6797" t="s">
        <v>66</v>
      </c>
      <c r="K6797" t="s">
        <v>2285</v>
      </c>
      <c r="L6797" t="s">
        <v>25</v>
      </c>
      <c r="M6797" s="8" t="s">
        <v>26</v>
      </c>
      <c r="N6797">
        <v>1.0549999999999999</v>
      </c>
      <c r="O6797" s="8">
        <v>1.0549999999999999</v>
      </c>
      <c r="P6797" s="8">
        <f>EXP(-1.363+3.366*LOG(O6797,10))</f>
        <v>0.27672467480335439</v>
      </c>
      <c r="Q6797" s="8">
        <f>(1148193*100)/12288027</f>
        <v>9.3439980234418432</v>
      </c>
    </row>
    <row r="6798" spans="1:17" x14ac:dyDescent="0.2">
      <c r="A6798">
        <v>2017</v>
      </c>
      <c r="B6798" t="s">
        <v>2392</v>
      </c>
      <c r="C6798" t="s">
        <v>1635</v>
      </c>
      <c r="D6798" t="s">
        <v>2390</v>
      </c>
      <c r="E6798">
        <v>4</v>
      </c>
      <c r="F6798" t="s">
        <v>2284</v>
      </c>
      <c r="G6798" t="s">
        <v>352</v>
      </c>
      <c r="H6798" t="s">
        <v>975</v>
      </c>
      <c r="I6798" t="s">
        <v>22</v>
      </c>
      <c r="J6798" t="s">
        <v>42</v>
      </c>
      <c r="K6798" t="s">
        <v>2285</v>
      </c>
      <c r="L6798" t="s">
        <v>25</v>
      </c>
      <c r="M6798" s="8">
        <v>1.0693333330000001</v>
      </c>
      <c r="N6798">
        <v>1.0529999999999999</v>
      </c>
      <c r="O6798" s="8">
        <v>1.0529999999999999</v>
      </c>
      <c r="P6798" s="8">
        <f>EXP(-1.363+3.366*LOG(O6798,10))</f>
        <v>0.27595813692156368</v>
      </c>
      <c r="Q6798" s="8">
        <f>(3602085*100)/4019599</f>
        <v>89.613043490159086</v>
      </c>
    </row>
    <row r="6799" spans="1:17" x14ac:dyDescent="0.2">
      <c r="A6799">
        <v>2017</v>
      </c>
      <c r="B6799" t="s">
        <v>2490</v>
      </c>
      <c r="C6799" t="s">
        <v>2283</v>
      </c>
      <c r="D6799" t="s">
        <v>2485</v>
      </c>
      <c r="E6799">
        <v>5</v>
      </c>
      <c r="F6799" t="s">
        <v>2284</v>
      </c>
      <c r="G6799" t="s">
        <v>352</v>
      </c>
      <c r="H6799" t="s">
        <v>480</v>
      </c>
      <c r="I6799" t="s">
        <v>22</v>
      </c>
      <c r="J6799" t="s">
        <v>66</v>
      </c>
      <c r="K6799" t="s">
        <v>2285</v>
      </c>
      <c r="L6799" t="s">
        <v>25</v>
      </c>
      <c r="M6799" s="8" t="s">
        <v>26</v>
      </c>
      <c r="N6799">
        <v>1.0509999999999999</v>
      </c>
      <c r="O6799" s="8">
        <v>1.0509999999999999</v>
      </c>
      <c r="P6799" s="8">
        <f>EXP(-1.363+3.366*LOG(O6799,10))</f>
        <v>0.27519227113690081</v>
      </c>
      <c r="Q6799" s="8">
        <f>(1148193*100)/12288027</f>
        <v>9.3439980234418432</v>
      </c>
    </row>
    <row r="6800" spans="1:17" x14ac:dyDescent="0.2">
      <c r="A6800">
        <v>2017</v>
      </c>
      <c r="B6800" t="s">
        <v>2361</v>
      </c>
      <c r="C6800" t="s">
        <v>1635</v>
      </c>
      <c r="D6800" t="s">
        <v>2355</v>
      </c>
      <c r="E6800">
        <v>4</v>
      </c>
      <c r="F6800" t="s">
        <v>2284</v>
      </c>
      <c r="G6800" t="s">
        <v>20</v>
      </c>
      <c r="H6800" t="s">
        <v>2295</v>
      </c>
      <c r="I6800" t="s">
        <v>22</v>
      </c>
      <c r="J6800" t="s">
        <v>42</v>
      </c>
      <c r="K6800" t="s">
        <v>2285</v>
      </c>
      <c r="L6800" t="s">
        <v>25</v>
      </c>
      <c r="M6800" s="8">
        <v>1.1566666670000001</v>
      </c>
      <c r="N6800">
        <v>1.05</v>
      </c>
      <c r="O6800" s="8">
        <v>1.05</v>
      </c>
      <c r="P6800" s="8">
        <f>EXP(-1.363+3.366*LOG(O6800,10))</f>
        <v>0.27480959049591164</v>
      </c>
      <c r="Q6800" s="8">
        <f>(3602085*100)/4019599</f>
        <v>89.613043490159086</v>
      </c>
    </row>
    <row r="6801" spans="1:17" x14ac:dyDescent="0.2">
      <c r="A6801">
        <v>2018</v>
      </c>
      <c r="B6801" t="s">
        <v>2683</v>
      </c>
      <c r="C6801" t="s">
        <v>2283</v>
      </c>
      <c r="D6801" t="s">
        <v>2682</v>
      </c>
      <c r="E6801">
        <v>5</v>
      </c>
      <c r="F6801" t="s">
        <v>2284</v>
      </c>
      <c r="G6801" t="s">
        <v>352</v>
      </c>
      <c r="H6801" t="s">
        <v>480</v>
      </c>
      <c r="I6801" t="s">
        <v>22</v>
      </c>
      <c r="J6801" t="s">
        <v>66</v>
      </c>
      <c r="K6801" t="s">
        <v>2285</v>
      </c>
      <c r="L6801" t="s">
        <v>25</v>
      </c>
      <c r="M6801" s="8" t="s">
        <v>26</v>
      </c>
      <c r="N6801">
        <v>1.046</v>
      </c>
      <c r="O6801" s="8">
        <v>1.046</v>
      </c>
      <c r="P6801" s="8">
        <f>EXP(-1.363+3.366*LOG(O6801,10))</f>
        <v>0.27328055162010029</v>
      </c>
      <c r="Q6801" s="8">
        <f>(1148193*100)/12288027</f>
        <v>9.3439980234418432</v>
      </c>
    </row>
    <row r="6802" spans="1:17" x14ac:dyDescent="0.2">
      <c r="A6802">
        <v>2018</v>
      </c>
      <c r="B6802" t="s">
        <v>2772</v>
      </c>
      <c r="C6802" t="s">
        <v>1635</v>
      </c>
      <c r="D6802" t="s">
        <v>2770</v>
      </c>
      <c r="E6802">
        <v>6</v>
      </c>
      <c r="F6802" t="s">
        <v>2284</v>
      </c>
      <c r="G6802" t="s">
        <v>352</v>
      </c>
      <c r="H6802" t="s">
        <v>975</v>
      </c>
      <c r="I6802" t="s">
        <v>22</v>
      </c>
      <c r="J6802" t="s">
        <v>42</v>
      </c>
      <c r="K6802" t="s">
        <v>2285</v>
      </c>
      <c r="L6802" t="s">
        <v>25</v>
      </c>
      <c r="M6802" s="8">
        <v>1.0693333330000001</v>
      </c>
      <c r="N6802">
        <v>1.046</v>
      </c>
      <c r="O6802" s="8">
        <v>1.046</v>
      </c>
      <c r="P6802" s="8">
        <f>EXP(-1.363+3.366*LOG(O6802,10))</f>
        <v>0.27328055162010029</v>
      </c>
      <c r="Q6802" s="8">
        <f>(3602085*100)/4019599</f>
        <v>89.613043490159086</v>
      </c>
    </row>
    <row r="6803" spans="1:17" x14ac:dyDescent="0.2">
      <c r="A6803">
        <v>2018</v>
      </c>
      <c r="B6803" t="s">
        <v>2669</v>
      </c>
      <c r="C6803" t="s">
        <v>2283</v>
      </c>
      <c r="D6803" t="s">
        <v>2665</v>
      </c>
      <c r="E6803">
        <v>5</v>
      </c>
      <c r="F6803" t="s">
        <v>2284</v>
      </c>
      <c r="G6803" t="s">
        <v>352</v>
      </c>
      <c r="H6803" t="s">
        <v>480</v>
      </c>
      <c r="I6803" t="s">
        <v>22</v>
      </c>
      <c r="J6803" t="s">
        <v>66</v>
      </c>
      <c r="K6803" t="s">
        <v>2285</v>
      </c>
      <c r="L6803" t="s">
        <v>25</v>
      </c>
      <c r="M6803" s="8" t="s">
        <v>26</v>
      </c>
      <c r="N6803">
        <v>1.0449999999999999</v>
      </c>
      <c r="O6803" s="8">
        <v>1.0449999999999999</v>
      </c>
      <c r="P6803" s="8">
        <f>EXP(-1.363+3.366*LOG(O6803,10))</f>
        <v>0.27289871325570703</v>
      </c>
      <c r="Q6803" s="8">
        <f>(1148193*100)/12288027</f>
        <v>9.3439980234418432</v>
      </c>
    </row>
    <row r="6804" spans="1:17" x14ac:dyDescent="0.2">
      <c r="A6804">
        <v>2018</v>
      </c>
      <c r="B6804" t="s">
        <v>2822</v>
      </c>
      <c r="C6804" t="s">
        <v>1635</v>
      </c>
      <c r="D6804" t="s">
        <v>2809</v>
      </c>
      <c r="E6804">
        <v>8</v>
      </c>
      <c r="F6804" t="s">
        <v>2284</v>
      </c>
      <c r="G6804" t="s">
        <v>332</v>
      </c>
      <c r="H6804" t="s">
        <v>330</v>
      </c>
      <c r="I6804" t="s">
        <v>36</v>
      </c>
      <c r="J6804" t="s">
        <v>42</v>
      </c>
      <c r="K6804" t="s">
        <v>2285</v>
      </c>
      <c r="L6804" t="s">
        <v>25</v>
      </c>
      <c r="M6804" s="8">
        <v>1.100666667</v>
      </c>
      <c r="N6804">
        <v>1.0429999999999999</v>
      </c>
      <c r="O6804" s="8">
        <v>1.0429999999999999</v>
      </c>
      <c r="P6804" s="8">
        <f>EXP(-1.363+3.366*LOG(O6804,10))</f>
        <v>0.27213554275970614</v>
      </c>
      <c r="Q6804" s="8">
        <f>(3602085*100)/4019599</f>
        <v>89.613043490159086</v>
      </c>
    </row>
    <row r="6805" spans="1:17" x14ac:dyDescent="0.2">
      <c r="A6805">
        <v>2018</v>
      </c>
      <c r="B6805" t="s">
        <v>2687</v>
      </c>
      <c r="C6805" t="s">
        <v>2283</v>
      </c>
      <c r="D6805" t="s">
        <v>2682</v>
      </c>
      <c r="E6805">
        <v>5</v>
      </c>
      <c r="F6805" t="s">
        <v>2284</v>
      </c>
      <c r="G6805" t="s">
        <v>352</v>
      </c>
      <c r="H6805" t="s">
        <v>975</v>
      </c>
      <c r="I6805" t="s">
        <v>22</v>
      </c>
      <c r="J6805" t="s">
        <v>66</v>
      </c>
      <c r="K6805" t="s">
        <v>2285</v>
      </c>
      <c r="L6805" t="s">
        <v>25</v>
      </c>
      <c r="M6805" s="8">
        <v>1.0693333330000001</v>
      </c>
      <c r="N6805">
        <v>1.042</v>
      </c>
      <c r="O6805" s="8">
        <v>1.042</v>
      </c>
      <c r="P6805" s="8">
        <f>EXP(-1.363+3.366*LOG(O6805,10))</f>
        <v>0.27175421080212825</v>
      </c>
      <c r="Q6805" s="8">
        <f>(1148193*100)/12288027</f>
        <v>9.3439980234418432</v>
      </c>
    </row>
    <row r="6806" spans="1:17" x14ac:dyDescent="0.2">
      <c r="A6806">
        <v>2018</v>
      </c>
      <c r="B6806" t="s">
        <v>2807</v>
      </c>
      <c r="C6806" t="s">
        <v>1635</v>
      </c>
      <c r="D6806" t="s">
        <v>2806</v>
      </c>
      <c r="E6806">
        <v>7</v>
      </c>
      <c r="F6806" t="s">
        <v>2284</v>
      </c>
      <c r="G6806" t="s">
        <v>352</v>
      </c>
      <c r="H6806" t="s">
        <v>1142</v>
      </c>
      <c r="I6806" t="s">
        <v>36</v>
      </c>
      <c r="J6806" t="s">
        <v>42</v>
      </c>
      <c r="K6806" t="s">
        <v>2285</v>
      </c>
      <c r="L6806" t="s">
        <v>25</v>
      </c>
      <c r="M6806" s="8">
        <v>0.93500000000000005</v>
      </c>
      <c r="N6806">
        <v>1.04</v>
      </c>
      <c r="O6806" s="8">
        <v>1.04</v>
      </c>
      <c r="P6806" s="8">
        <f>EXP(-1.363+3.366*LOG(O6806,10))</f>
        <v>0.270992053903855</v>
      </c>
      <c r="Q6806" s="8">
        <f>(3602085*100)/4019599</f>
        <v>89.613043490159086</v>
      </c>
    </row>
    <row r="6807" spans="1:17" x14ac:dyDescent="0.2">
      <c r="A6807">
        <v>2018</v>
      </c>
      <c r="B6807" t="s">
        <v>2879</v>
      </c>
      <c r="C6807" t="s">
        <v>2287</v>
      </c>
      <c r="D6807" t="s">
        <v>2874</v>
      </c>
      <c r="E6807">
        <v>8</v>
      </c>
      <c r="F6807" t="s">
        <v>2284</v>
      </c>
      <c r="G6807" t="s">
        <v>332</v>
      </c>
      <c r="H6807" t="s">
        <v>330</v>
      </c>
      <c r="I6807" t="s">
        <v>36</v>
      </c>
      <c r="J6807" t="s">
        <v>66</v>
      </c>
      <c r="K6807" t="s">
        <v>2285</v>
      </c>
      <c r="L6807" t="s">
        <v>25</v>
      </c>
      <c r="M6807" s="8">
        <v>1.100666667</v>
      </c>
      <c r="N6807">
        <v>1.04</v>
      </c>
      <c r="O6807" s="8">
        <v>1.04</v>
      </c>
      <c r="P6807" s="8">
        <f>EXP(-1.363+3.366*LOG(O6807,10))</f>
        <v>0.270992053903855</v>
      </c>
      <c r="Q6807" s="8">
        <f>(859450.9*100)/14749408</f>
        <v>5.8270196336015658</v>
      </c>
    </row>
    <row r="6808" spans="1:17" x14ac:dyDescent="0.2">
      <c r="A6808">
        <v>2018</v>
      </c>
      <c r="B6808" t="s">
        <v>2668</v>
      </c>
      <c r="C6808" t="s">
        <v>2283</v>
      </c>
      <c r="D6808" t="s">
        <v>2665</v>
      </c>
      <c r="E6808">
        <v>5</v>
      </c>
      <c r="F6808" t="s">
        <v>2284</v>
      </c>
      <c r="G6808" t="s">
        <v>352</v>
      </c>
      <c r="H6808" t="s">
        <v>480</v>
      </c>
      <c r="I6808" t="s">
        <v>22</v>
      </c>
      <c r="J6808" t="s">
        <v>66</v>
      </c>
      <c r="K6808" t="s">
        <v>2285</v>
      </c>
      <c r="L6808" t="s">
        <v>25</v>
      </c>
      <c r="M6808" s="8" t="s">
        <v>26</v>
      </c>
      <c r="N6808">
        <v>1.038</v>
      </c>
      <c r="O6808" s="8">
        <v>1.038</v>
      </c>
      <c r="P6808" s="8">
        <f>EXP(-1.363+3.366*LOG(O6808,10))</f>
        <v>0.2702305736109798</v>
      </c>
      <c r="Q6808" s="8">
        <f>(1148193*100)/12288027</f>
        <v>9.3439980234418432</v>
      </c>
    </row>
    <row r="6809" spans="1:17" x14ac:dyDescent="0.2">
      <c r="A6809">
        <v>2018</v>
      </c>
      <c r="B6809" t="s">
        <v>2672</v>
      </c>
      <c r="C6809" t="s">
        <v>1635</v>
      </c>
      <c r="D6809" t="s">
        <v>2665</v>
      </c>
      <c r="E6809">
        <v>5</v>
      </c>
      <c r="F6809" t="s">
        <v>2284</v>
      </c>
      <c r="G6809" t="s">
        <v>352</v>
      </c>
      <c r="H6809" t="s">
        <v>975</v>
      </c>
      <c r="I6809" t="s">
        <v>22</v>
      </c>
      <c r="J6809" t="s">
        <v>42</v>
      </c>
      <c r="K6809" t="s">
        <v>2285</v>
      </c>
      <c r="L6809" t="s">
        <v>25</v>
      </c>
      <c r="M6809" s="8">
        <v>1.0693333330000001</v>
      </c>
      <c r="N6809">
        <v>1.0329999999999999</v>
      </c>
      <c r="O6809" s="8">
        <v>1.0329999999999999</v>
      </c>
      <c r="P6809" s="8">
        <f>EXP(-1.363+3.366*LOG(O6809,10))</f>
        <v>0.26832983763467505</v>
      </c>
      <c r="Q6809" s="8">
        <f>(3602085*100)/4019599</f>
        <v>89.613043490159086</v>
      </c>
    </row>
    <row r="6810" spans="1:17" x14ac:dyDescent="0.2">
      <c r="A6810">
        <v>2018</v>
      </c>
      <c r="B6810" t="s">
        <v>2896</v>
      </c>
      <c r="C6810" t="s">
        <v>2287</v>
      </c>
      <c r="D6810" t="s">
        <v>2886</v>
      </c>
      <c r="E6810">
        <v>9</v>
      </c>
      <c r="F6810" t="s">
        <v>2284</v>
      </c>
      <c r="G6810" t="s">
        <v>352</v>
      </c>
      <c r="H6810" t="s">
        <v>975</v>
      </c>
      <c r="I6810" t="s">
        <v>22</v>
      </c>
      <c r="J6810" t="s">
        <v>66</v>
      </c>
      <c r="K6810" t="s">
        <v>2285</v>
      </c>
      <c r="L6810" t="s">
        <v>25</v>
      </c>
      <c r="M6810" s="8">
        <v>1.0693333330000001</v>
      </c>
      <c r="N6810">
        <v>1.0329999999999999</v>
      </c>
      <c r="O6810" s="8">
        <v>1.0329999999999999</v>
      </c>
      <c r="P6810" s="8">
        <f>EXP(-1.363+3.366*LOG(O6810,10))</f>
        <v>0.26832983763467505</v>
      </c>
      <c r="Q6810" s="8">
        <f>(859450.9*100)/14749408</f>
        <v>5.8270196336015658</v>
      </c>
    </row>
    <row r="6811" spans="1:17" x14ac:dyDescent="0.2">
      <c r="A6811">
        <v>2017</v>
      </c>
      <c r="B6811" t="s">
        <v>2293</v>
      </c>
      <c r="C6811" t="s">
        <v>2283</v>
      </c>
      <c r="D6811" t="s">
        <v>2288</v>
      </c>
      <c r="E6811">
        <v>3</v>
      </c>
      <c r="F6811" t="s">
        <v>2284</v>
      </c>
      <c r="G6811" t="s">
        <v>20</v>
      </c>
      <c r="H6811" t="s">
        <v>149</v>
      </c>
      <c r="I6811" t="s">
        <v>36</v>
      </c>
      <c r="J6811" t="s">
        <v>66</v>
      </c>
      <c r="K6811" t="s">
        <v>2285</v>
      </c>
      <c r="L6811" t="s">
        <v>25</v>
      </c>
      <c r="M6811" s="8">
        <v>1.032666667</v>
      </c>
      <c r="N6811">
        <v>1.032</v>
      </c>
      <c r="O6811" s="8">
        <v>1.032</v>
      </c>
      <c r="P6811" s="8">
        <f>EXP(-1.363+3.366*LOG(O6811,10))</f>
        <v>0.26795019938794779</v>
      </c>
      <c r="Q6811" s="8">
        <f>(1148193*100)/12288027</f>
        <v>9.3439980234418432</v>
      </c>
    </row>
    <row r="6812" spans="1:17" x14ac:dyDescent="0.2">
      <c r="A6812">
        <v>2018</v>
      </c>
      <c r="B6812" t="s">
        <v>2922</v>
      </c>
      <c r="C6812" t="s">
        <v>2287</v>
      </c>
      <c r="D6812" t="s">
        <v>2919</v>
      </c>
      <c r="E6812">
        <v>9</v>
      </c>
      <c r="F6812" t="s">
        <v>2284</v>
      </c>
      <c r="G6812" t="s">
        <v>332</v>
      </c>
      <c r="H6812" t="s">
        <v>330</v>
      </c>
      <c r="I6812" t="s">
        <v>22</v>
      </c>
      <c r="J6812" t="s">
        <v>66</v>
      </c>
      <c r="K6812" t="s">
        <v>2285</v>
      </c>
      <c r="L6812" t="s">
        <v>25</v>
      </c>
      <c r="M6812" s="8">
        <v>1.2170000000000001</v>
      </c>
      <c r="N6812">
        <v>1.03</v>
      </c>
      <c r="O6812" s="8">
        <v>1.03</v>
      </c>
      <c r="P6812" s="8">
        <f>EXP(-1.363+3.366*LOG(O6812,10))</f>
        <v>0.26719143255031824</v>
      </c>
      <c r="Q6812" s="8">
        <f>(859450.9*100)/14749408</f>
        <v>5.8270196336015658</v>
      </c>
    </row>
    <row r="6813" spans="1:17" x14ac:dyDescent="0.2">
      <c r="A6813">
        <v>2018</v>
      </c>
      <c r="B6813" t="s">
        <v>2631</v>
      </c>
      <c r="C6813" t="s">
        <v>2287</v>
      </c>
      <c r="D6813" t="s">
        <v>2626</v>
      </c>
      <c r="E6813">
        <v>4</v>
      </c>
      <c r="F6813" t="s">
        <v>2284</v>
      </c>
      <c r="G6813" t="s">
        <v>352</v>
      </c>
      <c r="H6813" t="s">
        <v>1344</v>
      </c>
      <c r="I6813" t="s">
        <v>22</v>
      </c>
      <c r="J6813" t="s">
        <v>66</v>
      </c>
      <c r="K6813" t="s">
        <v>2285</v>
      </c>
      <c r="L6813" t="s">
        <v>25</v>
      </c>
      <c r="M6813" s="8">
        <v>0.91800000000000004</v>
      </c>
      <c r="N6813">
        <v>1.028</v>
      </c>
      <c r="O6813" s="8">
        <v>1.028</v>
      </c>
      <c r="P6813" s="8">
        <f>EXP(-1.363+3.366*LOG(O6813,10))</f>
        <v>0.26643334584539791</v>
      </c>
      <c r="Q6813" s="8">
        <f>(859450.9*100)/14749408</f>
        <v>5.8270196336015658</v>
      </c>
    </row>
    <row r="6814" spans="1:17" x14ac:dyDescent="0.2">
      <c r="A6814">
        <v>2018</v>
      </c>
      <c r="B6814" t="s">
        <v>2706</v>
      </c>
      <c r="C6814" t="s">
        <v>2283</v>
      </c>
      <c r="D6814" t="s">
        <v>2703</v>
      </c>
      <c r="E6814">
        <v>5</v>
      </c>
      <c r="F6814" t="s">
        <v>2284</v>
      </c>
      <c r="G6814" t="s">
        <v>352</v>
      </c>
      <c r="H6814" t="s">
        <v>1671</v>
      </c>
      <c r="I6814" t="s">
        <v>22</v>
      </c>
      <c r="J6814" t="s">
        <v>66</v>
      </c>
      <c r="K6814" t="s">
        <v>2285</v>
      </c>
      <c r="L6814" t="s">
        <v>25</v>
      </c>
      <c r="M6814" s="8" t="s">
        <v>26</v>
      </c>
      <c r="N6814">
        <v>1.026</v>
      </c>
      <c r="O6814" s="8">
        <v>1.026</v>
      </c>
      <c r="P6814" s="8">
        <f>EXP(-1.363+3.366*LOG(O6814,10))</f>
        <v>0.26567593998497563</v>
      </c>
      <c r="Q6814" s="8">
        <f>(1148193*100)/12288027</f>
        <v>9.3439980234418432</v>
      </c>
    </row>
    <row r="6815" spans="1:17" x14ac:dyDescent="0.2">
      <c r="A6815">
        <v>2018</v>
      </c>
      <c r="B6815" t="s">
        <v>2869</v>
      </c>
      <c r="C6815" t="s">
        <v>1635</v>
      </c>
      <c r="D6815" t="s">
        <v>2838</v>
      </c>
      <c r="E6815">
        <v>8</v>
      </c>
      <c r="F6815" t="s">
        <v>2284</v>
      </c>
      <c r="G6815" t="s">
        <v>352</v>
      </c>
      <c r="H6815" t="s">
        <v>1142</v>
      </c>
      <c r="I6815" t="s">
        <v>36</v>
      </c>
      <c r="J6815" t="s">
        <v>42</v>
      </c>
      <c r="K6815" t="s">
        <v>2285</v>
      </c>
      <c r="L6815" t="s">
        <v>25</v>
      </c>
      <c r="M6815" s="8">
        <v>0.93500000000000005</v>
      </c>
      <c r="N6815">
        <v>1.0249999999999999</v>
      </c>
      <c r="O6815" s="8">
        <v>1.0249999999999999</v>
      </c>
      <c r="P6815" s="8">
        <f>EXP(-1.363+3.366*LOG(O6815,10))</f>
        <v>0.26529749259446833</v>
      </c>
      <c r="Q6815" s="8">
        <f>(3602085*100)/4019599</f>
        <v>89.613043490159086</v>
      </c>
    </row>
    <row r="6816" spans="1:17" x14ac:dyDescent="0.2">
      <c r="A6816">
        <v>2011</v>
      </c>
      <c r="B6816" t="s">
        <v>1025</v>
      </c>
      <c r="C6816" t="s">
        <v>89</v>
      </c>
      <c r="D6816" t="s">
        <v>53</v>
      </c>
      <c r="E6816">
        <v>6</v>
      </c>
      <c r="F6816" t="s">
        <v>19</v>
      </c>
      <c r="G6816" t="s">
        <v>352</v>
      </c>
      <c r="H6816" t="s">
        <v>975</v>
      </c>
      <c r="I6816" t="s">
        <v>22</v>
      </c>
      <c r="J6816" t="s">
        <v>66</v>
      </c>
      <c r="K6816" t="s">
        <v>24</v>
      </c>
      <c r="L6816" t="s">
        <v>25</v>
      </c>
      <c r="M6816" s="8">
        <v>1.0693333330000001</v>
      </c>
      <c r="N6816">
        <v>1.0229999999999999</v>
      </c>
      <c r="O6816" s="8">
        <v>1.0229999999999999</v>
      </c>
      <c r="P6816" s="8">
        <f>EXP(-1.363+3.366*LOG(O6816,10))</f>
        <v>0.26454110934006686</v>
      </c>
      <c r="Q6816" s="8">
        <f>(61997.93*100)/7298102</f>
        <v>0.84950758430068529</v>
      </c>
    </row>
    <row r="6817" spans="1:17" x14ac:dyDescent="0.2">
      <c r="A6817">
        <v>2017</v>
      </c>
      <c r="B6817" t="s">
        <v>2409</v>
      </c>
      <c r="C6817" t="s">
        <v>2283</v>
      </c>
      <c r="D6817" t="s">
        <v>2408</v>
      </c>
      <c r="E6817">
        <v>5</v>
      </c>
      <c r="F6817" t="s">
        <v>2284</v>
      </c>
      <c r="G6817" t="s">
        <v>352</v>
      </c>
      <c r="H6817" t="s">
        <v>975</v>
      </c>
      <c r="I6817" t="s">
        <v>22</v>
      </c>
      <c r="J6817" t="s">
        <v>66</v>
      </c>
      <c r="K6817" t="s">
        <v>2285</v>
      </c>
      <c r="L6817" t="s">
        <v>25</v>
      </c>
      <c r="M6817" s="8">
        <v>1.0693333330000001</v>
      </c>
      <c r="N6817">
        <v>1.0229999999999999</v>
      </c>
      <c r="O6817" s="8">
        <v>1.0229999999999999</v>
      </c>
      <c r="P6817" s="8">
        <f>EXP(-1.363+3.366*LOG(O6817,10))</f>
        <v>0.26454110934006686</v>
      </c>
      <c r="Q6817" s="8">
        <f>(1148193*100)/12288027</f>
        <v>9.3439980234418432</v>
      </c>
    </row>
    <row r="6818" spans="1:17" x14ac:dyDescent="0.2">
      <c r="A6818">
        <v>2017</v>
      </c>
      <c r="B6818" t="s">
        <v>2511</v>
      </c>
      <c r="C6818" t="s">
        <v>89</v>
      </c>
      <c r="D6818" t="s">
        <v>2501</v>
      </c>
      <c r="E6818">
        <v>6</v>
      </c>
      <c r="F6818" t="s">
        <v>2284</v>
      </c>
      <c r="G6818" t="s">
        <v>352</v>
      </c>
      <c r="H6818" t="s">
        <v>975</v>
      </c>
      <c r="I6818" t="s">
        <v>22</v>
      </c>
      <c r="J6818" t="s">
        <v>66</v>
      </c>
      <c r="K6818" t="s">
        <v>2285</v>
      </c>
      <c r="L6818" t="s">
        <v>25</v>
      </c>
      <c r="M6818" s="8">
        <v>1.0693333330000001</v>
      </c>
      <c r="N6818">
        <v>1.0229999999999999</v>
      </c>
      <c r="O6818" s="8">
        <v>1.0229999999999999</v>
      </c>
      <c r="P6818" s="8">
        <f>EXP(-1.363+3.366*LOG(O6818,10))</f>
        <v>0.26454110934006686</v>
      </c>
      <c r="Q6818" s="8">
        <f>(61997.93*100)/7298102</f>
        <v>0.84950758430068529</v>
      </c>
    </row>
    <row r="6819" spans="1:17" x14ac:dyDescent="0.2">
      <c r="A6819">
        <v>2018</v>
      </c>
      <c r="B6819" t="s">
        <v>2756</v>
      </c>
      <c r="C6819" t="s">
        <v>1635</v>
      </c>
      <c r="D6819" t="s">
        <v>2753</v>
      </c>
      <c r="E6819">
        <v>6</v>
      </c>
      <c r="F6819" t="s">
        <v>2284</v>
      </c>
      <c r="G6819" t="s">
        <v>352</v>
      </c>
      <c r="H6819" t="s">
        <v>975</v>
      </c>
      <c r="I6819" t="s">
        <v>22</v>
      </c>
      <c r="J6819" t="s">
        <v>42</v>
      </c>
      <c r="K6819" t="s">
        <v>2285</v>
      </c>
      <c r="L6819" t="s">
        <v>25</v>
      </c>
      <c r="M6819" s="8">
        <v>1.0693333330000001</v>
      </c>
      <c r="N6819">
        <v>1.0229999999999999</v>
      </c>
      <c r="O6819" s="8">
        <v>1.0229999999999999</v>
      </c>
      <c r="P6819" s="8">
        <f>EXP(-1.363+3.366*LOG(O6819,10))</f>
        <v>0.26454110934006686</v>
      </c>
      <c r="Q6819" s="8">
        <f>(3602085*100)/4019599</f>
        <v>89.613043490159086</v>
      </c>
    </row>
    <row r="6820" spans="1:17" x14ac:dyDescent="0.2">
      <c r="A6820">
        <v>2018</v>
      </c>
      <c r="B6820" t="s">
        <v>2881</v>
      </c>
      <c r="C6820" t="s">
        <v>2287</v>
      </c>
      <c r="D6820" t="s">
        <v>2874</v>
      </c>
      <c r="E6820">
        <v>8</v>
      </c>
      <c r="F6820" t="s">
        <v>2284</v>
      </c>
      <c r="G6820" t="s">
        <v>352</v>
      </c>
      <c r="H6820" t="s">
        <v>1344</v>
      </c>
      <c r="I6820" t="s">
        <v>22</v>
      </c>
      <c r="J6820" t="s">
        <v>66</v>
      </c>
      <c r="K6820" t="s">
        <v>2285</v>
      </c>
      <c r="L6820" t="s">
        <v>25</v>
      </c>
      <c r="M6820" s="8">
        <v>0.91800000000000004</v>
      </c>
      <c r="N6820">
        <v>1.0229999999999999</v>
      </c>
      <c r="O6820" s="8">
        <v>1.0229999999999999</v>
      </c>
      <c r="P6820" s="8">
        <f>EXP(-1.363+3.366*LOG(O6820,10))</f>
        <v>0.26454110934006686</v>
      </c>
      <c r="Q6820" s="8">
        <f>(859450.9*100)/14749408</f>
        <v>5.8270196336015658</v>
      </c>
    </row>
    <row r="6821" spans="1:17" x14ac:dyDescent="0.2">
      <c r="A6821">
        <v>2017</v>
      </c>
      <c r="B6821" t="s">
        <v>2410</v>
      </c>
      <c r="C6821" t="s">
        <v>2283</v>
      </c>
      <c r="D6821" t="s">
        <v>2408</v>
      </c>
      <c r="E6821">
        <v>5</v>
      </c>
      <c r="F6821" t="s">
        <v>2284</v>
      </c>
      <c r="G6821" t="s">
        <v>352</v>
      </c>
      <c r="H6821" t="s">
        <v>1142</v>
      </c>
      <c r="I6821" t="s">
        <v>22</v>
      </c>
      <c r="J6821" t="s">
        <v>66</v>
      </c>
      <c r="K6821" t="s">
        <v>2285</v>
      </c>
      <c r="L6821" t="s">
        <v>25</v>
      </c>
      <c r="M6821" s="8">
        <v>1.1423333330000001</v>
      </c>
      <c r="N6821">
        <v>1.0209999999999999</v>
      </c>
      <c r="O6821" s="8">
        <v>1.0209999999999999</v>
      </c>
      <c r="P6821" s="8">
        <f>EXP(-1.363+3.366*LOG(O6821,10))</f>
        <v>0.26378540871899214</v>
      </c>
      <c r="Q6821" s="8">
        <f>(1148193*100)/12288027</f>
        <v>9.3439980234418432</v>
      </c>
    </row>
    <row r="6822" spans="1:17" x14ac:dyDescent="0.2">
      <c r="A6822">
        <v>2018</v>
      </c>
      <c r="B6822" t="s">
        <v>2868</v>
      </c>
      <c r="C6822" t="s">
        <v>1635</v>
      </c>
      <c r="D6822" t="s">
        <v>2838</v>
      </c>
      <c r="E6822">
        <v>8</v>
      </c>
      <c r="F6822" t="s">
        <v>2284</v>
      </c>
      <c r="G6822" t="s">
        <v>352</v>
      </c>
      <c r="H6822" t="s">
        <v>975</v>
      </c>
      <c r="I6822" t="s">
        <v>36</v>
      </c>
      <c r="J6822" t="s">
        <v>42</v>
      </c>
      <c r="K6822" t="s">
        <v>2285</v>
      </c>
      <c r="L6822" t="s">
        <v>25</v>
      </c>
      <c r="M6822" s="8">
        <v>0.95199999999999996</v>
      </c>
      <c r="N6822">
        <v>1.0209999999999999</v>
      </c>
      <c r="O6822" s="8">
        <v>1.0209999999999999</v>
      </c>
      <c r="P6822" s="8">
        <f>EXP(-1.363+3.366*LOG(O6822,10))</f>
        <v>0.26378540871899214</v>
      </c>
      <c r="Q6822" s="8">
        <f>(3602085*100)/4019599</f>
        <v>89.613043490159086</v>
      </c>
    </row>
    <row r="6823" spans="1:17" x14ac:dyDescent="0.2">
      <c r="A6823">
        <v>2011</v>
      </c>
      <c r="B6823" t="s">
        <v>1028</v>
      </c>
      <c r="C6823" t="s">
        <v>57</v>
      </c>
      <c r="D6823" t="s">
        <v>71</v>
      </c>
      <c r="E6823">
        <v>7</v>
      </c>
      <c r="F6823" t="s">
        <v>19</v>
      </c>
      <c r="G6823" t="s">
        <v>352</v>
      </c>
      <c r="H6823" t="s">
        <v>975</v>
      </c>
      <c r="I6823" t="s">
        <v>22</v>
      </c>
      <c r="J6823" t="s">
        <v>104</v>
      </c>
      <c r="K6823" t="s">
        <v>24</v>
      </c>
      <c r="L6823" t="s">
        <v>25</v>
      </c>
      <c r="M6823" s="8">
        <v>1.0693333330000001</v>
      </c>
      <c r="N6823">
        <v>1.02</v>
      </c>
      <c r="O6823" s="8">
        <v>1.02</v>
      </c>
      <c r="P6823" s="8">
        <f>EXP(-1.363+3.366*LOG(O6823,10))</f>
        <v>0.26340781462064938</v>
      </c>
      <c r="Q6823" s="8">
        <f>(321151.3*100)/5927002</f>
        <v>5.4184442657518925</v>
      </c>
    </row>
    <row r="6824" spans="1:17" x14ac:dyDescent="0.2">
      <c r="A6824">
        <v>2011</v>
      </c>
      <c r="B6824" t="s">
        <v>1336</v>
      </c>
      <c r="C6824" t="s">
        <v>30</v>
      </c>
      <c r="D6824" t="s">
        <v>63</v>
      </c>
      <c r="E6824">
        <v>6</v>
      </c>
      <c r="F6824" t="s">
        <v>19</v>
      </c>
      <c r="G6824" t="s">
        <v>352</v>
      </c>
      <c r="H6824" t="s">
        <v>353</v>
      </c>
      <c r="I6824" t="s">
        <v>22</v>
      </c>
      <c r="J6824" t="s">
        <v>31</v>
      </c>
      <c r="K6824" t="s">
        <v>24</v>
      </c>
      <c r="L6824" t="s">
        <v>25</v>
      </c>
      <c r="M6824" s="8">
        <v>1.1623333330000001</v>
      </c>
      <c r="N6824">
        <v>1.0189999999999999</v>
      </c>
      <c r="O6824" s="8">
        <v>1.0189999999999999</v>
      </c>
      <c r="P6824" s="8">
        <f>EXP(-1.363+3.366*LOG(O6824,10))</f>
        <v>0.2630303914505458</v>
      </c>
      <c r="Q6824" s="8">
        <f>(34897.31*100)/4728180</f>
        <v>0.73807067412831151</v>
      </c>
    </row>
    <row r="6825" spans="1:17" x14ac:dyDescent="0.2">
      <c r="A6825">
        <v>2018</v>
      </c>
      <c r="B6825" t="s">
        <v>2783</v>
      </c>
      <c r="C6825" t="s">
        <v>1635</v>
      </c>
      <c r="D6825" t="s">
        <v>2778</v>
      </c>
      <c r="E6825">
        <v>6</v>
      </c>
      <c r="F6825" t="s">
        <v>2284</v>
      </c>
      <c r="G6825" t="s">
        <v>352</v>
      </c>
      <c r="H6825" t="s">
        <v>975</v>
      </c>
      <c r="I6825" t="s">
        <v>22</v>
      </c>
      <c r="J6825" t="s">
        <v>42</v>
      </c>
      <c r="K6825" t="s">
        <v>2285</v>
      </c>
      <c r="L6825" t="s">
        <v>25</v>
      </c>
      <c r="M6825" s="8">
        <v>1.0693333330000001</v>
      </c>
      <c r="N6825">
        <v>1.0169999999999999</v>
      </c>
      <c r="O6825" s="8">
        <v>1.0169999999999999</v>
      </c>
      <c r="P6825" s="8">
        <f>EXP(-1.363+3.366*LOG(O6825,10))</f>
        <v>0.26227605825620021</v>
      </c>
      <c r="Q6825" s="8">
        <f>(3602085*100)/4019599</f>
        <v>89.613043490159086</v>
      </c>
    </row>
    <row r="6826" spans="1:17" x14ac:dyDescent="0.2">
      <c r="A6826">
        <v>2018</v>
      </c>
      <c r="B6826" t="s">
        <v>2773</v>
      </c>
      <c r="C6826" t="s">
        <v>1635</v>
      </c>
      <c r="D6826" t="s">
        <v>2770</v>
      </c>
      <c r="E6826">
        <v>6</v>
      </c>
      <c r="F6826" t="s">
        <v>2284</v>
      </c>
      <c r="G6826" t="s">
        <v>352</v>
      </c>
      <c r="H6826" t="s">
        <v>975</v>
      </c>
      <c r="I6826" t="s">
        <v>22</v>
      </c>
      <c r="J6826" t="s">
        <v>42</v>
      </c>
      <c r="K6826" t="s">
        <v>2285</v>
      </c>
      <c r="L6826" t="s">
        <v>25</v>
      </c>
      <c r="M6826" s="8">
        <v>1.0693333330000001</v>
      </c>
      <c r="N6826">
        <v>1.016</v>
      </c>
      <c r="O6826" s="8">
        <v>1.016</v>
      </c>
      <c r="P6826" s="8">
        <f>EXP(-1.363+3.366*LOG(O6826,10))</f>
        <v>0.26189914841287154</v>
      </c>
      <c r="Q6826" s="8">
        <f>(3602085*100)/4019599</f>
        <v>89.613043490159086</v>
      </c>
    </row>
    <row r="6827" spans="1:17" x14ac:dyDescent="0.2">
      <c r="A6827">
        <v>2018</v>
      </c>
      <c r="B6827" t="s">
        <v>2914</v>
      </c>
      <c r="C6827" t="s">
        <v>1635</v>
      </c>
      <c r="D6827" t="s">
        <v>2911</v>
      </c>
      <c r="E6827">
        <v>9</v>
      </c>
      <c r="F6827" t="s">
        <v>2284</v>
      </c>
      <c r="G6827" t="s">
        <v>352</v>
      </c>
      <c r="H6827" t="s">
        <v>975</v>
      </c>
      <c r="I6827" t="s">
        <v>22</v>
      </c>
      <c r="J6827" t="s">
        <v>42</v>
      </c>
      <c r="K6827" t="s">
        <v>2285</v>
      </c>
      <c r="L6827" t="s">
        <v>25</v>
      </c>
      <c r="M6827" s="8">
        <v>1.0693333330000001</v>
      </c>
      <c r="N6827">
        <v>1.0129999999999999</v>
      </c>
      <c r="O6827" s="8">
        <v>1.0129999999999999</v>
      </c>
      <c r="P6827" s="8">
        <f>EXP(-1.363+3.366*LOG(O6827,10))</f>
        <v>0.2607694469866188</v>
      </c>
      <c r="Q6827" s="8">
        <f>(3602085*100)/4019599</f>
        <v>89.613043490159086</v>
      </c>
    </row>
    <row r="6828" spans="1:17" x14ac:dyDescent="0.2">
      <c r="A6828">
        <v>2018</v>
      </c>
      <c r="B6828" t="s">
        <v>2715</v>
      </c>
      <c r="C6828" t="s">
        <v>2283</v>
      </c>
      <c r="D6828" t="s">
        <v>2714</v>
      </c>
      <c r="E6828">
        <v>5</v>
      </c>
      <c r="F6828" t="s">
        <v>2284</v>
      </c>
      <c r="G6828" t="s">
        <v>352</v>
      </c>
      <c r="H6828" t="s">
        <v>480</v>
      </c>
      <c r="I6828" t="s">
        <v>22</v>
      </c>
      <c r="J6828" t="s">
        <v>66</v>
      </c>
      <c r="K6828" t="s">
        <v>2285</v>
      </c>
      <c r="L6828" t="s">
        <v>25</v>
      </c>
      <c r="M6828" s="8" t="s">
        <v>26</v>
      </c>
      <c r="N6828">
        <v>1.012</v>
      </c>
      <c r="O6828" s="8">
        <v>1.012</v>
      </c>
      <c r="P6828" s="8">
        <f>EXP(-1.363+3.366*LOG(O6828,10))</f>
        <v>0.26039322284890287</v>
      </c>
      <c r="Q6828" s="8">
        <f>(1148193*100)/12288027</f>
        <v>9.3439980234418432</v>
      </c>
    </row>
    <row r="6829" spans="1:17" x14ac:dyDescent="0.2">
      <c r="A6829">
        <v>2018</v>
      </c>
      <c r="B6829" t="s">
        <v>2906</v>
      </c>
      <c r="C6829" t="s">
        <v>2287</v>
      </c>
      <c r="D6829" t="s">
        <v>2907</v>
      </c>
      <c r="E6829">
        <v>9</v>
      </c>
      <c r="F6829" t="s">
        <v>2284</v>
      </c>
      <c r="G6829" t="s">
        <v>332</v>
      </c>
      <c r="H6829" t="s">
        <v>327</v>
      </c>
      <c r="I6829" t="s">
        <v>22</v>
      </c>
      <c r="J6829" t="s">
        <v>66</v>
      </c>
      <c r="K6829" t="s">
        <v>2285</v>
      </c>
      <c r="L6829" t="s">
        <v>25</v>
      </c>
      <c r="M6829" s="8">
        <v>1.239333333</v>
      </c>
      <c r="N6829">
        <v>1.012</v>
      </c>
      <c r="O6829" s="8">
        <v>1.012</v>
      </c>
      <c r="P6829" s="8">
        <f>EXP(-1.363+3.366*LOG(O6829,10))</f>
        <v>0.26039322284890287</v>
      </c>
      <c r="Q6829" s="8">
        <f>(859450.9*100)/14749408</f>
        <v>5.8270196336015658</v>
      </c>
    </row>
    <row r="6830" spans="1:17" x14ac:dyDescent="0.2">
      <c r="A6830">
        <v>2018</v>
      </c>
      <c r="B6830" t="s">
        <v>2744</v>
      </c>
      <c r="C6830" t="s">
        <v>2287</v>
      </c>
      <c r="D6830" t="s">
        <v>2736</v>
      </c>
      <c r="E6830">
        <v>5</v>
      </c>
      <c r="F6830" t="s">
        <v>2284</v>
      </c>
      <c r="G6830" t="s">
        <v>352</v>
      </c>
      <c r="H6830" t="s">
        <v>1344</v>
      </c>
      <c r="I6830" t="s">
        <v>22</v>
      </c>
      <c r="J6830" t="s">
        <v>66</v>
      </c>
      <c r="K6830" t="s">
        <v>2285</v>
      </c>
      <c r="L6830" t="s">
        <v>25</v>
      </c>
      <c r="M6830" s="8">
        <v>0.91800000000000004</v>
      </c>
      <c r="N6830">
        <v>1.01</v>
      </c>
      <c r="O6830" s="8">
        <v>1.01</v>
      </c>
      <c r="P6830" s="8">
        <f>EXP(-1.363+3.366*LOG(O6830,10))</f>
        <v>0.25964128962709732</v>
      </c>
      <c r="Q6830" s="8">
        <f>(859450.9*100)/14749408</f>
        <v>5.8270196336015658</v>
      </c>
    </row>
    <row r="6831" spans="1:17" x14ac:dyDescent="0.2">
      <c r="A6831">
        <v>2017</v>
      </c>
      <c r="B6831" t="s">
        <v>2338</v>
      </c>
      <c r="C6831" t="s">
        <v>50</v>
      </c>
      <c r="D6831" t="s">
        <v>2337</v>
      </c>
      <c r="E6831">
        <v>4</v>
      </c>
      <c r="F6831" t="s">
        <v>2284</v>
      </c>
      <c r="G6831" t="s">
        <v>20</v>
      </c>
      <c r="H6831" t="s">
        <v>2295</v>
      </c>
      <c r="I6831" t="s">
        <v>36</v>
      </c>
      <c r="J6831" t="s">
        <v>42</v>
      </c>
      <c r="K6831" t="s">
        <v>2285</v>
      </c>
      <c r="L6831" t="s">
        <v>25</v>
      </c>
      <c r="M6831" s="8">
        <v>1.0436666670000001</v>
      </c>
      <c r="N6831">
        <v>1.008</v>
      </c>
      <c r="O6831" s="8">
        <v>1.008</v>
      </c>
      <c r="P6831" s="8">
        <f>EXP(-1.363+3.366*LOG(O6831,10))</f>
        <v>0.25889004375317104</v>
      </c>
      <c r="Q6831" s="8">
        <f>(4488342*100)/4914798</f>
        <v>91.323020803703429</v>
      </c>
    </row>
    <row r="6832" spans="1:17" x14ac:dyDescent="0.2">
      <c r="A6832">
        <v>2018</v>
      </c>
      <c r="B6832" t="s">
        <v>2700</v>
      </c>
      <c r="C6832" t="s">
        <v>2283</v>
      </c>
      <c r="D6832" t="s">
        <v>2694</v>
      </c>
      <c r="E6832">
        <v>5</v>
      </c>
      <c r="F6832" t="s">
        <v>2284</v>
      </c>
      <c r="G6832" t="s">
        <v>352</v>
      </c>
      <c r="H6832" t="s">
        <v>480</v>
      </c>
      <c r="I6832" t="s">
        <v>22</v>
      </c>
      <c r="J6832" t="s">
        <v>66</v>
      </c>
      <c r="K6832" t="s">
        <v>2285</v>
      </c>
      <c r="L6832" t="s">
        <v>25</v>
      </c>
      <c r="M6832" s="8" t="s">
        <v>26</v>
      </c>
      <c r="N6832">
        <v>1.006</v>
      </c>
      <c r="O6832" s="8">
        <v>1.006</v>
      </c>
      <c r="P6832" s="8">
        <f>EXP(-1.363+3.366*LOG(O6832,10))</f>
        <v>0.25813948596073016</v>
      </c>
      <c r="Q6832" s="8">
        <f>(1148193*100)/12288027</f>
        <v>9.3439980234418432</v>
      </c>
    </row>
    <row r="6833" spans="1:17" x14ac:dyDescent="0.2">
      <c r="A6833">
        <v>2018</v>
      </c>
      <c r="B6833" t="s">
        <v>2670</v>
      </c>
      <c r="C6833" t="s">
        <v>2283</v>
      </c>
      <c r="D6833" t="s">
        <v>2665</v>
      </c>
      <c r="E6833">
        <v>5</v>
      </c>
      <c r="F6833" t="s">
        <v>2284</v>
      </c>
      <c r="G6833" t="s">
        <v>352</v>
      </c>
      <c r="H6833" t="s">
        <v>480</v>
      </c>
      <c r="I6833" t="s">
        <v>22</v>
      </c>
      <c r="J6833" t="s">
        <v>66</v>
      </c>
      <c r="K6833" t="s">
        <v>2285</v>
      </c>
      <c r="L6833" t="s">
        <v>25</v>
      </c>
      <c r="M6833" s="8" t="s">
        <v>26</v>
      </c>
      <c r="N6833">
        <v>1.004</v>
      </c>
      <c r="O6833" s="8">
        <v>1.004</v>
      </c>
      <c r="P6833" s="8">
        <f>EXP(-1.363+3.366*LOG(O6833,10))</f>
        <v>0.25738961698562307</v>
      </c>
      <c r="Q6833" s="8">
        <f>(1148193*100)/12288027</f>
        <v>9.3439980234418432</v>
      </c>
    </row>
    <row r="6834" spans="1:17" x14ac:dyDescent="0.2">
      <c r="A6834">
        <v>2017</v>
      </c>
      <c r="B6834" t="s">
        <v>2328</v>
      </c>
      <c r="C6834" t="s">
        <v>2287</v>
      </c>
      <c r="D6834" t="s">
        <v>2321</v>
      </c>
      <c r="E6834">
        <v>3</v>
      </c>
      <c r="F6834" t="s">
        <v>2284</v>
      </c>
      <c r="G6834" t="s">
        <v>303</v>
      </c>
      <c r="H6834" t="s">
        <v>307</v>
      </c>
      <c r="I6834" t="s">
        <v>36</v>
      </c>
      <c r="J6834" t="s">
        <v>66</v>
      </c>
      <c r="K6834" t="s">
        <v>2285</v>
      </c>
      <c r="L6834" t="s">
        <v>305</v>
      </c>
      <c r="M6834" s="8">
        <v>1.01</v>
      </c>
      <c r="N6834">
        <v>1.002</v>
      </c>
      <c r="O6834" s="8">
        <v>1.002</v>
      </c>
      <c r="P6834" s="8">
        <f>EXP(-1.363+3.366*LOG(O6834,10))</f>
        <v>0.2566404375659519</v>
      </c>
      <c r="Q6834" s="8">
        <f>(859450.9*100)/14749408</f>
        <v>5.8270196336015658</v>
      </c>
    </row>
    <row r="6835" spans="1:17" x14ac:dyDescent="0.2">
      <c r="A6835">
        <v>2017</v>
      </c>
      <c r="B6835" t="s">
        <v>2513</v>
      </c>
      <c r="C6835" t="s">
        <v>89</v>
      </c>
      <c r="D6835" t="s">
        <v>2501</v>
      </c>
      <c r="E6835">
        <v>6</v>
      </c>
      <c r="F6835" t="s">
        <v>2284</v>
      </c>
      <c r="G6835" t="s">
        <v>352</v>
      </c>
      <c r="H6835" t="s">
        <v>975</v>
      </c>
      <c r="I6835" t="s">
        <v>22</v>
      </c>
      <c r="J6835" t="s">
        <v>66</v>
      </c>
      <c r="K6835" t="s">
        <v>2285</v>
      </c>
      <c r="L6835" t="s">
        <v>25</v>
      </c>
      <c r="M6835" s="8">
        <v>1.0693333330000001</v>
      </c>
      <c r="N6835">
        <v>1.002</v>
      </c>
      <c r="O6835" s="8">
        <v>1.002</v>
      </c>
      <c r="P6835" s="8">
        <f>EXP(-1.363+3.366*LOG(O6835,10))</f>
        <v>0.2566404375659519</v>
      </c>
      <c r="Q6835" s="8">
        <f>(61997.93*100)/7298102</f>
        <v>0.84950758430068529</v>
      </c>
    </row>
    <row r="6836" spans="1:17" x14ac:dyDescent="0.2">
      <c r="A6836">
        <v>2017</v>
      </c>
      <c r="B6836" t="s">
        <v>2353</v>
      </c>
      <c r="C6836" t="s">
        <v>89</v>
      </c>
      <c r="D6836" t="s">
        <v>2346</v>
      </c>
      <c r="E6836">
        <v>4</v>
      </c>
      <c r="F6836" t="s">
        <v>2284</v>
      </c>
      <c r="G6836" t="s">
        <v>352</v>
      </c>
      <c r="H6836" t="s">
        <v>975</v>
      </c>
      <c r="I6836" t="s">
        <v>22</v>
      </c>
      <c r="J6836" t="s">
        <v>66</v>
      </c>
      <c r="K6836" t="s">
        <v>2285</v>
      </c>
      <c r="L6836" t="s">
        <v>25</v>
      </c>
      <c r="M6836" s="8">
        <v>1.0693333330000001</v>
      </c>
      <c r="N6836">
        <v>1.0009999999999999</v>
      </c>
      <c r="O6836" s="8">
        <v>1.0009999999999999</v>
      </c>
      <c r="P6836" s="8">
        <f>EXP(-1.363+3.366*LOG(O6836,10))</f>
        <v>0.25626610667068062</v>
      </c>
      <c r="Q6836" s="8">
        <f>(61997.93*100)/7298102</f>
        <v>0.84950758430068529</v>
      </c>
    </row>
    <row r="6837" spans="1:17" x14ac:dyDescent="0.2">
      <c r="A6837">
        <v>2018</v>
      </c>
      <c r="B6837" t="s">
        <v>2722</v>
      </c>
      <c r="C6837" t="s">
        <v>2283</v>
      </c>
      <c r="D6837" t="s">
        <v>2714</v>
      </c>
      <c r="E6837">
        <v>5</v>
      </c>
      <c r="F6837" t="s">
        <v>2284</v>
      </c>
      <c r="G6837" t="s">
        <v>352</v>
      </c>
      <c r="H6837" t="s">
        <v>480</v>
      </c>
      <c r="I6837" t="s">
        <v>22</v>
      </c>
      <c r="J6837" t="s">
        <v>66</v>
      </c>
      <c r="K6837" t="s">
        <v>2285</v>
      </c>
      <c r="L6837" t="s">
        <v>25</v>
      </c>
      <c r="M6837" s="8" t="s">
        <v>26</v>
      </c>
      <c r="N6837">
        <v>1</v>
      </c>
      <c r="O6837" s="8">
        <v>1</v>
      </c>
      <c r="P6837" s="8">
        <f>EXP(-1.363+3.366*LOG(O6837,10))</f>
        <v>0.25589194844208374</v>
      </c>
      <c r="Q6837" s="8">
        <f>(1148193*100)/12288027</f>
        <v>9.3439980234418432</v>
      </c>
    </row>
    <row r="6838" spans="1:17" x14ac:dyDescent="0.2">
      <c r="A6838">
        <v>2018</v>
      </c>
      <c r="B6838" t="s">
        <v>2920</v>
      </c>
      <c r="C6838" t="s">
        <v>2283</v>
      </c>
      <c r="D6838" t="s">
        <v>2919</v>
      </c>
      <c r="E6838">
        <v>9</v>
      </c>
      <c r="F6838" t="s">
        <v>2284</v>
      </c>
      <c r="G6838" t="s">
        <v>332</v>
      </c>
      <c r="H6838" t="s">
        <v>2248</v>
      </c>
      <c r="I6838" t="s">
        <v>22</v>
      </c>
      <c r="J6838" t="s">
        <v>66</v>
      </c>
      <c r="K6838" t="s">
        <v>2285</v>
      </c>
      <c r="L6838" t="s">
        <v>25</v>
      </c>
      <c r="M6838" s="8" t="s">
        <v>26</v>
      </c>
      <c r="N6838">
        <v>1</v>
      </c>
      <c r="O6838" s="8">
        <v>1</v>
      </c>
      <c r="P6838" s="8">
        <f>EXP(-1.363+3.366*LOG(O6838,10))</f>
        <v>0.25589194844208374</v>
      </c>
      <c r="Q6838" s="8">
        <f>(1148193*100)/12288027</f>
        <v>9.3439980234418432</v>
      </c>
    </row>
    <row r="6839" spans="1:17" x14ac:dyDescent="0.2">
      <c r="A6839">
        <v>2017</v>
      </c>
      <c r="B6839" t="s">
        <v>2572</v>
      </c>
      <c r="C6839" t="s">
        <v>52</v>
      </c>
      <c r="D6839" t="s">
        <v>2564</v>
      </c>
      <c r="E6839">
        <v>6</v>
      </c>
      <c r="F6839" t="s">
        <v>2284</v>
      </c>
      <c r="G6839" t="s">
        <v>352</v>
      </c>
      <c r="H6839" t="s">
        <v>975</v>
      </c>
      <c r="I6839" t="s">
        <v>22</v>
      </c>
      <c r="J6839" t="s">
        <v>42</v>
      </c>
      <c r="K6839" t="s">
        <v>2285</v>
      </c>
      <c r="L6839" t="s">
        <v>25</v>
      </c>
      <c r="M6839" s="8">
        <v>1.0693333330000001</v>
      </c>
      <c r="N6839">
        <v>0.999</v>
      </c>
      <c r="O6839" s="8">
        <v>0.999</v>
      </c>
      <c r="P6839" s="8">
        <f>EXP(-1.363+3.366*LOG(O6839,10))</f>
        <v>0.25551796297306273</v>
      </c>
      <c r="Q6839" s="8">
        <f>(1626350*100)/1973941</f>
        <v>82.391013713175823</v>
      </c>
    </row>
    <row r="6840" spans="1:17" x14ac:dyDescent="0.2">
      <c r="A6840">
        <v>2017</v>
      </c>
      <c r="B6840" t="s">
        <v>2489</v>
      </c>
      <c r="C6840" t="s">
        <v>2283</v>
      </c>
      <c r="D6840" t="s">
        <v>2485</v>
      </c>
      <c r="E6840">
        <v>5</v>
      </c>
      <c r="F6840" t="s">
        <v>2284</v>
      </c>
      <c r="G6840" t="s">
        <v>352</v>
      </c>
      <c r="H6840" t="s">
        <v>480</v>
      </c>
      <c r="I6840" t="s">
        <v>22</v>
      </c>
      <c r="J6840" t="s">
        <v>66</v>
      </c>
      <c r="K6840" t="s">
        <v>2285</v>
      </c>
      <c r="L6840" t="s">
        <v>25</v>
      </c>
      <c r="M6840" s="8" t="s">
        <v>26</v>
      </c>
      <c r="N6840">
        <v>0.998</v>
      </c>
      <c r="O6840" s="8">
        <v>0.998</v>
      </c>
      <c r="P6840" s="8">
        <f>EXP(-1.363+3.366*LOG(O6840,10))</f>
        <v>0.25514415035666232</v>
      </c>
      <c r="Q6840" s="8">
        <f>(1148193*100)/12288027</f>
        <v>9.3439980234418432</v>
      </c>
    </row>
    <row r="6841" spans="1:17" x14ac:dyDescent="0.2">
      <c r="A6841">
        <v>2018</v>
      </c>
      <c r="B6841" t="s">
        <v>2767</v>
      </c>
      <c r="C6841" t="s">
        <v>1635</v>
      </c>
      <c r="D6841" t="s">
        <v>2763</v>
      </c>
      <c r="E6841">
        <v>6</v>
      </c>
      <c r="F6841" t="s">
        <v>2284</v>
      </c>
      <c r="G6841" t="s">
        <v>352</v>
      </c>
      <c r="H6841" t="s">
        <v>975</v>
      </c>
      <c r="I6841" t="s">
        <v>22</v>
      </c>
      <c r="J6841" t="s">
        <v>42</v>
      </c>
      <c r="K6841" t="s">
        <v>2285</v>
      </c>
      <c r="L6841" t="s">
        <v>25</v>
      </c>
      <c r="M6841" s="8">
        <v>1.0693333330000001</v>
      </c>
      <c r="N6841">
        <v>0.998</v>
      </c>
      <c r="O6841" s="8">
        <v>0.998</v>
      </c>
      <c r="P6841" s="8">
        <f>EXP(-1.363+3.366*LOG(O6841,10))</f>
        <v>0.25514415035666232</v>
      </c>
      <c r="Q6841" s="8">
        <f>(3602085*100)/4019599</f>
        <v>89.613043490159086</v>
      </c>
    </row>
    <row r="6842" spans="1:17" x14ac:dyDescent="0.2">
      <c r="A6842">
        <v>2018</v>
      </c>
      <c r="B6842" t="s">
        <v>2675</v>
      </c>
      <c r="C6842" t="s">
        <v>2287</v>
      </c>
      <c r="D6842" t="s">
        <v>2665</v>
      </c>
      <c r="E6842">
        <v>5</v>
      </c>
      <c r="F6842" t="s">
        <v>2284</v>
      </c>
      <c r="G6842" t="s">
        <v>352</v>
      </c>
      <c r="H6842" t="s">
        <v>1344</v>
      </c>
      <c r="I6842" t="s">
        <v>22</v>
      </c>
      <c r="J6842" t="s">
        <v>66</v>
      </c>
      <c r="K6842" t="s">
        <v>2285</v>
      </c>
      <c r="L6842" t="s">
        <v>25</v>
      </c>
      <c r="M6842" s="8">
        <v>0.91800000000000004</v>
      </c>
      <c r="N6842">
        <v>0.99199999999999999</v>
      </c>
      <c r="O6842" s="8">
        <v>0.99199999999999999</v>
      </c>
      <c r="P6842" s="8">
        <f>EXP(-1.363+3.366*LOG(O6842,10))</f>
        <v>0.25290490979190822</v>
      </c>
      <c r="Q6842" s="8">
        <f>(859450.9*100)/14749408</f>
        <v>5.8270196336015658</v>
      </c>
    </row>
    <row r="6843" spans="1:17" x14ac:dyDescent="0.2">
      <c r="A6843">
        <v>2018</v>
      </c>
      <c r="B6843" t="s">
        <v>2898</v>
      </c>
      <c r="C6843" t="s">
        <v>2287</v>
      </c>
      <c r="D6843" t="s">
        <v>2886</v>
      </c>
      <c r="E6843">
        <v>9</v>
      </c>
      <c r="F6843" t="s">
        <v>2284</v>
      </c>
      <c r="G6843" t="s">
        <v>352</v>
      </c>
      <c r="H6843" t="s">
        <v>1344</v>
      </c>
      <c r="I6843" t="s">
        <v>22</v>
      </c>
      <c r="J6843" t="s">
        <v>66</v>
      </c>
      <c r="K6843" t="s">
        <v>2285</v>
      </c>
      <c r="L6843" t="s">
        <v>25</v>
      </c>
      <c r="M6843" s="8">
        <v>0.91800000000000004</v>
      </c>
      <c r="N6843">
        <v>0.99199999999999999</v>
      </c>
      <c r="O6843" s="8">
        <v>0.99199999999999999</v>
      </c>
      <c r="P6843" s="8">
        <f>EXP(-1.363+3.366*LOG(O6843,10))</f>
        <v>0.25290490979190822</v>
      </c>
      <c r="Q6843" s="8">
        <f>(859450.9*100)/14749408</f>
        <v>5.8270196336015658</v>
      </c>
    </row>
    <row r="6844" spans="1:17" x14ac:dyDescent="0.2">
      <c r="A6844">
        <v>2018</v>
      </c>
      <c r="B6844" t="s">
        <v>2904</v>
      </c>
      <c r="C6844" t="s">
        <v>2283</v>
      </c>
      <c r="D6844" t="s">
        <v>2903</v>
      </c>
      <c r="E6844">
        <v>9</v>
      </c>
      <c r="F6844" t="s">
        <v>2284</v>
      </c>
      <c r="G6844" t="s">
        <v>332</v>
      </c>
      <c r="H6844" t="s">
        <v>2248</v>
      </c>
      <c r="I6844" t="s">
        <v>22</v>
      </c>
      <c r="J6844" t="s">
        <v>66</v>
      </c>
      <c r="K6844" t="s">
        <v>2285</v>
      </c>
      <c r="L6844" t="s">
        <v>25</v>
      </c>
      <c r="M6844" s="8" t="s">
        <v>26</v>
      </c>
      <c r="N6844">
        <v>0.99199999999999999</v>
      </c>
      <c r="O6844" s="8">
        <v>0.99199999999999999</v>
      </c>
      <c r="P6844" s="8">
        <f>EXP(-1.363+3.366*LOG(O6844,10))</f>
        <v>0.25290490979190822</v>
      </c>
      <c r="Q6844" s="8">
        <f>(1148193*100)/12288027</f>
        <v>9.3439980234418432</v>
      </c>
    </row>
    <row r="6845" spans="1:17" x14ac:dyDescent="0.2">
      <c r="A6845">
        <v>2018</v>
      </c>
      <c r="B6845" t="s">
        <v>2596</v>
      </c>
      <c r="C6845" t="s">
        <v>2287</v>
      </c>
      <c r="D6845" t="s">
        <v>2597</v>
      </c>
      <c r="E6845">
        <v>4</v>
      </c>
      <c r="F6845" t="s">
        <v>2284</v>
      </c>
      <c r="G6845" t="s">
        <v>352</v>
      </c>
      <c r="H6845" t="s">
        <v>975</v>
      </c>
      <c r="I6845" t="s">
        <v>22</v>
      </c>
      <c r="J6845" t="s">
        <v>66</v>
      </c>
      <c r="K6845" t="s">
        <v>2285</v>
      </c>
      <c r="L6845" t="s">
        <v>25</v>
      </c>
      <c r="M6845" s="8">
        <v>1.0693333330000001</v>
      </c>
      <c r="N6845">
        <v>0.98899999999999999</v>
      </c>
      <c r="O6845" s="8">
        <v>0.98899999999999999</v>
      </c>
      <c r="P6845" s="8">
        <f>EXP(-1.363+3.366*LOG(O6845,10))</f>
        <v>0.25178763060062398</v>
      </c>
      <c r="Q6845" s="8">
        <f>(859450.9*100)/14749408</f>
        <v>5.8270196336015658</v>
      </c>
    </row>
    <row r="6846" spans="1:17" x14ac:dyDescent="0.2">
      <c r="A6846">
        <v>2018</v>
      </c>
      <c r="B6846" t="s">
        <v>2980</v>
      </c>
      <c r="C6846" t="s">
        <v>2283</v>
      </c>
      <c r="D6846" t="s">
        <v>2978</v>
      </c>
      <c r="E6846">
        <v>10</v>
      </c>
      <c r="F6846" t="s">
        <v>2284</v>
      </c>
      <c r="G6846" t="s">
        <v>352</v>
      </c>
      <c r="H6846" t="s">
        <v>975</v>
      </c>
      <c r="I6846" t="s">
        <v>22</v>
      </c>
      <c r="J6846" t="s">
        <v>66</v>
      </c>
      <c r="K6846" t="s">
        <v>2285</v>
      </c>
      <c r="L6846" t="s">
        <v>25</v>
      </c>
      <c r="M6846" s="8">
        <v>1.0693333330000001</v>
      </c>
      <c r="N6846">
        <v>0.98899999999999999</v>
      </c>
      <c r="O6846" s="8">
        <v>0.98899999999999999</v>
      </c>
      <c r="P6846" s="8">
        <f>EXP(-1.363+3.366*LOG(O6846,10))</f>
        <v>0.25178763060062398</v>
      </c>
      <c r="Q6846" s="8">
        <f>(1148193*100)/12288027</f>
        <v>9.3439980234418432</v>
      </c>
    </row>
    <row r="6847" spans="1:17" x14ac:dyDescent="0.2">
      <c r="A6847">
        <v>2017</v>
      </c>
      <c r="B6847" t="s">
        <v>2497</v>
      </c>
      <c r="C6847" t="s">
        <v>2287</v>
      </c>
      <c r="D6847" t="s">
        <v>2485</v>
      </c>
      <c r="E6847">
        <v>5</v>
      </c>
      <c r="F6847" t="s">
        <v>2284</v>
      </c>
      <c r="G6847" t="s">
        <v>352</v>
      </c>
      <c r="H6847" t="s">
        <v>975</v>
      </c>
      <c r="I6847" t="s">
        <v>22</v>
      </c>
      <c r="J6847" t="s">
        <v>66</v>
      </c>
      <c r="K6847" t="s">
        <v>2285</v>
      </c>
      <c r="L6847" t="s">
        <v>25</v>
      </c>
      <c r="M6847" s="8">
        <v>1.0693333330000001</v>
      </c>
      <c r="N6847">
        <v>0.98699999999999999</v>
      </c>
      <c r="O6847" s="8">
        <v>0.98699999999999999</v>
      </c>
      <c r="P6847" s="8">
        <f>EXP(-1.363+3.366*LOG(O6847,10))</f>
        <v>0.25104364660425671</v>
      </c>
      <c r="Q6847" s="8">
        <f>(859450.9*100)/14749408</f>
        <v>5.8270196336015658</v>
      </c>
    </row>
    <row r="6848" spans="1:17" x14ac:dyDescent="0.2">
      <c r="A6848">
        <v>2017</v>
      </c>
      <c r="B6848" t="s">
        <v>2449</v>
      </c>
      <c r="C6848" t="s">
        <v>1635</v>
      </c>
      <c r="D6848" t="s">
        <v>2440</v>
      </c>
      <c r="E6848">
        <v>5</v>
      </c>
      <c r="F6848" t="s">
        <v>2284</v>
      </c>
      <c r="G6848" t="s">
        <v>352</v>
      </c>
      <c r="H6848" t="s">
        <v>975</v>
      </c>
      <c r="I6848" t="s">
        <v>22</v>
      </c>
      <c r="J6848" t="s">
        <v>42</v>
      </c>
      <c r="K6848" t="s">
        <v>2285</v>
      </c>
      <c r="L6848" t="s">
        <v>25</v>
      </c>
      <c r="M6848" s="8">
        <v>1.0693333330000001</v>
      </c>
      <c r="N6848">
        <v>0.98599999999999999</v>
      </c>
      <c r="O6848" s="8">
        <v>0.98599999999999999</v>
      </c>
      <c r="P6848" s="8">
        <f>EXP(-1.363+3.366*LOG(O6848,10))</f>
        <v>0.25067191552934642</v>
      </c>
      <c r="Q6848" s="8">
        <f>(3602085*100)/4019599</f>
        <v>89.613043490159086</v>
      </c>
    </row>
    <row r="6849" spans="1:17" x14ac:dyDescent="0.2">
      <c r="A6849">
        <v>2018</v>
      </c>
      <c r="B6849" t="s">
        <v>2726</v>
      </c>
      <c r="C6849" t="s">
        <v>2287</v>
      </c>
      <c r="D6849" t="s">
        <v>2724</v>
      </c>
      <c r="E6849">
        <v>5</v>
      </c>
      <c r="F6849" t="s">
        <v>2284</v>
      </c>
      <c r="G6849" t="s">
        <v>352</v>
      </c>
      <c r="H6849" t="s">
        <v>1344</v>
      </c>
      <c r="I6849" t="s">
        <v>22</v>
      </c>
      <c r="J6849" t="s">
        <v>66</v>
      </c>
      <c r="K6849" t="s">
        <v>2285</v>
      </c>
      <c r="L6849" t="s">
        <v>25</v>
      </c>
      <c r="M6849" s="8">
        <v>0.91800000000000004</v>
      </c>
      <c r="N6849">
        <v>0.98599999999999999</v>
      </c>
      <c r="O6849" s="8">
        <v>0.98599999999999999</v>
      </c>
      <c r="P6849" s="8">
        <f>EXP(-1.363+3.366*LOG(O6849,10))</f>
        <v>0.25067191552934642</v>
      </c>
      <c r="Q6849" s="8">
        <f>(859450.9*100)/14749408</f>
        <v>5.8270196336015658</v>
      </c>
    </row>
    <row r="6850" spans="1:17" x14ac:dyDescent="0.2">
      <c r="A6850">
        <v>2017</v>
      </c>
      <c r="B6850" t="s">
        <v>2294</v>
      </c>
      <c r="C6850" t="s">
        <v>2287</v>
      </c>
      <c r="D6850" t="s">
        <v>2288</v>
      </c>
      <c r="E6850">
        <v>3</v>
      </c>
      <c r="F6850" t="s">
        <v>2284</v>
      </c>
      <c r="G6850" t="s">
        <v>20</v>
      </c>
      <c r="H6850" t="s">
        <v>2295</v>
      </c>
      <c r="I6850" t="s">
        <v>36</v>
      </c>
      <c r="J6850" t="s">
        <v>66</v>
      </c>
      <c r="K6850" t="s">
        <v>2285</v>
      </c>
      <c r="L6850" t="s">
        <v>25</v>
      </c>
      <c r="M6850" s="8">
        <v>1.0436666670000001</v>
      </c>
      <c r="N6850">
        <v>0.98199999999999998</v>
      </c>
      <c r="O6850" s="8">
        <v>0.98199999999999998</v>
      </c>
      <c r="P6850" s="8">
        <f>EXP(-1.363+3.366*LOG(O6850,10))</f>
        <v>0.24918673293513277</v>
      </c>
      <c r="Q6850" s="8">
        <f>(859450.9*100)/14749408</f>
        <v>5.8270196336015658</v>
      </c>
    </row>
    <row r="6851" spans="1:17" x14ac:dyDescent="0.2">
      <c r="A6851">
        <v>2018</v>
      </c>
      <c r="B6851" t="s">
        <v>2774</v>
      </c>
      <c r="C6851" t="s">
        <v>2283</v>
      </c>
      <c r="D6851" t="s">
        <v>2770</v>
      </c>
      <c r="E6851">
        <v>6</v>
      </c>
      <c r="F6851" t="s">
        <v>2284</v>
      </c>
      <c r="G6851" t="s">
        <v>352</v>
      </c>
      <c r="H6851" t="s">
        <v>975</v>
      </c>
      <c r="I6851" t="s">
        <v>22</v>
      </c>
      <c r="J6851" t="s">
        <v>66</v>
      </c>
      <c r="K6851" t="s">
        <v>2285</v>
      </c>
      <c r="L6851" t="s">
        <v>25</v>
      </c>
      <c r="M6851" s="8">
        <v>1.0693333330000001</v>
      </c>
      <c r="N6851">
        <v>0.98199999999999998</v>
      </c>
      <c r="O6851" s="8">
        <v>0.98199999999999998</v>
      </c>
      <c r="P6851" s="8">
        <f>EXP(-1.363+3.366*LOG(O6851,10))</f>
        <v>0.24918673293513277</v>
      </c>
      <c r="Q6851" s="8">
        <f>(1148193*100)/12288027</f>
        <v>9.3439980234418432</v>
      </c>
    </row>
    <row r="6852" spans="1:17" x14ac:dyDescent="0.2">
      <c r="A6852">
        <v>2018</v>
      </c>
      <c r="B6852" t="s">
        <v>2925</v>
      </c>
      <c r="C6852" t="s">
        <v>2287</v>
      </c>
      <c r="D6852" t="s">
        <v>2919</v>
      </c>
      <c r="E6852">
        <v>9</v>
      </c>
      <c r="F6852" t="s">
        <v>2284</v>
      </c>
      <c r="G6852" t="s">
        <v>352</v>
      </c>
      <c r="H6852" t="s">
        <v>1344</v>
      </c>
      <c r="I6852" t="s">
        <v>22</v>
      </c>
      <c r="J6852" t="s">
        <v>66</v>
      </c>
      <c r="K6852" t="s">
        <v>2285</v>
      </c>
      <c r="L6852" t="s">
        <v>25</v>
      </c>
      <c r="M6852" s="8">
        <v>0.91800000000000004</v>
      </c>
      <c r="N6852">
        <v>0.98099999999999998</v>
      </c>
      <c r="O6852" s="8">
        <v>0.98099999999999998</v>
      </c>
      <c r="P6852" s="8">
        <f>EXP(-1.363+3.366*LOG(O6852,10))</f>
        <v>0.24881587318948042</v>
      </c>
      <c r="Q6852" s="8">
        <f>(859450.9*100)/14749408</f>
        <v>5.8270196336015658</v>
      </c>
    </row>
    <row r="6853" spans="1:17" x14ac:dyDescent="0.2">
      <c r="A6853">
        <v>2017</v>
      </c>
      <c r="B6853" t="s">
        <v>2478</v>
      </c>
      <c r="C6853" t="s">
        <v>50</v>
      </c>
      <c r="D6853" t="s">
        <v>2474</v>
      </c>
      <c r="E6853">
        <v>5</v>
      </c>
      <c r="F6853" t="s">
        <v>2284</v>
      </c>
      <c r="G6853" t="s">
        <v>332</v>
      </c>
      <c r="H6853" t="s">
        <v>2034</v>
      </c>
      <c r="I6853" t="s">
        <v>22</v>
      </c>
      <c r="J6853" t="s">
        <v>42</v>
      </c>
      <c r="K6853" t="s">
        <v>2285</v>
      </c>
      <c r="L6853" t="s">
        <v>25</v>
      </c>
      <c r="M6853" s="8">
        <v>0.94899999999999995</v>
      </c>
      <c r="N6853">
        <v>0.98</v>
      </c>
      <c r="O6853" s="8">
        <v>0.98</v>
      </c>
      <c r="P6853" s="8">
        <f>EXP(-1.363+3.366*LOG(O6853,10))</f>
        <v>0.24844518799612872</v>
      </c>
      <c r="Q6853" s="8">
        <f>(4488342*100)/4914798</f>
        <v>91.323020803703429</v>
      </c>
    </row>
    <row r="6854" spans="1:17" x14ac:dyDescent="0.2">
      <c r="A6854">
        <v>2018</v>
      </c>
      <c r="B6854" t="s">
        <v>2727</v>
      </c>
      <c r="C6854" t="s">
        <v>2287</v>
      </c>
      <c r="D6854" t="s">
        <v>2724</v>
      </c>
      <c r="E6854">
        <v>5</v>
      </c>
      <c r="F6854" t="s">
        <v>2284</v>
      </c>
      <c r="G6854" t="s">
        <v>352</v>
      </c>
      <c r="H6854" t="s">
        <v>1344</v>
      </c>
      <c r="I6854" t="s">
        <v>22</v>
      </c>
      <c r="J6854" t="s">
        <v>66</v>
      </c>
      <c r="K6854" t="s">
        <v>2285</v>
      </c>
      <c r="L6854" t="s">
        <v>25</v>
      </c>
      <c r="M6854" s="8">
        <v>0.91800000000000004</v>
      </c>
      <c r="N6854">
        <v>0.98</v>
      </c>
      <c r="O6854" s="8">
        <v>0.98</v>
      </c>
      <c r="P6854" s="8">
        <f>EXP(-1.363+3.366*LOG(O6854,10))</f>
        <v>0.24844518799612872</v>
      </c>
      <c r="Q6854" s="8">
        <f>(859450.9*100)/14749408</f>
        <v>5.8270196336015658</v>
      </c>
    </row>
    <row r="6855" spans="1:17" x14ac:dyDescent="0.2">
      <c r="A6855">
        <v>2018</v>
      </c>
      <c r="B6855" t="s">
        <v>2972</v>
      </c>
      <c r="C6855" t="s">
        <v>2287</v>
      </c>
      <c r="D6855" t="s">
        <v>2961</v>
      </c>
      <c r="E6855">
        <v>9</v>
      </c>
      <c r="F6855" t="s">
        <v>2284</v>
      </c>
      <c r="G6855" t="s">
        <v>352</v>
      </c>
      <c r="H6855" t="s">
        <v>1344</v>
      </c>
      <c r="I6855" t="s">
        <v>22</v>
      </c>
      <c r="J6855" t="s">
        <v>66</v>
      </c>
      <c r="K6855" t="s">
        <v>2285</v>
      </c>
      <c r="L6855" t="s">
        <v>25</v>
      </c>
      <c r="M6855" s="8">
        <v>0.91800000000000004</v>
      </c>
      <c r="N6855">
        <v>0.97799999999999998</v>
      </c>
      <c r="O6855" s="8">
        <v>0.97799999999999998</v>
      </c>
      <c r="P6855" s="8">
        <f>EXP(-1.363+3.366*LOG(O6855,10))</f>
        <v>0.24770434164980754</v>
      </c>
      <c r="Q6855" s="8">
        <f>(859450.9*100)/14749408</f>
        <v>5.8270196336015658</v>
      </c>
    </row>
    <row r="6856" spans="1:17" x14ac:dyDescent="0.2">
      <c r="A6856">
        <v>2017</v>
      </c>
      <c r="B6856" t="s">
        <v>2335</v>
      </c>
      <c r="C6856" t="s">
        <v>52</v>
      </c>
      <c r="D6856" t="s">
        <v>2330</v>
      </c>
      <c r="E6856">
        <v>3</v>
      </c>
      <c r="F6856" t="s">
        <v>2284</v>
      </c>
      <c r="G6856" t="s">
        <v>352</v>
      </c>
      <c r="H6856" t="s">
        <v>975</v>
      </c>
      <c r="I6856" t="s">
        <v>22</v>
      </c>
      <c r="J6856" t="s">
        <v>42</v>
      </c>
      <c r="K6856" t="s">
        <v>2285</v>
      </c>
      <c r="L6856" t="s">
        <v>25</v>
      </c>
      <c r="M6856" s="8">
        <v>1.0693333330000001</v>
      </c>
      <c r="N6856">
        <v>0.97199999999999998</v>
      </c>
      <c r="O6856" s="8">
        <v>0.97199999999999998</v>
      </c>
      <c r="P6856" s="8">
        <f>EXP(-1.363+3.366*LOG(O6856,10))</f>
        <v>0.24548600186374245</v>
      </c>
      <c r="Q6856" s="8">
        <f>(1626350*100)/1973941</f>
        <v>82.391013713175823</v>
      </c>
    </row>
    <row r="6857" spans="1:17" x14ac:dyDescent="0.2">
      <c r="A6857">
        <v>2018</v>
      </c>
      <c r="B6857" t="s">
        <v>2676</v>
      </c>
      <c r="C6857" t="s">
        <v>2287</v>
      </c>
      <c r="D6857" t="s">
        <v>2665</v>
      </c>
      <c r="E6857">
        <v>5</v>
      </c>
      <c r="F6857" t="s">
        <v>2284</v>
      </c>
      <c r="G6857" t="s">
        <v>352</v>
      </c>
      <c r="H6857" t="s">
        <v>1344</v>
      </c>
      <c r="I6857" t="s">
        <v>22</v>
      </c>
      <c r="J6857" t="s">
        <v>66</v>
      </c>
      <c r="K6857" t="s">
        <v>2285</v>
      </c>
      <c r="L6857" t="s">
        <v>25</v>
      </c>
      <c r="M6857" s="8">
        <v>0.91800000000000004</v>
      </c>
      <c r="N6857">
        <v>0.97199999999999998</v>
      </c>
      <c r="O6857" s="8">
        <v>0.97199999999999998</v>
      </c>
      <c r="P6857" s="8">
        <f>EXP(-1.363+3.366*LOG(O6857,10))</f>
        <v>0.24548600186374245</v>
      </c>
      <c r="Q6857" s="8">
        <f>(859450.9*100)/14749408</f>
        <v>5.8270196336015658</v>
      </c>
    </row>
    <row r="6858" spans="1:17" x14ac:dyDescent="0.2">
      <c r="A6858">
        <v>2017</v>
      </c>
      <c r="B6858" t="s">
        <v>2391</v>
      </c>
      <c r="C6858" t="s">
        <v>1635</v>
      </c>
      <c r="D6858" t="s">
        <v>2390</v>
      </c>
      <c r="E6858">
        <v>4</v>
      </c>
      <c r="F6858" t="s">
        <v>2284</v>
      </c>
      <c r="G6858" t="s">
        <v>352</v>
      </c>
      <c r="H6858" t="s">
        <v>975</v>
      </c>
      <c r="I6858" t="s">
        <v>22</v>
      </c>
      <c r="J6858" t="s">
        <v>42</v>
      </c>
      <c r="K6858" t="s">
        <v>2285</v>
      </c>
      <c r="L6858" t="s">
        <v>25</v>
      </c>
      <c r="M6858" s="8">
        <v>1.0693333330000001</v>
      </c>
      <c r="N6858">
        <v>0.97099999999999997</v>
      </c>
      <c r="O6858" s="8">
        <v>0.97099999999999997</v>
      </c>
      <c r="P6858" s="8">
        <f>EXP(-1.363+3.366*LOG(O6858,10))</f>
        <v>0.24511689197170297</v>
      </c>
      <c r="Q6858" s="8">
        <f>(3602085*100)/4019599</f>
        <v>89.613043490159086</v>
      </c>
    </row>
    <row r="6859" spans="1:17" x14ac:dyDescent="0.2">
      <c r="A6859">
        <v>2017</v>
      </c>
      <c r="B6859" t="s">
        <v>2466</v>
      </c>
      <c r="C6859" t="s">
        <v>52</v>
      </c>
      <c r="D6859" t="s">
        <v>2462</v>
      </c>
      <c r="E6859">
        <v>5</v>
      </c>
      <c r="F6859" t="s">
        <v>2284</v>
      </c>
      <c r="G6859" t="s">
        <v>352</v>
      </c>
      <c r="H6859" t="s">
        <v>975</v>
      </c>
      <c r="I6859" t="s">
        <v>22</v>
      </c>
      <c r="J6859" t="s">
        <v>42</v>
      </c>
      <c r="K6859" t="s">
        <v>2285</v>
      </c>
      <c r="L6859" t="s">
        <v>25</v>
      </c>
      <c r="M6859" s="8">
        <v>1.0693333330000001</v>
      </c>
      <c r="N6859">
        <v>0.97</v>
      </c>
      <c r="O6859" s="8">
        <v>0.97</v>
      </c>
      <c r="P6859" s="8">
        <f>EXP(-1.363+3.366*LOG(O6859,10))</f>
        <v>0.24474795759710977</v>
      </c>
      <c r="Q6859" s="8">
        <f>(1626350*100)/1973941</f>
        <v>82.391013713175823</v>
      </c>
    </row>
    <row r="6860" spans="1:17" x14ac:dyDescent="0.2">
      <c r="A6860">
        <v>2018</v>
      </c>
      <c r="B6860" t="s">
        <v>2905</v>
      </c>
      <c r="C6860" t="s">
        <v>50</v>
      </c>
      <c r="D6860" t="s">
        <v>2903</v>
      </c>
      <c r="E6860">
        <v>9</v>
      </c>
      <c r="F6860" t="s">
        <v>2284</v>
      </c>
      <c r="G6860" t="s">
        <v>332</v>
      </c>
      <c r="H6860" t="s">
        <v>2034</v>
      </c>
      <c r="I6860" t="s">
        <v>22</v>
      </c>
      <c r="J6860" t="s">
        <v>42</v>
      </c>
      <c r="K6860" t="s">
        <v>2285</v>
      </c>
      <c r="L6860" t="s">
        <v>25</v>
      </c>
      <c r="M6860" s="8">
        <v>0.94899999999999995</v>
      </c>
      <c r="N6860">
        <v>0.96499999999999997</v>
      </c>
      <c r="O6860" s="8">
        <v>0.96499999999999997</v>
      </c>
      <c r="P6860" s="8">
        <f>EXP(-1.363+3.366*LOG(O6860,10))</f>
        <v>0.24290592189869728</v>
      </c>
      <c r="Q6860" s="8">
        <f>(4488342*100)/4914798</f>
        <v>91.323020803703429</v>
      </c>
    </row>
    <row r="6861" spans="1:17" x14ac:dyDescent="0.2">
      <c r="A6861">
        <v>2017</v>
      </c>
      <c r="B6861" t="s">
        <v>2472</v>
      </c>
      <c r="C6861" t="s">
        <v>2287</v>
      </c>
      <c r="D6861" t="s">
        <v>2470</v>
      </c>
      <c r="E6861">
        <v>5</v>
      </c>
      <c r="F6861" t="s">
        <v>2284</v>
      </c>
      <c r="G6861" t="s">
        <v>352</v>
      </c>
      <c r="H6861" t="s">
        <v>1344</v>
      </c>
      <c r="I6861" t="s">
        <v>22</v>
      </c>
      <c r="J6861" t="s">
        <v>66</v>
      </c>
      <c r="K6861" t="s">
        <v>2285</v>
      </c>
      <c r="L6861" t="s">
        <v>25</v>
      </c>
      <c r="M6861" s="8">
        <v>0.91800000000000004</v>
      </c>
      <c r="N6861">
        <v>0.96099999999999997</v>
      </c>
      <c r="O6861" s="8">
        <v>0.96099999999999997</v>
      </c>
      <c r="P6861" s="8">
        <f>EXP(-1.363+3.366*LOG(O6861,10))</f>
        <v>0.24143546262568824</v>
      </c>
      <c r="Q6861" s="8">
        <f>(859450.9*100)/14749408</f>
        <v>5.8270196336015658</v>
      </c>
    </row>
    <row r="6862" spans="1:17" x14ac:dyDescent="0.2">
      <c r="A6862">
        <v>2017</v>
      </c>
      <c r="B6862" t="s">
        <v>2574</v>
      </c>
      <c r="C6862" t="s">
        <v>1635</v>
      </c>
      <c r="D6862" t="s">
        <v>2564</v>
      </c>
      <c r="E6862">
        <v>6</v>
      </c>
      <c r="F6862" t="s">
        <v>2284</v>
      </c>
      <c r="G6862" t="s">
        <v>352</v>
      </c>
      <c r="H6862" t="s">
        <v>975</v>
      </c>
      <c r="I6862" t="s">
        <v>22</v>
      </c>
      <c r="J6862" t="s">
        <v>42</v>
      </c>
      <c r="K6862" t="s">
        <v>2285</v>
      </c>
      <c r="L6862" t="s">
        <v>25</v>
      </c>
      <c r="M6862" s="8">
        <v>1.0693333330000001</v>
      </c>
      <c r="N6862">
        <v>0.96</v>
      </c>
      <c r="O6862" s="8">
        <v>0.96</v>
      </c>
      <c r="P6862" s="8">
        <f>EXP(-1.363+3.366*LOG(O6862,10))</f>
        <v>0.2410682888057388</v>
      </c>
      <c r="Q6862" s="8">
        <f>(3602085*100)/4019599</f>
        <v>89.613043490159086</v>
      </c>
    </row>
    <row r="6863" spans="1:17" x14ac:dyDescent="0.2">
      <c r="A6863">
        <v>2018</v>
      </c>
      <c r="B6863" t="s">
        <v>2824</v>
      </c>
      <c r="C6863" t="s">
        <v>1635</v>
      </c>
      <c r="D6863" t="s">
        <v>2809</v>
      </c>
      <c r="E6863">
        <v>8</v>
      </c>
      <c r="F6863" t="s">
        <v>2284</v>
      </c>
      <c r="G6863" t="s">
        <v>352</v>
      </c>
      <c r="H6863" t="s">
        <v>975</v>
      </c>
      <c r="I6863" t="s">
        <v>36</v>
      </c>
      <c r="J6863" t="s">
        <v>42</v>
      </c>
      <c r="K6863" t="s">
        <v>2285</v>
      </c>
      <c r="L6863" t="s">
        <v>25</v>
      </c>
      <c r="M6863" s="8">
        <v>0.95199999999999996</v>
      </c>
      <c r="N6863">
        <v>0.96</v>
      </c>
      <c r="O6863" s="8">
        <v>0.96</v>
      </c>
      <c r="P6863" s="8">
        <f>EXP(-1.363+3.366*LOG(O6863,10))</f>
        <v>0.2410682888057388</v>
      </c>
      <c r="Q6863" s="8">
        <f>(3602085*100)/4019599</f>
        <v>89.613043490159086</v>
      </c>
    </row>
    <row r="6864" spans="1:17" x14ac:dyDescent="0.2">
      <c r="A6864">
        <v>2017</v>
      </c>
      <c r="B6864" t="s">
        <v>2435</v>
      </c>
      <c r="C6864" t="s">
        <v>2287</v>
      </c>
      <c r="D6864" t="s">
        <v>2425</v>
      </c>
      <c r="E6864">
        <v>5</v>
      </c>
      <c r="F6864" t="s">
        <v>2284</v>
      </c>
      <c r="G6864" t="s">
        <v>352</v>
      </c>
      <c r="H6864" t="s">
        <v>975</v>
      </c>
      <c r="I6864" t="s">
        <v>22</v>
      </c>
      <c r="J6864" t="s">
        <v>66</v>
      </c>
      <c r="K6864" t="s">
        <v>2285</v>
      </c>
      <c r="L6864" t="s">
        <v>25</v>
      </c>
      <c r="M6864" s="8">
        <v>1.0693333330000001</v>
      </c>
      <c r="N6864">
        <v>0.95899999999999996</v>
      </c>
      <c r="O6864" s="8">
        <v>0.95899999999999996</v>
      </c>
      <c r="P6864" s="8">
        <f>EXP(-1.363+3.366*LOG(O6864,10))</f>
        <v>0.24070129158271145</v>
      </c>
      <c r="Q6864" s="8">
        <f>(859450.9*100)/14749408</f>
        <v>5.8270196336015658</v>
      </c>
    </row>
    <row r="6865" spans="1:17" x14ac:dyDescent="0.2">
      <c r="A6865">
        <v>2018</v>
      </c>
      <c r="B6865" t="s">
        <v>2833</v>
      </c>
      <c r="C6865" t="s">
        <v>50</v>
      </c>
      <c r="D6865" t="s">
        <v>2829</v>
      </c>
      <c r="E6865">
        <v>8</v>
      </c>
      <c r="F6865" t="s">
        <v>2284</v>
      </c>
      <c r="G6865" t="s">
        <v>352</v>
      </c>
      <c r="H6865" t="s">
        <v>975</v>
      </c>
      <c r="I6865" t="s">
        <v>36</v>
      </c>
      <c r="J6865" t="s">
        <v>42</v>
      </c>
      <c r="K6865" t="s">
        <v>2285</v>
      </c>
      <c r="L6865" t="s">
        <v>25</v>
      </c>
      <c r="M6865" s="8">
        <v>0.95199999999999996</v>
      </c>
      <c r="N6865">
        <v>0.95899999999999996</v>
      </c>
      <c r="O6865" s="8">
        <v>0.95899999999999996</v>
      </c>
      <c r="P6865" s="8">
        <f>EXP(-1.363+3.366*LOG(O6865,10))</f>
        <v>0.24070129158271145</v>
      </c>
      <c r="Q6865" s="8">
        <f>(4488342*100)/4914798</f>
        <v>91.323020803703429</v>
      </c>
    </row>
    <row r="6866" spans="1:17" x14ac:dyDescent="0.2">
      <c r="A6866">
        <v>2018</v>
      </c>
      <c r="B6866" t="s">
        <v>2971</v>
      </c>
      <c r="C6866" t="s">
        <v>1635</v>
      </c>
      <c r="D6866" t="s">
        <v>2961</v>
      </c>
      <c r="E6866">
        <v>9</v>
      </c>
      <c r="F6866" t="s">
        <v>2284</v>
      </c>
      <c r="G6866" t="s">
        <v>352</v>
      </c>
      <c r="H6866" t="s">
        <v>975</v>
      </c>
      <c r="I6866" t="s">
        <v>22</v>
      </c>
      <c r="J6866" t="s">
        <v>42</v>
      </c>
      <c r="K6866" t="s">
        <v>2285</v>
      </c>
      <c r="L6866" t="s">
        <v>25</v>
      </c>
      <c r="M6866" s="8">
        <v>1.0693333330000001</v>
      </c>
      <c r="N6866">
        <v>0.95899999999999996</v>
      </c>
      <c r="O6866" s="8">
        <v>0.95899999999999996</v>
      </c>
      <c r="P6866" s="8">
        <f>EXP(-1.363+3.366*LOG(O6866,10))</f>
        <v>0.24070129158271145</v>
      </c>
      <c r="Q6866" s="8">
        <f>(3602085*100)/4019599</f>
        <v>89.613043490159086</v>
      </c>
    </row>
    <row r="6867" spans="1:17" x14ac:dyDescent="0.2">
      <c r="A6867">
        <v>2018</v>
      </c>
      <c r="B6867" t="s">
        <v>2866</v>
      </c>
      <c r="C6867" t="s">
        <v>1635</v>
      </c>
      <c r="D6867" t="s">
        <v>2838</v>
      </c>
      <c r="E6867">
        <v>8</v>
      </c>
      <c r="F6867" t="s">
        <v>2284</v>
      </c>
      <c r="G6867" t="s">
        <v>352</v>
      </c>
      <c r="H6867" t="s">
        <v>975</v>
      </c>
      <c r="I6867" t="s">
        <v>22</v>
      </c>
      <c r="J6867" t="s">
        <v>42</v>
      </c>
      <c r="K6867" t="s">
        <v>2285</v>
      </c>
      <c r="L6867" t="s">
        <v>25</v>
      </c>
      <c r="M6867" s="8">
        <v>1.0693333330000001</v>
      </c>
      <c r="N6867">
        <v>0.95599999999999996</v>
      </c>
      <c r="O6867" s="8">
        <v>0.95599999999999996</v>
      </c>
      <c r="P6867" s="8">
        <f>EXP(-1.363+3.366*LOG(O6867,10))</f>
        <v>0.23960136048673258</v>
      </c>
      <c r="Q6867" s="8">
        <f>(3602085*100)/4019599</f>
        <v>89.613043490159086</v>
      </c>
    </row>
    <row r="6868" spans="1:17" x14ac:dyDescent="0.2">
      <c r="A6868">
        <v>2017</v>
      </c>
      <c r="B6868" t="s">
        <v>2539</v>
      </c>
      <c r="C6868" t="s">
        <v>52</v>
      </c>
      <c r="D6868" t="s">
        <v>2533</v>
      </c>
      <c r="E6868">
        <v>6</v>
      </c>
      <c r="F6868" t="s">
        <v>2284</v>
      </c>
      <c r="G6868" t="s">
        <v>352</v>
      </c>
      <c r="H6868" t="s">
        <v>975</v>
      </c>
      <c r="I6868" t="s">
        <v>22</v>
      </c>
      <c r="J6868" t="s">
        <v>42</v>
      </c>
      <c r="K6868" t="s">
        <v>2285</v>
      </c>
      <c r="L6868" t="s">
        <v>25</v>
      </c>
      <c r="M6868" s="8">
        <v>1.0693333330000001</v>
      </c>
      <c r="N6868">
        <v>0.95499999999999996</v>
      </c>
      <c r="O6868" s="8">
        <v>0.95499999999999996</v>
      </c>
      <c r="P6868" s="8">
        <f>EXP(-1.363+3.366*LOG(O6868,10))</f>
        <v>0.23923507064376143</v>
      </c>
      <c r="Q6868" s="8">
        <f>(1626350*100)/1973941</f>
        <v>82.391013713175823</v>
      </c>
    </row>
    <row r="6869" spans="1:17" x14ac:dyDescent="0.2">
      <c r="A6869">
        <v>2018</v>
      </c>
      <c r="B6869" t="s">
        <v>2615</v>
      </c>
      <c r="C6869" t="s">
        <v>50</v>
      </c>
      <c r="D6869" t="s">
        <v>2607</v>
      </c>
      <c r="E6869">
        <v>4</v>
      </c>
      <c r="F6869" t="s">
        <v>2284</v>
      </c>
      <c r="G6869" t="s">
        <v>352</v>
      </c>
      <c r="H6869" t="s">
        <v>975</v>
      </c>
      <c r="I6869" t="s">
        <v>22</v>
      </c>
      <c r="J6869" t="s">
        <v>42</v>
      </c>
      <c r="K6869" t="s">
        <v>2285</v>
      </c>
      <c r="L6869" t="s">
        <v>25</v>
      </c>
      <c r="M6869" s="8">
        <v>1.0693333330000001</v>
      </c>
      <c r="N6869">
        <v>0.95499999999999996</v>
      </c>
      <c r="O6869" s="8">
        <v>0.95499999999999996</v>
      </c>
      <c r="P6869" s="8">
        <f>EXP(-1.363+3.366*LOG(O6869,10))</f>
        <v>0.23923507064376143</v>
      </c>
      <c r="Q6869" s="8">
        <f>(4488342*100)/4914798</f>
        <v>91.323020803703429</v>
      </c>
    </row>
    <row r="6870" spans="1:17" x14ac:dyDescent="0.2">
      <c r="A6870">
        <v>2018</v>
      </c>
      <c r="B6870" t="s">
        <v>2910</v>
      </c>
      <c r="C6870" t="s">
        <v>2283</v>
      </c>
      <c r="D6870" t="s">
        <v>2911</v>
      </c>
      <c r="E6870">
        <v>9</v>
      </c>
      <c r="F6870" t="s">
        <v>2284</v>
      </c>
      <c r="G6870" t="s">
        <v>332</v>
      </c>
      <c r="H6870" t="s">
        <v>2248</v>
      </c>
      <c r="I6870" t="s">
        <v>22</v>
      </c>
      <c r="J6870" t="s">
        <v>66</v>
      </c>
      <c r="K6870" t="s">
        <v>2285</v>
      </c>
      <c r="L6870" t="s">
        <v>25</v>
      </c>
      <c r="M6870" s="8" t="s">
        <v>26</v>
      </c>
      <c r="N6870">
        <v>0.95099999999999996</v>
      </c>
      <c r="O6870" s="8">
        <v>0.95099999999999996</v>
      </c>
      <c r="P6870" s="8">
        <f>EXP(-1.363+3.366*LOG(O6870,10))</f>
        <v>0.23777168321049849</v>
      </c>
      <c r="Q6870" s="8">
        <f>(1148193*100)/12288027</f>
        <v>9.3439980234418432</v>
      </c>
    </row>
    <row r="6871" spans="1:17" x14ac:dyDescent="0.2">
      <c r="A6871">
        <v>2018</v>
      </c>
      <c r="B6871" t="s">
        <v>2720</v>
      </c>
      <c r="C6871" t="s">
        <v>2283</v>
      </c>
      <c r="D6871" t="s">
        <v>2714</v>
      </c>
      <c r="E6871">
        <v>5</v>
      </c>
      <c r="F6871" t="s">
        <v>2284</v>
      </c>
      <c r="G6871" t="s">
        <v>352</v>
      </c>
      <c r="H6871" t="s">
        <v>480</v>
      </c>
      <c r="I6871" t="s">
        <v>22</v>
      </c>
      <c r="J6871" t="s">
        <v>66</v>
      </c>
      <c r="K6871" t="s">
        <v>2285</v>
      </c>
      <c r="L6871" t="s">
        <v>25</v>
      </c>
      <c r="M6871" s="8" t="s">
        <v>26</v>
      </c>
      <c r="N6871">
        <v>0.94799999999999995</v>
      </c>
      <c r="O6871" s="8">
        <v>0.94799999999999995</v>
      </c>
      <c r="P6871" s="8">
        <f>EXP(-1.363+3.366*LOG(O6871,10))</f>
        <v>0.23667600597670843</v>
      </c>
      <c r="Q6871" s="8">
        <f>(1148193*100)/12288027</f>
        <v>9.3439980234418432</v>
      </c>
    </row>
    <row r="6872" spans="1:17" x14ac:dyDescent="0.2">
      <c r="A6872">
        <v>2017</v>
      </c>
      <c r="B6872" t="s">
        <v>2467</v>
      </c>
      <c r="C6872" t="s">
        <v>1635</v>
      </c>
      <c r="D6872" t="s">
        <v>2462</v>
      </c>
      <c r="E6872">
        <v>5</v>
      </c>
      <c r="F6872" t="s">
        <v>2284</v>
      </c>
      <c r="G6872" t="s">
        <v>352</v>
      </c>
      <c r="H6872" t="s">
        <v>975</v>
      </c>
      <c r="I6872" t="s">
        <v>22</v>
      </c>
      <c r="J6872" t="s">
        <v>42</v>
      </c>
      <c r="K6872" t="s">
        <v>2285</v>
      </c>
      <c r="L6872" t="s">
        <v>25</v>
      </c>
      <c r="M6872" s="8">
        <v>1.0693333330000001</v>
      </c>
      <c r="N6872">
        <v>0.94599999999999995</v>
      </c>
      <c r="O6872" s="8">
        <v>0.94599999999999995</v>
      </c>
      <c r="P6872" s="8">
        <f>EXP(-1.363+3.366*LOG(O6872,10))</f>
        <v>0.23594644330191936</v>
      </c>
      <c r="Q6872" s="8">
        <f>(3602085*100)/4019599</f>
        <v>89.613043490159086</v>
      </c>
    </row>
    <row r="6873" spans="1:17" x14ac:dyDescent="0.2">
      <c r="A6873">
        <v>2017</v>
      </c>
      <c r="B6873" t="s">
        <v>2562</v>
      </c>
      <c r="C6873" t="s">
        <v>2287</v>
      </c>
      <c r="D6873" t="s">
        <v>2554</v>
      </c>
      <c r="E6873">
        <v>6</v>
      </c>
      <c r="F6873" t="s">
        <v>2284</v>
      </c>
      <c r="G6873" t="s">
        <v>352</v>
      </c>
      <c r="H6873" t="s">
        <v>975</v>
      </c>
      <c r="I6873" t="s">
        <v>22</v>
      </c>
      <c r="J6873" t="s">
        <v>66</v>
      </c>
      <c r="K6873" t="s">
        <v>2285</v>
      </c>
      <c r="L6873" t="s">
        <v>25</v>
      </c>
      <c r="M6873" s="8">
        <v>1.0693333330000001</v>
      </c>
      <c r="N6873">
        <v>0.94599999999999995</v>
      </c>
      <c r="O6873" s="8">
        <v>0.94599999999999995</v>
      </c>
      <c r="P6873" s="8">
        <f>EXP(-1.363+3.366*LOG(O6873,10))</f>
        <v>0.23594644330191936</v>
      </c>
      <c r="Q6873" s="8">
        <f>(859450.9*100)/14749408</f>
        <v>5.8270196336015658</v>
      </c>
    </row>
    <row r="6874" spans="1:17" x14ac:dyDescent="0.2">
      <c r="A6874">
        <v>2018</v>
      </c>
      <c r="B6874" t="s">
        <v>2923</v>
      </c>
      <c r="C6874" t="s">
        <v>2287</v>
      </c>
      <c r="D6874" t="s">
        <v>2919</v>
      </c>
      <c r="E6874">
        <v>9</v>
      </c>
      <c r="F6874" t="s">
        <v>2284</v>
      </c>
      <c r="G6874" t="s">
        <v>332</v>
      </c>
      <c r="H6874" t="s">
        <v>330</v>
      </c>
      <c r="I6874" t="s">
        <v>22</v>
      </c>
      <c r="J6874" t="s">
        <v>66</v>
      </c>
      <c r="K6874" t="s">
        <v>2285</v>
      </c>
      <c r="L6874" t="s">
        <v>25</v>
      </c>
      <c r="M6874" s="8">
        <v>1.2170000000000001</v>
      </c>
      <c r="N6874">
        <v>0.94</v>
      </c>
      <c r="O6874" s="8">
        <v>0.94</v>
      </c>
      <c r="P6874" s="8">
        <f>EXP(-1.363+3.366*LOG(O6874,10))</f>
        <v>0.23376203049407349</v>
      </c>
      <c r="Q6874" s="8">
        <f>(859450.9*100)/14749408</f>
        <v>5.8270196336015658</v>
      </c>
    </row>
    <row r="6875" spans="1:17" x14ac:dyDescent="0.2">
      <c r="A6875">
        <v>2018</v>
      </c>
      <c r="B6875" t="s">
        <v>2941</v>
      </c>
      <c r="C6875" t="s">
        <v>2287</v>
      </c>
      <c r="D6875" t="s">
        <v>2927</v>
      </c>
      <c r="E6875">
        <v>9</v>
      </c>
      <c r="F6875" t="s">
        <v>2284</v>
      </c>
      <c r="G6875" t="s">
        <v>352</v>
      </c>
      <c r="H6875" t="s">
        <v>1344</v>
      </c>
      <c r="I6875" t="s">
        <v>22</v>
      </c>
      <c r="J6875" t="s">
        <v>66</v>
      </c>
      <c r="K6875" t="s">
        <v>2285</v>
      </c>
      <c r="L6875" t="s">
        <v>25</v>
      </c>
      <c r="M6875" s="8">
        <v>0.91800000000000004</v>
      </c>
      <c r="N6875">
        <v>0.93899999999999995</v>
      </c>
      <c r="O6875" s="8">
        <v>0.93899999999999995</v>
      </c>
      <c r="P6875" s="8">
        <f>EXP(-1.363+3.366*LOG(O6875,10))</f>
        <v>0.23339858622985749</v>
      </c>
      <c r="Q6875" s="8">
        <f>(859450.9*100)/14749408</f>
        <v>5.8270196336015658</v>
      </c>
    </row>
    <row r="6876" spans="1:17" x14ac:dyDescent="0.2">
      <c r="A6876">
        <v>2017</v>
      </c>
      <c r="B6876" t="s">
        <v>2514</v>
      </c>
      <c r="C6876" t="s">
        <v>89</v>
      </c>
      <c r="D6876" t="s">
        <v>2501</v>
      </c>
      <c r="E6876">
        <v>6</v>
      </c>
      <c r="F6876" t="s">
        <v>2284</v>
      </c>
      <c r="G6876" t="s">
        <v>352</v>
      </c>
      <c r="H6876" t="s">
        <v>975</v>
      </c>
      <c r="I6876" t="s">
        <v>22</v>
      </c>
      <c r="J6876" t="s">
        <v>66</v>
      </c>
      <c r="K6876" t="s">
        <v>2285</v>
      </c>
      <c r="L6876" t="s">
        <v>25</v>
      </c>
      <c r="M6876" s="8">
        <v>1.0693333330000001</v>
      </c>
      <c r="N6876">
        <v>0.93799999999999994</v>
      </c>
      <c r="O6876" s="8">
        <v>0.93799999999999994</v>
      </c>
      <c r="P6876" s="8">
        <f>EXP(-1.363+3.366*LOG(O6876,10))</f>
        <v>0.23303532067716148</v>
      </c>
      <c r="Q6876" s="8">
        <f>(61997.93*100)/7298102</f>
        <v>0.84950758430068529</v>
      </c>
    </row>
    <row r="6877" spans="1:17" x14ac:dyDescent="0.2">
      <c r="A6877">
        <v>2018</v>
      </c>
      <c r="B6877" t="s">
        <v>2870</v>
      </c>
      <c r="C6877" t="s">
        <v>2287</v>
      </c>
      <c r="D6877" t="s">
        <v>2838</v>
      </c>
      <c r="E6877">
        <v>8</v>
      </c>
      <c r="F6877" t="s">
        <v>2284</v>
      </c>
      <c r="G6877" t="s">
        <v>352</v>
      </c>
      <c r="H6877" t="s">
        <v>1344</v>
      </c>
      <c r="I6877" t="s">
        <v>22</v>
      </c>
      <c r="J6877" t="s">
        <v>66</v>
      </c>
      <c r="K6877" t="s">
        <v>2285</v>
      </c>
      <c r="L6877" t="s">
        <v>25</v>
      </c>
      <c r="M6877" s="8">
        <v>0.91800000000000004</v>
      </c>
      <c r="N6877">
        <v>0.93400000000000005</v>
      </c>
      <c r="O6877" s="8">
        <v>0.93400000000000005</v>
      </c>
      <c r="P6877" s="8">
        <f>EXP(-1.363+3.366*LOG(O6877,10))</f>
        <v>0.2315840476342664</v>
      </c>
      <c r="Q6877" s="8">
        <f>(859450.9*100)/14749408</f>
        <v>5.8270196336015658</v>
      </c>
    </row>
    <row r="6878" spans="1:17" x14ac:dyDescent="0.2">
      <c r="A6878">
        <v>2017</v>
      </c>
      <c r="B6878" t="s">
        <v>2512</v>
      </c>
      <c r="C6878" t="s">
        <v>89</v>
      </c>
      <c r="D6878" t="s">
        <v>2501</v>
      </c>
      <c r="E6878">
        <v>6</v>
      </c>
      <c r="F6878" t="s">
        <v>2284</v>
      </c>
      <c r="G6878" t="s">
        <v>352</v>
      </c>
      <c r="H6878" t="s">
        <v>975</v>
      </c>
      <c r="I6878" t="s">
        <v>22</v>
      </c>
      <c r="J6878" t="s">
        <v>66</v>
      </c>
      <c r="K6878" t="s">
        <v>2285</v>
      </c>
      <c r="L6878" t="s">
        <v>25</v>
      </c>
      <c r="M6878" s="8">
        <v>1.0693333330000001</v>
      </c>
      <c r="N6878">
        <v>0.92800000000000005</v>
      </c>
      <c r="O6878" s="8">
        <v>0.92800000000000005</v>
      </c>
      <c r="P6878" s="8">
        <f>EXP(-1.363+3.366*LOG(O6878,10))</f>
        <v>0.22941251691922673</v>
      </c>
      <c r="Q6878" s="8">
        <f>(61997.93*100)/7298102</f>
        <v>0.84950758430068529</v>
      </c>
    </row>
    <row r="6879" spans="1:17" x14ac:dyDescent="0.2">
      <c r="A6879">
        <v>2018</v>
      </c>
      <c r="B6879" t="s">
        <v>2852</v>
      </c>
      <c r="C6879" t="s">
        <v>2283</v>
      </c>
      <c r="D6879" t="s">
        <v>2838</v>
      </c>
      <c r="E6879">
        <v>8</v>
      </c>
      <c r="F6879" t="s">
        <v>2284</v>
      </c>
      <c r="G6879" t="s">
        <v>332</v>
      </c>
      <c r="H6879" t="s">
        <v>2248</v>
      </c>
      <c r="I6879" t="s">
        <v>22</v>
      </c>
      <c r="J6879" t="s">
        <v>66</v>
      </c>
      <c r="K6879" t="s">
        <v>2285</v>
      </c>
      <c r="L6879" t="s">
        <v>25</v>
      </c>
      <c r="M6879" s="8" t="s">
        <v>26</v>
      </c>
      <c r="N6879">
        <v>0.92600000000000005</v>
      </c>
      <c r="O6879" s="8">
        <v>0.92600000000000005</v>
      </c>
      <c r="P6879" s="8">
        <f>EXP(-1.363+3.366*LOG(O6879,10))</f>
        <v>0.22869011102564557</v>
      </c>
      <c r="Q6879" s="8">
        <f>(1148193*100)/12288027</f>
        <v>9.3439980234418432</v>
      </c>
    </row>
    <row r="6880" spans="1:17" x14ac:dyDescent="0.2">
      <c r="A6880">
        <v>2017</v>
      </c>
      <c r="B6880" t="s">
        <v>2291</v>
      </c>
      <c r="C6880" t="s">
        <v>2283</v>
      </c>
      <c r="D6880" t="s">
        <v>2288</v>
      </c>
      <c r="E6880">
        <v>3</v>
      </c>
      <c r="F6880" t="s">
        <v>2284</v>
      </c>
      <c r="G6880" t="s">
        <v>20</v>
      </c>
      <c r="H6880" t="s">
        <v>149</v>
      </c>
      <c r="I6880" t="s">
        <v>36</v>
      </c>
      <c r="J6880" t="s">
        <v>66</v>
      </c>
      <c r="K6880" t="s">
        <v>2285</v>
      </c>
      <c r="L6880" t="s">
        <v>25</v>
      </c>
      <c r="M6880" s="8">
        <v>1.032666667</v>
      </c>
      <c r="N6880">
        <v>0.92300000000000004</v>
      </c>
      <c r="O6880" s="8">
        <v>0.92300000000000004</v>
      </c>
      <c r="P6880" s="8">
        <f>EXP(-1.363+3.366*LOG(O6880,10))</f>
        <v>0.22760785287788277</v>
      </c>
      <c r="Q6880" s="8">
        <f>(1148193*100)/12288027</f>
        <v>9.3439980234418432</v>
      </c>
    </row>
    <row r="6881" spans="1:17" x14ac:dyDescent="0.2">
      <c r="A6881">
        <v>2018</v>
      </c>
      <c r="B6881" t="s">
        <v>2880</v>
      </c>
      <c r="C6881" t="s">
        <v>1635</v>
      </c>
      <c r="D6881" t="s">
        <v>2874</v>
      </c>
      <c r="E6881">
        <v>8</v>
      </c>
      <c r="F6881" t="s">
        <v>2284</v>
      </c>
      <c r="G6881" t="s">
        <v>352</v>
      </c>
      <c r="H6881" t="s">
        <v>1344</v>
      </c>
      <c r="I6881" t="s">
        <v>36</v>
      </c>
      <c r="J6881" t="s">
        <v>42</v>
      </c>
      <c r="K6881" t="s">
        <v>2285</v>
      </c>
      <c r="L6881" t="s">
        <v>25</v>
      </c>
      <c r="M6881" s="8">
        <v>0.88233333300000005</v>
      </c>
      <c r="N6881">
        <v>0.92300000000000004</v>
      </c>
      <c r="O6881" s="8">
        <v>0.92300000000000004</v>
      </c>
      <c r="P6881" s="8">
        <f>EXP(-1.363+3.366*LOG(O6881,10))</f>
        <v>0.22760785287788277</v>
      </c>
      <c r="Q6881" s="8">
        <f>(3602085*100)/4019599</f>
        <v>89.613043490159086</v>
      </c>
    </row>
    <row r="6882" spans="1:17" x14ac:dyDescent="0.2">
      <c r="A6882">
        <v>2018</v>
      </c>
      <c r="B6882" t="s">
        <v>2699</v>
      </c>
      <c r="C6882" t="s">
        <v>2283</v>
      </c>
      <c r="D6882" t="s">
        <v>2694</v>
      </c>
      <c r="E6882">
        <v>5</v>
      </c>
      <c r="F6882" t="s">
        <v>2284</v>
      </c>
      <c r="G6882" t="s">
        <v>352</v>
      </c>
      <c r="H6882" t="s">
        <v>480</v>
      </c>
      <c r="I6882" t="s">
        <v>22</v>
      </c>
      <c r="J6882" t="s">
        <v>66</v>
      </c>
      <c r="K6882" t="s">
        <v>2285</v>
      </c>
      <c r="L6882" t="s">
        <v>25</v>
      </c>
      <c r="M6882" s="8" t="s">
        <v>26</v>
      </c>
      <c r="N6882">
        <v>0.92200000000000004</v>
      </c>
      <c r="O6882" s="8">
        <v>0.92200000000000004</v>
      </c>
      <c r="P6882" s="8">
        <f>EXP(-1.363+3.366*LOG(O6882,10))</f>
        <v>0.22724746076610605</v>
      </c>
      <c r="Q6882" s="8">
        <f>(1148193*100)/12288027</f>
        <v>9.3439980234418432</v>
      </c>
    </row>
    <row r="6883" spans="1:17" x14ac:dyDescent="0.2">
      <c r="A6883">
        <v>2018</v>
      </c>
      <c r="B6883" t="s">
        <v>2959</v>
      </c>
      <c r="C6883" t="s">
        <v>2287</v>
      </c>
      <c r="D6883" t="s">
        <v>2955</v>
      </c>
      <c r="E6883">
        <v>9</v>
      </c>
      <c r="F6883" t="s">
        <v>2284</v>
      </c>
      <c r="G6883" t="s">
        <v>352</v>
      </c>
      <c r="H6883" t="s">
        <v>1344</v>
      </c>
      <c r="I6883" t="s">
        <v>22</v>
      </c>
      <c r="J6883" t="s">
        <v>66</v>
      </c>
      <c r="K6883" t="s">
        <v>2285</v>
      </c>
      <c r="L6883" t="s">
        <v>25</v>
      </c>
      <c r="M6883" s="8">
        <v>0.91800000000000004</v>
      </c>
      <c r="N6883">
        <v>0.92200000000000004</v>
      </c>
      <c r="O6883" s="8">
        <v>0.92200000000000004</v>
      </c>
      <c r="P6883" s="8">
        <f>EXP(-1.363+3.366*LOG(O6883,10))</f>
        <v>0.22724746076610605</v>
      </c>
      <c r="Q6883" s="8">
        <f>(859450.9*100)/14749408</f>
        <v>5.8270196336015658</v>
      </c>
    </row>
    <row r="6884" spans="1:17" x14ac:dyDescent="0.2">
      <c r="A6884">
        <v>2018</v>
      </c>
      <c r="B6884" t="s">
        <v>2970</v>
      </c>
      <c r="C6884" t="s">
        <v>1635</v>
      </c>
      <c r="D6884" t="s">
        <v>2961</v>
      </c>
      <c r="E6884">
        <v>9</v>
      </c>
      <c r="F6884" t="s">
        <v>2284</v>
      </c>
      <c r="G6884" t="s">
        <v>352</v>
      </c>
      <c r="H6884" t="s">
        <v>975</v>
      </c>
      <c r="I6884" t="s">
        <v>36</v>
      </c>
      <c r="J6884" t="s">
        <v>42</v>
      </c>
      <c r="K6884" t="s">
        <v>2285</v>
      </c>
      <c r="L6884" t="s">
        <v>25</v>
      </c>
      <c r="M6884" s="8">
        <v>0.95199999999999996</v>
      </c>
      <c r="N6884">
        <v>0.91800000000000004</v>
      </c>
      <c r="O6884" s="8">
        <v>0.91800000000000004</v>
      </c>
      <c r="P6884" s="8">
        <f>EXP(-1.363+3.366*LOG(O6884,10))</f>
        <v>0.22580769814771504</v>
      </c>
      <c r="Q6884" s="8">
        <f>(3602085*100)/4019599</f>
        <v>89.613043490159086</v>
      </c>
    </row>
    <row r="6885" spans="1:17" x14ac:dyDescent="0.2">
      <c r="A6885">
        <v>2017</v>
      </c>
      <c r="B6885" t="s">
        <v>2559</v>
      </c>
      <c r="C6885" t="s">
        <v>50</v>
      </c>
      <c r="D6885" t="s">
        <v>2554</v>
      </c>
      <c r="E6885">
        <v>6</v>
      </c>
      <c r="F6885" t="s">
        <v>2284</v>
      </c>
      <c r="G6885" t="s">
        <v>352</v>
      </c>
      <c r="H6885" t="s">
        <v>975</v>
      </c>
      <c r="I6885" t="s">
        <v>22</v>
      </c>
      <c r="J6885" t="s">
        <v>42</v>
      </c>
      <c r="K6885" t="s">
        <v>2285</v>
      </c>
      <c r="L6885" t="s">
        <v>25</v>
      </c>
      <c r="M6885" s="8">
        <v>1.0693333330000001</v>
      </c>
      <c r="N6885">
        <v>0.91600000000000004</v>
      </c>
      <c r="O6885" s="8">
        <v>0.91600000000000004</v>
      </c>
      <c r="P6885" s="8">
        <f>EXP(-1.363+3.366*LOG(O6885,10))</f>
        <v>0.22508890181611424</v>
      </c>
      <c r="Q6885" s="8">
        <f>(4488342*100)/4914798</f>
        <v>91.323020803703429</v>
      </c>
    </row>
    <row r="6886" spans="1:17" x14ac:dyDescent="0.2">
      <c r="A6886">
        <v>2017</v>
      </c>
      <c r="B6886" t="s">
        <v>2561</v>
      </c>
      <c r="C6886" t="s">
        <v>1635</v>
      </c>
      <c r="D6886" t="s">
        <v>2554</v>
      </c>
      <c r="E6886">
        <v>6</v>
      </c>
      <c r="F6886" t="s">
        <v>2284</v>
      </c>
      <c r="G6886" t="s">
        <v>352</v>
      </c>
      <c r="H6886" t="s">
        <v>975</v>
      </c>
      <c r="I6886" t="s">
        <v>22</v>
      </c>
      <c r="J6886" t="s">
        <v>42</v>
      </c>
      <c r="K6886" t="s">
        <v>2285</v>
      </c>
      <c r="L6886" t="s">
        <v>25</v>
      </c>
      <c r="M6886" s="8">
        <v>1.0693333330000001</v>
      </c>
      <c r="N6886">
        <v>0.91600000000000004</v>
      </c>
      <c r="O6886" s="8">
        <v>0.91600000000000004</v>
      </c>
      <c r="P6886" s="8">
        <f>EXP(-1.363+3.366*LOG(O6886,10))</f>
        <v>0.22508890181611424</v>
      </c>
      <c r="Q6886" s="8">
        <f>(3602085*100)/4019599</f>
        <v>89.613043490159086</v>
      </c>
    </row>
    <row r="6887" spans="1:17" x14ac:dyDescent="0.2">
      <c r="A6887">
        <v>2017</v>
      </c>
      <c r="B6887" t="s">
        <v>2573</v>
      </c>
      <c r="C6887" t="s">
        <v>52</v>
      </c>
      <c r="D6887" t="s">
        <v>2564</v>
      </c>
      <c r="E6887">
        <v>6</v>
      </c>
      <c r="F6887" t="s">
        <v>2284</v>
      </c>
      <c r="G6887" t="s">
        <v>352</v>
      </c>
      <c r="H6887" t="s">
        <v>975</v>
      </c>
      <c r="I6887" t="s">
        <v>22</v>
      </c>
      <c r="J6887" t="s">
        <v>42</v>
      </c>
      <c r="K6887" t="s">
        <v>2285</v>
      </c>
      <c r="L6887" t="s">
        <v>25</v>
      </c>
      <c r="M6887" s="8">
        <v>1.0693333330000001</v>
      </c>
      <c r="N6887">
        <v>0.90900000000000003</v>
      </c>
      <c r="O6887" s="8">
        <v>0.90900000000000003</v>
      </c>
      <c r="P6887" s="8">
        <f>EXP(-1.363+3.366*LOG(O6887,10))</f>
        <v>0.22257882530643389</v>
      </c>
      <c r="Q6887" s="8">
        <f>(1626350*100)/1973941</f>
        <v>82.391013713175823</v>
      </c>
    </row>
    <row r="6888" spans="1:17" x14ac:dyDescent="0.2">
      <c r="A6888">
        <v>2018</v>
      </c>
      <c r="B6888" t="s">
        <v>2730</v>
      </c>
      <c r="C6888" t="s">
        <v>2287</v>
      </c>
      <c r="D6888" t="s">
        <v>2724</v>
      </c>
      <c r="E6888">
        <v>5</v>
      </c>
      <c r="F6888" t="s">
        <v>2284</v>
      </c>
      <c r="G6888" t="s">
        <v>352</v>
      </c>
      <c r="H6888" t="s">
        <v>1344</v>
      </c>
      <c r="I6888" t="s">
        <v>22</v>
      </c>
      <c r="J6888" t="s">
        <v>66</v>
      </c>
      <c r="K6888" t="s">
        <v>2285</v>
      </c>
      <c r="L6888" t="s">
        <v>25</v>
      </c>
      <c r="M6888" s="8">
        <v>0.91800000000000004</v>
      </c>
      <c r="N6888">
        <v>0.90700000000000003</v>
      </c>
      <c r="O6888" s="8">
        <v>0.90700000000000003</v>
      </c>
      <c r="P6888" s="8">
        <f>EXP(-1.363+3.366*LOG(O6888,10))</f>
        <v>0.22186329573612137</v>
      </c>
      <c r="Q6888" s="8">
        <f>(859450.9*100)/14749408</f>
        <v>5.8270196336015658</v>
      </c>
    </row>
    <row r="6889" spans="1:17" x14ac:dyDescent="0.2">
      <c r="A6889">
        <v>2018</v>
      </c>
      <c r="B6889" t="s">
        <v>2897</v>
      </c>
      <c r="C6889" t="s">
        <v>50</v>
      </c>
      <c r="D6889" t="s">
        <v>2886</v>
      </c>
      <c r="E6889">
        <v>9</v>
      </c>
      <c r="F6889" t="s">
        <v>2284</v>
      </c>
      <c r="G6889" t="s">
        <v>352</v>
      </c>
      <c r="H6889" t="s">
        <v>1344</v>
      </c>
      <c r="I6889" t="s">
        <v>22</v>
      </c>
      <c r="J6889" t="s">
        <v>42</v>
      </c>
      <c r="K6889" t="s">
        <v>2285</v>
      </c>
      <c r="L6889" t="s">
        <v>25</v>
      </c>
      <c r="M6889" s="8">
        <v>0.91800000000000004</v>
      </c>
      <c r="N6889">
        <v>0.90500000000000003</v>
      </c>
      <c r="O6889" s="8">
        <v>0.90500000000000003</v>
      </c>
      <c r="P6889" s="8">
        <f>EXP(-1.363+3.366*LOG(O6889,10))</f>
        <v>0.22114849447619145</v>
      </c>
      <c r="Q6889" s="8">
        <f>(4488342*100)/4914798</f>
        <v>91.323020803703429</v>
      </c>
    </row>
    <row r="6890" spans="1:17" x14ac:dyDescent="0.2">
      <c r="A6890">
        <v>2018</v>
      </c>
      <c r="B6890" t="s">
        <v>2728</v>
      </c>
      <c r="C6890" t="s">
        <v>2287</v>
      </c>
      <c r="D6890" t="s">
        <v>2724</v>
      </c>
      <c r="E6890">
        <v>5</v>
      </c>
      <c r="F6890" t="s">
        <v>2284</v>
      </c>
      <c r="G6890" t="s">
        <v>352</v>
      </c>
      <c r="H6890" t="s">
        <v>1344</v>
      </c>
      <c r="I6890" t="s">
        <v>22</v>
      </c>
      <c r="J6890" t="s">
        <v>66</v>
      </c>
      <c r="K6890" t="s">
        <v>2285</v>
      </c>
      <c r="L6890" t="s">
        <v>25</v>
      </c>
      <c r="M6890" s="8">
        <v>0.91800000000000004</v>
      </c>
      <c r="N6890">
        <v>0.90200000000000002</v>
      </c>
      <c r="O6890" s="8">
        <v>0.90200000000000002</v>
      </c>
      <c r="P6890" s="8">
        <f>EXP(-1.363+3.366*LOG(O6890,10))</f>
        <v>0.22007766006289667</v>
      </c>
      <c r="Q6890" s="8">
        <f>(859450.9*100)/14749408</f>
        <v>5.8270196336015658</v>
      </c>
    </row>
    <row r="6891" spans="1:17" x14ac:dyDescent="0.2">
      <c r="A6891">
        <v>2018</v>
      </c>
      <c r="B6891" t="s">
        <v>2834</v>
      </c>
      <c r="C6891" t="s">
        <v>2287</v>
      </c>
      <c r="D6891" t="s">
        <v>2829</v>
      </c>
      <c r="E6891">
        <v>8</v>
      </c>
      <c r="F6891" t="s">
        <v>2284</v>
      </c>
      <c r="G6891" t="s">
        <v>352</v>
      </c>
      <c r="H6891" t="s">
        <v>1344</v>
      </c>
      <c r="I6891" t="s">
        <v>22</v>
      </c>
      <c r="J6891" t="s">
        <v>66</v>
      </c>
      <c r="K6891" t="s">
        <v>2285</v>
      </c>
      <c r="L6891" t="s">
        <v>25</v>
      </c>
      <c r="M6891" s="8">
        <v>0.91800000000000004</v>
      </c>
      <c r="N6891">
        <v>0.90200000000000002</v>
      </c>
      <c r="O6891" s="8">
        <v>0.90200000000000002</v>
      </c>
      <c r="P6891" s="8">
        <f>EXP(-1.363+3.366*LOG(O6891,10))</f>
        <v>0.22007766006289667</v>
      </c>
      <c r="Q6891" s="8">
        <f>(859450.9*100)/14749408</f>
        <v>5.8270196336015658</v>
      </c>
    </row>
    <row r="6892" spans="1:17" x14ac:dyDescent="0.2">
      <c r="A6892">
        <v>2017</v>
      </c>
      <c r="B6892" t="s">
        <v>2506</v>
      </c>
      <c r="C6892" t="s">
        <v>2283</v>
      </c>
      <c r="D6892" t="s">
        <v>2501</v>
      </c>
      <c r="E6892">
        <v>6</v>
      </c>
      <c r="F6892" t="s">
        <v>2284</v>
      </c>
      <c r="G6892" t="s">
        <v>352</v>
      </c>
      <c r="H6892" t="s">
        <v>480</v>
      </c>
      <c r="I6892" t="s">
        <v>22</v>
      </c>
      <c r="J6892" t="s">
        <v>66</v>
      </c>
      <c r="K6892" t="s">
        <v>2285</v>
      </c>
      <c r="L6892" t="s">
        <v>25</v>
      </c>
      <c r="M6892" s="8" t="s">
        <v>26</v>
      </c>
      <c r="N6892">
        <v>0.90100000000000002</v>
      </c>
      <c r="O6892" s="8">
        <v>0.90100000000000002</v>
      </c>
      <c r="P6892" s="8">
        <f>EXP(-1.363+3.366*LOG(O6892,10))</f>
        <v>0.21972108035342547</v>
      </c>
      <c r="Q6892" s="8">
        <f>(1148193*100)/12288027</f>
        <v>9.3439980234418432</v>
      </c>
    </row>
    <row r="6893" spans="1:17" x14ac:dyDescent="0.2">
      <c r="A6893">
        <v>2017</v>
      </c>
      <c r="B6893" t="s">
        <v>2550</v>
      </c>
      <c r="C6893" t="s">
        <v>52</v>
      </c>
      <c r="D6893" t="s">
        <v>2546</v>
      </c>
      <c r="E6893">
        <v>6</v>
      </c>
      <c r="F6893" t="s">
        <v>2284</v>
      </c>
      <c r="G6893" t="s">
        <v>352</v>
      </c>
      <c r="H6893" t="s">
        <v>975</v>
      </c>
      <c r="I6893" t="s">
        <v>22</v>
      </c>
      <c r="J6893" t="s">
        <v>42</v>
      </c>
      <c r="K6893" t="s">
        <v>2285</v>
      </c>
      <c r="L6893" t="s">
        <v>25</v>
      </c>
      <c r="M6893" s="8">
        <v>1.0693333330000001</v>
      </c>
      <c r="N6893">
        <v>0.89800000000000002</v>
      </c>
      <c r="O6893" s="8">
        <v>0.89800000000000002</v>
      </c>
      <c r="P6893" s="8">
        <f>EXP(-1.363+3.366*LOG(O6893,10))</f>
        <v>0.21865243803660411</v>
      </c>
      <c r="Q6893" s="8">
        <f>(1626350*100)/1973941</f>
        <v>82.391013713175823</v>
      </c>
    </row>
    <row r="6894" spans="1:17" x14ac:dyDescent="0.2">
      <c r="A6894">
        <v>2018</v>
      </c>
      <c r="B6894" t="s">
        <v>2691</v>
      </c>
      <c r="C6894" t="s">
        <v>2287</v>
      </c>
      <c r="D6894" t="s">
        <v>2692</v>
      </c>
      <c r="E6894">
        <v>5</v>
      </c>
      <c r="F6894" t="s">
        <v>2284</v>
      </c>
      <c r="G6894" t="s">
        <v>352</v>
      </c>
      <c r="H6894" t="s">
        <v>1344</v>
      </c>
      <c r="I6894" t="s">
        <v>22</v>
      </c>
      <c r="J6894" t="s">
        <v>66</v>
      </c>
      <c r="K6894" t="s">
        <v>2285</v>
      </c>
      <c r="L6894" t="s">
        <v>25</v>
      </c>
      <c r="M6894" s="8">
        <v>0.91800000000000004</v>
      </c>
      <c r="N6894">
        <v>0.89600000000000002</v>
      </c>
      <c r="O6894" s="8">
        <v>0.89600000000000002</v>
      </c>
      <c r="P6894" s="8">
        <f>EXP(-1.363+3.366*LOG(O6894,10))</f>
        <v>0.21794092492975736</v>
      </c>
      <c r="Q6894" s="8">
        <f>(859450.9*100)/14749408</f>
        <v>5.8270196336015658</v>
      </c>
    </row>
    <row r="6895" spans="1:17" x14ac:dyDescent="0.2">
      <c r="A6895">
        <v>2017</v>
      </c>
      <c r="B6895" t="s">
        <v>2436</v>
      </c>
      <c r="C6895" t="s">
        <v>2287</v>
      </c>
      <c r="D6895" t="s">
        <v>2425</v>
      </c>
      <c r="E6895">
        <v>5</v>
      </c>
      <c r="F6895" t="s">
        <v>2284</v>
      </c>
      <c r="G6895" t="s">
        <v>352</v>
      </c>
      <c r="H6895" t="s">
        <v>1344</v>
      </c>
      <c r="I6895" t="s">
        <v>22</v>
      </c>
      <c r="J6895" t="s">
        <v>66</v>
      </c>
      <c r="K6895" t="s">
        <v>2285</v>
      </c>
      <c r="L6895" t="s">
        <v>25</v>
      </c>
      <c r="M6895" s="8">
        <v>0.91800000000000004</v>
      </c>
      <c r="N6895">
        <v>0.89500000000000002</v>
      </c>
      <c r="O6895" s="8">
        <v>0.89500000000000002</v>
      </c>
      <c r="P6895" s="8">
        <f>EXP(-1.363+3.366*LOG(O6895,10))</f>
        <v>0.2175854432370419</v>
      </c>
      <c r="Q6895" s="8">
        <f>(859450.9*100)/14749408</f>
        <v>5.8270196336015658</v>
      </c>
    </row>
    <row r="6896" spans="1:17" x14ac:dyDescent="0.2">
      <c r="A6896">
        <v>2017</v>
      </c>
      <c r="B6896" t="s">
        <v>2437</v>
      </c>
      <c r="C6896" t="s">
        <v>2287</v>
      </c>
      <c r="D6896" t="s">
        <v>2425</v>
      </c>
      <c r="E6896">
        <v>5</v>
      </c>
      <c r="F6896" t="s">
        <v>2284</v>
      </c>
      <c r="G6896" t="s">
        <v>352</v>
      </c>
      <c r="H6896" t="s">
        <v>1344</v>
      </c>
      <c r="I6896" t="s">
        <v>22</v>
      </c>
      <c r="J6896" t="s">
        <v>66</v>
      </c>
      <c r="K6896" t="s">
        <v>2285</v>
      </c>
      <c r="L6896" t="s">
        <v>25</v>
      </c>
      <c r="M6896" s="8">
        <v>0.91800000000000004</v>
      </c>
      <c r="N6896">
        <v>0.89</v>
      </c>
      <c r="O6896" s="8">
        <v>0.89</v>
      </c>
      <c r="P6896" s="8">
        <f>EXP(-1.363+3.366*LOG(O6896,10))</f>
        <v>0.21581078779329962</v>
      </c>
      <c r="Q6896" s="8">
        <f>(859450.9*100)/14749408</f>
        <v>5.8270196336015658</v>
      </c>
    </row>
    <row r="6897" spans="1:17" x14ac:dyDescent="0.2">
      <c r="A6897">
        <v>2018</v>
      </c>
      <c r="B6897" t="s">
        <v>2940</v>
      </c>
      <c r="C6897" t="s">
        <v>50</v>
      </c>
      <c r="D6897" t="s">
        <v>2927</v>
      </c>
      <c r="E6897">
        <v>9</v>
      </c>
      <c r="F6897" t="s">
        <v>2284</v>
      </c>
      <c r="G6897" t="s">
        <v>352</v>
      </c>
      <c r="H6897" t="s">
        <v>1344</v>
      </c>
      <c r="I6897" t="s">
        <v>22</v>
      </c>
      <c r="J6897" t="s">
        <v>42</v>
      </c>
      <c r="K6897" t="s">
        <v>2285</v>
      </c>
      <c r="L6897" t="s">
        <v>25</v>
      </c>
      <c r="M6897" s="8">
        <v>0.91800000000000004</v>
      </c>
      <c r="N6897">
        <v>0.89</v>
      </c>
      <c r="O6897" s="8">
        <v>0.89</v>
      </c>
      <c r="P6897" s="8">
        <f>EXP(-1.363+3.366*LOG(O6897,10))</f>
        <v>0.21581078779329962</v>
      </c>
      <c r="Q6897" s="8">
        <f>(4488342*100)/4914798</f>
        <v>91.323020803703429</v>
      </c>
    </row>
    <row r="6898" spans="1:17" x14ac:dyDescent="0.2">
      <c r="A6898">
        <v>2018</v>
      </c>
      <c r="B6898" t="s">
        <v>2893</v>
      </c>
      <c r="C6898" t="s">
        <v>50</v>
      </c>
      <c r="D6898" t="s">
        <v>2886</v>
      </c>
      <c r="E6898">
        <v>9</v>
      </c>
      <c r="F6898" t="s">
        <v>2284</v>
      </c>
      <c r="G6898" t="s">
        <v>332</v>
      </c>
      <c r="H6898" t="s">
        <v>2034</v>
      </c>
      <c r="I6898" t="s">
        <v>36</v>
      </c>
      <c r="J6898" t="s">
        <v>42</v>
      </c>
      <c r="K6898" t="s">
        <v>2285</v>
      </c>
      <c r="L6898" t="s">
        <v>25</v>
      </c>
      <c r="M6898" s="8">
        <v>0.81599999999999995</v>
      </c>
      <c r="N6898">
        <v>0.88600000000000001</v>
      </c>
      <c r="O6898" s="8">
        <v>0.88600000000000001</v>
      </c>
      <c r="P6898" s="8">
        <f>EXP(-1.363+3.366*LOG(O6898,10))</f>
        <v>0.21439437371554954</v>
      </c>
      <c r="Q6898" s="8">
        <f>(4488342*100)/4914798</f>
        <v>91.323020803703429</v>
      </c>
    </row>
    <row r="6899" spans="1:17" x14ac:dyDescent="0.2">
      <c r="A6899">
        <v>2017</v>
      </c>
      <c r="B6899" t="s">
        <v>2579</v>
      </c>
      <c r="C6899" t="s">
        <v>52</v>
      </c>
      <c r="D6899" t="s">
        <v>2578</v>
      </c>
      <c r="E6899">
        <v>6</v>
      </c>
      <c r="F6899" t="s">
        <v>2284</v>
      </c>
      <c r="G6899" t="s">
        <v>352</v>
      </c>
      <c r="H6899" t="s">
        <v>1344</v>
      </c>
      <c r="I6899" t="s">
        <v>22</v>
      </c>
      <c r="J6899" t="s">
        <v>42</v>
      </c>
      <c r="K6899" t="s">
        <v>2285</v>
      </c>
      <c r="L6899" t="s">
        <v>25</v>
      </c>
      <c r="M6899" s="8">
        <v>0.91800000000000004</v>
      </c>
      <c r="N6899">
        <v>0.88400000000000001</v>
      </c>
      <c r="O6899" s="8">
        <v>0.88400000000000001</v>
      </c>
      <c r="P6899" s="8">
        <f>EXP(-1.363+3.366*LOG(O6899,10))</f>
        <v>0.21368727255469777</v>
      </c>
      <c r="Q6899" s="8">
        <f>(1626350*100)/1973941</f>
        <v>82.391013713175823</v>
      </c>
    </row>
    <row r="6900" spans="1:17" x14ac:dyDescent="0.2">
      <c r="A6900">
        <v>2017</v>
      </c>
      <c r="B6900" t="s">
        <v>2547</v>
      </c>
      <c r="C6900" t="s">
        <v>50</v>
      </c>
      <c r="D6900" t="s">
        <v>2546</v>
      </c>
      <c r="E6900">
        <v>6</v>
      </c>
      <c r="F6900" t="s">
        <v>2284</v>
      </c>
      <c r="G6900" t="s">
        <v>1472</v>
      </c>
      <c r="H6900" t="s">
        <v>1473</v>
      </c>
      <c r="I6900" t="s">
        <v>36</v>
      </c>
      <c r="J6900" t="s">
        <v>42</v>
      </c>
      <c r="K6900" t="s">
        <v>2285</v>
      </c>
      <c r="L6900" t="s">
        <v>187</v>
      </c>
      <c r="M6900" s="8">
        <v>0.91300000000000003</v>
      </c>
      <c r="N6900">
        <v>0.88300000000000001</v>
      </c>
      <c r="O6900" s="8">
        <v>0.88300000000000001</v>
      </c>
      <c r="P6900" s="8">
        <f>EXP(-1.363+3.366*LOG(O6900,10))</f>
        <v>0.21333399883594473</v>
      </c>
      <c r="Q6900" s="8">
        <f>(4488342*100)/4914798</f>
        <v>91.323020803703429</v>
      </c>
    </row>
    <row r="6901" spans="1:17" x14ac:dyDescent="0.2">
      <c r="A6901">
        <v>2017</v>
      </c>
      <c r="B6901" t="s">
        <v>2499</v>
      </c>
      <c r="C6901" t="s">
        <v>52</v>
      </c>
      <c r="D6901" t="s">
        <v>2485</v>
      </c>
      <c r="E6901">
        <v>5</v>
      </c>
      <c r="F6901" t="s">
        <v>2284</v>
      </c>
      <c r="G6901" t="s">
        <v>352</v>
      </c>
      <c r="H6901" t="s">
        <v>1344</v>
      </c>
      <c r="I6901" t="s">
        <v>22</v>
      </c>
      <c r="J6901" t="s">
        <v>42</v>
      </c>
      <c r="K6901" t="s">
        <v>2285</v>
      </c>
      <c r="L6901" t="s">
        <v>25</v>
      </c>
      <c r="M6901" s="8">
        <v>0.91800000000000004</v>
      </c>
      <c r="N6901">
        <v>0.88200000000000001</v>
      </c>
      <c r="O6901" s="8">
        <v>0.88200000000000001</v>
      </c>
      <c r="P6901" s="8">
        <f>EXP(-1.363+3.366*LOG(O6901,10))</f>
        <v>0.21298090984155718</v>
      </c>
      <c r="Q6901" s="8">
        <f>(1626350*100)/1973941</f>
        <v>82.391013713175823</v>
      </c>
    </row>
    <row r="6902" spans="1:17" x14ac:dyDescent="0.2">
      <c r="A6902">
        <v>2017</v>
      </c>
      <c r="B6902" t="s">
        <v>2438</v>
      </c>
      <c r="C6902" t="s">
        <v>2287</v>
      </c>
      <c r="D6902" t="s">
        <v>2425</v>
      </c>
      <c r="E6902">
        <v>5</v>
      </c>
      <c r="F6902" t="s">
        <v>2284</v>
      </c>
      <c r="G6902" t="s">
        <v>352</v>
      </c>
      <c r="H6902" t="s">
        <v>1344</v>
      </c>
      <c r="I6902" t="s">
        <v>22</v>
      </c>
      <c r="J6902" t="s">
        <v>66</v>
      </c>
      <c r="K6902" t="s">
        <v>2285</v>
      </c>
      <c r="L6902" t="s">
        <v>25</v>
      </c>
      <c r="M6902" s="8">
        <v>0.91800000000000004</v>
      </c>
      <c r="N6902">
        <v>0.88100000000000001</v>
      </c>
      <c r="O6902" s="8">
        <v>0.88100000000000001</v>
      </c>
      <c r="P6902" s="8">
        <f>EXP(-1.363+3.366*LOG(O6902,10))</f>
        <v>0.21262800568421794</v>
      </c>
      <c r="Q6902" s="8">
        <f>(859450.9*100)/14749408</f>
        <v>5.8270196336015658</v>
      </c>
    </row>
    <row r="6903" spans="1:17" x14ac:dyDescent="0.2">
      <c r="A6903">
        <v>2018</v>
      </c>
      <c r="B6903" t="s">
        <v>2909</v>
      </c>
      <c r="C6903" t="s">
        <v>2287</v>
      </c>
      <c r="D6903" t="s">
        <v>2907</v>
      </c>
      <c r="E6903">
        <v>9</v>
      </c>
      <c r="F6903" t="s">
        <v>2284</v>
      </c>
      <c r="G6903" t="s">
        <v>352</v>
      </c>
      <c r="H6903" t="s">
        <v>1344</v>
      </c>
      <c r="I6903" t="s">
        <v>22</v>
      </c>
      <c r="J6903" t="s">
        <v>66</v>
      </c>
      <c r="K6903" t="s">
        <v>2285</v>
      </c>
      <c r="L6903" t="s">
        <v>25</v>
      </c>
      <c r="M6903" s="8">
        <v>0.91800000000000004</v>
      </c>
      <c r="N6903">
        <v>0.88</v>
      </c>
      <c r="O6903" s="8">
        <v>0.88</v>
      </c>
      <c r="P6903" s="8">
        <f>EXP(-1.363+3.366*LOG(O6903,10))</f>
        <v>0.21227528647680632</v>
      </c>
      <c r="Q6903" s="8">
        <f>(859450.9*100)/14749408</f>
        <v>5.8270196336015658</v>
      </c>
    </row>
    <row r="6904" spans="1:17" x14ac:dyDescent="0.2">
      <c r="A6904">
        <v>2018</v>
      </c>
      <c r="B6904" t="s">
        <v>2660</v>
      </c>
      <c r="C6904" t="s">
        <v>2287</v>
      </c>
      <c r="D6904" t="s">
        <v>2653</v>
      </c>
      <c r="E6904">
        <v>5</v>
      </c>
      <c r="F6904" t="s">
        <v>2284</v>
      </c>
      <c r="G6904" t="s">
        <v>352</v>
      </c>
      <c r="H6904" t="s">
        <v>1344</v>
      </c>
      <c r="I6904" t="s">
        <v>22</v>
      </c>
      <c r="J6904" t="s">
        <v>66</v>
      </c>
      <c r="K6904" t="s">
        <v>2285</v>
      </c>
      <c r="L6904" t="s">
        <v>25</v>
      </c>
      <c r="M6904" s="8">
        <v>0.91800000000000004</v>
      </c>
      <c r="N6904">
        <v>0.874</v>
      </c>
      <c r="O6904" s="8">
        <v>0.874</v>
      </c>
      <c r="P6904" s="8">
        <f>EXP(-1.363+3.366*LOG(O6904,10))</f>
        <v>0.21016286152699057</v>
      </c>
      <c r="Q6904" s="8">
        <f>(859450.9*100)/14749408</f>
        <v>5.8270196336015658</v>
      </c>
    </row>
    <row r="6905" spans="1:17" x14ac:dyDescent="0.2">
      <c r="A6905">
        <v>2018</v>
      </c>
      <c r="B6905" t="s">
        <v>2745</v>
      </c>
      <c r="C6905" t="s">
        <v>2287</v>
      </c>
      <c r="D6905" t="s">
        <v>2736</v>
      </c>
      <c r="E6905">
        <v>5</v>
      </c>
      <c r="F6905" t="s">
        <v>2284</v>
      </c>
      <c r="G6905" t="s">
        <v>352</v>
      </c>
      <c r="H6905" t="s">
        <v>1344</v>
      </c>
      <c r="I6905" t="s">
        <v>22</v>
      </c>
      <c r="J6905" t="s">
        <v>66</v>
      </c>
      <c r="K6905" t="s">
        <v>2285</v>
      </c>
      <c r="L6905" t="s">
        <v>25</v>
      </c>
      <c r="M6905" s="8">
        <v>0.91800000000000004</v>
      </c>
      <c r="N6905">
        <v>0.872</v>
      </c>
      <c r="O6905" s="8">
        <v>0.872</v>
      </c>
      <c r="P6905" s="8">
        <f>EXP(-1.363+3.366*LOG(O6905,10))</f>
        <v>0.20946020462579637</v>
      </c>
      <c r="Q6905" s="8">
        <f>(859450.9*100)/14749408</f>
        <v>5.8270196336015658</v>
      </c>
    </row>
    <row r="6906" spans="1:17" x14ac:dyDescent="0.2">
      <c r="A6906">
        <v>2018</v>
      </c>
      <c r="B6906" t="s">
        <v>2671</v>
      </c>
      <c r="C6906" t="s">
        <v>1635</v>
      </c>
      <c r="D6906" t="s">
        <v>2665</v>
      </c>
      <c r="E6906">
        <v>5</v>
      </c>
      <c r="F6906" t="s">
        <v>2284</v>
      </c>
      <c r="G6906" t="s">
        <v>352</v>
      </c>
      <c r="H6906" t="s">
        <v>1585</v>
      </c>
      <c r="I6906" t="s">
        <v>22</v>
      </c>
      <c r="J6906" t="s">
        <v>42</v>
      </c>
      <c r="K6906" t="s">
        <v>2285</v>
      </c>
      <c r="L6906" t="s">
        <v>25</v>
      </c>
      <c r="M6906" s="8">
        <v>0.77266666699999997</v>
      </c>
      <c r="N6906">
        <v>0.87</v>
      </c>
      <c r="O6906" s="8">
        <v>0.87</v>
      </c>
      <c r="P6906" s="8">
        <f>EXP(-1.363+3.366*LOG(O6906,10))</f>
        <v>0.20875829162395479</v>
      </c>
      <c r="Q6906" s="8">
        <f>(3602085*100)/4019599</f>
        <v>89.613043490159086</v>
      </c>
    </row>
    <row r="6907" spans="1:17" x14ac:dyDescent="0.2">
      <c r="A6907">
        <v>2017</v>
      </c>
      <c r="B6907" t="s">
        <v>2577</v>
      </c>
      <c r="C6907" t="s">
        <v>52</v>
      </c>
      <c r="D6907" t="s">
        <v>2578</v>
      </c>
      <c r="E6907">
        <v>6</v>
      </c>
      <c r="F6907" t="s">
        <v>2284</v>
      </c>
      <c r="G6907" t="s">
        <v>352</v>
      </c>
      <c r="H6907" t="s">
        <v>1344</v>
      </c>
      <c r="I6907" t="s">
        <v>22</v>
      </c>
      <c r="J6907" t="s">
        <v>42</v>
      </c>
      <c r="K6907" t="s">
        <v>2285</v>
      </c>
      <c r="L6907" t="s">
        <v>25</v>
      </c>
      <c r="M6907" s="8">
        <v>0.91800000000000004</v>
      </c>
      <c r="N6907">
        <v>0.86899999999999999</v>
      </c>
      <c r="O6907" s="8">
        <v>0.86899999999999999</v>
      </c>
      <c r="P6907" s="8">
        <f>EXP(-1.363+3.366*LOG(O6907,10))</f>
        <v>0.20840761437261296</v>
      </c>
      <c r="Q6907" s="8">
        <f>(1626350*100)/1973941</f>
        <v>82.391013713175823</v>
      </c>
    </row>
    <row r="6908" spans="1:17" x14ac:dyDescent="0.2">
      <c r="A6908">
        <v>2014</v>
      </c>
      <c r="B6908" t="s">
        <v>3016</v>
      </c>
      <c r="C6908" t="s">
        <v>1610</v>
      </c>
      <c r="D6908" t="s">
        <v>1597</v>
      </c>
      <c r="E6908">
        <v>7</v>
      </c>
      <c r="F6908" t="s">
        <v>19</v>
      </c>
      <c r="G6908" t="s">
        <v>3017</v>
      </c>
      <c r="H6908" t="s">
        <v>26</v>
      </c>
      <c r="I6908" t="s">
        <v>26</v>
      </c>
      <c r="J6908" t="s">
        <v>42</v>
      </c>
      <c r="K6908" t="s">
        <v>1543</v>
      </c>
      <c r="L6908" t="s">
        <v>26</v>
      </c>
      <c r="M6908" s="8" t="s">
        <v>26</v>
      </c>
      <c r="N6908">
        <v>0.86899999999999999</v>
      </c>
      <c r="O6908" s="8">
        <v>0.86899999999999999</v>
      </c>
      <c r="P6908" s="8">
        <f>EXP(-1.363+3.366*LOG(O6908,10))</f>
        <v>0.20840761437261296</v>
      </c>
      <c r="Q6908" s="8">
        <f>(2475923*100)/2844344</f>
        <v>87.047241824476927</v>
      </c>
    </row>
    <row r="6909" spans="1:17" x14ac:dyDescent="0.2">
      <c r="A6909">
        <v>2018</v>
      </c>
      <c r="B6909" t="s">
        <v>2965</v>
      </c>
      <c r="C6909" t="s">
        <v>2283</v>
      </c>
      <c r="D6909" t="s">
        <v>2961</v>
      </c>
      <c r="E6909">
        <v>9</v>
      </c>
      <c r="F6909" t="s">
        <v>2284</v>
      </c>
      <c r="G6909" t="s">
        <v>332</v>
      </c>
      <c r="H6909" t="s">
        <v>2248</v>
      </c>
      <c r="I6909" t="s">
        <v>22</v>
      </c>
      <c r="J6909" t="s">
        <v>66</v>
      </c>
      <c r="K6909" t="s">
        <v>2285</v>
      </c>
      <c r="L6909" t="s">
        <v>25</v>
      </c>
      <c r="M6909" s="8" t="s">
        <v>26</v>
      </c>
      <c r="N6909">
        <v>0.86199999999999999</v>
      </c>
      <c r="O6909" s="8">
        <v>0.86199999999999999</v>
      </c>
      <c r="P6909" s="8">
        <f>EXP(-1.363+3.366*LOG(O6909,10))</f>
        <v>0.2059580970558253</v>
      </c>
      <c r="Q6909" s="8">
        <f>(1148193*100)/12288027</f>
        <v>9.3439980234418432</v>
      </c>
    </row>
    <row r="6910" spans="1:17" x14ac:dyDescent="0.2">
      <c r="A6910">
        <v>2017</v>
      </c>
      <c r="B6910" t="s">
        <v>2551</v>
      </c>
      <c r="C6910" t="s">
        <v>1635</v>
      </c>
      <c r="D6910" t="s">
        <v>2552</v>
      </c>
      <c r="E6910">
        <v>6</v>
      </c>
      <c r="F6910" t="s">
        <v>2284</v>
      </c>
      <c r="G6910" t="s">
        <v>352</v>
      </c>
      <c r="H6910" t="s">
        <v>1585</v>
      </c>
      <c r="I6910" t="s">
        <v>22</v>
      </c>
      <c r="J6910" t="s">
        <v>42</v>
      </c>
      <c r="K6910" t="s">
        <v>2285</v>
      </c>
      <c r="L6910" t="s">
        <v>25</v>
      </c>
      <c r="M6910" s="8">
        <v>0.77266666699999997</v>
      </c>
      <c r="N6910">
        <v>0.85399999999999998</v>
      </c>
      <c r="O6910" s="8">
        <v>0.85399999999999998</v>
      </c>
      <c r="P6910" s="8">
        <f>EXP(-1.363+3.366*LOG(O6910,10))</f>
        <v>0.20316987905533423</v>
      </c>
      <c r="Q6910" s="8">
        <f>(3602085*100)/4019599</f>
        <v>89.613043490159086</v>
      </c>
    </row>
    <row r="6911" spans="1:17" x14ac:dyDescent="0.2">
      <c r="A6911">
        <v>2018</v>
      </c>
      <c r="B6911" t="s">
        <v>2825</v>
      </c>
      <c r="C6911" t="s">
        <v>1635</v>
      </c>
      <c r="D6911" t="s">
        <v>2809</v>
      </c>
      <c r="E6911">
        <v>8</v>
      </c>
      <c r="F6911" t="s">
        <v>2284</v>
      </c>
      <c r="G6911" t="s">
        <v>352</v>
      </c>
      <c r="H6911" t="s">
        <v>975</v>
      </c>
      <c r="I6911" t="s">
        <v>36</v>
      </c>
      <c r="J6911" t="s">
        <v>42</v>
      </c>
      <c r="K6911" t="s">
        <v>2285</v>
      </c>
      <c r="L6911" t="s">
        <v>25</v>
      </c>
      <c r="M6911" s="8">
        <v>0.95199999999999996</v>
      </c>
      <c r="N6911">
        <v>0.85399999999999998</v>
      </c>
      <c r="O6911" s="8">
        <v>0.85399999999999998</v>
      </c>
      <c r="P6911" s="8">
        <f>EXP(-1.363+3.366*LOG(O6911,10))</f>
        <v>0.20316987905533423</v>
      </c>
      <c r="Q6911" s="8">
        <f>(3602085*100)/4019599</f>
        <v>89.613043490159086</v>
      </c>
    </row>
    <row r="6912" spans="1:17" x14ac:dyDescent="0.2">
      <c r="A6912">
        <v>2017</v>
      </c>
      <c r="B6912" t="s">
        <v>2538</v>
      </c>
      <c r="C6912" t="s">
        <v>50</v>
      </c>
      <c r="D6912" t="s">
        <v>2533</v>
      </c>
      <c r="E6912">
        <v>6</v>
      </c>
      <c r="F6912" t="s">
        <v>2284</v>
      </c>
      <c r="G6912" t="s">
        <v>352</v>
      </c>
      <c r="H6912" t="s">
        <v>610</v>
      </c>
      <c r="I6912" t="s">
        <v>22</v>
      </c>
      <c r="J6912" t="s">
        <v>42</v>
      </c>
      <c r="K6912" t="s">
        <v>2285</v>
      </c>
      <c r="L6912" t="s">
        <v>25</v>
      </c>
      <c r="M6912" s="8">
        <v>0.86499999999999999</v>
      </c>
      <c r="N6912">
        <v>0.85199999999999998</v>
      </c>
      <c r="O6912" s="8">
        <v>0.85199999999999998</v>
      </c>
      <c r="P6912" s="8">
        <f>EXP(-1.363+3.366*LOG(O6912,10))</f>
        <v>0.20247470293533582</v>
      </c>
      <c r="Q6912" s="8">
        <f>(4488342*100)/4914798</f>
        <v>91.323020803703429</v>
      </c>
    </row>
    <row r="6913" spans="1:17" x14ac:dyDescent="0.2">
      <c r="A6913">
        <v>2017</v>
      </c>
      <c r="B6913" t="s">
        <v>2505</v>
      </c>
      <c r="C6913" t="s">
        <v>50</v>
      </c>
      <c r="D6913" t="s">
        <v>2501</v>
      </c>
      <c r="E6913">
        <v>6</v>
      </c>
      <c r="F6913" t="s">
        <v>2284</v>
      </c>
      <c r="G6913" t="s">
        <v>332</v>
      </c>
      <c r="H6913" t="s">
        <v>2034</v>
      </c>
      <c r="I6913" t="s">
        <v>22</v>
      </c>
      <c r="J6913" t="s">
        <v>42</v>
      </c>
      <c r="K6913" t="s">
        <v>2285</v>
      </c>
      <c r="L6913" t="s">
        <v>25</v>
      </c>
      <c r="M6913" s="8">
        <v>0.94899999999999995</v>
      </c>
      <c r="N6913">
        <v>0.84899999999999998</v>
      </c>
      <c r="O6913" s="8">
        <v>0.84899999999999998</v>
      </c>
      <c r="P6913" s="8">
        <f>EXP(-1.363+3.366*LOG(O6913,10))</f>
        <v>0.2014333513905994</v>
      </c>
      <c r="Q6913" s="8">
        <f>(4488342*100)/4914798</f>
        <v>91.323020803703429</v>
      </c>
    </row>
    <row r="6914" spans="1:17" x14ac:dyDescent="0.2">
      <c r="A6914">
        <v>2018</v>
      </c>
      <c r="B6914" t="s">
        <v>2766</v>
      </c>
      <c r="C6914" t="s">
        <v>1635</v>
      </c>
      <c r="D6914" t="s">
        <v>2763</v>
      </c>
      <c r="E6914">
        <v>6</v>
      </c>
      <c r="F6914" t="s">
        <v>2284</v>
      </c>
      <c r="G6914" t="s">
        <v>352</v>
      </c>
      <c r="H6914" t="s">
        <v>1585</v>
      </c>
      <c r="I6914" t="s">
        <v>22</v>
      </c>
      <c r="J6914" t="s">
        <v>42</v>
      </c>
      <c r="K6914" t="s">
        <v>2285</v>
      </c>
      <c r="L6914" t="s">
        <v>25</v>
      </c>
      <c r="M6914" s="8">
        <v>0.77266666699999997</v>
      </c>
      <c r="N6914">
        <v>0.84899999999999998</v>
      </c>
      <c r="O6914" s="8">
        <v>0.84899999999999998</v>
      </c>
      <c r="P6914" s="8">
        <f>EXP(-1.363+3.366*LOG(O6914,10))</f>
        <v>0.2014333513905994</v>
      </c>
      <c r="Q6914" s="8">
        <f>(3602085*100)/4019599</f>
        <v>89.613043490159086</v>
      </c>
    </row>
    <row r="6915" spans="1:17" x14ac:dyDescent="0.2">
      <c r="A6915">
        <v>2017</v>
      </c>
      <c r="B6915" t="s">
        <v>2352</v>
      </c>
      <c r="C6915" t="s">
        <v>2283</v>
      </c>
      <c r="D6915" t="s">
        <v>2346</v>
      </c>
      <c r="E6915">
        <v>4</v>
      </c>
      <c r="F6915" t="s">
        <v>2284</v>
      </c>
      <c r="G6915" t="s">
        <v>352</v>
      </c>
      <c r="H6915" t="s">
        <v>1585</v>
      </c>
      <c r="I6915" t="s">
        <v>22</v>
      </c>
      <c r="J6915" t="s">
        <v>66</v>
      </c>
      <c r="K6915" t="s">
        <v>2285</v>
      </c>
      <c r="L6915" t="s">
        <v>25</v>
      </c>
      <c r="M6915" s="8">
        <v>0.77266666699999997</v>
      </c>
      <c r="N6915">
        <v>0.84599999999999997</v>
      </c>
      <c r="O6915" s="8">
        <v>0.84599999999999997</v>
      </c>
      <c r="P6915" s="8">
        <f>EXP(-1.363+3.366*LOG(O6915,10))</f>
        <v>0.20039369787195635</v>
      </c>
      <c r="Q6915" s="8">
        <f>(1148193*100)/12288027</f>
        <v>9.3439980234418432</v>
      </c>
    </row>
    <row r="6916" spans="1:17" x14ac:dyDescent="0.2">
      <c r="A6916">
        <v>2017</v>
      </c>
      <c r="B6916" t="s">
        <v>2560</v>
      </c>
      <c r="C6916" t="s">
        <v>52</v>
      </c>
      <c r="D6916" t="s">
        <v>2554</v>
      </c>
      <c r="E6916">
        <v>6</v>
      </c>
      <c r="F6916" t="s">
        <v>2284</v>
      </c>
      <c r="G6916" t="s">
        <v>352</v>
      </c>
      <c r="H6916" t="s">
        <v>975</v>
      </c>
      <c r="I6916" t="s">
        <v>22</v>
      </c>
      <c r="J6916" t="s">
        <v>42</v>
      </c>
      <c r="K6916" t="s">
        <v>2285</v>
      </c>
      <c r="L6916" t="s">
        <v>25</v>
      </c>
      <c r="M6916" s="8">
        <v>1.0693333330000001</v>
      </c>
      <c r="N6916">
        <v>0.84499999999999997</v>
      </c>
      <c r="O6916" s="8">
        <v>0.84499999999999997</v>
      </c>
      <c r="P6916" s="8">
        <f>EXP(-1.363+3.366*LOG(O6916,10))</f>
        <v>0.20004752459732703</v>
      </c>
      <c r="Q6916" s="8">
        <f>(1626350*100)/1973941</f>
        <v>82.391013713175823</v>
      </c>
    </row>
    <row r="6917" spans="1:17" x14ac:dyDescent="0.2">
      <c r="A6917">
        <v>2018</v>
      </c>
      <c r="B6917" t="s">
        <v>2729</v>
      </c>
      <c r="C6917" t="s">
        <v>2287</v>
      </c>
      <c r="D6917" t="s">
        <v>2724</v>
      </c>
      <c r="E6917">
        <v>5</v>
      </c>
      <c r="F6917" t="s">
        <v>2284</v>
      </c>
      <c r="G6917" t="s">
        <v>352</v>
      </c>
      <c r="H6917" t="s">
        <v>1344</v>
      </c>
      <c r="I6917" t="s">
        <v>22</v>
      </c>
      <c r="J6917" t="s">
        <v>66</v>
      </c>
      <c r="K6917" t="s">
        <v>2285</v>
      </c>
      <c r="L6917" t="s">
        <v>25</v>
      </c>
      <c r="M6917" s="8">
        <v>0.91800000000000004</v>
      </c>
      <c r="N6917">
        <v>0.84199999999999997</v>
      </c>
      <c r="O6917" s="8">
        <v>0.84199999999999997</v>
      </c>
      <c r="P6917" s="8">
        <f>EXP(-1.363+3.366*LOG(O6917,10))</f>
        <v>0.19901014015318724</v>
      </c>
      <c r="Q6917" s="8">
        <f>(859450.9*100)/14749408</f>
        <v>5.8270196336015658</v>
      </c>
    </row>
    <row r="6918" spans="1:17" x14ac:dyDescent="0.2">
      <c r="A6918">
        <v>2017</v>
      </c>
      <c r="B6918" t="s">
        <v>2558</v>
      </c>
      <c r="C6918" t="s">
        <v>1635</v>
      </c>
      <c r="D6918" t="s">
        <v>2554</v>
      </c>
      <c r="E6918">
        <v>6</v>
      </c>
      <c r="F6918" t="s">
        <v>2284</v>
      </c>
      <c r="G6918" t="s">
        <v>352</v>
      </c>
      <c r="H6918" t="s">
        <v>1585</v>
      </c>
      <c r="I6918" t="s">
        <v>22</v>
      </c>
      <c r="J6918" t="s">
        <v>42</v>
      </c>
      <c r="K6918" t="s">
        <v>2285</v>
      </c>
      <c r="L6918" t="s">
        <v>25</v>
      </c>
      <c r="M6918" s="8">
        <v>0.77266666699999997</v>
      </c>
      <c r="N6918">
        <v>0.83899999999999997</v>
      </c>
      <c r="O6918" s="8">
        <v>0.83899999999999997</v>
      </c>
      <c r="P6918" s="8">
        <f>EXP(-1.363+3.366*LOG(O6918,10))</f>
        <v>0.19797446131770008</v>
      </c>
      <c r="Q6918" s="8">
        <f>(3602085*100)/4019599</f>
        <v>89.613043490159086</v>
      </c>
    </row>
    <row r="6919" spans="1:17" x14ac:dyDescent="0.2">
      <c r="A6919">
        <v>2017</v>
      </c>
      <c r="B6919" t="s">
        <v>2482</v>
      </c>
      <c r="C6919" t="s">
        <v>2287</v>
      </c>
      <c r="D6919" t="s">
        <v>2474</v>
      </c>
      <c r="E6919">
        <v>5</v>
      </c>
      <c r="F6919" t="s">
        <v>2284</v>
      </c>
      <c r="G6919" t="s">
        <v>352</v>
      </c>
      <c r="H6919" t="s">
        <v>1344</v>
      </c>
      <c r="I6919" t="s">
        <v>22</v>
      </c>
      <c r="J6919" t="s">
        <v>66</v>
      </c>
      <c r="K6919" t="s">
        <v>2285</v>
      </c>
      <c r="L6919" t="s">
        <v>25</v>
      </c>
      <c r="M6919" s="8">
        <v>0.91800000000000004</v>
      </c>
      <c r="N6919">
        <v>0.83599999999999997</v>
      </c>
      <c r="O6919" s="8">
        <v>0.83599999999999997</v>
      </c>
      <c r="P6919" s="8">
        <f>EXP(-1.363+3.366*LOG(O6919,10))</f>
        <v>0.1969404913702871</v>
      </c>
      <c r="Q6919" s="8">
        <f>(859450.9*100)/14749408</f>
        <v>5.8270196336015658</v>
      </c>
    </row>
    <row r="6920" spans="1:17" x14ac:dyDescent="0.2">
      <c r="A6920">
        <v>2017</v>
      </c>
      <c r="B6920" t="s">
        <v>2496</v>
      </c>
      <c r="C6920" t="s">
        <v>2283</v>
      </c>
      <c r="D6920" t="s">
        <v>2485</v>
      </c>
      <c r="E6920">
        <v>5</v>
      </c>
      <c r="F6920" t="s">
        <v>2284</v>
      </c>
      <c r="G6920" t="s">
        <v>352</v>
      </c>
      <c r="H6920" t="s">
        <v>1585</v>
      </c>
      <c r="I6920" t="s">
        <v>22</v>
      </c>
      <c r="J6920" t="s">
        <v>66</v>
      </c>
      <c r="K6920" t="s">
        <v>2285</v>
      </c>
      <c r="L6920" t="s">
        <v>25</v>
      </c>
      <c r="M6920" s="8">
        <v>0.77266666699999997</v>
      </c>
      <c r="N6920">
        <v>0.83299999999999996</v>
      </c>
      <c r="O6920" s="8">
        <v>0.83299999999999996</v>
      </c>
      <c r="P6920" s="8">
        <f>EXP(-1.363+3.366*LOG(O6920,10))</f>
        <v>0.19590823360845655</v>
      </c>
      <c r="Q6920" s="8">
        <f>(1148193*100)/12288027</f>
        <v>9.3439980234418432</v>
      </c>
    </row>
    <row r="6921" spans="1:17" x14ac:dyDescent="0.2">
      <c r="A6921">
        <v>2018</v>
      </c>
      <c r="B6921" t="s">
        <v>2937</v>
      </c>
      <c r="C6921" t="s">
        <v>2287</v>
      </c>
      <c r="D6921" t="s">
        <v>2927</v>
      </c>
      <c r="E6921">
        <v>9</v>
      </c>
      <c r="F6921" t="s">
        <v>2284</v>
      </c>
      <c r="G6921" t="s">
        <v>332</v>
      </c>
      <c r="H6921" t="s">
        <v>2248</v>
      </c>
      <c r="I6921" t="s">
        <v>22</v>
      </c>
      <c r="J6921" t="s">
        <v>66</v>
      </c>
      <c r="K6921" t="s">
        <v>2285</v>
      </c>
      <c r="L6921" t="s">
        <v>25</v>
      </c>
      <c r="M6921" s="8" t="s">
        <v>26</v>
      </c>
      <c r="N6921">
        <v>0.82299999999999995</v>
      </c>
      <c r="O6921" s="8">
        <v>0.82299999999999995</v>
      </c>
      <c r="P6921" s="8">
        <f>EXP(-1.363+3.366*LOG(O6921,10))</f>
        <v>0.19247978289813253</v>
      </c>
      <c r="Q6921" s="8">
        <f>(859450.9*100)/14749408</f>
        <v>5.8270196336015658</v>
      </c>
    </row>
    <row r="6922" spans="1:17" x14ac:dyDescent="0.2">
      <c r="A6922">
        <v>2017</v>
      </c>
      <c r="B6922" t="s">
        <v>2571</v>
      </c>
      <c r="C6922" t="s">
        <v>52</v>
      </c>
      <c r="D6922" t="s">
        <v>2564</v>
      </c>
      <c r="E6922">
        <v>6</v>
      </c>
      <c r="F6922" t="s">
        <v>2284</v>
      </c>
      <c r="G6922" t="s">
        <v>352</v>
      </c>
      <c r="H6922" t="s">
        <v>975</v>
      </c>
      <c r="I6922" t="s">
        <v>36</v>
      </c>
      <c r="J6922" t="s">
        <v>42</v>
      </c>
      <c r="K6922" t="s">
        <v>2285</v>
      </c>
      <c r="L6922" t="s">
        <v>25</v>
      </c>
      <c r="M6922" s="8">
        <v>0.95199999999999996</v>
      </c>
      <c r="N6922">
        <v>0.82199999999999995</v>
      </c>
      <c r="O6922" s="8">
        <v>0.82199999999999995</v>
      </c>
      <c r="P6922" s="8">
        <f>EXP(-1.363+3.366*LOG(O6922,10))</f>
        <v>0.19213799096398906</v>
      </c>
      <c r="Q6922" s="8">
        <f>(1626350*100)/1973941</f>
        <v>82.391013713175823</v>
      </c>
    </row>
    <row r="6923" spans="1:17" x14ac:dyDescent="0.2">
      <c r="A6923">
        <v>2017</v>
      </c>
      <c r="B6923" t="s">
        <v>2557</v>
      </c>
      <c r="C6923" t="s">
        <v>50</v>
      </c>
      <c r="D6923" t="s">
        <v>2554</v>
      </c>
      <c r="E6923">
        <v>6</v>
      </c>
      <c r="F6923" t="s">
        <v>2284</v>
      </c>
      <c r="G6923" t="s">
        <v>352</v>
      </c>
      <c r="H6923" t="s">
        <v>1585</v>
      </c>
      <c r="I6923" t="s">
        <v>22</v>
      </c>
      <c r="J6923" t="s">
        <v>42</v>
      </c>
      <c r="K6923" t="s">
        <v>2285</v>
      </c>
      <c r="L6923" t="s">
        <v>25</v>
      </c>
      <c r="M6923" s="8">
        <v>0.77266666699999997</v>
      </c>
      <c r="N6923">
        <v>0.81599999999999995</v>
      </c>
      <c r="O6923" s="8">
        <v>0.81599999999999995</v>
      </c>
      <c r="P6923" s="8">
        <f>EXP(-1.363+3.366*LOG(O6923,10))</f>
        <v>0.19009127534271844</v>
      </c>
      <c r="Q6923" s="8">
        <f>(4488342*100)/4914798</f>
        <v>91.323020803703429</v>
      </c>
    </row>
    <row r="6924" spans="1:17" x14ac:dyDescent="0.2">
      <c r="A6924">
        <v>2017</v>
      </c>
      <c r="B6924" t="s">
        <v>2479</v>
      </c>
      <c r="C6924" t="s">
        <v>50</v>
      </c>
      <c r="D6924" t="s">
        <v>2474</v>
      </c>
      <c r="E6924">
        <v>5</v>
      </c>
      <c r="F6924" t="s">
        <v>2284</v>
      </c>
      <c r="G6924" t="s">
        <v>332</v>
      </c>
      <c r="H6924" t="s">
        <v>2034</v>
      </c>
      <c r="I6924" t="s">
        <v>36</v>
      </c>
      <c r="J6924" t="s">
        <v>42</v>
      </c>
      <c r="K6924" t="s">
        <v>2285</v>
      </c>
      <c r="L6924" t="s">
        <v>25</v>
      </c>
      <c r="M6924" s="8">
        <v>0.81599999999999995</v>
      </c>
      <c r="N6924">
        <v>0.77400000000000002</v>
      </c>
      <c r="O6924" s="8">
        <v>0.77400000000000002</v>
      </c>
      <c r="P6924" s="8">
        <f>EXP(-1.363+3.366*LOG(O6924,10))</f>
        <v>0.17596011545799276</v>
      </c>
      <c r="Q6924" s="8">
        <f>(4488342*100)/4914798</f>
        <v>91.323020803703429</v>
      </c>
    </row>
    <row r="6925" spans="1:17" x14ac:dyDescent="0.2">
      <c r="A6925">
        <v>2018</v>
      </c>
      <c r="B6925" t="s">
        <v>2651</v>
      </c>
      <c r="C6925" t="s">
        <v>2287</v>
      </c>
      <c r="D6925" t="s">
        <v>2645</v>
      </c>
      <c r="E6925">
        <v>5</v>
      </c>
      <c r="F6925" t="s">
        <v>2284</v>
      </c>
      <c r="G6925" t="s">
        <v>352</v>
      </c>
      <c r="H6925" t="s">
        <v>1585</v>
      </c>
      <c r="I6925" t="s">
        <v>26</v>
      </c>
      <c r="J6925" t="s">
        <v>66</v>
      </c>
      <c r="K6925" t="s">
        <v>2285</v>
      </c>
      <c r="L6925" t="s">
        <v>25</v>
      </c>
      <c r="M6925" s="8" t="s">
        <v>26</v>
      </c>
      <c r="N6925">
        <v>0.77400000000000002</v>
      </c>
      <c r="O6925" s="8">
        <v>0.77400000000000002</v>
      </c>
      <c r="P6925" s="8">
        <f>EXP(-1.363+3.366*LOG(O6925,10))</f>
        <v>0.17596011545799276</v>
      </c>
      <c r="Q6925" s="8">
        <f>(859450.9*100)/14749408</f>
        <v>5.8270196336015658</v>
      </c>
    </row>
  </sheetData>
  <autoFilter ref="A1:Q1" xr:uid="{00000000-0001-0000-0000-000000000000}">
    <sortState xmlns:xlrd2="http://schemas.microsoft.com/office/spreadsheetml/2017/richdata2" ref="A2:Q6925">
      <sortCondition descending="1" ref="N1:N6925"/>
    </sortState>
  </autoFilter>
  <phoneticPr fontId="3" type="noConversion"/>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55B518-3255-064B-A26E-976BB027542D}">
  <dimension ref="A1:A26"/>
  <sheetViews>
    <sheetView workbookViewId="0">
      <selection activeCell="A7" sqref="A7"/>
    </sheetView>
  </sheetViews>
  <sheetFormatPr baseColWidth="10" defaultColWidth="11.5" defaultRowHeight="15" x14ac:dyDescent="0.2"/>
  <sheetData>
    <row r="1" spans="1:1" x14ac:dyDescent="0.2">
      <c r="A1" t="s">
        <v>3028</v>
      </c>
    </row>
    <row r="2" spans="1:1" x14ac:dyDescent="0.2">
      <c r="A2" t="s">
        <v>3029</v>
      </c>
    </row>
    <row r="3" spans="1:1" x14ac:dyDescent="0.2">
      <c r="A3" t="s">
        <v>3030</v>
      </c>
    </row>
    <row r="4" spans="1:1" x14ac:dyDescent="0.2">
      <c r="A4" t="s">
        <v>3031</v>
      </c>
    </row>
    <row r="5" spans="1:1" x14ac:dyDescent="0.2">
      <c r="A5" t="s">
        <v>3076</v>
      </c>
    </row>
    <row r="6" spans="1:1" x14ac:dyDescent="0.2">
      <c r="A6" t="s">
        <v>3083</v>
      </c>
    </row>
    <row r="9" spans="1:1" x14ac:dyDescent="0.2">
      <c r="A9" t="s">
        <v>3032</v>
      </c>
    </row>
    <row r="10" spans="1:1" x14ac:dyDescent="0.2">
      <c r="A10" t="s">
        <v>3033</v>
      </c>
    </row>
    <row r="11" spans="1:1" x14ac:dyDescent="0.2">
      <c r="A11" t="s">
        <v>3081</v>
      </c>
    </row>
    <row r="12" spans="1:1" x14ac:dyDescent="0.2">
      <c r="A12" t="s">
        <v>3034</v>
      </c>
    </row>
    <row r="13" spans="1:1" x14ac:dyDescent="0.2">
      <c r="A13" t="s">
        <v>3035</v>
      </c>
    </row>
    <row r="15" spans="1:1" x14ac:dyDescent="0.2">
      <c r="A15" t="s">
        <v>3036</v>
      </c>
    </row>
    <row r="16" spans="1:1" x14ac:dyDescent="0.2">
      <c r="A16" t="s">
        <v>3037</v>
      </c>
    </row>
    <row r="17" spans="1:1" x14ac:dyDescent="0.2">
      <c r="A17" t="s">
        <v>3038</v>
      </c>
    </row>
    <row r="18" spans="1:1" x14ac:dyDescent="0.2">
      <c r="A18" t="s">
        <v>3039</v>
      </c>
    </row>
    <row r="20" spans="1:1" x14ac:dyDescent="0.2">
      <c r="A20" t="s">
        <v>3040</v>
      </c>
    </row>
    <row r="21" spans="1:1" x14ac:dyDescent="0.2">
      <c r="A21" t="s">
        <v>3041</v>
      </c>
    </row>
    <row r="22" spans="1:1" x14ac:dyDescent="0.2">
      <c r="A22" t="s">
        <v>3042</v>
      </c>
    </row>
    <row r="23" spans="1:1" x14ac:dyDescent="0.2">
      <c r="A23" t="s">
        <v>3043</v>
      </c>
    </row>
    <row r="24" spans="1:1" x14ac:dyDescent="0.2">
      <c r="A24" t="s">
        <v>3077</v>
      </c>
    </row>
    <row r="26" spans="1:1" ht="16" x14ac:dyDescent="0.2">
      <c r="A26" s="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2</vt:i4>
      </vt:variant>
    </vt:vector>
  </HeadingPairs>
  <TitlesOfParts>
    <vt:vector size="2" baseType="lpstr">
      <vt:lpstr>Traits_abeilles</vt:lpstr>
      <vt:lpstr>README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emiliecordier</dc:creator>
  <cp:keywords/>
  <dc:description/>
  <cp:lastModifiedBy>Sixtine D ABBADIE</cp:lastModifiedBy>
  <cp:revision/>
  <dcterms:created xsi:type="dcterms:W3CDTF">2024-03-25T11:00:02Z</dcterms:created>
  <dcterms:modified xsi:type="dcterms:W3CDTF">2026-09-16T10:34:12Z</dcterms:modified>
  <cp:category/>
  <cp:contentStatus/>
</cp:coreProperties>
</file>